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rvey" sheetId="1" r:id="rId5"/>
    <sheet state="visible" name="choices" sheetId="2" r:id="rId6"/>
    <sheet state="visible" name="settings" sheetId="3" r:id="rId7"/>
    <sheet state="visible" name="help-survey" sheetId="4" r:id="rId8"/>
    <sheet state="visible" name="help-choices" sheetId="5" r:id="rId9"/>
    <sheet state="visible" name="help-settings" sheetId="6" r:id="rId10"/>
    <sheet state="visible" name="Q numbers" sheetId="7" r:id="rId11"/>
  </sheets>
  <definedNames>
    <definedName hidden="1" localSheetId="0" name="_xlnm._FilterDatabase">survey!$A$1:$A$2072</definedName>
    <definedName hidden="1" localSheetId="6" name="_xlnm._FilterDatabase">'Q numbers'!$A$1:$A$3008</definedName>
  </definedNames>
  <calcPr/>
</workbook>
</file>

<file path=xl/sharedStrings.xml><?xml version="1.0" encoding="utf-8"?>
<sst xmlns="http://schemas.openxmlformats.org/spreadsheetml/2006/main" count="21553" uniqueCount="10950">
  <si>
    <t>list_name</t>
  </si>
  <si>
    <t>form_title</t>
  </si>
  <si>
    <t>The survey worksheet</t>
  </si>
  <si>
    <t>value</t>
  </si>
  <si>
    <t>form_id</t>
  </si>
  <si>
    <t>type</t>
  </si>
  <si>
    <t>name</t>
  </si>
  <si>
    <t>version</t>
  </si>
  <si>
    <t>label</t>
  </si>
  <si>
    <t>public_key</t>
  </si>
  <si>
    <t>label:french</t>
  </si>
  <si>
    <t>submission_url</t>
  </si>
  <si>
    <t>label:hausa</t>
  </si>
  <si>
    <t>default_language</t>
  </si>
  <si>
    <t>hint</t>
  </si>
  <si>
    <t>hint:french</t>
  </si>
  <si>
    <t>hint:hausa</t>
  </si>
  <si>
    <t>default</t>
  </si>
  <si>
    <t>appearance</t>
  </si>
  <si>
    <t>constraint</t>
  </si>
  <si>
    <t>constraint message</t>
  </si>
  <si>
    <t>constraint message:french</t>
  </si>
  <si>
    <t>constraint message:hausa</t>
  </si>
  <si>
    <t>image</t>
  </si>
  <si>
    <t>relevance</t>
  </si>
  <si>
    <t>disabled</t>
  </si>
  <si>
    <t>filter</t>
  </si>
  <si>
    <t>required</t>
  </si>
  <si>
    <t>required message</t>
  </si>
  <si>
    <t>filter2</t>
  </si>
  <si>
    <t>read only</t>
  </si>
  <si>
    <t>calculation</t>
  </si>
  <si>
    <t>repeat_count</t>
  </si>
  <si>
    <t>filter3</t>
  </si>
  <si>
    <t>media:image</t>
  </si>
  <si>
    <t>Endline 2025 Prospective Migrant</t>
  </si>
  <si>
    <t>media:audio</t>
  </si>
  <si>
    <t>filter4</t>
  </si>
  <si>
    <t>media:video</t>
  </si>
  <si>
    <t>el_pm_2025</t>
  </si>
  <si>
    <t>choice_filter</t>
  </si>
  <si>
    <t>note</t>
  </si>
  <si>
    <t>response_note</t>
  </si>
  <si>
    <t>publishable</t>
  </si>
  <si>
    <t>minimum_seconds</t>
  </si>
  <si>
    <t>yesno</t>
  </si>
  <si>
    <t>start</t>
  </si>
  <si>
    <t>This worksheet specifies all of the groups, questions, and other fields in your survey form, each in its own row. Aside from overall settings and lists of multiple-choice options, everything about your survey form is specified in this worksheet.</t>
  </si>
  <si>
    <t>starttime</t>
  </si>
  <si>
    <t>Yes</t>
  </si>
  <si>
    <t/>
  </si>
  <si>
    <t>Oui</t>
  </si>
  <si>
    <t>english</t>
  </si>
  <si>
    <t>ii</t>
  </si>
  <si>
    <t>end</t>
  </si>
  <si>
    <t>No</t>
  </si>
  <si>
    <t>endtime</t>
  </si>
  <si>
    <t>Non</t>
  </si>
  <si>
    <t>a'a</t>
  </si>
  <si>
    <t>deviceid</t>
  </si>
  <si>
    <t>Learn more about form definitions and field types</t>
  </si>
  <si>
    <t>round</t>
  </si>
  <si>
    <t>phonenumber</t>
  </si>
  <si>
    <t>devicephonenum</t>
  </si>
  <si>
    <t>Round 3</t>
  </si>
  <si>
    <t>Tour 3</t>
  </si>
  <si>
    <t>zagaye 3</t>
  </si>
  <si>
    <t>label:languagename</t>
  </si>
  <si>
    <t>hint:languagename</t>
  </si>
  <si>
    <t>username</t>
  </si>
  <si>
    <t>constraint message:languagename</t>
  </si>
  <si>
    <t>Round 5</t>
  </si>
  <si>
    <t>Tour 5</t>
  </si>
  <si>
    <t>required message:languagename</t>
  </si>
  <si>
    <t>zagaye 5</t>
  </si>
  <si>
    <t>media:image:languagename</t>
  </si>
  <si>
    <t>media:audio:languagename</t>
  </si>
  <si>
    <t>media:video:languagename</t>
  </si>
  <si>
    <t>calculate</t>
  </si>
  <si>
    <r>
      <rPr>
        <rFont val="Calibri"/>
        <color rgb="FF000000"/>
        <sz val="12.0"/>
      </rPr>
      <t xml:space="preserve">This column specifies the type of the field or group. It has to follow a pre-specified format, and Excel's conditional formatting has been used to auto-highlight rows that appear to have a valid </t>
    </r>
    <r>
      <rPr>
        <rFont val="Calibri"/>
        <i/>
        <color rgb="FF000000"/>
        <sz val="12.0"/>
      </rPr>
      <t>type</t>
    </r>
    <r>
      <rPr>
        <rFont val="Calibri"/>
        <color rgb="FF000000"/>
        <sz val="12.0"/>
      </rPr>
      <t xml:space="preserve"> column -- so, if you are using Excel and your row is </t>
    </r>
    <r>
      <rPr>
        <rFont val="Calibri"/>
        <i/>
        <color rgb="FF000000"/>
        <sz val="12.0"/>
      </rPr>
      <t>not</t>
    </r>
    <r>
      <rPr>
        <rFont val="Calibri"/>
        <color rgb="FF000000"/>
        <sz val="12.0"/>
      </rPr>
      <t xml:space="preserve"> automatically highlighted, re-check that you have entered the type properly. 
See below for an exhaustive list of brief examples.</t>
    </r>
  </si>
  <si>
    <t>device_info</t>
  </si>
  <si>
    <r>
      <rPr>
        <rFont val="Calibri"/>
        <color rgb="FF000000"/>
        <sz val="12.0"/>
      </rPr>
      <t xml:space="preserve">This column specifies the name of the field or group. Field names must be unique, and they cannot include any spaces or punctuation. 
Example: </t>
    </r>
    <r>
      <rPr>
        <rFont val="Calibri"/>
        <b/>
        <color rgb="FF000000"/>
        <sz val="12.0"/>
      </rPr>
      <t>age</t>
    </r>
  </si>
  <si>
    <r>
      <rPr>
        <rFont val="Calibri"/>
        <color rgb="FF000000"/>
        <sz val="12.0"/>
      </rPr>
      <t xml:space="preserve">For those field types that present a user interface, this column is where you put the primary text for the question or field. You can include line-breaks in your label text by pressing </t>
    </r>
    <r>
      <rPr>
        <rFont val="Calibri"/>
        <i/>
        <color rgb="FF000000"/>
        <sz val="12.0"/>
      </rPr>
      <t xml:space="preserve">Alt+Enter </t>
    </r>
    <r>
      <rPr>
        <rFont val="Calibri"/>
        <color rgb="FF000000"/>
        <sz val="12.0"/>
      </rPr>
      <t xml:space="preserve">on Windows or </t>
    </r>
    <r>
      <rPr>
        <rFont val="Calibri"/>
        <i/>
        <color rgb="FF000000"/>
        <sz val="12.0"/>
      </rPr>
      <t xml:space="preserve">Control+Option+Enter </t>
    </r>
    <r>
      <rPr>
        <rFont val="Calibri"/>
        <color rgb="FF000000"/>
        <sz val="12.0"/>
      </rPr>
      <t>on a Mac.</t>
    </r>
  </si>
  <si>
    <r>
      <rPr>
        <rFont val="Calibri"/>
        <color rgb="FF000000"/>
        <sz val="12.0"/>
      </rPr>
      <t xml:space="preserve">Any </t>
    </r>
    <r>
      <rPr>
        <rFont val="Calibri"/>
        <i/>
        <color rgb="FF000000"/>
        <sz val="12.0"/>
      </rPr>
      <t>label:languagename</t>
    </r>
    <r>
      <rPr>
        <rFont val="Calibri"/>
        <color rgb="FF000000"/>
        <sz val="12.0"/>
      </rPr>
      <t xml:space="preserve"> column (e.g., </t>
    </r>
    <r>
      <rPr>
        <rFont val="Calibri"/>
        <i/>
        <color rgb="FF000000"/>
        <sz val="12.0"/>
      </rPr>
      <t>label:tamil</t>
    </r>
    <r>
      <rPr>
        <rFont val="Calibri"/>
        <color rgb="FF000000"/>
        <sz val="12.0"/>
      </rPr>
      <t>) may be added in order to provide labels in an alternative language.
View the help topic below for more details.</t>
    </r>
  </si>
  <si>
    <t>device-info()</t>
  </si>
  <si>
    <t>duration</t>
  </si>
  <si>
    <t>yesnodk</t>
  </si>
  <si>
    <t>duration()</t>
  </si>
  <si>
    <r>
      <rPr>
        <rFont val="Calibri"/>
        <color rgb="FF000000"/>
        <sz val="12.0"/>
      </rPr>
      <t xml:space="preserve">Text in this column, if any, will appear italicized beneath the field's label. You can include line-breaks in your hint text by pressing </t>
    </r>
    <r>
      <rPr>
        <rFont val="Calibri"/>
        <i/>
        <color rgb="FF000000"/>
        <sz val="12.0"/>
      </rPr>
      <t xml:space="preserve">Alt+Enter </t>
    </r>
    <r>
      <rPr>
        <rFont val="Calibri"/>
        <color rgb="FF000000"/>
        <sz val="12.0"/>
      </rPr>
      <t xml:space="preserve">on Windows or </t>
    </r>
    <r>
      <rPr>
        <rFont val="Calibri"/>
        <i/>
        <color rgb="FF000000"/>
        <sz val="12.0"/>
      </rPr>
      <t xml:space="preserve">Control+Option+Enter </t>
    </r>
    <r>
      <rPr>
        <rFont val="Calibri"/>
        <color rgb="FF000000"/>
        <sz val="12.0"/>
      </rPr>
      <t>on a Mac.</t>
    </r>
  </si>
  <si>
    <r>
      <rPr>
        <rFont val="Calibri"/>
        <color rgb="FF000000"/>
        <sz val="12.0"/>
      </rPr>
      <t xml:space="preserve">Any </t>
    </r>
    <r>
      <rPr>
        <rFont val="Calibri"/>
        <i/>
        <color rgb="FF000000"/>
        <sz val="12.0"/>
      </rPr>
      <t>hint:languagename</t>
    </r>
    <r>
      <rPr>
        <rFont val="Calibri"/>
        <color rgb="FF000000"/>
        <sz val="12.0"/>
      </rPr>
      <t xml:space="preserve"> column (e.g., </t>
    </r>
    <r>
      <rPr>
        <rFont val="Calibri"/>
        <i/>
        <color rgb="FF000000"/>
        <sz val="12.0"/>
      </rPr>
      <t>hint:tamil</t>
    </r>
    <r>
      <rPr>
        <rFont val="Calibri"/>
        <color rgb="FF000000"/>
        <sz val="12.0"/>
      </rPr>
      <t>) may be added in order to provide hints in an alternative language.
View the help topic below for more details.</t>
    </r>
  </si>
  <si>
    <t>If you want to default the user's entry or selection for a given field, you can specify a number or some text in this column. 
Alternatively, you can specify an expression for dynamically calculating the field's default entry or selection, in the "calculation" column. View the help topic below for more details.
View the help topic below for more details.</t>
  </si>
  <si>
    <r>
      <rPr>
        <rFont val="Calibri"/>
        <color rgb="FF000000"/>
        <sz val="12.0"/>
      </rPr>
      <t xml:space="preserve">For field types that allow multiple appearances, you can specify the appearance style in this column (e.g., </t>
    </r>
    <r>
      <rPr>
        <rFont val="Calibri"/>
        <i/>
        <color rgb="FF000000"/>
        <sz val="12.0"/>
      </rPr>
      <t>quick</t>
    </r>
    <r>
      <rPr>
        <rFont val="Calibri"/>
        <color rgb="FF000000"/>
        <sz val="12.0"/>
      </rPr>
      <t xml:space="preserve"> or </t>
    </r>
    <r>
      <rPr>
        <rFont val="Calibri"/>
        <i/>
        <color rgb="FF000000"/>
        <sz val="12.0"/>
      </rPr>
      <t>minimal</t>
    </r>
    <r>
      <rPr>
        <rFont val="Calibri"/>
        <color rgb="FF000000"/>
        <sz val="12.0"/>
      </rPr>
      <t xml:space="preserve"> for </t>
    </r>
    <r>
      <rPr>
        <rFont val="Calibri"/>
        <i/>
        <color rgb="FF000000"/>
        <sz val="12.0"/>
      </rPr>
      <t>select_one</t>
    </r>
    <r>
      <rPr>
        <rFont val="Calibri"/>
        <color rgb="FF000000"/>
        <sz val="12.0"/>
      </rPr>
      <t xml:space="preserve"> fields). 
See the individual examples below.</t>
    </r>
  </si>
  <si>
    <r>
      <rPr>
        <rFont val="Calibri"/>
        <color rgb="FF000000"/>
        <sz val="12.0"/>
      </rPr>
      <t xml:space="preserve">Enter an expression into this column to validate entered or selected values. The user will only be allowed to proceed to the next question when the expression evaluates to true. Use the </t>
    </r>
    <r>
      <rPr>
        <rFont val="Calibri"/>
        <i/>
        <color rgb="FF000000"/>
        <sz val="12.0"/>
      </rPr>
      <t xml:space="preserve">constraint builder </t>
    </r>
    <r>
      <rPr>
        <rFont val="Calibri"/>
        <color rgb="FF000000"/>
        <sz val="12.0"/>
      </rPr>
      <t xml:space="preserve">to build new constraint expressions. (Also see the expression quick-reference following the examples below.) 
Example: </t>
    </r>
    <r>
      <rPr>
        <rFont val="Calibri"/>
        <b/>
        <color rgb="FF000000"/>
        <sz val="12.0"/>
      </rPr>
      <t>. &lt; 130</t>
    </r>
    <r>
      <rPr>
        <rFont val="Calibri"/>
        <b/>
        <color rgb="FF000000"/>
        <sz val="12.0"/>
      </rPr>
      <t xml:space="preserve">
</t>
    </r>
    <r>
      <rPr>
        <rFont val="Calibri"/>
        <color rgb="FF000000"/>
        <sz val="12.0"/>
      </rPr>
      <t>View the help topic below for more details.</t>
    </r>
  </si>
  <si>
    <t>If the user tries to move forward but the constraint expression is false, a generic "That entry is invalid" message will appear; to override this message on a field-by-field basis, enter another message into this column.
View the help topic below for more details.</t>
  </si>
  <si>
    <r>
      <rPr>
        <rFont val="Calibri"/>
        <color rgb="FF000000"/>
        <sz val="12.0"/>
      </rPr>
      <t xml:space="preserve">Any </t>
    </r>
    <r>
      <rPr>
        <rFont val="Calibri"/>
        <i/>
        <color rgb="FF000000"/>
        <sz val="12.0"/>
      </rPr>
      <t>constraint message:languagename</t>
    </r>
    <r>
      <rPr>
        <rFont val="Calibri"/>
        <color rgb="FF000000"/>
        <sz val="12.0"/>
      </rPr>
      <t xml:space="preserve"> column (e.g., </t>
    </r>
    <r>
      <rPr>
        <rFont val="Calibri"/>
        <i/>
        <color rgb="FF000000"/>
        <sz val="12.0"/>
      </rPr>
      <t>constraint message:tamil</t>
    </r>
    <r>
      <rPr>
        <rFont val="Calibri"/>
        <color rgb="FF000000"/>
        <sz val="12.0"/>
      </rPr>
      <t>) may be added in order to provide constraint messages in an alternative language.</t>
    </r>
  </si>
  <si>
    <r>
      <rPr>
        <rFont val="Calibri"/>
        <color rgb="FF000000"/>
        <sz val="12.0"/>
      </rPr>
      <t xml:space="preserve">Enter an expression into this column to control when a field or group displays to the user (i.e., to control when it is "relevant"). The field or group will only show up to users when the expression in this column evaluates to true; otherwise, it will remain hidden. Use the </t>
    </r>
    <r>
      <rPr>
        <rFont val="Calibri"/>
        <i/>
        <color rgb="FF000000"/>
        <sz val="12.0"/>
      </rPr>
      <t xml:space="preserve">relevance builder </t>
    </r>
    <r>
      <rPr>
        <rFont val="Calibri"/>
        <color rgb="FF000000"/>
        <sz val="12.0"/>
      </rPr>
      <t xml:space="preserve">to build new relevance expressions. (Also see the expression quick-reference following the examples below.) 
Example: </t>
    </r>
    <r>
      <rPr>
        <rFont val="Calibri"/>
        <b/>
        <color rgb="FF000000"/>
        <sz val="12.0"/>
      </rPr>
      <t xml:space="preserve">${age} &lt; 18
</t>
    </r>
    <r>
      <rPr>
        <rFont val="Calibri"/>
        <color rgb="FF000000"/>
        <sz val="12.0"/>
      </rPr>
      <t xml:space="preserve">
View the help topic below for more details.</t>
    </r>
  </si>
  <si>
    <r>
      <rPr>
        <rFont val="Calibri"/>
        <color rgb="FF000000"/>
        <sz val="12.0"/>
      </rPr>
      <t xml:space="preserve">Enter </t>
    </r>
    <r>
      <rPr>
        <rFont val="Calibri"/>
        <b/>
        <color rgb="FF000000"/>
        <sz val="12.0"/>
      </rPr>
      <t>yes</t>
    </r>
    <r>
      <rPr>
        <rFont val="Calibri"/>
        <color rgb="FF000000"/>
        <sz val="12.0"/>
      </rPr>
      <t xml:space="preserve"> into this column to temporarily disable a field. (Rarely used.)
View the help topic below for more details.</t>
    </r>
  </si>
  <si>
    <r>
      <rPr>
        <rFont val="Calibri"/>
        <color rgb="FF000000"/>
        <sz val="12.0"/>
      </rPr>
      <t xml:space="preserve">Enter </t>
    </r>
    <r>
      <rPr>
        <rFont val="Calibri"/>
        <b/>
        <color rgb="FF000000"/>
        <sz val="12.0"/>
      </rPr>
      <t>yes</t>
    </r>
    <r>
      <rPr>
        <rFont val="Calibri"/>
        <color rgb="FF000000"/>
        <sz val="12.0"/>
      </rPr>
      <t xml:space="preserve"> into this column to require that users enter or select a value before continuing.
View the help topic below for more details.</t>
    </r>
  </si>
  <si>
    <t>text audit</t>
  </si>
  <si>
    <t>If the user tries to move forward without entering or selecting a value for a required field, a generic "Sorry, this response is required" message will appear; to override this message on a field-by-field basis, enter another message into this column.
View the help topic below for more details.</t>
  </si>
  <si>
    <t>text_audit</t>
  </si>
  <si>
    <r>
      <rPr>
        <rFont val="Calibri"/>
        <color rgb="FF000000"/>
        <sz val="12.0"/>
      </rPr>
      <t xml:space="preserve">Any </t>
    </r>
    <r>
      <rPr>
        <rFont val="Calibri"/>
        <i/>
        <color rgb="FF000000"/>
        <sz val="12.0"/>
      </rPr>
      <t>required message:languagename</t>
    </r>
    <r>
      <rPr>
        <rFont val="Calibri"/>
        <color rgb="FF000000"/>
        <sz val="12.0"/>
      </rPr>
      <t xml:space="preserve"> column (e.g., </t>
    </r>
    <r>
      <rPr>
        <rFont val="Calibri"/>
        <i/>
        <color rgb="FF000000"/>
        <sz val="12.0"/>
      </rPr>
      <t>required message:tamil</t>
    </r>
    <r>
      <rPr>
        <rFont val="Calibri"/>
        <color rgb="FF000000"/>
        <sz val="12.0"/>
      </rPr>
      <t>) may be added in order to provide required messages in an alternative language.</t>
    </r>
  </si>
  <si>
    <t>Question Durations</t>
  </si>
  <si>
    <r>
      <rPr>
        <rFont val="Calibri"/>
        <color rgb="FF000000"/>
        <sz val="12.0"/>
      </rPr>
      <t xml:space="preserve">Enter </t>
    </r>
    <r>
      <rPr>
        <rFont val="Calibri"/>
        <b/>
        <color rgb="FF000000"/>
        <sz val="12.0"/>
      </rPr>
      <t>yes</t>
    </r>
    <r>
      <rPr>
        <rFont val="Calibri"/>
        <color rgb="FF000000"/>
        <sz val="12.0"/>
      </rPr>
      <t xml:space="preserve"> into this column to make it read-only (a user can see the field, but cannot enter or select a value). (Rarely used, because </t>
    </r>
    <r>
      <rPr>
        <rFont val="Calibri"/>
        <i/>
        <color rgb="FF000000"/>
        <sz val="12.0"/>
      </rPr>
      <t>note</t>
    </r>
    <r>
      <rPr>
        <rFont val="Calibri"/>
        <color rgb="FF000000"/>
        <sz val="12.0"/>
      </rPr>
      <t xml:space="preserve"> fields, which are by nature read-only, are automatically read-only regardless of what is specified here.)</t>
    </r>
  </si>
  <si>
    <r>
      <rPr>
        <rFont val="Calibri"/>
        <color rgb="FF000000"/>
        <sz val="12.0"/>
      </rPr>
      <t xml:space="preserve">This column specifies the expression to use for a </t>
    </r>
    <r>
      <rPr>
        <rFont val="Calibri"/>
        <i/>
        <color rgb="FF000000"/>
        <sz val="12.0"/>
      </rPr>
      <t>calculate</t>
    </r>
    <r>
      <rPr>
        <rFont val="Calibri"/>
        <color rgb="FF000000"/>
        <sz val="12.0"/>
      </rPr>
      <t xml:space="preserve"> field, or the expression to use for calculating the default entry or selection for a visible form field. Use the </t>
    </r>
    <r>
      <rPr>
        <rFont val="Calibri"/>
        <i/>
        <color rgb="FF000000"/>
        <sz val="12.0"/>
      </rPr>
      <t xml:space="preserve">calculation builder </t>
    </r>
    <r>
      <rPr>
        <rFont val="Calibri"/>
        <color rgb="FF000000"/>
        <sz val="12.0"/>
      </rPr>
      <t>to build new calculation expressions. (Also see the expression quick-reference following the examples below.)
View the help topic below for more details.</t>
    </r>
  </si>
  <si>
    <t>aa</t>
  </si>
  <si>
    <r>
      <rPr>
        <rFont val="Calibri"/>
        <color rgb="FF000000"/>
        <sz val="12.0"/>
      </rPr>
      <t xml:space="preserve">For a </t>
    </r>
    <r>
      <rPr>
        <rFont val="Calibri"/>
        <i/>
        <color rgb="FF000000"/>
        <sz val="12.0"/>
      </rPr>
      <t>begin repeat</t>
    </r>
    <r>
      <rPr>
        <rFont val="Calibri"/>
        <color rgb="FF000000"/>
        <sz val="12.0"/>
      </rPr>
      <t xml:space="preserve"> row, this column can specify the number of times to repeat the group of questions. (Can be a fixed count like </t>
    </r>
    <r>
      <rPr>
        <rFont val="Calibri"/>
        <b/>
        <color rgb="FF000000"/>
        <sz val="12.0"/>
      </rPr>
      <t>3</t>
    </r>
    <r>
      <rPr>
        <rFont val="Calibri"/>
        <color rgb="FF000000"/>
        <sz val="12.0"/>
      </rPr>
      <t xml:space="preserve"> or a reference to an earlier field like </t>
    </r>
    <r>
      <rPr>
        <rFont val="Calibri"/>
        <b/>
        <color rgb="FF000000"/>
        <sz val="12.0"/>
      </rPr>
      <t>${numhh_members}</t>
    </r>
    <r>
      <rPr>
        <rFont val="Calibri"/>
        <color rgb="FF000000"/>
        <sz val="12.0"/>
      </rPr>
      <t>.)
View the help topic below for more details.</t>
    </r>
  </si>
  <si>
    <r>
      <rPr>
        <rFont val="Calibri"/>
        <color rgb="FF000000"/>
        <sz val="12.0"/>
      </rPr>
      <t xml:space="preserve">To include an image to display for a field (in addition to or in lieu of its label), its filename should be specified here (and the file should be uploaded with this form defintion). Which media file formats are supported will depend on your Android device, but all devices support common image formats like .jpg or .png. 
Example: </t>
    </r>
    <r>
      <rPr>
        <rFont val="Calibri"/>
        <b/>
        <color rgb="FF000000"/>
        <sz val="12.0"/>
      </rPr>
      <t>paddy.png</t>
    </r>
    <r>
      <rPr>
        <rFont val="Calibri"/>
        <color rgb="FF000000"/>
        <sz val="12.0"/>
      </rPr>
      <t xml:space="preserve">
View the help topic below for more details.</t>
    </r>
  </si>
  <si>
    <r>
      <rPr>
        <rFont val="Calibri"/>
        <color rgb="FF000000"/>
        <sz val="12.0"/>
      </rPr>
      <t xml:space="preserve">To include a sound clip that can be played at a field, its filename should be specified here (and the file should be uploaded with this form defintion). Which media file formats are supported will depend on your Android device. 
Example: </t>
    </r>
    <r>
      <rPr>
        <rFont val="Calibri"/>
        <b/>
        <color rgb="FF000000"/>
        <sz val="12.0"/>
      </rPr>
      <t xml:space="preserve">explanation.3gpp
</t>
    </r>
    <r>
      <rPr>
        <rFont val="Calibri"/>
        <color rgb="FF000000"/>
        <sz val="12.0"/>
      </rPr>
      <t xml:space="preserve">
View the help topic below for more details.</t>
    </r>
  </si>
  <si>
    <r>
      <rPr>
        <rFont val="Calibri"/>
        <color rgb="FF000000"/>
        <sz val="12.0"/>
      </rPr>
      <t xml:space="preserve">To include a video clip that can be played at a field, its filename should be specified here (and the file should be uploaded with this form defintion). Which media file formats are supported will depend on your Android device. 
Example: </t>
    </r>
    <r>
      <rPr>
        <rFont val="Calibri"/>
        <b/>
        <color rgb="FF000000"/>
        <sz val="12.0"/>
      </rPr>
      <t xml:space="preserve">demonstration.mp4
</t>
    </r>
    <r>
      <rPr>
        <rFont val="Calibri"/>
        <color rgb="FF000000"/>
        <sz val="12.0"/>
      </rPr>
      <t xml:space="preserve">
View the help topic below for more details.</t>
    </r>
  </si>
  <si>
    <r>
      <rPr>
        <rFont val="Calibri"/>
        <color rgb="FF000000"/>
        <sz val="12.0"/>
      </rPr>
      <t xml:space="preserve">Any </t>
    </r>
    <r>
      <rPr>
        <rFont val="Calibri"/>
        <i/>
        <color rgb="FF000000"/>
        <sz val="12.0"/>
      </rPr>
      <t>media:image:languagename</t>
    </r>
    <r>
      <rPr>
        <rFont val="Calibri"/>
        <color rgb="FF000000"/>
        <sz val="12.0"/>
      </rPr>
      <t xml:space="preserve"> column (e.g., </t>
    </r>
    <r>
      <rPr>
        <rFont val="Calibri"/>
        <i/>
        <color rgb="FF000000"/>
        <sz val="12.0"/>
      </rPr>
      <t>media:image:tamil</t>
    </r>
    <r>
      <rPr>
        <rFont val="Calibri"/>
        <color rgb="FF000000"/>
        <sz val="12.0"/>
      </rPr>
      <t>) may be added in order to provide images for an alternative language.
View the help topic below for more details.</t>
    </r>
  </si>
  <si>
    <r>
      <rPr>
        <rFont val="Calibri"/>
        <color rgb="FF000000"/>
        <sz val="12.0"/>
      </rPr>
      <t xml:space="preserve">Any </t>
    </r>
    <r>
      <rPr>
        <rFont val="Calibri"/>
        <i/>
        <color rgb="FF000000"/>
        <sz val="12.0"/>
      </rPr>
      <t>media:audio:languagename</t>
    </r>
    <r>
      <rPr>
        <rFont val="Calibri"/>
        <color rgb="FF000000"/>
        <sz val="12.0"/>
      </rPr>
      <t xml:space="preserve"> column (e.g., </t>
    </r>
    <r>
      <rPr>
        <rFont val="Calibri"/>
        <i/>
        <color rgb="FF000000"/>
        <sz val="12.0"/>
      </rPr>
      <t>media:audio:tamil</t>
    </r>
    <r>
      <rPr>
        <rFont val="Calibri"/>
        <color rgb="FF000000"/>
        <sz val="12.0"/>
      </rPr>
      <t>) may be added in order to provide audio clips for an alternative language.
View the help topic below for more details.</t>
    </r>
  </si>
  <si>
    <r>
      <rPr>
        <rFont val="Calibri"/>
        <color rgb="FF000000"/>
        <sz val="12.0"/>
      </rPr>
      <t xml:space="preserve">Any </t>
    </r>
    <r>
      <rPr>
        <rFont val="Calibri"/>
        <i/>
        <color rgb="FF000000"/>
        <sz val="12.0"/>
      </rPr>
      <t>media:video:languagename</t>
    </r>
    <r>
      <rPr>
        <rFont val="Calibri"/>
        <color rgb="FF000000"/>
        <sz val="12.0"/>
      </rPr>
      <t xml:space="preserve"> column (e.g., </t>
    </r>
    <r>
      <rPr>
        <rFont val="Calibri"/>
        <i/>
        <color rgb="FF000000"/>
        <sz val="12.0"/>
      </rPr>
      <t>media:video:tamil</t>
    </r>
    <r>
      <rPr>
        <rFont val="Calibri"/>
        <color rgb="FF000000"/>
        <sz val="12.0"/>
      </rPr>
      <t>) may be added in order to provide video clips for an alternative language.
View the help topic below for more details.</t>
    </r>
  </si>
  <si>
    <r>
      <rPr>
        <rFont val="Calibri"/>
        <color rgb="FF000000"/>
        <sz val="12.0"/>
      </rPr>
      <t xml:space="preserve">When filtering lists of multiple-choice options, this column specifies, for each field, which prior field should be used when filtering the list of options. 
Example: </t>
    </r>
    <r>
      <rPr>
        <rFont val="Calibri"/>
        <b/>
        <color rgb="FF000000"/>
        <sz val="12.0"/>
      </rPr>
      <t>filter=${survey_region}</t>
    </r>
    <r>
      <rPr>
        <rFont val="Calibri"/>
        <color rgb="FF000000"/>
        <sz val="12.0"/>
      </rPr>
      <t xml:space="preserve">
View the help topic below for more details.</t>
    </r>
  </si>
  <si>
    <t>This column can specify an optional note to appear with the field in printable versions of the survey form, in order to explain when groups or fields will appear (i.e., when they are relevant), what restrictions there are on user entries (i.e., what constraints apply), etc.</t>
  </si>
  <si>
    <t>Don't know</t>
  </si>
  <si>
    <r>
      <rPr>
        <rFont val="Calibri"/>
        <color rgb="FF000000"/>
        <sz val="12.0"/>
      </rPr>
      <t xml:space="preserve">This column can specify optional text or symbols to appear in the response area to the right of questions in printable versions of the survey form. For a text field, for example, you might put something like </t>
    </r>
    <r>
      <rPr>
        <rFont val="Calibri"/>
        <b/>
        <color rgb="FF000000"/>
        <sz val="12.0"/>
      </rPr>
      <t>|___|___|</t>
    </r>
    <r>
      <rPr>
        <rFont val="Calibri"/>
        <color rgb="FF000000"/>
        <sz val="12.0"/>
      </rPr>
      <t xml:space="preserve"> if you are looking for two letters or numbers; or, for a checkbox, you might put a hollow square like </t>
    </r>
    <r>
      <rPr>
        <rFont val="Calibri"/>
        <b/>
        <color rgb="FF000000"/>
        <sz val="12.0"/>
      </rPr>
      <t>□</t>
    </r>
    <r>
      <rPr>
        <rFont val="Calibri"/>
        <color rgb="FF000000"/>
        <sz val="12.0"/>
      </rPr>
      <t xml:space="preserve"> (this is a special HTML character: enter "</t>
    </r>
    <r>
      <rPr>
        <rFont val="Calibri"/>
        <b/>
        <color rgb="FF000000"/>
        <sz val="12.0"/>
      </rPr>
      <t>&amp;#9633;</t>
    </r>
    <r>
      <rPr>
        <rFont val="Calibri"/>
        <color rgb="FF000000"/>
        <sz val="12.0"/>
      </rPr>
      <t xml:space="preserve">", without quotes, into this column); finally, for a radio button, you might simply enter a capital </t>
    </r>
    <r>
      <rPr>
        <rFont val="Calibri"/>
        <b/>
        <color rgb="FF000000"/>
        <sz val="12.0"/>
      </rPr>
      <t>O</t>
    </r>
    <r>
      <rPr>
        <rFont val="Calibri"/>
        <color rgb="FF000000"/>
        <sz val="12.0"/>
      </rPr>
      <t>.</t>
    </r>
  </si>
  <si>
    <t>Je ne sais pas</t>
  </si>
  <si>
    <t>Ban sani ba</t>
  </si>
  <si>
    <r>
      <rPr>
        <rFont val="Calibri"/>
        <color rgb="FF000000"/>
        <sz val="12.0"/>
      </rPr>
      <t xml:space="preserve">Enter </t>
    </r>
    <r>
      <rPr>
        <rFont val="Calibri"/>
        <b/>
        <color rgb="FF000000"/>
        <sz val="12.0"/>
      </rPr>
      <t>yes</t>
    </r>
    <r>
      <rPr>
        <rFont val="Calibri"/>
        <color rgb="FF000000"/>
        <sz val="12.0"/>
      </rPr>
      <t xml:space="preserve"> into this column to indicate that a field in an encrypted form should be left unencrypted so that it can be published to one or more datasets. Use only for non-sensitive fields that can be left unencrypted without compromising data security. (This field is ignored for unencrypted forms.)
View the help topic below for more details.</t>
    </r>
  </si>
  <si>
    <r>
      <rPr>
        <rFont val="Calibri"/>
        <color rgb="FF000000"/>
        <sz val="12.0"/>
      </rPr>
      <t xml:space="preserve">Enter a number of seconds that represents the minimum time enumerators should spend the first time they view the field. This represents a "speed limit" that can be enforced by SurveyCTO Collect for Android (with the </t>
    </r>
    <r>
      <rPr>
        <rFont val="Calibri"/>
        <i/>
        <color rgb="FF000000"/>
        <sz val="12.0"/>
      </rPr>
      <t>Enforce minimum times for fields</t>
    </r>
    <r>
      <rPr>
        <rFont val="Calibri"/>
        <color rgb="FF000000"/>
        <sz val="12.0"/>
      </rPr>
      <t xml:space="preserve"> option within Collect's </t>
    </r>
    <r>
      <rPr>
        <rFont val="Calibri"/>
        <i/>
        <color rgb="FF000000"/>
        <sz val="12.0"/>
      </rPr>
      <t>Admin Settings</t>
    </r>
    <r>
      <rPr>
        <rFont val="Calibri"/>
        <color rgb="FF000000"/>
        <sz val="12.0"/>
      </rPr>
      <t xml:space="preserve">); alternatively, you can track violations with the following field types: "speed violations count", "speed violations list", and "speed violations audit" (see examples for these field types below).
View the help topic below for more details. </t>
    </r>
  </si>
  <si>
    <t>intronote</t>
  </si>
  <si>
    <t>1. Endline Survey</t>
  </si>
  <si>
    <t xml:space="preserve">1. </t>
  </si>
  <si>
    <t>intro</t>
  </si>
  <si>
    <t>Help topic: Form languages</t>
  </si>
  <si>
    <t>Help topic: Pre-loading data into a form</t>
  </si>
  <si>
    <t>team</t>
  </si>
  <si>
    <t>team_id</t>
  </si>
  <si>
    <t>team_leader</t>
  </si>
  <si>
    <t>Help topic: Using constraints to validate responses</t>
  </si>
  <si>
    <t>begin group</t>
  </si>
  <si>
    <t>enum_questions</t>
  </si>
  <si>
    <t>Enumerator Questions</t>
  </si>
  <si>
    <t>calculate_here</t>
  </si>
  <si>
    <t>speedcheck_intro_start</t>
  </si>
  <si>
    <t>enum</t>
  </si>
  <si>
    <t>enum_id</t>
  </si>
  <si>
    <t>enum_name</t>
  </si>
  <si>
    <t>once(duration())</t>
  </si>
  <si>
    <t>select_one team</t>
  </si>
  <si>
    <t>2. Who is your team leader?</t>
  </si>
  <si>
    <t>2. Qui est votre chef d'équipe?</t>
  </si>
  <si>
    <t>2. Wanene shugaban tahiyar ku ?</t>
  </si>
  <si>
    <t>search('teams_el')</t>
  </si>
  <si>
    <t>yes</t>
  </si>
  <si>
    <t>Help topic: Implementing skip patterns with "relevance"</t>
  </si>
  <si>
    <t>select_one enum</t>
  </si>
  <si>
    <t>enumerator</t>
  </si>
  <si>
    <t>commune</t>
  </si>
  <si>
    <t>3. What is your name?</t>
  </si>
  <si>
    <t>3. Quel est votre nom?</t>
  </si>
  <si>
    <t>commune_id</t>
  </si>
  <si>
    <t>3. Menene sunanka?</t>
  </si>
  <si>
    <t>commune_name</t>
  </si>
  <si>
    <t>Help topic: Other field properties</t>
  </si>
  <si>
    <t>search('teams_el', 'matches', 'team_id', ${team_leader})</t>
  </si>
  <si>
    <t>Help topic: Field type: calculate</t>
  </si>
  <si>
    <t>enumerator_name</t>
  </si>
  <si>
    <t>CALC: Pull enumerator name</t>
  </si>
  <si>
    <t>The choices worksheet</t>
  </si>
  <si>
    <t>pulldata('teams_el', 'enum_name', 'enum_id', ${enumerator})</t>
  </si>
  <si>
    <t>Help topic: Grouping and repeating questions</t>
  </si>
  <si>
    <t>Help topic: Images: Adding pictures and other graphics</t>
  </si>
  <si>
    <t>locality</t>
  </si>
  <si>
    <t>vn</t>
  </si>
  <si>
    <t>locality_name</t>
  </si>
  <si>
    <t>enumerator_partner</t>
  </si>
  <si>
    <t>4. What is your partner's name?</t>
  </si>
  <si>
    <t>4. Quel est le nom de votre binôme?</t>
  </si>
  <si>
    <t>4. Menene sunan abokin aikinka</t>
  </si>
  <si>
    <t>Help topic: Dynamically filtering lists of multiple-choice options</t>
  </si>
  <si>
    <r>
      <rPr>
        <rFont val="Calibri"/>
        <color rgb="FF000000"/>
        <sz val="12.0"/>
      </rPr>
      <t xml:space="preserve">This worksheet is for the configuration of multiple-choice response options. These are stored in choice lists which are used with </t>
    </r>
    <r>
      <rPr>
        <rFont val="Calibri"/>
        <i/>
        <color rgb="FF000000"/>
        <sz val="12.0"/>
      </rPr>
      <t>select_one</t>
    </r>
    <r>
      <rPr>
        <rFont val="Calibri"/>
        <color rgb="FF000000"/>
        <sz val="12.0"/>
      </rPr>
      <t xml:space="preserve"> and </t>
    </r>
    <r>
      <rPr>
        <rFont val="Calibri"/>
        <i/>
        <color rgb="FF000000"/>
        <sz val="12.0"/>
      </rPr>
      <t>select_multiple</t>
    </r>
    <r>
      <rPr>
        <rFont val="Calibri"/>
        <color rgb="FF000000"/>
        <sz val="12.0"/>
      </rPr>
      <t xml:space="preserve"> type fields.</t>
    </r>
  </si>
  <si>
    <t>enumerator_partner_name</t>
  </si>
  <si>
    <t>Help topic: Downloading printable copies of your forms</t>
  </si>
  <si>
    <t>pulldata('teams_el', 'enum_name', 'enum_id', ${enumerator_partner})</t>
  </si>
  <si>
    <t>Read about the select_one field type for more information</t>
  </si>
  <si>
    <t>Help topic: Encrypting form data (end-to-end encryption)</t>
  </si>
  <si>
    <t>respondent</t>
  </si>
  <si>
    <t>PM - ${pm_name} (age: ${pm_age})</t>
  </si>
  <si>
    <t>PM - ${pm_name}</t>
  </si>
  <si>
    <t>Help topic: Collecting high-quality data</t>
  </si>
  <si>
    <t>Read about the select_multiple field type for more information</t>
  </si>
  <si>
    <t>select_one commune</t>
  </si>
  <si>
    <t>5. What commune are you surveying in?</t>
  </si>
  <si>
    <t>5. Quelle est votre commune de travail ?</t>
  </si>
  <si>
    <t>5. Cikin wane komin kake aiki?</t>
  </si>
  <si>
    <t>search('locations')</t>
  </si>
  <si>
    <t>Read about dynamically loading choice lists from external pre-loaded data</t>
  </si>
  <si>
    <t>SHM - ${shm_name} (age: ${shm_age})</t>
  </si>
  <si>
    <t>SHM - ${shm_name}</t>
  </si>
  <si>
    <r>
      <rPr>
        <rFont val="Calibri"/>
        <color rgb="FF000000"/>
        <sz val="12.0"/>
        <u/>
      </rPr>
      <t>Examples</t>
    </r>
    <r>
      <rPr>
        <rFont val="Calibri"/>
        <color rgb="FF000000"/>
        <sz val="12.0"/>
        <u/>
      </rPr>
      <t xml:space="preserve"> (scroll right for appearance styles)</t>
    </r>
  </si>
  <si>
    <t>CALC: Pull commune name</t>
  </si>
  <si>
    <t>Woman - ${w_name} (age: ${w_age})</t>
  </si>
  <si>
    <t>pulldata('locations', 'commune_name', 'commune_id', ${commune})</t>
  </si>
  <si>
    <t>image:languagename</t>
  </si>
  <si>
    <t>pm_home_location</t>
  </si>
  <si>
    <r>
      <rPr>
        <rFont val="Calibri"/>
        <color rgb="FF000000"/>
        <sz val="12.0"/>
      </rPr>
      <t xml:space="preserve">This column specifies the name of a multiple-choice question type (without any spaces or punctuation). A given list of options will involve multiple rows, each with the same </t>
    </r>
    <r>
      <rPr>
        <rFont val="Calibri"/>
        <i/>
        <color rgb="FF000000"/>
        <sz val="12.0"/>
      </rPr>
      <t>list_name</t>
    </r>
    <r>
      <rPr>
        <rFont val="Calibri"/>
        <color rgb="FF000000"/>
        <sz val="12.0"/>
      </rPr>
      <t xml:space="preserve">. Example: </t>
    </r>
    <r>
      <rPr>
        <rFont val="Calibri"/>
        <b/>
        <color rgb="FF000000"/>
        <sz val="12.0"/>
      </rPr>
      <t>yesno</t>
    </r>
  </si>
  <si>
    <r>
      <rPr>
        <rFont val="Calibri"/>
        <color rgb="FF000000"/>
        <sz val="12.0"/>
      </rPr>
      <t xml:space="preserve">This column specifies the internal value stored for a given choice. (It should really be called "value" rather than "name".) Example: </t>
    </r>
    <r>
      <rPr>
        <rFont val="Calibri"/>
        <b/>
        <color rgb="FF000000"/>
        <sz val="12.0"/>
      </rPr>
      <t xml:space="preserve">1
</t>
    </r>
    <r>
      <rPr>
        <rFont val="Calibri"/>
        <color rgb="FF000000"/>
        <sz val="12.0"/>
      </rPr>
      <t>If dynamically loading from a pre-loaded .csv file, this should instead be the .csv column name from which to load option values.</t>
    </r>
  </si>
  <si>
    <t>None</t>
  </si>
  <si>
    <r>
      <rPr>
        <rFont val="Calibri"/>
        <color rgb="FF000000"/>
        <sz val="12.0"/>
      </rPr>
      <t xml:space="preserve">This column specifies the label to use for a given choice, in the form's default language. Example: </t>
    </r>
    <r>
      <rPr>
        <rFont val="Calibri"/>
        <b/>
        <color rgb="FF000000"/>
        <sz val="12.0"/>
      </rPr>
      <t xml:space="preserve">Yes
</t>
    </r>
    <r>
      <rPr>
        <rFont val="Calibri"/>
        <color rgb="FF000000"/>
        <sz val="12.0"/>
      </rPr>
      <t>If dynamically loading from a pre-loaded .csv file, this should instead be the .csv column name -- or comma-separated list of column names -- from which to load option labels for the default language.</t>
    </r>
  </si>
  <si>
    <t>Aucun</t>
  </si>
  <si>
    <r>
      <rPr>
        <rFont val="Calibri"/>
        <color rgb="FF000000"/>
        <sz val="12.0"/>
      </rPr>
      <t xml:space="preserve">Any </t>
    </r>
    <r>
      <rPr>
        <rFont val="Calibri"/>
        <i/>
        <color rgb="FF000000"/>
        <sz val="12.0"/>
      </rPr>
      <t>label:languagename</t>
    </r>
    <r>
      <rPr>
        <rFont val="Calibri"/>
        <color rgb="FF000000"/>
        <sz val="12.0"/>
      </rPr>
      <t xml:space="preserve"> column (e.g., </t>
    </r>
    <r>
      <rPr>
        <rFont val="Calibri"/>
        <i/>
        <color rgb="FF000000"/>
        <sz val="12.0"/>
      </rPr>
      <t>label:tamil</t>
    </r>
    <r>
      <rPr>
        <rFont val="Calibri"/>
        <color rgb="FF000000"/>
        <sz val="12.0"/>
      </rPr>
      <t>) may be added in order to provide labels in an alternative language.
View the help topic below for more details.</t>
    </r>
  </si>
  <si>
    <t>Babu</t>
  </si>
  <si>
    <r>
      <rPr>
        <rFont val="Calibri"/>
        <color rgb="FF000000"/>
        <sz val="12.0"/>
      </rPr>
      <t xml:space="preserve">To include an image to display for an option, its filename should be specified here (and the file should be uploaded with this form defintion). Which media file formats are supported will depend on your Android device, but all devices support common image formats like .jpg or .png. Example: </t>
    </r>
    <r>
      <rPr>
        <rFont val="Calibri"/>
        <b/>
        <color rgb="FF000000"/>
        <sz val="12.0"/>
      </rPr>
      <t xml:space="preserve">paddy.png
</t>
    </r>
    <r>
      <rPr>
        <rFont val="Calibri"/>
        <color rgb="FF000000"/>
        <sz val="12.0"/>
      </rPr>
      <t>If dynamically loading from a pre-loaded .csv file, this should instead be the .csv column name from which to load image filenames.
View the help topic below for more details.</t>
    </r>
  </si>
  <si>
    <r>
      <rPr>
        <rFont val="Calibri"/>
        <color rgb="FF000000"/>
        <sz val="12.0"/>
      </rPr>
      <t xml:space="preserve">Any </t>
    </r>
    <r>
      <rPr>
        <rFont val="Calibri"/>
        <i/>
        <color rgb="FF000000"/>
        <sz val="12.0"/>
      </rPr>
      <t>label:languagename</t>
    </r>
    <r>
      <rPr>
        <rFont val="Calibri"/>
        <color rgb="FF000000"/>
        <sz val="12.0"/>
      </rPr>
      <t xml:space="preserve"> column (e.g., </t>
    </r>
    <r>
      <rPr>
        <rFont val="Calibri"/>
        <i/>
        <color rgb="FF000000"/>
        <sz val="12.0"/>
      </rPr>
      <t>label:tamil</t>
    </r>
    <r>
      <rPr>
        <rFont val="Calibri"/>
        <color rgb="FF000000"/>
        <sz val="12.0"/>
      </rPr>
      <t>) may be added in order to provide images in an alternative language.</t>
    </r>
  </si>
  <si>
    <t>${commune_name}</t>
  </si>
  <si>
    <r>
      <rPr>
        <rFont val="Calibri"/>
        <color rgb="FF000000"/>
        <sz val="12.0"/>
      </rPr>
      <t xml:space="preserve">To filter the list of options displayed, a filter value can be specified here, along with a filter expression in the </t>
    </r>
    <r>
      <rPr>
        <rFont val="Calibri"/>
        <i/>
        <color rgb="FF000000"/>
        <sz val="12.0"/>
      </rPr>
      <t>choice_filter</t>
    </r>
    <r>
      <rPr>
        <rFont val="Calibri"/>
        <color rgb="FF000000"/>
        <sz val="12.0"/>
      </rPr>
      <t xml:space="preserve"> column of the </t>
    </r>
    <r>
      <rPr>
        <rFont val="Calibri"/>
        <i/>
        <color rgb="FF000000"/>
        <sz val="12.0"/>
      </rPr>
      <t>survey</t>
    </r>
    <r>
      <rPr>
        <rFont val="Calibri"/>
        <color rgb="FF000000"/>
        <sz val="12.0"/>
      </rPr>
      <t xml:space="preserve"> worksheet. For example, you might have </t>
    </r>
    <r>
      <rPr>
        <rFont val="Calibri"/>
        <i/>
        <color rgb="FF000000"/>
        <sz val="12.0"/>
      </rPr>
      <t>filter</t>
    </r>
    <r>
      <rPr>
        <rFont val="Calibri"/>
        <color rgb="FF000000"/>
        <sz val="12.0"/>
      </rPr>
      <t xml:space="preserve"> values like </t>
    </r>
    <r>
      <rPr>
        <rFont val="Calibri"/>
        <b/>
        <color rgb="FF000000"/>
        <sz val="12.0"/>
      </rPr>
      <t>LAC</t>
    </r>
    <r>
      <rPr>
        <rFont val="Calibri"/>
        <color rgb="FF000000"/>
        <sz val="12.0"/>
      </rPr>
      <t xml:space="preserve"> and a </t>
    </r>
    <r>
      <rPr>
        <rFont val="Calibri"/>
        <i/>
        <color rgb="FF000000"/>
        <sz val="12.0"/>
      </rPr>
      <t>choice_filter</t>
    </r>
    <r>
      <rPr>
        <rFont val="Calibri"/>
        <color rgb="FF000000"/>
        <sz val="12.0"/>
      </rPr>
      <t xml:space="preserve"> like </t>
    </r>
    <r>
      <rPr>
        <rFont val="Calibri"/>
        <b/>
        <color rgb="FF000000"/>
        <sz val="12.0"/>
      </rPr>
      <t>filter=${survey_region}</t>
    </r>
    <r>
      <rPr>
        <rFont val="Calibri"/>
        <color rgb="FF000000"/>
        <sz val="12.0"/>
      </rPr>
      <t xml:space="preserve">. For more details, see the following help topic: </t>
    </r>
    <r>
      <rPr>
        <rFont val="Calibri"/>
        <i/>
        <color rgb="FF000000"/>
        <sz val="12.0"/>
      </rPr>
      <t>How can I filter the list of multiple-choice options presented to users?</t>
    </r>
  </si>
  <si>
    <t>fieldname</t>
  </si>
  <si>
    <t>pulldata('locations', 'commune_id', 'commune_name', ${commune_name})</t>
  </si>
  <si>
    <t>Enumerator selection field (require a special code in order to reveal the full enumerator list):</t>
  </si>
  <si>
    <t>resp</t>
  </si>
  <si>
    <t>${shm_name} (age: ${shm_age})</t>
  </si>
  <si>
    <t>other-user-code(xyz)</t>
  </si>
  <si>
    <t>select_one locality</t>
  </si>
  <si>
    <t>6. What village/neighborhood are you surveying in?</t>
  </si>
  <si>
    <t>6. Dans quelle ville/village faites-vous votre enquête ?</t>
  </si>
  <si>
    <t>6. Cikin wane gari kake binciken?</t>
  </si>
  <si>
    <t>search('locations', 'matches', 'commune_id', ${commune})</t>
  </si>
  <si>
    <t>${w_name} (age: ${w_age})</t>
  </si>
  <si>
    <t>CALC: Pull locality name</t>
  </si>
  <si>
    <t>Enumerator selection field (require a special code in order to enter a new enumerator):</t>
  </si>
  <si>
    <t>add-new-code(xyz)</t>
  </si>
  <si>
    <t>pulldata('locations', 'locality_name', 'vn', ${locality})</t>
  </si>
  <si>
    <t>id</t>
  </si>
  <si>
    <t>id_key</t>
  </si>
  <si>
    <t>hh_id</t>
  </si>
  <si>
    <t>village_id</t>
  </si>
  <si>
    <t>pulldata('locations', 'village_id', 'vn', ${locality})</t>
  </si>
  <si>
    <t>sex</t>
  </si>
  <si>
    <t>id_startswith</t>
  </si>
  <si>
    <t>Enumerator selection field:</t>
  </si>
  <si>
    <t>Male</t>
  </si>
  <si>
    <t>Homme</t>
  </si>
  <si>
    <t>Namiji</t>
  </si>
  <si>
    <t>concat(${commune_id}, '-', ${village_id})</t>
  </si>
  <si>
    <t>default-to-entry</t>
  </si>
  <si>
    <t>end group</t>
  </si>
  <si>
    <t>Female</t>
  </si>
  <si>
    <t>Femme</t>
  </si>
  <si>
    <t>Mace</t>
  </si>
  <si>
    <t>default-to-scan</t>
  </si>
  <si>
    <t>relation</t>
  </si>
  <si>
    <t>Household head</t>
  </si>
  <si>
    <t>Chef de menage</t>
  </si>
  <si>
    <t>Mai gida</t>
  </si>
  <si>
    <t>text</t>
  </si>
  <si>
    <t>Standard text field:</t>
  </si>
  <si>
    <t>period_bl</t>
  </si>
  <si>
    <t>Spouse</t>
  </si>
  <si>
    <t>Conjoint</t>
  </si>
  <si>
    <t>Uwar gida/ Mata</t>
  </si>
  <si>
    <t>"From baseline (April 2023) to endline (June 2025)"</t>
  </si>
  <si>
    <t>Text field which uses the numeric keypad:</t>
  </si>
  <si>
    <t>Son/daughter</t>
  </si>
  <si>
    <t>Fils/fille</t>
  </si>
  <si>
    <t>Ɗa/ɗiya</t>
  </si>
  <si>
    <t>period_french_bl</t>
  </si>
  <si>
    <t>numbers</t>
  </si>
  <si>
    <t>"Du debut des vents de l'ouest d'il y a 2 ans (avril 2023) au début de la saison des pluies de cette année (juin 2025)"</t>
  </si>
  <si>
    <t>Father/mother</t>
  </si>
  <si>
    <t>Père/mère</t>
  </si>
  <si>
    <t>Uwa/uba</t>
  </si>
  <si>
    <t>integer</t>
  </si>
  <si>
    <t>period_hausa_bl</t>
  </si>
  <si>
    <t>"Tun daga binciken fari na bara a ƙarshen damana zuwa yanzu."</t>
  </si>
  <si>
    <t>Standard integer field:</t>
  </si>
  <si>
    <t>Brother/sister</t>
  </si>
  <si>
    <t>Frère/sœur</t>
  </si>
  <si>
    <t>Wa/ƙane/Ya/ƙanwa</t>
  </si>
  <si>
    <t>period_bl_fu5</t>
  </si>
  <si>
    <t>"From baseline (April 2023) to follow up 5 (December 2024)"</t>
  </si>
  <si>
    <t>Nephew/niece</t>
  </si>
  <si>
    <t>Neveu/nièce</t>
  </si>
  <si>
    <t>Ɗan ƙane ko wa/Ɗiyar ƙane ko wa</t>
  </si>
  <si>
    <t>decimal</t>
  </si>
  <si>
    <t>period_french_bl_fu5</t>
  </si>
  <si>
    <t>Standard decimal field:</t>
  </si>
  <si>
    <t>Grand-parent</t>
  </si>
  <si>
    <t>Kaka</t>
  </si>
  <si>
    <t>"Du debut des vents de l'ouest d'il y a 2 ans (avril 2023) à la période de froid de l'année dernière (décembre 2024)"</t>
  </si>
  <si>
    <t>Father/mother-in-law</t>
  </si>
  <si>
    <t>period_hausa_bl_fu5</t>
  </si>
  <si>
    <t>Beau-père/ belle-mère</t>
  </si>
  <si>
    <t>Siriki/sarakuwa</t>
  </si>
  <si>
    <t>select_one listname</t>
  </si>
  <si>
    <t>Standard multiple-choice field (allows one selection, shown as series of radio buttons):</t>
  </si>
  <si>
    <t>"Tun daga bazara na shekaru biyu wuce (Afrilu 2023) zuwa lokacin ɗari na bara (Disamba 2024)"</t>
  </si>
  <si>
    <t>Brother in law/Sister in law</t>
  </si>
  <si>
    <t>Beau-frère/belle-sœur</t>
  </si>
  <si>
    <t>period</t>
  </si>
  <si>
    <t>ƙane ko wan mata/ƙanwa ko yar mata</t>
  </si>
  <si>
    <t>Multiple-choice field (allows one selection, shown horizontally along likert-type scale):</t>
  </si>
  <si>
    <t>"From follow up 5 (December 2024) to endline (June 2025)"</t>
  </si>
  <si>
    <t>likert</t>
  </si>
  <si>
    <t>Son/daughter-in-law</t>
  </si>
  <si>
    <t>Beau fils / belle-fille</t>
  </si>
  <si>
    <t>Mijin ɗiya/matar ɗa</t>
  </si>
  <si>
    <t>period_french</t>
  </si>
  <si>
    <t>"De la période de froid (décembre 2024) au début de la saison des pluies de cette année (juin 2025)"</t>
  </si>
  <si>
    <t>Grandchildren</t>
  </si>
  <si>
    <t>Petits-enfants</t>
  </si>
  <si>
    <t>Jikoki</t>
  </si>
  <si>
    <t>Multiple-choice field (allows one selection, shown horizontally along likert-type scale, labels only at ends of the scale):</t>
  </si>
  <si>
    <t>likert-min</t>
  </si>
  <si>
    <t>period_hausa</t>
  </si>
  <si>
    <t>Cousin</t>
  </si>
  <si>
    <t>Cousin/Cousine</t>
  </si>
  <si>
    <t>Dan/ Wa/Kanen uba</t>
  </si>
  <si>
    <t>"Tun daga lokacin ɗari na bara (Disamba 2024) zuwa shigowar damana na bana (Yuni 2025)"</t>
  </si>
  <si>
    <t>The settings worksheet</t>
  </si>
  <si>
    <t>Multiple-choice field (allows one selection, shown horizontally along likert-type scale, labels only at ends and middle of scale):</t>
  </si>
  <si>
    <t>Co-spouse</t>
  </si>
  <si>
    <t>Co-épouse</t>
  </si>
  <si>
    <t>Kishiya</t>
  </si>
  <si>
    <t>likert-mid</t>
  </si>
  <si>
    <t>pm_missed_period</t>
  </si>
  <si>
    <t>"From follow up 4 (September 2024) to follow up 5 (December 2024)"</t>
  </si>
  <si>
    <t>No family relation</t>
  </si>
  <si>
    <t>Multiple-choice field (allows one selection, auto-advances to next question as soon as an option is selected):</t>
  </si>
  <si>
    <t>Aucun lien de parenté</t>
  </si>
  <si>
    <t>Babu dangantaka</t>
  </si>
  <si>
    <t>quick</t>
  </si>
  <si>
    <t>pm_missed_period_french</t>
  </si>
  <si>
    <t>This worksheet contains overall settings for your form, all specified in the second row of the worksheet. When you download a form template from your SurveyCTO server, these settings will be pre-filled for you.</t>
  </si>
  <si>
    <t>"De la fin de la saison des pluies (septembre 2024) à la période de froid de l'année dernière (décembre 2024)"</t>
  </si>
  <si>
    <t>Multiple-choice field (allows one selection, shown as a drop-down selector):</t>
  </si>
  <si>
    <t>pm_missed_period_hausa</t>
  </si>
  <si>
    <t>minimal</t>
  </si>
  <si>
    <t>call</t>
  </si>
  <si>
    <t>"Tun daga ƙarshen damana na bara (Satumba 2024) zuwa lokacin ɗari na bara (Disamba 2024)"</t>
  </si>
  <si>
    <t>Phone did not ring</t>
  </si>
  <si>
    <t>Le téléphone n'a pas sonné</t>
  </si>
  <si>
    <t>Waya ba ta yi ƙara ba</t>
  </si>
  <si>
    <t>select_one id</t>
  </si>
  <si>
    <t>Multiple-choice field (allows one selection, shown as a compact table of options):</t>
  </si>
  <si>
    <t>7. Select the Household ID number:</t>
  </si>
  <si>
    <t>7. Sélectionnez le numéro d'identification du ménage :</t>
  </si>
  <si>
    <t>7. Zaɓi lambar ID na Gida:</t>
  </si>
  <si>
    <t>Phone rang but no one picked up</t>
  </si>
  <si>
    <t>Enumerator: if you can't find the Household ID in the given list, please double check your entries for the commune and village name in the previous page.</t>
  </si>
  <si>
    <t>compact</t>
  </si>
  <si>
    <t>Agent enquêteur : si vous ne trouvez pas l'identifiant du ménage sur la liste donnée, veuillez vérifier vos entrées pour le nom de la commune et du village sur la page précédente.</t>
  </si>
  <si>
    <t>Le téléphone a sonné mais personne n'a décroché</t>
  </si>
  <si>
    <t>Waya tayi ƙara amma babu wanda ya dauka</t>
  </si>
  <si>
    <t>Mai bincike: idan ba ka samu ID na Gidan a cikin jerin sunayen da aka bayar ba, to ka sake duba sunan komin da sunan garin a cikin shafin da ya gabata.</t>
  </si>
  <si>
    <t>search('baseline_ids_el', 'startswith', 'hh_id', ${id_startswith})</t>
  </si>
  <si>
    <t>This is the title of your form. Enumerators will use the title to tell different forms apart. You will be able to revise the title of the form through subsequent form updates.
If you begin this title with TEST - (as in "TEST - Household listing survey"), it will not appear by default to users. View the help topic below for more details.</t>
  </si>
  <si>
    <r>
      <rPr>
        <rFont val="Calibri"/>
        <color rgb="FF000000"/>
        <sz val="12.0"/>
      </rPr>
      <t xml:space="preserve">This is the unique ID that will identify the form. The form ID must not contain spaces and must remain fixed for the life of the form. The form ID must also begin with a letter, and it can only include letters, numbers, underscores, and hyphens (no other punctuation or special characters).
Example: </t>
    </r>
    <r>
      <rPr>
        <rFont val="Calibri"/>
        <b/>
        <color rgb="FF000000"/>
        <sz val="12.0"/>
      </rPr>
      <t>hhlisting_round1</t>
    </r>
  </si>
  <si>
    <t>Multiple-choice field (allows one selection, shown as a compact table of options with exactly three columns):</t>
  </si>
  <si>
    <t>This is the version number of the form, which you must increase each time you modify an existing form. If you started with a form template or with one of the sample forms, then this is automatic: the version is set to a formula that automatically increments every minute. (Otherwise, you need to increment the version number yourself, taking care to keep the number of digits fixed; the version has to be a single whole number, and its number of digits has to stay the same from one version to the next. The convention is to always use a ten-digit number that represents the current date and time, e.g., 1401130917 for 9:17AM on January 13, 2014. Alternatively, you can use 10-digit numbers like 0000000001 and 0000000024 or 3-digit numbers like 001 and 024.)
View the help topic below for more details.</t>
  </si>
  <si>
    <t>Phone rang and was answered</t>
  </si>
  <si>
    <t>This is the public key with which to encrypt all form submissions.
View the help topic below for more details.</t>
  </si>
  <si>
    <t>Le téléphone a sonné et on a répondu</t>
  </si>
  <si>
    <t>This is the submission URL to use when submitting encrypted forms.
View the help topic below for more details.</t>
  </si>
  <si>
    <t>Waya tayi kara kuma an amsa</t>
  </si>
  <si>
    <t>compact-3</t>
  </si>
  <si>
    <t>This is the name of the language associated with labels, images, and other content when no other language is specified. For example, the label:french column is clearly in French, but the label column, which will display by default, is in an unknown language. Put the name of that default language here. 
View the help topic below for more details.</t>
  </si>
  <si>
    <t>if(${id}!= null, pulldata('baseline_ids_el', 'hh_id', 'id_key', ${id}), null)</t>
  </si>
  <si>
    <t>Multiple-choice field (allows one selection, shown as a compact table of options, auto-advances to next question as soon as an option is selected):</t>
  </si>
  <si>
    <t>quickcompact</t>
  </si>
  <si>
    <t>phase</t>
  </si>
  <si>
    <t>Help topic: Hiding forms during testing</t>
  </si>
  <si>
    <t>pulldata('baseline_ids_el', 'phase', 'hh_id', ${hh_id})</t>
  </si>
  <si>
    <t>contact_relation</t>
  </si>
  <si>
    <t>Help topic: Updating an existing form</t>
  </si>
  <si>
    <t>Myself</t>
  </si>
  <si>
    <t>Moi-même</t>
  </si>
  <si>
    <t>Multiple-choice field (allows one selection, shown as a compact table of options with exactly three columns, auto-advances to next question as soon as an option is selected):</t>
  </si>
  <si>
    <t>pm_name</t>
  </si>
  <si>
    <t>Ni kaina</t>
  </si>
  <si>
    <t>quickcompact-3</t>
  </si>
  <si>
    <t>pulldata('baseline_ids_el', 'pm_name', 'hh_id', ${hh_id})</t>
  </si>
  <si>
    <t>Spouse/partner</t>
  </si>
  <si>
    <t>Conjoint/partenaire</t>
  </si>
  <si>
    <t>Miji/mace/</t>
  </si>
  <si>
    <t>shm_name</t>
  </si>
  <si>
    <t>Multiple-choice field (allows one selection, loads options from pre-loaded .csv file, includes options based on a "contains" comparison):</t>
  </si>
  <si>
    <t>pulldata('baseline_ids_el', 'shm_name', 'hh_id', ${hh_id})</t>
  </si>
  <si>
    <t>search('hhplotdata', 'contains', 'respondentname', ${nametofind})</t>
  </si>
  <si>
    <t>Child</t>
  </si>
  <si>
    <t>Enfant</t>
  </si>
  <si>
    <t>Yaro</t>
  </si>
  <si>
    <t>w_name</t>
  </si>
  <si>
    <t>Multiple-choice field (allows one selection, loads options from pre-loaded .csv file, includes options based on a "starts with" comparison):</t>
  </si>
  <si>
    <t>pulldata('baseline_ids_el', 'w_name', 'hh_id', ${hh_id})</t>
  </si>
  <si>
    <t>Parent</t>
  </si>
  <si>
    <t>Uwa</t>
  </si>
  <si>
    <t>search('hhplotdata', 'startswith', 'respondentname', ${nameprefix})</t>
  </si>
  <si>
    <t>pm_age</t>
  </si>
  <si>
    <t>Sibling</t>
  </si>
  <si>
    <t>Frère et sœur</t>
  </si>
  <si>
    <t>Ɗan uwa/ƴar uwa</t>
  </si>
  <si>
    <t>Multiple-choice field (allows one selection, loads options from pre-loaded .csv file, includes options based on an "ends with" comparison):</t>
  </si>
  <si>
    <t>pulldata('baseline_ids_el', 'pm_age', 'hh_id', ${hh_id})</t>
  </si>
  <si>
    <t>Member of spouse's family</t>
  </si>
  <si>
    <t>Membre de la famille du conjoint</t>
  </si>
  <si>
    <t>search('hhplotdata', 'endswith', 'respondentname', ${namesuffix})</t>
  </si>
  <si>
    <t>Dan gidan aure</t>
  </si>
  <si>
    <t>shm_age</t>
  </si>
  <si>
    <t>Other family member</t>
  </si>
  <si>
    <t>Autre membre de la famille</t>
  </si>
  <si>
    <t>Wani dan uwa</t>
  </si>
  <si>
    <t>pulldata('baseline_ids_el', 'shm_age', 'hh_id', ${hh_id})</t>
  </si>
  <si>
    <t>Multiple-choice field (allows one selection, loads options from pre-loaded .csv file, includes options based on an "exact match" comparison):</t>
  </si>
  <si>
    <t>search('hhplotdata', 'matches', 'respondentname', ${nametofind})</t>
  </si>
  <si>
    <t>w_age</t>
  </si>
  <si>
    <t>Friend</t>
  </si>
  <si>
    <t>Ami</t>
  </si>
  <si>
    <t>Aboki</t>
  </si>
  <si>
    <t>pulldata('baseline_ids_el', 'w_age', 'hh_id', ${hh_id})</t>
  </si>
  <si>
    <t>Neighbor</t>
  </si>
  <si>
    <t>Voisin</t>
  </si>
  <si>
    <t>Makwabci</t>
  </si>
  <si>
    <t>Multiple-choice field (allows one selection, loads options from pre-loaded .csv file, includes options based on both a "contains" comparison and an "exact match" filter):</t>
  </si>
  <si>
    <t>search('hhplotdata', 'contains', 'respondentname', ${nametofind}, 'villageid', ${villageid})</t>
  </si>
  <si>
    <t>pm_hoh</t>
  </si>
  <si>
    <t>Other</t>
  </si>
  <si>
    <t>Autre</t>
  </si>
  <si>
    <t>Wani daban</t>
  </si>
  <si>
    <t>pulldata('baseline_ids_el', 'pm_hoh', 'hh_id', ${hh_id})</t>
  </si>
  <si>
    <t>select_multiple listname</t>
  </si>
  <si>
    <t>Standard multiple-choice field (allows multiple selections, shown as series of radio buttons):</t>
  </si>
  <si>
    <t>shm_hoh</t>
  </si>
  <si>
    <t>pulldata('baseline_ids_el', 'shm_hoh', 'hh_id', ${hh_id})</t>
  </si>
  <si>
    <t>interest</t>
  </si>
  <si>
    <t>Not very interested</t>
  </si>
  <si>
    <t>Pas très intéressé</t>
  </si>
  <si>
    <t>Ba sha'awa sosai</t>
  </si>
  <si>
    <t>w_hoh</t>
  </si>
  <si>
    <t>Multiple-choice field (allows multiple selections, shown as a pop-up selector):</t>
  </si>
  <si>
    <t>pulldata('baseline_ids_el', 'w_hoh', 'hh_id', ${hh_id})</t>
  </si>
  <si>
    <t>Somewhat interested</t>
  </si>
  <si>
    <t>Un peu intéressé</t>
  </si>
  <si>
    <t>Da ɗan sha'awa</t>
  </si>
  <si>
    <t>w_shm</t>
  </si>
  <si>
    <t>Very interested</t>
  </si>
  <si>
    <t>Très intéressé</t>
  </si>
  <si>
    <t>Da Sha'awa sosai</t>
  </si>
  <si>
    <t>Multiple-choice field (allows multiple selections, shown as a compact table of options):</t>
  </si>
  <si>
    <t>pulldata('baseline_ids_el', 'w_shm', 'hh_id', ${hh_id})</t>
  </si>
  <si>
    <t>missed_previous_fu</t>
  </si>
  <si>
    <t>pulldata('baseline_ids_el', 'missed_pm_fu_5', 'hh_id', ${hh_id})</t>
  </si>
  <si>
    <t>Multiple-choice field (allows multiple selections, shown as a compact table of options with exactly three columns):</t>
  </si>
  <si>
    <t>savings</t>
  </si>
  <si>
    <t>In cash</t>
  </si>
  <si>
    <t>treatment</t>
  </si>
  <si>
    <t>En argent liquide</t>
  </si>
  <si>
    <t>A Tsabar kudi</t>
  </si>
  <si>
    <t>Multiple-choice field (allows multiple selections, loads options from pre-loaded .csv file, includes options based on a "contains" comparison):</t>
  </si>
  <si>
    <t>pulldata('baseline_ids_el', 'treatment_group', 'hh_id', ${hh_id})</t>
  </si>
  <si>
    <t>treatment_cfa</t>
  </si>
  <si>
    <t>Multiple-choice field (allows multiple selections, loads options from pre-loaded .csv file, includes options based on a "starts with" comparison):</t>
  </si>
  <si>
    <t>1. What round is this?</t>
  </si>
  <si>
    <t>1. quel tour est-ce ?</t>
  </si>
  <si>
    <t>1. Wane kewaye ne?</t>
  </si>
  <si>
    <t>"1000"</t>
  </si>
  <si>
    <t xml:space="preserve">2. </t>
  </si>
  <si>
    <t>surv_not_done</t>
  </si>
  <si>
    <t>Multiple-choice field (allows multiple selections, loads options from pre-loaded .csv file, includes options based on an "ends with" comparison):</t>
  </si>
  <si>
    <t>In a bank account</t>
  </si>
  <si>
    <t>Dans un compte bancaire</t>
  </si>
  <si>
    <t>A cikin asusun banki</t>
  </si>
  <si>
    <t>select_one yesno</t>
  </si>
  <si>
    <t>resp_confirm</t>
  </si>
  <si>
    <t>8. You indicated that you are attempting to interview ${pm_name} (age: ${pm_age}). Is that correct?</t>
  </si>
  <si>
    <t>8. Vous avez indiqué que vous tentez d'interroger ${pm_name} (âge : ${pm_age}). Est-ce exact ?</t>
  </si>
  <si>
    <t>8. Kun nuna cewa kuna ƙoƙarin yin hira da ${pm_name} (shekaru: ${pm_age}). Ko hakan daidai ne?</t>
  </si>
  <si>
    <t>In a mobile money account</t>
  </si>
  <si>
    <t>Dans un compte mobile money</t>
  </si>
  <si>
    <t>A cikin asusun wayar hannu</t>
  </si>
  <si>
    <t>select_one resp</t>
  </si>
  <si>
    <t>resp_interview</t>
  </si>
  <si>
    <t>9. Who are you trying to interview? Here are the other respondents in this household:</t>
  </si>
  <si>
    <t>9. Qui essayez-vous d’interroger ? Voici les autres répondants de ce ménage :</t>
  </si>
  <si>
    <t>9. Wanene kuke ƙoƙarin yin hira da shi ? Ga sauran masu bada amsa a wannan gidan:</t>
  </si>
  <si>
    <t>In Jewelery or other valuables</t>
  </si>
  <si>
    <t>Dans les bijoux ou autres objets de valeur</t>
  </si>
  <si>
    <t>A cikin kayan ado ko wasu abubuwa masu mahimmanci</t>
  </si>
  <si>
    <t>${resp_confirm} = 0</t>
  </si>
  <si>
    <t xml:space="preserve">7. </t>
  </si>
  <si>
    <t>filter!=${w_shm}</t>
  </si>
  <si>
    <t>8. You indicated that you are attempting to interview ${shm_name} (age: ${shm_age}). Is that correct?</t>
  </si>
  <si>
    <t xml:space="preserve">8. </t>
  </si>
  <si>
    <t>With a 'big man' in the area</t>
  </si>
  <si>
    <t>resp_shm</t>
  </si>
  <si>
    <t>Avec un "grand homme" dans la région</t>
  </si>
  <si>
    <t>10. End of survey. Please return and fill out the SHM survey to collect survey responses.</t>
  </si>
  <si>
    <t>10. Fin de l'enquête. Veuillez revenir et remplir l'enquête du SHM pour collecter les réponses aux questions.</t>
  </si>
  <si>
    <t>Tare da wani 'babban mutum' a jahar</t>
  </si>
  <si>
    <t>10. Ƙarshen binciken kenan. Da fatan za a dawo baya a cika binciken SHM don tattara amsoshin binciken.</t>
  </si>
  <si>
    <t>${resp_interview} = 1</t>
  </si>
  <si>
    <t>By buying stocks of cereals</t>
  </si>
  <si>
    <t xml:space="preserve">Achat du céréale </t>
  </si>
  <si>
    <t>Multiple-choice field (allows multiple selections, loads options from pre-loaded .csv file, includes options based on an "exact match" comparison):</t>
  </si>
  <si>
    <t>resp_w</t>
  </si>
  <si>
    <t>10. &lt;p&gt;&lt;span style="color: #ff0000;"&gt;&lt;b&gt;ENUMERATOR: Starting now, you will read the questions out loud.&lt;/b&gt;&lt;/span&gt;
&lt;br&gt; &lt;br&gt; 
Great, I am visiting to ask you questions to learn about how you have been since the last time you spoke with us.&lt;br&gt; &lt;br&gt; 
To remind you, we asked your permission to visit you once every 6 months. If you complete each in-person survey, we will send you ${treatment_cfa} in phone credit each time. You are free to skip any questions you do not wish to answer or to end the survey at any time. &lt;br&gt;&lt;br&gt;
&lt;b&gt;Can I ask you these questions now?&lt;/b&gt;</t>
  </si>
  <si>
    <t xml:space="preserve">10. </t>
  </si>
  <si>
    <t>11. End of survey. Please return and fill out the Woman survey to collect survey responses.</t>
  </si>
  <si>
    <t>11. Fin de l'enquête. Veuillez revenir et remplir l'enquête de la Femme pour collecter les réponses aux questions.</t>
  </si>
  <si>
    <t>11. Ƙarshen binciken. Da fatan za a dawo baya a cika binciken Mace don tattara amsoshin binciken.</t>
  </si>
  <si>
    <t>${resp_interview} = 2</t>
  </si>
  <si>
    <t>11. Is ${pm_name} currently living in your household?</t>
  </si>
  <si>
    <t>11. ${pm_name} vit-il actuellement dans votre ménage?</t>
  </si>
  <si>
    <t>11. Ko ${pm_name} yana zaune a gidan ku a hali yanzu?</t>
  </si>
  <si>
    <t>resp_available</t>
  </si>
  <si>
    <t>12. Is ${pm_name} available to be interviewed?</t>
  </si>
  <si>
    <t>12. Est-ce que ${pm_name} est disponible pour être interviewé ?</t>
  </si>
  <si>
    <t>12. Ko ${pm_name} yana da damar yin hira mu?</t>
  </si>
  <si>
    <t>${resp_confirm} = 1</t>
  </si>
  <si>
    <t>2. What round is this?</t>
  </si>
  <si>
    <t>2. quel tour est-ce ?</t>
  </si>
  <si>
    <t>2. Wane kewaye ne?</t>
  </si>
  <si>
    <t>3. Who is your team leader?</t>
  </si>
  <si>
    <t>3. Qui est votre chef d'équipe?</t>
  </si>
  <si>
    <t>3. Wanene shugaban tahiyar ku ?</t>
  </si>
  <si>
    <t>select_one unavail_why</t>
  </si>
  <si>
    <t>resp_available_why</t>
  </si>
  <si>
    <t>13. Enumerator: Please specify why ${pm_name} is not available right now:</t>
  </si>
  <si>
    <t>13. Enqueteur: veuillez specifier pourquoi ${pm_name} n'est pas disponible maintenant</t>
  </si>
  <si>
    <t>13. Dan binkike: dan mine ${pm_name} bai nan a yanzu</t>
  </si>
  <si>
    <t>${resp_available} = 0</t>
  </si>
  <si>
    <t>4. What is your name?</t>
  </si>
  <si>
    <t>4. Quel est votre nom?</t>
  </si>
  <si>
    <t>4. Menene sunanka?</t>
  </si>
  <si>
    <t>freq</t>
  </si>
  <si>
    <t>Never</t>
  </si>
  <si>
    <t>resp_available_why_o</t>
  </si>
  <si>
    <t>Jamais</t>
  </si>
  <si>
    <t>14. Other, specify:</t>
  </si>
  <si>
    <t>Har abada</t>
  </si>
  <si>
    <t>14. Autre précisez:</t>
  </si>
  <si>
    <t>14. Sauran, bayar da cikakkun bayanai:</t>
  </si>
  <si>
    <t>${resp_available_why} = -777</t>
  </si>
  <si>
    <t>5. What is your partner's name?</t>
  </si>
  <si>
    <t>5. Quel est le nom de votre binôme?</t>
  </si>
  <si>
    <t>5. Menene sunan abokin aikinka</t>
  </si>
  <si>
    <t>Multiple-choice field (allows multiple selections, loads options from pre-loaded .csv file, includes options based on both a "contains" comparison and an "exact match" filter):</t>
  </si>
  <si>
    <t>Rarely</t>
  </si>
  <si>
    <t>Rarement</t>
  </si>
  <si>
    <t>Jehi jehi</t>
  </si>
  <si>
    <t>Sometimes</t>
  </si>
  <si>
    <t>6. What commune are you surveying in?</t>
  </si>
  <si>
    <t>6. Quelle est votre commune de travail ?</t>
  </si>
  <si>
    <t>Parfois</t>
  </si>
  <si>
    <t>6. Cikin wane komin kake aiki?</t>
  </si>
  <si>
    <t>Lokaci zuwa lokaci</t>
  </si>
  <si>
    <t>geopoint</t>
  </si>
  <si>
    <t>Often</t>
  </si>
  <si>
    <t>Souvent</t>
  </si>
  <si>
    <t>Sau da yawa</t>
  </si>
  <si>
    <t>Standard GPS location-capture field:</t>
  </si>
  <si>
    <t>consent</t>
  </si>
  <si>
    <t>15. &lt;p&gt;&lt;span style="color: #ff0000;"&gt;&lt;b&gt;ENUMERATOR: Starting now, you will read the questions out loud.&lt;/b&gt;&lt;/span&gt;
 &lt;br&gt; &lt;br&gt; 
 Great, I am visiting to ask you questions to learn about how you have been since the last time you spoke with us.&lt;br&gt; &lt;br&gt; 
 To remind you, we asked your permission to visit you once every 6 months and reach you by phone between our in-person visits. If you complete each in-person survey, we will send you ${treatment_cfa} in phone credit each time. You are free to skip any questions you do not wish to answer or to end the survey at any time. &lt;br&gt;&lt;br&gt;
 &lt;b&gt;Can I ask you these questions now?&lt;/b&gt;</t>
  </si>
  <si>
    <t>15. &lt;p&gt;&lt;span style="color: #ff0000;"&gt;&lt;b&gt;ENQUETEUR : À partir de maintenant, vous lirez les questions à haute voix.&lt;/b&gt;&lt;/span&gt;
 &lt;br&gt; &lt;br&gt; 
 Super, je viens vous poser des questions afin de savoir comment vous allez depuis la dernière fois que vous nous avez parlé.
 &lt;br&gt; &lt;br&gt; 
 Pour rappel, nous avons demandé votre autorisation pour vous rendre visite une fois tous les 6 mois. Si vous répondez à chaque enquête en personne, nous vous enverrons à chaque fois ${treatment_cfa} de crédit téléphonique. Vous êtes libre de sauter les questions auxquelles vous ne souhaitez pas répondre ou de mettre fin à l'enquête à tout moment.&lt;br&gt;&lt;br&gt;
 &lt;b&gt;Puis-je vous poser ces questions maintenant?&lt;/b&gt;</t>
  </si>
  <si>
    <t>15. &lt;p&gt;&lt;span style="color: #ff0000;"&gt;&lt;b&gt;Mai bincike: Daga yanzu, za ka karanta tambayoyin da babbar murya.&lt;/b&gt;&lt;/span&gt;
 &lt;br&gt; &lt;br&gt; 
 Madalla, na ziyarce ku ne domin in yi muku tambayoyi don sanin yadda kuka kasance tun lokacin da kuka yi magana da mu.&lt;br&gt; &lt;br&gt; 
 Don tunatar da ku, mun nemi izinin ku don ziyartar ku sau ɗaya a kowane watanni Idan kun bada amsa ga kowane binciken na gaba da gaba, za mu aika muku ${treatment_cfa} a kuɗin waya kowane lokaci. Kuna da ƴanci tsallake kowace tambaya idan ba ku so bada amsa ba ko tsaida binciken gaba ɗaya a kowane lokaci.&lt;br&gt;&lt;br&gt;
 &lt;b&gt;Zan iya yi muku wadannan tambayoyin yanzu?&lt;/b&gt;</t>
  </si>
  <si>
    <t>20. Enumerator: Select region in Niger</t>
  </si>
  <si>
    <t>20. Enquêteur : Sélectionnez une région au Niger</t>
  </si>
  <si>
    <t>20. Ɗan bincike: Zaɓi Jaha ɗaya a Nijar</t>
  </si>
  <si>
    <t>${resp_available} = 1</t>
  </si>
  <si>
    <t>21. Enumerator: Select country</t>
  </si>
  <si>
    <t>21. Enquêteur : sélectionnez le pays</t>
  </si>
  <si>
    <t>21. Ɗan bincike: Zaɓi ƙasa</t>
  </si>
  <si>
    <t>geoshape</t>
  </si>
  <si>
    <t>speedcheck_intro_end</t>
  </si>
  <si>
    <t>7. What village/neighborhood are you surveying in?</t>
  </si>
  <si>
    <t>7. Dans quelle ville/village faites-vous votre enquête ?</t>
  </si>
  <si>
    <t>7. Cikin wane gari kake binciken?</t>
  </si>
  <si>
    <t>Boundary-capture field (GPS polygon):</t>
  </si>
  <si>
    <t>dur_intro</t>
  </si>
  <si>
    <t>24. Other, specify:</t>
  </si>
  <si>
    <t>24. Autre précisez:</t>
  </si>
  <si>
    <t>${speedcheck_intro_end} - ${speedcheck_intro_start}</t>
  </si>
  <si>
    <t>24. Sauran, bayar da cikakkun bayanai:</t>
  </si>
  <si>
    <t>geotrace</t>
  </si>
  <si>
    <t>25. Do you currently have savings of each of the following types that you have put aside for yourself, separate from your household?</t>
  </si>
  <si>
    <t>25. Avez-vous actuellement des économies de chacun des types suivants que vous avez mises de côté pour vous-même, séparément de votre ménage ?</t>
  </si>
  <si>
    <t>consented</t>
  </si>
  <si>
    <t>25. Ko a halin yanzu kuna da tanadi na kowane nau'in waɗannan nau'ikan da kuka ware wa kanku?</t>
  </si>
  <si>
    <t>Consent: Yes</t>
  </si>
  <si>
    <t>Boundary- or path-capture field (GPS polyline or polygon):</t>
  </si>
  <si>
    <t>${consent} = 1</t>
  </si>
  <si>
    <t>26. Specify other:</t>
  </si>
  <si>
    <t>26. Précisez autre :</t>
  </si>
  <si>
    <t>26. Ƙayyade wasu:</t>
  </si>
  <si>
    <t>form_questions</t>
  </si>
  <si>
    <t>27. Please share with us your best estimate of the value in CFA ${w_savings_name}</t>
  </si>
  <si>
    <t>barcode</t>
  </si>
  <si>
    <t>27. Veuillez partager avec nous votre meilleure estimation de la valeur en CFA ${w_savings_name}</t>
  </si>
  <si>
    <t>27. Da fatan zaku faɗa mana ƙimar da kuke ganin yayi daidai a cikin CFA ${w_savings_name}</t>
  </si>
  <si>
    <t>Standard scan-barcode field:</t>
  </si>
  <si>
    <t>28. Do you earn interest on this money ${w_savings_name}?</t>
  </si>
  <si>
    <t>28. Gagnez-vous des intérêts sur cet argent ${w_savings_name} ?</t>
  </si>
  <si>
    <t>28. Kuna samun riba akan wannan kuɗin ${w_savings_name}?</t>
  </si>
  <si>
    <t>29. Now I would like to ask you questions about some other important aspects of a woman's life. I know that some of these questions are very personal. Let me assure you that your answers are completely confidential and will not be told to anyone.
In the past three months has your husband or another member of your household prevented you from</t>
  </si>
  <si>
    <t>29. Maintenant, j'aimerais vous poser des questions sur d'autres aspects importants de la vie d'une femme. Je sais que certaines de ces questions sont très personnelles. Permettez-moi de vous assurer que vos réponses sont entièrement confidentielles et ne seront divulguées à personne.
Au cours des trois derniers mois, votre mari ou un autre membre de votre ménage vous a-t-il empêché de</t>
  </si>
  <si>
    <t>29. Yanzu zan ina son yi muku tambayoyi game da wasu muhimman al'amura na rayuwar mace. Na san cewa wasu daga cikin waɗannan tambayoyin na sirri ne. Bari in tabbatar muku cewa amsoshin ku na sirri ne gaba ɗaya kuma ba za a faɗa wa kowa ba.
A cikin wata uku da suka wuce mijinku ko wani ɗan gidanku ya hana ku</t>
  </si>
  <si>
    <t>30. visiting your family or friends?</t>
  </si>
  <si>
    <t>30. rendre visite à votre famille ou à vos amis ?</t>
  </si>
  <si>
    <t>30. ziyartar danginku ko abokananku?</t>
  </si>
  <si>
    <t>date</t>
  </si>
  <si>
    <t>speedcheck_pm_start</t>
  </si>
  <si>
    <t>Standard date field:</t>
  </si>
  <si>
    <t>31. working outside the household?</t>
  </si>
  <si>
    <t>31. travailler en dehors du ménage ?</t>
  </si>
  <si>
    <t>31. aiki a wajen gidanku?</t>
  </si>
  <si>
    <t>Date field (but for smaller screens):</t>
  </si>
  <si>
    <t>8. Select the Household ID number:</t>
  </si>
  <si>
    <t>pm_questions</t>
  </si>
  <si>
    <t>PM Questionnaire</t>
  </si>
  <si>
    <t>no-calendar</t>
  </si>
  <si>
    <t>datetime</t>
  </si>
  <si>
    <t>Standard date+time field:</t>
  </si>
  <si>
    <t>pm_note</t>
  </si>
  <si>
    <t>16. PM Questions</t>
  </si>
  <si>
    <t>16. Questions du Migrant potentiel</t>
  </si>
  <si>
    <t>16. Tambayoyin mai zuwa biɗa</t>
  </si>
  <si>
    <t>34. He is affectionnate with you</t>
  </si>
  <si>
    <t>34. Il est affectueux avec vous</t>
  </si>
  <si>
    <t>34. Yana nuna muku soyayya</t>
  </si>
  <si>
    <t>35. He respects you and your wishes</t>
  </si>
  <si>
    <t>35. Il vous respecte et respecte vos souhaits</t>
  </si>
  <si>
    <t>35. Yana girmama ku kuma ya na girmama buƙatuntu</t>
  </si>
  <si>
    <t>pm_missing_previous_round</t>
  </si>
  <si>
    <t>Date+time field (but for smaller screens):</t>
  </si>
  <si>
    <t>Missed Previous Followup</t>
  </si>
  <si>
    <t>36. Now I am going to ask you about some situations which happen to some women. Please tell me if these apply to your relationship with your husband?</t>
  </si>
  <si>
    <t>36. Maintenant, je vais vous poser des questions sur certaines situations qui arrivent à certaines femmes. Veuillez me dire si cela s'applique à votre relation avec votre mari ?</t>
  </si>
  <si>
    <t>36. To, yanzu zan tambaye ku game da wasu al’amura da suke faruwa ga wasu mata. Ko kun gaya mini idan waɗannan sun shafi zamantakewarku da mijinku?</t>
  </si>
  <si>
    <t>${missed_previous_fu} = 1</t>
  </si>
  <si>
    <t>37. He does not trust your fidelty</t>
  </si>
  <si>
    <t>37. Il est jaloux et vous montre qu'il n’a pas confiance en vous ?</t>
  </si>
  <si>
    <t>speedcheck_pm_missedprev_start</t>
  </si>
  <si>
    <t>37. Yana zargin ku kullum da nuna rashin yarda?</t>
  </si>
  <si>
    <t>time</t>
  </si>
  <si>
    <t>Standard time field:</t>
  </si>
  <si>
    <t>38. He (does/did) not permit you to meet your girl friends?</t>
  </si>
  <si>
    <t>38. Il ne vous a pas permis de rencontrer vos copines ?</t>
  </si>
  <si>
    <t>38. Bai baku izinin ganin ƙawayenku ba?</t>
  </si>
  <si>
    <t>pm_missed_note</t>
  </si>
  <si>
    <t>39. He (tries/tried) to limit your contact with your family?</t>
  </si>
  <si>
    <t>39. Il essaie de limiter vos contacts avec votre famille ?</t>
  </si>
  <si>
    <t>39. Ya na ƙoƙarin ya rage hulɗarku da danginku?</t>
  </si>
  <si>
    <t>17. We were not able to contact you during ${pm_missed_period} and want to ask you a few questions about your life during this time.</t>
  </si>
  <si>
    <t>17. Nous n'avons pas pu vous contacter pendant ${pm_missed_period_french} et nous voulons vous poser quelques questions sur votre vie pendant cette période.</t>
  </si>
  <si>
    <t>Standard image-capture field:</t>
  </si>
  <si>
    <t>17. Ba mu samu tuntuɓar ku yayin ${pm_missed_period_hausa} kuma muna son mu yi muku wasu tambayoyi game da rayuwar ku a wannan lokacin.</t>
  </si>
  <si>
    <t>40. Now if you will permit me, I need to ask some more questions about your relationship with your husband. Does he ever?</t>
  </si>
  <si>
    <t>education</t>
  </si>
  <si>
    <t>40. Maintenant, si vous me le permettez, je dois poser quelques questions supplémentaires sur votre relation avec votre mari. Est-ce qu'il a jamais?</t>
  </si>
  <si>
    <t>40. Yanzu idan za ki ba ni izini, Ina bukatar yin wasu tambayoyi game da dangantakarki da mijinki. Ko ya taba?</t>
  </si>
  <si>
    <t>Bai taɓa yin makaranta ba</t>
  </si>
  <si>
    <t>8. Sélectionnez le numéro d'identification du ménage :</t>
  </si>
  <si>
    <t>8. Zaɓi lambar ID na Gida:</t>
  </si>
  <si>
    <t>Image-capture field which allows user to annotate image:</t>
  </si>
  <si>
    <t>annotate</t>
  </si>
  <si>
    <t>pm_missed_home</t>
  </si>
  <si>
    <t>18. Think about ${pm_missed_period}. During this time, did you spend at least one week (7 days) anywhere other than ${pm_home_location}?</t>
  </si>
  <si>
    <t>42. Threaten you or someone close to you with harm</t>
  </si>
  <si>
    <t>18. Pensez à ${pm_missed_period_french}. Pendant cette période, avez-vous passé au moins une semaine (7 jours) ailleurs que ${pm_home_location} ?</t>
  </si>
  <si>
    <t>42. Vous menacer vous-même ou quelqu'un proche de vous à vous faire du mal</t>
  </si>
  <si>
    <t>18. Ku tuna da lokacin ${pm_missed_period_hausa}. A wannan lokacin, ko kun zauna aƙalla sati ɗaya (kwana 7) a wani wuri banda ${pm_home_location}?</t>
  </si>
  <si>
    <t>42. Yi muku barazana ko wani na kusa da ku da cutarwa</t>
  </si>
  <si>
    <t>Preschool</t>
  </si>
  <si>
    <t>Préscolaire</t>
  </si>
  <si>
    <t>Makarantar yara ƙanana</t>
  </si>
  <si>
    <t>43. Push you shake you or throw something at you</t>
  </si>
  <si>
    <t>43. Vous pousser, vous secouer ou jeter quelque chose sur vous</t>
  </si>
  <si>
    <t>43. Tura ku girgiza ku ko jefar da wani abu bisanku</t>
  </si>
  <si>
    <t>Primary school</t>
  </si>
  <si>
    <t>44. Slap you or twist your arm</t>
  </si>
  <si>
    <t>École primaire</t>
  </si>
  <si>
    <t>44. Vous gifler ou vous tordre le bras</t>
  </si>
  <si>
    <t>44. Mari ko murɗa hannunku</t>
  </si>
  <si>
    <t>Makarantar firamere</t>
  </si>
  <si>
    <t>Image-capture field which allows user to draw image:</t>
  </si>
  <si>
    <t>draw</t>
  </si>
  <si>
    <t>pm_missed_locations</t>
  </si>
  <si>
    <t>19. Please list all of the places you spent more than one week during ${pm_missed_period} other than ${pm_home_location}. How many places?</t>
  </si>
  <si>
    <t>19. Veuillez énumérer tous les lieux où vous avez passé plus d'une semaine entre ${pm_missed_period_french} autre que ${pm_home_location}. Combien de lieux ?</t>
  </si>
  <si>
    <t>19. Ko za ku gaya mini duk wuraren da kuka zauna sama da sati guda a lokacin ${pm_missed_period_hausa} da ba ${pm_home_location}. Wuri nawa ne?</t>
  </si>
  <si>
    <t>45. Punch you with his fist or with something that could hurt you</t>
  </si>
  <si>
    <t>Enumerator: List from most recent to least recent</t>
  </si>
  <si>
    <t>45. Vous frapper avec son poing ou avec quelque chose qui pourrait vous blesser</t>
  </si>
  <si>
    <t>Enquêteur : Lister en commençant par le plus récent</t>
  </si>
  <si>
    <t>45. Yi muku naushi da hannu ko da wani abu da zai iya cutar da ku</t>
  </si>
  <si>
    <t>Ɗan bincike : A fara rubutawa daga wurin ƙarshe.</t>
  </si>
  <si>
    <t>. &gt; 0</t>
  </si>
  <si>
    <t>${pm_missed_home} = 1</t>
  </si>
  <si>
    <t>Middle school</t>
  </si>
  <si>
    <t>College</t>
  </si>
  <si>
    <t>Koleji/SEJ</t>
  </si>
  <si>
    <t>46. Kick you or drag you</t>
  </si>
  <si>
    <t>46. Vous donner un coup de pied ou vous traîner</t>
  </si>
  <si>
    <t>46. Habre ku ko jan ku</t>
  </si>
  <si>
    <t>Koranic school</t>
  </si>
  <si>
    <t>Ecole coranique</t>
  </si>
  <si>
    <t>Image-capture field which collects a signature as the image:</t>
  </si>
  <si>
    <t>begin repeat</t>
  </si>
  <si>
    <t>47. Try to strangle you or burn you</t>
  </si>
  <si>
    <t>47. Essayer de vous étrangler ou de vous brûler</t>
  </si>
  <si>
    <t>47. Yi ƙoƙarin shake ku ko kona ku</t>
  </si>
  <si>
    <t>pm_missed_locations_info</t>
  </si>
  <si>
    <t>signature</t>
  </si>
  <si>
    <t>Karatun kur'ani</t>
  </si>
  <si>
    <t>Missed locations</t>
  </si>
  <si>
    <t>9. You indicated that you are attempting to interview ${pm_name} (age: ${pm_age}). Is that correct?</t>
  </si>
  <si>
    <t xml:space="preserve">9. </t>
  </si>
  <si>
    <t>${pm_missed_locations}</t>
  </si>
  <si>
    <t>High school</t>
  </si>
  <si>
    <t>Lycee</t>
  </si>
  <si>
    <t>Babbar makaranta/lise</t>
  </si>
  <si>
    <t>audio</t>
  </si>
  <si>
    <t>More than high school</t>
  </si>
  <si>
    <t>Plus qu'une école secondaire</t>
  </si>
  <si>
    <t>Jami'a</t>
  </si>
  <si>
    <t>pm_miss_locations_list_index</t>
  </si>
  <si>
    <t>9. Vous avez indiqué que vous tentez d'interroger ${pm_name} (âge : ${pm_age}). Est-ce exact ?</t>
  </si>
  <si>
    <t>9. Kun nuna cewa kuna ƙoƙarin yin hira da ${pm_name} (shekaru: ${pm_age}). Shin hakan daidai ne?</t>
  </si>
  <si>
    <t>index()</t>
  </si>
  <si>
    <t>Standard audio-capture field:</t>
  </si>
  <si>
    <t>10. Who are you trying to interview? Here are the other respondents in this household:</t>
  </si>
  <si>
    <t>10. Qui essayez-vous d’interroger ? Voici les autres répondants de ce foyer :</t>
  </si>
  <si>
    <t>10. Wanene kuke ƙoƙarin yin hira da shi ? Ga sauran masu bada amsa a wannan gidan:</t>
  </si>
  <si>
    <t>pm_miss_previous_answer</t>
  </si>
  <si>
    <t>11. End of survey. Please return and fill out the SHM survey to collect survey responses.</t>
  </si>
  <si>
    <t>11. Fin de l'enquête. Veuillez revenir et remplir l'enquête du SHM pour recueillir les réponses aux questions.</t>
  </si>
  <si>
    <t>11. Ƙarshen binciken kenan. Da fatan za a dawo baya a cika binciken SHM don tattara amsoshin binciken.</t>
  </si>
  <si>
    <t>if( ${pm_miss_locations_list_index} = 1, "La destination la plus récent", concat("avant ", item-at(',', ${pm_missed_locations}, ${pm_miss_locations_list_index} - 2)))</t>
  </si>
  <si>
    <t>region</t>
  </si>
  <si>
    <t>Agadez</t>
  </si>
  <si>
    <t>video</t>
  </si>
  <si>
    <t>pm_missed_in_niger</t>
  </si>
  <si>
    <t>20. Where were you ${pm_miss_previous_answer}?
 Enumerator: Is location in Niger?</t>
  </si>
  <si>
    <t>20. Où étiez-vous ${pm_miss_previous_answer} ?
 Enquêteur : La localité est-elle au Niger ?</t>
  </si>
  <si>
    <t>20. A ina kuke ${pm_miss_previous_answer}?
 Ɗan bincike : Ko wurin a Nijar ne?</t>
  </si>
  <si>
    <t>Standard video-capture field:</t>
  </si>
  <si>
    <t>Diffa</t>
  </si>
  <si>
    <t>select_one region</t>
  </si>
  <si>
    <t>pm_missed_previous_region</t>
  </si>
  <si>
    <t>21. Enumerator: Select region in Niger</t>
  </si>
  <si>
    <t>21. Enquêteur : Sélectionnez une région au Niger</t>
  </si>
  <si>
    <t>21. Ɗan bincike: Zaɓi Jaha ɗaya a Nijar</t>
  </si>
  <si>
    <t>14. &lt;p&gt;&lt;span style="color: #ff0000;"&gt;&lt;b&gt;ENUMERATOR: Starting now, you will read the questions out loud.&lt;/b&gt;&lt;/span&gt;
&lt;br&gt; &lt;br&gt; 
Great, I am visiting to ask you questions to learn about how you have been since the last time you spoke with us.&lt;br&gt; &lt;br&gt; 
To remind you, we asked your permission to visit you once every 6 months. If you complete each in-person survey, we will send you ${treatment_cfa} in phone credit each time. You are free to skip any questions you do not wish to answer or to end the survey at any time. &lt;br&gt;&lt;br&gt;
&lt;b&gt;Can I ask you these questions now?&lt;/b&gt;</t>
  </si>
  <si>
    <t xml:space="preserve">14. </t>
  </si>
  <si>
    <t>${pm_missed_in_niger} = 1 or not(relevant(${pm_missed_in_niger}))</t>
  </si>
  <si>
    <t>Dosso</t>
  </si>
  <si>
    <t>file</t>
  </si>
  <si>
    <t>Maradi</t>
  </si>
  <si>
    <t>select_one mig_countries</t>
  </si>
  <si>
    <t>pm_missed_previous_country</t>
  </si>
  <si>
    <t>22. Enumerator: Select country</t>
  </si>
  <si>
    <t>22. Enquêteur : sélectionnez le pays</t>
  </si>
  <si>
    <t>22. Ɗan bincike: Zaɓi ƙasa</t>
  </si>
  <si>
    <t>Attach text, image, video, audio, PDF, ZIP, or MS Office file (Excel or Word):</t>
  </si>
  <si>
    <t>${pm_missed_in_niger} = 0</t>
  </si>
  <si>
    <t>56. What is ${hoh_new_mem_name}'s sex?</t>
  </si>
  <si>
    <t>56. Quel est le sexe de ${hoh_new_mem_name} ?</t>
  </si>
  <si>
    <t>56. Menene jinsin ${hoh_new_mem_name}?</t>
  </si>
  <si>
    <t>Niamey</t>
  </si>
  <si>
    <t>57. What is ${hoh_new_mem_name}'s age?</t>
  </si>
  <si>
    <t>57. Quel âge a ${hoh_new_mem_name} ?</t>
  </si>
  <si>
    <t>57. ${hoh_new_mem_name} Shekarun shi/ta nawa?</t>
  </si>
  <si>
    <t>pm_missed_previous_country_o</t>
  </si>
  <si>
    <t>23. Enumerator: Enter other country</t>
  </si>
  <si>
    <t>23. Enquêteur : Entrez un autre pays</t>
  </si>
  <si>
    <t>23. Ɗan bincike: Shigar da wata ƙasa</t>
  </si>
  <si>
    <t>10. You indicated that you are attempting to interview ${pm_name} (age: ${pm_age}). Is that correct?</t>
  </si>
  <si>
    <t>10. Vous avez indiqué que vous tentez d'interroger ${pm_name} (âge : ${pm_age}). Est-ce exact ?</t>
  </si>
  <si>
    <t>10. Kun nuna cewa kuna ƙoƙarin yin hira da ${pm_name} (shekaru: ${pm_age}). Ko hakan daidai ne?</t>
  </si>
  <si>
    <t>Standard note field (read-only).</t>
  </si>
  <si>
    <t>${pm_missed_previous_country} = -777</t>
  </si>
  <si>
    <t>Tahoua</t>
  </si>
  <si>
    <t>11. Who are you trying to interview? Here are the other respondents in this household:</t>
  </si>
  <si>
    <t>11. Qui essayez-vous d’interroger ? Voici les autres répondants de ce ménage :</t>
  </si>
  <si>
    <t>11. Wanene kuke ƙoƙarin yin hira da shi ? Ga sauran masu bada amsa a wannan gidan:</t>
  </si>
  <si>
    <t>Tillaberi</t>
  </si>
  <si>
    <t>pm_missed_previous_country_code</t>
  </si>
  <si>
    <t>12. End of survey. Please return and fill out the SHM survey to collect survey responses.</t>
  </si>
  <si>
    <t>12. Fin de l'enquête. Veuillez revenir et remplir l'enquête du SHM pour collecter les réponses aux questions.</t>
  </si>
  <si>
    <t>12. Ƙarshen binciken kenan. Da fatan za a dawo baya a cika binciken SHM don tattara amsoshin binciken.</t>
  </si>
  <si>
    <t>if(${pm_missed_in_niger} = 1, 1, ${pm_missed_previous_country})</t>
  </si>
  <si>
    <t>13. End of survey. Please return and fill out the Woman survey to collect survey responses.</t>
  </si>
  <si>
    <t>13. Fin de l'enquête. Veuillez revenir et remplir l'enquête de la Femme pour collecter les réponses aux questions.</t>
  </si>
  <si>
    <t>Zinder</t>
  </si>
  <si>
    <t>select_one towns</t>
  </si>
  <si>
    <t>pm_missed_previous_town</t>
  </si>
  <si>
    <t>24. Enumerator: Select town</t>
  </si>
  <si>
    <t>13. Ƙarshen binciken. Da fatan za a dawo baya a cika binciken Mace don tattara amsoshin binciken.</t>
  </si>
  <si>
    <t>24. Enquêteur : Sélectionnez la ville</t>
  </si>
  <si>
    <t>24. Ɗan bincike: Zaɓi gari</t>
  </si>
  <si>
    <t>search('towns', 'matches', 'country_id', ${pm_missed_previous_country})</t>
  </si>
  <si>
    <t>14. Is ${pm_name} available to be interviewed?</t>
  </si>
  <si>
    <t>14. Est-ce que ${pm_name} est disponible pour être interviewé ?</t>
  </si>
  <si>
    <t>14. Ko ${pm_name} yana da damar yin hira mu?</t>
  </si>
  <si>
    <t>pm_missed_previous_town_o</t>
  </si>
  <si>
    <t>25. Enumerator: Select town</t>
  </si>
  <si>
    <t>25. Enquêteur : Sélectionnez la ville</t>
  </si>
  <si>
    <t>25. Ɗan bincike: Zaɓi gari</t>
  </si>
  <si>
    <t>15. Enumerator: Please specify why ${pm_name} is not available right now:</t>
  </si>
  <si>
    <t>15. Enqueteur: veuillez specifier pourquoi ${pm_name} n'est pas disponible maintenant</t>
  </si>
  <si>
    <t>15. Dan binkike: dan mine ${pm_name} bai nan a yanzu</t>
  </si>
  <si>
    <t>towns</t>
  </si>
  <si>
    <t>town_id</t>
  </si>
  <si>
    <t>town_name</t>
  </si>
  <si>
    <t>16. Other, specify:</t>
  </si>
  <si>
    <t>pm_missed_previous_town_id</t>
  </si>
  <si>
    <t>16. Autre précisez:</t>
  </si>
  <si>
    <t>16. Sauran, bayar da cikakkun bayanai:</t>
  </si>
  <si>
    <t>concat(${pm_missed_previous_country}, '-', ${pm_missed_previous_town})</t>
  </si>
  <si>
    <t>14. Think about ${pm_missed_period}, during this time were you living at home in ${pm_home_location}?</t>
  </si>
  <si>
    <t>14. Pensez à ${pm_missed_period_french}, pendant ce temps, vous viviez à la maison dans ${pm_home_location}?</t>
  </si>
  <si>
    <t>14. Tuna da ${pm_missed_period_hausa}, a wannan lokacin kuna zaune a gida a ${pm_home_location}?</t>
  </si>
  <si>
    <t>pm_missed_previous_town_name</t>
  </si>
  <si>
    <t>18. &lt;p&gt;&lt;span style="color: #ff0000;"&gt;&lt;b&gt;ENUMERATOR: Starting now, you will read the questions out loud.&lt;/b&gt;&lt;/span&gt;
 &lt;br&gt; &lt;br&gt; 
 Great, I am visiting to ask you questions to learn about how you have been since the last time you spoke with us.&lt;br&gt; &lt;br&gt; 
 To remind you, we asked your permission to visit you once every 6 months and reach you by phone between our in-person visits. If you complete each in-person survey, we will send you ${treatment_cfa} in phone credit each time. You are free to skip any questions you do not wish to answer or to end the survey at any time. &lt;br&gt;&lt;br&gt;
 &lt;b&gt;Can I ask you these questions now?&lt;/b&gt;</t>
  </si>
  <si>
    <t>18. &lt;p&gt;&lt;span style="color: #ff0000;"&gt;&lt;b&gt;ENQUETEUR : À partir de maintenant, vous lirez les questions à haute voix.&lt;/b&gt;&lt;/span&gt;
 &lt;br&gt; &lt;br&gt; 
 Super, je viens vous poser des questions afin de savoir comment vous allez depuis la dernière fois que vous nous avez parlé.
 &lt;br&gt; &lt;br&gt; 
 Pour rappel, nous avons demandé votre autorisation pour vous rendre visite une fois tous les 6 mois. Si vous répondez à chaque enquête en personne, nous vous enverrons à chaque fois ${treatment_cfa} de crédit téléphonique. Vous êtes libre de sauter les questions auxquelles vous ne souhaitez pas répondre ou de mettre fin à l'enquête à tout moment.&lt;br&gt;&lt;br&gt;
 &lt;b&gt;Puis-je vous poser ces questions maintenant?&lt;/b&gt;</t>
  </si>
  <si>
    <t>18. &lt;p&gt;&lt;span style="color: #ff0000;"&gt;&lt;b&gt;Mai bincike: Daga yanzu, za ka karanta tambayoyin da babbar murya.&lt;/b&gt;&lt;/span&gt;
 &lt;br&gt; &lt;br&gt; 
 Madalla, na ziyarce ku ne domin in yi muku tambayoyi don sanin yadda kuka kasance tun lokacin da kuka yi magana da mu.&lt;br&gt; &lt;br&gt; 
 Don tunatar da ku, mun nemi izinin ku don ziyartar ku sau ɗaya a kowane watanni Idan kun bada amsa ga kowane binciken na gaba da gaba, za mu aika muku ${treatment_cfa} a kuɗin waya kowane lokaci. Kuna da ƴanci tsallake kowace tambaya idan ba ku so bada amsa ba ko tsaida binciken gaba ɗaya a kowane lokaci.&lt;br&gt;&lt;br&gt;
 &lt;b&gt;Zan iya yi muku wadannan tambayoyin yanzu?&lt;/b&gt;</t>
  </si>
  <si>
    <t>Wni daban</t>
  </si>
  <si>
    <t>if(${pm_missed_previous_country} = -777, ${pm_missed_previous_town_o}, pulldata('towns', 'town_name', 'combined_id', ${pm_missed_previous_town_id}))</t>
  </si>
  <si>
    <t>subscriberid</t>
  </si>
  <si>
    <t>pm_missed_location</t>
  </si>
  <si>
    <t>16. We were not able to contact you during ${pm_missed_period} and want to ask you a few questions about your life during this time.</t>
  </si>
  <si>
    <t>16. Nous n'avons pas pu vous contacter pendant ${pm_missed_period_french} et nous voulons vous poser quelques questions sur votre vie pendant cette période.</t>
  </si>
  <si>
    <t>16. Ba mu samu tuntuɓar ku yayin ${pm_missed_period_hausa} kuma muna son mu yi muku wasu tambayoyi game da rayuwar ku a wannan lokacin.</t>
  </si>
  <si>
    <t>countries</t>
  </si>
  <si>
    <t>17. Think about ${pm_missed_period}, during this time were you living at home in ${pm_home_location}?</t>
  </si>
  <si>
    <t>17. Pensez à ${pm_missed_period_french}, pendant ce temps, vous viviez à la maison dans ${pm_home_location}?</t>
  </si>
  <si>
    <t>17. Tuna da ${pm_missed_period_hausa}, a wannan lokacin kuna zaune a gida a ${pm_home_location}?</t>
  </si>
  <si>
    <t>Niger</t>
  </si>
  <si>
    <t>Nijar</t>
  </si>
  <si>
    <t>simserial</t>
  </si>
  <si>
    <t>Algeria</t>
  </si>
  <si>
    <t>Algérie</t>
  </si>
  <si>
    <t>Aljeriya</t>
  </si>
  <si>
    <t>if(relevant(${pm_missed_previous_region}), choice-label(${pm_missed_previous_region}, ${pm_missed_previous_region}), ${pm_missed_previous_town_name})</t>
  </si>
  <si>
    <t>Benin</t>
  </si>
  <si>
    <t>Bénin</t>
  </si>
  <si>
    <t>pm_missed_location_weeks</t>
  </si>
  <si>
    <t>26. How many weeks did you spend in ${pm_missed_location} during ${pm_missed_period}?</t>
  </si>
  <si>
    <t>26. Combien de semaines avez-vous passées à ${pm_missed_location} entre ${pm_missed_period_french} ?</t>
  </si>
  <si>
    <t>26. Tsawon sati nawa ne ka zauna a ${pm_missed_period_hausa} lokacin ${pm_missed_period}?</t>
  </si>
  <si>
    <t>18. Enumerator: Select country</t>
  </si>
  <si>
    <t>18. Enquêteur : sélectionnez le pays</t>
  </si>
  <si>
    <t>18. Ɗan bincike: Zaɓi ƙasa</t>
  </si>
  <si>
    <t>. &gt; 0 and . &lt; 20</t>
  </si>
  <si>
    <t>Burkina Faso</t>
  </si>
  <si>
    <t>19. Where were you ${pm_miss_previous_answer}?
 Enumerator: Is location in Niger?</t>
  </si>
  <si>
    <t>19. Où étiez-vous ${pm_miss_previous_answer} ?
 Enquêteur : La localité est-elle au Niger ?</t>
  </si>
  <si>
    <t>19. A ina kuka ${pm_miss_previous_answer}?
 Ɗan bincike : Ko wurin a Nijar ne?</t>
  </si>
  <si>
    <t>pm_missed_any_work</t>
  </si>
  <si>
    <t>27. Did you work for pay in ${pm_missed_location} during ${pm_missed_period}?</t>
  </si>
  <si>
    <t>27. Avez-vous travaillé contre Paiement dans ${pm_missed_location} pendant ${pm_missed_period_french}?</t>
  </si>
  <si>
    <t>27. Ko kun yi wani aikin biya a ${pm_missed_location} lokacin ${pm_missed_period}?</t>
  </si>
  <si>
    <t>19. PM Questions</t>
  </si>
  <si>
    <t>19. Questions du Migrant potentiel</t>
  </si>
  <si>
    <t>19. Tambayoyin mai zuwa biɗa</t>
  </si>
  <si>
    <t>Cameroon</t>
  </si>
  <si>
    <t>Cameroun</t>
  </si>
  <si>
    <t>Kamaru</t>
  </si>
  <si>
    <t>pm_missed_activity_payment_amt</t>
  </si>
  <si>
    <t>28. Thinking about income from all the jobs you worked, in ${pm_missed_location} during ${pm_missed_period}, approximately how much did you earn each week?</t>
  </si>
  <si>
    <t>28. En pensant aux revenus de tous les emplois que vous avez occupés, dans ${pm_missed_location} pendant ${pm_missed_period_french}, combien avez-vous gagné chaque semaine?</t>
  </si>
  <si>
    <t>28. Tuna da samun kuɗin da ka yi ga dukkan ayyukan da ka yi, a ${pm_missed_location} a lokacin ${pm_missed_period_hausa}, misalin nawa kake samu a kowane sati?</t>
  </si>
  <si>
    <t>Cote d'Ivoire</t>
  </si>
  <si>
    <t>. &gt;= 0</t>
  </si>
  <si>
    <t>Côte d'Ivoire</t>
  </si>
  <si>
    <t>Cote d'Ivoire/Abija</t>
  </si>
  <si>
    <t>${pm_missed_any_work} = 1</t>
  </si>
  <si>
    <t>comments</t>
  </si>
  <si>
    <t>Gambia</t>
  </si>
  <si>
    <t>Gambie</t>
  </si>
  <si>
    <t>pm_missed_activity_weeks</t>
  </si>
  <si>
    <t>29. How many total weeks did you work for pay?</t>
  </si>
  <si>
    <t>29. Combien de semaines au total avez-vous travaillé pour le salaire?</t>
  </si>
  <si>
    <t>29. Gaba ɗaya tsawon sati nawa ka yi aikin albashi?</t>
  </si>
  <si>
    <t>20. We were not able to contact you during ${pm_missed_period} and want to ask you a few questions about your life during this time.</t>
  </si>
  <si>
    <t>. &gt;= 0 and . &lt;= ${pm_missed_location_weeks}</t>
  </si>
  <si>
    <t>20. Nous n'avons pas pu vous contacter pendant ${pm_missed_period_french} et nous voulons vous poser quelques questions sur votre vie pendant cette période.</t>
  </si>
  <si>
    <t>20. Ba mu samu tuntuɓar ku yayin ${pm_missed_period_hausa} kuma muna son mu yi muku wasu tambayoyi game da rayuwar ku a wannan lokacin.</t>
  </si>
  <si>
    <t>Gabon</t>
  </si>
  <si>
    <t>21. Think about ${pm_missed_period}. During this time, did you spend at least one week (7 days) anywhere other than ${pm_home_location}?</t>
  </si>
  <si>
    <t>21. Pensez à ${pm_missed_period_french}. Pendant cette période, avez-vous passé au moins une semaine (7 jours) ailleurs que ${pm_home_location} ?</t>
  </si>
  <si>
    <t>21. Ku tuna da lokacin ${pm_missed_period_hausa}. A wannan lokacin, ko kun zauna aƙalla sati ɗaya (kwana 7) a wani wuri banda ${pm_home_location}?</t>
  </si>
  <si>
    <t>pm_missed_income</t>
  </si>
  <si>
    <t>Calculate income total for missed_location</t>
  </si>
  <si>
    <t>(${age1}+${age2}+${age3}) div 3</t>
  </si>
  <si>
    <t>${pm_missed_activity_payment_amt} * ${pm_missed_activity_weeks}</t>
  </si>
  <si>
    <t>Ghana</t>
  </si>
  <si>
    <t>22. Please list all of the places you spent more than one week during ${pm_missed_period} other than ${pm_home_location}. How many places?</t>
  </si>
  <si>
    <t>22. Veuillez énumérer tous les lieux où vous avez passé plus d'une semaine entre ${pm_missed_period_french} autre que ${pm_home_location}. Combien de lieux ?</t>
  </si>
  <si>
    <t>22. Ko za ku gaya mini duk wuraren da kuka zauna sama da sati guda a lokacin ${pm_missed_period_hausa} da ba ${pm_home_location}. Wuri nawa ne?</t>
  </si>
  <si>
    <t>pm_missed_skip_meals</t>
  </si>
  <si>
    <t>30. In a typical week did you cut the size of meals or skipped meals?</t>
  </si>
  <si>
    <t>30. Au cours d'une semaine normale, avez-vous réduit la taille des repas ou sauté des repas ?</t>
  </si>
  <si>
    <t>once(format-date-time(now(), '%Y-%b-%e %H:%M:%S'))</t>
  </si>
  <si>
    <t>30. A cikin mako guda ko kun rage yawan abincin da kuka saba ci ko kun tsallake abincin gaba ɗaya?</t>
  </si>
  <si>
    <t>23. Enumerator: Select town</t>
  </si>
  <si>
    <t>23. Enquêteur : Sélectionnez la ville</t>
  </si>
  <si>
    <t>23. Ɗan bincike: Zaɓi gari</t>
  </si>
  <si>
    <t>Guinea</t>
  </si>
  <si>
    <t>Guinée</t>
  </si>
  <si>
    <t>Gini</t>
  </si>
  <si>
    <t>pm_missed_skip_meals_num</t>
  </si>
  <si>
    <t>p = 50</t>
  </si>
  <si>
    <t>31. How many days?</t>
  </si>
  <si>
    <t>31. Combien de jours?</t>
  </si>
  <si>
    <t>31. Kwanaki nawa?</t>
  </si>
  <si>
    <t>. &gt;= 0 and . &lt;= 7</t>
  </si>
  <si>
    <t>${pm_missed_skip_meals} = 1</t>
  </si>
  <si>
    <t>Libya</t>
  </si>
  <si>
    <t>Libye</t>
  </si>
  <si>
    <t>24. Thinking about income from all the jobs you worked, in ${pm_missed_location} during ${pm_missed_period}, approximately how much did you earn each week?</t>
  </si>
  <si>
    <t>24. En pensant aux revenus de tous les emplois que vous avez occupés, dans ${pm_missed_location} pendant ${pm_missed_period_french}, combien avez-vous gagné chaque semaine?</t>
  </si>
  <si>
    <t>24. Idan kuka tuna da samun kudi daga dukkan ayyukan da kuka yi, a ${pm_missed_location} a lokacin ${pm_missed_period_hausa}, misalin nawa kuke samu a kowane sati?</t>
  </si>
  <si>
    <t>p = 50; eventlog; choices</t>
  </si>
  <si>
    <t>pm_missed_period_note</t>
  </si>
  <si>
    <t>32. Now I will ask about some things that may have happened to you during ${pm_missed_period}. Think about all the time you spent in ${pm_missed_location} during ${pm_missed_period} when answering these questions</t>
  </si>
  <si>
    <t>Mali</t>
  </si>
  <si>
    <t>32. Maintenant, je vais vous poser des questions sur certaines choses qui pourraient vous être arrivées à ${pm_missed_location} de ${pm_missed_period_french}.
 Pensez à tout le temps que vous avez passé à ${pm_missed_location} de ${pm_missed_period_french} lorsque vous répondez à ces questions</t>
  </si>
  <si>
    <t>32. Yanzu zan yi tambaya game da wasu abubuwa da wataƙila sun faru da ku a cikin ${pm_missed_location} lokacin ${pm_missed_period_hausa}.
 Ka tuna da duk lokacin da ka zauna a ${pm_missed_location} lokacin ${pm_missed_period_hausa} lokacin amsa waɗannan tambayoyin</t>
  </si>
  <si>
    <t>23. Where were you ${pm_miss_previous_answer}?
 Enumerator: Is location in Niger?</t>
  </si>
  <si>
    <t>23. Où étiez-vous ${pm_miss_previous_answer} ?
 Enquêteur : La localité est-elle au Niger ?</t>
  </si>
  <si>
    <t>23. A ina kuke ${pm_miss_previous_answer}?
 Ɗan bincike : Ko wurin a Nijar ne?</t>
  </si>
  <si>
    <t>Senegal</t>
  </si>
  <si>
    <t>Sénégal</t>
  </si>
  <si>
    <t>audio audit</t>
  </si>
  <si>
    <t>24. Enumerator: Select region in Niger</t>
  </si>
  <si>
    <t>24. Enquêteur : Sélectionnez une région au Niger</t>
  </si>
  <si>
    <t>p = 50; s = 0; d = 60</t>
  </si>
  <si>
    <t>24. Ɗan bincike: Zaɓi Jaha ɗaya a Nijar</t>
  </si>
  <si>
    <t>pm_missed_vict</t>
  </si>
  <si>
    <t>field-list</t>
  </si>
  <si>
    <t>Togo</t>
  </si>
  <si>
    <t>25. Enumerator: Select country</t>
  </si>
  <si>
    <t>25. Enquêteur : sélectionnez le pays</t>
  </si>
  <si>
    <t>25. Ɗan bincike: Zaɓi ƙasa</t>
  </si>
  <si>
    <t>Cape Verde</t>
  </si>
  <si>
    <t>Cap-Vert</t>
  </si>
  <si>
    <t>p = 50; s = 0-600; d = 60</t>
  </si>
  <si>
    <t>pm_missed_experience_note</t>
  </si>
  <si>
    <t>33. Have you experienced any of the following in ${pm_missed_location} during ${pm_missed_period}?</t>
  </si>
  <si>
    <t>26. Enumerator: Enter other country</t>
  </si>
  <si>
    <t>33. Avez-vous vécu l'une des situations suivantes à cet endroit entre ${pm_missed_period_french} ?</t>
  </si>
  <si>
    <t>26. Enquêteur : Entrez un autre pays</t>
  </si>
  <si>
    <t>33. Ko ka taɓa fuskantar ɗayan waɗannan abubuwa a wannan wurin, lokacin ${pm_missed_period_hausa}?</t>
  </si>
  <si>
    <t>26. Ɗan bincike: Shigar da wata ƙasa</t>
  </si>
  <si>
    <t>Guinea-Bissau</t>
  </si>
  <si>
    <t>Guinée-Bissau</t>
  </si>
  <si>
    <t>p = 50; s = firstfield; d = lastfield</t>
  </si>
  <si>
    <t>pm_missed_phys_attacked</t>
  </si>
  <si>
    <t>34. Physical attack</t>
  </si>
  <si>
    <t>27. Thinking about income from all the jobs you worked, in ${pm_missed_location} during ${pm_missed_period}, approximately how much did you earn each week?</t>
  </si>
  <si>
    <t>34. Attaque physique</t>
  </si>
  <si>
    <t>27. En pensant aux revenus de tous les emplois que vous avez occupés, dans ${pm_missed_location} pendant ${pm_missed_period_french}, combien avez-vous gagné chaque semaine?</t>
  </si>
  <si>
    <t>Liberia</t>
  </si>
  <si>
    <t>34. harin jiki</t>
  </si>
  <si>
    <t>27. Idan kuka tuna da samun kudi daga dukkan ayyukan da kuka yi, a ${pm_missed_location} a lokacin ${pm_missed_period_hausa}, misalin nawa kuke samu a kowane sati?</t>
  </si>
  <si>
    <t>Libéria</t>
  </si>
  <si>
    <t>list-nolabel</t>
  </si>
  <si>
    <t>Laberiya</t>
  </si>
  <si>
    <t>27. Enumerator: Select town</t>
  </si>
  <si>
    <t>27. Enquêteur : Sélectionnez la ville</t>
  </si>
  <si>
    <t>27. Ɗan bincike: Zaɓi gari</t>
  </si>
  <si>
    <t>groupname</t>
  </si>
  <si>
    <t>Standard group</t>
  </si>
  <si>
    <t>pm_missed_phys_threat</t>
  </si>
  <si>
    <t>35. Threat of physical violence/attack</t>
  </si>
  <si>
    <t>35. Menace de violence physique/agression</t>
  </si>
  <si>
    <t>35. Barazanar ​​harin jiki</t>
  </si>
  <si>
    <t>Nigeria</t>
  </si>
  <si>
    <t>Najeriya</t>
  </si>
  <si>
    <t>28. Enumerator: Select town</t>
  </si>
  <si>
    <t>28. Enquêteur : Sélectionnez la ville</t>
  </si>
  <si>
    <t>28. Ɗan bincike: Zaɓi gari</t>
  </si>
  <si>
    <t>pm_missed_theft</t>
  </si>
  <si>
    <t>36. Theft of either money or property?</t>
  </si>
  <si>
    <t>…</t>
  </si>
  <si>
    <t>36. Vol d'argent ou de biens ?</t>
  </si>
  <si>
    <t>36. Satar kudi ko kaya?</t>
  </si>
  <si>
    <t>Sierra Leone</t>
  </si>
  <si>
    <t>Saliyo</t>
  </si>
  <si>
    <t>pm_missed_arrest</t>
  </si>
  <si>
    <t>37. Detention or arrest by state security forces?</t>
  </si>
  <si>
    <t>37. Détention ou arrestation par les forces de sécurité de l'État ?</t>
  </si>
  <si>
    <t>37. Kaso ko kamu daga jami'an tsaron gwamnati?</t>
  </si>
  <si>
    <t>29. In a typical week did you cut the size of meals or skipped meals?</t>
  </si>
  <si>
    <t>29. Au cours d'une semaine typique, avez-vous réduit la taille des repas ou sauté des repas ?</t>
  </si>
  <si>
    <t>29. A cikin mako guda ko kun rage yawan abincin da kuka saba ci ko kun tsallake abincin?</t>
  </si>
  <si>
    <t>Central African Republic</t>
  </si>
  <si>
    <t>République centrafricaine</t>
  </si>
  <si>
    <t>Jamhuriyar Afirka ta Tsakiya</t>
  </si>
  <si>
    <t>pm_missed_illness</t>
  </si>
  <si>
    <t>38. Illness or injury that disrupted your daily life?</t>
  </si>
  <si>
    <t>38. Une maladie ou une blessure qui a perturbé votre quotidien ?</t>
  </si>
  <si>
    <t>30. How many days?</t>
  </si>
  <si>
    <t>38. Rashin lafiya ko rauni wanda ya kawo cikas ga rayuwarku ta yau da kullun?</t>
  </si>
  <si>
    <t>30. Combien de jours?</t>
  </si>
  <si>
    <t>30. Kwanaki nawa?</t>
  </si>
  <si>
    <t>repeatname</t>
  </si>
  <si>
    <t>Chad</t>
  </si>
  <si>
    <t>Standard repeated group</t>
  </si>
  <si>
    <t>Tchad</t>
  </si>
  <si>
    <t>Cadi</t>
  </si>
  <si>
    <t>31. Now I will ask about some things that may have happened to you during ${pm_missed_period}. Think about all the time you spent in ${pm_missed_location} during ${pm_missed_period} when answering these questions</t>
  </si>
  <si>
    <t>31. Maintenant, je vais vous poser des questions sur certaines choses qui pourraient vous être arrivées à ${pm_missed_location} de ${pm_missed_period_french}.
 Pensez à tout le temps que vous avez passé à ${pm_missed_location} de ${pm_missed_period_french} lorsque vous répondez à ces questions</t>
  </si>
  <si>
    <t>31. Yanzu zan yi tambaya game da wasu abubuwa da wataƙila sun faru da ku a cikin ${pm_missed_location} lokacin ${pm_missed_period_hausa}.
 Ku yi tunani game da duk lokacin da kuka zauna a ${pm_missed_location} lokacin ${pm_missed_period_hausa} lokacin amsa waɗannan tambayoyin</t>
  </si>
  <si>
    <t>29. How many weeks did you spend in ${pm_missed_location} during ${pm_missed_period}?</t>
  </si>
  <si>
    <t>29. Combien de semaines avez-vous passées à ${pm_missed_location} entre ${pm_missed_period_french} ?</t>
  </si>
  <si>
    <t>29. Tsawon sati nawa ne ka zauna a ${pm_missed_period_hausa} lokacin ${pm_missed_period}?</t>
  </si>
  <si>
    <t>pm_missed_location_not_home</t>
  </si>
  <si>
    <t>Another location during missed followup</t>
  </si>
  <si>
    <t>30. Did you work for pay in ${pm_missed_location} during ${pm_missed_period}?</t>
  </si>
  <si>
    <t>30. Avez-vous travaillé contre Paiement dans ${pm_missed_location} pendant ${pm_missed_period_french}?</t>
  </si>
  <si>
    <t>${pm_missed_location} != ${pm_home_location}</t>
  </si>
  <si>
    <t>30. Ko kun yi wani aikin biya a ${pm_missed_location} lokacin ${pm_missed_period}?</t>
  </si>
  <si>
    <t>end repeat</t>
  </si>
  <si>
    <t>select_one purpose</t>
  </si>
  <si>
    <t>pm_missed_location_purpose</t>
  </si>
  <si>
    <t>39. What was the main reason you spent time in ${pm_missed_location} during ${pm_missed_period}?</t>
  </si>
  <si>
    <t>31. Thinking about income from all the jobs you worked, in ${pm_missed_location} during ${pm_missed_period}, approximately how much did you earn each week?</t>
  </si>
  <si>
    <t>39. Quelle est la principale raison pour laquelle vous avez passé du temps à ${pm_missed_location} pendant ${pm_missed_period_french} ?</t>
  </si>
  <si>
    <t>31. En pensant aux revenus de tous les emplois que vous avez occupés, dans ${pm_missed_location} pendant ${pm_missed_period_french}, combien avez-vous gagné chaque semaine?</t>
  </si>
  <si>
    <t>39. Menene babban dalilin da ya sa ka zauna tsawon wani lokaci a ${pm_missed_location} lokacin ${pm_missed_period_hausa}?</t>
  </si>
  <si>
    <t>31. Tuna da samun kuɗin da ka yi ga dukkan ayyukan da ka yi, a ${pm_missed_location} a lokacin ${pm_missed_period_hausa}, misalin nawa kake samu a kowane sati?</t>
  </si>
  <si>
    <t>whyno_in</t>
  </si>
  <si>
    <t>Permanently moved away from household</t>
  </si>
  <si>
    <t>Définitivement parti du ménage</t>
  </si>
  <si>
    <t>Ya yi ƙaura daga gidan nan na dindindin</t>
  </si>
  <si>
    <t>Group repeated exactly three times</t>
  </si>
  <si>
    <t>32. How many total weeks did you work for pay?</t>
  </si>
  <si>
    <t>32. Combien de semaines au total avez-vous travaillé pour le salaire?</t>
  </si>
  <si>
    <t>32. Gaba ɗaya tsawon sati nawa ka yi aikin albashi?</t>
  </si>
  <si>
    <t>pm_missed_share_income</t>
  </si>
  <si>
    <t>40. In ${pm_missed_location} during ${pm_missed_period} did you share money with your household in ${pm_home_location}?</t>
  </si>
  <si>
    <t>40. À ${pm_missed_location} pendant ${pm_missed_period_french} avez-vous envoyé de l'argent a votre ménage à ${pm_home_location} ?</t>
  </si>
  <si>
    <t>Married out of family</t>
  </si>
  <si>
    <t>40. A cikin ${pm_missed_location} lokacin ${pm_missed_period_hausa} kun aika kuɗi zuwa gidanku a ${pm_home_location}?</t>
  </si>
  <si>
    <t>Marié hors famille</t>
  </si>
  <si>
    <t>Ya yi aure a wani gidan daban.</t>
  </si>
  <si>
    <t>Divorced</t>
  </si>
  <si>
    <t>Divorcé</t>
  </si>
  <si>
    <t>An rabu</t>
  </si>
  <si>
    <t>33. In a typical week did you cut the size of meals or skipped meals?</t>
  </si>
  <si>
    <t>33. Au cours d'une semaine normale, avez-vous réduit la taille des repas ou sauté des repas ?</t>
  </si>
  <si>
    <t>33. A cikin mako guda ko kun rage yawan abincin da kuka saba ci ko kun tsallake abincin gaba ɗaya?</t>
  </si>
  <si>
    <t>pm_missed_location_not_home_list</t>
  </si>
  <si>
    <t>Deceased</t>
  </si>
  <si>
    <t>Décédé</t>
  </si>
  <si>
    <t>Ya Mutu</t>
  </si>
  <si>
    <t>34. How many days?</t>
  </si>
  <si>
    <t>34. Combien de jours?</t>
  </si>
  <si>
    <t>34. Kwanaki nawa?</t>
  </si>
  <si>
    <t>35. Now I will ask about some things that may have happened to you during ${pm_missed_period}. Think about all the time you spent in ${pm_missed_location} during ${pm_missed_period} when answering these questions</t>
  </si>
  <si>
    <t>35. Maintenant, je vais vous poser des questions sur certaines choses qui pourraient vous être arrivées à ${pm_missed_location} de ${pm_missed_period_french}.
 Pensez à tout le temps que vous avez passé à ${pm_missed_location} de ${pm_missed_period_french} lorsque vous répondez à ces questions</t>
  </si>
  <si>
    <t>35. Yanzu zan yi tambaya game da wasu abubuwa da wataƙila sun faru da ku a cikin ${pm_missed_location} lokacin ${pm_missed_period_hausa}.
 Ka tuna da duk lokacin da ka zauna a ${pm_missed_location} lokacin ${pm_missed_period_hausa} lokacin amsa waɗannan tambayoyin</t>
  </si>
  <si>
    <t>select_one experience</t>
  </si>
  <si>
    <t>pm_missed_forced_note</t>
  </si>
  <si>
    <t>41. In ${pm_missed_location}, did you experienced any of the following situations or been threatened with them in a workplace?</t>
  </si>
  <si>
    <t>41. À ${pm_missed_location}, avez-vous vécu l'une des situations suivantes ou en avez-vous été menacé sur votre lieu de travail ?</t>
  </si>
  <si>
    <t>41. A ${pm_missed_location}, ko ka fuskanci ɗaya daga cikin waɗannan abubuwa ko an yi muku barazana da su a wurin aikin ku?</t>
  </si>
  <si>
    <t>speed violations count</t>
  </si>
  <si>
    <t>illness</t>
  </si>
  <si>
    <t>39. Menene babban dalilin da kuka zauna wani lokaci a ${pm_missed_location} lokacin ${pm_missed_period_hausa}?</t>
  </si>
  <si>
    <t>malaria</t>
  </si>
  <si>
    <t>Paludisme</t>
  </si>
  <si>
    <t>Masassarar cizon sauro</t>
  </si>
  <si>
    <t>pm_missed_forced_docs</t>
  </si>
  <si>
    <t>42. Had passport or other papers taken away</t>
  </si>
  <si>
    <t>speed violations list</t>
  </si>
  <si>
    <t>42. confisquer votre Passeport ou autres papiers</t>
  </si>
  <si>
    <t>42. An karɓe muku fasfo ko wasu takardu</t>
  </si>
  <si>
    <t>tuberculosis</t>
  </si>
  <si>
    <t>Tuberculose</t>
  </si>
  <si>
    <t>37. Have you experienced any of the following in ${pm_missed_location} during ${pm_missed_period}?</t>
  </si>
  <si>
    <t>Babban Tari</t>
  </si>
  <si>
    <t>37. Avez-vous vécu l'une des situations suivantes à cet endroit entre ${pm_missed_period_french} ?</t>
  </si>
  <si>
    <t>37. Ko ka taɓa fuskantar ɗayan waɗannan abubuwa a wannan wurin, lokacin ${pm_missed_period_hausa}?</t>
  </si>
  <si>
    <t>38. Physical attack</t>
  </si>
  <si>
    <t>38. Attaque physique</t>
  </si>
  <si>
    <t>38. harin jiki</t>
  </si>
  <si>
    <t>yellow fever</t>
  </si>
  <si>
    <t>Fièvre jaune</t>
  </si>
  <si>
    <t>speed violations audit</t>
  </si>
  <si>
    <t>Farar masassara</t>
  </si>
  <si>
    <t>pm_missed_forced_no_contact</t>
  </si>
  <si>
    <t>43. Been prevented from contacting friends or family</t>
  </si>
  <si>
    <t>v = 5; d = 120</t>
  </si>
  <si>
    <t>43. Vous avez été empêché de contacter vos amis ou votre famille</t>
  </si>
  <si>
    <t>43. An hana ku tuntuɓar abokai ko dangi</t>
  </si>
  <si>
    <t>39. Threat of physical violence/attack</t>
  </si>
  <si>
    <t>39. Menace de violence physique/agression</t>
  </si>
  <si>
    <t>39. Barazanar ​​harin jiki</t>
  </si>
  <si>
    <t>typhoid</t>
  </si>
  <si>
    <t>Typhoïde</t>
  </si>
  <si>
    <t>Masassarar kayan ɗanye</t>
  </si>
  <si>
    <t>40. Theft of either money or property?</t>
  </si>
  <si>
    <t>40. Vol d'argent ou de biens ?</t>
  </si>
  <si>
    <t>40. Satar kudi ko kaya?</t>
  </si>
  <si>
    <t>sensor_stream movement</t>
  </si>
  <si>
    <t>cholera</t>
  </si>
  <si>
    <t>Choléra</t>
  </si>
  <si>
    <t>kwalara</t>
  </si>
  <si>
    <t>41. Detention or arrest by state security forces?</t>
  </si>
  <si>
    <t>41. Détention ou arrestation par les forces de sécurité de l'État ?</t>
  </si>
  <si>
    <t>41. Kaso ko kamu daga jami'an tsaron gwamnati?</t>
  </si>
  <si>
    <t>pm_missed_forced_no_pay</t>
  </si>
  <si>
    <t>44. Been paid less than promised or not paid when promised</t>
  </si>
  <si>
    <t>44. A été payé moins que promis ou n'a pas été payé lorsque promis</t>
  </si>
  <si>
    <t>44. An biya ku ƙasa da abin da aka yi muku alkawari ko kuma ba a biya ku ba lokacin da aka yi alkawari</t>
  </si>
  <si>
    <t>period = 1</t>
  </si>
  <si>
    <t>42. Illness or injury that disrupted your daily life?</t>
  </si>
  <si>
    <t>diarrhea</t>
  </si>
  <si>
    <t>42. Une maladie ou une blessure qui a perturbé votre quotidien ?</t>
  </si>
  <si>
    <t>Diarrhée</t>
  </si>
  <si>
    <t>42. Rashin lafiya ko rauni wanda ya kawo cikas ga rayuwarku ta yau da kullun?</t>
  </si>
  <si>
    <t>zawo</t>
  </si>
  <si>
    <t>sensor_statistic pct_movement_between</t>
  </si>
  <si>
    <t>meningitis</t>
  </si>
  <si>
    <t>Méningite</t>
  </si>
  <si>
    <t>Sanƙarau</t>
  </si>
  <si>
    <t>45. Been forced to pay off a debt to my employer before I could leave</t>
  </si>
  <si>
    <t>45. A été obligé de payer une dette à mon employeur avant de pouvoir partir</t>
  </si>
  <si>
    <t>45. Tilasta biyan bashi ga mai gida kafin tafiya</t>
  </si>
  <si>
    <t>pm_missed_forced_debt</t>
  </si>
  <si>
    <t>45. An tilasta muku biyan bashi ga mai gida kafin ku bar wurin aikin</t>
  </si>
  <si>
    <t>min = 0.25; max = 2</t>
  </si>
  <si>
    <t>46. Experienced violence or physical restraint</t>
  </si>
  <si>
    <t>46. Victime de violence ou de contrainte physique</t>
  </si>
  <si>
    <t>46. Zalunci ko wata kallafawa na jiki</t>
  </si>
  <si>
    <t>chicken pox</t>
  </si>
  <si>
    <t>Varicelle</t>
  </si>
  <si>
    <t>Kashin kaji/Farankama</t>
  </si>
  <si>
    <t>43. What was the main reason you spent time in ${pm_missed_location} during ${pm_missed_period}?</t>
  </si>
  <si>
    <t>43. Quelle est la principale raison pour laquelle vous avez passé du temps à ${pm_missed_location} pendant ${pm_missed_period_french} ?</t>
  </si>
  <si>
    <t>43. Menene babban dalilin da ya sa ka zauna tsawon wani lokaci a ${pm_missed_location} lokacin ${pm_missed_period_hausa}?</t>
  </si>
  <si>
    <t>pneumonia</t>
  </si>
  <si>
    <t>Pneumonie</t>
  </si>
  <si>
    <t>Quick reference for relevance, constraint, and selected calculation expressions</t>
  </si>
  <si>
    <t>ciwon huhu</t>
  </si>
  <si>
    <t>pm_missed_forced_restrained</t>
  </si>
  <si>
    <t>46. A subi des violences ou des contraintes physiques</t>
  </si>
  <si>
    <t>44. In ${pm_missed_location} during ${pm_missed_period} did you share money with your household in ${pm_home_location}?</t>
  </si>
  <si>
    <t>46. An matsa muku ko an kallafa muku abin da ku iyawa</t>
  </si>
  <si>
    <t>44. À ${pm_missed_location} pendant ${pm_missed_period_french} avez-vous envoyé de l'argent a votre ménage à ${pm_home_location} ?</t>
  </si>
  <si>
    <t>44. A cikin ${pm_missed_location} lokacin ${pm_missed_period_hausa} kun aika kuɗi zuwa gidanku a ${pm_home_location}?</t>
  </si>
  <si>
    <t>Learn about all available expressions in "Using expressions in your forms: a reference for all operators and functions"</t>
  </si>
  <si>
    <t>49. Enumerator: Briefly summarize the changes described by the respondent</t>
  </si>
  <si>
    <t>49. Enquêteur : Résumez brièvement les changements décrits par le répondant</t>
  </si>
  <si>
    <t>49. Ɗan bincike A taƙaita canje-canjen da mai bada amsa ya baiyana</t>
  </si>
  <si>
    <t>pm_missed_forced_illegal</t>
  </si>
  <si>
    <t>47. Forced to engage in actions against my will</t>
  </si>
  <si>
    <t>47. Forcé de s'engager dans des actions contre ma volonté</t>
  </si>
  <si>
    <t>47. An tilasta muku da aikin ayyukan da ba ku so ba</t>
  </si>
  <si>
    <t>45. In ${pm_missed_location}, did you experienced any of the following situations or been threatened with them in a workplace?</t>
  </si>
  <si>
    <t>45. À ${pm_missed_location}, avez-vous vécu l'une des situations suivantes ou en avez-vous été menacé sur votre lieu de travail ?</t>
  </si>
  <si>
    <t>45. A ${pm_missed_location}, ko ka fuskanci ɗaya daga cikin waɗannan abubuwa ko an yi muku barazana da su a wurin aikin ku?</t>
  </si>
  <si>
    <t>schools</t>
  </si>
  <si>
    <t>Public school</t>
  </si>
  <si>
    <t>École publique</t>
  </si>
  <si>
    <t>Makarantar gwamnati</t>
  </si>
  <si>
    <t>Operation</t>
  </si>
  <si>
    <t>Operator</t>
  </si>
  <si>
    <t>Example</t>
  </si>
  <si>
    <t>Example answer</t>
  </si>
  <si>
    <t>Addition</t>
  </si>
  <si>
    <t>46. Had passport or other papers taken away</t>
  </si>
  <si>
    <t>46. confisquer votre Passeport ou autres papiers</t>
  </si>
  <si>
    <t>+</t>
  </si>
  <si>
    <t>46. An karɓe muku fasfo ko wasu takardu</t>
  </si>
  <si>
    <t>1 + 1</t>
  </si>
  <si>
    <t>Subtraction</t>
  </si>
  <si>
    <t>-</t>
  </si>
  <si>
    <t>Franco Arab School</t>
  </si>
  <si>
    <t>Ecole franco arabe</t>
  </si>
  <si>
    <t>Makarantar Franco Arab /madarissa</t>
  </si>
  <si>
    <t>47. Been prevented from contacting friends or family</t>
  </si>
  <si>
    <t>47. Vous avez été empêché de contacter vos amis ou votre famille</t>
  </si>
  <si>
    <t>47. An hana ku tuntuɓar abokai ko dangi</t>
  </si>
  <si>
    <t>Multiplication</t>
  </si>
  <si>
    <t>*</t>
  </si>
  <si>
    <t>3 * 2</t>
  </si>
  <si>
    <t>Division</t>
  </si>
  <si>
    <t>div</t>
  </si>
  <si>
    <t>Koranic School</t>
  </si>
  <si>
    <t>10 div 2</t>
  </si>
  <si>
    <t>Makarantar Kur'ani/makarantar allo</t>
  </si>
  <si>
    <t>Modulus</t>
  </si>
  <si>
    <t>mod</t>
  </si>
  <si>
    <t>9 mod 2</t>
  </si>
  <si>
    <t>48. Been paid less than promised or not paid when promised</t>
  </si>
  <si>
    <t>Equal</t>
  </si>
  <si>
    <t>48. A été payé moins que promis ou n'a pas été payé lorsque promis</t>
  </si>
  <si>
    <t>48. An biya ku ƙasa da abin da aka yi muku alkawari ko kuma ba a biya ku ba lokacin da aka yi alkawari</t>
  </si>
  <si>
    <t>=</t>
  </si>
  <si>
    <t>${fieldname} = 3</t>
  </si>
  <si>
    <t>true or false</t>
  </si>
  <si>
    <t>Not equal</t>
  </si>
  <si>
    <t>!=</t>
  </si>
  <si>
    <t>${fieldname} != 3</t>
  </si>
  <si>
    <t>Private School</t>
  </si>
  <si>
    <t>École privée</t>
  </si>
  <si>
    <t>Greater-than</t>
  </si>
  <si>
    <t>Makaranta masu zaman kansu/ marantar biya</t>
  </si>
  <si>
    <t>&gt;</t>
  </si>
  <si>
    <t>${fieldname} &gt; 3</t>
  </si>
  <si>
    <t>&gt;-or-equal</t>
  </si>
  <si>
    <t>&gt;=</t>
  </si>
  <si>
    <t>${fieldname} &gt;= 3</t>
  </si>
  <si>
    <t>Less-than</t>
  </si>
  <si>
    <t>49. Been forced to pay off a debt to my employer before I could leave</t>
  </si>
  <si>
    <t>49. A été obligé de payer une dette à mon employeur avant de pouvoir partir</t>
  </si>
  <si>
    <t>&lt;</t>
  </si>
  <si>
    <t>49. An tilasta muku biyan bashi ga mai gida kafin ku bar wurin aikin</t>
  </si>
  <si>
    <t>${fieldname} &lt; 3</t>
  </si>
  <si>
    <t>&lt;-or-equal</t>
  </si>
  <si>
    <t>&lt;=</t>
  </si>
  <si>
    <t>${fieldname} &lt;= 3</t>
  </si>
  <si>
    <t>Or</t>
  </si>
  <si>
    <t>or</t>
  </si>
  <si>
    <t>${fieldname} = 3 or ${fieldname} = 4</t>
  </si>
  <si>
    <t>And</t>
  </si>
  <si>
    <t>and</t>
  </si>
  <si>
    <t>50. Experienced violence or physical restraint</t>
  </si>
  <si>
    <t>50. A subi des violences ou des contraintes physiques</t>
  </si>
  <si>
    <t>${fieldname} &gt; 3 and ${fieldname} &lt; 5</t>
  </si>
  <si>
    <t>50. An matsa muku ko an kallafa muku abin da ku iyawa</t>
  </si>
  <si>
    <t>Not</t>
  </si>
  <si>
    <t>not()</t>
  </si>
  <si>
    <t>not(${fieldname} &gt; 3 and ${fieldname} &lt; 5)</t>
  </si>
  <si>
    <t>false or true</t>
  </si>
  <si>
    <t>unit</t>
  </si>
  <si>
    <t>kg</t>
  </si>
  <si>
    <t>kilo</t>
  </si>
  <si>
    <t>pm_missed_failed_prep</t>
  </si>
  <si>
    <t>48. During ${pm_missed_period}, did you ever plan to migrate but then have to cancel your plans?</t>
  </si>
  <si>
    <t>48. Pendant ${pm_missed_period_french}, avez-vous déjà prévu de migrer, mais ensuite vous avez dû annuler votre projet ?</t>
  </si>
  <si>
    <t>48. A lokacin ${pm_missed_period_hausa}, ko ka taɓa tsara zuwa biɗa amma sai ka fasa daga baya ?</t>
  </si>
  <si>
    <t>Function</t>
  </si>
  <si>
    <t>relevant(field)</t>
  </si>
  <si>
    <t>relevant(${followup_question})</t>
  </si>
  <si>
    <t>51. Forced to engage in actions against my will</t>
  </si>
  <si>
    <t>51. Forcé de s'engager dans des actions contre ma volonté</t>
  </si>
  <si>
    <t>51. An tilasta muku da aikin ayyukan da ba ku so ba</t>
  </si>
  <si>
    <t>empty(field)</t>
  </si>
  <si>
    <t>empty(${consent})</t>
  </si>
  <si>
    <t>box</t>
  </si>
  <si>
    <t>boîte</t>
  </si>
  <si>
    <t>kwanko</t>
  </si>
  <si>
    <t>once(expression)</t>
  </si>
  <si>
    <t>once(random())</t>
  </si>
  <si>
    <t>select_multiple changes</t>
  </si>
  <si>
    <t>pm_missed_other_changes</t>
  </si>
  <si>
    <t>49. I've asked you questions about your life in the ${pm_missed_period} in order to better understand your experiences. Is there anything else that has happened during this time that has changed your life in an important way?
 Enumerator: do not read options, code based on response</t>
  </si>
  <si>
    <t>49. Je vous ai posé questions sur votre vie au cours de ${pm_missed_period_french} afin de mieux comprendre vos expériences. Y a-t-il autre chose qui vous est arrivé récemment qui a changé votre vie de manière importante ?</t>
  </si>
  <si>
    <t>49. Na yi muku da dama game da rayuwar ku ${pm_missed_period_hausa} don ƙara gane yadda ku ka kware da tafiyar da raywar ku . Ko akwai wani abu da ya faru da ku kwanan nan wanda ya kawo muhimmin canji ga rayuwarku?</t>
  </si>
  <si>
    <t>pulldata(csvname, colname, lookupcolname, lookupval)</t>
  </si>
  <si>
    <t>pulldata('hhplotdata', 'plot1size', 'hhid_key', ${hhid})</t>
  </si>
  <si>
    <t xml:space="preserve">
not(selected(., '0') and count-selected(.) &gt; 1)</t>
  </si>
  <si>
    <t>tia</t>
  </si>
  <si>
    <t>tiya</t>
  </si>
  <si>
    <t>52. Are you married?</t>
  </si>
  <si>
    <t xml:space="preserve">52. </t>
  </si>
  <si>
    <t>string-length(field)</t>
  </si>
  <si>
    <t>string-length(.) &gt; 3</t>
  </si>
  <si>
    <t>count-selected(field)</t>
  </si>
  <si>
    <t>count-selected(.) &gt;= 1</t>
  </si>
  <si>
    <t>selected(field, value)</t>
  </si>
  <si>
    <t>selected(${fieldname}, 'Male')</t>
  </si>
  <si>
    <t>pm_missed_other_change_desc</t>
  </si>
  <si>
    <t>50. Enumerator: Briefly summarize the changes described by the respondent</t>
  </si>
  <si>
    <t>50. Enquêteur : Résumez brièvement les changements décrits par le répondant</t>
  </si>
  <si>
    <t>50kg sack</t>
  </si>
  <si>
    <t>50. Ɗan bincike A taƙaita canje-canjen da mai bada amsa ya baiyana</t>
  </si>
  <si>
    <t>sac de 50 kg</t>
  </si>
  <si>
    <t>selected-at(field, number)</t>
  </si>
  <si>
    <t>Buhun kilo 50</t>
  </si>
  <si>
    <t>selected-at(${fieldname}, 0) = 'Shona'</t>
  </si>
  <si>
    <t>51. Enumerator: Select country</t>
  </si>
  <si>
    <t>51. Enquêteur : sélectionnez le pays</t>
  </si>
  <si>
    <t>51. Ɗan bincike: Zaɓi ƙasa</t>
  </si>
  <si>
    <t>choice-label(field, value)</t>
  </si>
  <si>
    <t>${pm_missed_other_changes} = 1</t>
  </si>
  <si>
    <t>choice-label(${selectonefield}, ${selectonefield})</t>
  </si>
  <si>
    <t>concat(fieldorstring, fieldorstring, ...)</t>
  </si>
  <si>
    <t>concat(${firstname}, ' ', ${lastname})</t>
  </si>
  <si>
    <t>100 kg sack</t>
  </si>
  <si>
    <t>50. We would like to ask you some questions about your life and activities during the period from ${period}. Think about the period from ${period} when answering the following questions.</t>
  </si>
  <si>
    <t>50. Nous aimerions vous poser quelques questions sur votre vie et vos activités pendant la période du ${period_french}. Pensez à la période à partir de ${period_french} lorsque vous répondez aux questions suivantes.</t>
  </si>
  <si>
    <t>sac de 100 kg</t>
  </si>
  <si>
    <t>50. Muna son mu yi muku wasu tambayoyi bisa rayuwarku da ayyukanku a cikin lokacin ${period_hausa}. Ku yi tunani da lokacin daga ${period_hausa} in zaku basa amsar tambayoyin nan masu zuwa.</t>
  </si>
  <si>
    <t>Buhun kilo 100</t>
  </si>
  <si>
    <t>count(repeatgroup)</t>
  </si>
  <si>
    <t>count(${repeatgroupname})</t>
  </si>
  <si>
    <t>sum(repeatedfield)</t>
  </si>
  <si>
    <t>speedcheck_pm_missedprev_end</t>
  </si>
  <si>
    <t>sum(${loan_size})</t>
  </si>
  <si>
    <t>36. During ${pm_missed_period}, did you ever plan to migrate but then have to cancel your plans?</t>
  </si>
  <si>
    <t>36. Pendant ${pm_missed_period_french}, avez-vous déjà prévu de migrer, mais ensuite vous avez dû annuler votre projet ?</t>
  </si>
  <si>
    <t>36. A lokacin ${pm_missed_period_hausa}, ko ka taɓa tsara zuwa biɗa amma sai ka fasa daga baya ?</t>
  </si>
  <si>
    <t>join(string, repeatedfield)</t>
  </si>
  <si>
    <t>join(' ,', ${hh_member_name})</t>
  </si>
  <si>
    <t>min(repeatedfield)</t>
  </si>
  <si>
    <t>min(${hh_member_age})</t>
  </si>
  <si>
    <t>basket</t>
  </si>
  <si>
    <t>panier</t>
  </si>
  <si>
    <t>sanho</t>
  </si>
  <si>
    <t>max(repeatedfield)</t>
  </si>
  <si>
    <t>max(${hh_member_age})</t>
  </si>
  <si>
    <t>52. I've asked you questions about your life in the ${pm_missed_period} in order to better understand your experiences. Is there anything else that has happened during this time that has changed your life in an important way?
 Enumerator: do not read options, code based on response</t>
  </si>
  <si>
    <t>52. Je vous ai posé questions sur votre vie au cours de ${pm_missed_period_french} afin de mieux comprendre vos expériences. Y a-t-il autre chose qui vous est arrivé récemment qui a changé votre vie de manière importante ?</t>
  </si>
  <si>
    <t>Na yi muku da dama game da rayuwar ku ${pm_missed_period_hausa} don ƙara gane yadda ku ka kware da tafiyar da raywar ku . Ko akwai wani abu da ya faru da ku kwanan nan wanda ya kawo muhimmin canji ga rayuwarku?</t>
  </si>
  <si>
    <t>indexed-repeat(repeatedfield, repeatgroup, index)</t>
  </si>
  <si>
    <t>indexed-repeat(${name}, ${names}, 1)</t>
  </si>
  <si>
    <t>dur_pm_missedprev</t>
  </si>
  <si>
    <t>substr(fieldorstring, startindex, endindex)</t>
  </si>
  <si>
    <t>substr(${phone}, 0, 3)</t>
  </si>
  <si>
    <t>unité</t>
  </si>
  <si>
    <t>ɗaya</t>
  </si>
  <si>
    <t>coalesce(field1, field2)</t>
  </si>
  <si>
    <t>coalesce(${id}, ${id2})</t>
  </si>
  <si>
    <t>${speedcheck_pm_missedprev_end} - ${speedcheck_pm_missedprev_start}</t>
  </si>
  <si>
    <t>round(field, digits)</t>
  </si>
  <si>
    <t>round(${interest_rate}, 2)</t>
  </si>
  <si>
    <t>53. Enumerator: Briefly summarize the changes described by the respondent</t>
  </si>
  <si>
    <t>53. Enquêteur : Résumez brièvement les changements décrits par le répondant</t>
  </si>
  <si>
    <t>regex(field, expression)</t>
  </si>
  <si>
    <t>53. Ɗan bincike A taƙaita canje-canjen da mai bada amsa ya baiyana</t>
  </si>
  <si>
    <t>regex(., '[A-Za-z0-9._%+-]+@[A-Za-z0-9.-]+.[A-Za-z]{2,4}')</t>
  </si>
  <si>
    <t>if(expression, valueiftrue, valueiffalse)</t>
  </si>
  <si>
    <t>if(selected(${country}, 'South Africa') or selected(${country}, 'Zimbabwe'), 'SADC', 'Non-SADC')</t>
  </si>
  <si>
    <t>maraba (1.5 tia)</t>
  </si>
  <si>
    <t>Demi tiya (1.5 tia)</t>
  </si>
  <si>
    <t>today()</t>
  </si>
  <si>
    <t>format-date-time(today(), '%Y-%b-%e')</t>
  </si>
  <si>
    <t>now()</t>
  </si>
  <si>
    <t>57. Enumerator: Select town</t>
  </si>
  <si>
    <t>57. Enquêteur : Sélectionnez la ville</t>
  </si>
  <si>
    <t>username()</t>
  </si>
  <si>
    <t>57. Ɗan bincike: Zaɓi gari</t>
  </si>
  <si>
    <t>ladle</t>
  </si>
  <si>
    <t>louche</t>
  </si>
  <si>
    <t>lude</t>
  </si>
  <si>
    <t>rank-index(index, repeatedfield)</t>
  </si>
  <si>
    <t>rank-index(1, ${random_draw})</t>
  </si>
  <si>
    <t>53. Where were you living at this time?
 Enumerator: Is location in Niger?</t>
  </si>
  <si>
    <t>53. Où étiez-vous à cette époque ?
 Enquêteur : La localité est-elle au Niger ?</t>
  </si>
  <si>
    <t>53. A ina kuke a wannan lokacin?
 Ɗan bincike : Ko wurin a cikin Nijar ne?</t>
  </si>
  <si>
    <t>rank-value(fieldorvalue, fieldorlist)</t>
  </si>
  <si>
    <t>rank-value(${random_draw}, ${list_of_draws})</t>
  </si>
  <si>
    <t>de-duplicate(string, field)</t>
  </si>
  <si>
    <t>packet</t>
  </si>
  <si>
    <t>de-duplicate(' ', join(' ', ${repeatedfield}))</t>
  </si>
  <si>
    <t>paquet</t>
  </si>
  <si>
    <t>pake</t>
  </si>
  <si>
    <t>distance-between(geopointfield1, geopointfield2)</t>
  </si>
  <si>
    <t>54. Enumerator: Select region in Niger</t>
  </si>
  <si>
    <t>54. Enquêteur : Sélectionnez une région au Niger</t>
  </si>
  <si>
    <t>distance-between(${start_gps}, ${end_gps})</t>
  </si>
  <si>
    <t>54. Ɗan bincike: Zaɓi Jaha ɗaya a Nijar</t>
  </si>
  <si>
    <t>area(repeatedgeopointfield)</t>
  </si>
  <si>
    <t>area(${gps_reading})</t>
  </si>
  <si>
    <t>phone-call-log()</t>
  </si>
  <si>
    <t>pm_period_info</t>
  </si>
  <si>
    <t>bundle</t>
  </si>
  <si>
    <t>Periods</t>
  </si>
  <si>
    <t>botte</t>
  </si>
  <si>
    <t>Périodes</t>
  </si>
  <si>
    <t>Dame</t>
  </si>
  <si>
    <t>Lokaci</t>
  </si>
  <si>
    <t>55. Enumerator: Select country</t>
  </si>
  <si>
    <t>55. Enquêteur : sélectionnez le pays</t>
  </si>
  <si>
    <t>55. Ɗan bincike: Zaɓi ƙasa</t>
  </si>
  <si>
    <t>plug-in-metadata(field)</t>
  </si>
  <si>
    <t>plug-in-metadata(${counter})</t>
  </si>
  <si>
    <t>56. Enumerator: Enter other country</t>
  </si>
  <si>
    <t>56. Enquêteur : Entrez un autre pays</t>
  </si>
  <si>
    <t>56. Ɗan bincike: Shigar da wata ƙasa</t>
  </si>
  <si>
    <t>other (to specify)</t>
  </si>
  <si>
    <t>autre unite (a specifier)</t>
  </si>
  <si>
    <t>Wani daban ( a baiyyana)</t>
  </si>
  <si>
    <t>speedcheck_pm_periodinfo_start</t>
  </si>
  <si>
    <t>speedcheck_pm_fam_rel_start</t>
  </si>
  <si>
    <t>crops</t>
  </si>
  <si>
    <t>hhmembers</t>
  </si>
  <si>
    <t>58. Enumerator: Select country</t>
  </si>
  <si>
    <t>58. Enquêteur : sélectionnez le pays</t>
  </si>
  <si>
    <t>58. Ɗan bincike: Zaɓi ƙasa</t>
  </si>
  <si>
    <t>pulldata('baseline_ids_el', 'hhmembers', 'hh_id', ${hh_id})</t>
  </si>
  <si>
    <t>pm_roster</t>
  </si>
  <si>
    <t>Roster</t>
  </si>
  <si>
    <t>Amaranth</t>
  </si>
  <si>
    <t>Amarante</t>
  </si>
  <si>
    <t>60. Where are you living?
Enumerator: Is location in Niger?</t>
  </si>
  <si>
    <t>60. Où habites-tu?
 Énquêteur: le lieu est-il au Niger?</t>
  </si>
  <si>
    <t>alaiyahu</t>
  </si>
  <si>
    <t>60. Ina kake zaune?
 Dan bincike: Ko wurin a Nijar ne?</t>
  </si>
  <si>
    <t>pm_roster_index</t>
  </si>
  <si>
    <t>61. Enumerator: Select region in Niger</t>
  </si>
  <si>
    <t>61. Enquêteur : Sélectionnez une région au Niger</t>
  </si>
  <si>
    <t>61. Ɗan bincike: Zaɓi Jaha ɗaya a Nijar</t>
  </si>
  <si>
    <t>Bitter tomato</t>
  </si>
  <si>
    <t>${hhmembers}</t>
  </si>
  <si>
    <t>Tomate amère</t>
  </si>
  <si>
    <t>Tumatir mai ɗaci</t>
  </si>
  <si>
    <t>pm_roster_name</t>
  </si>
  <si>
    <t>Member name from case management</t>
  </si>
  <si>
    <t>62. Enumerator: Select country</t>
  </si>
  <si>
    <t>62. Enquêteur : sélectionnez le pays</t>
  </si>
  <si>
    <t>62. Ɗan bincike: Zaɓi ƙasa</t>
  </si>
  <si>
    <t>Calabash</t>
  </si>
  <si>
    <t>Calebasse</t>
  </si>
  <si>
    <t>kwarya/ duma</t>
  </si>
  <si>
    <t>pm_roster_age</t>
  </si>
  <si>
    <t>Member age from case management</t>
  </si>
  <si>
    <t>59. Are you living in the same location now?</t>
  </si>
  <si>
    <t>59. Vivez-vous au même endroit maintenant?</t>
  </si>
  <si>
    <t>59. Kuna rayuwa ne a wannan wuri yanzu?</t>
  </si>
  <si>
    <t>Clove</t>
  </si>
  <si>
    <t>pm_roster_sex</t>
  </si>
  <si>
    <t>Clou de girofle</t>
  </si>
  <si>
    <t>Member sex from case management</t>
  </si>
  <si>
    <t>karamfani</t>
  </si>
  <si>
    <t>64. Enumerator: Select town</t>
  </si>
  <si>
    <t>64. Enquêteur : Sélectionnez la ville</t>
  </si>
  <si>
    <t>64. Ɗan bincike: Zaɓi gari</t>
  </si>
  <si>
    <t>pulldata('baseline_ids_el', concat('hhname', ${pm_roster_index}), 'hh_id', ${hh_id})</t>
  </si>
  <si>
    <t>Corn</t>
  </si>
  <si>
    <t>Maïs</t>
  </si>
  <si>
    <t>Masara</t>
  </si>
  <si>
    <t>Cowpeas</t>
  </si>
  <si>
    <t>Niébé</t>
  </si>
  <si>
    <t>Wake</t>
  </si>
  <si>
    <t>pm_child_names</t>
  </si>
  <si>
    <t>pulldata('baseline_ids_el', concat('hhage', ${pm_roster_index}), 'hh_id', ${hh_id})</t>
  </si>
  <si>
    <t>Fonio</t>
  </si>
  <si>
    <t>pm_child_ages</t>
  </si>
  <si>
    <t>Waken Awara</t>
  </si>
  <si>
    <t>pulldata('baseline_ids_el', concat('hhsex', ${pm_roster_index}), 'hh_id', ${hh_id})</t>
  </si>
  <si>
    <t>Groundnut</t>
  </si>
  <si>
    <t>Arachide</t>
  </si>
  <si>
    <t>pm_child_sex</t>
  </si>
  <si>
    <t>Gyada /Gujiya</t>
  </si>
  <si>
    <t>Manioc</t>
  </si>
  <si>
    <t>Rogo</t>
  </si>
  <si>
    <t>pm_potential_child_num</t>
  </si>
  <si>
    <t>Millet</t>
  </si>
  <si>
    <t>Gero/ Hatsi</t>
  </si>
  <si>
    <t>pm_spouse_names</t>
  </si>
  <si>
    <t>Mint</t>
  </si>
  <si>
    <t>Menthe</t>
  </si>
  <si>
    <t>Mant</t>
  </si>
  <si>
    <t>pm_spouse_ages</t>
  </si>
  <si>
    <t>146. Thinking about all the revenue and expense related to this business during the past three months, you said that the net income from this business for your household is ${hoh_biz_income}. Is that correct?</t>
  </si>
  <si>
    <t>146. En pensant à tous les revenus de cette entreprise et à toutes les dépenses, vous dites que la bénéfice net de cette entreprise au cours des trois derniers mois est ${hoh_biz_income}, est-ce exact ?</t>
  </si>
  <si>
    <t>146. Ku tuna da dukkan kuɗaɗen shiga da kashe kashen kuɗi da suka shafi wannan kasuwancin a cikin watanni uku da suka wuce. Kun ce yawan riban wannan kasuwancin shine ${hoh_biz_income}. Ko hakan daidai ne?</t>
  </si>
  <si>
    <t>join-if(", ", ${pm_roster_name}, ${pm_roster_age} &lt;= ${pm_age} - 15)</t>
  </si>
  <si>
    <t>pm_spouse_sex</t>
  </si>
  <si>
    <t>Nutgrass</t>
  </si>
  <si>
    <t>Souchet</t>
  </si>
  <si>
    <t>Aya</t>
  </si>
  <si>
    <t>62. Is ${shm_name} currently living in your household?</t>
  </si>
  <si>
    <t xml:space="preserve">62. </t>
  </si>
  <si>
    <t>pm_potential_spouse_num</t>
  </si>
  <si>
    <t>Okra</t>
  </si>
  <si>
    <t>Gombo</t>
  </si>
  <si>
    <t>join-if(", ", ${pm_roster_age}, ${pm_roster_age} &lt;= ${pm_age} - 15)</t>
  </si>
  <si>
    <t>kuɓewa/ Miyar guro</t>
  </si>
  <si>
    <t>63. Where are they living?
Enumerator: Is location in Niger?</t>
  </si>
  <si>
    <t>63. Où habites-tu?
 Énquêteur: le lieu est-il au Niger?</t>
  </si>
  <si>
    <t>63. Ina kake zaune?
 Dan bincike: Ko wurin a Nijar ne?</t>
  </si>
  <si>
    <t>pm_child_name1</t>
  </si>
  <si>
    <t>Onions</t>
  </si>
  <si>
    <t>Oignons</t>
  </si>
  <si>
    <t>Albasa</t>
  </si>
  <si>
    <t>64. Enumerator: Select region in Niger</t>
  </si>
  <si>
    <t>64. Enquêteur : Sélectionnez une région au Niger</t>
  </si>
  <si>
    <t>64. Ɗan bincike: Zaɓi Jaha ɗaya a Nijar</t>
  </si>
  <si>
    <t>join-if(", ", ${pm_roster_sex}, ${pm_roster_age} &lt;= ${pm_age} - 15)</t>
  </si>
  <si>
    <t>pm_child_name2</t>
  </si>
  <si>
    <t>Paddy rice</t>
  </si>
  <si>
    <t>66. Is ${shm_name} currently living in your household?</t>
  </si>
  <si>
    <t>Riz non décortiqué</t>
  </si>
  <si>
    <t xml:space="preserve">66. </t>
  </si>
  <si>
    <t>shinkafa maras sissika</t>
  </si>
  <si>
    <t>pm_child_name3</t>
  </si>
  <si>
    <t>67. Where are they living?
Enumerator: Is location in Niger?</t>
  </si>
  <si>
    <t>67. Où habites-tu?
 Énquêteur: le lieu est-il au Niger?</t>
  </si>
  <si>
    <t>67. Ina kake zaune?
 Dan bincike: Ko wurin a Nijar ne?</t>
  </si>
  <si>
    <t>Peanuts</t>
  </si>
  <si>
    <t>Cacahuètes</t>
  </si>
  <si>
    <t>Gyada</t>
  </si>
  <si>
    <t>if(empty(${pm_child_names}), 0, count-items(',', ${pm_child_names}))</t>
  </si>
  <si>
    <t>pm_child_name4</t>
  </si>
  <si>
    <t>68. Enumerator: Select region in Niger</t>
  </si>
  <si>
    <t>68. Enquêteur : Sélectionnez une région au Niger</t>
  </si>
  <si>
    <t>68. Ɗan bincike: Zaɓi Jaha ɗaya a Nijar</t>
  </si>
  <si>
    <t>Peppers</t>
  </si>
  <si>
    <t>Poivrons</t>
  </si>
  <si>
    <t>tattase</t>
  </si>
  <si>
    <t>pm_child_name5</t>
  </si>
  <si>
    <t>69. Enumerator: Select country</t>
  </si>
  <si>
    <t>69. Enquêteur : sélectionnez le pays</t>
  </si>
  <si>
    <t>69. Ɗan bincike: Zaɓi ƙasa</t>
  </si>
  <si>
    <t>join-if(", ", ${pm_roster_name}, ${pm_roster_age} &gt; 15 and ${pm_roster_sex} = 'Female')</t>
  </si>
  <si>
    <t>pm_child_name6</t>
  </si>
  <si>
    <t>Sesame</t>
  </si>
  <si>
    <t>Sésame</t>
  </si>
  <si>
    <t>Riɗi</t>
  </si>
  <si>
    <t>70. Enumerator: Enter other country</t>
  </si>
  <si>
    <t>70. Enquêteur : Entrez un autre pays</t>
  </si>
  <si>
    <t>70. Ɗan bincike: Shigar da wata ƙasa</t>
  </si>
  <si>
    <t>pm_child_name7</t>
  </si>
  <si>
    <t>Sorghum</t>
  </si>
  <si>
    <t>Sorgho</t>
  </si>
  <si>
    <t>Dawa</t>
  </si>
  <si>
    <t>join-if(", ", ${pm_roster_age}, ${pm_roster_age} &gt; 15 and ${pm_roster_sex} = 'Female')</t>
  </si>
  <si>
    <t>Sorrel</t>
  </si>
  <si>
    <t>Oseille</t>
  </si>
  <si>
    <t>Yakuwa</t>
  </si>
  <si>
    <t>pm_child_name8</t>
  </si>
  <si>
    <t>join-if(", ", ${pm_roster_sex}, ${pm_roster_age} &gt; 15 and ${pm_roster_sex} = 'Female')</t>
  </si>
  <si>
    <t>67. Is ${shm_name} currently living in Niger?</t>
  </si>
  <si>
    <t>Squash</t>
  </si>
  <si>
    <t>Courge</t>
  </si>
  <si>
    <t>Kabewa</t>
  </si>
  <si>
    <t>pm_child_name9</t>
  </si>
  <si>
    <t>Sweet potatoes</t>
  </si>
  <si>
    <t>Patates douces</t>
  </si>
  <si>
    <t>pm_child_name10</t>
  </si>
  <si>
    <t>Dankali</t>
  </si>
  <si>
    <t>if(empty(${pm_spouse_names}), 0, count-items(',', ${pm_spouse_names}))</t>
  </si>
  <si>
    <t>Wheat</t>
  </si>
  <si>
    <t>Blé</t>
  </si>
  <si>
    <t>Alkama</t>
  </si>
  <si>
    <t>pm_child_name11</t>
  </si>
  <si>
    <t>item-at(',', ${pm_child_names}, 0)</t>
  </si>
  <si>
    <t>pm_child_name12</t>
  </si>
  <si>
    <t>71. Enumerator: Select town</t>
  </si>
  <si>
    <t>71. Enquêteur : Sélectionnez la ville</t>
  </si>
  <si>
    <t>71. Ɗan bincike: Zaɓi gari</t>
  </si>
  <si>
    <t>Yam</t>
  </si>
  <si>
    <t>Igname</t>
  </si>
  <si>
    <t>Doya</t>
  </si>
  <si>
    <t>pm_child_name13</t>
  </si>
  <si>
    <t>72. Enumerator: Enter other town</t>
  </si>
  <si>
    <t>72. Enquêteur : Entrez un autre ville</t>
  </si>
  <si>
    <t>72. Ɗan bincike: Shigar da wata gari</t>
  </si>
  <si>
    <t>item-at(',', ${pm_child_names}, 1)</t>
  </si>
  <si>
    <t>pm_child_name14</t>
  </si>
  <si>
    <t>73. Will ${shm_name} be in the household within the next two weeks?</t>
  </si>
  <si>
    <t xml:space="preserve">73. </t>
  </si>
  <si>
    <t>pm_child_name15</t>
  </si>
  <si>
    <t>74. Have you spoken with ${shm_name} or other members of your household at home in the past month?</t>
  </si>
  <si>
    <t>74. Avez-vous parlé avec ${shm_name} ou d'autres membres de votre ménage au cours du mois dernier ?</t>
  </si>
  <si>
    <t>item-at(',', ${pm_child_names}, 2)</t>
  </si>
  <si>
    <t>74. Shin ko kun yi magana da ${shm_name} ko wasu ƴan gidanku a cikin watan da ya gabata?</t>
  </si>
  <si>
    <t>pm_child_name16</t>
  </si>
  <si>
    <t>77. your family would not support your decision to migrate</t>
  </si>
  <si>
    <t xml:space="preserve">77. </t>
  </si>
  <si>
    <t>pm_child_name17</t>
  </si>
  <si>
    <t>item-at(',', ${pm_child_names}, 3)</t>
  </si>
  <si>
    <t>assets</t>
  </si>
  <si>
    <t>78. members of your community would not support your decision to migrate</t>
  </si>
  <si>
    <t xml:space="preserve">78. </t>
  </si>
  <si>
    <t>Generator</t>
  </si>
  <si>
    <t>Groupe electrogene</t>
  </si>
  <si>
    <t>Ganareto</t>
  </si>
  <si>
    <t>pm_child_name18</t>
  </si>
  <si>
    <t>79. it would be dangerous for you on the route</t>
  </si>
  <si>
    <t xml:space="preserve">79. </t>
  </si>
  <si>
    <t>pm_child_name19</t>
  </si>
  <si>
    <t>item-at(',', ${pm_child_names}, 4)</t>
  </si>
  <si>
    <t>80. it would be dangerous for you at my preferred destination</t>
  </si>
  <si>
    <t xml:space="preserve">80. </t>
  </si>
  <si>
    <t>TV set</t>
  </si>
  <si>
    <t>poste de télévision</t>
  </si>
  <si>
    <t>talabijan/ Tele</t>
  </si>
  <si>
    <t>pm_child_name20</t>
  </si>
  <si>
    <t>81. the border would be closed and I would not be able to leave Niger</t>
  </si>
  <si>
    <t xml:space="preserve">81. </t>
  </si>
  <si>
    <t>pm_child_age1</t>
  </si>
  <si>
    <t>item-at(',', ${pm_child_names}, 5)</t>
  </si>
  <si>
    <t>Radio</t>
  </si>
  <si>
    <t>75. You told us when we visited you in ${period} that you were interested in migrating. In the past six months, as you considered whether to migrate, were you very concerned that:</t>
  </si>
  <si>
    <t>75. Lors de notre visite en ${period_french}, vous nous avez dit que vous souhaitiez migrer. Au cours des six derniers mois, quand vous pensez à la migration, vous sentez vous préoccupé par les questions suivantes :</t>
  </si>
  <si>
    <t>75. Kun gaya mana ${period_hausa} da muka ziyarce ku a cikin [baseline period] cewa kuna sha'awar zuwa wuri biɗa. A cikin watanni shida da suka gabata, yayin da kuke tunanin ko za ku je biɗa, kun damu matuka cewa:</t>
  </si>
  <si>
    <t>Rediyo</t>
  </si>
  <si>
    <t>pm_child_age2</t>
  </si>
  <si>
    <t>76. you would not have sufficient funds to support migration</t>
  </si>
  <si>
    <t>76. vous n'auriez pas suffisamment de fonds pour supporter les dépenses liées à la migration</t>
  </si>
  <si>
    <t>76. Ba za ku sami isassun kuɗi ba don ɗaukan nauyin kashe kashen kuɗin da ya ta'allaƙa da zuwa biɗan ba</t>
  </si>
  <si>
    <t>Mobile Phone</t>
  </si>
  <si>
    <t>pm_child_age3</t>
  </si>
  <si>
    <t>Téléphone mobile</t>
  </si>
  <si>
    <t>Wayar Hannu/ Salula</t>
  </si>
  <si>
    <t>item-at(',', ${pm_child_names}, 6)</t>
  </si>
  <si>
    <t>Traditional bed</t>
  </si>
  <si>
    <t>Lit traditionnel</t>
  </si>
  <si>
    <t>pm_child_age4</t>
  </si>
  <si>
    <t>Gadon gargajiya</t>
  </si>
  <si>
    <t>78. your family would not support your decision to migrate</t>
  </si>
  <si>
    <t>78. votre famille ne soutiendrait pas votre décision de migrer</t>
  </si>
  <si>
    <t>78. Ƴan gidan ku ba za su goyi bayan zuwa biɗan ka ba</t>
  </si>
  <si>
    <t>pm_child_age5</t>
  </si>
  <si>
    <t>79. members of your community would not support your decision to migrate</t>
  </si>
  <si>
    <t>79. Les membres de votre communauté ne soutiendraient pas votre décision de migrer</t>
  </si>
  <si>
    <t>79. Al'ummar yankinku ba za su goyi bayan shawarar ka na zuwa biɗa ba</t>
  </si>
  <si>
    <t>Iron/wooden bed</t>
  </si>
  <si>
    <t>Lit en fer/bois</t>
  </si>
  <si>
    <t>Gadon ƙarfe / katako</t>
  </si>
  <si>
    <t>pm_child_age6</t>
  </si>
  <si>
    <t>item-at(',', ${pm_child_names}, 7)</t>
  </si>
  <si>
    <t>Flashlight</t>
  </si>
  <si>
    <t>Torche</t>
  </si>
  <si>
    <t>Tocila/ yer hannu</t>
  </si>
  <si>
    <t>pm_child_age7</t>
  </si>
  <si>
    <t>Bike</t>
  </si>
  <si>
    <t>item-at(',', ${pm_child_names}, 8)</t>
  </si>
  <si>
    <t>Vélo</t>
  </si>
  <si>
    <t>pm_child_age8</t>
  </si>
  <si>
    <t>Keke/ Belo</t>
  </si>
  <si>
    <t>Motorbike</t>
  </si>
  <si>
    <t>pm_child_age9</t>
  </si>
  <si>
    <t>Moto</t>
  </si>
  <si>
    <t>Babur/ Moto</t>
  </si>
  <si>
    <t>83. you would not be able to find housing or work at your preferred destination</t>
  </si>
  <si>
    <t>83. vous ne seriez pas en mesure de trouver un logement ou de travailler dans votre destination préférée</t>
  </si>
  <si>
    <t>83. Ba za ku iya samun gidaje ko aiki ba a wurin da kuka fi so.</t>
  </si>
  <si>
    <t>item-at(',', ${pm_child_names}, 9)</t>
  </si>
  <si>
    <t>pm_child_age10</t>
  </si>
  <si>
    <t>Plow</t>
  </si>
  <si>
    <t>Charrue</t>
  </si>
  <si>
    <t>Galma</t>
  </si>
  <si>
    <t>84. members of your family would would not have enough food without you in Tahoua</t>
  </si>
  <si>
    <t>84. Les membres de votre famille n'auraient pas assez de nourriture sans vous à Tahoua</t>
  </si>
  <si>
    <t>84. Ƴan gidanku ba za su sami isasshen abinci ba idan babu kai a Tahoua.</t>
  </si>
  <si>
    <t>pm_child_age11</t>
  </si>
  <si>
    <t>85. your family would not have enough people to work without you in Tahoua</t>
  </si>
  <si>
    <t>85. votre famille n'aurait pas assez de bras valides pour travailler sans vous à Tahoua</t>
  </si>
  <si>
    <t>85. Ƴan gidan ku ba za su sami isassun mutanen da za su yi aiki ba a Tahoua</t>
  </si>
  <si>
    <t>Cart</t>
  </si>
  <si>
    <t>Chariot</t>
  </si>
  <si>
    <t>item-at(',', ${pm_child_names}, 10)</t>
  </si>
  <si>
    <t>Amalanke</t>
  </si>
  <si>
    <t>pm_child_age12</t>
  </si>
  <si>
    <t>91. Did you spend at least one week (7 days) anywhere other than ${pm_loc_beg_initial} since ${period}?</t>
  </si>
  <si>
    <t>91. Avez-vous passé au moins une semaine (7 jours) ailleurs qu'à ${pm_loc_beg_initial_fr} depuis ${period_french} ?</t>
  </si>
  <si>
    <t>91. Ko kun zauna tsawon aƙalla sati guda (kwana 7) a wani wuri da ba ${pm_loc_beg_initial_hausa} ba tun ${period_hausa}?</t>
  </si>
  <si>
    <t>Pickaxe</t>
  </si>
  <si>
    <t>Pioche</t>
  </si>
  <si>
    <t>Diga</t>
  </si>
  <si>
    <t>pm_child_age13</t>
  </si>
  <si>
    <t>pm_child_age14</t>
  </si>
  <si>
    <t>item-at(',', ${pm_child_names}, 11)</t>
  </si>
  <si>
    <t>pm_child_age15</t>
  </si>
  <si>
    <t>pm_child_age16</t>
  </si>
  <si>
    <t>item-at(',', ${pm_child_names}, 12)</t>
  </si>
  <si>
    <t>livestock</t>
  </si>
  <si>
    <t>Poultry</t>
  </si>
  <si>
    <t>Volaille</t>
  </si>
  <si>
    <t>Kaji</t>
  </si>
  <si>
    <t>pm_child_age17</t>
  </si>
  <si>
    <t>90. Who in your community would be against your decision?</t>
  </si>
  <si>
    <t>90. Qui dans votre communauté serait contre votre décision ?</t>
  </si>
  <si>
    <t>90. Wanene a cikin al'ummarku zai yi adawa da shawararka?</t>
  </si>
  <si>
    <t>item-at(',', ${pm_child_names}, 13)</t>
  </si>
  <si>
    <t>Goats</t>
  </si>
  <si>
    <t>Chèvres</t>
  </si>
  <si>
    <t>pm_child_age18</t>
  </si>
  <si>
    <t>Awaki</t>
  </si>
  <si>
    <t>pm_child_age19</t>
  </si>
  <si>
    <t>Sheep</t>
  </si>
  <si>
    <t>Mouton</t>
  </si>
  <si>
    <t>Tumaki</t>
  </si>
  <si>
    <t>187. In the past three months did your household make a significant investment or improvement in the house you reside in?</t>
  </si>
  <si>
    <t>187. &lt;b&gt; Au cours des trois derniers mois&lt;/b&gt;, votre ménage a-t-il fait un investissement important ou des améliorations dans la maison que vous habitez ?</t>
  </si>
  <si>
    <t>item-at(',', ${pm_child_names}, 14)</t>
  </si>
  <si>
    <t>187. A cikin watanni uku da suka wuce, gidanku ya saka wani babban jari ko ya gyara gidan da kuke zaune?</t>
  </si>
  <si>
    <t>pm_child_age20</t>
  </si>
  <si>
    <t>Cattle</t>
  </si>
  <si>
    <t>Vaches</t>
  </si>
  <si>
    <t>Shanu</t>
  </si>
  <si>
    <t>188. Build additional rooms</t>
  </si>
  <si>
    <t>188. Construire des chambres supplémentaires</t>
  </si>
  <si>
    <t>188. Ginin ƙarin ɗakuna</t>
  </si>
  <si>
    <t>pm_child_sex1</t>
  </si>
  <si>
    <t>item-at(',', ${pm_child_names}, 15)</t>
  </si>
  <si>
    <t>189. Improve floors</t>
  </si>
  <si>
    <t>189. Améliorer les sols</t>
  </si>
  <si>
    <t>Horses</t>
  </si>
  <si>
    <t>189. Inganta filalayen gida</t>
  </si>
  <si>
    <t>Les chevaux</t>
  </si>
  <si>
    <t>Dawaki</t>
  </si>
  <si>
    <t>pm_child_sex2</t>
  </si>
  <si>
    <t>190. Improve walls</t>
  </si>
  <si>
    <t>190. Réfectionner les murs</t>
  </si>
  <si>
    <t>190. gyara katangun gida</t>
  </si>
  <si>
    <t>Camels</t>
  </si>
  <si>
    <t>Chameaux</t>
  </si>
  <si>
    <t>Rakumma</t>
  </si>
  <si>
    <t>pm_child_sex3</t>
  </si>
  <si>
    <t>item-at(',', ${pm_child_names}, 16)</t>
  </si>
  <si>
    <t>Donkey</t>
  </si>
  <si>
    <t>Âne</t>
  </si>
  <si>
    <t>Jaki</t>
  </si>
  <si>
    <t>pm_child_sex4</t>
  </si>
  <si>
    <t>192. Other improvement</t>
  </si>
  <si>
    <t>192. Autre amélioration</t>
  </si>
  <si>
    <t>192. Wasu gyare gyare daban</t>
  </si>
  <si>
    <t>item-at(',', ${pm_child_names}, 17)</t>
  </si>
  <si>
    <t>pm_child_sex5</t>
  </si>
  <si>
    <t>93. Please list all of the places you spent more than one week during ${period} other than ${pm_loc_beg_initial} and your current location (if different from ${pm_loc_beg_initial}). How many places?</t>
  </si>
  <si>
    <t>93. Veuillez énumérer tous les endroits où vous avez passé plus d'une semaine au cours d'une ${period_french} autre que ${pm_loc_beg_initial} et votre lieu de residence actuel (si différent de ${pm_loc_beg_initial}). Combien de lieux ?</t>
  </si>
  <si>
    <t>93. Da fatan za a zana duk wuraren da kuka shafe sama da mako guda a cikin lokaci banda ${pm_loc_beg_initial} da wurin da kuke zaune a yanzu (idan ya bambanta da (${pm_loc_beg_initial}). Wurare nawa ne?</t>
  </si>
  <si>
    <t>pm_child_sex6</t>
  </si>
  <si>
    <t>95. Enumerator: Select region in Niger</t>
  </si>
  <si>
    <t>95. Enquêteur : Sélectionnez une région au Niger</t>
  </si>
  <si>
    <t>95. Ɗan bincike: Zaɓi Jaha ɗaya a Nijar</t>
  </si>
  <si>
    <t>item-at(',', ${pm_child_names}, 18)</t>
  </si>
  <si>
    <t>activities</t>
  </si>
  <si>
    <t>pm_child_sex7</t>
  </si>
  <si>
    <t>Farming/Agriculture</t>
  </si>
  <si>
    <t>Agriculture</t>
  </si>
  <si>
    <t>Noma</t>
  </si>
  <si>
    <t>96. Enumerator: Select country</t>
  </si>
  <si>
    <t>96. Enquêteur : sélectionnez le pays</t>
  </si>
  <si>
    <t>96. Ɗan bincike: Zaɓi ƙasa</t>
  </si>
  <si>
    <t>pm_child_sex8</t>
  </si>
  <si>
    <t>97. Enumerator: Enter other country</t>
  </si>
  <si>
    <t>97. Enquêteur : Entrez un autre pays</t>
  </si>
  <si>
    <t>97. Ɗan bincike: Shigar da wata ƙasa</t>
  </si>
  <si>
    <t>item-at(',', ${pm_child_names}, 19)</t>
  </si>
  <si>
    <t>pm_child_sex9</t>
  </si>
  <si>
    <t>Herding</t>
  </si>
  <si>
    <t>Élevage</t>
  </si>
  <si>
    <t>Kiwo</t>
  </si>
  <si>
    <t>94. We would first like to know about these locations. Can you confirm that you spent more than one week in ${pm_locations} locations since ${period}? ${pm_loc_confirm_label}</t>
  </si>
  <si>
    <t xml:space="preserve">94. </t>
  </si>
  <si>
    <t>pm_child_sex10</t>
  </si>
  <si>
    <t>98. Enumerator: Select town</t>
  </si>
  <si>
    <t>98. Enquêteur : Sélectionnez la ville</t>
  </si>
  <si>
    <t>98. Ɗan bincike: Zaɓi gari</t>
  </si>
  <si>
    <t>item-at(',', ${pm_child_ages}, 0)</t>
  </si>
  <si>
    <t>Small business</t>
  </si>
  <si>
    <t>pm_child_sex11</t>
  </si>
  <si>
    <t>Petit commerce</t>
  </si>
  <si>
    <t>Ƙananan kasuwanci</t>
  </si>
  <si>
    <t>99. Enumerator: enter town</t>
  </si>
  <si>
    <t>99. Enquêteur : indiquez la ville</t>
  </si>
  <si>
    <t>99. Mai bincike: bayyana gari</t>
  </si>
  <si>
    <t>pm_child_sex12</t>
  </si>
  <si>
    <t>item-at(',', ${pm_child_ages}, 1)</t>
  </si>
  <si>
    <t>Artisan production</t>
  </si>
  <si>
    <t>Production Artisanale</t>
  </si>
  <si>
    <t>Aikin hannu</t>
  </si>
  <si>
    <t>81. Based on your answers it sounds like you started in ${pm_location4} and traveled to ${pm_location3}, is that correct?</t>
  </si>
  <si>
    <t>81. D'après vos réponses, il semble que vous ayez commencé à ${pm_location4} et que vous vous soyez rendu à ${pm_location3}, n'est-ce pas ?</t>
  </si>
  <si>
    <t>81. Dangance da amsoshinku ina jin kamar kun fara a ${pm_location4} kuma kuka yi tafiya zuwa ${pm_location3}, daidai ne?</t>
  </si>
  <si>
    <t>pm_child_sex13</t>
  </si>
  <si>
    <t>item-at(',', ${pm_child_ages}, 2)</t>
  </si>
  <si>
    <t>Butcher</t>
  </si>
  <si>
    <t>82. Based on your answers it sounds like you started in ${pm_location3} and traveled to ${pm_location2}, is that correct?</t>
  </si>
  <si>
    <t>Boucher</t>
  </si>
  <si>
    <t>82. D'après vos réponses, il semble que vous ayez commencé à ${pm_location3} et que vous vous soyez rendu à ${pm_location2}, n'est-ce pas ?</t>
  </si>
  <si>
    <t>mahauci</t>
  </si>
  <si>
    <t>82. Dangance da amsoshinku ina jin kamar kun fara a ${pm_location3} kuma kuka yi tafiya zuwa ${pm_location2}, daidai ne?</t>
  </si>
  <si>
    <t>pm_child_sex14</t>
  </si>
  <si>
    <t>83. Based on your answers it sounds like you started in ${pm_location2} and traveled to ${pm_location1}, is that correct?</t>
  </si>
  <si>
    <t>83. D'après vos réponses, il semble que vous ayez commencé à ${pm_location2} et que vous vous soyez rendu à ${pm_location1}, n'est-ce pas ?</t>
  </si>
  <si>
    <t>83. Dangance da amsoshinku ina jin kamar kun fara a ${pm_location2} kuma kuka yi tafiya zuwa ${pm_location1}, daidai ne?</t>
  </si>
  <si>
    <t>Lumberjack/woodcutter</t>
  </si>
  <si>
    <t>Bûcheron</t>
  </si>
  <si>
    <t>Mai saran itace</t>
  </si>
  <si>
    <t>item-at(',', ${pm_child_ages}, 3)</t>
  </si>
  <si>
    <t>pm_child_sex15</t>
  </si>
  <si>
    <t>203. Total savings: ${hoh_savings_total}: Does this look correct?</t>
  </si>
  <si>
    <t>203. Économies totales : ${hoh_savings_total} : cela vous semble correct ?</t>
  </si>
  <si>
    <t>203. Jimillar ajiya: ${hoh_savings_total}: kuna ganin ​​wannan yayi daidai?</t>
  </si>
  <si>
    <t>Domestic labor</t>
  </si>
  <si>
    <t>Domestique</t>
  </si>
  <si>
    <t>Aikin gida</t>
  </si>
  <si>
    <t>pm_child_sex16</t>
  </si>
  <si>
    <t>204. During ${period}, was your household negatively affected by any of the following types of events?</t>
  </si>
  <si>
    <t>204. Au cours de ${period_french}, votre ménage a-t-il été affecté négativement par l'un des types d'événements suivants ?</t>
  </si>
  <si>
    <t>204. A lokacin ${period_hausa}, ko gidanku ya fuskanci wani daga cikin matsaloli nan masu zuwa? Zaɓi duk abin da ya dace</t>
  </si>
  <si>
    <t>pm_child_sex17</t>
  </si>
  <si>
    <t>item-at(',', ${pm_child_ages}, 4)</t>
  </si>
  <si>
    <t>Marabout</t>
  </si>
  <si>
    <t>Malumci</t>
  </si>
  <si>
    <t>95. Where were you ${pm_previous_answer}?
Enumerator: Is location in Niger?</t>
  </si>
  <si>
    <t>95. Où étiez-vous ${pm_previous_answer_fr} ?
Enquêteur : La localité est-elle au Niger ?</t>
  </si>
  <si>
    <t>95. A ina kuka ${pm_previous_answer_hausa}?
Ɗan bincike : Ko wurin a Nijar ne?</t>
  </si>
  <si>
    <t>pm_child_sex18</t>
  </si>
  <si>
    <t>Mechanic/driver</t>
  </si>
  <si>
    <t>Mécanicien/chauffeur</t>
  </si>
  <si>
    <t>Makaniki/direba</t>
  </si>
  <si>
    <t>item-at(',', ${pm_child_ages}, 5)</t>
  </si>
  <si>
    <t>Blacksmith</t>
  </si>
  <si>
    <t>Forgeron</t>
  </si>
  <si>
    <t>Maƙeri</t>
  </si>
  <si>
    <t>pm_child_sex19</t>
  </si>
  <si>
    <t>item-at(',', ${pm_child_ages}, 6)</t>
  </si>
  <si>
    <t>pm_child_sex20</t>
  </si>
  <si>
    <t>Salaried employee</t>
  </si>
  <si>
    <t>Employé salarié</t>
  </si>
  <si>
    <t>Ma'aikaci mai albashi</t>
  </si>
  <si>
    <t>item-at(',', ${pm_child_ages}, 7)</t>
  </si>
  <si>
    <t>Mason</t>
  </si>
  <si>
    <t>86. Other, specify:</t>
  </si>
  <si>
    <t>86. Autre précisez:</t>
  </si>
  <si>
    <t>Maçon</t>
  </si>
  <si>
    <t>86. Sauran, bayar da cikakkun bayanai:</t>
  </si>
  <si>
    <t>Magini</t>
  </si>
  <si>
    <t>pm_spouse_name1</t>
  </si>
  <si>
    <t>item-at(',', ${pm_child_ages}, 8)</t>
  </si>
  <si>
    <t>wani daban</t>
  </si>
  <si>
    <t>pm_spouse_name2</t>
  </si>
  <si>
    <t>100. Enumerator: enter town</t>
  </si>
  <si>
    <t>100. Enquêteur : indiquez la ville</t>
  </si>
  <si>
    <t>100. Mai bincike: bayyana gari</t>
  </si>
  <si>
    <t>pm_spouse_name3</t>
  </si>
  <si>
    <t>item-at(',', ${pm_child_ages}, 9)</t>
  </si>
  <si>
    <t>88. The next few questions focus on your experience crossing the border from ${pm_from_location} to ${pm_to_location}.</t>
  </si>
  <si>
    <t>88. Les prochaines questions portent sur votre expérience de passage de la frontière de ${pm_from_location} à ${pm_to_location}.</t>
  </si>
  <si>
    <t>88. Tambayoyi na gaba sun ta allaƙa ne bisa ƙwarewar ku ta ketare iyaka daga ${pm_from_location} zuwa ${pm_to_location}.</t>
  </si>
  <si>
    <t>money_transfer</t>
  </si>
  <si>
    <t>Did not transfer money</t>
  </si>
  <si>
    <t>N'a pas transféré d'argent</t>
  </si>
  <si>
    <t>pm_spouse_name4</t>
  </si>
  <si>
    <t>Ba a yi aiken kuɗi ba</t>
  </si>
  <si>
    <t>89. How did you cross the border from ${pm_from_location} to ${pm_to_location}?</t>
  </si>
  <si>
    <t>89. Comment avez-vous traversé la frontière entre ${pm_from_location} et ${pm_to_location} ?</t>
  </si>
  <si>
    <t>89. Yaya kuka ketare iyaka daga ${pm_from_location} zuwa ${pm_to_location}?</t>
  </si>
  <si>
    <t>Hand cash directly to recipient</t>
  </si>
  <si>
    <t>Remettre l'argent directement au destinataire</t>
  </si>
  <si>
    <t>item-at(',', ${pm_child_ages}, 10)</t>
  </si>
  <si>
    <t>Bada kudi hannu da hannu kai tsaye ga mai karɓa</t>
  </si>
  <si>
    <t>pm_spouse_name5</t>
  </si>
  <si>
    <t>90. Other, specify:</t>
  </si>
  <si>
    <t>90. Autre précisez:</t>
  </si>
  <si>
    <t>90. Sauran, bayar da cikakkun bayanai:</t>
  </si>
  <si>
    <t>pm_spouse_name6</t>
  </si>
  <si>
    <t>Through a family member or close friend</t>
  </si>
  <si>
    <t>91. How many people crossed the border with you (in the same travel group) from ${pm_from_location} to ${pm_to_location}, if any?</t>
  </si>
  <si>
    <t>91. Combien de personnes ont traversé la frontière avec vous (dans le même groupe de voyage) du ${pm_from_location} à ${pm_to_location}, le cas échéant?</t>
  </si>
  <si>
    <t>Par l'intermédiaire d'un membre de la famille ou d'un ami proche</t>
  </si>
  <si>
    <t>91. Mutane nawa ne suka ketare iyaka da ku (a cikin rukuni ɗaya) daga ${pm_from_location} zuwa ${pm_to_location}, idan akwai?</t>
  </si>
  <si>
    <t>Ta hanyar dangi ko aboki na kusa</t>
  </si>
  <si>
    <t>pm_spouse_name7</t>
  </si>
  <si>
    <t>92. Was there an official checkpoint or building where you crossed the border from ${pm_from_location} to ${pm_to_location}?</t>
  </si>
  <si>
    <t>item-at(',', ${pm_child_ages}, 11)</t>
  </si>
  <si>
    <t>92. Y avait-il un point de contrôle ou un bâtiment officiel à l'endroit où vous avez traversé la frontière entre ${pm_from_location} et ${pm_to_location} ?</t>
  </si>
  <si>
    <t>92. Ko akwai wurin bincike ko wata ma'aikata na gwamnati a inda kuka ketara iyaka daga ${pm_from_location} zuwa ${pm_to_location}?</t>
  </si>
  <si>
    <t>Through someone you know</t>
  </si>
  <si>
    <t>Par quelqu'un que tu connais</t>
  </si>
  <si>
    <t>Ta hanyar wanda a ka sani</t>
  </si>
  <si>
    <t>pm_spouse_name8</t>
  </si>
  <si>
    <t>93. Did you/your vehicle encounter border police or migration officials at the border from ${pm_from_location} to ${pm_to_location}?</t>
  </si>
  <si>
    <t>Through an app on a mobile phone</t>
  </si>
  <si>
    <t>93. Avez-vous/votre véhicule a-t-il rencontré la police des frontières ou des agents de l'immigration à la frontière entre ${pm_from_location} et ${pm_to_location} ?</t>
  </si>
  <si>
    <t>Via une application sur un téléphone mobile</t>
  </si>
  <si>
    <t>93. Ko kun haɗu ƴan sandan iyaka ko jami'an imagreshin a kan iyaka daga ${pm_from_location} zuwa ${pm_to_location}?</t>
  </si>
  <si>
    <t>Ta hanyar salula</t>
  </si>
  <si>
    <t>pm_spouse_name9</t>
  </si>
  <si>
    <t>item-at(',', ${pm_child_ages}, 12)</t>
  </si>
  <si>
    <t>94. Were you asked to show any documents when you crossed the border from ${pm_from_location} to ${pm_to_location}?</t>
  </si>
  <si>
    <t>94. Vous a-t-on demandé de montrer des documents lorsque vous avez traversé la frontière de ${pm_from_location} à ${pm_to_location} ?</t>
  </si>
  <si>
    <t>94. Ko an tambayeku don nuna wasu takardu lokacin da kuka ketare iyaka daga ${pm_from_location} zuwa ${pm_to_location}?</t>
  </si>
  <si>
    <t>Through an exchange house</t>
  </si>
  <si>
    <t>Par l'intermédiaire d'un bureau de change</t>
  </si>
  <si>
    <t>pm_spouse_name10</t>
  </si>
  <si>
    <t>Ta hanyar wani ofishin canji</t>
  </si>
  <si>
    <t>95. Which documents were you asked to show when you crossed the border from ${pm_from_location} to ${pm_to_location}?</t>
  </si>
  <si>
    <t>95. Quels documents vous a-t-on demandé de présenter lorsque vous avez traversé la frontière entre ${pm_from_location} et ${pm_to_location} ?</t>
  </si>
  <si>
    <t>95. Waɗanne takardu aka tambayeku nunawa lokacin da kuka ketare iyaka daga ${pm_from_location} zuwa ${pm_to_location}?</t>
  </si>
  <si>
    <t>item-at(',', ${pm_child_ages}, 13)</t>
  </si>
  <si>
    <t>Through money transfer companies</t>
  </si>
  <si>
    <t>pm_spouse_name11</t>
  </si>
  <si>
    <t>Compagnies de Transfert (Nita, Alizza, Amana…)</t>
  </si>
  <si>
    <t>96. Specify other</t>
  </si>
  <si>
    <t>96. Autre à préciser</t>
  </si>
  <si>
    <t>96. Wani daban a baiyana</t>
  </si>
  <si>
    <t>pm_spouse_name12</t>
  </si>
  <si>
    <t>item-at(',', ${pm_child_ages}, 14)</t>
  </si>
  <si>
    <t>97. How much money, if any were you asked to pay to cross the border (in CFA) from ${pm_from_location} to ${pm_to_location}?</t>
  </si>
  <si>
    <t>97. Combien d'argent, si c'est arrivé, vous a-t-on demandé de payer pour traverser la frontière (en CFA) de ${pm_from_location} à ${pm_to_location} ?</t>
  </si>
  <si>
    <t>97. Nawa ne kuɗin da kuka bada, idan an nemi ku biya don ketare iyaka (a cikin kuɗin CFA) daga ${pm_from_location} zuwa ${pm_to_location}?</t>
  </si>
  <si>
    <t xml:space="preserve">Other  </t>
  </si>
  <si>
    <t>Wani abu daban</t>
  </si>
  <si>
    <t>pm_spouse_name13</t>
  </si>
  <si>
    <t>100. Based on your answers it sounds like you started in ${pm_location5} and traveled to ${pm_location4}, is that correct?</t>
  </si>
  <si>
    <t>100. D'après vos réponses, il semble que vous ayez commencé à ${pm_location5} et que vous vous soyez rendu à ${pm_location4}, n'est-ce pas ?</t>
  </si>
  <si>
    <t>100. Dangance da amsoshinku ina jin kamar kun fara a ${pm_location5} kuma kuka yi tafiya zuwa ${pm_location4}, daidai ne?</t>
  </si>
  <si>
    <t>pm_spouse_name14</t>
  </si>
  <si>
    <t>101. Based on your answers it sounds like you started in ${pm_location4} and traveled to ${pm_location3}, is that correct?</t>
  </si>
  <si>
    <t>101. D'après vos réponses, il semble que vous ayez commencé à ${pm_location4} et que vous vous soyez rendu à ${pm_location3}, n'est-ce pas ?</t>
  </si>
  <si>
    <t>101. Dangance da amsoshinku ina jin kamar kun fara a ${pm_location4} kuma kuka yi tafiya zuwa ${pm_location3}, daidai ne?</t>
  </si>
  <si>
    <t>item-at(',', ${pm_child_ages}, 15)</t>
  </si>
  <si>
    <t>pm_spouse_name15</t>
  </si>
  <si>
    <t>102. Based on your answers it sounds like you started in ${pm_location3} and traveled to ${pm_location2}, is that correct?</t>
  </si>
  <si>
    <t>102. D'après vos réponses, il semble que vous ayez commencé à ${pm_location3} et que vous vous soyez rendu à ${pm_location2}, n'est-ce pas ?</t>
  </si>
  <si>
    <t>102. Dangance da amsoshinku ina jin kamar kun fara a ${pm_location3} kuma kuka yi tafiya zuwa ${pm_location2}, daidai ne?</t>
  </si>
  <si>
    <t>goods_transfer</t>
  </si>
  <si>
    <t>Hand directly to recipient</t>
  </si>
  <si>
    <t>Remettre directement au destinataire</t>
  </si>
  <si>
    <t>pm_spouse_name16</t>
  </si>
  <si>
    <t>Bada tsabar kuɗi hannu da hannu ga mai karɓa</t>
  </si>
  <si>
    <t>103. Based on your answers it sounds like you started in ${pm_location2} and traveled to ${pm_location1}, is that correct?</t>
  </si>
  <si>
    <t>103. D'après vos réponses, il semble que vous ayez commencé à ${pm_location2} et que vous vous soyez rendu à ${pm_location1}, n'est-ce pas ?</t>
  </si>
  <si>
    <t>103. Dangance da amsoshinku ina jin kamar kun fara a ${pm_location2} kuma kuka yi tafiya zuwa ${pm_location1}, daidai ne?</t>
  </si>
  <si>
    <t>pm_spouse_name17</t>
  </si>
  <si>
    <t>item-at(',', ${pm_child_ages}, 16)</t>
  </si>
  <si>
    <t>226. In the past week how many days have children in your household consumed animal protein (inlcuding fish, meat, poultry)?</t>
  </si>
  <si>
    <t>226. Au cours des 7 derniers jours, combien de fois les enfants de votre ménage ont-ils consommé des protéines animales (y compris poisson, viande, volaille) ?</t>
  </si>
  <si>
    <t>226. A cikin kwanaki 7 da suka gabata sau nawa yara a cikin gidanku suka ci abinci masu gina jiki kamar su kifi, nama, kaji ?</t>
  </si>
  <si>
    <t>Ta hanyar dangi ko aboki na kurkusa</t>
  </si>
  <si>
    <t>pm_spouse_name18</t>
  </si>
  <si>
    <t>101. Did you experience any of the following during your travel from ${pm_from_location} to ${pm_to_location}?</t>
  </si>
  <si>
    <t>101. Avez-vous vécu l'une des situations suivantes lors de votre voyage de ${pm_from_location} à ${pm_to_location} ?</t>
  </si>
  <si>
    <t>101. Ko kun fuskanci ɗayan waɗannan abubuwan yayin tafiyarku daga ${pm_from_location} zuwa ${pm_to_location}?</t>
  </si>
  <si>
    <t>Ta hanyar wanda ka sani</t>
  </si>
  <si>
    <t>pm_spouse_name19</t>
  </si>
  <si>
    <t>102. Physical attack</t>
  </si>
  <si>
    <t>102. Attaque physique</t>
  </si>
  <si>
    <t>102. Harin jiki</t>
  </si>
  <si>
    <t>pm_spouse_name20</t>
  </si>
  <si>
    <t>item-at(',', ${pm_child_ages}, 17)</t>
  </si>
  <si>
    <t>103. Threat of physical violence/attack</t>
  </si>
  <si>
    <t>103. Menace de violence physique/agression</t>
  </si>
  <si>
    <t>103. Barazanar ​​harin jiki</t>
  </si>
  <si>
    <t>pm_spouse_age1</t>
  </si>
  <si>
    <t>104. We would like to learn more about your experience traveling from ${pm_from_location} to ${pm_to_location}.</t>
  </si>
  <si>
    <t>104. Nous aimerions en savoir plus sur votre expérience de voyage entre ${pm_from_location} et ${pm_to_location}.</t>
  </si>
  <si>
    <t>104. Muna son mu ƙara sanin abubuwan da suka faru a kan tafiyarku daga ${pm_from_location} zuwa ${pm_to_location}.</t>
  </si>
  <si>
    <t>pm_spouse_age2</t>
  </si>
  <si>
    <t>emergency</t>
  </si>
  <si>
    <t>105. How did you travel between ${pm_from_location} and ${pm_to_location}?</t>
  </si>
  <si>
    <t>105. Comment vous êtes-vous déplacé entre ${pm_from_location} et ${pm_to_location} ?</t>
  </si>
  <si>
    <t>item-at(',', ${pm_child_ages}, 18)</t>
  </si>
  <si>
    <t>105. Yaya kuka yi tafiyar (ko bisa abun hawa) tsakanin ${pm_from_location} da ${pm_to_location}?</t>
  </si>
  <si>
    <t>pm_spouse_age3</t>
  </si>
  <si>
    <t>106. Other, specify:</t>
  </si>
  <si>
    <t>106. Autre précisez:</t>
  </si>
  <si>
    <t>106. Sauran, bayar da cikakkun bayanai:</t>
  </si>
  <si>
    <t>pm_spouse_age4</t>
  </si>
  <si>
    <t>Serious illness or injury to self</t>
  </si>
  <si>
    <t>Maladie grave ou blessure personnelle</t>
  </si>
  <si>
    <t>Mummunan cuta ko rauni</t>
  </si>
  <si>
    <t>107. How many people traveled with you (in the same travel group) from ${pm_from_location} to ${pm_to_location}, if any?</t>
  </si>
  <si>
    <t>107. Combien de personnes ont voyagé avec vous (dans le même groupe de voyage) du ${pm_from_location} à ${pm_to_location}, si c'est le cas échéant ?</t>
  </si>
  <si>
    <t>107. Mutane nawa ne suka yi tafiya tare da ku (a cikin gungu ɗaya) daga ${pm_from_location} zuwa ${pm_to_location}, idan haka ya kasance?</t>
  </si>
  <si>
    <t>pm_spouse_age5</t>
  </si>
  <si>
    <t>Serious injury or illness of household member</t>
  </si>
  <si>
    <t>108. Did any of the people you travelled with participate in Mercy Corps program?</t>
  </si>
  <si>
    <t>Blessure grave ou maladie d'un membre du ménage</t>
  </si>
  <si>
    <t xml:space="preserve">108. </t>
  </si>
  <si>
    <t>Mummunan rauni ko rashin lafiya na ɗan gida</t>
  </si>
  <si>
    <t>pm_spouse_age6</t>
  </si>
  <si>
    <t>item-at(',', ${pm_child_ages}, 19)</t>
  </si>
  <si>
    <t>107. Physical attack</t>
  </si>
  <si>
    <t>107. Attaque physique</t>
  </si>
  <si>
    <t>107. Harin jiki</t>
  </si>
  <si>
    <t>Death of household member</t>
  </si>
  <si>
    <t>Décès d'un membre du ménage</t>
  </si>
  <si>
    <t>Mutuwar ɗan gida</t>
  </si>
  <si>
    <t>pm_spouse_age7</t>
  </si>
  <si>
    <t>Loss of asset/livestock due to theft/death/accident</t>
  </si>
  <si>
    <t>pm_spouse_age8</t>
  </si>
  <si>
    <t>Perte de biens/bétail suite à un vol/un décès/un accident</t>
  </si>
  <si>
    <t>Asarar kadara/dabbobi saboda sata/mutuwa/hatsari</t>
  </si>
  <si>
    <t>item-at(',', ${pm_child_sex}, 0)</t>
  </si>
  <si>
    <t>pm_spouse_age9</t>
  </si>
  <si>
    <t>Loss of job or income</t>
  </si>
  <si>
    <t>Perte d'emploi ou de revenu</t>
  </si>
  <si>
    <t>Ɓadda aiki ko kuɗin shiga</t>
  </si>
  <si>
    <t>pm_spouse_age10</t>
  </si>
  <si>
    <t>item-at(',', ${pm_child_sex}, 1)</t>
  </si>
  <si>
    <t>pm_spouse_age11</t>
  </si>
  <si>
    <t>Flood</t>
  </si>
  <si>
    <t>Inondation</t>
  </si>
  <si>
    <t>Ambaliyar ruwa</t>
  </si>
  <si>
    <t>113. Was there an official checkpoint or building where you crossed the border from ${pm_from_location} to ${pm_to_location}?</t>
  </si>
  <si>
    <t>113. Y avait-il un point de contrôle ou un bâtiment officiel à l'endroit où vous avez traversé la frontière entre ${pm_from_location} et ${pm_to_location} ?</t>
  </si>
  <si>
    <t>113. Ko akwai wurin bincike ko wata ma'aikata na gwamnati a inda kuka ketara iyaka daga ${pm_from_location} zuwa ${pm_to_location}?</t>
  </si>
  <si>
    <t>pm_spouse_age12</t>
  </si>
  <si>
    <t>Drought</t>
  </si>
  <si>
    <t>Sécheresse</t>
  </si>
  <si>
    <t>Fari</t>
  </si>
  <si>
    <t>114. Did you/your vehicle encounter border police or migration officials at the border from ${pm_from_location} to ${pm_to_location}?</t>
  </si>
  <si>
    <t>114. Avez-vous/votre véhicule a-t-il rencontré la police des frontières ou des agents de l'immigration à la frontière entre ${pm_from_location} et ${pm_to_location} ?</t>
  </si>
  <si>
    <t>114. Ko kun haɗu ƴan sandan iyaka ko jami'an imagreshin a kan iyaka daga ${pm_from_location} zuwa ${pm_to_location}?</t>
  </si>
  <si>
    <t>item-at(',', ${pm_child_sex}, 2)</t>
  </si>
  <si>
    <t>pm_spouse_age13</t>
  </si>
  <si>
    <t>115. Were you asked to show any documents when you crossed the border from ${pm_from_location} to ${pm_to_location}?</t>
  </si>
  <si>
    <t>115. Vous a-t-on demandé de montrer des documents lorsque vous avez traversé la frontière de ${pm_from_location} à ${pm_to_location} ?</t>
  </si>
  <si>
    <t>115. Ko an tambayeku don nuna wasu takardu lokacin da kuka ketare iyaka daga ${pm_from_location} zuwa ${pm_to_location}?</t>
  </si>
  <si>
    <t>Pest infestation/crop or livestock disease</t>
  </si>
  <si>
    <t>Infestation des ravageurs/maladie des cultures ou du bétail</t>
  </si>
  <si>
    <t>Bannar kwari / amfanin gona ko cututtukan dabbobi</t>
  </si>
  <si>
    <t>pm_spouse_age14</t>
  </si>
  <si>
    <t>116. Which documents were you asked to show when you crossed the border from ${pm_from_location} to ${pm_to_location}?</t>
  </si>
  <si>
    <t>116. Quels documents vous a-t-on demandé de présenter lorsque vous avez traversé la frontière entre ${pm_from_location} et ${pm_to_location} ?</t>
  </si>
  <si>
    <t>116. Waɗanne takardu aka tambayeku nunawa lokacin da kuka ketare iyaka daga ${pm_from_location} zuwa ${pm_to_location}?</t>
  </si>
  <si>
    <t>Divorce or abandonment by husband</t>
  </si>
  <si>
    <t>pm_spouse_age15</t>
  </si>
  <si>
    <t>Divorce ou abandon par le mari</t>
  </si>
  <si>
    <t>item-at(',', ${pm_child_sex}, 3)</t>
  </si>
  <si>
    <t>Saki ko miji ya tsere ya bar mata</t>
  </si>
  <si>
    <t>117. Specify other</t>
  </si>
  <si>
    <t>117. Autre à préciser</t>
  </si>
  <si>
    <t>117. Wani daban a baiyana</t>
  </si>
  <si>
    <t>pm_spouse_age16</t>
  </si>
  <si>
    <t>Cut-off or decrease of remittances to household</t>
  </si>
  <si>
    <t>Manque ou insuffisance des envois de fonds au ménage</t>
  </si>
  <si>
    <t>Rashi ko rage kuɗaɗen da ake turawa gida</t>
  </si>
  <si>
    <t>105. We would like to learn more about your experience traveling from ${pm_from_location} to ${pm_to_location}.</t>
  </si>
  <si>
    <t>105. Nous aimerions en savoir plus sur votre expérience de voyage entre ${pm_from_location} et ${pm_to_location}.</t>
  </si>
  <si>
    <t>105. Muna son mu ƙara sanin abubuwan da suka faru a kan tafiyarku daga ${pm_from_location} zuwa ${pm_to_location}.</t>
  </si>
  <si>
    <t>pm_spouse_age17</t>
  </si>
  <si>
    <t>Unexpected increase in price of food/other essential commodity</t>
  </si>
  <si>
    <t>Augmentation inattendue du prix des aliments/autres produits essentiels</t>
  </si>
  <si>
    <t>item-at(',', ${pm_child_sex}, 4)</t>
  </si>
  <si>
    <t>Hawan ba zata na farashin abinci/sauran kayan da ake buƙata</t>
  </si>
  <si>
    <t>pm_spouse_age18</t>
  </si>
  <si>
    <t>Unexpected decrease in price of commodity/product you sell</t>
  </si>
  <si>
    <t>Baisse inattendue du prix de la marchandise/du produit que vous vendez</t>
  </si>
  <si>
    <t>Faɗuwar ba zata na farashin kayayyaki/abubuwan da kuke saidawa</t>
  </si>
  <si>
    <t>pm_spouse_age19</t>
  </si>
  <si>
    <t>item-at(',', ${pm_child_sex}, 5)</t>
  </si>
  <si>
    <t>pm_spouse_age20</t>
  </si>
  <si>
    <t>pm_spouse_sex1</t>
  </si>
  <si>
    <t>116. Specify other:</t>
  </si>
  <si>
    <t>116. Autre à préciser:</t>
  </si>
  <si>
    <t>116. Wani daban a Bayyana:</t>
  </si>
  <si>
    <t>cons_month</t>
  </si>
  <si>
    <t>item-at(',', ${pm_child_sex}, 6)</t>
  </si>
  <si>
    <t>Education (children, excluding school fees)</t>
  </si>
  <si>
    <t>Education (enfants, hors frais de scolarité)</t>
  </si>
  <si>
    <t>Tarbiya (yara, ban da kuɗin makaranta)</t>
  </si>
  <si>
    <t>pm_spouse_sex2</t>
  </si>
  <si>
    <t>Education (adults, including vocational training)</t>
  </si>
  <si>
    <t>Éducation (adultes, y compris la formation professionnelle)</t>
  </si>
  <si>
    <t>pm_spouse_sex3</t>
  </si>
  <si>
    <t>Ilimi (manya, gami da koyar da sana'a)</t>
  </si>
  <si>
    <t>item-at(',', ${pm_child_sex}, 7)</t>
  </si>
  <si>
    <t>pm_spouse_sex4</t>
  </si>
  <si>
    <t>Healthcare</t>
  </si>
  <si>
    <t>Soins de santé</t>
  </si>
  <si>
    <t>Kiwon lafiya</t>
  </si>
  <si>
    <t>112. Other, specify:</t>
  </si>
  <si>
    <t>112. Autre précisez:</t>
  </si>
  <si>
    <t>112. Sauran, bayar da cikakkun bayanai:</t>
  </si>
  <si>
    <t>pm_spouse_sex5</t>
  </si>
  <si>
    <t>Ceremonies</t>
  </si>
  <si>
    <t>Cérémonies</t>
  </si>
  <si>
    <t>bukukuwa</t>
  </si>
  <si>
    <t>113. How many people crossed the border with you (in the same travel group) from ${pm_from_location} to ${pm_to_location}, if any?</t>
  </si>
  <si>
    <t>113. Combien de personnes ont traversé la frontière avec vous (dans le même groupe de voyage) du ${pm_from_location} à ${pm_to_location}, le cas échéant?</t>
  </si>
  <si>
    <t>113. Mutane nawa ne suka ketare iyaka da ku (a cikin rukuni ɗaya) daga ${pm_from_location} zuwa ${pm_to_location}, idan akwai?</t>
  </si>
  <si>
    <t>pm_spouse_sex6</t>
  </si>
  <si>
    <t>item-at(',', ${pm_child_sex}, 8)</t>
  </si>
  <si>
    <t>Clothes + shoes</t>
  </si>
  <si>
    <t>Vêtements + chaussures</t>
  </si>
  <si>
    <t>Tufafi + takalma</t>
  </si>
  <si>
    <t>pm_spouse_sex7</t>
  </si>
  <si>
    <t>pm_spouse_sex8</t>
  </si>
  <si>
    <t>item-at(',', ${pm_child_sex}, 9)</t>
  </si>
  <si>
    <t>pm_spouse_sex9</t>
  </si>
  <si>
    <t>pm_spouse_sex10</t>
  </si>
  <si>
    <t>cons_week</t>
  </si>
  <si>
    <t>Food (for household members)</t>
  </si>
  <si>
    <t>Nourriture (pour les membres du ménage)</t>
  </si>
  <si>
    <t>Abinci (ga mutanen gida)</t>
  </si>
  <si>
    <t>item-at(',', ${pm_child_sex}, 10)</t>
  </si>
  <si>
    <t>pm_spouse_sex11</t>
  </si>
  <si>
    <t>Mobile phone credit + charging</t>
  </si>
  <si>
    <t>Crédit mobile + recharge</t>
  </si>
  <si>
    <t>Kuɗin /kiredin kira a salula + caji</t>
  </si>
  <si>
    <t>pm_spouse_sex12</t>
  </si>
  <si>
    <t>Fuel for home/ cooking (i.e. lighting, electricity, firewood)</t>
  </si>
  <si>
    <t>pm_spouse_sex13</t>
  </si>
  <si>
    <t>Combustible pour la maison/la cuisine (c.-à-d. éclairage, électricité, bois de chauffage)</t>
  </si>
  <si>
    <t>Makamashi na gidan don / dafa abinci ( haske gida , wutar lantarki, itacen jin wuta)</t>
  </si>
  <si>
    <t>item-at(',', ${pm_child_sex}, 11)</t>
  </si>
  <si>
    <t>pm_spouse_sex14</t>
  </si>
  <si>
    <t>Fuel for vehicles</t>
  </si>
  <si>
    <t>Carburant pour véhicules</t>
  </si>
  <si>
    <t>Man fetur/isansi na mota</t>
  </si>
  <si>
    <t>pm_spouse_sex15</t>
  </si>
  <si>
    <t>264. Enumerator: Record any comments on the survey</t>
  </si>
  <si>
    <t>264. Enquêteur : Veuillez noter vos commentaires si vous en avez</t>
  </si>
  <si>
    <t xml:space="preserve">264. </t>
  </si>
  <si>
    <t>Transportation fare (taxi, moto taxi)</t>
  </si>
  <si>
    <t>Frais de transport (taxi, moto taxi)</t>
  </si>
  <si>
    <t>Kuɗin (taxi, kabu- kabu )</t>
  </si>
  <si>
    <t>item-at(',', ${pm_child_sex}, 12)</t>
  </si>
  <si>
    <t>pm_spouse_sex16</t>
  </si>
  <si>
    <t>132. I am now going to ask you some questions about your experience in each location during ${period}.</t>
  </si>
  <si>
    <t>132. Je vais maintenant vous poser quelques questions sur votre expérience dans chaque lieu entre ${period_french}.</t>
  </si>
  <si>
    <t>132. Yanzu zan yi muku wasu tambayoyi bisa saninku na kowane wuri yayin ${period_hausa}.</t>
  </si>
  <si>
    <t>pm_spouse_sex17</t>
  </si>
  <si>
    <t>Water (to drink)</t>
  </si>
  <si>
    <t>Eau (à boire)</t>
  </si>
  <si>
    <t>Ruwa (don sha)</t>
  </si>
  <si>
    <t>123. Did you experience any of the following during your travel from ${pm_from_location} to ${pm_to_location}?</t>
  </si>
  <si>
    <t>123. Avez-vous vécu l'une des situations suivantes lors de votre voyage de ${pm_from_location} à ${pm_to_location} ?</t>
  </si>
  <si>
    <t>123. Ko kun fuskanci ɗayan waɗannan abubuwan yayin tafiyarku daga ${pm_from_location} zuwa ${pm_to_location}?</t>
  </si>
  <si>
    <t>pm_spouse_sex18</t>
  </si>
  <si>
    <t>124. Physical attack</t>
  </si>
  <si>
    <t>124. Attaque physique</t>
  </si>
  <si>
    <t>124. Harin jiki</t>
  </si>
  <si>
    <t>pm_spouse_sex19</t>
  </si>
  <si>
    <t>item-at(',', ${pm_child_sex}, 13)</t>
  </si>
  <si>
    <t>pm_spouse_sex20</t>
  </si>
  <si>
    <t>hoh_roster_label</t>
  </si>
  <si>
    <t>Create line separate list of hh members</t>
  </si>
  <si>
    <t>127. Detention or arrest by state security forces?</t>
  </si>
  <si>
    <t>127. Détention ou arrestation par les forces de sécurité de l'État ?</t>
  </si>
  <si>
    <t>127. Kaso ko kamu daga jami'an tsaron gwamnati?</t>
  </si>
  <si>
    <t>item-at(',', ${pm_child_sex}, 14)</t>
  </si>
  <si>
    <t>hoh_hhmem_index</t>
  </si>
  <si>
    <t>support</t>
  </si>
  <si>
    <t>134. Did you look for paid work in ${pm_location_name}?</t>
  </si>
  <si>
    <t>134. Avez-vous cherché un travail rémunéré à ${pm_location_name} ?</t>
  </si>
  <si>
    <t>134. Ko kun nemo aikin biya a ${pm_location_name}?</t>
  </si>
  <si>
    <t>hoh_hhmem_name</t>
  </si>
  <si>
    <t>135. Did you engage in any work in ${pm_location_name} irrespective of whether you were paid?</t>
  </si>
  <si>
    <t>135. Avez-vous effectué un travail à ${pm_location_name}, que vous ayez été payé ou non ?</t>
  </si>
  <si>
    <t>135. Ko kun yi wani aiki a ${pm_location_name} na biya ko ba na biya ba?</t>
  </si>
  <si>
    <t>hoh_hhmem_age</t>
  </si>
  <si>
    <t>item-at(',', ${pm_child_sex}, 15)</t>
  </si>
  <si>
    <t>128. Now I would like to ask you to tell me more about your specific experience with:</t>
  </si>
  <si>
    <t>128. J'aimerais maintenant vous demander de m'en dire un peu plus sur votre expérience spécifique avec :</t>
  </si>
  <si>
    <t>128. Yanzu ina so in tambaye ku ƙarin bayani game da takamaiman gogewarku na masamman game da:</t>
  </si>
  <si>
    <t>Action Pour le Bien-Être (APBE)</t>
  </si>
  <si>
    <t>hoh_hhmem_sex</t>
  </si>
  <si>
    <t>129. Physical attack</t>
  </si>
  <si>
    <t>129. Attaque physique</t>
  </si>
  <si>
    <t>129. Harin jiki</t>
  </si>
  <si>
    <t>hoh_hhmem</t>
  </si>
  <si>
    <t>130. Threat of physical violence/attack</t>
  </si>
  <si>
    <t>130. Menace de violence physique/agression</t>
  </si>
  <si>
    <t>130. Barazanar ​​harin jiki</t>
  </si>
  <si>
    <t>ADKOUL</t>
  </si>
  <si>
    <t>131. Theft of either money or property?</t>
  </si>
  <si>
    <t>item-at(',', ${pm_child_sex}, 16)</t>
  </si>
  <si>
    <t>131. Vol d'argent ou de biens ?</t>
  </si>
  <si>
    <t>131. Satar kuɗi ko dukiya?</t>
  </si>
  <si>
    <t>hoh_roster_list</t>
  </si>
  <si>
    <t>132. Detention or arrest by state security forces?</t>
  </si>
  <si>
    <t>132. Détention ou arrestation par les forces de sécurité de l'État ?</t>
  </si>
  <si>
    <t>132. Kaso ko kamu daga jami'an tsaron gwamnati?</t>
  </si>
  <si>
    <t>hoh_roster_above16_list</t>
  </si>
  <si>
    <t>AND</t>
  </si>
  <si>
    <t>139. Please describe job ${pm_activity_index}.
Enumerator, code the sector of job ${pm_activity_index}</t>
  </si>
  <si>
    <t>139. Veuillez décrire le travail ${pm_activity_index}.
enquêteur, coder le secteur de l'emploi</t>
  </si>
  <si>
    <t>139. Da fatan za a bayyana aikin ${pm_activity_index}.
Ɗan bincike, sanya lamba a sashin aikin</t>
  </si>
  <si>
    <t>140. Other, specify:</t>
  </si>
  <si>
    <t>140. Autre précisez:</t>
  </si>
  <si>
    <t>140. Sauran, bayar da cikakkun bayanai:</t>
  </si>
  <si>
    <t>hhmem1</t>
  </si>
  <si>
    <t>item-at(',', ${pm_child_sex}, 17)</t>
  </si>
  <si>
    <t>ANIMAS SUTURA</t>
  </si>
  <si>
    <t>134. What is the weekly value in CFA of the payment you received in kind for all other benefits from working in ${pm_primary_activity_name}?</t>
  </si>
  <si>
    <t>134. Quelle est la valeur hebdomadaire en CFA du paiement que vous avez reçu en nature pour tous les autres avantages liés au travail à ${pm_primary_activity_name} ?</t>
  </si>
  <si>
    <t>134. Nawa kimar biyan da kuka samu na wasu fa'idodi da kuka samu a kan aikin ${pm_primary_activity_name}da kuka yi?</t>
  </si>
  <si>
    <t>hhmem2</t>
  </si>
  <si>
    <t>141. Did you receive payment for working in ${pm_activity_name}? </t>
  </si>
  <si>
    <t>141. Avez-vous reçu un paiement pour le travail effectué à ${pm_activity_name} ?</t>
  </si>
  <si>
    <t>141. An biya ku don aikin da kuka yi a ${pm_activity_name}?</t>
  </si>
  <si>
    <t>hhmem3</t>
  </si>
  <si>
    <t>Assainissement Total Piloté par la Communauté (ATPC)</t>
  </si>
  <si>
    <t>142. What is the main reason you were not paid for your work in ${pm_activity_name}?</t>
  </si>
  <si>
    <t>142. Quelle est la principale raison pour laquelle vous n'avez pas été payé pour votre travail à ${pm_activity_name} ?</t>
  </si>
  <si>
    <t>142. Menene babban dalilin da ya sa ba a biya ku kuɗin aikinku ba a ${pm_activity_name}?</t>
  </si>
  <si>
    <t>hhmem4</t>
  </si>
  <si>
    <t>143. Specify other:</t>
  </si>
  <si>
    <t>143. Autre à Préciser :</t>
  </si>
  <si>
    <t>143. Wani daban a bayyana:</t>
  </si>
  <si>
    <t>hhmem5</t>
  </si>
  <si>
    <t>CADEV</t>
  </si>
  <si>
    <t>133. I am now going to ask you some questions about your experience in each location during ${period}.</t>
  </si>
  <si>
    <t>133. Je vais maintenant vous poser quelques questions sur votre expérience dans chaque lieu entre ${period_french}.</t>
  </si>
  <si>
    <t>133. Yanzu zan yi muku wasu tambayoyi bisa saninku na kowane wuri yayin ${period_hausa}.</t>
  </si>
  <si>
    <t>hhmem6</t>
  </si>
  <si>
    <t>hhmem7</t>
  </si>
  <si>
    <t>hhmem8</t>
  </si>
  <si>
    <t>CŒUR CITOYEN</t>
  </si>
  <si>
    <t>hhmem9</t>
  </si>
  <si>
    <t>hhmem10</t>
  </si>
  <si>
    <t>item-at(',', ${pm_child_sex}, 19)</t>
  </si>
  <si>
    <t>hhmem11</t>
  </si>
  <si>
    <t>Concern</t>
  </si>
  <si>
    <t>135. Did you look for paid work in ${pm_location_name}?</t>
  </si>
  <si>
    <t>135. Avez-vous cherché un travail rémunéré à ${pm_location_name} ?</t>
  </si>
  <si>
    <t>135. Ko kun nemo aikin biya a ${pm_location_name}?</t>
  </si>
  <si>
    <t>hhmem12</t>
  </si>
  <si>
    <t>136. Did you engage in any work in ${pm_location_name} irrespective of whether you were paid?</t>
  </si>
  <si>
    <t>136. Avez-vous effectué un travail à ${pm_location_name}, que vous ayez été payé ou non ?</t>
  </si>
  <si>
    <t>136. Ko kun yi wani aiki a ${pm_location_name} na biya ko ba na biya ba?</t>
  </si>
  <si>
    <t>hhmem13</t>
  </si>
  <si>
    <t>137. What is the main reason you did not work in ${pm_location_name}?</t>
  </si>
  <si>
    <t>137. Quelle est la principale raison pour laquelle vous n'avez pas travaillé à ${pm_location_name} ?</t>
  </si>
  <si>
    <t>CRA</t>
  </si>
  <si>
    <t>137. Menene babban dalilin da yasa baku yi aiki a ${pm_location_name} ba?</t>
  </si>
  <si>
    <t>hhmem14</t>
  </si>
  <si>
    <t>138. Specify other:</t>
  </si>
  <si>
    <t>138. Autre à préciser:</t>
  </si>
  <si>
    <t>138. Wani daban a Bayyana:</t>
  </si>
  <si>
    <t>hhmem15</t>
  </si>
  <si>
    <t>item-at(',', ${pm_spouse_names}, 0)</t>
  </si>
  <si>
    <t>139. How many jobs did you work in ${pm_location_name}, whether or not you received pay?</t>
  </si>
  <si>
    <t>FAO</t>
  </si>
  <si>
    <t>139. Combien d'emplois avez-vous occupés sur ${pm_location_name}, que vous ayez été rémunéré ou non ?</t>
  </si>
  <si>
    <t>139. Ayyuka nawa kuka yi a wurin, ko na biya ko wanda ba na biya ba?</t>
  </si>
  <si>
    <t>hhmem16</t>
  </si>
  <si>
    <t>146. For ${pm_primary_activity_name} were you paid in cash or in kind?</t>
  </si>
  <si>
    <t>146. Pour ${pm_primary_activity_name} avez-vous été payé en espèces ou en nature ?</t>
  </si>
  <si>
    <t>146. Don ${pm_primary_activity_name} an biya ku a tsabar kuɗi ko a wani kaya?</t>
  </si>
  <si>
    <t>hhmem17</t>
  </si>
  <si>
    <t>Filets Sociaux</t>
  </si>
  <si>
    <t>147. Approximately how much did you earn each week from ${pm_primary_activity_name} in ${pm_location_name} in cash (in CFA)?</t>
  </si>
  <si>
    <t>147. Environ combien avez-vous gagné chaque semaine grâce à ${pm_primary_activity_name} à ${pm_location_name} (en CFA)?</t>
  </si>
  <si>
    <t>147. Kimanin nawa kuke samu kowane sati don ${pm_primary_activity_name} a ${pm_location_name} (in CFA)?</t>
  </si>
  <si>
    <t>hhmem18</t>
  </si>
  <si>
    <t>148. Approximately what was the value of the in-kind payments for ${pm_primary_activity_name} in ${pm_location_name} (in CFA)?</t>
  </si>
  <si>
    <t>item-at(',', ${pm_spouse_names}, 1)</t>
  </si>
  <si>
    <t>148. Quelle était la valeur approximative des paiements en nature pour le ${pm_primary_activity_name} à ${pm_location_name} (en CFA) ?</t>
  </si>
  <si>
    <t>148. Menene kiyasin farashin kayan da aka biya ku ${pm_primary_activity_name} a ${pm_location_name} (a CFA)?</t>
  </si>
  <si>
    <t>hhmem19</t>
  </si>
  <si>
    <t>FIM</t>
  </si>
  <si>
    <t>140. Please describe job ${pm_activity_index}.
Enumerator, code the sector of job ${pm_activity_index}</t>
  </si>
  <si>
    <t>140. Veuillez décrire le travail ${pm_activity_index}.
enquêteur, coder le secteur de l'emploi</t>
  </si>
  <si>
    <t>140. Da fatan za a bayyana aikin ${pm_activity_index}.
Ɗan bincike, sanya lamba a sashin aikin</t>
  </si>
  <si>
    <t>hhmem20</t>
  </si>
  <si>
    <t>141. Other, specify:</t>
  </si>
  <si>
    <t>141. Autre précisez:</t>
  </si>
  <si>
    <t>141. Sauran, bayar da cikakkun bayanai:</t>
  </si>
  <si>
    <t>hhmem21</t>
  </si>
  <si>
    <t>FIM (Fondation Issoufou Mahamadou)</t>
  </si>
  <si>
    <t>151. Specify other</t>
  </si>
  <si>
    <t>151. Autre à préciser</t>
  </si>
  <si>
    <t>151. Wani daban a bayyana</t>
  </si>
  <si>
    <t>item-at(',', ${pm_spouse_names}, 2)</t>
  </si>
  <si>
    <t>hhmem22</t>
  </si>
  <si>
    <t>142. Did you receive payment for working in ${pm_activity_name}? </t>
  </si>
  <si>
    <t>142. Avez-vous reçu un paiement pour le travail effectué à ${pm_activity_name} ?</t>
  </si>
  <si>
    <t>142. An biya ku don aikin da kuka yi a ${pm_activity_name}?</t>
  </si>
  <si>
    <t>hhmem23</t>
  </si>
  <si>
    <t>GIEEN</t>
  </si>
  <si>
    <t>143. What is the main reason you were not paid for your work in ${pm_activity_name}?</t>
  </si>
  <si>
    <t>143. Quelle est la principale raison pour laquelle vous n'avez pas été payé pour votre travail à ${pm_activity_name} ?</t>
  </si>
  <si>
    <t>143. Menene babban dalilin da ya sa ba a biya ku kuɗin aikinku ba a ${pm_activity_name}?</t>
  </si>
  <si>
    <t>item-at(',', ${pm_spouse_names}, 3)</t>
  </si>
  <si>
    <t>hhmem24</t>
  </si>
  <si>
    <t>144. Specify other:</t>
  </si>
  <si>
    <t>144. Autre à Préciser :</t>
  </si>
  <si>
    <t>144. Wani daban a bayyana:</t>
  </si>
  <si>
    <t>hhmem25</t>
  </si>
  <si>
    <t>GIZ/ProEmploi</t>
  </si>
  <si>
    <t>155. What is the weekly value in CFA of the payment you received in kind for all other benefits from working in ${pm_primary_activity_name}?</t>
  </si>
  <si>
    <t>155. Quelle est la valeur hebdomadaire en CFA du paiement que vous avez reçu en nature pour tous les autres avantages liés au travail à ${pm_primary_activity_name} ?</t>
  </si>
  <si>
    <t>155. Nawa kimar biyan da kuka samu na wasu fa'idodi da kuka samu a kan aikin ${pm_primary_activity_name}da kuka yi?</t>
  </si>
  <si>
    <t>hhmem26</t>
  </si>
  <si>
    <t>item-at(',', ${pm_spouse_names}, 4)</t>
  </si>
  <si>
    <t>156. For ${pm_primary_activity_name} in ${pm_location_name}, did your employer deduct any expenses from your earnings before paying you? Some examples of deductions are the cost of supplies or food that the employer provides to you.</t>
  </si>
  <si>
    <t>Mercy Corps</t>
  </si>
  <si>
    <t>156. Pour ${pm_primary_activity_name} à ${pm_location_name}, votre employeur a-t-il déduit des dépenses de vos revenus avant de vous payer ? Quelques exemples de déductions sont le coût des fournitures ou de la nourriture que l'employeur vous fournit.</t>
  </si>
  <si>
    <t>156. Don ${pm_primary_activity_name} a cikin ${pm_location_name}, ko mai gidanku ya cire wani sashen kuɗin daga abin da kuka samu kafin ya biya ku? Kamar kuɗin wasu kayayyaki ko abincin da mai gida ke baku.</t>
  </si>
  <si>
    <t>hhmem27</t>
  </si>
  <si>
    <t>157. What is the weekly value in CFA that your employer deducted from your earnings?</t>
  </si>
  <si>
    <t>157. Quelle est la valeur hebdomadaire en CFA que votre employeur a déduit de vos revenus ?</t>
  </si>
  <si>
    <t>157. Nawa ne kimar kuɗin da mai gidanku ya cira a cikin kuɗinku da kuka samu?</t>
  </si>
  <si>
    <t>hhmem28</t>
  </si>
  <si>
    <t>NAZARI</t>
  </si>
  <si>
    <t>item-at(',', ${pm_spouse_names}, 5)</t>
  </si>
  <si>
    <t>148. Thinking about the ${pm_location_weeks} weeks you spent in location during ${period}, how much of the money you earned do you estimate you shared with your household in ${pm_home_location}?</t>
  </si>
  <si>
    <t>148. En pensant aux ${pm_location_weeks} semaines que vous avez passées dans la localité au cours de ${period_french}, quelle part de l'argent que vous avez gagné estimez-vous avoir envoyé à votre foyer en ${pm_home_location}?</t>
  </si>
  <si>
    <t>148. Ku Tuna da makonnin ${pm_location_weeks} da kuka zauna a wurin ${period_hausa}, nawa ne daga cikin kudaden da kuka samu kuka kiyasin aika wa gidanku a ${pm_home_location}?</t>
  </si>
  <si>
    <t>hhmembers_above16</t>
  </si>
  <si>
    <t>149. What method did you use to share money?</t>
  </si>
  <si>
    <t>149. Quel canal avez-vous utilisée pour envoyer l'argent ?</t>
  </si>
  <si>
    <t>149. Wace hanya kuka yi amfani da ita don tura kuɗin?</t>
  </si>
  <si>
    <t>Organisation International pour la Migration (OIM)</t>
  </si>
  <si>
    <t>150. In ${pm_location_name} during ${period} did you receive money from your household in ${pm_home_location}?</t>
  </si>
  <si>
    <t>150. À ${pm_location_name} pendant ${period_french} avez-vous reçu de l'argent de votre menage à ${pm_home_location} ?</t>
  </si>
  <si>
    <t>150. A ${pm_location_name} lokacin ${period_hausa} ko kun samu kuɗi daga gidanku a ${pm_home_location}?</t>
  </si>
  <si>
    <t>pm_family_rel</t>
  </si>
  <si>
    <t>item-at(',', ${pm_spouse_names}, 6)</t>
  </si>
  <si>
    <t>151. Thinking about the ${pm_location_weeks} weeks you spent in location during period name, how much money do you estimate you recieved from your household in ${pm_home_location}?</t>
  </si>
  <si>
    <t>151. En pensant aux ${pm_location_weeks} semaines que vous avez passées dans la localité au cours de la période (nom), combien d'argent estimez-vous avoir reçu de votre menage dans ${pm_home_location} ?</t>
  </si>
  <si>
    <t>151. KuTuna da makonni ${pm_location_weeks} da kuka zauna a wurin lokacin (suna), nawa kuke lissahin kun samu daga gidan ku a ${pm_home_location}?</t>
  </si>
  <si>
    <t>PARIS</t>
  </si>
  <si>
    <t>pm_family_rel_note</t>
  </si>
  <si>
    <t>55. Before we begin, we'd like to ask you a few questions about your immediate family.</t>
  </si>
  <si>
    <t>55. Avant de commencer, nous aimerions vous poser quelques questions sur votre famille immédiate.</t>
  </si>
  <si>
    <t>55. Kafin mu fara, muna so mu yi muku ƴan tambayoyi game da ƴan gidan ku ma kusata.</t>
  </si>
  <si>
    <t>51. Before we begin, we'd like to ask you a few questions about your immediate family.</t>
  </si>
  <si>
    <t>51. Avant de commencer, nous aimerions vous poser quelques questions sur votre famille immédiate.</t>
  </si>
  <si>
    <t>51. Kafin mu fara, muna so mu yi muku ƴan tambayoyi game da ƴan gidan ku ma kusata.</t>
  </si>
  <si>
    <t>pm_children</t>
  </si>
  <si>
    <t>56. Do you have children?</t>
  </si>
  <si>
    <t>56. Avez-vous des enfants?</t>
  </si>
  <si>
    <t>56. Ko kuna da yara?</t>
  </si>
  <si>
    <t>item-at(',', ${pm_spouse_names}, 7)</t>
  </si>
  <si>
    <t>PASAN</t>
  </si>
  <si>
    <t>52. Do you have children?</t>
  </si>
  <si>
    <t>52. Avez-vous des enfants?</t>
  </si>
  <si>
    <t>52. Ko kuna da yara?</t>
  </si>
  <si>
    <t>select_multiple potential_child</t>
  </si>
  <si>
    <t>pm_family_rel_child</t>
  </si>
  <si>
    <t>57. Please identify your children from the following list of household members:</t>
  </si>
  <si>
    <t>57. Veuillez identifier vos enfants à partir de la liste suivante des membres du ménage :</t>
  </si>
  <si>
    <t>57. Da fatan za ku gano yaranku daga jerin sunayen ƴan gida masu zuwa:</t>
  </si>
  <si>
    <t>53. Please identify your children from the following list of household members:</t>
  </si>
  <si>
    <t>53. Veuillez identifier vos enfants à partir de la liste suivante des membres du ménage :</t>
  </si>
  <si>
    <t>53. Da fatan za ku gano yaranku daga jerin sunayen ƴan gida masu zuwa:</t>
  </si>
  <si>
    <t>pm_num_child_not_in_list</t>
  </si>
  <si>
    <t>58. How many children were not in the list?</t>
  </si>
  <si>
    <t>58. Combien d’enfants ne figuraient pas sur la liste ?</t>
  </si>
  <si>
    <t>58. Yara nawa ne ba su cikin jerin sunayen?</t>
  </si>
  <si>
    <t>PASEC</t>
  </si>
  <si>
    <t>54. How many children were not in the list?</t>
  </si>
  <si>
    <t>54. Combien d’enfants ne figuraient pas sur la liste ?</t>
  </si>
  <si>
    <t>54. Yara nawa ne ba su cikin jerin sunayen?</t>
  </si>
  <si>
    <t>pm_child_not_in_list</t>
  </si>
  <si>
    <t>Children not in list</t>
  </si>
  <si>
    <t>item-at(',', ${pm_spouse_names}, 8)</t>
  </si>
  <si>
    <t>158. Taking all your responses above into account, would you say that it is accurate that in location your total income during period from ${pm_primary_activity_name} was ${pm_calc_total_income} CFA?</t>
  </si>
  <si>
    <t>158. En tenant compte de toutes vos réponses ci-dessus, diriez-vous qu'il est exact qu'en ce lieu votre revenu total pendant au cours de trois dernieres mois de ${pm_primary_activity_name} était de ${pm_calc_total_income} CFA ?</t>
  </si>
  <si>
    <t>PECAP</t>
  </si>
  <si>
    <t>158. Idan muka yi la'aƙari da duk amsoshin da kuka bada a sama, za ku ce daidai ne cewa a wannan wurin jimillar kuɗin da kuka samu daga ${pm_primary_activity_name} shine ${pm_calc_total_income} CFA?</t>
  </si>
  <si>
    <t>pm_child_not_in_list_index</t>
  </si>
  <si>
    <t>159. Now I would like you to think about any costs associated with ${pm_primary_activity_name}</t>
  </si>
  <si>
    <t>159. Maintenant, je voudrais que vous réfléchissiez aux coûts associés à ${pm_primary_activity_name}</t>
  </si>
  <si>
    <t>159. Yanzu ina so ku yi tunani game da kowane farashi mai alaƙa da ${pm_primary_activity_name}</t>
  </si>
  <si>
    <t>pm_child_o_name</t>
  </si>
  <si>
    <t>PICAD</t>
  </si>
  <si>
    <t>59. What is the name of child #${pm_child_not_in_list_index}?</t>
  </si>
  <si>
    <t>59. Quel est le nom de l'enfant #${pm_child_not_in_list_index} ?</t>
  </si>
  <si>
    <t>59. Menene sunan yaro #${pm_child_not_in_list_index}?</t>
  </si>
  <si>
    <t>item-at(',', ${pm_spouse_names}, 9)</t>
  </si>
  <si>
    <t>55. What is the name of child #${pm_child_not_in_list_index}?</t>
  </si>
  <si>
    <t>55. Quel est le nom de l'enfant #${pm_child_not_in_list_index} ?</t>
  </si>
  <si>
    <t>55. Menene sunan yaro #${pm_child_not_in_list_index}?</t>
  </si>
  <si>
    <t>pm_child_o_age</t>
  </si>
  <si>
    <t>60. How old is ${pm_child_o_name}?</t>
  </si>
  <si>
    <t>60. Quel âge a ${pm_child_o_name} ?</t>
  </si>
  <si>
    <t>60. Shekarun ${pm_child_o_name} nawa?</t>
  </si>
  <si>
    <t>PICCT</t>
  </si>
  <si>
    <t>56. How old is ${pm_child_o_name}?</t>
  </si>
  <si>
    <t>56. Quel âge a ${pm_child_o_name} ?</t>
  </si>
  <si>
    <t>56. Shekarun ${pm_child_o_name} nawa?</t>
  </si>
  <si>
    <t>148. Approximately how much did you earn each week from ${pm_primary_activity_name} in ${pm_location_name} in cash (in CFA)?</t>
  </si>
  <si>
    <t>148. Environ combien avez-vous gagné chaque semaine grâce à ${pm_primary_activity_name} à ${pm_location_name} (en CFA)?</t>
  </si>
  <si>
    <t>148. Kimanin nawa kuke samu kowane sati don ${pm_primary_activity_name} a ${pm_location_name} (in CFA)?</t>
  </si>
  <si>
    <t>pm_married</t>
  </si>
  <si>
    <t>61. Are you married?</t>
  </si>
  <si>
    <t>61. Êtes-vous marié?</t>
  </si>
  <si>
    <t>61. Ko kana da aure?</t>
  </si>
  <si>
    <t>item-at(',', ${pm_spouse_names}, 10)</t>
  </si>
  <si>
    <t>PLAN Niger</t>
  </si>
  <si>
    <t>57. Are you married?</t>
  </si>
  <si>
    <t>57. Êtes-vous marié?</t>
  </si>
  <si>
    <t>57. Ko kana da aure?</t>
  </si>
  <si>
    <t>select_multiple potential_spouse</t>
  </si>
  <si>
    <t>pm_family_rel_spouse</t>
  </si>
  <si>
    <t>62. Please identify your spouse from the following list of female household members:</t>
  </si>
  <si>
    <t>62. Veuillez identifier votre conjoint à partir de la liste des membres féminins suivants du ménage :</t>
  </si>
  <si>
    <t>62. Da fatan za ka bayyana sunan matar ka daga cikin jerin sunayen ƴan gidan ku mata masu zuwa:</t>
  </si>
  <si>
    <t>58. Please identify your spouse from the following list of female household members:</t>
  </si>
  <si>
    <t>58. Veuillez identifier votre conjoint à partir de la liste des membres féminins suivants du ménage :</t>
  </si>
  <si>
    <t>58. Da fatan za ka bayyana sunan matar ka daga cikin jerin sunayen ƴan gidan ku mata masu zuwa:</t>
  </si>
  <si>
    <t>pm_num_spouse_not_in_list</t>
  </si>
  <si>
    <t>63. How many spouse were not in the list?</t>
  </si>
  <si>
    <t>63. Combien de conjoints ne figuraient pas sur la liste ?</t>
  </si>
  <si>
    <t>63. Ma'aurata nawa ne babu su cikin jerin sunayen?</t>
  </si>
  <si>
    <t>PRADEL</t>
  </si>
  <si>
    <t>item-at(',', ${pm_spouse_names}, 11)</t>
  </si>
  <si>
    <t>59. How many spouse were not in the list?</t>
  </si>
  <si>
    <t>59. Combien de conjoints ne figuraient pas sur la liste ?</t>
  </si>
  <si>
    <t>59. Ma'aurata nawa ne babu su cikin jerin sunayen?</t>
  </si>
  <si>
    <t>pm_spouse_not_in_list</t>
  </si>
  <si>
    <t>Spouse not in list</t>
  </si>
  <si>
    <t>152. Specify other</t>
  </si>
  <si>
    <t>152. Autre à préciser</t>
  </si>
  <si>
    <t>152. Wani daban a bayyana</t>
  </si>
  <si>
    <t>pm_spouse_not_in_list_index</t>
  </si>
  <si>
    <t>PRAPS</t>
  </si>
  <si>
    <t>153. What is the weekly value in CFA of the payment you received in kind for housing from working in ${pm_primary_activity_name}?</t>
  </si>
  <si>
    <t>153. Quelle est la valeur hebdomadaire en CFA du paiement en nature que vous avez reçu pour le logement en travaillant à ${pm_primary_activity_name} ?</t>
  </si>
  <si>
    <t>153. Nawa kimar biyan da kuka samu a kowane sati na gidan haya don aikin ${pm_primary_activity_name} da kuka yi?</t>
  </si>
  <si>
    <t>pm_spouse_o_name</t>
  </si>
  <si>
    <t>64. What is the name of spouse #${pm_spouse_not_in_list_index}?</t>
  </si>
  <si>
    <t>64. Quel est le nom du conjoint #${pm_spouse_not_in_list_index} ?</t>
  </si>
  <si>
    <t>item-at(',', ${pm_spouse_names}, 12)</t>
  </si>
  <si>
    <t>64. Menene sunan matar #${pm_spouse_not_in_list_index}?</t>
  </si>
  <si>
    <t>60. What is the name of spouse #${pm_spouse_not_in_list_index}?</t>
  </si>
  <si>
    <t>60. Quel est le nom du conjoint #${pm_spouse_not_in_list_index} ?</t>
  </si>
  <si>
    <t>60. Menene sunan matar #${pm_spouse_not_in_list_index}?</t>
  </si>
  <si>
    <t>PRODAF</t>
  </si>
  <si>
    <t>pm_spouse_o_age</t>
  </si>
  <si>
    <t>65. How old is ${pm_spouse_o_name}?</t>
  </si>
  <si>
    <t>65. Quel âge a ${pm_spouse_o_name} ?</t>
  </si>
  <si>
    <t>65. Shekarun ${pm_spouse_o_name} nawa2?</t>
  </si>
  <si>
    <t>61. How old is ${pm_spouse_o_name}?</t>
  </si>
  <si>
    <t>61. Quel âge a ${pm_spouse_o_name} ?</t>
  </si>
  <si>
    <t>61. Shekarun ${pm_spouse_o_name} nawa2?</t>
  </si>
  <si>
    <t>156. What is the weekly value in CFA of the payment you received in kind for all other benefits from working in ${pm_primary_activity_name}?</t>
  </si>
  <si>
    <t>156. Quelle est la valeur hebdomadaire en CFA du paiement que vous avez reçu en nature pour tous les autres avantages liés au travail à ${pm_primary_activity_name} ?</t>
  </si>
  <si>
    <t>item-at(',', ${pm_spouse_names}, 13)</t>
  </si>
  <si>
    <t>156. Nawa kimar biyan da kuka samu na wasu fa'idodi da kuka samu a kan aikin ${pm_primary_activity_name}da kuka yi?</t>
  </si>
  <si>
    <t>Programme Alimentaire Mondial (PAM)</t>
  </si>
  <si>
    <t>157. For ${pm_primary_activity_name} in ${pm_location_name}, did your employer deduct any expenses from your earnings before paying you? Some examples of deductions are the cost of supplies or food that the employer provides to you.</t>
  </si>
  <si>
    <t>157. Pour ${pm_primary_activity_name} à ${pm_location_name}, votre employeur a-t-il déduit des dépenses de vos revenus avant de vous payer ? Quelques exemples de déductions sont le coût des fournitures ou de la nourriture que l'employeur vous fournit.</t>
  </si>
  <si>
    <t>157. Don ${pm_primary_activity_name} a cikin ${pm_location_name}, ko mai gidanku ya cire wani sashen kuɗin daga abin da kuka samu kafin ya biya ku? Kamar kuɗin wasu kayayyaki ko abincin da mai gida ke baku.</t>
  </si>
  <si>
    <t>speedcheck_pm_fam_rel_end</t>
  </si>
  <si>
    <t>158. What is the weekly value in CFA that your employer deducted from your earnings?</t>
  </si>
  <si>
    <t>158. Quelle est la valeur hebdomadaire en CFA que votre employeur a déduit de vos revenus ?</t>
  </si>
  <si>
    <t>158. Nawa ne kimar kuɗin da mai gidanku ya cira a cikin kuɗinku da kuka samu?</t>
  </si>
  <si>
    <t>Programme pour la promotion de l'éductaion (PPE)</t>
  </si>
  <si>
    <t>dur_pm_fam_rel</t>
  </si>
  <si>
    <t>item-at(',', ${pm_spouse_names}, 14)</t>
  </si>
  <si>
    <t>168. In ${pm_location_name} during ${period}, did you share money with your household in ${pm_home_location}?</t>
  </si>
  <si>
    <t>168. À ${pm_location_name} pendant ${period_french} avez-vous envoyé de l'argent a votre ménage à ${pm_home_location} ?</t>
  </si>
  <si>
    <t>168. A cikin ${pm_location_name} lokacin ${period_hausa} kun aika kuɗi zuwa gidanku a ${pm_home_location}?</t>
  </si>
  <si>
    <t>169. Thinking about the ${pm_location_weeks} weeks you spent in location during ${period}, how much of the money you earned do you estimate you shared with your household in ${pm_home_location}?</t>
  </si>
  <si>
    <t>169. En pensant aux ${pm_location_weeks} semaines que vous avez passées dans la localité au cours de ${period_french}, quelle part de l'argent que vous avez gagné estimez-vous avoir envoyé à votre foyer en ${pm_home_location}?</t>
  </si>
  <si>
    <t>169. Ku Tuna da makonnin ${pm_location_weeks} da kuka zauna a wurin ${period_hausa}, nawa ne daga cikin kudaden da kuka samu kuka kiyasin aika wa gidanku a ${pm_home_location}?</t>
  </si>
  <si>
    <t>PROGRES</t>
  </si>
  <si>
    <t>speedcheck_pm_loc_start</t>
  </si>
  <si>
    <t>170. What method did you use to share money?</t>
  </si>
  <si>
    <t>170. Quel canal avez-vous utilisée pour envoyer l'argent ?</t>
  </si>
  <si>
    <t>170. Wace hanya kuka yi amfani da ita don tura kuɗin?</t>
  </si>
  <si>
    <t>item-at(',', ${pm_spouse_names}, 15)</t>
  </si>
  <si>
    <t>pm_recall_time_period</t>
  </si>
  <si>
    <t>54. We would like to ask you some questions about your life and activities during the period from ${period}. Think about the period from ${period} when answering the following questions.</t>
  </si>
  <si>
    <t>54. Nous aimerions vous poser quelques questions sur votre vie et vos activités pendant la période du ${period_french}. Pensez à la période à partir de ${period_french} lorsque vous répondez aux questions suivantes.</t>
  </si>
  <si>
    <t>54. Muna son mu yi muku wasu tambayoyi bisa rayuwarku da ayyukanku a cikin lokacin ${period_hausa}. Ku tuna da lokacin ${period_hausa} in zaku bada amsar tambayoyin nan masu zuwa.</t>
  </si>
  <si>
    <t>62. We would like to ask you some questions about your life and activities during the period from ${period}. Think about the period from ${period} when answering the following questions.</t>
  </si>
  <si>
    <t>62. Nous aimerions vous poser quelques questions sur votre vie et vos activités pendant la période du ${period_french}. Pensez à la période à partir de ${period_french} lorsque vous répondez aux questions suivantes.</t>
  </si>
  <si>
    <t>62. Muna son mu yi muku wasu tambayoyi bisa rayuwarku da ayyukanku a cikin lokacin ${period_hausa}. Ku tuna da lokacin ${period_hausa} in zaku bada amsar tambayoyin nan masu zuwa.</t>
  </si>
  <si>
    <t>Projet LIRE</t>
  </si>
  <si>
    <t>pm_locations_note</t>
  </si>
  <si>
    <t>66. Now we'd like to ask you about your whereabouts.</t>
  </si>
  <si>
    <t>66. Nous aimerions maintenant vous demander où vous vous trouvez.</t>
  </si>
  <si>
    <t>66. Yanzu muna so mu tambaye ku game da inda kuke.</t>
  </si>
  <si>
    <t>63. Now we'd like to ask you about your whereabouts.</t>
  </si>
  <si>
    <t>63. Nous aimerions maintenant vous demander où vous vous trouvez.</t>
  </si>
  <si>
    <t>item-at(',', ${pm_spouse_names}, 16)</t>
  </si>
  <si>
    <t>63. Yanzu muna so mu tambaye ku game da inda kuke.</t>
  </si>
  <si>
    <t>pm_home</t>
  </si>
  <si>
    <t>67. Think back to the beginning of ${period}, were you living at home in ${pm_home_location}?</t>
  </si>
  <si>
    <t>67. Repensez au début de ${period_french}, étiez-vous chez vous à ${pm_home_location} ?</t>
  </si>
  <si>
    <t>67. Ku tunada watanni a farkon ${period_hausa}, ko kana nan gida a garin ${pm_home_location}?</t>
  </si>
  <si>
    <t>Projet Pôles Ruraux (PPR)</t>
  </si>
  <si>
    <t>64. Think back to the beginning of ${period}, were you living at home in ${pm_home_location}?</t>
  </si>
  <si>
    <t>64. Repensez au début de ${period_french}, étiez-vous chez vous à ${pm_home_location} ?</t>
  </si>
  <si>
    <t>64. Ku tunada watanni a farkon ${period_hausa}, ko kana nan gida a garin ${pm_home_location}?</t>
  </si>
  <si>
    <t>pm_past_in_niger</t>
  </si>
  <si>
    <t>68. Where were you living at this time?
 Enumerator: Is location in Niger?</t>
  </si>
  <si>
    <t>68. Où étiez-vous à cette époque ?
 Enquêteur : La localité est-elle au Niger ?</t>
  </si>
  <si>
    <t>68. A ina kake a wannan lokacin?
 Ɗan bincike : Ko wurin a cikin Nijar ne?</t>
  </si>
  <si>
    <t>65. Where were you living at this time?
 Enumerator: Is location in Niger?</t>
  </si>
  <si>
    <t>65. Où étiez-vous à cette époque ?
 Enquêteur : La localité est-elle au Niger ?</t>
  </si>
  <si>
    <t>65. A ina kake a wannan lokacin?
 Ɗan bincike : Ko wurin a cikin Nijar ne?</t>
  </si>
  <si>
    <t>pm_past_region</t>
  </si>
  <si>
    <t>69. Enumerator: Select region in Niger</t>
  </si>
  <si>
    <t>item-at(',', ${pm_spouse_names}, 17)</t>
  </si>
  <si>
    <t>69. Enquêteur : Sélectionnez une région au Niger</t>
  </si>
  <si>
    <t>PROMAP-ADKOUL</t>
  </si>
  <si>
    <t>69. Ɗan bincike: Zaɓi Jaha ɗaya a Nijar</t>
  </si>
  <si>
    <t>66. Enumerator: Select region in Niger</t>
  </si>
  <si>
    <t>66. Enquêteur : Sélectionnez une région au Niger</t>
  </si>
  <si>
    <t>66. Ɗan bincike: Zaɓi Jaha ɗaya a Nijar</t>
  </si>
  <si>
    <t>pm_past_country</t>
  </si>
  <si>
    <t>70. Enumerator: Select country</t>
  </si>
  <si>
    <t>70. Enquêteur : sélectionnez le pays</t>
  </si>
  <si>
    <t>70. Ɗan bincike: Zaɓi ƙasa</t>
  </si>
  <si>
    <t>67. Enumerator: Select country</t>
  </si>
  <si>
    <t>REVE</t>
  </si>
  <si>
    <t>67. Enquêteur : sélectionnez le pays</t>
  </si>
  <si>
    <t>67. Ɗan bincike: Zaɓi ƙasa</t>
  </si>
  <si>
    <t>pm_past_country_o</t>
  </si>
  <si>
    <t>71. Enumerator: Enter other country</t>
  </si>
  <si>
    <t>71. Enquêteur : Entrez un autre pays</t>
  </si>
  <si>
    <t>71. Ɗan bincike: Shigar da wata ƙasa</t>
  </si>
  <si>
    <t>item-at(',', ${pm_spouse_names}, 18)</t>
  </si>
  <si>
    <t>68. Enumerator: Enter other country</t>
  </si>
  <si>
    <t>68. Enquêteur : Entrez un autre pays</t>
  </si>
  <si>
    <t>68. Ɗan bincike: Shigar da wata ƙasa</t>
  </si>
  <si>
    <t>pm_past_town</t>
  </si>
  <si>
    <t>72. Enumerator: Select town</t>
  </si>
  <si>
    <t>72. Enquêteur : Sélectionnez la ville</t>
  </si>
  <si>
    <t>72. Ɗan bincike: Zaɓi gari</t>
  </si>
  <si>
    <t>SNV</t>
  </si>
  <si>
    <t>69. Enumerator: Select town</t>
  </si>
  <si>
    <t>69. Enquêteur : Sélectionnez la ville</t>
  </si>
  <si>
    <t>69. Ɗan bincike: Zaɓi gari</t>
  </si>
  <si>
    <t>pm_past_town_o</t>
  </si>
  <si>
    <t>73. Other, specify:</t>
  </si>
  <si>
    <t>73. Autre précisez:</t>
  </si>
  <si>
    <t>73. Wani daban baiyana:</t>
  </si>
  <si>
    <t>70. Other, specify:</t>
  </si>
  <si>
    <t>70. Autre précisez:</t>
  </si>
  <si>
    <t>70. Wani daban baiyana:</t>
  </si>
  <si>
    <t>pm_past_town_id</t>
  </si>
  <si>
    <t>163. How much debt in CFA did you take to be able to engage in ${pm_primary_activity_name}?</t>
  </si>
  <si>
    <t>163. Combien avez-vous contracté de dettes en CFA pour pouvoir vous engager dans ${pm_primary_activity_name} ?</t>
  </si>
  <si>
    <t>163. Bashin nawa a CFA kuka ci don samun damar shiga ${pm_primary_activity_name}?</t>
  </si>
  <si>
    <t>pm_past_town_name</t>
  </si>
  <si>
    <t>TATTALI IYALI</t>
  </si>
  <si>
    <t>164. Now think about your total income from other jobs you worked in ${pm_location_name}. What is your best estimate of your total income from these jobs per week?</t>
  </si>
  <si>
    <t>item-at(',', ${pm_spouse_names}, 19)</t>
  </si>
  <si>
    <t>164. Pensez maintenant à vos revenus totaux provenant d'autres emplois que vous avez occupés à ${pm_location_name}. Quelle est votre meilleure estimation de votre revenu total de ces emplois par semaine ?</t>
  </si>
  <si>
    <t>164. Yanzu ku tuna da jimillar kuɗin shiga da kuka samu daga wasu ayyukan da kuka yi a ${pm_location_name}. Misalin nawa a tunaninku jimillar kuɗin shiga daga waɗannan ayyukan a kowane mako?</t>
  </si>
  <si>
    <t>pm_beginning_location</t>
  </si>
  <si>
    <t>165. For approximately how many weeks in ${pm_location_name} during ${period} did you earn ${pm_other_income}?</t>
  </si>
  <si>
    <t>165. Pendant environ combien de semaines à ${pm_location_name} pendant ${period_french} avez-vous gagné ${pm_other_income} ?</t>
  </si>
  <si>
    <t>165. Kimanin sati nawa a ${pm_location_name} a lokacin ${period_hausa} kuka sami ${pm_other_income}?</t>
  </si>
  <si>
    <t>pm_beginning_country</t>
  </si>
  <si>
    <t>UNICEF</t>
  </si>
  <si>
    <t>179. Housing (rent)</t>
  </si>
  <si>
    <t>179. Logement (loyer)</t>
  </si>
  <si>
    <t>179. Gidaje (hayar)</t>
  </si>
  <si>
    <t>pm_past_in_ecowas</t>
  </si>
  <si>
    <t>180. Transportation</t>
  </si>
  <si>
    <t>180. Transport</t>
  </si>
  <si>
    <t>180. Sufuri</t>
  </si>
  <si>
    <t>pm_current_location_same</t>
  </si>
  <si>
    <t>74. Are you living in the same location now?</t>
  </si>
  <si>
    <t>74. Vivez-vous au même endroit maintenant?</t>
  </si>
  <si>
    <t>74. Ko kana zaune a wurin na da a yanzu?</t>
  </si>
  <si>
    <t>Union Internationale pour la Conservation de la Nature (UICN)</t>
  </si>
  <si>
    <t>71. Are you living in the same location now?</t>
  </si>
  <si>
    <t>71. Vivez-vous au même endroit maintenant?</t>
  </si>
  <si>
    <t>71. Ko kana zaune a wurin na da a yanzu?</t>
  </si>
  <si>
    <t>pm_current_in_niger</t>
  </si>
  <si>
    <t>75. Where are you living?
 Enumerator: Is location in Niger?</t>
  </si>
  <si>
    <t>75. Où habites-tu?
 Énquêteur: le lieu est-il au Niger?</t>
  </si>
  <si>
    <t>75. Ina kake zaune?
 Dan bincike: Ko wurin a Nijar ne?</t>
  </si>
  <si>
    <t>item-at(',', ${pm_spouse_ages}, 0)</t>
  </si>
  <si>
    <t>72. Where are you living?
 Enumerator: Is location in Niger?</t>
  </si>
  <si>
    <t>72. Où habites-tu?
 Énquêteur: le lieu est-il au Niger?</t>
  </si>
  <si>
    <t>WHH</t>
  </si>
  <si>
    <t>72. Ina kake zaune?
 Dan bincike: Ko wurin a Nijar ne?</t>
  </si>
  <si>
    <t>pm_current_region</t>
  </si>
  <si>
    <t>76. Enumerator: Select region in Niger</t>
  </si>
  <si>
    <t>76. Enquêteur : Sélectionnez une région au Niger</t>
  </si>
  <si>
    <t>76. Ɗan bincike: Zaɓi Jaha ɗaya a Nijar</t>
  </si>
  <si>
    <t>73. Enumerator: Select region in Niger</t>
  </si>
  <si>
    <t>73. Enquêteur : Sélectionnez une région au Niger</t>
  </si>
  <si>
    <t>73. Ɗan bincike: Zaɓi Jaha ɗaya a Nijar</t>
  </si>
  <si>
    <t>pm_current_country</t>
  </si>
  <si>
    <t>77. Enumerator: Select country</t>
  </si>
  <si>
    <t>77. Enquêteur : sélectionnez le pays</t>
  </si>
  <si>
    <t>77. Ɗan bincike: Zaɓi ƙasa</t>
  </si>
  <si>
    <t>74. Enumerator: Select country</t>
  </si>
  <si>
    <t>Word Vision</t>
  </si>
  <si>
    <t>74. Enquêteur : sélectionnez le pays</t>
  </si>
  <si>
    <t>74. Ɗan bincike: Zaɓi ƙasa</t>
  </si>
  <si>
    <t>pm_current_country_o</t>
  </si>
  <si>
    <t>78. Enumerator: Enter other country</t>
  </si>
  <si>
    <t>78. Enquêteur : Entrez un autre pays</t>
  </si>
  <si>
    <t>78. Ɗan bincike: Shigar da wata ƙasa</t>
  </si>
  <si>
    <t>75. Enumerator: Enter other country</t>
  </si>
  <si>
    <t>75. Enquêteur : Entrez un autre pays</t>
  </si>
  <si>
    <t>75. Ɗan bincike: Shigar da wata ƙasa</t>
  </si>
  <si>
    <t>pm_current_town</t>
  </si>
  <si>
    <t>79. Enumerator: Select town</t>
  </si>
  <si>
    <t>79. Enquêteur : Sélectionnez la ville</t>
  </si>
  <si>
    <t>79. Ɗan bincike: Zaɓi gari</t>
  </si>
  <si>
    <t>item-at(',', ${pm_spouse_ages}, 1)</t>
  </si>
  <si>
    <t>76. Enumerator: Select town</t>
  </si>
  <si>
    <t>76. Enquêteur : Sélectionnez la ville</t>
  </si>
  <si>
    <t>76. Ɗan bincike: Zaɓi gari</t>
  </si>
  <si>
    <t>ZARES</t>
  </si>
  <si>
    <t>pm_current_town_o</t>
  </si>
  <si>
    <t>80. Other, specify:</t>
  </si>
  <si>
    <t>80. Autre précisez:</t>
  </si>
  <si>
    <t>80. Wani daba baiyana:</t>
  </si>
  <si>
    <t>77. Other, specify:</t>
  </si>
  <si>
    <t>77. Autre précisez:</t>
  </si>
  <si>
    <t>77. Wani daba baiyana:</t>
  </si>
  <si>
    <t>pm_current_town_id</t>
  </si>
  <si>
    <t>186. How often, if ever, have you felt unsafe walking in the neighborhood where you are staying?</t>
  </si>
  <si>
    <t>186. Combien de fois, si jamais ça vous est arrivé, vous êtes-vous senti en danger en vous promenant dans le quartier où vous séjournez ?</t>
  </si>
  <si>
    <t>186. Sau nawa, idan ya taɓa faruwa, kuka ji ku cikin haɗari, yayin da kuke yawo a cikin unguwar da kuke zaune?</t>
  </si>
  <si>
    <t>item-at(',', ${pm_spouse_ages}, 2)</t>
  </si>
  <si>
    <t>pm_current_town_name</t>
  </si>
  <si>
    <t>167. What was the main reason you spent time in ${pm_location_name} during ${period}?</t>
  </si>
  <si>
    <t>167. Quelle est la principale raison pour laquelle vous avez passé du temps à ${pm_location_name} pendant ${period_french} ?</t>
  </si>
  <si>
    <t>167. Menene babban dalilin da kuka zauna wani lokaci a ${pm_location_name} lokacin ${period_hausa}?</t>
  </si>
  <si>
    <t>pm_current_location</t>
  </si>
  <si>
    <t>Calculate current location</t>
  </si>
  <si>
    <t>mig_countries</t>
  </si>
  <si>
    <t>168. Think about a typical week in ${pm_location_name}, where were you living?</t>
  </si>
  <si>
    <t>168. Pensez à une semaine typique à ${pm_location_name}, où viviez-vous ?</t>
  </si>
  <si>
    <t>168. Ku yi tunanin mako guda a cikin ${pm_location_name}, da inda kuke zaune?</t>
  </si>
  <si>
    <t>pm_current_country_lbl</t>
  </si>
  <si>
    <t>169. In ${pm_location_name} during ${period}, did you share money with your household in ${pm_home_location}?</t>
  </si>
  <si>
    <t>169. À ${pm_location_name} pendant ${period_french} avez-vous envoyé de l'argent a votre ménage à ${pm_home_location} ?</t>
  </si>
  <si>
    <t>item-at(',', ${pm_spouse_ages}, 3)</t>
  </si>
  <si>
    <t>169. A cikin ${pm_location_name} lokacin ${period_hausa} kun aika kuɗi zuwa gidanku a ${pm_home_location}?</t>
  </si>
  <si>
    <t>pm_current_in_ecowas</t>
  </si>
  <si>
    <t>170. Thinking about the ${pm_location_weeks} weeks you spent in location during ${period}, how much of the money you earned do you estimate you shared with your household in ${pm_home_location}?</t>
  </si>
  <si>
    <t>170. En pensant aux ${pm_location_weeks} semaines que vous avez passées dans la localité au cours de ${period_french}, quelle part de l'argent que vous avez gagné estimez-vous avoir envoyé à votre foyer en ${pm_home_location}?</t>
  </si>
  <si>
    <t>170. Ku Tuna da makonnin ${pm_location_weeks} da kuka zauna a wurin ${period_hausa}, nawa ne daga cikin kudaden da kuka samu kuka kiyasin aika wa gidanku a ${pm_home_location}?</t>
  </si>
  <si>
    <t>pm_loc_beg_initial</t>
  </si>
  <si>
    <t>171. What method did you use to share money?</t>
  </si>
  <si>
    <t>171. Quel canal avez-vous utilisée pour envoyer l'argent ?</t>
  </si>
  <si>
    <t>171. Wace hanya kuka yi amfani da ita don tura kuɗin?</t>
  </si>
  <si>
    <t>pm_loc_beg_initial_fr</t>
  </si>
  <si>
    <t>item-at(',', ${pm_spouse_ages}, 4)</t>
  </si>
  <si>
    <t>172. In ${pm_location_name} during ${period} did you receive money from your household in ${pm_home_location}?</t>
  </si>
  <si>
    <t>172. À ${pm_location_name} pendant ${period_french} avez-vous reçu de l'argent de votre menage à ${pm_home_location} ?</t>
  </si>
  <si>
    <t>172. A ${pm_location_name} lokacin ${period_hausa} ko kun samu kuɗi daga gidanku a ${pm_home_location}?</t>
  </si>
  <si>
    <t>pm_loc_beg_initial_hausa</t>
  </si>
  <si>
    <t>173. Thinking about the ${pm_location_weeks} weeks you spent in location during period name, how much money do you estimate you recieved from your household in ${pm_home_location}?</t>
  </si>
  <si>
    <t>173. En pensant aux ${pm_location_weeks} semaines que vous avez passées dans la localité au cours de la période (nom), combien d'argent estimez-vous avoir reçu de votre menage dans ${pm_home_location} ?</t>
  </si>
  <si>
    <t>173. KuTuna da makonni ${pm_location_weeks} da kuka zauna a wurin lokacin (suna), nawa kuke lissahin kun samu daga gidan ku a ${pm_home_location}?</t>
  </si>
  <si>
    <t>174. What method was used to share this money?</t>
  </si>
  <si>
    <t>174. Quelle canal a été utilisée pour envoyer cet argent?</t>
  </si>
  <si>
    <t>174. Wace hanya kuka yi amfani da ita don aika wannan kuɗin?</t>
  </si>
  <si>
    <t>item-at(',', ${pm_spouse_ages}, 5)</t>
  </si>
  <si>
    <t>select_one yesnodk</t>
  </si>
  <si>
    <t>pm_shm_home</t>
  </si>
  <si>
    <t>81. Is ${shm_name} currently living in your household?</t>
  </si>
  <si>
    <t>81. Est-ce que ${shm_name} vit actuellement dans votre ménage?</t>
  </si>
  <si>
    <t>81. Ko ${shm_name} yana zaune a gidan ku a halin yanzu?</t>
  </si>
  <si>
    <t>78. Is ${shm_name} currently living in your household?</t>
  </si>
  <si>
    <t>78. Est-ce que ${shm_name} vit actuellement dans votre ménage?</t>
  </si>
  <si>
    <t>78. Ko ${shm_name} yana zaune a gidan ku a halin yanzu?</t>
  </si>
  <si>
    <t>pm_shm_in_niger</t>
  </si>
  <si>
    <t>82. Is ${shm_name} currently living in Niger?</t>
  </si>
  <si>
    <t>82. Où habites-tu?
 Énquêteur: le lieu est-il au Niger?</t>
  </si>
  <si>
    <t>82. Ina kake zaune?
 Dan bincike: Ko wurin a Nijar ne?</t>
  </si>
  <si>
    <t>79. Is ${shm_name} currently living in Niger?</t>
  </si>
  <si>
    <t>79. Où habites-tu?
 Énquêteur: le lieu est-il au Niger?</t>
  </si>
  <si>
    <t>79. Ina kake zaune?
 Dan bincike: Ko wurin a Nijar ne?</t>
  </si>
  <si>
    <t>pm_shm_region</t>
  </si>
  <si>
    <t>83. Enumerator: Select region in Niger</t>
  </si>
  <si>
    <t>83. Enquêteur : Sélectionnez une région au Niger</t>
  </si>
  <si>
    <t>83. Ɗan bincike: Zaɓi Jaha ɗaya a Nijar</t>
  </si>
  <si>
    <t>80. Enumerator: Select region in Niger</t>
  </si>
  <si>
    <t>80. Enquêteur : Sélectionnez une région au Niger</t>
  </si>
  <si>
    <t>80. Ɗan bincike: Zaɓi Jaha ɗaya a Nijar</t>
  </si>
  <si>
    <t>pm_shm_country</t>
  </si>
  <si>
    <t>84. Enumerator: Select country</t>
  </si>
  <si>
    <t>item-at(',', ${pm_spouse_ages}, 6)</t>
  </si>
  <si>
    <t>84. Enquêteur : sélectionnez le pays</t>
  </si>
  <si>
    <t>84. Ɗan bincike: Zaɓi ƙasa</t>
  </si>
  <si>
    <t>81. Enumerator: Select country</t>
  </si>
  <si>
    <t>81. Enquêteur : sélectionnez le pays</t>
  </si>
  <si>
    <t>81. Ɗan bincike: Zaɓi ƙasa</t>
  </si>
  <si>
    <t>pm_shm_country_o</t>
  </si>
  <si>
    <t>85. Enumerator: Enter other country</t>
  </si>
  <si>
    <t>85. Enquêteur : Entrez un autre pays</t>
  </si>
  <si>
    <t>85. Ɗan bincike: Shigar da wata ƙasa</t>
  </si>
  <si>
    <t>82. Enumerator: Enter other country</t>
  </si>
  <si>
    <t>82. Enquêteur : Entrez un autre pays</t>
  </si>
  <si>
    <t>82. Ɗan bincike: Shigar da wata ƙasa</t>
  </si>
  <si>
    <t>pm_shm_town</t>
  </si>
  <si>
    <t>86. Enumerator: Select town</t>
  </si>
  <si>
    <t>86. Enquêteur : Sélectionnez la ville</t>
  </si>
  <si>
    <t>item-at(',', ${pm_spouse_ages}, 7)</t>
  </si>
  <si>
    <t>86. Ɗan bincike: Zaɓi gari</t>
  </si>
  <si>
    <t>83. Enumerator: Select town</t>
  </si>
  <si>
    <t>83. Enquêteur : Sélectionnez la ville</t>
  </si>
  <si>
    <t>83. Ɗan bincike: Zaɓi gari</t>
  </si>
  <si>
    <t>pm_shm_town_o</t>
  </si>
  <si>
    <t>87. Enumerator: Enter other town</t>
  </si>
  <si>
    <t>87. Enquêteur : Entrez un autre ville</t>
  </si>
  <si>
    <t>87. Ɗan bincike: Shigar da wata gari</t>
  </si>
  <si>
    <t>84. Enumerator: Enter other town</t>
  </si>
  <si>
    <t>84. Enquêteur : Entrez un autre ville</t>
  </si>
  <si>
    <t>84. Ɗan bincike: Shigar da wata gari</t>
  </si>
  <si>
    <t>pm_shm_home_2w</t>
  </si>
  <si>
    <t>88. Will ${shm_name} be in the household within the next two weeks?</t>
  </si>
  <si>
    <t>88. Est-ce que ${shm_name} sera dans le ménage au cours des deux prochaines semaines ?</t>
  </si>
  <si>
    <t>88. Ko ${shm_name} zai kasance a gidan nan a cikin sati biyu masu zuwa?</t>
  </si>
  <si>
    <t>item-at(',', ${pm_spouse_ages}, 8)</t>
  </si>
  <si>
    <t>85. Will ${shm_name} be in the household within the next two weeks?</t>
  </si>
  <si>
    <t>85. Est-ce que ${shm_name} sera dans le ménage au cours des deux prochaines semaines ?</t>
  </si>
  <si>
    <t>85. Ko ${shm_name} zai kasance a gidan nan a cikin sati biyu masu zuwa?</t>
  </si>
  <si>
    <t>select_one members</t>
  </si>
  <si>
    <t>pm_alt_shm</t>
  </si>
  <si>
    <t>89. If the ${shm_name} moved out of the household, who would be in the best position to answer the Secondary Household Member (SHM) survey?</t>
  </si>
  <si>
    <t>89. Si ${shm_name} quittait le ménage, qui serait le mieux placé pour répondre à l'enquête du second membre du ménage(SHM) ?</t>
  </si>
  <si>
    <t>89. Idan ${shm_name} ba ya gidan, wa zai fi dacewa ya bada amsa ga binciken ɗan gida na biyu (SHM)?</t>
  </si>
  <si>
    <t>86. If the ${shm_name} moved out of the household, who would be in the best position to answer the Secondary Household Member (SHM) survey?</t>
  </si>
  <si>
    <t>86. Si ${shm_name} quittait le ménage, qui serait le mieux placé pour répondre à l'enquête du second membre du ménage(SHM) ?</t>
  </si>
  <si>
    <t>86. Idan ${shm_name} ba ya gidan, wa zai fi dacewa ya bada amsa ga binciken ɗan gida na biyu (SHM)?</t>
  </si>
  <si>
    <t>pm_hh_contact</t>
  </si>
  <si>
    <t>90. Have you spoken with ${shm_name} or other members of your household at home in the past month?</t>
  </si>
  <si>
    <t>90. Avez-vous parlé avec ${shm_name} ou d'autres membres de votre ménage au cours du mois dernier ?</t>
  </si>
  <si>
    <t>90. Shin ko kun yi magana da ${shm_name} ko wasu ƴan gidanku a cikin watan da ya gabata?</t>
  </si>
  <si>
    <t>item-at(',', ${pm_spouse_ages}, 9)</t>
  </si>
  <si>
    <t>87. Have you spoken with ${shm_name} or other members of your household at home in the past month?</t>
  </si>
  <si>
    <t>87. Avez-vous parlé avec ${shm_name} ou d'autres membres de votre ménage au cours du mois dernier ?</t>
  </si>
  <si>
    <t>87. Shin ko kun yi magana da ${shm_name} ko wasu ƴan gidanku a cikin watan da ya gabata?</t>
  </si>
  <si>
    <t>speedcheck_pm_loc_end</t>
  </si>
  <si>
    <t>178. Think about your expenses in a typical week in ${pm_location_name} during ${period}.
How much did you personally spend, if any, on the following types of expenses?</t>
  </si>
  <si>
    <t>178. Pensez à vos dépenses au cours d'une semaine normale dans ${pm_location_name} entre ${period_french}.
 Combien avez-vous personnellement dépensé, si c'est arrivé, pour les types de dépenses suivants ?</t>
  </si>
  <si>
    <t>178. Ku yi tunani game da abubuwan da kuka saye a cikin mako guda a wurin a ${pm_location_name} ${period_hausa}.
 Nawa kuka kashe, idan an kashe kuɗi, akan nau'ikan kashe kuɗi kamar haka?</t>
  </si>
  <si>
    <t>dur_pm_loc</t>
  </si>
  <si>
    <t>item-at(',', ${pm_spouse_ages}, 10)</t>
  </si>
  <si>
    <t>179. Food (including you paid directly + money for ingredients for household)</t>
  </si>
  <si>
    <t>179. Nourriture (y compris vous avez payé directement + argent pour les ingrédients pour le ménage)</t>
  </si>
  <si>
    <t>179. Abinci (ciki har da wanda kuka biya kai tsaye da kuɗi don kayan abinci na gida)</t>
  </si>
  <si>
    <t>180. Housing (rent)</t>
  </si>
  <si>
    <t>180. Logement (loyer)</t>
  </si>
  <si>
    <t>180. Gidaje (hayar)</t>
  </si>
  <si>
    <t>pm_mig_concerns</t>
  </si>
  <si>
    <t>181. Transportation</t>
  </si>
  <si>
    <t>181. Transport</t>
  </si>
  <si>
    <t>181. Sufuri</t>
  </si>
  <si>
    <t>speedcheck_pm_migconcerns_start</t>
  </si>
  <si>
    <t>182. Cell phone</t>
  </si>
  <si>
    <t>182. Téléphone portable</t>
  </si>
  <si>
    <t>182. Wayar salula/ wayar hannu</t>
  </si>
  <si>
    <t>pm_mig_concerns_note</t>
  </si>
  <si>
    <t>91. You told us when we visited you in during our first in-person survey conducted last year during the hot season that you were interested in migrating. In the past six months, as you considered whether to migrate, were you very concerned that:</t>
  </si>
  <si>
    <t>91. Lors de notre première enquête en face à face qui a eu lieu l'année dernière pendant la saison chaude, vous nous avez dit que vous souhaitiez migrer. Au cours des six derniers mois, quand vous pensez à la migration, vous sentez vous préoccupé par les questions suivantes :</t>
  </si>
  <si>
    <t>91. Lokacin da muka ziyarce ku a bincikenmu na farko ido-da-ido da aka gudanar a shekarar da ta gabata a lokacin bazara, kun gaya mana kuna sha'awar ƙaura. A cikin watanni shida da suka gabata, yayin da kuke tunanin ko za ku je biɗa, ko kun damu da:</t>
  </si>
  <si>
    <t>item-at(',', ${pm_spouse_ages}, 11)</t>
  </si>
  <si>
    <t>88. You told us when we visited you in during our first in-person survey conducted last year during the hot season that you were interested in migrating. In the past six months, as you considered whether to migrate, were you very concerned that:</t>
  </si>
  <si>
    <t>88. Lors de notre première enquête en face à face qui a eu lieu l'année dernière pendant la saison chaude, vous nous avez dit que vous souhaitiez migrer. Au cours des six derniers mois, quand vous pensez à la migration, vous sentez vous préoccupé par les questions suivantes :</t>
  </si>
  <si>
    <t>88. Lokacin da muka ziyarce ku a bincikenmu na farko ido-da-ido da aka gudanar a shekarar da ta gabata a lokacin bazara, kun gaya mana kuna sha'awar ƙaura. A cikin watanni shida da suka gabata, yayin da kuke tunanin ko za ku je biɗa, ko kun damu da:</t>
  </si>
  <si>
    <t>pm_mig_concerns_funds</t>
  </si>
  <si>
    <t>92. you would not have sufficient funds to support migration</t>
  </si>
  <si>
    <t>92. vous n'auriez pas suffisamment de fonds pour supporter les dépenses liées à la migration</t>
  </si>
  <si>
    <t>92. Ba za ku sami isassun kuɗi ba don ɗaukan nauyin kashe kashen kuɗin da ya ta'allaƙa da zuwa biɗan ba</t>
  </si>
  <si>
    <t>89. you would not have sufficient funds to support migration</t>
  </si>
  <si>
    <t>89. vous n'auriez pas suffisamment de fonds pour supporter les dépenses liées à la migration</t>
  </si>
  <si>
    <t>89. Ba za ku sami isassun kuɗi ba don ɗaukan nauyin kashe kashen kuɗin da ya ta'allaƙa da zuwa biɗan ba</t>
  </si>
  <si>
    <t>pm_mig_concerns_cashdelay</t>
  </si>
  <si>
    <t>93. you thought you would have enough funds, but couldn’t access the cash you needed to migrate in time to travel</t>
  </si>
  <si>
    <t>93. vous pensiez avoir suffisamment de fonds, mais vous n’avez pas pu accéder à l’argent dont vous aviez besoin pour migrer à temps.</t>
  </si>
  <si>
    <t>93. Kun yi tunanin za ku samu isassun kuɗi, amma ba ku samun dama ba kuɗin suka shiga hannu a lokacin tafiyar.</t>
  </si>
  <si>
    <t>item-at(',', ${pm_spouse_ages}, 12)</t>
  </si>
  <si>
    <t>90. you thought you would have enough funds, but couldn’t access the cash you needed to migrate in time to travel</t>
  </si>
  <si>
    <t>90. vous pensiez avoir suffisamment de fonds, mais vous n’avez pas pu accéder à l’argent dont vous aviez besoin pour migrer à temps.</t>
  </si>
  <si>
    <t>90. Kun yi tunanin za ku samu isassun kuɗi, amma ba ku samun dama ba kuɗin suka shiga hannu a lokacin tafiyar.</t>
  </si>
  <si>
    <t>pm_mig_concerns_fam</t>
  </si>
  <si>
    <t>94. your family would not support your decision to migrate</t>
  </si>
  <si>
    <t>94. votre famille ne soutiendrait pas votre décision de migrer</t>
  </si>
  <si>
    <t>94. Ƴan gidan ku ba za su goyi bayan zuwa biɗan ka ba</t>
  </si>
  <si>
    <t>91. your family would not support your decision to migrate</t>
  </si>
  <si>
    <t>91. votre famille ne soutiendrait pas votre décision de migrer</t>
  </si>
  <si>
    <t>91. Ƴan gidan ku ba za su goyi bayan zuwa biɗan ka ba</t>
  </si>
  <si>
    <t>pm_mig_concerns_comm</t>
  </si>
  <si>
    <t>95. members of your community would not support your decision to migrate</t>
  </si>
  <si>
    <t>95. Les membres de votre communauté ne soutiendraient pas votre décision de migrer</t>
  </si>
  <si>
    <t>95. Al'ummar yankinku ba za su goyi bayan sha'awarar ka na zuwa biɗa ba</t>
  </si>
  <si>
    <t>92. members of your community would not support your decision to migrate</t>
  </si>
  <si>
    <t>92. Les membres de votre communauté ne soutiendraient pas votre décision de migrer</t>
  </si>
  <si>
    <t>item-at(',', ${pm_spouse_ages}, 13)</t>
  </si>
  <si>
    <t>92. Al'ummar yankinku ba za su goyi bayan sha'awarar ka na zuwa biɗa ba</t>
  </si>
  <si>
    <t>pm_mig_concerns_dangroute</t>
  </si>
  <si>
    <t>96. it would be dangerous for you on the route</t>
  </si>
  <si>
    <t>96. ce serait dangereux pour vous sur la route</t>
  </si>
  <si>
    <t>96. Zai iya zame muku haɗari a kan hanya</t>
  </si>
  <si>
    <t>93. it would be dangerous for you on the route</t>
  </si>
  <si>
    <t>93. ce serait dangereux pour vous sur la route</t>
  </si>
  <si>
    <t>93. Zai iya zame muku haɗari a kan hanya</t>
  </si>
  <si>
    <t>pm_mig_concerns_dang</t>
  </si>
  <si>
    <t>97. it would be dangerous for you at your preferred destination</t>
  </si>
  <si>
    <t>97. ce serait dangereux pour vous à votre destination préférée</t>
  </si>
  <si>
    <t>97. Zai iya zama hadari gare ku a wurin da kuka fi so</t>
  </si>
  <si>
    <t>94. it would be dangerous for you at your preferred destination</t>
  </si>
  <si>
    <t>94. ce serait dangereux pour vous à votre destination préférée</t>
  </si>
  <si>
    <t>94. Zai iya zama hadari gare ku a wurin da kuka fi so</t>
  </si>
  <si>
    <t>item-at(',', ${pm_spouse_ages}, 14)</t>
  </si>
  <si>
    <t>pm_mig_concerns_borderclosed</t>
  </si>
  <si>
    <t>98. the border would be closed and I would not be able to leave Niger</t>
  </si>
  <si>
    <t>98. la frontière serait fermée et je ne pourrais pas quitter le Niger</t>
  </si>
  <si>
    <t>98. Za a rufe iyaka, Ba zan iya barin Nijar ba</t>
  </si>
  <si>
    <t>95. the border would be closed and I would not be able to leave Niger</t>
  </si>
  <si>
    <t>95. la frontière serait fermée et je ne pourrais pas quitter le Niger</t>
  </si>
  <si>
    <t>95. Za a rufe iyaka, Ba zan iya barin Nijar ba</t>
  </si>
  <si>
    <t>pm_mig_concerns_housingwork</t>
  </si>
  <si>
    <t>99. you would not be able to find housing or work at your preferred destination</t>
  </si>
  <si>
    <t>99. vous ne seriez pas en mesure de trouver un logement ou de travailler dans votre destination préférée</t>
  </si>
  <si>
    <t>99. Ba za ku iya samun wurin zama ko aiki ba a wurin da kuka fi so.</t>
  </si>
  <si>
    <t>96. you would not be able to find housing or work at your preferred destination</t>
  </si>
  <si>
    <t>96. vous ne seriez pas en mesure de trouver un logement ou de travailler dans votre destination préférée</t>
  </si>
  <si>
    <t>96. Ba za ku iya samun wurin zama ko aiki ba a wurin da kuka fi so.</t>
  </si>
  <si>
    <t>pm_mig_concerns_foodsec</t>
  </si>
  <si>
    <t>100. members of your family would would not have enough food without you in Tahoua</t>
  </si>
  <si>
    <t>100. Les membres de votre famille n'auraient pas assez de nourriture sans vous à Tahoua</t>
  </si>
  <si>
    <t>100. Ƴan gidanku ba za su samu isasshen abinci ba idan babu kai a Tahoua.</t>
  </si>
  <si>
    <t>item-at(',', ${pm_spouse_ages}, 15)</t>
  </si>
  <si>
    <t>97. members of your family would would not have enough food without you in Tahoua</t>
  </si>
  <si>
    <t>97. Les membres de votre famille n'auraient pas assez de nourriture sans vous à Tahoua</t>
  </si>
  <si>
    <t>97. Ƴan gidanku ba za su samu isasshen abinci ba idan babu kai a Tahoua.</t>
  </si>
  <si>
    <t>pm_mig_concerns_workhome</t>
  </si>
  <si>
    <t>101. your family would not have enough people to work without you in Tahoua</t>
  </si>
  <si>
    <t>101. votre famille n'aurait pas assez de bras valides pour travailler sans vous à Tahoua</t>
  </si>
  <si>
    <t>101. Ƴan gidan ku ba za su samu isassun mutanen da za su yi aiki ba a Tahoua idan ba ka nan</t>
  </si>
  <si>
    <t>98. your family would not have enough people to work without you in Tahoua</t>
  </si>
  <si>
    <t>98. votre famille n'aurait pas assez de bras valides pour travailler sans vous à Tahoua</t>
  </si>
  <si>
    <t>98. Ƴan gidan ku ba za su samu isassun mutanen da za su yi aiki ba a Tahoua idan ba ka nan</t>
  </si>
  <si>
    <t>item-at(',', ${pm_spouse_ages}, 16)</t>
  </si>
  <si>
    <t>191. Theft of either money or property?</t>
  </si>
  <si>
    <t>191. Vol d'argent ou de biens ?</t>
  </si>
  <si>
    <t>191. Satar kudi ko dukiya?</t>
  </si>
  <si>
    <t>pm_mig_concerns_fam_object</t>
  </si>
  <si>
    <t>102. Did your family actually object to your potential migration?</t>
  </si>
  <si>
    <t>102. Votre famille s’est-elle réellement opposée à votre éventuelle migration ?</t>
  </si>
  <si>
    <t>102. Ko lalle da gaske ƴan gidan ku sun ƙi amincewa da zuwa biɗar ka ?</t>
  </si>
  <si>
    <t>99. Did your family actually object to your potential migration?</t>
  </si>
  <si>
    <t>99. Votre famille s’est-elle réellement opposée à votre éventuelle migration ?</t>
  </si>
  <si>
    <t>99. Ko lalle da gaske ƴan gidan ku sun ƙi amincewa da zuwa biɗar ka ?</t>
  </si>
  <si>
    <t>item-at(',', ${pm_spouse_ages}, 17)</t>
  </si>
  <si>
    <t>select_multiple concerns</t>
  </si>
  <si>
    <t>pm_mig_concern_fam_why</t>
  </si>
  <si>
    <t>103. Why did they object to this decision?</t>
  </si>
  <si>
    <t>103. Pourquoi se sont-ils opposés à cette décision ?</t>
  </si>
  <si>
    <t>103. Me ya sa suka ƙi wannan shawarar?</t>
  </si>
  <si>
    <t>100. Why did they object to this decision?</t>
  </si>
  <si>
    <t>100. Pourquoi se sont-ils opposés à cette décision ?</t>
  </si>
  <si>
    <t>100. Me ya sa suka ƙi wannan shawarar?</t>
  </si>
  <si>
    <t>pm_mig_concern_fam_why_o</t>
  </si>
  <si>
    <t>104. Other, specify:</t>
  </si>
  <si>
    <t>104. Autre précisez:</t>
  </si>
  <si>
    <t>104. Wani daban, baiyana:</t>
  </si>
  <si>
    <t>101. Other, specify:</t>
  </si>
  <si>
    <t>101. Autre précisez:</t>
  </si>
  <si>
    <t>101. Wani daban, baiyana:</t>
  </si>
  <si>
    <t>select_multiple who_concerned_fam</t>
  </si>
  <si>
    <t>pm_mig_concern_fam_who</t>
  </si>
  <si>
    <t>105. Who in your family was most concerned?</t>
  </si>
  <si>
    <t>item-at(',', ${pm_spouse_ages}, 18)</t>
  </si>
  <si>
    <t>105. Qui dans votre famille était le plus inquiet ?</t>
  </si>
  <si>
    <t>105. Wanene ya fi damuwa a cikin gidan ku?</t>
  </si>
  <si>
    <t>102. Who in your family was most concerned?</t>
  </si>
  <si>
    <t>102. Qui dans votre famille était le plus inquiet ?</t>
  </si>
  <si>
    <t>102. Wanene ya fi damuwa a cikin gidan ku?</t>
  </si>
  <si>
    <t>select_multiple who_concerned_comm</t>
  </si>
  <si>
    <t>pm_mig_concern_comm_who</t>
  </si>
  <si>
    <t>106. Who in your community would be against your decision?</t>
  </si>
  <si>
    <t>106. Qui dans votre communauté serait contre votre décision ?</t>
  </si>
  <si>
    <t>106. Wanene a cikin al'ummarku zai yi adawa da shawararka?</t>
  </si>
  <si>
    <t>103. Who in your community would be against your decision?</t>
  </si>
  <si>
    <t>103. Qui dans votre communauté serait contre votre décision ?</t>
  </si>
  <si>
    <t>103. Wanene a cikin al'ummarku zai yi adawa da shawararka?</t>
  </si>
  <si>
    <t>pm_mig_concern_comm_who_o</t>
  </si>
  <si>
    <t>107. Other, specify:</t>
  </si>
  <si>
    <t>107. Autre précisez:</t>
  </si>
  <si>
    <t>107. Wani daban, baiyana:</t>
  </si>
  <si>
    <t>item-at(',', ${pm_spouse_ages}, 19)</t>
  </si>
  <si>
    <t>speedcheck_pm_migconcerns_end</t>
  </si>
  <si>
    <t>196. Threat of physical violence/attack</t>
  </si>
  <si>
    <t>196. Menace de violence physique/agression</t>
  </si>
  <si>
    <t>196. Barazanar ​​harin jiki</t>
  </si>
  <si>
    <t>travel</t>
  </si>
  <si>
    <t>dur_pm_migconcerns</t>
  </si>
  <si>
    <t>bus</t>
  </si>
  <si>
    <t>bas</t>
  </si>
  <si>
    <t>197. Theft of either money or property?</t>
  </si>
  <si>
    <t>197. Pouvez-vous m'en dire un peu plus sur ce qui s'est passé ?</t>
  </si>
  <si>
    <t>197. Za ku iya bani karin bayani a kan abin da ya faru?</t>
  </si>
  <si>
    <t>item-at(',', ${pm_spouse_sex}, 0)</t>
  </si>
  <si>
    <t>198. Detention or arrest by state security forces?</t>
  </si>
  <si>
    <t>198. Pouvez-vous m'en dire un peu plus sur ce qui s'est passé ?</t>
  </si>
  <si>
    <t>198. Ko za ka iya yi mini ƙarin bayani a kan abin da ya faru?</t>
  </si>
  <si>
    <t>speedcheck_pm_pastmig_start</t>
  </si>
  <si>
    <t>taxi</t>
  </si>
  <si>
    <t>Taxi</t>
  </si>
  <si>
    <t>199. What type of illness or injury did you experience?</t>
  </si>
  <si>
    <t>199. Quel type de maladie ou de blessure avez-vous subi ?</t>
  </si>
  <si>
    <t>199. Wane irin ciwo ko rauni kuka fuskanta?</t>
  </si>
  <si>
    <t>speedcheck_pm_reportlocs_start</t>
  </si>
  <si>
    <t>200. What type of illness or injury did you experience?</t>
  </si>
  <si>
    <t>200. Quel type de maladie ou de blessure avez-vous subi ?</t>
  </si>
  <si>
    <t>200. Wane irin ciwo ko rauni kuka fuskanta?</t>
  </si>
  <si>
    <t>on foot</t>
  </si>
  <si>
    <t>à pied</t>
  </si>
  <si>
    <t>a kafa</t>
  </si>
  <si>
    <t>pm_prev_locations</t>
  </si>
  <si>
    <t>item-at(',', ${pm_spouse_sex}, 1)</t>
  </si>
  <si>
    <t>201. In ${pm_location_name}, did you seek any treatment for any illness or injury?</t>
  </si>
  <si>
    <t>201. À ${pm_location_name}, avez-vous cherché un traitement pour une maladie ou une blessure ?</t>
  </si>
  <si>
    <t>201. A ${pm_location_name}, kun nemi wani magani don wata cuta ko rauni?</t>
  </si>
  <si>
    <t>pm_prev_locations_count</t>
  </si>
  <si>
    <t>217. What was the value of the savings you spent (in CFA)?</t>
  </si>
  <si>
    <t>motorcycle</t>
  </si>
  <si>
    <t>217. Quelle était la valeur de l'epargne que vous avez utilisé ?</t>
  </si>
  <si>
    <t>217. Nawa kuɗin ajiyar da kuka kashe?</t>
  </si>
  <si>
    <t>moto</t>
  </si>
  <si>
    <t>babur</t>
  </si>
  <si>
    <t>pm_prev_location1</t>
  </si>
  <si>
    <t>216. Now I'd like to ask you about the individuals you contacted in the countries you are interested in migrating to.</t>
  </si>
  <si>
    <t xml:space="preserve">216. </t>
  </si>
  <si>
    <t>pm_prev_location2</t>
  </si>
  <si>
    <t>item-at(',', ${pm_spouse_sex}, 2)</t>
  </si>
  <si>
    <t>219. Please tell me the extent do you agree/disagree:
If I had an emergency that required 5,000 CFA urgently (within 3 days), I would be able to find the money.</t>
  </si>
  <si>
    <t>219. Veuillez me dire dans quelle mesure êtes-vous d'accord/pas d'accord :
Si j'avais une urgence qui nécessitait 5 000 CFA en urgence (dans les 3 jours), je serais capable de trouver l'argent.</t>
  </si>
  <si>
    <t>canoe/pirogue</t>
  </si>
  <si>
    <t>219. Da fatan za a gaya mini matsayin yarda/rishin yarda da kowanne: 
 Idan wata buƙatar 5,000 CFA ta same ni cikin gaggawa (a cikin kwanaki 3), zan iya samun kuɗin.</t>
  </si>
  <si>
    <t>kwalekwale/pirogue</t>
  </si>
  <si>
    <t>pm_prev_location3</t>
  </si>
  <si>
    <t>220. What type of person would you go to first for this money?</t>
  </si>
  <si>
    <t>220. Vers quel type de personne iriez-vous en premier pour cet argent ?</t>
  </si>
  <si>
    <t>220. Wane irin mutum ne za ku fara zuwa wurin shi don neman wannan kuɗin?</t>
  </si>
  <si>
    <t>pm_prev_location4</t>
  </si>
  <si>
    <t>item-at(',', ${pm_spouse_sex}, 3)</t>
  </si>
  <si>
    <t>221. Specify your relationship with this person</t>
  </si>
  <si>
    <t>221. Précisez votre relation avec cette personne</t>
  </si>
  <si>
    <t>221. Faɗi dangantakar ku da wannan mutumen</t>
  </si>
  <si>
    <t>pm_prev_location5</t>
  </si>
  <si>
    <t>217. ${pm_contact_lab}</t>
  </si>
  <si>
    <t>217. ${pm_contact_lab_fr}</t>
  </si>
  <si>
    <t>217. ${pm_contact_lab_ha}</t>
  </si>
  <si>
    <t>pm_loc_period_note</t>
  </si>
  <si>
    <t>ENUMERATOR: Please notify the respondent that he will be answering the following questions for the period ${period}.</t>
  </si>
  <si>
    <t>ÉNUMÉRATEUR : Veuillez informer le répondant qu'il répondra aux questions suivantes pour la période ${period_french}.</t>
  </si>
  <si>
    <t>reason_nowork</t>
  </si>
  <si>
    <t>ENUMERATOR: Da fatan za a sanar da mai bada amsa da zai bada amsa ga tambayoyin masu zuwa a kan lokacin ${period_hausa}.</t>
  </si>
  <si>
    <t>Health reasons</t>
  </si>
  <si>
    <t>item-at(',', ${pm_spouse_sex}, 4)</t>
  </si>
  <si>
    <t>Raisons de santé</t>
  </si>
  <si>
    <t>Dalilan lafiya</t>
  </si>
  <si>
    <t>105. ENUMERATOR: Please notify the respondent that he will be answering the following questions for the period ${period}.</t>
  </si>
  <si>
    <t>105. ÉNUMÉRATEUR : Veuillez informer le répondant qu'il répondra aux questions suivantes pour la période ${period_french}.</t>
  </si>
  <si>
    <t>105. ENUMERATOR: Da fatan za a sanar da mai bada amsa da zai bada amsa ga tambayoyin masu zuwa a kan lokacin ${period_hausa}.</t>
  </si>
  <si>
    <t>pm_leave</t>
  </si>
  <si>
    <t>108. Did you spend at least one week (7 days) anywhere other than ${pm_loc_beg_initial} since ${period}?</t>
  </si>
  <si>
    <t>108. Avez-vous passé au moins une semaine (7 jours) ailleurs que ${pm_loc_beg_initial} depuis ${period_french} ?</t>
  </si>
  <si>
    <t>108. Shin kun kashe aƙalla mako ɗaya (kwana 7) a ko'ina ban da ${pm_loc_beg_initial} tun daga ${period_hausa}?</t>
  </si>
  <si>
    <t>106. Did you spend at least one week (7 days) anywhere other than ${pm_loc_beg_initial} since ${period}?</t>
  </si>
  <si>
    <t>Studies / school</t>
  </si>
  <si>
    <t>106. Avez-vous passé au moins une semaine (7 jours) ailleurs que ${pm_loc_beg_initial} depuis ${period_french} ?</t>
  </si>
  <si>
    <t>Études / école</t>
  </si>
  <si>
    <t>106. Shin kun kashe aƙalla mako ɗaya (kwana 7) a ko'ina ban da ${pm_loc_beg_initial} tun daga ${period_hausa}?</t>
  </si>
  <si>
    <t>Karatu / makaranta</t>
  </si>
  <si>
    <t>item-at(',', ${pm_spouse_sex}, 5)</t>
  </si>
  <si>
    <t>204. Been prevented from contacting friends or family</t>
  </si>
  <si>
    <t>204. Vous avez été empêché de contacter vos amis ou votre famille</t>
  </si>
  <si>
    <t>204. Hana tuntuɓar abokai ko dangi</t>
  </si>
  <si>
    <t>Took time off for leisure</t>
  </si>
  <si>
    <t>pm_locations_new</t>
  </si>
  <si>
    <t>A pris du temps pour les loisirs</t>
  </si>
  <si>
    <t>109. Please list all of the places you spent more than one week during ${period} other than ${pm_loc_beg_initial}. How many places?</t>
  </si>
  <si>
    <t>109. Veuillez énumérer tous les lieux où vous avez passé plus d'une semaine entre ${period_french} autre que ${pm_loc_beg_initial_fr}. Combien de lieux ?</t>
  </si>
  <si>
    <t>Ya ɗauki lokaci don nashaɗi</t>
  </si>
  <si>
    <t>109. Ko za ku gaya mini duk wuraren da kuka zauna sama da sati guda a lokacin ${period_hausa} da ba ${pm_loc_beg_initial_hausa}. Wurare nawa?</t>
  </si>
  <si>
    <t>107. Please list all of the places you spent more than one week during ${period} other than ${pm_loc_beg_initial}. How many places?</t>
  </si>
  <si>
    <t>107. Veuillez énumérer tous les lieux où vous avez passé plus d'une semaine entre ${period_french} autre que ${pm_loc_beg_initial_fr}. Combien de lieux ?</t>
  </si>
  <si>
    <t>107. Ko za ku gaya mini duk wuraren da kuka zauna sama da sati guda a lokacin ${period_hausa} da ba ${pm_loc_beg_initial_hausa}. Wurare nawa?</t>
  </si>
  <si>
    <t>pm_locations</t>
  </si>
  <si>
    <t>Could not find work</t>
  </si>
  <si>
    <t>Je n'ai pas trouvé de travail</t>
  </si>
  <si>
    <t>206. Been forced to pay off a debt to my employer before I could leave</t>
  </si>
  <si>
    <t>Ban samu aiki ba</t>
  </si>
  <si>
    <t>206. A été obligé de payer une dette à mon employeur avant de pouvoir partir</t>
  </si>
  <si>
    <t>206. Tilasta biyan bashi ga mai gida kafin tafiya</t>
  </si>
  <si>
    <t>item-at(',', ${pm_spouse_sex}, 6)</t>
  </si>
  <si>
    <t>pm_loc_confirm_label</t>
  </si>
  <si>
    <t>207. Experienced violence or physical restraint</t>
  </si>
  <si>
    <t>207. Victime de violence ou de contrainte physique</t>
  </si>
  <si>
    <t>207. Zalunci ko wata kallafawa na jiki</t>
  </si>
  <si>
    <t>pm_loc_confirm_label_fr</t>
  </si>
  <si>
    <t>208. Forced to engage in actions against my will</t>
  </si>
  <si>
    <t>208. Forcé de s'engager dans des actions contre ma volonté</t>
  </si>
  <si>
    <t>208. Tilastawa da aikata ayyukan da ba a so ba</t>
  </si>
  <si>
    <t>pm_loc_confirm_label_ha</t>
  </si>
  <si>
    <t>item-at(',', ${pm_spouse_sex}, 7)</t>
  </si>
  <si>
    <t>225. Other, specify:</t>
  </si>
  <si>
    <t>225. Autre précisez:</t>
  </si>
  <si>
    <t>225. Sauran, bayar da cikakkun bayanai:</t>
  </si>
  <si>
    <t>pm_locations_confirm</t>
  </si>
  <si>
    <t>110. We will ask you questions about each of these locations. Can you confirm that you spent more than one week in ${pm_locations_new} locations since ${period}? ${pm_loc_confirm_label}</t>
  </si>
  <si>
    <t>110. Nous vous poserons des questions sur chacun de ces endroits. Pouvez-vous confirmer que vous avez passé plus d'une semaine dans ${pm_locations_new} endroit depuis ${period_french}? ${pm_loc_confirm_label_fr}</t>
  </si>
  <si>
    <t>110. Za mu yi muku tambayoyi game da kowane ɗayan waɗannan wuraren. Shin za ku iya tabbatar da cewa kun zauna a wurare ${pm_locations_new} fiye da mako guda tun ${period_french}? ${pm_loc_confirm_label_ha}</t>
  </si>
  <si>
    <t>108. We will ask you questions about each of these locations. Can you confirm that you spent more than one week in ${pm_locations_new} locations since ${period}? ${pm_loc_confirm_label}</t>
  </si>
  <si>
    <t>108. Nous vous poserons des questions sur chacun de ces endroits. Pouvez-vous confirmer que vous avez passé plus d'une semaine dans ${pm_locations_new} endroit depuis ${period_french}? ${pm_loc_confirm_label_fr}</t>
  </si>
  <si>
    <t>108. Za mu yi muku tambayoyi game da kowane ɗayan waɗannan wuraren. Shin za ku iya tabbatar da cewa kun zauna a wurare ${pm_locations_new} fiye da mako guda tun ${period_french}? ${pm_loc_confirm_label_ha}</t>
  </si>
  <si>
    <t>pm_loc_period_old_note</t>
  </si>
  <si>
    <t xml:space="preserve">&lt;b&gt;ENUMERATOR: Now, please notify the respondent that we would like them to answer the following questions for the period ${period_bl_fu5}. &lt;/b&gt;
&lt;br&gt;
Moving forward, we will be switching periods in a few locations in the survey. Please make sure that the respondent is thinking about the coprrect period, as referenced in the question.
</t>
  </si>
  <si>
    <t>&lt;b&gt;ENUMÉRATEUR : Maintenant ! Veuillez informer le répondant que nous aimerions qu'il réponde aux questions suivantes pour la période ${period_french_bl_fu5}. &lt;/b&gt;
 &lt;br&gt;
 À l’avenir, nous changerons de période à quelques endroits du questionnaire. Veuillez vous assurer que le répondant pense à la période correcte, telle qu'elle est mentionnée dans la question.</t>
  </si>
  <si>
    <t>&lt;b&gt;ENUMERATOR: Yanzu, a sanar da mai bada amsa cewa muna son ya bada amsar tambayoyin nan masu zuwa a kan lokacin ${period_hausa_bl_fu5}. &lt;/b&gt;
 &lt;br&gt;
 A nan gaba, za mu canza lokaci a wasu wurare a cikin tambayoyin. Da fatan za a tabbatar cewa mai bada amsa zai tuna da lokacin daidai, kamar yadda aka yi nuni a cikin tambayar.</t>
  </si>
  <si>
    <t>docs</t>
  </si>
  <si>
    <t>item-at(',', ${pm_spouse_sex}, 8)</t>
  </si>
  <si>
    <t>109. &lt;b&gt;ENUMERATOR: Now, please notify the respondent that we would like them to answer the following questions for the period ${period_bl_fu5}. &lt;/b&gt;
&lt;br&gt;
Moving forward, we will be switching periods in a few locations in the survey. Please make sure that the respondent is thinking about the coprrect period, as referenced in the question.</t>
  </si>
  <si>
    <t>109. &lt;b&gt;ENUMÉRATEUR : Maintenant ! Veuillez informer le répondant que nous aimerions qu'il réponde aux questions suivantes pour la période ${period_french_bl_fu5}. &lt;/b&gt;
 &lt;br&gt;
 À l’avenir, nous changerons de période à quelques endroits du questionnaire. Veuillez vous assurer que le répondant pense à la période correcte, telle qu'elle est mentionnée dans la question.</t>
  </si>
  <si>
    <t>109. &lt;b&gt;ENUMERATOR: Yanzu, a sanar da mai bada amsa cewa muna son ya bada amsar tambayoyin nan masu zuwa a kan lokacin ${period_hausa_bl_fu5}. &lt;/b&gt;
 &lt;br&gt;
 A nan gaba, za mu canza lokaci a wasu wurare a cikin tambayoyin. Da fatan za a tabbatar cewa mai bada amsa zai tuna da lokacin daidai, kamar yadda aka yi nuni a cikin tambayar.</t>
  </si>
  <si>
    <t>select_multiple pm_prev_locations_opt</t>
  </si>
  <si>
    <t>pm_prev_confirm</t>
  </si>
  <si>
    <t>111. You mentioned previously that you travelled to ${pm_prev_locations}, ${period_bl_fu5}. Notice that we are referring to a different time period. 
Please confirm that you stayed for at least a week (7 days) in the locations you previously reported:</t>
  </si>
  <si>
    <t>111. Vous avez précédemment mentionné que vous aviez voyagé à ${pm_prev_locations}, ${period_french_bl_fu5}. Notez que nous faisons référence à une période différente.
Veuillez confirmer que vous avez séjourné au moins une semaine (7 jours) dans les endroits que vous avez précédemment signalés :</t>
  </si>
  <si>
    <t>111. Kun faɗi cewa a baya kun yi tafiya zuwa ${pm_prev_locations}, ${period_hausa_bl_fu5}. Ka lura cewa muna magana ne akan wani lokaci dabam.
Za ku tabbatar da cewa kun zauna aƙalla mako guda (kwana 7) a wuraren da kuka zana a baya:</t>
  </si>
  <si>
    <t>Birth certificate</t>
  </si>
  <si>
    <t>Extrait de naissance</t>
  </si>
  <si>
    <t>Takardar shaidar haihuwa</t>
  </si>
  <si>
    <t>110. You mentioned previously that you travelled to ${pm_prev_locations}, ${period_bl_fu5}. Notice that we are referring to a different time period. 
Please confirm that you stayed for at least a week (7 days) in the locations you previously reported:</t>
  </si>
  <si>
    <t>110. Vous avez précédemment mentionné que vous aviez voyagé à ${pm_prev_locations}, ${period_french_bl_fu5}. Notez que nous faisons référence à une période différente.
Veuillez confirmer que vous avez séjourné au moins une semaine (7 jours) dans les endroits que vous avez précédemment signalés :</t>
  </si>
  <si>
    <t>110. Kun faɗi cewa a baya kun yi tafiya zuwa ${pm_prev_locations}, ${period_hausa_bl_fu5}. Ka lura cewa muna magana ne akan wani lokaci dabam.
Za ku tabbatar da cewa kun zauna aƙalla mako guda (kwana 7) a wuraren da kuka zana a baya:</t>
  </si>
  <si>
    <t>item-at(',', ${pm_spouse_sex}, 9)</t>
  </si>
  <si>
    <t>pm_prev_confirm_no</t>
  </si>
  <si>
    <t>112. Please explain why you reported locations in previous surveys that you did not travel to:</t>
  </si>
  <si>
    <t>112. Veuillez expliquer pourquoi vous avez indiqué des lieux dans des enquêtes précédentes où vous ne vous êtes pas rendu :</t>
  </si>
  <si>
    <t>112. Da fatan za a bayyana dalilin da ya sa kuka ba da rahoton wurare a cikin binciken da ba ku yi tafiya zuwa ba:</t>
  </si>
  <si>
    <t>Passport</t>
  </si>
  <si>
    <t>Passeport</t>
  </si>
  <si>
    <t>Fasfo</t>
  </si>
  <si>
    <t>111. Please explain why you reported locations in previous surveys that you did not travel to:</t>
  </si>
  <si>
    <t>111. Veuillez expliquer pourquoi vous avez indiqué des lieux dans des enquêtes précédentes où vous ne vous êtes pas rendu :</t>
  </si>
  <si>
    <t>111. Da fatan za a bayyana dalilin da ya sa kuka ba da rahoton wurare a cikin binciken da ba ku yi tafiya zuwa ba:</t>
  </si>
  <si>
    <t>pm_prev_add_lab</t>
  </si>
  <si>
    <t>item-at(',', ${pm_spouse_sex}, 10)</t>
  </si>
  <si>
    <t>National ID card</t>
  </si>
  <si>
    <t>212. Been paid less than promised or not paid when promised</t>
  </si>
  <si>
    <t>Carte d'identité nationale</t>
  </si>
  <si>
    <t>212. A été payé moins que promis ou n'a pas été payé lorsque promis</t>
  </si>
  <si>
    <t>Katin ID na kasa</t>
  </si>
  <si>
    <t>212. Biya kasa da abin da aka yi alkawari ko kuma ba a biya ba lokacin da aka yi alkawari</t>
  </si>
  <si>
    <t>pm_prev_add_lab_fr</t>
  </si>
  <si>
    <t>Vaccine booklet</t>
  </si>
  <si>
    <t>Carnet de vaccins</t>
  </si>
  <si>
    <t>Littafin rigakafi</t>
  </si>
  <si>
    <t>item-at(',', ${pm_spouse_sex}, 11)</t>
  </si>
  <si>
    <t>213. Been forced to pay off a debt to my employer before I could leave</t>
  </si>
  <si>
    <t>213. A été obligé de payer une dette à mon employeur avant de pouvoir partir</t>
  </si>
  <si>
    <t>213. Tilasta biyan bashi ga mai gida kafin tafiya</t>
  </si>
  <si>
    <t>pm_prev_add_lab_ha</t>
  </si>
  <si>
    <t>ECOWAS ID card</t>
  </si>
  <si>
    <t>Carte d'identité CEDEAO</t>
  </si>
  <si>
    <t>Katin ID na ECOWAS</t>
  </si>
  <si>
    <t>214. Experienced violence or physical restraint</t>
  </si>
  <si>
    <t>214. Victime de violence ou de contrainte physique</t>
  </si>
  <si>
    <t>214. Zalunci ko wata kallafawa na jiki</t>
  </si>
  <si>
    <t>pm_prev_add</t>
  </si>
  <si>
    <t>113. ${pm_prev_add_lab}</t>
  </si>
  <si>
    <t>113. ${pm_prev_add_lab_fr}</t>
  </si>
  <si>
    <t>113. ${pm_prev_add_lab_ha}</t>
  </si>
  <si>
    <t>item-at(',', ${pm_spouse_sex}, 12)</t>
  </si>
  <si>
    <t>Travel visa</t>
  </si>
  <si>
    <t>Visa de voyage</t>
  </si>
  <si>
    <t>Visa ta balaguro</t>
  </si>
  <si>
    <t>112. ${pm_prev_add_lab}</t>
  </si>
  <si>
    <t>112. ${pm_prev_add_lab_fr}</t>
  </si>
  <si>
    <t>112. ${pm_prev_add_lab_ha}</t>
  </si>
  <si>
    <t>pm_prev_add_num</t>
  </si>
  <si>
    <t>114. How many places?</t>
  </si>
  <si>
    <t>114. Combien de places ?</t>
  </si>
  <si>
    <t>114. Wurare nawa?</t>
  </si>
  <si>
    <t>113. How many places?</t>
  </si>
  <si>
    <t>113. Combien de places ?</t>
  </si>
  <si>
    <t>113. Wurare nawa?</t>
  </si>
  <si>
    <t>pm_locations_confirm_add</t>
  </si>
  <si>
    <t>115. Can you confirm that there were exactly ${pm_prev_add_num} locations that you traveled to ${period_bl_fu5} that you failed to report in previous surveys?</t>
  </si>
  <si>
    <t>115. Pouvez-vous confirmer qu'il y avait exactement ${pm_prev_add_num} endroits où vous avez voyagé ${period_french_bl_fu5} que vous n'avez pas signalés dans les enquêtes précédentes ?</t>
  </si>
  <si>
    <t>115. Shin za ku iya tabbatar da cewa akwai daidai wuraren ${pm_prev_add_num} da kuka yi tafiya ${period_hausa_bl_fu5} da kuka kasa bayar da rahoto a binciken da aka yi a baya?</t>
  </si>
  <si>
    <t>item-at(',', ${pm_spouse_sex}, 13)</t>
  </si>
  <si>
    <t>114. Can you confirm that there were exactly ${pm_prev_add_num} locations that you traveled to ${period_bl_fu5} that you failed to report in previous surveys?</t>
  </si>
  <si>
    <t>114. Pouvez-vous confirmer qu'il y avait exactement ${pm_prev_add_num} endroits où vous avez voyagé ${period_french_bl_fu5} que vous n'avez pas signalés dans les enquêtes précédentes ?</t>
  </si>
  <si>
    <t>114. Shin za ku iya tabbatar da cewa akwai daidai wuraren ${pm_prev_add_num} da kuka yi tafiya ${period_hausa_bl_fu5} da kuka kasa bayar da rahoto a binciken da aka yi a baya?</t>
  </si>
  <si>
    <t>item-at(',', ${pm_spouse_sex}, 14)</t>
  </si>
  <si>
    <t>231. What is the name of the country you would move to?</t>
  </si>
  <si>
    <t>231. Quel est le nom du pays dans lequel vous migreriez ?</t>
  </si>
  <si>
    <t>231. Menene sunan ƙasar da kuke nufin zuwa?</t>
  </si>
  <si>
    <t>pm_locations_info</t>
  </si>
  <si>
    <t>Locations</t>
  </si>
  <si>
    <t>232. Where in Niger would you move?</t>
  </si>
  <si>
    <t>232. Où migreriez-vous au Niger ?</t>
  </si>
  <si>
    <t>232. Ina za ku je a Nijar?</t>
  </si>
  <si>
    <t>pm_locations_list_index</t>
  </si>
  <si>
    <t>item-at(',', ${pm_spouse_sex}, 15)</t>
  </si>
  <si>
    <t>216. Since ${period}, was there ever a time when you planned to migrate but then had to cancel their plans?</t>
  </si>
  <si>
    <t>216. Depuis cette ${period_french}, y a-t-il déjà eu un moment où ${hoh_roster_name} avait prévu de migrer mais a ensuite dû annuler ses projets ?</t>
  </si>
  <si>
    <t>216. Tun daga wannan ${period_hausa}, akwai lokacin da ${hoh_roster_name} ya shirya zuwa biɗa amma sai ya soke shirinshi?</t>
  </si>
  <si>
    <t>nopay</t>
  </si>
  <si>
    <t>pm_prev_location_dum</t>
  </si>
  <si>
    <t>Family business / land</t>
  </si>
  <si>
    <t>Entreprise familiale / terre</t>
  </si>
  <si>
    <t>Kasuwancin iyali / ƙasa</t>
  </si>
  <si>
    <t>217. Where did they plan to migrate?</t>
  </si>
  <si>
    <t>217. Où envisageait-il de migrer ?</t>
  </si>
  <si>
    <t>217. Ina ya yi niyyar zuwa?</t>
  </si>
  <si>
    <t>item-at(',', ${pm_spouse_sex}, 16)</t>
  </si>
  <si>
    <t>pm_prev_location_index</t>
  </si>
  <si>
    <t>218. Specify other</t>
  </si>
  <si>
    <t>218. Autre à préciser</t>
  </si>
  <si>
    <t>218. Wani daban a Bayyana</t>
  </si>
  <si>
    <t>Employer refused to pay me</t>
  </si>
  <si>
    <t>pm_previous_answer</t>
  </si>
  <si>
    <t>L'employeur a refusé de me payer</t>
  </si>
  <si>
    <t>Mai gida ya ƙi biya na</t>
  </si>
  <si>
    <t>242. At times I think I am no good at all.</t>
  </si>
  <si>
    <t>242. Parfois, je pense que je ne suis utile à rien</t>
  </si>
  <si>
    <t>242. A wasu lokuta ina ganin ba ni da amfani.</t>
  </si>
  <si>
    <t>pm_previous_answer_fr</t>
  </si>
  <si>
    <t>Paid out debt through work</t>
  </si>
  <si>
    <t>Rembourser la dette par le travail</t>
  </si>
  <si>
    <t>235. If you decide to migrate, when would you plan to leave ${pm_current_location}?</t>
  </si>
  <si>
    <t>Biyan bashi ta hanyar aiki</t>
  </si>
  <si>
    <t>235. Si vous décidez de migrer, quand comptez-vous quitter votre domicile ?</t>
  </si>
  <si>
    <t>235. Idan kun yanke shawarar zuwa bida, yaushe kuke ganin za ku barin gida?</t>
  </si>
  <si>
    <t>pm_previous_answer_hausa</t>
  </si>
  <si>
    <t>item-at(',', ${pm_spouse_sex}, 17)</t>
  </si>
  <si>
    <t>236. If you decide to migrate, how long would you plan to stay at your destination (in months)?</t>
  </si>
  <si>
    <t>236. Si vous décidez de migrer, combien de temps prévoyez-vous de rester à destination (en mois) ?</t>
  </si>
  <si>
    <t>236. Idan kun yi niyyar yin tahiya, tsawon wane lokaci kuke nufin zama a inda kuka je (a cikin watanni)?</t>
  </si>
  <si>
    <t>Self-employed but did not earn profit</t>
  </si>
  <si>
    <t>Indépendant mais n'a pas réalisé de profit</t>
  </si>
  <si>
    <t>Mai aikin kansa amma bai samu riba ba</t>
  </si>
  <si>
    <t>pm_previous_in_niger</t>
  </si>
  <si>
    <t>116. Where were you ${pm_previous_answer}
Enumerator: Is location in Niger?</t>
  </si>
  <si>
    <t>116. Où étiez-vous ${pm_previous_answer_fr} 
Enquêteur : La localité est-elle au Niger ?</t>
  </si>
  <si>
    <t>116. A ina kuka ${pm_previous_answer_hausa}
Ɗan bincike : Ko wurin a Nijar ne?</t>
  </si>
  <si>
    <t>115. Where were you ${pm_previous_answer}
Enumerator: Is location in Niger?</t>
  </si>
  <si>
    <t>115. Où étiez-vous ${pm_previous_answer_fr} 
Enquêteur : La localité est-elle au Niger ?</t>
  </si>
  <si>
    <t>115. A ina kuka ${pm_previous_answer_hausa}
Ɗan bincike : Ko wurin a Nijar ne?</t>
  </si>
  <si>
    <t>Apprenticeship</t>
  </si>
  <si>
    <t>Apprentissage</t>
  </si>
  <si>
    <t>Koyo</t>
  </si>
  <si>
    <t>pm_previous_region</t>
  </si>
  <si>
    <t>117. Enumerator: Select region in Niger</t>
  </si>
  <si>
    <t>117. Enquêteur : Sélectionnez une région au Niger</t>
  </si>
  <si>
    <t>117. Ɗan bincike: Zaɓi Jaha ɗaya a Nijar</t>
  </si>
  <si>
    <t>item-at(',', ${pm_spouse_sex}, 18)</t>
  </si>
  <si>
    <t>116. Enumerator: Select region in Niger</t>
  </si>
  <si>
    <t>116. Enquêteur : Sélectionnez une région au Niger</t>
  </si>
  <si>
    <t>116. Ɗan bincike: Zaɓi Jaha ɗaya a Nijar</t>
  </si>
  <si>
    <t>pm_previous_country</t>
  </si>
  <si>
    <t>118. Enumerator: Select country</t>
  </si>
  <si>
    <t>118. Enquêteur : sélectionnez le pays</t>
  </si>
  <si>
    <t>118. Ɗan bincike: Zaɓi ƙasa</t>
  </si>
  <si>
    <t>117. Enumerator: Select country</t>
  </si>
  <si>
    <t>117. Enquêteur : sélectionnez le pays</t>
  </si>
  <si>
    <t>117. Ɗan bincike: Zaɓi ƙasa</t>
  </si>
  <si>
    <t>item-at(',', ${pm_spouse_sex}, 19)</t>
  </si>
  <si>
    <t>pm_previous_country_o</t>
  </si>
  <si>
    <t>119. Enumerator: Enter other country</t>
  </si>
  <si>
    <t>119. Enquêteur : Entrez un autre pays</t>
  </si>
  <si>
    <t>119. Ɗan bincike: Shigar da wata ƙasa</t>
  </si>
  <si>
    <t>118. Enumerator: Enter other country</t>
  </si>
  <si>
    <t>118. Enquêteur : Entrez un autre pays</t>
  </si>
  <si>
    <t>118. Ɗan bincike: Shigar da wata ƙasa</t>
  </si>
  <si>
    <t>pm_previous_country_code</t>
  </si>
  <si>
    <t>222. Specify other</t>
  </si>
  <si>
    <t>222. Autre à préciser</t>
  </si>
  <si>
    <t>222. Wani daban a Bayyana</t>
  </si>
  <si>
    <t>pm_previous_town</t>
  </si>
  <si>
    <t>120. Enumerator: Select town</t>
  </si>
  <si>
    <t>120. Enquêteur : Sélectionnez la ville</t>
  </si>
  <si>
    <t>120. Ɗan bincike: Zaɓi gari</t>
  </si>
  <si>
    <t>pm_primary_activity</t>
  </si>
  <si>
    <t>119. Enumerator: Select town</t>
  </si>
  <si>
    <t>Job 1, ${pm_activity1}</t>
  </si>
  <si>
    <t>119. Enquêteur : Sélectionnez la ville</t>
  </si>
  <si>
    <t>119. Ɗan bincike: Zaɓi gari</t>
  </si>
  <si>
    <t>Emploi 1, ${pm_activity1}</t>
  </si>
  <si>
    <t>Aiki 1, ${pm_activity1}</t>
  </si>
  <si>
    <t>pm_previous_town_o</t>
  </si>
  <si>
    <t>121. Enumerator: enter town</t>
  </si>
  <si>
    <t>121. Enquêteur : indiquez la ville</t>
  </si>
  <si>
    <t>121. Mai bincike: bayyana gari</t>
  </si>
  <si>
    <t>120. Enumerator: enter town</t>
  </si>
  <si>
    <t>120. Enquêteur : indiquez la ville</t>
  </si>
  <si>
    <t>120. Mai bincike: bayyana gari</t>
  </si>
  <si>
    <t>pm_previous_town_id</t>
  </si>
  <si>
    <t>225. Specify other reason</t>
  </si>
  <si>
    <t>225. Précisez une autre raison</t>
  </si>
  <si>
    <t>225. Baiyana wani dalili daban</t>
  </si>
  <si>
    <t>pm_previous_town_name</t>
  </si>
  <si>
    <t>Job 2, ${pm_activity2}</t>
  </si>
  <si>
    <t>Emploi 2, ${pm_activity2}</t>
  </si>
  <si>
    <t>Aiki 2, ${pm_activity2}</t>
  </si>
  <si>
    <t>242. Been paid less than promised or not paid when promised</t>
  </si>
  <si>
    <t>242. A été payé moins que promis ou n'a pas été payé lorsque promis</t>
  </si>
  <si>
    <t>242. Biya kasa da abin da aka yi alkawari ko kuma ba a biya ba lokacin da aka yi alkawari</t>
  </si>
  <si>
    <t>pm_location</t>
  </si>
  <si>
    <t>243. Been forced to pay off a debt to my employer before I could leave</t>
  </si>
  <si>
    <t>243. A été obligé de payer une dette à mon employeur avant de pouvoir partir</t>
  </si>
  <si>
    <t>243. Tilasta biyan bashi ga mai gida kafin tafiya</t>
  </si>
  <si>
    <t xml:space="preserve">                          </t>
  </si>
  <si>
    <t>pm_dom_mig_ind</t>
  </si>
  <si>
    <t>Job 3, ${pm_activity3}</t>
  </si>
  <si>
    <t>Emploi 3, ${pm_activity3}</t>
  </si>
  <si>
    <t>pulldata('baseline_ids_el', concat('hhname', ${hoh_hhmem_index}), 'hh_id', ${hh_id})</t>
  </si>
  <si>
    <t>Aiki 3, ${pm_activity3}</t>
  </si>
  <si>
    <t>244. Experienced violence or physical restraint</t>
  </si>
  <si>
    <t>244. Victime de violence ou de contrainte physique</t>
  </si>
  <si>
    <t>244. Zalunci ko wata kallafawa na jiki</t>
  </si>
  <si>
    <t>pm_border_cross_ind</t>
  </si>
  <si>
    <t>245. Forced to engage in actions against my will</t>
  </si>
  <si>
    <t>245. Forcé de s'engager dans des actions contre ma volonté</t>
  </si>
  <si>
    <t>245. Tilastawa da aikata ayyukan da ba a so ba</t>
  </si>
  <si>
    <t>pm_border_cross_ecowas_ind</t>
  </si>
  <si>
    <t>Job 4, ${pm_activity4}</t>
  </si>
  <si>
    <t>Emploi 4, ${pm_activity4}</t>
  </si>
  <si>
    <t>Aiki 4, ${pm_activity4}</t>
  </si>
  <si>
    <t>253. How much money would you expect to share with your household each month in CFA?</t>
  </si>
  <si>
    <t>253. Combien d'argent vous attendez-vous à ce qu'il partage avec votre ménage chaque mois en CFA ?</t>
  </si>
  <si>
    <t>253. Nawa kuke tsammanin zaku aikawa gidanku a kowane wata a sefa?</t>
  </si>
  <si>
    <t>Job 5, ${pm_activity5}</t>
  </si>
  <si>
    <t>Emploi 5 ${pm_activity5}</t>
  </si>
  <si>
    <t>Aiki 5, ${pm_activity5}</t>
  </si>
  <si>
    <t>254. How much money would you expect to put aside to save for the future each month?</t>
  </si>
  <si>
    <t>254. Combien comptez-vous mettre de côté chaque mois pour épargner pour l’avenir ?</t>
  </si>
  <si>
    <t>pulldata('baseline_ids_el', concat('hhage', ${hoh_hhmem_index}), 'hh_id', ${hh_id})</t>
  </si>
  <si>
    <t>254. Nawa ne kuke ganin zaku ajiye don gaba a kowane wata?</t>
  </si>
  <si>
    <t>speedcheck_pm_reportlocs_end</t>
  </si>
  <si>
    <t>246. Where did you experience the following situations?</t>
  </si>
  <si>
    <t>246. Où avez-vous vécu les situations suivantes ?</t>
  </si>
  <si>
    <t>246. A ina kuka fuskanci waɗannan halayen?</t>
  </si>
  <si>
    <t>dur_pm_reprotlocs</t>
  </si>
  <si>
    <t>226. Now I will ask you about plans you may have for your future</t>
  </si>
  <si>
    <t>226. Maintenant, je vais vous poser des questions sur les plans que vous pourriez avoir pour votre avenir</t>
  </si>
  <si>
    <t>226. Yanzu zan tambaye ku game da tsare-tsaren da za ku iya yi ga makomarku</t>
  </si>
  <si>
    <t>pm_locations_list_new</t>
  </si>
  <si>
    <t>pulldata('baseline_ids_el', concat('hhsex', ${hoh_hhmem_index}), 'hh_id', ${hh_id})</t>
  </si>
  <si>
    <t>227. Counting from today how long do you plan to spend in ${pm_current_location} in the next 6 months (in months)?</t>
  </si>
  <si>
    <t>227. À partir d'aujourd'hui, combien de temps prévoyez-vous de passer à ${pm_current_location} au cours des 6 prochains mois (en mois) ?</t>
  </si>
  <si>
    <t>227. Lissafa daga yau yaushe tsawon wane lokaci kuke shirin zama a ${pm_current_location} a cikin watanni 6 masu zuwa (a cikin watanni)?</t>
  </si>
  <si>
    <t>pm_countries_new</t>
  </si>
  <si>
    <t>228. What country or countries outside of Niger are you interested in moving to (for at least one month)?</t>
  </si>
  <si>
    <t>228. Dans quel(s) pays en dehors du Niger souhaitez-vous vous installer (pour au moins un mois) ?</t>
  </si>
  <si>
    <t>228. Wace kasar waje ce kuke sha'awar zuwa (aƙalla wata ɗaya)?</t>
  </si>
  <si>
    <t>pm_locations_list_old</t>
  </si>
  <si>
    <t>229. Enumerator: Enter other country</t>
  </si>
  <si>
    <t>229. Enquêteur : Entrez un autre pays</t>
  </si>
  <si>
    <t>229. Ɗan bincike: Shigar da wata ƙasa</t>
  </si>
  <si>
    <t>employer</t>
  </si>
  <si>
    <t>pm_countries_old</t>
  </si>
  <si>
    <t>Self-employed</t>
  </si>
  <si>
    <t>Travailleur indépendant</t>
  </si>
  <si>
    <t>Aikin-kai</t>
  </si>
  <si>
    <t>251. Experienced violence or physical restraint</t>
  </si>
  <si>
    <t>251. Victime de violence ou de contrainte physique</t>
  </si>
  <si>
    <t>251. Zalunci ko wata kallafawa na jiki</t>
  </si>
  <si>
    <t>concat(${hoh_hhmem_name}, ' (age: ', ${hoh_hhmem_age}, ', sex: ', ${hoh_hhmem_sex}, ')')</t>
  </si>
  <si>
    <t>Employed by individual</t>
  </si>
  <si>
    <t>252. Forced to engage in actions against my will</t>
  </si>
  <si>
    <t>Employé par un particulier</t>
  </si>
  <si>
    <t>252. Forcé de s'engager dans des actions contre ma volonté</t>
  </si>
  <si>
    <t>252. Tilastawa da aikata ayyukan da ba a so ba</t>
  </si>
  <si>
    <t>Mutum wani mutum mai gida</t>
  </si>
  <si>
    <t>pm_locations_list</t>
  </si>
  <si>
    <t>list of most recent to beginning of period locations</t>
  </si>
  <si>
    <t>259. Have you or your immediate family gathered resources in order to prepare for migration? This could include saving money, selling assets, or taking a loan.</t>
  </si>
  <si>
    <t>259. Est-ce que vous ou votre famille proche avez rassemblé des ressources pour vous préparer à la migration ? Il peut s'agir d'économiser de l'argent, de vendre des actifs ou de contracter un prêt.</t>
  </si>
  <si>
    <t>259. Ko kai ko ƴan gidanku kun yi tanadin guzuri don shirin zuwa biɗa? Wannan na iya haɗawa da ajiyar kuɗi, sayar da kadarori, ko ɗaukar lamuni.</t>
  </si>
  <si>
    <t>pm_countries</t>
  </si>
  <si>
    <t>list of locations countries</t>
  </si>
  <si>
    <t>Employed by private businesss</t>
  </si>
  <si>
    <t>Employé par des entreprises privées</t>
  </si>
  <si>
    <t>Yin aiki da kamfanoni masu zaman kansu</t>
  </si>
  <si>
    <t>260. Have you or your immediate family prepared any legal paperwork, such as marriage documents, birth certificates, or proof of property to prepare for migration?</t>
  </si>
  <si>
    <t>260. Est-ce que vous ou votre famille immédiate avez préparé des documents juridiques, tels que des documents de mariage, des certificats de naissance ou une preuve de propriété pour vous préparer à la migration ?</t>
  </si>
  <si>
    <t>260. Shin kai ko ƴan gidanku kun shirya wasu takardun doka, kamar takardar aure, takardun haihuwa, ko shaidar dukiya don shiryawa zuwa biɗa?</t>
  </si>
  <si>
    <t>pm_location1</t>
  </si>
  <si>
    <t>253. I am going to ask you now about other things you may have done during ${period}.</t>
  </si>
  <si>
    <t>253. Je vais maintenant vous poser des questions sur d'autres choses que vous avez pu faire de ${period_french}.</t>
  </si>
  <si>
    <t>253. Yanzu zan tambaye ku game da wasu abubuwan da ka samu damar yi a lokacin ${period_hausa}.</t>
  </si>
  <si>
    <t>Employed by public sector</t>
  </si>
  <si>
    <t>Employé par le secteur public</t>
  </si>
  <si>
    <t>pm_location2</t>
  </si>
  <si>
    <t>Ma'aikaci na gwamnati</t>
  </si>
  <si>
    <t>join(linebreak(), ${hoh_hhmem})</t>
  </si>
  <si>
    <t>230. Which of these countries are you most interested in moving to?</t>
  </si>
  <si>
    <t>230. Dans lequel de ces pays aimeriez-vous le plus migrer ?</t>
  </si>
  <si>
    <t>230. A cikin waɗannan ƙasashen wanne kuka fi sha'awar zuwa?</t>
  </si>
  <si>
    <t>pm_location3</t>
  </si>
  <si>
    <t>255. What language did you train in?</t>
  </si>
  <si>
    <t>255. Dans quelle langue avez-vous été formé ?</t>
  </si>
  <si>
    <t>255. A cikin wane yare ne aka horar da ku ?</t>
  </si>
  <si>
    <t>pm_location4</t>
  </si>
  <si>
    <t>join-if(linebreak(), ${hoh_hhmem}, ${hoh_hhmem_age} &gt; 16 and (${hoh_hhmem_name} != ${shm_name} and ${hoh_hhmem_name} != ${pm_name}))</t>
  </si>
  <si>
    <t>231. Now I'd like to ask you about the individuals you contacted in the countries you are interested in migrating to.</t>
  </si>
  <si>
    <t xml:space="preserve">231. </t>
  </si>
  <si>
    <t>pm_location5</t>
  </si>
  <si>
    <t>257. How much did you have to pay for this training?</t>
  </si>
  <si>
    <t>purpose</t>
  </si>
  <si>
    <t>257. Combien avez-vous dû payer pour cette formation ?</t>
  </si>
  <si>
    <t>257. Nawa kuka biya don wannan horon?</t>
  </si>
  <si>
    <t>For work</t>
  </si>
  <si>
    <t>Pour le travail</t>
  </si>
  <si>
    <t>Don aiki</t>
  </si>
  <si>
    <t>pm_location6</t>
  </si>
  <si>
    <t>258. During ${period}, did you participate in any form of vocational training or education course?</t>
  </si>
  <si>
    <t>258. Au cours de la période de ${period_french}, avez-vous participé à une forme quelconque de formation professionnelle ou de cours ?</t>
  </si>
  <si>
    <t>258. A lokacin ${period_hausa}, kun shiga wani horo na kwarewa cikin wata sana'a ko wani karatu na ilimi?</t>
  </si>
  <si>
    <t>pm_location7</t>
  </si>
  <si>
    <t>259. What type of training course(s) did you participate in (e.g. mechanic training, accounting, IT systems)?</t>
  </si>
  <si>
    <t>259. À quel(s) type(s) de formation(s) avez-vous participé (par exemple, formation mécanique, comptabilité, systèmes informatiques) ?</t>
  </si>
  <si>
    <t>259. Wane irin horo (s) kuka shiga (misali horon makanikanci, lissafin kuɗi, tsarin IT)?</t>
  </si>
  <si>
    <t>For social reasons (visit family/friends, attend ceremony)</t>
  </si>
  <si>
    <t>pm_country1</t>
  </si>
  <si>
    <t>Pour des raisons sociales (visiter famille/amis, assister à une cérémonie)</t>
  </si>
  <si>
    <t>Don dalilai na zamantakewa (ziyarci dangi/abokai, halartar bikin)</t>
  </si>
  <si>
    <t>item-at(linebreak(), ${hoh_roster_above16_list}, 0)</t>
  </si>
  <si>
    <t>232. ${pm_contact_lab}</t>
  </si>
  <si>
    <t>232. ${pm_contact_lab_fr}</t>
  </si>
  <si>
    <t>232. ${pm_contact_lab_ha}</t>
  </si>
  <si>
    <t>pm_country2</t>
  </si>
  <si>
    <t>233. In which countries that you indicated you wanted to go to have you contacted people?</t>
  </si>
  <si>
    <t>233. Dans quels pays dont avez-vous indiqué vouloir vous rendre où vous avez contacté des gens ?</t>
  </si>
  <si>
    <t>Accompany/reunify with spouse</t>
  </si>
  <si>
    <t>233. A waɗanne ƙasashe da ka nuna kana son zuwa ka tuntuɓi mutane?</t>
  </si>
  <si>
    <t>Accompagner/réunifier avec le conjoint</t>
  </si>
  <si>
    <t>pm_country3</t>
  </si>
  <si>
    <t>Rakiya/sake haduwa da miji</t>
  </si>
  <si>
    <t>item-at(linebreak(), ${hoh_roster_above16_list}, 1)</t>
  </si>
  <si>
    <t>234. Please select the countries you have contacted people in:</t>
  </si>
  <si>
    <t>234. Veuillez sélectionner les pays dans lesquels vous avez contacté des personnes :</t>
  </si>
  <si>
    <t>234. Da fatan za a zaɓi ƙasashen da ka tuntuɓi mutane :</t>
  </si>
  <si>
    <t>pm_country4</t>
  </si>
  <si>
    <t>For studies</t>
  </si>
  <si>
    <t>Pour les études</t>
  </si>
  <si>
    <t>Domin karatu</t>
  </si>
  <si>
    <t>235. Other, specify:</t>
  </si>
  <si>
    <t>235. Autre précisez:</t>
  </si>
  <si>
    <t>235. Sauran, bayar da cikakkun bayanai:</t>
  </si>
  <si>
    <t>pm_country5</t>
  </si>
  <si>
    <t>236. What did you ask your contacts about?</t>
  </si>
  <si>
    <t>236. Sur quoi avez-vous interrogé vos contacts ?</t>
  </si>
  <si>
    <t>236. Menene ka tambayi abokan hulɗarka?</t>
  </si>
  <si>
    <t>pm_country6</t>
  </si>
  <si>
    <t>For medical reasons</t>
  </si>
  <si>
    <t>Pour des raisons médicales</t>
  </si>
  <si>
    <t>item-at(linebreak(), ${hoh_roster_above16_list}, 2)</t>
  </si>
  <si>
    <t>237. Other, specify:</t>
  </si>
  <si>
    <t>237. Autre précisez:</t>
  </si>
  <si>
    <t>237. Sauran, bayar da cikakkun bayanai:</t>
  </si>
  <si>
    <t>pm_country7</t>
  </si>
  <si>
    <t>Transit (on my way somewhere else)</t>
  </si>
  <si>
    <t>Transit (en route ailleurs)</t>
  </si>
  <si>
    <t>Tafiya (a kan hanya ta zuwa wani wuri)</t>
  </si>
  <si>
    <t>238. Did your interaction with your contacts encourage or discourage you from migration?</t>
  </si>
  <si>
    <t>238. Votre interaction avec vos contacts vous a-t-elle encouragé ou découragé à migrer ?</t>
  </si>
  <si>
    <t>238. Ko hirar ku da abokan hulɗarku ta ƙarfafa muka gwiwa ko ta hana ka zuwa biɗa?</t>
  </si>
  <si>
    <t>pm_new_location1</t>
  </si>
  <si>
    <t>239. What did you learn from your contacts that discouraged you to migrate?</t>
  </si>
  <si>
    <t>239. Qu'avez-vous appris de vos contacts qui vous ont découragé à migrer ?</t>
  </si>
  <si>
    <t>239. Wane labari ka samo daga abokan hulɗar ku da ya hana ka zuwa biɗa?</t>
  </si>
  <si>
    <t>other</t>
  </si>
  <si>
    <t>autre</t>
  </si>
  <si>
    <t>pm_new_location2</t>
  </si>
  <si>
    <t>item-at(linebreak(), ${hoh_roster_above16_list}, 3)</t>
  </si>
  <si>
    <t>240. Other, specify:</t>
  </si>
  <si>
    <t>240. Autre précisez:</t>
  </si>
  <si>
    <t>240. Sauran, bayar da cikakkun bayanai:</t>
  </si>
  <si>
    <t>pm_new_location3</t>
  </si>
  <si>
    <t>241. What did you learn from your contacts that encouraged you to migrate?</t>
  </si>
  <si>
    <t>241. Qu'avez-vous appris de vos contacts qui vous ont encouragé à migrer ?</t>
  </si>
  <si>
    <t>241. Wane labari ka samo daga abokan hulɗar ku wanda ya ƙarfafa muka gwiwa zuwa biɗa?</t>
  </si>
  <si>
    <t>pm_new_location4</t>
  </si>
  <si>
    <t>242. Other, specify:</t>
  </si>
  <si>
    <t>242. Autre précisez:</t>
  </si>
  <si>
    <t>242. Sauran, bayar da cikakkun bayanai:</t>
  </si>
  <si>
    <t>pm_new_location5</t>
  </si>
  <si>
    <t>item-at(linebreak(), ${hoh_roster_above16_list}, 4)</t>
  </si>
  <si>
    <t>stay</t>
  </si>
  <si>
    <t>271. Accidents and disasters</t>
  </si>
  <si>
    <t>271. Accidents et catastrophes</t>
  </si>
  <si>
    <t>Home (owned by own household)</t>
  </si>
  <si>
    <t>271. Hatsari da bala'o'i</t>
  </si>
  <si>
    <t>Maison (appartenant à son propre ménage)</t>
  </si>
  <si>
    <t>Gida (mallakar gidan kansa)</t>
  </si>
  <si>
    <t>pm_new_location6</t>
  </si>
  <si>
    <t>266. During period, did you experience an emergency or urgent need that forced you to:</t>
  </si>
  <si>
    <t>266. Au cours de la période, avez-vous ressenti une urgence ou un besoin urgent qui vous a obligé à :</t>
  </si>
  <si>
    <t>266. A lokacin ${period_hausa}, ko gidanku ya fuskanci wani hali na gaggawa ko wata buƙatu ta gaggawa wanda ya tilasta muku:</t>
  </si>
  <si>
    <t>pm_new_location7</t>
  </si>
  <si>
    <t>243. Think about the next three months, starting from today. Do you plan to move somewhere other than ${pm_current_location} and remain there for more than a month?</t>
  </si>
  <si>
    <t>Home of friends/familiy (no cost)</t>
  </si>
  <si>
    <t>Maison d'amis/famille (sans frais)</t>
  </si>
  <si>
    <t>243. Pensez aux trois prochains mois, à partir d’aujourd’hui. Envisagez-vous d'aller ailleurs que ${pm_current_location} et d'y rester plus d'un mois ?</t>
  </si>
  <si>
    <t>Gidan abokai/iyali (ba farashi)</t>
  </si>
  <si>
    <t>243. Ku tuna da watanni uku masu zuwa, daga yau. Ko kuna shirin zuwa wani wuri ${pm_current_location} kuma ku zauna a can sama da wata ɗaya?</t>
  </si>
  <si>
    <t>pm_new_country1</t>
  </si>
  <si>
    <t>item-at(linebreak(), ${hoh_roster_above16_list}, 5)</t>
  </si>
  <si>
    <t>244. Think about the next year, starting with the upcoming harvest season. Do you plan to move somewhere other than where you are now for more than one month?</t>
  </si>
  <si>
    <t>244. Pensez à l'année prochaine, à commencer par la prochaine saison de récolte. Vous prévoyez de vous déplacer ailleurs que là où vous êtes maintenant depuis plus d'un mois?</t>
  </si>
  <si>
    <t>244. Ku tuna da shekara mai zuwa, fara da lokacin kaka mai zuwa. Ko kuna shirin zuwa wani wuri daban ba inda kake zaune a yanzu ba fiye da wata ɗaya?</t>
  </si>
  <si>
    <t>pm_new_country2</t>
  </si>
  <si>
    <t>Rented accomodation alone</t>
  </si>
  <si>
    <t>Logement loué seul</t>
  </si>
  <si>
    <t>Gidan haya shi kaɗai</t>
  </si>
  <si>
    <t>269. Spend savings</t>
  </si>
  <si>
    <t>269. Utiliser votre epargne</t>
  </si>
  <si>
    <t>269. Kashe kuɗin ajiyar ku</t>
  </si>
  <si>
    <t>pm_new_country3</t>
  </si>
  <si>
    <t>Rented accomodation with others</t>
  </si>
  <si>
    <t>Logement en location avec d'autres</t>
  </si>
  <si>
    <t>Hayar gida tare da wasu</t>
  </si>
  <si>
    <t>276. Idleness of children or spouse</t>
  </si>
  <si>
    <t>276. L'oisiveté des enfants ou du conjoint</t>
  </si>
  <si>
    <t>276. Zaman banza na yara ko mata</t>
  </si>
  <si>
    <t>pm_new_country4</t>
  </si>
  <si>
    <t>270. What type of event led you to sell assets or borrow money?</t>
  </si>
  <si>
    <t>270. Quel type d'événement vous a amené à vendre des actifs ou à emprunter de l'argent ?</t>
  </si>
  <si>
    <t>270. Wane irin lamari ne ya kai ku sayar da kadarori ko aron kudi?</t>
  </si>
  <si>
    <t>Street</t>
  </si>
  <si>
    <t>Rue</t>
  </si>
  <si>
    <t>Titi</t>
  </si>
  <si>
    <t>pm_new_country5</t>
  </si>
  <si>
    <t>245. If you migrate in ${pm_mig_length_lab}, what is your intended destination? 
Enumerator: Probe if in Niger or another country</t>
  </si>
  <si>
    <t>item-at(linebreak(), ${hoh_roster_above16_list}, 6)</t>
  </si>
  <si>
    <t>245. « Si vous migrez ${pm_mig_length_lab_fr}, quelle est votre destination prévue ?
Agent enquêteur : Sondez si vous êtes au Niger ou dans un autre pays »</t>
  </si>
  <si>
    <t>245. Idan zaku yi tahiya ${pm_mig_length_lab_hausa}, ina ne kuke nufin zuwa?
Mai bincike: Bincika idan a Nijar ne ko a wata ƙasa.</t>
  </si>
  <si>
    <t>pm_new_country6</t>
  </si>
  <si>
    <t>Shelter (mosque, association)</t>
  </si>
  <si>
    <t>Abri (mosquée, association)</t>
  </si>
  <si>
    <t>Matsuguni (masallaci, ƙungiya)</t>
  </si>
  <si>
    <t>246. What is the name of the country you would move to?</t>
  </si>
  <si>
    <t>246. Quel est le nom du pays dans lequel vous migreriez ?</t>
  </si>
  <si>
    <t>246. Menene sunan ƙasar da kuke nufin zuwa?</t>
  </si>
  <si>
    <t>pm_new_country7</t>
  </si>
  <si>
    <t>247. Where in Niger would you move?</t>
  </si>
  <si>
    <t>item-at(linebreak(), ${hoh_roster_above16_list}, 7)</t>
  </si>
  <si>
    <t>247. Où migreriez-vous au Niger ?</t>
  </si>
  <si>
    <t>247. Ina za ku je a Nijar?</t>
  </si>
  <si>
    <t>Hotel</t>
  </si>
  <si>
    <t>Hôtel</t>
  </si>
  <si>
    <t>pm_bordercross_7_to_6</t>
  </si>
  <si>
    <t>Otal</t>
  </si>
  <si>
    <t>248. What is the name of the town you would move to?</t>
  </si>
  <si>
    <t>248. Quel est le nom de la ville dans laquelle vous migreriez ?</t>
  </si>
  <si>
    <t>248. Menene sunan garin da zaku koma?</t>
  </si>
  <si>
    <t>pm_bordercross_6_to_5</t>
  </si>
  <si>
    <t>249. Other, specify:</t>
  </si>
  <si>
    <t>249. Autre précisez:</t>
  </si>
  <si>
    <t>249. Sauran, bayar da cikakkun bayanai:</t>
  </si>
  <si>
    <t>Employer provided room</t>
  </si>
  <si>
    <t>pm_bordercross_5_to_4</t>
  </si>
  <si>
    <t>Chambre fournie par l'employeur</t>
  </si>
  <si>
    <t>Maigida ya ba da daki</t>
  </si>
  <si>
    <t>item-at(linebreak(), ${hoh_roster_above16_list}, 8)</t>
  </si>
  <si>
    <t>276. Please tell me the extent do you agree/disagree:
If I had an emergency that required 5,000 CFA urgently (within 3 days), I would be able to find the money.</t>
  </si>
  <si>
    <t>276. Veuillez me dire dans quelle mesure êtes-vous d'accord/pas d'accord :
Si j'avais une urgence qui nécessitait 5 000 CFA en urgence (dans les 3 jours), je serais capable de trouver l'argent.</t>
  </si>
  <si>
    <t>276. Da fatan za a gaya mini matsayin yarda/rishin yarda da kowanne: 
 Idan wata buƙatar 5,000 CFA ta same ni cikin gaggawa (a cikin kwanaki 3), zan iya samun kuɗin.</t>
  </si>
  <si>
    <t>pm_bordercross_4_to_3</t>
  </si>
  <si>
    <t>277. What type of person would you go to first for this money?</t>
  </si>
  <si>
    <t>277. Vers quel type de personne iriez-vous en premier pour cet argent ?</t>
  </si>
  <si>
    <t>277. Wane irin mutum ne za ku fara zuwa wurin shi don neman wannan kuɗin?</t>
  </si>
  <si>
    <t>pm_bordercross_3_to_2</t>
  </si>
  <si>
    <t>250. If you decide to migrate, when would you plan to leave ${pm_current_location}?</t>
  </si>
  <si>
    <t>250. Si vous décidez de migrer, quand comptez-vous quitter votre domicile ?</t>
  </si>
  <si>
    <t>250. Idan kun yanke shawarar zuwa bida, yaushe kuke ganin za ku barin gida?</t>
  </si>
  <si>
    <t>pm_bordercross_2_to_1</t>
  </si>
  <si>
    <t>item-at(linebreak(), ${hoh_roster_above16_list}, 9)</t>
  </si>
  <si>
    <t>251. If you decide to migrate, how long would you plan to stay at your destination (in months)?</t>
  </si>
  <si>
    <t>251. Si vous décidez de migrer, combien de temps prévoyez-vous de rester à destination (en mois) ?</t>
  </si>
  <si>
    <t>251. Idan kun yi niyyar yin tahiya, tsawon wane lokaci kuke nufin zama a inda kuka je (a cikin watanni)?</t>
  </si>
  <si>
    <t>pm_bordercrossings</t>
  </si>
  <si>
    <t>patient</t>
  </si>
  <si>
    <t>Impatient</t>
  </si>
  <si>
    <t>Babu haƙuri</t>
  </si>
  <si>
    <t>279. I would like to ask you a few questions about your health and wellbeing</t>
  </si>
  <si>
    <t>279. Je voudrais vous poser quelques questions sur votre santé et votre bien-être</t>
  </si>
  <si>
    <t>279. Ina so in yi muku wasu ƴan tambayoyi bisa lafiyar ku da jin daɗin ku</t>
  </si>
  <si>
    <t>pm_any_border_crossing</t>
  </si>
  <si>
    <t>280. In general, how would you characterize your physical health?</t>
  </si>
  <si>
    <t>280. En général, comment caractériseriez-vous votre santé physique ?</t>
  </si>
  <si>
    <t>280. A taƙaice, yaya za ku siffanta lafiyar jikin ku?</t>
  </si>
  <si>
    <t>Somewhat patient</t>
  </si>
  <si>
    <t>Un peu patient</t>
  </si>
  <si>
    <t>Da ɗan haƙuri</t>
  </si>
  <si>
    <t>item-at(linebreak(), ${hoh_roster_above16_list}, 10)</t>
  </si>
  <si>
    <t>speedcheck_pm_transit_start</t>
  </si>
  <si>
    <t>281. Do you currently suffer from any illness or disability that limits your ability to travel or work?</t>
  </si>
  <si>
    <t>281. Souffrez-vous actuellement d'une maladie ou d'un handicap qui limite votre capacité à voyager ou à travailler ?</t>
  </si>
  <si>
    <t>281. Ko a halin yanzu kuna fama da wata rashin lafiya ko naƙasa da ke kawo muku cikas bisa karfinku na yin tafiya ko yin aiki?</t>
  </si>
  <si>
    <t>pm_transit_intro_note</t>
  </si>
  <si>
    <t>122. EUMERATOR: We will now ask about the trips that the respondent made in ${period}. If the respondent returned to ${pm_beginning_location} at the end of this period, we will not ask about their return journey.</t>
  </si>
  <si>
    <t>122. ENQUETEUR : Nous allons maintenant poser des questions sur les déplacements effectués par le répondant en ${period_french}. Si le répondant est revenu à ${pm_beginning_location} à la fin de cette période, nous ne poserons pas de questions sur son voyage retour.</t>
  </si>
  <si>
    <t>Very patient</t>
  </si>
  <si>
    <t>122. Ɗan bincike: Yanzu za mu yi tambaya game da tafiye-tafiyen da mai bada amsa ya yi a ${period_hausa}. Idan mai bada amsa ya koma ${pm_beginning_location} a ƙarshen wannan lokacin, ba za mu yi tambaya game da tafiya ta dawowa ba.</t>
  </si>
  <si>
    <t>Très patient</t>
  </si>
  <si>
    <t>Da Hakuri sosai</t>
  </si>
  <si>
    <t>item-at(linebreak(), ${hoh_roster_above16_list}, 11)</t>
  </si>
  <si>
    <t>121. EUMERATOR: We will now ask about the trips that the respondent made in ${period}. If the respondent returned to ${pm_beginning_location} at the end of this period, we will not ask about their return journey.</t>
  </si>
  <si>
    <t>121. ENQUETEUR : Nous allons maintenant poser des questions sur les déplacements effectués par le répondant en ${period_french}. Si le répondant est revenu à ${pm_beginning_location} à la fin de cette période, nous ne poserons pas de questions sur son voyage retour.</t>
  </si>
  <si>
    <t>121. Ɗan bincike: Yanzu za mu yi tambaya game da tafiye-tafiyen da mai bada amsa ya yi a ${period_hausa}. Idan mai bada amsa ya koma ${pm_beginning_location} a ƙarshen wannan lokacin, ba za mu yi tambaya game da tafiya ta dawowa ba.</t>
  </si>
  <si>
    <t>252. What are the potential risks of migrating for the average migrant?</t>
  </si>
  <si>
    <t>252. Quels sont les risques potentiels de la migration pour le migrant moyen ?</t>
  </si>
  <si>
    <t>252. Menene haɗarin zuwa biɗ ga matsaƙaicin ƙarhia?</t>
  </si>
  <si>
    <t>pm_dom_mig</t>
  </si>
  <si>
    <t>item-at(linebreak(), ${hoh_roster_above16_list}, 12)</t>
  </si>
  <si>
    <t>253. What are some things that you could do to mitigate some of the risks associated with traveling to a neighboring country to find work?</t>
  </si>
  <si>
    <t>253. Quelles mesures pourriez-vous prendre pour atténuer certains des risques associés au voyage dans un pays voisin pour trouver du travail ?</t>
  </si>
  <si>
    <t>253. Wadanne abubuwa ne za ka iya yi don rage wasu haɗurran da ke tattare da balaguro zuwa makwabciyar ƙasa don neman aiki?</t>
  </si>
  <si>
    <t>pm_border_cross</t>
  </si>
  <si>
    <t>285. In the past 7 days have you cut the size of meals or skipped meals?</t>
  </si>
  <si>
    <t>285. Au cours des 7 derniers jours, avez-vous réduit la taille des repas ou sauté des repas ?</t>
  </si>
  <si>
    <t>comprehension</t>
  </si>
  <si>
    <t>285. A cikin kwanaki 7 da suka gabata kun rage yawan abincin da kuka saba ci ko kun tsallake shi gabaɗaya?</t>
  </si>
  <si>
    <t>Did not understand</t>
  </si>
  <si>
    <t>pm_border_cross_ecowas</t>
  </si>
  <si>
    <t>N'a pas compris</t>
  </si>
  <si>
    <t>Bai gane ba</t>
  </si>
  <si>
    <t>286. How many days?</t>
  </si>
  <si>
    <t>286. Combien de jours ?</t>
  </si>
  <si>
    <t>286. Kwana nawa?</t>
  </si>
  <si>
    <t>pm_mig_any</t>
  </si>
  <si>
    <t>item-at(linebreak(), ${hoh_roster_above16_list}, 13)</t>
  </si>
  <si>
    <t>287. In the past week how many days did you consume animal protein (fish, meat, poultry)?</t>
  </si>
  <si>
    <t>287. Au cours de la semaine écoulée, combien de fois avez-vous consommé des protéines animales (poisson, viande, volaille) ?</t>
  </si>
  <si>
    <t>287. A cikin makon da ya gabata sau nawa kuka ci abinci masu gina jiki kamar (kifi, nama, kaji)?</t>
  </si>
  <si>
    <t>Understood somewhat</t>
  </si>
  <si>
    <t>Un peu compris</t>
  </si>
  <si>
    <t>pm_transit_7_to_6</t>
  </si>
  <si>
    <t>Ya gane ɗan kadan</t>
  </si>
  <si>
    <t>123. Based on your answers it sounds like you started in ${pm_new_location7} and traveled to ${pm_new_location6} since ${period}, is that correct?</t>
  </si>
  <si>
    <t>123. D'après vos réponses, il semble que vous ayez commencé à ${pm_new_location7} et que vous vous soyez rendu à ${pm_new_location6} depuis ${period_french}, n'est-ce pas ?</t>
  </si>
  <si>
    <t>123. Dangance da amsoshinku ina jin kamar kun fara a ${pm_new_location7} kuma kuka yi tafiya zuwa ${pm_new_location6} lokacin ${period_hausa}, daidai ne?</t>
  </si>
  <si>
    <t>122. Based on your answers it sounds like you started in ${pm_new_location7} and traveled to ${pm_new_location6} since ${period}, is that correct?</t>
  </si>
  <si>
    <t>122. D'après vos réponses, il semble que vous ayez commencé à ${pm_new_location7} et que vous vous soyez rendu à ${pm_new_location6} depuis ${period_french}, n'est-ce pas ?</t>
  </si>
  <si>
    <t>122. Dangance da amsoshinku ina jin kamar kun fara a ${pm_new_location7} kuma kuka yi tafiya zuwa ${pm_new_location6} lokacin ${period_hausa}, daidai ne?</t>
  </si>
  <si>
    <t>pm_transit_6_to_5</t>
  </si>
  <si>
    <t>124. Based on your answers it sounds like you started in ${pm_new_location6} and traveled to ${pm_new_location5} since ${period}, is that correct?</t>
  </si>
  <si>
    <t>item-at(linebreak(), ${hoh_roster_above16_list}, 14)</t>
  </si>
  <si>
    <t>124. D'après vos réponses, il semble que vous ayez commencé à ${pm_new_location6} et que vous vous soyez rendu à ${pm_new_location5} depuis ${period_french}, n'est-ce pas ?</t>
  </si>
  <si>
    <t>124. Dangance da amsoshinku ina jin kamar kun fara a ${pm_new_location6} kuma kuka yi tafiya zuwa ${pm_new_location5} lokacin ${period_hausa}, daidai ne?</t>
  </si>
  <si>
    <t>123. Based on your answers it sounds like you started in ${pm_new_location6} and traveled to ${pm_new_location5} since ${period}, is that correct?</t>
  </si>
  <si>
    <t>Understood well</t>
  </si>
  <si>
    <t>123. D'après vos réponses, il semble que vous ayez commencé à ${pm_new_location6} et que vous vous soyez rendu à ${pm_new_location5} depuis ${period_french}, n'est-ce pas ?</t>
  </si>
  <si>
    <t>123. Dangance da amsoshinku ina jin kamar kun fara a ${pm_new_location6} kuma kuka yi tafiya zuwa ${pm_new_location5} lokacin ${period_hausa}, daidai ne?</t>
  </si>
  <si>
    <t>Bien compris</t>
  </si>
  <si>
    <t>Ya gane sosai</t>
  </si>
  <si>
    <t>pm_transit_5_to_4</t>
  </si>
  <si>
    <t>125. Based on your answers it sounds like you started in ${pm_new_location5} and traveled to ${pm_new_location4} since ${period}, is that correct?</t>
  </si>
  <si>
    <t>125. D'après vos réponses, il semble que vous ayez commencé à ${pm_new_location5} et que vous vous soyez rendu à ${pm_new_location4} depuis ${period_french}, n'est-ce pas ?</t>
  </si>
  <si>
    <t>125. Dangance da amsoshinku ina jin kamar kun fara a ${pm_new_location5} kuma kuka yi tafiya zuwa ${pm_new_location4} lokacin ${period_hausa}, daidai ne?</t>
  </si>
  <si>
    <t>124. Based on your answers it sounds like you started in ${pm_new_location5} and traveled to ${pm_new_location4} since ${period}, is that correct?</t>
  </si>
  <si>
    <t>124. D'après vos réponses, il semble que vous ayez commencé à ${pm_new_location5} et que vous vous soyez rendu à ${pm_new_location4} depuis ${period_french}, n'est-ce pas ?</t>
  </si>
  <si>
    <t>124. Dangance da amsoshinku ina jin kamar kun fara a ${pm_new_location5} kuma kuka yi tafiya zuwa ${pm_new_location4} lokacin ${period_hausa}, daidai ne?</t>
  </si>
  <si>
    <t>pm_transit_4_to_3</t>
  </si>
  <si>
    <t>126. Based on your answers it sounds like you started in ${pm_new_location4} and traveled to ${pm_new_location3} since ${period}, is that correct?</t>
  </si>
  <si>
    <t>126. D'après vos réponses, il semble que vous ayez commencé à ${pm_new_location4} et que vous vous soyez rendu à ${pm_new_location3} depuis ${period_french}, n'est-ce pas ?</t>
  </si>
  <si>
    <t>126. Dangance da amsoshinku ina jin kamar kun fara a ${pm_new_location4} kuma kuka yi tafiya zuwa ${pm_new_location3} lokacin ${period_hausa}, daidai ne?</t>
  </si>
  <si>
    <t>item-at(linebreak(), ${hoh_roster_above16_list}, 15)</t>
  </si>
  <si>
    <t>125. Based on your answers it sounds like you started in ${pm_new_location4} and traveled to ${pm_new_location3} since ${period}, is that correct?</t>
  </si>
  <si>
    <t>125. D'après vos réponses, il semble que vous ayez commencé à ${pm_new_location4} et que vous vous soyez rendu à ${pm_new_location3} depuis ${period_french}, n'est-ce pas ?</t>
  </si>
  <si>
    <t>125. Dangance da amsoshinku ina jin kamar kun fara a ${pm_new_location4} kuma kuka yi tafiya zuwa ${pm_new_location3} lokacin ${period_hausa}, daidai ne?</t>
  </si>
  <si>
    <t>pm_transit_3_to_2</t>
  </si>
  <si>
    <t>127. Based on your answers it sounds like you started in ${pm_new_location3} and traveled to ${pm_new_location2} since ${period}, is that correct?</t>
  </si>
  <si>
    <t>127. D'après vos réponses, il semble que vous ayez commencé à ${pm_new_location3} et que vous vous soyez rendu à ${pm_new_location2} depuis ${period_french}, n'est-ce pas ?</t>
  </si>
  <si>
    <t>127. Dangance da amsoshinku ina jin kamar kun fara a ${pm_new_location3} kuma kuka yi tafiya zuwa ${pm_new_location2} lokacin ${period_hausa}, daidai ne?</t>
  </si>
  <si>
    <t>126. Based on your answers it sounds like you started in ${pm_new_location3} and traveled to ${pm_new_location2} since ${period}, is that correct?</t>
  </si>
  <si>
    <t>126. D'après vos réponses, il semble que vous ayez commencé à ${pm_new_location3} et que vous vous soyez rendu à ${pm_new_location2} depuis ${period_french}, n'est-ce pas ?</t>
  </si>
  <si>
    <t>126. Dangance da amsoshinku ina jin kamar kun fara a ${pm_new_location3} kuma kuka yi tafiya zuwa ${pm_new_location2} lokacin ${period_hausa}, daidai ne?</t>
  </si>
  <si>
    <t>pm_transit_2_to_1</t>
  </si>
  <si>
    <t>128. Based on your answers it sounds like you started in ${pm_new_location2} and traveled to ${pm_new_location1} since ${period}, is that correct?</t>
  </si>
  <si>
    <t>128. D'après vos réponses, il semble que vous ayez commencé à ${pm_new_location2} et que vous vous soyez rendu à ${pm_new_location1} depuis ${period_french}, n'est-ce pas ?</t>
  </si>
  <si>
    <t>128. Dangance da amsoshinku ina jin kamar kun fara a ${pm_new_location2} kuma kuka yi tafiya zuwa ${pm_new_location1} lokacin ${period_hausa}, daidai ne?</t>
  </si>
  <si>
    <t>127. Based on your answers it sounds like you started in ${pm_new_location2} and traveled to ${pm_new_location1} since ${period}, is that correct?</t>
  </si>
  <si>
    <t>present</t>
  </si>
  <si>
    <t>127. D'après vos réponses, il semble que vous ayez commencé à ${pm_new_location2} et que vous vous soyez rendu à ${pm_new_location1} depuis ${period_french}, n'est-ce pas ?</t>
  </si>
  <si>
    <t>127. Dangance da amsoshinku ina jin kamar kun fara a ${pm_new_location2} kuma kuka yi tafiya zuwa ${pm_new_location1} lokacin ${period_hausa}, daidai ne?</t>
  </si>
  <si>
    <t>Alone</t>
  </si>
  <si>
    <t>item-at(linebreak(), ${hoh_roster_above16_list}, 16)</t>
  </si>
  <si>
    <t>Seul</t>
  </si>
  <si>
    <t>pm_transits</t>
  </si>
  <si>
    <t>Shi kaɗai</t>
  </si>
  <si>
    <t>Transits</t>
  </si>
  <si>
    <t>Hanya</t>
  </si>
  <si>
    <t>260. What type of training course(s) did you participate in (e.g. mechanic training, accounting, IT systems)?</t>
  </si>
  <si>
    <t>260. À quel(s) type(s) de formation(s) avez-vous participé (par exemple, formation mécanique, comptabilité, systèmes informatiques) ?</t>
  </si>
  <si>
    <t>260. Wane irin horo (s) kuka shiga (misali horon makanikanci, lissafin kuɗi, tsarin IT)?</t>
  </si>
  <si>
    <t>pm_from_country</t>
  </si>
  <si>
    <t>261. How much did you have to pay for this training?</t>
  </si>
  <si>
    <t>261. Combien avez-vous dû payer pour cette formation ?</t>
  </si>
  <si>
    <t>261. Nawa kuka biya don wannan horon?</t>
  </si>
  <si>
    <t>With spouse only</t>
  </si>
  <si>
    <t>Avec conjoint seulement</t>
  </si>
  <si>
    <t>pm_to_country</t>
  </si>
  <si>
    <t>Tare da mata kawai</t>
  </si>
  <si>
    <t>item-at(linebreak(), ${hoh_roster_above16_list}, 17)</t>
  </si>
  <si>
    <t>295. Physical pain</t>
  </si>
  <si>
    <t>295. Douleur physique</t>
  </si>
  <si>
    <t>295. ciwon jiki</t>
  </si>
  <si>
    <t>pm_cross_relevant</t>
  </si>
  <si>
    <t>296. Loneliness</t>
  </si>
  <si>
    <t>296. Solitude</t>
  </si>
  <si>
    <t>296. kadaici</t>
  </si>
  <si>
    <t>pm_from_location</t>
  </si>
  <si>
    <t>With household members</t>
  </si>
  <si>
    <t>Avec les membres du ménage</t>
  </si>
  <si>
    <t>Tare da yan gida</t>
  </si>
  <si>
    <t>item-at(linebreak(), ${hoh_roster_above16_list}, 18)</t>
  </si>
  <si>
    <t>262. Now I would like to ask you about different ways you may use money that you earn.</t>
  </si>
  <si>
    <t>262. Maintenant, je voudrais vous poser des questions sur les différentes façons dont vous pouvez utiliser l'argent que vous gagnez.</t>
  </si>
  <si>
    <t>262. Yanzu ina so in tambaye ku bisa hanyoyi daban-daban da kuke amfani da su wajen kashe kuɗin da kuke samu.</t>
  </si>
  <si>
    <t>pm_to_location</t>
  </si>
  <si>
    <t>263. Do you currently have savings of each of the following types that you have put aside for yourself, separate from your household?</t>
  </si>
  <si>
    <t>263. Avez-vous actuellement des économies de chacun des types suivants que vous avez mises de côté pour vous-même, séparément de votre ménage ?</t>
  </si>
  <si>
    <t>263. Ko a halin yanzu kuna da tanadi na kowane irin waɗannan abubuwan da kuka ware don kanku, daban da gidan ku?</t>
  </si>
  <si>
    <t>With non-household members</t>
  </si>
  <si>
    <t>Avec des non-membres du ménage</t>
  </si>
  <si>
    <t>pm_transit_note</t>
  </si>
  <si>
    <t>129. We would like to learn more about your experience traveling from ${pm_from_location} to ${pm_to_location}.</t>
  </si>
  <si>
    <t>item-at(linebreak(), ${hoh_roster_above16_list}, 19)</t>
  </si>
  <si>
    <t>129. Nous aimerions en savoir plus sur votre expérience de voyage entre ${pm_from_location} et ${pm_to_location}.</t>
  </si>
  <si>
    <t>Tare da wadanda ba ƴan gida ba</t>
  </si>
  <si>
    <t>129. Muna son mu ƙara sanin abubuwan da suka faru a kan tafiyarku daga ${pm_from_location} zuwa ${pm_to_location}.</t>
  </si>
  <si>
    <t>128. We would like to learn more about your experience traveling from ${pm_from_location} to ${pm_to_location}.</t>
  </si>
  <si>
    <t>128. Nous aimerions en savoir plus sur votre expérience de voyage entre ${pm_from_location} et ${pm_to_location}.</t>
  </si>
  <si>
    <t>128. Muna son mu ƙara sanin abubuwan da suka faru a kan tafiyarku daga ${pm_from_location} zuwa ${pm_to_location}.</t>
  </si>
  <si>
    <t>select_multiple travel</t>
  </si>
  <si>
    <t>pm_travel_how</t>
  </si>
  <si>
    <t>130. How did you travel between ${pm_from_location} and ${pm_to_location}?</t>
  </si>
  <si>
    <t>130. Comment vous êtes-vous déplacé entre ${pm_from_location} et ${pm_to_location} ?</t>
  </si>
  <si>
    <t>130. Yaya kuka yi tafiyar (ko bisa abun hawa) tsakanin ${pm_from_location} da ${pm_to_location}?</t>
  </si>
  <si>
    <t>129. How did you travel between ${pm_from_location} and ${pm_to_location}?</t>
  </si>
  <si>
    <t>129. Comment vous êtes-vous déplacé entre ${pm_from_location} et ${pm_to_location} ?</t>
  </si>
  <si>
    <t>129. Yaya kuka yi tafiyar (ko bisa abun hawa) tsakanin ${pm_from_location} da ${pm_to_location}?</t>
  </si>
  <si>
    <t>pm_travel_how_o</t>
  </si>
  <si>
    <t>131. Other, specify:</t>
  </si>
  <si>
    <t>131. Autre précisez:</t>
  </si>
  <si>
    <t>131. Wani daban, baiyana:</t>
  </si>
  <si>
    <t>item-at(linebreak(), ${hoh_roster_above16_list}, 20)</t>
  </si>
  <si>
    <t>130. Other, specify:</t>
  </si>
  <si>
    <t>130. Autre précisez:</t>
  </si>
  <si>
    <t>130. Wani daban, baiyana:</t>
  </si>
  <si>
    <t>pm_travel_num</t>
  </si>
  <si>
    <t>132. How many people traveled with you (in the same travel group) from ${pm_from_location} to ${pm_to_location}, if any?</t>
  </si>
  <si>
    <t>132. Combien de personnes ont voyagé avec vous (dans le même groupe de voyage) du ${pm_from_location} à ${pm_to_location}, si c'est le cas ?</t>
  </si>
  <si>
    <t>132. Mutane nawa ne suka yi tafiya tare da ku (a cikin gungu ɗaya) daga ${pm_from_location} zuwa ${pm_to_location}, idan haka ya kasance?</t>
  </si>
  <si>
    <t>paytype</t>
  </si>
  <si>
    <t>Cash</t>
  </si>
  <si>
    <t>Especes</t>
  </si>
  <si>
    <t>Kuɗi fari</t>
  </si>
  <si>
    <t>131. How many people traveled with you (in the same travel group) from ${pm_from_location} to ${pm_to_location}, if any?</t>
  </si>
  <si>
    <t>131. Combien de personnes ont voyagé avec vous (dans le même groupe de voyage) du ${pm_from_location} à ${pm_to_location}, si c'est le cas ?</t>
  </si>
  <si>
    <t>131. Mutane nawa ne suka yi tafiya tare da ku (a cikin gungu ɗaya) daga ${pm_from_location} zuwa ${pm_to_location}, idan haka ya kasance?</t>
  </si>
  <si>
    <t>pm_travel_ppm</t>
  </si>
  <si>
    <t>Did any of the people you travelled with participate in the TSARI training program?</t>
  </si>
  <si>
    <t>item-at(linebreak(), ${hoh_roster_above16_list}, 21)</t>
  </si>
  <si>
    <t>L'une des personnes avec lesquelles vous avez voyagé a-t-elle participé à la formation TSARI ?</t>
  </si>
  <si>
    <t>Shin ko wani cikin mutanen da kuka yi tafiya tare da su ya halarci horon shirin TSARI?</t>
  </si>
  <si>
    <t>132. Did any of the people you travelled with participate in the TSARI training program?</t>
  </si>
  <si>
    <t>132. L'une des personnes avec lesquelles vous avez voyagé a-t-elle participé à la formation TSARI ?</t>
  </si>
  <si>
    <t>132. Shin ko wani cikin mutanen da kuka yi tafiya tare da su ya halarci horon shirin TSARI?</t>
  </si>
  <si>
    <t>In-kind</t>
  </si>
  <si>
    <t>Nature</t>
  </si>
  <si>
    <t>pm_crossed_border</t>
  </si>
  <si>
    <t>Wani kaya</t>
  </si>
  <si>
    <t>Crossed a border</t>
  </si>
  <si>
    <t>Traverser une frontière</t>
  </si>
  <si>
    <t>Ketare iyaka</t>
  </si>
  <si>
    <t>266. In the past month have you put aside any money for the future?</t>
  </si>
  <si>
    <t>266. Au cours du mois dernier, avez-vous mis de l'argent de côté pour l'avenir ?</t>
  </si>
  <si>
    <t>266. A cikin watan da ya gabata ko kun wata ajiyar kuɗi don gaba?</t>
  </si>
  <si>
    <t>pm_cross_note</t>
  </si>
  <si>
    <t>134. The next few questions focus on your experience crossing the border from ${pm_from_location} to ${pm_to_location}.</t>
  </si>
  <si>
    <t>134. Les prochaines questions portent sur votre expérience de passage de la frontière de ${pm_from_location} à ${pm_to_location}.</t>
  </si>
  <si>
    <t>134. Tambayoyi na gaba sun ta allaƙa ne bisa sininku kan ketare iyaka daga ${pm_from_location} zuwa ${pm_to_location}.</t>
  </si>
  <si>
    <t>item-at(linebreak(), ${hoh_roster_above16_list}, 22)</t>
  </si>
  <si>
    <t>133. The next few questions focus on your experience crossing the border from ${pm_from_location} to ${pm_to_location}.</t>
  </si>
  <si>
    <t>133. Les prochaines questions portent sur votre expérience de passage de la frontière de ${pm_from_location} à ${pm_to_location}.</t>
  </si>
  <si>
    <t>133. Tambayoyi na gaba sun ta allaƙa ne bisa sininku kan ketare iyaka daga ${pm_from_location} zuwa ${pm_to_location}.</t>
  </si>
  <si>
    <t>pm_crossed_border_how</t>
  </si>
  <si>
    <t>135. How did you cross the border from ${pm_from_location} to ${pm_to_location}?</t>
  </si>
  <si>
    <t>135. Comment avez-vous traversé la frontière entre ${pm_from_location} et ${pm_to_location} ?</t>
  </si>
  <si>
    <t>135. Yaya kuka ketare iyaka daga ${pm_from_location} zuwa ${pm_to_location}?</t>
  </si>
  <si>
    <t>134. How did you cross the border from ${pm_from_location} to ${pm_to_location}?</t>
  </si>
  <si>
    <t>134. Comment avez-vous traversé la frontière entre ${pm_from_location} et ${pm_to_location} ?</t>
  </si>
  <si>
    <t>134. Yaya kuka ketare iyaka daga ${pm_from_location} zuwa ${pm_to_location}?</t>
  </si>
  <si>
    <t>pm_crossed_border_how_o</t>
  </si>
  <si>
    <t>136. Other, specify:</t>
  </si>
  <si>
    <t>136. Autre précisez:</t>
  </si>
  <si>
    <t>benefits</t>
  </si>
  <si>
    <t>136. Wani daban, baiyana:</t>
  </si>
  <si>
    <t>Housing</t>
  </si>
  <si>
    <t>Logement</t>
  </si>
  <si>
    <t>135. Other, specify:</t>
  </si>
  <si>
    <t>135. Autre précisez:</t>
  </si>
  <si>
    <t>Gidaje</t>
  </si>
  <si>
    <t>135. Wani daban, baiyana:</t>
  </si>
  <si>
    <t>item-at(linebreak(), ${hoh_roster_above16_list}, 23)</t>
  </si>
  <si>
    <t>pm_border_number</t>
  </si>
  <si>
    <t>137. How many people crossed the border with you (in the same travel group) from ${pm_from_location} to ${pm_to_location}, if any?</t>
  </si>
  <si>
    <t>137. Combien de personnes ont traversé la frontière avec vous (dans le même groupe de voyage) du ${pm_from_location} à ${pm_to_location}, si c'est le cas?</t>
  </si>
  <si>
    <t>137. Mutane nawa ne suka ketare iyaka da ku (a cikin rukuni ɗaya) daga ${pm_from_location} zuwa ${pm_to_location}, idan akwai?</t>
  </si>
  <si>
    <t>136. How many people crossed the border with you (in the same travel group) from ${pm_from_location} to ${pm_to_location}, if any?</t>
  </si>
  <si>
    <t>136. Combien de personnes ont traversé la frontière avec vous (dans le même groupe de voyage) du ${pm_from_location} à ${pm_to_location}, si c'est le cas?</t>
  </si>
  <si>
    <t>136. Mutane nawa ne suka ketare iyaka da ku (a cikin rukuni ɗaya) daga ${pm_from_location} zuwa ${pm_to_location}, idan akwai?</t>
  </si>
  <si>
    <t>pm_checkpoint</t>
  </si>
  <si>
    <t>138. Was there an official checkpoint or building where you crossed the border from ${pm_from_location} to ${pm_to_location}?</t>
  </si>
  <si>
    <t>138. Y avait-il un point de contrôle ou un bâtiment officiel à l'endroit où vous avez traversé la frontière entre ${pm_from_location} et ${pm_to_location} ?</t>
  </si>
  <si>
    <t>138. Ko akwai wurin bincike ko wata ma'aikata na gwamnati a inda kuka ketara iyaka daga ${pm_from_location} zuwa ${pm_to_location}?</t>
  </si>
  <si>
    <t>137. Was there an official checkpoint or building where you crossed the border from ${pm_from_location} to ${pm_to_location}?</t>
  </si>
  <si>
    <t>137. Y avait-il un point de contrôle ou un bâtiment officiel à l'endroit où vous avez traversé la frontière entre ${pm_from_location} et ${pm_to_location} ?</t>
  </si>
  <si>
    <t>item-at(linebreak(), ${hoh_roster_above16_list}, 24)</t>
  </si>
  <si>
    <t>Food</t>
  </si>
  <si>
    <t>137. Ko akwai wurin bincike ko wata ma'aikata na gwamnati a inda kuka ketara iyaka daga ${pm_from_location} zuwa ${pm_to_location}?</t>
  </si>
  <si>
    <t>Nourriture</t>
  </si>
  <si>
    <t>Abinci</t>
  </si>
  <si>
    <t>pm_encounter_border</t>
  </si>
  <si>
    <t>139. Did you/your vehicle encounter border police or migration officials at the border from ${pm_from_location} to ${pm_to_location}?</t>
  </si>
  <si>
    <t>139. Avez-vous/votre véhicule a-t-il rencontré la police des frontières ou des agents de l'immigration à la frontière entre ${pm_from_location} et ${pm_to_location} ?</t>
  </si>
  <si>
    <t>139. Ko kun haɗu ƴan sandan iyaka ko jami'an imagreshin a kan iyaka daga ${pm_from_location} zuwa ${pm_to_location}?</t>
  </si>
  <si>
    <t>138. Did you/your vehicle encounter border police or migration officials at the border from ${pm_from_location} to ${pm_to_location}?</t>
  </si>
  <si>
    <t>138. Avez-vous/votre véhicule a-t-il rencontré la police des frontières ou des agents de l'immigration à la frontière entre ${pm_from_location} et ${pm_to_location} ?</t>
  </si>
  <si>
    <t>138. Ko kun haɗu ƴan sandan iyaka ko jami'an imagreshin a kan iyaka daga ${pm_from_location} zuwa ${pm_to_location}?</t>
  </si>
  <si>
    <t>Phone Credit</t>
  </si>
  <si>
    <t>Crédit téléphonique</t>
  </si>
  <si>
    <t>Kuɗin kira/Kiredi</t>
  </si>
  <si>
    <t>pm_show_docs_border</t>
  </si>
  <si>
    <t>140. Were you asked to show any documents when you crossed the border from ${pm_from_location} to ${pm_to_location}?</t>
  </si>
  <si>
    <t>140. Vous a-t-on demandé de montrer des documents lorsque vous avez traversé la frontière de ${pm_from_location} à ${pm_to_location} ?</t>
  </si>
  <si>
    <t>140. Ko an tambayeku ku nuna wasu takardu lokacin da kuka ketare iyaka daga ${pm_from_location} zuwa ${pm_to_location}?</t>
  </si>
  <si>
    <t>139. Were you asked to show any documents when you crossed the border from ${pm_from_location} to ${pm_to_location}?</t>
  </si>
  <si>
    <t>139. Vous a-t-on demandé de montrer des documents lorsque vous avez traversé la frontière de ${pm_from_location} à ${pm_to_location} ?</t>
  </si>
  <si>
    <t>139. Ko an tambayeku ku nuna wasu takardu lokacin da kuka ketare iyaka daga ${pm_from_location} zuwa ${pm_to_location}?</t>
  </si>
  <si>
    <t>item-at(linebreak(), ${hoh_roster_above16_list}, 25)</t>
  </si>
  <si>
    <t>select_multiple docs</t>
  </si>
  <si>
    <t>pm_docs_border</t>
  </si>
  <si>
    <t>141. Which documents were you asked to show when you crossed the border from ${pm_from_location} to ${pm_to_location}?</t>
  </si>
  <si>
    <t>141. Quels documents vous a-t-on demandé de présenter lorsque vous avez traversé la frontière entre ${pm_from_location} et ${pm_to_location} ?</t>
  </si>
  <si>
    <t>141. Waɗanne takardu aka tambayeku nunawa lokacin da kuka ketare iyaka daga ${pm_from_location} zuwa ${pm_to_location}?</t>
  </si>
  <si>
    <t>140. Which documents were you asked to show when you crossed the border from ${pm_from_location} to ${pm_to_location}?</t>
  </si>
  <si>
    <t>140. Quels documents vous a-t-on demandé de présenter lorsque vous avez traversé la frontière entre ${pm_from_location} et ${pm_to_location} ?</t>
  </si>
  <si>
    <t>140. Waɗanne takardu aka tambayeku nunawa lokacin da kuka ketare iyaka daga ${pm_from_location} zuwa ${pm_to_location}?</t>
  </si>
  <si>
    <t>pm_docs_border_o</t>
  </si>
  <si>
    <t>142. Specify other</t>
  </si>
  <si>
    <t>142. Autre à préciser</t>
  </si>
  <si>
    <t>142. Wani daban a baiyana</t>
  </si>
  <si>
    <t>141. Specify other</t>
  </si>
  <si>
    <t>141. Autre à préciser</t>
  </si>
  <si>
    <t>141. Wani daban a baiyana</t>
  </si>
  <si>
    <t>pm_pay_border_amt</t>
  </si>
  <si>
    <t>143. How much money, if any were you asked to pay to cross the border (in CFA) from ${pm_from_location} to ${pm_to_location}?</t>
  </si>
  <si>
    <t>143. Combien d'argent, si c'est arrivé, vous a-t-on demandé de payer pour traverser la frontière (en CFA) de ${pm_from_location} à ${pm_to_location} ?</t>
  </si>
  <si>
    <t>item-at(linebreak(), ${hoh_roster_above16_list}, 26)</t>
  </si>
  <si>
    <t>143. Nawa ne kuɗin da kuka bada, idan an nemi ku biya don ketare iyaka (a cikin kuɗin CFA) daga ${pm_from_location} zuwa ${pm_to_location}?</t>
  </si>
  <si>
    <t>142. How much money, if any were you asked to pay to cross the border (in CFA) from ${pm_from_location} to ${pm_to_location}?</t>
  </si>
  <si>
    <t>142. Combien d'argent, si c'est arrivé, vous a-t-on demandé de payer pour traverser la frontière (en CFA) de ${pm_from_location} à ${pm_to_location} ?</t>
  </si>
  <si>
    <t>142. Nawa ne kuɗin da kuka bada, idan an nemi ku biya don ketare iyaka (a cikin kuɗin CFA) daga ${pm_from_location} zuwa ${pm_to_location}?</t>
  </si>
  <si>
    <t>pm_smuggler_cost</t>
  </si>
  <si>
    <t>144. Separately, how much money, if any, did you pay someone who helped you cross the border from ${pm_from_location} to ${pm_to_location}?</t>
  </si>
  <si>
    <t>144. combien d'argent, si c'est arrivé, avez-vous aussi payé à quelqu'un qui vous a aidé à traverser la frontière de ${pm_from_location} à ${pm_to_location} ?</t>
  </si>
  <si>
    <t>144. Nawa, idan akwai, kuka biya wanda ya taimaka muku ketare iyaka daga ${pm_from_location} zuwa ${pm_to_location}?</t>
  </si>
  <si>
    <t>143. Separately, how much money, if any, did you pay someone who helped you cross the border from ${pm_from_location} to ${pm_to_location}?</t>
  </si>
  <si>
    <t>item-at(linebreak(), ${hoh_roster_above16_list}, 27)</t>
  </si>
  <si>
    <t>143. combien d'argent, si c'est arrivé, avez-vous aussi payé à quelqu'un qui vous a aidé à traverser la frontière de ${pm_from_location} à ${pm_to_location} ?</t>
  </si>
  <si>
    <t>143. Nawa, idan akwai, kuka biya wanda ya taimaka muku ketare iyaka daga ${pm_from_location} zuwa ${pm_to_location}?</t>
  </si>
  <si>
    <t>pm_pay_transport</t>
  </si>
  <si>
    <t>145. How much did you pay for transportation (seat in vehicle + luggage) from ${pm_from_location} to ${pm_to_location}?</t>
  </si>
  <si>
    <t>145. Combien avez-vous payé pour le transport (siège dans le véhicule + bagages) de ${pm_from_location} à ${pm_to_location} ?</t>
  </si>
  <si>
    <t>145. Nawa kuka biya kuɗin mota (kai da kayanka) daga ${pm_from_location} zuwa ${pm_to_location}?</t>
  </si>
  <si>
    <t>experience</t>
  </si>
  <si>
    <t>144. How much did you pay for transportation (seat in vehicle + luggage) from ${pm_from_location} to ${pm_to_location}?</t>
  </si>
  <si>
    <t>144. Combien avez-vous payé pour le transport (siège dans le véhicule + bagages) de ${pm_from_location} à ${pm_to_location} ?</t>
  </si>
  <si>
    <t>No did not experience</t>
  </si>
  <si>
    <t>144. Nawa kuka biya kuɗin mota (kai da kayanka) daga ${pm_from_location} zuwa ${pm_to_location}?</t>
  </si>
  <si>
    <t>Non je n'ai pas fait l'expérience</t>
  </si>
  <si>
    <t>A'a ban taɓa godawa ba</t>
  </si>
  <si>
    <t>pm_pay_fees</t>
  </si>
  <si>
    <t>146. How much did you pay in fees at checkpoints/roadblocks during this trip from ${pm_from_location} to ${pm_to_location}?</t>
  </si>
  <si>
    <t>146. Combien avez-vous payé comme frais aux points de contrôle des barrages routiers pendant ce voyage de ${pm_from_location} à ${pm_to_location} ?</t>
  </si>
  <si>
    <t>146. Nawa kuka biya kuɗin bincika kayan hanya yayin wannan tafiya daga ${pm_from_location} zuwa ${pm_to_location}?</t>
  </si>
  <si>
    <t>145. How much did you pay in fees at checkpoints/roadblocks during this trip from ${pm_from_location} to ${pm_to_location}?</t>
  </si>
  <si>
    <t>145. Combien avez-vous payé comme frais aux points de contrôle des barrages routiers pendant ce voyage de ${pm_from_location} à ${pm_to_location} ?</t>
  </si>
  <si>
    <t>145. Nawa kuka biya kuɗin bincika kayan hanya yayin wannan tafiya daga ${pm_from_location} zuwa ${pm_to_location}?</t>
  </si>
  <si>
    <t>274. What was the value of the loan you took (in CFA)?</t>
  </si>
  <si>
    <t>274. Quelle était la valeur du prêt que vous avez contracté ?</t>
  </si>
  <si>
    <t>274. Nawa ne kuɗin rancen da kuka ɗauko?</t>
  </si>
  <si>
    <t>if(empty(${hoh_roster_above16_list}), 0, count-items(linebreak(), ${hoh_roster_above16_list}))</t>
  </si>
  <si>
    <t>pm_travel_vict</t>
  </si>
  <si>
    <t>Threatened</t>
  </si>
  <si>
    <t>Menacé</t>
  </si>
  <si>
    <t>Barazana</t>
  </si>
  <si>
    <t>275. What was the value of the savings you spent (in CFA)?</t>
  </si>
  <si>
    <t>275. Quelle était la valeur de l'epargne que vous avez utilisé ?</t>
  </si>
  <si>
    <t>275. Nawa kuɗin ajiyar da kuka kashe?</t>
  </si>
  <si>
    <t>pm_travel_note</t>
  </si>
  <si>
    <t>147. Did you experience any of the following during your travel from ${pm_from_location} to ${pm_to_location}?</t>
  </si>
  <si>
    <t>147. Avez-vous vécu l'une des situations suivantes lors de votre voyage de ${pm_from_location} à ${pm_to_location} ?</t>
  </si>
  <si>
    <t>147. Ko kun fuskanci ɗayan waɗannan abubuwan yayin tafiyarku daga ${pm_from_location} zuwa ${pm_to_location}?</t>
  </si>
  <si>
    <t>146. Did you experience any of the following during your travel from ${pm_from_location} to ${pm_to_location}?</t>
  </si>
  <si>
    <t>146. Avez-vous vécu l'une des situations suivantes lors de votre voyage de ${pm_from_location} à ${pm_to_location} ?</t>
  </si>
  <si>
    <t>146. Ko kun fuskanci ɗayan waɗannan abubuwan yayin tafiyarku daga ${pm_from_location} zuwa ${pm_to_location}?</t>
  </si>
  <si>
    <t>pm_travel_phys_attacked</t>
  </si>
  <si>
    <t>148. Physical attack</t>
  </si>
  <si>
    <t>148. Attaque physique</t>
  </si>
  <si>
    <t>Experienced</t>
  </si>
  <si>
    <t>148. Harin jiki</t>
  </si>
  <si>
    <t>Vécu</t>
  </si>
  <si>
    <t>Kwarewa</t>
  </si>
  <si>
    <t>147. Physical attack</t>
  </si>
  <si>
    <t>147. Attaque physique</t>
  </si>
  <si>
    <t>147. Harin jiki</t>
  </si>
  <si>
    <t>pm_travel_phys_threat</t>
  </si>
  <si>
    <t>149. Threat of physical violence/attack</t>
  </si>
  <si>
    <t>149. Menace de violence physique/agression</t>
  </si>
  <si>
    <t>149. Barazanar ​​harin jiki</t>
  </si>
  <si>
    <t>148. Threat of physical violence/attack</t>
  </si>
  <si>
    <t>148. Menace de violence physique/agression</t>
  </si>
  <si>
    <t>148. Barazanar ​​harin jiki</t>
  </si>
  <si>
    <t>pm_travel_theft</t>
  </si>
  <si>
    <t>150. Theft of either money or property?</t>
  </si>
  <si>
    <t>150. Vol d'argent ou de biens ?</t>
  </si>
  <si>
    <t>150. Satar kuɗi ko kaya?</t>
  </si>
  <si>
    <t>149. Theft of either money or property?</t>
  </si>
  <si>
    <t>149. Vol d'argent ou de biens ?</t>
  </si>
  <si>
    <t>149. Satar kuɗi ko kaya?</t>
  </si>
  <si>
    <t>locations</t>
  </si>
  <si>
    <t>pm_travel_arrest</t>
  </si>
  <si>
    <t>151. Detention or arrest by state security forces?</t>
  </si>
  <si>
    <t>151. Détention ou arrestation par les forces de sécurité de l'État ?</t>
  </si>
  <si>
    <t>151. Kaso ko kamu daga jami'an tsaron gwamnati?</t>
  </si>
  <si>
    <t>${pm_location1}</t>
  </si>
  <si>
    <t>150. Detention or arrest by state security forces?</t>
  </si>
  <si>
    <t>150. Détention ou arrestation par les forces de sécurité de l'État ?</t>
  </si>
  <si>
    <t>150. Kaso ko kamu daga jami'an tsaron gwamnati?</t>
  </si>
  <si>
    <t>315. Have you discussed with your household how your household responsibilities would be managed during your migration?</t>
  </si>
  <si>
    <t>315. Avez-vous discuté avec votre ménage de la manière dont vos responsabilités familiales seraient gérées pendant votre migration ?</t>
  </si>
  <si>
    <t>315. Ko kun tattauna da ƴan gidanku yadda za a gudanar da ayyukanku na gida a lokacin da baka gida ?</t>
  </si>
  <si>
    <t>pm_travel_vict_text</t>
  </si>
  <si>
    <t>${pm_potential_child_num} &gt; 0</t>
  </si>
  <si>
    <t>316. Have you or your immediate family gathered resources in order to prepare for migration? This could include saving money, selling assets, or taking a loan.</t>
  </si>
  <si>
    <t>316. Est-ce que vous ou votre famille proche avez rassemblé des ressources pour vous préparer à la migration ? Il peut s'agir d'économiser de l'argent, de vendre des actifs ou de contracter un prêt.</t>
  </si>
  <si>
    <t>316. Ko kai ko ƴan gidanku kun yi tanadin guzuri don shirin zuwa biɗa? Wannan na iya haɗawa da ajiyar kuɗi, sayar da kadarori, ko ɗaukar lamuni.</t>
  </si>
  <si>
    <t>pm_travel_vict_text_note</t>
  </si>
  <si>
    <t>152. Now I would like to ask you to tell me more about your specific experience with:</t>
  </si>
  <si>
    <t>152. J'aimerais maintenant vous demander de m'en dire un peu plus sur votre expérience spécifique avec :</t>
  </si>
  <si>
    <t>152. Yanzu ina so in tambaye ku ƙarin bayani game da takamaiman gogewarku na masamman game da:</t>
  </si>
  <si>
    <t>${pm_location2}</t>
  </si>
  <si>
    <t>151. Now I would like to ask you to tell me more about your specific experience with:</t>
  </si>
  <si>
    <t>151. J'aimerais maintenant vous demander de m'en dire un peu plus sur votre expérience spécifique avec :</t>
  </si>
  <si>
    <t>151. Yanzu ina so in tambaye ku ƙarin bayani game da takamaiman gogewarku na masamman game da:</t>
  </si>
  <si>
    <t>pm_travel_phys_attacked_note</t>
  </si>
  <si>
    <t>153. Physical attack</t>
  </si>
  <si>
    <t>153. Attaque physique</t>
  </si>
  <si>
    <t>153. Harin jiki</t>
  </si>
  <si>
    <t>152. Physical attack</t>
  </si>
  <si>
    <t>Select "Other, child not in list" if you do not have children</t>
  </si>
  <si>
    <t>152. Attaque physique</t>
  </si>
  <si>
    <t>152. Harin jiki</t>
  </si>
  <si>
    <t>Sélectionnez "Autre membre, enfant hors liste" si vous n'avez pas d'enfants</t>
  </si>
  <si>
    <t>Zaɓi "Wani memba, yaro ba a cikin lissafin ba" idan ba ku da yara</t>
  </si>
  <si>
    <t>pm_travel_phys_threat_note</t>
  </si>
  <si>
    <t>154. Threat of physical violence/attack</t>
  </si>
  <si>
    <t>${pm_location3}</t>
  </si>
  <si>
    <t>154. Menace de violence physique/agression</t>
  </si>
  <si>
    <t>${pm_children} = 1</t>
  </si>
  <si>
    <t>154. Barazanar ​​harin jiki</t>
  </si>
  <si>
    <t xml:space="preserve">filter &lt;= ${pm_potential_child_num} </t>
  </si>
  <si>
    <t>153. Threat of physical violence/attack</t>
  </si>
  <si>
    <t>153. Menace de violence physique/agression</t>
  </si>
  <si>
    <t>153. Barazanar ​​harin jiki</t>
  </si>
  <si>
    <t>pm_travel_theft_note</t>
  </si>
  <si>
    <t>155. Theft of either money or property?</t>
  </si>
  <si>
    <t>155. Vol d'argent ou de biens ?</t>
  </si>
  <si>
    <t>155. Satar kuɗi ko dukiya?</t>
  </si>
  <si>
    <t>${pm_location4}</t>
  </si>
  <si>
    <t>154. Theft of either money or property?</t>
  </si>
  <si>
    <t>154. Vol d'argent ou de biens ?</t>
  </si>
  <si>
    <t>154. Satar kuɗi ko dukiya?</t>
  </si>
  <si>
    <t>pm_travel_arrest_note</t>
  </si>
  <si>
    <t>156. Detention or arrest by state security forces?</t>
  </si>
  <si>
    <t>156. Détention ou arrestation par les forces de sécurité de l'État ?</t>
  </si>
  <si>
    <t>156. Kaso ko kamu daga jami'an tsaron gwamnati?</t>
  </si>
  <si>
    <t>${pm_location5}</t>
  </si>
  <si>
    <t>selected(${pm_family_rel_child}, '-777')</t>
  </si>
  <si>
    <t>155. Detention or arrest by state security forces?</t>
  </si>
  <si>
    <t>155. Détention ou arrestation par les forces de sécurité de l'État ?</t>
  </si>
  <si>
    <t>155. Kaso ko kamu daga jami'an tsaron gwamnati?</t>
  </si>
  <si>
    <t>${pm_location6}</t>
  </si>
  <si>
    <t>284. Other, specify:</t>
  </si>
  <si>
    <t>284. Autre précisez:</t>
  </si>
  <si>
    <t>284. Sauran, bayar da cikakkun bayanai:</t>
  </si>
  <si>
    <t>${pm_num_child_not_in_list}</t>
  </si>
  <si>
    <t>285. Now I want to ask you about the past week (7 days)</t>
  </si>
  <si>
    <t>285. Maintenant, je veux vous poser des questions sur la semaine dernière (7 jours)</t>
  </si>
  <si>
    <t>285. Yanzu ina so in muku tambayoyi kan makon da ya gabata (kwana 7)</t>
  </si>
  <si>
    <t>speedcheck_pm_transit_end</t>
  </si>
  <si>
    <t>286. In the past 7 days have you cut the size of meals or skipped meals?</t>
  </si>
  <si>
    <t>286. Au cours des 7 derniers jours, avez-vous réduit la taille des repas ou sauté des repas ?</t>
  </si>
  <si>
    <t>286. A cikin kwanaki 7 da suka gabata kun rage yawan abincin da kuka saba ci ko kun tsallake shi gabaɗaya?</t>
  </si>
  <si>
    <t>dur_pm_transit</t>
  </si>
  <si>
    <t>${pm_location7}</t>
  </si>
  <si>
    <t>287. How many days?</t>
  </si>
  <si>
    <t>287. Combien de jours ?</t>
  </si>
  <si>
    <t>287. Kwana nawa?</t>
  </si>
  <si>
    <t>speedcheck_pm_locact_start</t>
  </si>
  <si>
    <t>288. In the past week how many days did you consume animal protein (fish, meat, poultry)?</t>
  </si>
  <si>
    <t>288. Au cours de la semaine écoulée, combien de fois avez-vous consommé des protéines animales (poisson, viande, volaille) ?</t>
  </si>
  <si>
    <t>288. A cikin makon da ya gabata sau nawa kuka ci abinci masu gina jiki kamar (kifi, nama, kaji)?</t>
  </si>
  <si>
    <t>Enumerator: Please be sure that the member they are reporting was not in the previous list</t>
  </si>
  <si>
    <t>pm_missed_locs_lab</t>
  </si>
  <si>
    <t>289. How many hours of sleep per night did you get on average in the last seven days?</t>
  </si>
  <si>
    <t>289. Combien d'heures de sommeil par nuit avez-vous dormi en moyenne au cours des sept derniers jours ?</t>
  </si>
  <si>
    <t>289. Sa'o'i nawa kuka yi barci a kowane dare a taƙaice cikin kwanaki bakwai da suka wuce?</t>
  </si>
  <si>
    <t>pm_missed_locs_lab_fr</t>
  </si>
  <si>
    <t>NEED TO TRANSLATE</t>
  </si>
  <si>
    <t>327. If you want to travel to Nigeria to find work, how long can you work there without getting a formal work authorization (in months)?</t>
  </si>
  <si>
    <t>327. Si vous souhaitez vous rendre au Nigeria pour trouver du travail, combien de temps pouvez-vous y travailler sans obtenir une autorisation de travail formelle (en mois) ?</t>
  </si>
  <si>
    <t>327. Idan kuna son tafiya Najeriya don neman aiki, tsawon wane lokaci za ku iya yin aiki a can ba tare da samun izinin aiki na yau da kullun ba (a cikin watanni)?</t>
  </si>
  <si>
    <t>pm_missed_locs_lab_ha</t>
  </si>
  <si>
    <t>290. In the past week, how often did you experience the following feelings?</t>
  </si>
  <si>
    <t>290. Au cours de la semaine dernière, à quelle fréquence avez-vous ressenti les sentiments suivants ?</t>
  </si>
  <si>
    <t>290. A cikin satin da ya wuce, sau nawa kuka ji irin waɗannan abubuwan a ranku?</t>
  </si>
  <si>
    <t>pm_location_note</t>
  </si>
  <si>
    <t>157. I am now going to ask you some questions about your experience in each location during ${period}. ${pm_missed_locs_lab}</t>
  </si>
  <si>
    <t>157. Je vais maintenant vous poser quelques questions sur votre expérience dans chaque lieu entre ${period_french}. Veuillez énumérer les emplacements du plus récent au moins récent. ${pm_missed_locs_lab_fr}</t>
  </si>
  <si>
    <t>157. Yanzu zan yi muku wasu tambayoyi bisa saninku na kowane wuri yayin ${period_hausa}. 
Da fatan za a jera wuraren daga mafi ƙaranci zuwa na baya-bayan nan. ${pm_missed_locs_lab_ha}</t>
  </si>
  <si>
    <t>156. I am now going to ask you some questions about your experience in each location during ${period}. ${pm_missed_locs_lab}</t>
  </si>
  <si>
    <t>156. Je vais maintenant vous poser quelques questions sur votre expérience dans chaque lieu entre ${period_french}. Veuillez énumérer les emplacements du plus récent au moins récent. ${pm_missed_locs_lab_fr}</t>
  </si>
  <si>
    <t>156. Yanzu zan yi muku wasu tambayoyi bisa saninku na kowane wuri yayin ${period_hausa}. 
Da fatan za a jera wuraren daga mafi ƙaranci zuwa na baya-bayan nan. ${pm_missed_locs_lab_ha}</t>
  </si>
  <si>
    <t>health</t>
  </si>
  <si>
    <t>pm_locations_activity</t>
  </si>
  <si>
    <t>Emplacements</t>
  </si>
  <si>
    <t>Wurare</t>
  </si>
  <si>
    <t>Very poor</t>
  </si>
  <si>
    <t>Très faible</t>
  </si>
  <si>
    <t>Babu kyau</t>
  </si>
  <si>
    <t>292. Happiness</t>
  </si>
  <si>
    <t>292. Bonheur</t>
  </si>
  <si>
    <t>292. Farin ciki</t>
  </si>
  <si>
    <t>pm_location_act_index</t>
  </si>
  <si>
    <t>293. Stress</t>
  </si>
  <si>
    <t>293. Babbar Damuwa</t>
  </si>
  <si>
    <t>pm_location_name</t>
  </si>
  <si>
    <t>Poor</t>
  </si>
  <si>
    <t>Faible</t>
  </si>
  <si>
    <t>294. Worry</t>
  </si>
  <si>
    <t>Babu kyau sosai</t>
  </si>
  <si>
    <t>294. Inquiétude</t>
  </si>
  <si>
    <t>294. Damuwa</t>
  </si>
  <si>
    <t>pm_location_is_home</t>
  </si>
  <si>
    <t>295. Anger</t>
  </si>
  <si>
    <t>295. Colère</t>
  </si>
  <si>
    <t>295. Fushi</t>
  </si>
  <si>
    <t>pm_location_act_index_add1</t>
  </si>
  <si>
    <t>296. Physical pain</t>
  </si>
  <si>
    <t>296. Douleur physique</t>
  </si>
  <si>
    <t>Neither good nor poor</t>
  </si>
  <si>
    <t>296. ciwon jiki</t>
  </si>
  <si>
    <t>Ni bonne ni faible</t>
  </si>
  <si>
    <t>pm_locations_new_count</t>
  </si>
  <si>
    <t>Ba mai kyau ba kuma ba maras kyau ba</t>
  </si>
  <si>
    <t>297. Loneliness</t>
  </si>
  <si>
    <t>297. Solitude</t>
  </si>
  <si>
    <t>297. kadaici</t>
  </si>
  <si>
    <t>pm_location_period_lab</t>
  </si>
  <si>
    <t>Select "Other, spouse not in list" if you do not have a spouse</t>
  </si>
  <si>
    <t>329. Now I am going to ask you about the areas of your life that worry you.</t>
  </si>
  <si>
    <t>Sélectionnez "Autre membre, conjoint non inscrit sur la liste" si vous n'avez pas de conjoint</t>
  </si>
  <si>
    <t>329. Je voudrais maintenant vous poser des questions sur les choses qui vous inquiètent dans votre vie.</t>
  </si>
  <si>
    <t>Zaɓi "Wani memba, matar aure ba a cikin lissafi" idan ba ku da mata</t>
  </si>
  <si>
    <t>329. Yanzu ina son in tambaye ku bisa abubuwan da ke damun ku a cikin rayuwar ku.</t>
  </si>
  <si>
    <t>pm_location_period_lab_fr</t>
  </si>
  <si>
    <t>Good</t>
  </si>
  <si>
    <t>${pm_married} = 1</t>
  </si>
  <si>
    <t>Bonne</t>
  </si>
  <si>
    <t>Da kyau</t>
  </si>
  <si>
    <t xml:space="preserve">filter &lt;= ${pm_potential_spouse_num} </t>
  </si>
  <si>
    <t>330. How stressed are you about the following areas of your life?</t>
  </si>
  <si>
    <t>330. Dans quelle mesure êtes-vous stressé par les domaines suivants de votre vie ?</t>
  </si>
  <si>
    <t>330. Yaya damuwarku game da abubuwa na rayuwarku da zan zana?</t>
  </si>
  <si>
    <t>pm_location_period_lab_ha</t>
  </si>
  <si>
    <t>298. I will now read out several statements. You should tell me whether these statements are true for you by using the following scale.</t>
  </si>
  <si>
    <t>298. Je vais maintenant lire plusieurs déclarations. Vous devez me dire si ces affirmations sont vraies pour vous en utilisant l'échelle suivante.</t>
  </si>
  <si>
    <t>298. Yanzu zan karanta wasu maganganu da yawa. Za ku gaya mini ko waɗannan maganganun sun yi daidai da ku ta hanyar yin amfani da kuranga mai zuwa.</t>
  </si>
  <si>
    <t>pm_location_weeks</t>
  </si>
  <si>
    <t>158. How many weeks did you spend in ${pm_location_name}, ${pm_location_period_lab}?</t>
  </si>
  <si>
    <t>Very good</t>
  </si>
  <si>
    <t>158. Combien de semaines avez-vous passées à ${pm_location_name}, ${pm_location_period_lab_fr} ?</t>
  </si>
  <si>
    <t>selected(${pm_family_rel_spouse}, '-777')</t>
  </si>
  <si>
    <t>Très bonne</t>
  </si>
  <si>
    <t>158. Sati nawa ne kuka zauna a ${pm_location_name}, ${pm_location_period_lab_ha}?</t>
  </si>
  <si>
    <t>Da kyau sosai</t>
  </si>
  <si>
    <t>157. How many weeks did you spend in ${pm_location_name}, ${pm_location_period_lab}?</t>
  </si>
  <si>
    <t>157. Combien de semaines avez-vous passées à ${pm_location_name}, ${pm_location_period_lab_fr} ?</t>
  </si>
  <si>
    <t>157. Sati nawa ne kuka zauna a ${pm_location_name}, ${pm_location_period_lab_ha}?</t>
  </si>
  <si>
    <t>pm_seek_work</t>
  </si>
  <si>
    <t>159. Did you look for paid work in ${pm_location_name}?</t>
  </si>
  <si>
    <t>159. Avez-vous cherché un travail rémunéré à ${pm_location_name} ?</t>
  </si>
  <si>
    <t>159. Ko kun nemi aikin biya a ${pm_location_name}?</t>
  </si>
  <si>
    <t>158. Did you look for paid work in ${pm_location_name}?</t>
  </si>
  <si>
    <t>158. Avez-vous cherché un travail rémunéré à ${pm_location_name} ?</t>
  </si>
  <si>
    <t>158. Ko kun nemi aikin biya a ${pm_location_name}?</t>
  </si>
  <si>
    <t>pm_any_work</t>
  </si>
  <si>
    <t>${pm_num_spouse_not_in_list}</t>
  </si>
  <si>
    <t>160. Did you engage in any work in ${pm_location_name} irrespective of whether you were paid?</t>
  </si>
  <si>
    <t>160. Avez-vous effectué un travail à ${pm_location_name}, que vous ayez été payé ou non ?</t>
  </si>
  <si>
    <t>160. Ko kun yi wani aiki a ${pm_location_name} na biya ko ba na biya ba?</t>
  </si>
  <si>
    <t>159. Did you engage in any work in ${pm_location_name} irrespective of whether you were paid?</t>
  </si>
  <si>
    <t>159. Avez-vous effectué un travail à ${pm_location_name}, que vous ayez été payé ou non ?</t>
  </si>
  <si>
    <t>159. Ko kun yi wani aiki a ${pm_location_name} na biya ko ba na biya ba?</t>
  </si>
  <si>
    <t>select_one reason_nowork</t>
  </si>
  <si>
    <t>pm_reason_not_work</t>
  </si>
  <si>
    <t>161. What is the main reason you did not work in ${pm_location_name}?</t>
  </si>
  <si>
    <t>161. Quelle est la principale raison pour laquelle vous n'avez pas travaillé à ${pm_location_name} ?</t>
  </si>
  <si>
    <t>161. Menene babban dalilin da yasa baku yi aiki a ${pm_location_name} ba?</t>
  </si>
  <si>
    <t>agree_likert</t>
  </si>
  <si>
    <t>Strongly Disagree</t>
  </si>
  <si>
    <t>Pas du tout d'accord</t>
  </si>
  <si>
    <t>Ban yarda ba sam sam</t>
  </si>
  <si>
    <t>160. What is the main reason you did not work in ${pm_location_name}?</t>
  </si>
  <si>
    <t>160. Quelle est la principale raison pour laquelle vous n'avez pas travaillé à ${pm_location_name} ?</t>
  </si>
  <si>
    <t>160. Menene babban dalilin da yasa baku yi aiki a ${pm_location_name} ba?</t>
  </si>
  <si>
    <t>pm_reason_not_work_o</t>
  </si>
  <si>
    <t>162. Specify other:</t>
  </si>
  <si>
    <t>162. Autre à préciser:</t>
  </si>
  <si>
    <t>162. Wani daban a Baiyana:</t>
  </si>
  <si>
    <t>161. Specify other:</t>
  </si>
  <si>
    <t>161. Autre à préciser:</t>
  </si>
  <si>
    <t>161. Wani daban a Baiyana:</t>
  </si>
  <si>
    <t>pm_activity_desc_count</t>
  </si>
  <si>
    <t>163. How many jobs did you work in ${pm_location_name}, whether or not you received pay?</t>
  </si>
  <si>
    <t>163. Combien d'emplois avez-vous occupés sur ${pm_location_name}, que vous ayez été rémunéré ou non ?</t>
  </si>
  <si>
    <t>163. Ayyuka nawa kuka yi a wurin, ko na biya ko ba na biya ba?</t>
  </si>
  <si>
    <t>Disagree</t>
  </si>
  <si>
    <t>Pas D'accord</t>
  </si>
  <si>
    <t>Ban yarda ba</t>
  </si>
  <si>
    <t>162. How many jobs did you work in ${pm_location_name}, whether or not you received pay?</t>
  </si>
  <si>
    <t>162. Combien d'emplois avez-vous occupés sur ${pm_location_name}, que vous ayez été rémunéré ou non ?</t>
  </si>
  <si>
    <t>162. Ayyuka nawa kuka yi a wurin, ko na biya ko ba na biya ba?</t>
  </si>
  <si>
    <t>speedcheck_pm_acts_start</t>
  </si>
  <si>
    <t>338. Idleness of children or spouse</t>
  </si>
  <si>
    <t>338. L'oisiveté des enfants ou du conjoint</t>
  </si>
  <si>
    <t>338. Zaman banza na yara ko mata</t>
  </si>
  <si>
    <t>pm_activities</t>
  </si>
  <si>
    <t>Activities</t>
  </si>
  <si>
    <t>Activités</t>
  </si>
  <si>
    <t>Ayyuka</t>
  </si>
  <si>
    <t>339. Alcohol comsumption of children or spouse</t>
  </si>
  <si>
    <t>339. Consommation d'alcool des enfants ou du conjoint</t>
  </si>
  <si>
    <t>339. Shan giya na yara ko mata</t>
  </si>
  <si>
    <t>Neither agree nor disagree</t>
  </si>
  <si>
    <t>pm_activity_index</t>
  </si>
  <si>
    <t>Ni d'accord ni en désaccord</t>
  </si>
  <si>
    <t>Babu yarda ko rashin yarda</t>
  </si>
  <si>
    <t>. &gt; 13</t>
  </si>
  <si>
    <t>302. I will now ask a few more questions about identity and health documents many people living here have.</t>
  </si>
  <si>
    <t>302. Je vais maintenant poser quelques questions supplémentaires sur les documents d'identité et de santé que possèdent de nombreuses personnes vivant ici.</t>
  </si>
  <si>
    <t>302. Yanzu zan muku yi ƙarin tambayoyi game da takardun ɗan kasa da kiwon lafiya da yawan mutane wanda ke zaune a nan suke da su.</t>
  </si>
  <si>
    <t>select_one activities</t>
  </si>
  <si>
    <t>pm_activity</t>
  </si>
  <si>
    <t>164. Please describe job ${pm_activity_index}.
 Enumerator, code the sector of job ${pm_activity_index}</t>
  </si>
  <si>
    <t>164. Veuillez décrire le travail ${pm_activity_index}.
 enquêteur, coder le secteur de l'emploi</t>
  </si>
  <si>
    <t>164. Da fatan za a baiyana aikin ${pm_activity_index}.
 Ɗan bincike, sanya lamba a sashin aikin</t>
  </si>
  <si>
    <t>163. Please describe job ${pm_activity_index}.
 Enumerator, code the sector of job ${pm_activity_index}</t>
  </si>
  <si>
    <t>163. Veuillez décrire le travail ${pm_activity_index}.
 enquêteur, coder le secteur de l'emploi</t>
  </si>
  <si>
    <t>163. Da fatan za a baiyana aikin ${pm_activity_index}.
 Ɗan bincike, sanya lamba a sashin aikin</t>
  </si>
  <si>
    <t>Agree</t>
  </si>
  <si>
    <t>pm_activity_o</t>
  </si>
  <si>
    <t>D'accord</t>
  </si>
  <si>
    <t>165. Other, specify:</t>
  </si>
  <si>
    <t>165. Autre précisez:</t>
  </si>
  <si>
    <t>Na yarda</t>
  </si>
  <si>
    <t>165. Wani daban a baiyana:</t>
  </si>
  <si>
    <t>164. Other, specify:</t>
  </si>
  <si>
    <t>164. Autre précisez:</t>
  </si>
  <si>
    <t>164. Wani daban a baiyana:</t>
  </si>
  <si>
    <t>pm_activity_name</t>
  </si>
  <si>
    <t>pm_activity_paid</t>
  </si>
  <si>
    <t>166. Did you receive payment for working in ${pm_activity_name}?</t>
  </si>
  <si>
    <t>166. Avez-vous reçu un paiement pour le travail effectué à ${pm_activity_name} ?</t>
  </si>
  <si>
    <t>166. An biya ku don aikin da kuka yi a ${pm_activity_name}?</t>
  </si>
  <si>
    <t>Strongly Agree</t>
  </si>
  <si>
    <t>Totalement d'accord</t>
  </si>
  <si>
    <t>165. Did you receive payment for working in ${pm_activity_name}?</t>
  </si>
  <si>
    <t>165. Avez-vous reçu un paiement pour le travail effectué à ${pm_activity_name} ?</t>
  </si>
  <si>
    <t>Na yarda sosai</t>
  </si>
  <si>
    <t>165. An biya ku don aikin da kuka yi a ${pm_activity_name}?</t>
  </si>
  <si>
    <t>select_one nopay</t>
  </si>
  <si>
    <t>pm_activity_notpaid</t>
  </si>
  <si>
    <t>167. What is the main reason you were not paid for your work in ${pm_activity_name}?</t>
  </si>
  <si>
    <t>167. Quelle est la principale raison pour laquelle vous n'avez pas été payé pour votre travail à ${pm_activity_name} ?</t>
  </si>
  <si>
    <t>167. Menene babban dalilin da ya sa ba a biya ku kuɗin aikinku ba a ${pm_activity_name}?</t>
  </si>
  <si>
    <t>166. What is the main reason you were not paid for your work in ${pm_activity_name}?</t>
  </si>
  <si>
    <t>166. Quelle est la principale raison pour laquelle vous n'avez pas été payé pour votre travail à ${pm_activity_name} ?</t>
  </si>
  <si>
    <t>166. Menene babban dalilin da ya sa ba a biya ku kuɗin aikinku ba a ${pm_activity_name}?</t>
  </si>
  <si>
    <t>pm_activity_notpaid_o</t>
  </si>
  <si>
    <t>168. Specify other:</t>
  </si>
  <si>
    <t>168. Autre à Préciser :</t>
  </si>
  <si>
    <t>168. Wani daban a bayyana:</t>
  </si>
  <si>
    <t>167. Specify other:</t>
  </si>
  <si>
    <t>167. Autre à Préciser :</t>
  </si>
  <si>
    <t>167. Wani daban a bayyana:</t>
  </si>
  <si>
    <t>speedcheck_pm_acts_end</t>
  </si>
  <si>
    <t>dur_pm_acts</t>
  </si>
  <si>
    <t>308. I would like to understand what you would expect to happen if you decided to travel to a neighboring country for work for at least one month.</t>
  </si>
  <si>
    <t>308. J'aimerais comprendre ce à quoi vous vous attendriez si vous décidiez de vous rendre dans un pays voisin pour travailler pendant au moins un mois.</t>
  </si>
  <si>
    <t>308. Ina so in fahimci abin da kuke tsammanin zai faru idan kun yanke shawarar tafiya na akalla wata ɗaya zuwa wata makwabciyar ƙasa don aiki.</t>
  </si>
  <si>
    <t>worries</t>
  </si>
  <si>
    <t>pm_activity1</t>
  </si>
  <si>
    <t>Not at all worried</t>
  </si>
  <si>
    <t>${speedcheck_pm_fam_rel_end} - ${speedcheck_pm_fam_rel_start}</t>
  </si>
  <si>
    <t>Pas du tout inquiet</t>
  </si>
  <si>
    <t>Ba damuwa ko kadan</t>
  </si>
  <si>
    <t>309. How much money would you expect to earn each month (before paying your expenses) in CFA?</t>
  </si>
  <si>
    <t>309. Combien d'argent espérez-vous qu'il gagne chaque mois (sans depense) en CFA ?</t>
  </si>
  <si>
    <t>309. Nawa kuke tsammanin samu kowane wata (kafin ku biya kuɗin ku) a sefa?</t>
  </si>
  <si>
    <t>pm_activity2</t>
  </si>
  <si>
    <t>310. Imagine that five years from now you are living in another West African country like Cote d'Ivoire or Nigeria. How much money do you think you would earn per month?</t>
  </si>
  <si>
    <t>310. Imaginez que dans cinq ans vous vivez dans un autre pays d'Afrique de l'Ouest comme la Côte d'Ivoire ou le Nigeria. Combien d'argent pensez-vous que vous gagneriez par mois en CFA ?</t>
  </si>
  <si>
    <t>310. Ku ƙaddara cewa shekaru biyar masu zuwa kuna zaune a wata ƙasa ta yammacin Afirka kamar Cote d'Ivoire ko Najeriya. Nawa kuke tunanin samu a kowane wata a sefa?</t>
  </si>
  <si>
    <t>pm_activity3</t>
  </si>
  <si>
    <t>Not very worried</t>
  </si>
  <si>
    <t>Pas très inquiet</t>
  </si>
  <si>
    <t>Ba damuwa sosai</t>
  </si>
  <si>
    <t>311. How much money would you expect to share with your household each month in CFA?</t>
  </si>
  <si>
    <t>311. Combien d'argent vous attendez-vous à ce qu'il partage avec votre ménage chaque mois en CFA ?</t>
  </si>
  <si>
    <t>311. Nawa kuke tsammanin zaku aikawa gidanku a kowane wata a sefa?</t>
  </si>
  <si>
    <t>pm_activity4</t>
  </si>
  <si>
    <t>312. How much money would you expect to put aside to save for the future each month?</t>
  </si>
  <si>
    <t>312. Combien comptez-vous mettre de côté chaque mois pour épargner pour l’avenir ?</t>
  </si>
  <si>
    <t>312. Nawa ne kuke ganin zaku ajiye don gaba a kowane wata?</t>
  </si>
  <si>
    <t>Somewhat worried</t>
  </si>
  <si>
    <t>pm_activity5</t>
  </si>
  <si>
    <t>Un peu inquiet</t>
  </si>
  <si>
    <t>Dan damuwa</t>
  </si>
  <si>
    <t>313. How many times would you expect to contact members of your household each month?</t>
  </si>
  <si>
    <t>313. Combien de fois vous attendriez-vous à ce qu'il contacte les membres de votre ménage chaque mois ?</t>
  </si>
  <si>
    <t>313. Sau nawa kuke tsammanin tuntuɓar ƴan gidan ku kowane wata ?</t>
  </si>
  <si>
    <t>speedcheck_pm_primaryact_start</t>
  </si>
  <si>
    <t>Very worried</t>
  </si>
  <si>
    <t>Très inquiet</t>
  </si>
  <si>
    <t>Damuwa sosai</t>
  </si>
  <si>
    <t>350. Whether the husband will migrate to find work</t>
  </si>
  <si>
    <t>350. Si le mari va migrer pour trouver du travail</t>
  </si>
  <si>
    <t>350. Ko mijin zai yi tahiya don neman aiki</t>
  </si>
  <si>
    <t>select_one pm_primary_activity</t>
  </si>
  <si>
    <t>169. Which of these activities was your primary source of income?</t>
  </si>
  <si>
    <t>169. Laquelle de ces activités était votre principale source de revenus ?</t>
  </si>
  <si>
    <t>169. Wanne ne daga cikin waɗannan ayyukan tushen samun kuɗin ku?</t>
  </si>
  <si>
    <t>168. Which of these activities was your primary source of income?</t>
  </si>
  <si>
    <t>168. Laquelle de ces activités était votre principale source de revenus ?</t>
  </si>
  <si>
    <t>168. Wanne ne daga cikin waɗannan ayyukan tushen samun kuɗin ku?</t>
  </si>
  <si>
    <t>pm_primary_activity_name</t>
  </si>
  <si>
    <t>352. To whom your daughter should marry?</t>
  </si>
  <si>
    <t>352. Avec qui votre fille devrait-elle se marier ?</t>
  </si>
  <si>
    <t>352. Wa ya kamata ƴarku ta aura?</t>
  </si>
  <si>
    <t>pm_primary_activity_paid</t>
  </si>
  <si>
    <t>314. Now I will ask about things you or your family may have done in preparation for your migration. Consider all migration preparations since ${period}.</t>
  </si>
  <si>
    <t>state_likert</t>
  </si>
  <si>
    <t>314. Je vais maintenant vous poser des questions sur les choses que vous ou votre famille avez pu faire pour préparer votre migration. Prenez en compte tous les préparatifs de migration depuis ${period_french}.</t>
  </si>
  <si>
    <t>314. Yanzu zan yi tambayoyi game da abubuwan da ku ko ƴan gidan ku kuka yi a shirye-shiryen zuwanku bulaguro. Ku yi la'aƙari da duk shirye-shiryen tahiya tun ${period_hausa}.</t>
  </si>
  <si>
    <t>Strongly agree with Statement 1</t>
  </si>
  <si>
    <t>pm_primary_activity_info</t>
  </si>
  <si>
    <t>Tout à fait d'accord avec l'énoncé 1</t>
  </si>
  <si>
    <t>Primary Activity</t>
  </si>
  <si>
    <t>Activité principale</t>
  </si>
  <si>
    <t>Amincewa sosai da Bayanin 1</t>
  </si>
  <si>
    <t>Muhimmin aiki</t>
  </si>
  <si>
    <t>pm_activity_weeks</t>
  </si>
  <si>
    <t>170. In ${pm_location_name}, what is your best estimate of the total number of weeks you worked in ${pm_primary_activity_name} for pay in ${pm_location_period_lab}?</t>
  </si>
  <si>
    <t>170. À ${pm_location_name}, quelle est votre meilleure estimation du nombre total de semaines pendant lesquelles vous avez travaillé à ${pm_primary_activity_name} contre un salaire entre ${pm_location_period_lab_fr} ?</t>
  </si>
  <si>
    <t>170. A ${pm_location_name}, a ganinku nawa ne jimillar satin da kuka yi aiki a ${pm_primary_activity_name} don samun biya a ${pm_location_period_lab_ha}?</t>
  </si>
  <si>
    <t>Agree with Statement 1</t>
  </si>
  <si>
    <t>169. In ${pm_location_name}, what is your best estimate of the total number of weeks you worked in ${pm_primary_activity_name} for pay in ${pm_location_period_lab}?</t>
  </si>
  <si>
    <t>169. À ${pm_location_name}, quelle est votre meilleure estimation du nombre total de semaines pendant lesquelles vous avez travaillé à ${pm_primary_activity_name} contre un salaire entre ${pm_location_period_lab_fr} ?</t>
  </si>
  <si>
    <t>D'accord avec l'énoncé 1</t>
  </si>
  <si>
    <t>169. A ${pm_location_name}, a ganinku nawa ne jimillar satin da kuka yi aiki a ${pm_primary_activity_name} don samun biya a ${pm_location_period_lab_ha}?</t>
  </si>
  <si>
    <t>Amincewa da Bayanin 1</t>
  </si>
  <si>
    <t>select_multiple paytype</t>
  </si>
  <si>
    <t>pm_main_activity_pay_type</t>
  </si>
  <si>
    <t>171. For ${pm_primary_activity_name} were you paid in cash or in kind?</t>
  </si>
  <si>
    <t>171. Pour ${pm_primary_activity_name} avez-vous été payé en espèces ou en nature ?</t>
  </si>
  <si>
    <t>171. Don ${pm_primary_activity_name} an biya ku a tsabar kuɗi ko a wani kaya?</t>
  </si>
  <si>
    <t>170. For ${pm_primary_activity_name} were you paid in cash or in kind?</t>
  </si>
  <si>
    <t>170. Pour ${pm_primary_activity_name} avez-vous été payé en espèces ou en nature ?</t>
  </si>
  <si>
    <t>170. Don ${pm_primary_activity_name} an biya ku a tsabar kuɗi ko a wani kaya?</t>
  </si>
  <si>
    <t>pm_activity_payment_amt</t>
  </si>
  <si>
    <t>172. Approximately how much did you earn each week from ${pm_primary_activity_name} in ${pm_location_name} in cash (in CFA)?</t>
  </si>
  <si>
    <t>172. Environ combien avez-vous gagné chaque semaine grâce à ${pm_primary_activity_name} à ${pm_location_name} (en CFA)?</t>
  </si>
  <si>
    <t>Agree with Statement 2</t>
  </si>
  <si>
    <t>172. Kimanin nawa kuke samu kowane sati don ${pm_primary_activity_name} a ${pm_location_name} (in CFA)?</t>
  </si>
  <si>
    <t>D'accord avec l'énoncé 2</t>
  </si>
  <si>
    <t>Amincewa da Bayanin 2</t>
  </si>
  <si>
    <t>${pm_home} = 0</t>
  </si>
  <si>
    <t>171. Approximately how much did you earn each week from ${pm_primary_activity_name} in ${pm_location_name} in cash (in CFA)?</t>
  </si>
  <si>
    <t>171. Environ combien avez-vous gagné chaque semaine grâce à ${pm_primary_activity_name} à ${pm_location_name} (en CFA)?</t>
  </si>
  <si>
    <t>171. Kimanin nawa kuke samu kowane sati don ${pm_primary_activity_name} a ${pm_location_name} (in CFA)?</t>
  </si>
  <si>
    <t>pm_activity_payment_val</t>
  </si>
  <si>
    <t>173. Approximately what was the value of the in-kind payments for ${pm_primary_activity_name} in ${pm_location_name} (in CFA)?</t>
  </si>
  <si>
    <t>173. Quelle était la valeur approximative des paiements en nature pour le ${pm_primary_activity_name} à ${pm_location_name} (en CFA) ?</t>
  </si>
  <si>
    <t>173. Menene kimanin farashin kayan da aka biya ku ${pm_primary_activity_name} a ${pm_location_name} (a CFA)?</t>
  </si>
  <si>
    <t>Strongly agree with Statement 2</t>
  </si>
  <si>
    <t>Tout à fait d'accord avec l'énoncé 2</t>
  </si>
  <si>
    <t>172. Approximately what was the value of the in-kind payments for ${pm_primary_activity_name} in ${pm_location_name} (in CFA)?</t>
  </si>
  <si>
    <t>172. Quelle était la valeur approximative des paiements en nature pour le ${pm_primary_activity_name} à ${pm_location_name} (en CFA) ?</t>
  </si>
  <si>
    <t>172. Menene kimanin farashin kayan da aka biya ku ${pm_primary_activity_name} a ${pm_location_name} (a CFA)?</t>
  </si>
  <si>
    <t>select_one employer</t>
  </si>
  <si>
    <t>pm_activity_name_employer</t>
  </si>
  <si>
    <t>174. For ${pm_primary_activity_name} in ${pm_location_name}, were you employed self-employed, employed by another individual, employed by private business, or employed by public sector?</t>
  </si>
  <si>
    <t>174. Pour ${pm_primary_activity_name} à ${pm_location_name}, étiez-vous employé à votre compte, employé par une autre personne, employé par une entreprise privée ou employé par le secteur public ?</t>
  </si>
  <si>
    <t>174. Domin ${pm_primary_activity_name} da kuka yi a ${pm_location_name}, ko kuna aikin kanku ne, ko wani mutum kuke yi wa aiki, ko wani kampani mai zaman kanshi kuke yi wa aikin, ko kuma aikin gwanati ne?</t>
  </si>
  <si>
    <t>${pm_past_in_niger} = 1</t>
  </si>
  <si>
    <t>173. For ${pm_primary_activity_name} in ${pm_location_name}, were you employed self-employed, employed by another individual, employed by private business, or employed by public sector?</t>
  </si>
  <si>
    <t>173. Pour ${pm_primary_activity_name} à ${pm_location_name}, étiez-vous employé à votre compte, employé par une autre personne, employé par une entreprise privée ou employé par le secteur public ?</t>
  </si>
  <si>
    <t>173. Domin ${pm_primary_activity_name} da kuka yi a ${pm_location_name}, ko kuna aikin kanku ne, ko wani mutum kuke yi wa aiki, ko wani kampani mai zaman kanshi kuke yi wa aikin, ko kuma aikin gwanati ne?</t>
  </si>
  <si>
    <t>select_multiple benefits</t>
  </si>
  <si>
    <t>pm_main_activity_other_benefit</t>
  </si>
  <si>
    <t>175. For ${pm_primary_activity_name} in ${pm_location_name}, did you receive any other benefits, such as housing or food allowance as compensation for your labor? Enumerator: code all that apply</t>
  </si>
  <si>
    <t>175. Pour ${pm_primary_activity_name} à ${pm_location_name}, avez-vous reçu d'autres avantages, tels qu'une allocation de logement ou de nourriture en compensation de votre travail ? enquêteur : codez tout ce qui s'applique</t>
  </si>
  <si>
    <t>175. Don ${pm_primary_activity_name} a ${pm_location_name}, kun samu wasu fa'idodi, kamar alawus na gidaje ko abinci a matsayin diyya na aikinku? Ɗan bincike: sanya lambar da ta yi daidai</t>
  </si>
  <si>
    <t>${pm_past_in_niger} = 0</t>
  </si>
  <si>
    <t>174. For ${pm_primary_activity_name} in ${pm_location_name}, did you receive any other benefits, such as housing or food allowance as compensation for your labor? Enumerator: code all that apply</t>
  </si>
  <si>
    <t>174. Pour ${pm_primary_activity_name} à ${pm_location_name}, avez-vous reçu d'autres avantages, tels qu'une allocation de logement ou de nourriture en compensation de votre travail ? enquêteur : codez tout ce qui s'applique</t>
  </si>
  <si>
    <t>174. Don ${pm_primary_activity_name} a ${pm_location_name}, kun samu wasu fa'idodi, kamar alawus na gidaje ko abinci a matsayin diyya na aikinku? Ɗan bincike: sanya lambar da ta yi daidai</t>
  </si>
  <si>
    <t>pm_main_activity_other_benefit_o</t>
  </si>
  <si>
    <t>filter != 0</t>
  </si>
  <si>
    <t>176. Specify other</t>
  </si>
  <si>
    <t>176. Autre à préciser</t>
  </si>
  <si>
    <t>176. Wani daban a bayyana</t>
  </si>
  <si>
    <t>statement</t>
  </si>
  <si>
    <t>Statement 1</t>
  </si>
  <si>
    <t>Énoncé 1</t>
  </si>
  <si>
    <t>Bayanin 1</t>
  </si>
  <si>
    <t>175. Specify other</t>
  </si>
  <si>
    <t>175. Autre à préciser</t>
  </si>
  <si>
    <t>175. Wani daban a bayyana</t>
  </si>
  <si>
    <t>pm_main_activity_benefit_house</t>
  </si>
  <si>
    <t>177. What is the weekly value in CFA of the payment you received in kind for housing from working in ${pm_primary_activity_name}?</t>
  </si>
  <si>
    <t>177. Quelle est la valeur hebdomadaire en CFA du paiement en nature que vous avez reçu pour le logement en travaillant à ${pm_primary_activity_name} ?</t>
  </si>
  <si>
    <t>177. Nawa kimar biyan da kuka samu a kowane sati na gidan haya don aikin ${pm_primary_activity_name} da kuka yi?</t>
  </si>
  <si>
    <t>${pm_past_country} = -777</t>
  </si>
  <si>
    <t>176. What is the weekly value in CFA of the payment you received in kind for housing from working in ${pm_primary_activity_name}?</t>
  </si>
  <si>
    <t>176. Quelle est la valeur hebdomadaire en CFA du paiement en nature que vous avez reçu pour le logement en travaillant à ${pm_primary_activity_name} ?</t>
  </si>
  <si>
    <t>176. Nawa kimar biyan da kuka samu a kowane sati na gidan haya don aikin ${pm_primary_activity_name} da kuka yi?</t>
  </si>
  <si>
    <t>Statement 2</t>
  </si>
  <si>
    <t>Énoncé 2</t>
  </si>
  <si>
    <t>pm_main_activity_benefit_food</t>
  </si>
  <si>
    <t>Bayanin 2</t>
  </si>
  <si>
    <t>178. What is the weekly value in CFA of the payment you received in kind for food from working in ${pm_primary_activity_name}?</t>
  </si>
  <si>
    <t>178. Quelle est la valeur hebdomadaire en CFA du paiement en nature que vous avez reçu pour la nourriture en travaillant à ${pm_primary_activity_name} ?</t>
  </si>
  <si>
    <t>178. Nawa kimar biyan da kuka samu na abinci a kowane sati don aikin ${pm_primary_activity_name} da kuka yi?</t>
  </si>
  <si>
    <t>177. What is the weekly value in CFA of the payment you received in kind for food from working in ${pm_primary_activity_name}?</t>
  </si>
  <si>
    <t>177. Quelle est la valeur hebdomadaire en CFA du paiement en nature que vous avez reçu pour la nourriture en travaillant à ${pm_primary_activity_name} ?</t>
  </si>
  <si>
    <t>177. Nawa kimar biyan da kuka samu na abinci a kowane sati don aikin ${pm_primary_activity_name} da kuka yi?</t>
  </si>
  <si>
    <t>pm_main_activity_benefit_phone</t>
  </si>
  <si>
    <t>179. What is the weekly value in CFA of the payment you received in kind for phone credit from working in ${pm_primary_activity_name}?</t>
  </si>
  <si>
    <t>Statement 3</t>
  </si>
  <si>
    <t>179. Quelle est la valeur hebdomadaire en CFA du paiement que vous avez reçu en nature pour le crédit téléphonique en travaillant à ${pm_primary_activity_name} ?</t>
  </si>
  <si>
    <t>Énoncé 3</t>
  </si>
  <si>
    <t>179. Nawa ne kimar biyan da kuka samu na kiredi a kowane sati don aikin ${pm_primary_activity_name} da kuka yi?</t>
  </si>
  <si>
    <t>Bayanin 3</t>
  </si>
  <si>
    <t>178. What is the weekly value in CFA of the payment you received in kind for phone credit from working in ${pm_primary_activity_name}?</t>
  </si>
  <si>
    <t>178. Quelle est la valeur hebdomadaire en CFA du paiement que vous avez reçu en nature pour le crédit téléphonique en travaillant à ${pm_primary_activity_name} ?</t>
  </si>
  <si>
    <t>178. Nawa ne kimar biyan da kuka samu na kiredi a kowane sati don aikin ${pm_primary_activity_name} da kuka yi?</t>
  </si>
  <si>
    <t>pm_main_activity_benefit_other</t>
  </si>
  <si>
    <t>180. What is the weekly value in CFA of the payment you received in kind for all other benefits from working in ${pm_primary_activity_name}?</t>
  </si>
  <si>
    <t>180. Quelle est la valeur hebdomadaire en CFA du paiement que vous avez reçu en nature pour tous les autres avantages liés au travail à ${pm_primary_activity_name} ?</t>
  </si>
  <si>
    <t>search('towns', 'matches', 'country_id', ${pm_past_country})</t>
  </si>
  <si>
    <t>180. Nawa kimar biyan da kuka samu na wasu fa'idodi da kuka samu a kan aikin ${pm_primary_activity_name}da kuka yi?</t>
  </si>
  <si>
    <t>${pm_past_in_niger} = 0 and ${pm_past_country} != -999</t>
  </si>
  <si>
    <t>179. What is the weekly value in CFA of the payment you received in kind for all other benefits from working in ${pm_primary_activity_name}?</t>
  </si>
  <si>
    <t>179. Quelle est la valeur hebdomadaire en CFA du paiement que vous avez reçu en nature pour tous les autres avantages liés au travail à ${pm_primary_activity_name} ?</t>
  </si>
  <si>
    <t>179. Nawa kimar biyan da kuka samu na wasu fa'idodi da kuka samu a kan aikin ${pm_primary_activity_name}da kuka yi?</t>
  </si>
  <si>
    <t>pm_main_activity_deduct</t>
  </si>
  <si>
    <t>181. For ${pm_primary_activity_name} in ${pm_location_name}, did your employer deduct any expenses from your earnings before paying you? Some examples of deductions are the cost of supplies or food that the employer provides to you.</t>
  </si>
  <si>
    <t>181. Pour ${pm_primary_activity_name} à ${pm_location_name}, votre employeur a-t-il déduit des dépenses de vos revenus avant de vous payer ? Quelques exemples de déductions sont le coût des fournitures ou de la nourriture que l'employeur vous fournit.</t>
  </si>
  <si>
    <t>181. Don ${pm_primary_activity_name} a cikin ${pm_location_name}, ko mai gidanku ya cire wani sashen kuɗin daga abin da kuka samu kafin ya biya ku? Kamar kuɗin wasu kayayyaki ko abincin da mai gida ke baku.</t>
  </si>
  <si>
    <t>save_or_share</t>
  </si>
  <si>
    <t>1. Save the surplus for the future</t>
  </si>
  <si>
    <t>1. Économisez le surplus pour l'avenir</t>
  </si>
  <si>
    <t>1. Ajiyar ƙarin don gaba</t>
  </si>
  <si>
    <t>selected(${pm_past_town}, '-777')</t>
  </si>
  <si>
    <t>180. For ${pm_primary_activity_name} in ${pm_location_name}, did your employer deduct any expenses from your earnings before paying you? Some examples of deductions are the cost of supplies or food that the employer provides to you.</t>
  </si>
  <si>
    <t>180. Pour ${pm_primary_activity_name} à ${pm_location_name}, votre employeur a-t-il déduit des dépenses de vos revenus avant de vous payer ? Quelques exemples de déductions sont le coût des fournitures ou de la nourriture que l'employeur vous fournit.</t>
  </si>
  <si>
    <t>180. Don ${pm_primary_activity_name} a cikin ${pm_location_name}, ko mai gidanku ya cire wani sashen kuɗin daga abin da kuka samu kafin ya biya ku? Kamar kuɗin wasu kayayyaki ko abincin da mai gida ke baku.</t>
  </si>
  <si>
    <t>pm_main_activity_deduct_amt</t>
  </si>
  <si>
    <t>182. What is the weekly value in CFA that your employer deducted from your earnings?</t>
  </si>
  <si>
    <t>182. Quelle est la valeur hebdomadaire en CFA que votre employeur a déduit de vos revenus ?</t>
  </si>
  <si>
    <t>182. Nawa ne kimar kuɗin da mai gidanku ya cira a cikin kuɗinku da kuka samu?</t>
  </si>
  <si>
    <t>2. Share its surplus with less fortunate households in the village</t>
  </si>
  <si>
    <t>2. Partager son surplus avec les ménages moins fortunés du village</t>
  </si>
  <si>
    <t>2. Raba ƙarin da sauran gidaje marasa galihu a garin</t>
  </si>
  <si>
    <t>181. What is the weekly value in CFA that your employer deducted from your earnings?</t>
  </si>
  <si>
    <t>181. Quelle est la valeur hebdomadaire en CFA que votre employeur a déduit de vos revenus ?</t>
  </si>
  <si>
    <t>181. Nawa ne kimar kuɗin da mai gidanku ya cira a cikin kuɗinku da kuka samu?</t>
  </si>
  <si>
    <t>pm_activity_payment_val_week</t>
  </si>
  <si>
    <t>328. If you want to travel to Nigeria to find work, how long can you work there without getting a formal work authorization (in months)?</t>
  </si>
  <si>
    <t>328. Si vous souhaitez vous rendre au Nigeria pour trouver du travail, combien de temps pouvez-vous y travailler sans obtenir une autorisation de travail formelle (en mois) ?</t>
  </si>
  <si>
    <t>328. Idan kuna son tafiya Najeriya don neman aiki, tsawon wane lokaci za ku iya yin aiki a can ba tare da samun izinin aiki na yau da kullun ba (a cikin watanni)?</t>
  </si>
  <si>
    <t>concat(${pm_past_country}, '-', ${pm_past_town})</t>
  </si>
  <si>
    <t>pm_payment_amt</t>
  </si>
  <si>
    <t>pm_house</t>
  </si>
  <si>
    <t>if(${pm_past_in_niger} = 1, choice-label(${pm_past_region}, ${pm_past_region}), pulldata('towns', 'town_name', 'combined_id', ${pm_past_town_id}))</t>
  </si>
  <si>
    <t>364. Could you tell me your general feeling about each group of people is positive or negative on a scale of 0 to 10 where 0 is very negative and 10 is very positive</t>
  </si>
  <si>
    <t>364. Pourriez-vous me dire votre sentiment général sur chaque groupe de personnes s'il est positif ou négatif sur une échelle de 0 à 10 où 0 est très négatif et 10 est très positif</t>
  </si>
  <si>
    <t>364. Ko za ku iya gaya mini yanda kuke gani game da kowane gungun mutane, yana da kyau ko baya da kyau akan kuranga 0 zuwa 10 inda 0 ba shi da kyau sosai kuma 10 yana da inganci sosai.</t>
  </si>
  <si>
    <t>pm_food</t>
  </si>
  <si>
    <t>attitude</t>
  </si>
  <si>
    <t>1. The entire way our society is organized must be radically changed by revolutionary action</t>
  </si>
  <si>
    <t>365. Followers of other religions</t>
  </si>
  <si>
    <t>365. Adeptes d'autres religions</t>
  </si>
  <si>
    <t>1. Toute la manière dont notre société est organisée doit être radicalement changée par l'action révolutionnaire</t>
  </si>
  <si>
    <t>365. Mabiya wasu addinai</t>
  </si>
  <si>
    <t>1. Dukkanin yadda al'ummarmu take da tsari dole ne a canza su ta hanyar juyin juya hali</t>
  </si>
  <si>
    <t>pm_phone_act</t>
  </si>
  <si>
    <t>366. People of different ethnic groups</t>
  </si>
  <si>
    <t>366. Personnes de différents groupes ethniques</t>
  </si>
  <si>
    <t>366. Mutanen wasu kabilu daban</t>
  </si>
  <si>
    <t>pm_other</t>
  </si>
  <si>
    <t>if(${pm_home} = 1, ${pm_home_location}, 
if(selected(${pm_past_town}, '-777'), ${pm_past_town_o}, ${pm_past_town_name}))</t>
  </si>
  <si>
    <t>367. Immigrants who come to Niger as foreign workers</t>
  </si>
  <si>
    <t>367. Les immigrés qui viennent au Niger en tant que travailleurs étrangers</t>
  </si>
  <si>
    <t>367. Baƙin haure masu zuwa Nijar a matsayin ma'aikata ƴan ƙasashen waje</t>
  </si>
  <si>
    <t>pm_deduct</t>
  </si>
  <si>
    <t>368. People of a different sect of Islam</t>
  </si>
  <si>
    <t>368. Les gens d'une autre secte de l'Islam</t>
  </si>
  <si>
    <t>368. Mabiya wasu ɗarikun musulunci</t>
  </si>
  <si>
    <t>2. Our society must be gradually improved by reforms</t>
  </si>
  <si>
    <t>pm_calc_total_income</t>
  </si>
  <si>
    <t>Weekly income (activity_payment_amt + inkind_payment_val/activity_weeks +  sum(main_activity_benefit) - main_activity_deduction) * number of weeks</t>
  </si>
  <si>
    <t>2. Notre société doit être progressivement améliorée par des réformes</t>
  </si>
  <si>
    <t>Revenu hebdomadaire (activity_payment_amt + sum(main_activity_benefit) - main_activity_deduction) * nombre de semaines</t>
  </si>
  <si>
    <t>Kudin shiga na mako-mako (aikin_payment_amt + jimla(babban_aiki_amfanin) - babban_aiki_rage) * adadin makonni</t>
  </si>
  <si>
    <t>2. Dole ne a inganta al'ummarmu a hankali ta hanyar gyara</t>
  </si>
  <si>
    <t>369. Imagine one of your daughters wanted to marry someone of a different religious faith, would you give them your permission?</t>
  </si>
  <si>
    <t>if(${pm_home} = 1 or ${pm_past_in_niger} = 1, 1, 
if(selected(${pm_past_country}, '-777'), ${pm_past_country_o}, ${pm_past_country}))</t>
  </si>
  <si>
    <t>369. Imaginez qu'une de vos filles veuille épouser quelqu'un d'une confession religieuse différente, leur donneriez-vous votre permission ?</t>
  </si>
  <si>
    <t>369. Ku ƙaddara da wata ɗiyarku ta na son ta auri wani mai bin wani addini daban, za ku bada izininku?</t>
  </si>
  <si>
    <t>pm_activity_pay_total</t>
  </si>
  <si>
    <t>183. Taking all your responses above into account, would you say that it is accurate that in location your total income during period from ${pm_primary_activity_name} was ${pm_calc_total_income} CFA?</t>
  </si>
  <si>
    <t>183. En tenant compte de toutes vos réponses ci-dessus, diriez-vous qu'il est exact qu'en ce lieu votre revenu total pendant au cours de trois dernieres mois de ${pm_primary_activity_name} était de ${pm_calc_total_income} CFA ?</t>
  </si>
  <si>
    <t>183. Idan muka yi la'aƙari da duk amsoshin da kuka bada a sama, za ku ce daidai ne cewa a wannan wurin jimillar kuɗin da kuka samu daga ${pm_primary_activity_name} shine ${pm_calc_total_income} CFA?</t>
  </si>
  <si>
    <t>182. Taking all your responses above into account, would you say that it is accurate that in location your total income during period from ${pm_primary_activity_name} was ${pm_calc_total_income} CFA?</t>
  </si>
  <si>
    <t>182. En tenant compte de toutes vos réponses ci-dessus, diriez-vous qu'il est exact qu'en ce lieu votre revenu total pendant au cours de trois dernieres mois de ${pm_primary_activity_name} était de ${pm_calc_total_income} CFA ?</t>
  </si>
  <si>
    <t>182. Idan muka yi la'aƙari da duk amsoshin da kuka bada a sama, za ku ce daidai ne cewa a wannan wurin jimillar kuɗin da kuka samu daga ${pm_primary_activity_name} shine ${pm_calc_total_income} CFA?</t>
  </si>
  <si>
    <t>3. Our present society must be valiantly defended against all subversive forces</t>
  </si>
  <si>
    <t>pm_activity_costs</t>
  </si>
  <si>
    <t>3. Notre société actuelle doit être vaillamment défendue contre toutes les forces subversives</t>
  </si>
  <si>
    <t>184. Now I would like you to think about any costs associated with ${pm_primary_activity_name}</t>
  </si>
  <si>
    <t>184. Maintenant, je voudrais que vous réfléchissiez aux coûts associés à ${pm_primary_activity_name}</t>
  </si>
  <si>
    <t>3. Dole ne al'ummarmu ta yanzu ta kasance da jajircewa wajen kare kai daga duk wani yunkuri na zagon kasa</t>
  </si>
  <si>
    <t>184. Yanzu ina so ku yi tunani game da kowane farashi mai alaƙa da ${pm_primary_activity_name}</t>
  </si>
  <si>
    <t>if(${pm_past_in_niger} = 0 and 
(${pm_past_country} = 3 or
${pm_past_country} = 6 or
${pm_past_country} = 7 or
${pm_past_country} = 9 or
${pm_past_country} = 10 or
${pm_past_country} = 13 or
${pm_past_country} = 14 or
${pm_past_country} = 15 or
${pm_past_country} = 16 or
${pm_past_country} = 17 or
${pm_past_country} = 18 or
${pm_past_country} = 19), 1, 0)</t>
  </si>
  <si>
    <t>183. Now I would like you to think about any costs associated with ${pm_primary_activity_name}</t>
  </si>
  <si>
    <t>183. Maintenant, je voudrais que vous réfléchissiez aux coûts associés à ${pm_primary_activity_name}</t>
  </si>
  <si>
    <t>183. Yanzu ina so ku yi tunani game da kowane farashi mai alaƙa da ${pm_primary_activity_name}</t>
  </si>
  <si>
    <t>pm_job_placement_cost</t>
  </si>
  <si>
    <t>185. How much, if any did you pay a fixer or job placement agency?</t>
  </si>
  <si>
    <t>185. Combien, si cest déjà arrivé, avez-vous payé à un facilitateur ou à une agence de placement ?</t>
  </si>
  <si>
    <t>185. Nawa, idan ya taɓa faruwa, wanda kuka biya wani idon gari ko wata ma'aikata mai bada aiki?</t>
  </si>
  <si>
    <t>184. How much, if any did you pay a fixer or job placement agency?</t>
  </si>
  <si>
    <t>184. Combien, si cest déjà arrivé, avez-vous payé à un facilitateur ou à une agence de placement ?</t>
  </si>
  <si>
    <t>184. Nawa, idan ya taɓa faruwa, wanda kuka biya wani idon gari ko wata ma'aikata mai bada aiki?</t>
  </si>
  <si>
    <t>pm_main_activity_debt</t>
  </si>
  <si>
    <t>186. Did you incur a debt to be able to work in ${pm_primary_activity_name}?</t>
  </si>
  <si>
    <t>186. Avez-vous contracté une dette pour pouvoir travailler à ${pm_primary_activity_name} ?</t>
  </si>
  <si>
    <t>186. Ko kun ci bashi don samun damar yin aiki a ${pm_primary_activity_name}?</t>
  </si>
  <si>
    <t>185. Did you incur a debt to be able to work in ${pm_primary_activity_name}?</t>
  </si>
  <si>
    <t>185. Avez-vous contracté une dette pour pouvoir travailler à ${pm_primary_activity_name} ?</t>
  </si>
  <si>
    <t>185. Ko kun ci bashi don samun damar yin aiki a ${pm_primary_activity_name}?</t>
  </si>
  <si>
    <t>pm_main_activity_debt_amt</t>
  </si>
  <si>
    <t>187. How much debt in CFA did you take to be able to engage in ${pm_primary_activity_name}?</t>
  </si>
  <si>
    <t>187. Combien avez-vous contracté de dettes en CFA pour pouvoir vous engager dans ${pm_primary_activity_name} ?</t>
  </si>
  <si>
    <t>187. Bashin nawa a CFA kuka ci don samun damar shiga ${pm_primary_activity_name}?</t>
  </si>
  <si>
    <t>186. How much debt in CFA did you take to be able to engage in ${pm_primary_activity_name}?</t>
  </si>
  <si>
    <t>186. Combien avez-vous contracté de dettes en CFA pour pouvoir vous engager dans ${pm_primary_activity_name} ?</t>
  </si>
  <si>
    <t>186. Bashin nawa a CFA kuka ci don samun damar shiga ${pm_primary_activity_name}?</t>
  </si>
  <si>
    <t>pm_other_income</t>
  </si>
  <si>
    <t>188. Now think about your total income from other jobs you worked in ${pm_location_name}. What is your best estimate of your total income from these jobs per week?</t>
  </si>
  <si>
    <t>188. Pensez maintenant à vos revenus totaux provenant d'autres emplois que vous avez occupés à ${pm_location_name}. Quelle est votre meilleure estimation de votre revenu total de ces emplois par semaine ?</t>
  </si>
  <si>
    <t>188. Yanzu ku tuna da jimillar kuɗin shiga da kuka samu daga wasu ayyukan da kuka yi a ${pm_location_name}. Misalin nawa a tunaninku jimillar kuɗin shiga daga waɗannan ayyukan a kowane mako?</t>
  </si>
  <si>
    <t>187. Now think about your total income from other jobs you worked in ${pm_location_name}. What is your best estimate of your total income from these jobs per week?</t>
  </si>
  <si>
    <t>customs</t>
  </si>
  <si>
    <t>187. Pensez maintenant à vos revenus totaux provenant d'autres emplois que vous avez occupés à ${pm_location_name}. Quelle est votre meilleure estimation de votre revenu total de ces emplois par semaine ?</t>
  </si>
  <si>
    <t>187. Yanzu ku tuna da jimillar kuɗin shiga da kuka samu daga wasu ayyukan da kuka yi a ${pm_location_name}. Misalin nawa a tunaninku jimillar kuɗin shiga daga waɗannan ayyukan a kowane mako?</t>
  </si>
  <si>
    <t>pm_other_income_weeks</t>
  </si>
  <si>
    <t>189. For approximately how many weeks in ${pm_location_name} during ${pm_location_period_lab} did you earn ${pm_other_income}?</t>
  </si>
  <si>
    <t>1. I feel constrained by the number of customs and habits that exist in my society</t>
  </si>
  <si>
    <t>189. Pendant environ combien de semaines à ${pm_location_name} pendant ${pm_location_period_lab_fr} avez-vous gagné ${pm_other_income} ?</t>
  </si>
  <si>
    <t>189. Kimanin sati nawa a ${pm_location_name} a lokacin ${pm_location_period_lab_ha} kuka samu ${pm_other_income}?</t>
  </si>
  <si>
    <t>1. Je me sens contraint par le nombre des us et coutumes qui existent dans ma société</t>
  </si>
  <si>
    <t>1. Ina jin takura da yawan al'adu da dabi'un da ke cikin al'ummata</t>
  </si>
  <si>
    <t>188. For approximately how many weeks in ${pm_location_name} during ${pm_location_period_lab} did you earn ${pm_other_income}?</t>
  </si>
  <si>
    <t>188. Pendant environ combien de semaines à ${pm_location_name} pendant ${pm_location_period_lab_fr} avez-vous gagné ${pm_other_income} ?</t>
  </si>
  <si>
    <t>188. Kimanin sati nawa a ${pm_location_name} a lokacin ${pm_location_period_lab_ha} kuka samu ${pm_other_income}?</t>
  </si>
  <si>
    <t>${pm_current_location_same} = 0</t>
  </si>
  <si>
    <t>pm_calc_other_income</t>
  </si>
  <si>
    <t>Calculate other income</t>
  </si>
  <si>
    <t>Calculer d'autres revenus</t>
  </si>
  <si>
    <t>Yi lissafin sauran kudin shiga</t>
  </si>
  <si>
    <t>331. How stressed are you about the following areas of your life?</t>
  </si>
  <si>
    <t>331. Dans quelle mesure êtes-vous stressé par les domaines suivants de votre vie ?</t>
  </si>
  <si>
    <t>331. Yaya damuwarku game da abubuwa na rayuwarku da zan zana?</t>
  </si>
  <si>
    <t>pm_calc_sum_income</t>
  </si>
  <si>
    <t>Calculate total income</t>
  </si>
  <si>
    <t>2. There are not enough customs and habits in my society to guide me</t>
  </si>
  <si>
    <t>332. Your own health problems, illness</t>
  </si>
  <si>
    <t>2. Il n'y a pas assez des us et coutumes dans ma société pour me guider</t>
  </si>
  <si>
    <t>332. Vos propres problèmes de santé</t>
  </si>
  <si>
    <t>2. Babu isassun al'adu da ɗabi'a a cikin al'ummata da za su jagorance ni</t>
  </si>
  <si>
    <t>332. Matsalolin lafiyar jikinku</t>
  </si>
  <si>
    <t>pm_other_income_total</t>
  </si>
  <si>
    <t>190. Would you say that it is accurate that in ${pm_location_name} your total income during ${pm_location_period_lab} from activities other than ${pm_primary_activity_name} was ${pm_calc_other_income}?</t>
  </si>
  <si>
    <t>190. Diriez-vous que c'est exact qu'à ${pm_location_name}, votre revenu total pendant ${pm_location_period_lab_fr} provenant d'activités autres que ${pm_primary_activity_name} était de ${pm_calc_other_income} CFA ?</t>
  </si>
  <si>
    <t>190. Za ku iya cewa daidai ne a ${pm_location_name} jimillar kuɗin da kuka samu a lokacin ${pm_location_period_lab_ha} daga ayyukan da ba ${pm_primary_activity_name} shine ${pm_calc_other_income} CFA?</t>
  </si>
  <si>
    <t>189. Would you say that it is accurate that in ${pm_location_name} your total income during ${pm_location_period_lab} from activities other than ${pm_primary_activity_name} was ${pm_calc_other_income}?</t>
  </si>
  <si>
    <t>189. Diriez-vous que c'est exact qu'à ${pm_location_name}, votre revenu total pendant ${pm_location_period_lab_fr} provenant d'activités autres que ${pm_primary_activity_name} était de ${pm_calc_other_income} CFA ?</t>
  </si>
  <si>
    <t>189. Za ku iya cewa daidai ne a ${pm_location_name} jimillar kuɗin da kuka samu a lokacin ${pm_location_period_lab_ha} daga ayyukan da ba ${pm_primary_activity_name} shine ${pm_calc_other_income} CFA?</t>
  </si>
  <si>
    <t>speedcheck_pm_primaryact_end</t>
  </si>
  <si>
    <t>${pm_current_in_niger} = 1</t>
  </si>
  <si>
    <t>3. There are just about the right amount of customs and habits in my society</t>
  </si>
  <si>
    <t>3. Il y a à peu près ce qu'il faut des us et coutumes dans ma société</t>
  </si>
  <si>
    <t>3. Akwai daidai adadin al'adu da halaye a cikin al'ummata</t>
  </si>
  <si>
    <t>334. Accidents and disasters</t>
  </si>
  <si>
    <t>334. Accidents et catastrophes</t>
  </si>
  <si>
    <t>334. Hatsari da bala'o'i</t>
  </si>
  <si>
    <t>dur_pm_primaryact</t>
  </si>
  <si>
    <t>335. Problems with people in other ethnic groups</t>
  </si>
  <si>
    <t>335. Problèmes avec les personnes d'autres groupes ethniques</t>
  </si>
  <si>
    <t>335. Matsaloli da mutanen wasu kabilu daban</t>
  </si>
  <si>
    <t>336. Not enough money for basic needs (sucha as food and clothing)</t>
  </si>
  <si>
    <t>336. Pas assez d'argent pour les besoins de base (tels que la nourriture et les vêtements)</t>
  </si>
  <si>
    <t>336. Rashin isassun kuɗi don buƙatun asali (kamar abinci da sutura)</t>
  </si>
  <si>
    <t>${pm_current_in_niger} = 0</t>
  </si>
  <si>
    <t>filter!=0</t>
  </si>
  <si>
    <t>husbandwife</t>
  </si>
  <si>
    <t>Only wife decides</t>
  </si>
  <si>
    <t>Seule la femme décide</t>
  </si>
  <si>
    <t>Mace ce kawai ta yanke shawara</t>
  </si>
  <si>
    <t>pm_location_not_home</t>
  </si>
  <si>
    <t>Location not at home</t>
  </si>
  <si>
    <t>Localité pas à la maison</t>
  </si>
  <si>
    <t>Wuri ba a gida ba</t>
  </si>
  <si>
    <t>${pm_current_country} = -777</t>
  </si>
  <si>
    <t>speedcheck_pm_locnothome_start</t>
  </si>
  <si>
    <t>Somewhat more than the husband</t>
  </si>
  <si>
    <t>Un peu plus que le mari</t>
  </si>
  <si>
    <t>Da ɗan fiye da mijin</t>
  </si>
  <si>
    <t>pm_location_purpose</t>
  </si>
  <si>
    <t>191. What was the main reason you spent time in ${pm_location_name} during ${pm_location_period_lab}?</t>
  </si>
  <si>
    <t>191. Quelle est la principale raison pour laquelle vous avez passé du temps à ${pm_location_name} pendant ${pm_location_period_lab_fr} ?</t>
  </si>
  <si>
    <t>191. Menene babban dalilin da ya sa kuka zauna tsawon wani lokaci a ${pm_location_name} lokacin ${pm_location_period_lab_ha}?</t>
  </si>
  <si>
    <t>190. What was the main reason you spent time in ${pm_location_name} during ${pm_location_period_lab}?</t>
  </si>
  <si>
    <t>190. Quelle est la principale raison pour laquelle vous avez passé du temps à ${pm_location_name} pendant ${pm_location_period_lab_fr} ?</t>
  </si>
  <si>
    <t>190. Menene babban dalilin da ya sa kuka zauna tsawon wani lokaci a ${pm_location_name} lokacin ${pm_location_period_lab_ha}?</t>
  </si>
  <si>
    <t>select_one stay</t>
  </si>
  <si>
    <t>pm_lodging</t>
  </si>
  <si>
    <t>192. Think about a typical week in ${pm_location_name}, where were you living?</t>
  </si>
  <si>
    <t>192. Pensez à une semaine typique à ${pm_location_name}, où viviez-vous ?</t>
  </si>
  <si>
    <t>192. Ku yi tunanin sati guda a cikin ${pm_location_name}, da inda kuke zaune?</t>
  </si>
  <si>
    <t>search('towns', 'matches', 'country_id', ${pm_current_country})</t>
  </si>
  <si>
    <t>191. Think about a typical week in ${pm_location_name}, where were you living?</t>
  </si>
  <si>
    <t>Equal to husband</t>
  </si>
  <si>
    <t>191. Pensez à une semaine typique à ${pm_location_name}, où viviez-vous ?</t>
  </si>
  <si>
    <t>Égal au mari</t>
  </si>
  <si>
    <t>191. Ku yi tunanin sati guda a cikin ${pm_location_name}, da inda kuke zaune?</t>
  </si>
  <si>
    <t>Daidai da miji</t>
  </si>
  <si>
    <t>select_multiple money_transfer</t>
  </si>
  <si>
    <t>${pm_current_in_niger} = 0 and ${pm_current_country} != -999</t>
  </si>
  <si>
    <t>pm_share_income</t>
  </si>
  <si>
    <t>193. Thinking about the ${pm_location_weeks} weeks you spent in ${pm_location_name} during ${pm_location_period_lab}, did you share money you earned with your household in ${pm_home_location} using the following methods?</t>
  </si>
  <si>
    <t>En considérant les ${pm_location_weeks} semaines passées à ${pm_location_name} pendant ${pm_location_period_lab_fr}, avez-vous partagé l'argent que vous avez gagné avec votre ménage à ${pm_home_location} en utilisant les méthodes suivantes ?</t>
  </si>
  <si>
    <t>Tunanin makonni ${pm_location_weeks} da kuka kashe a ${pm_location_name} lokacin ${pm_location_period_lab_ha}, shin kun raba kuɗin da kuka samu tare da gidan ku a ${pm_home_location} ta amfani da hanyoyi masu zuwa?</t>
  </si>
  <si>
    <t>192. Thinking about the ${pm_location_weeks} weeks you spent in ${pm_location_name} during ${pm_location_period_lab}, did you share money you earned with your household in ${pm_home_location} using the following methods?</t>
  </si>
  <si>
    <t>192. En considérant les ${pm_location_weeks} semaines passées à ${pm_location_name} pendant ${pm_location_period_lab_fr}, avez-vous partagé l'argent que vous avez gagné avec votre ménage à ${pm_home_location} en utilisant les méthodes suivantes ?</t>
  </si>
  <si>
    <t>192. Tunanin makonni ${pm_location_weeks} da kuka kashe a ${pm_location_name} lokacin ${pm_location_period_lab_ha}, shin kun raba kuɗin da kuka samu tare da gidan ku a ${pm_home_location} ta amfani da hanyoyi masu zuwa?</t>
  </si>
  <si>
    <t>pm_share_income_amt</t>
  </si>
  <si>
    <t>195. How much do you estimate you shared with your household in ${pm_home_location} through these methods?</t>
  </si>
  <si>
    <t>Quel montant estimez-vous avoir partagé avec votre ménage à ${pm_home_location} grâce à ces méthodes ?</t>
  </si>
  <si>
    <t>Nawa kuke kiyasin kun raba wa ƴan gidanku a ${pm_home_location} ta waɗannan hanyoyin?</t>
  </si>
  <si>
    <t>193. How much do you estimate you shared with your household in ${pm_home_location} through these methods?</t>
  </si>
  <si>
    <t>193. Quel montant estimez-vous avoir partagé avec votre ménage à ${pm_home_location} grâce à ces méthodes ?</t>
  </si>
  <si>
    <t>193. Nawa kuke kiyasin kun raba wa ƴan gidanku a ${pm_home_location} ta waɗannan hanyoyin?</t>
  </si>
  <si>
    <t>Somewhat less than husband</t>
  </si>
  <si>
    <t>pm_share_income_out</t>
  </si>
  <si>
    <t>193. Thinking about the ${pm_location_weeks} weeks you spent in ${pm_location_name} during ${pm_location_period_lab}, did you share money you earned with someone NOT in your household using the following methods?</t>
  </si>
  <si>
    <t>Un peu moins que le mari</t>
  </si>
  <si>
    <t>Kasan miji</t>
  </si>
  <si>
    <t>En considérant les ${pm_location_weeks} semaines passées à ${pm_location_name} pendant ${pm_location_period_lab_fr}, avez-vous donné l’argent que vous avez gagné avec une personne EXTÉRIEURE à votre ménage grâce aux méthodes suivantes ?</t>
  </si>
  <si>
    <t>Tunanin makonni ${pm_location_weeks} da kuka kashe a ${pm_location_name} lokacin ${pm_location_period_lab_ha}, kun raba kuɗin da kuka samu tare da wani BA a cikin gidanku ta amfani da waɗannan hanyoyin?</t>
  </si>
  <si>
    <t>selected(${pm_current_town}, '-777')</t>
  </si>
  <si>
    <t>194. Thinking about the ${pm_location_weeks} weeks you spent in ${pm_location_name} during ${pm_location_period_lab}, did you share money you earned with someone NOT in your household using the following methods?</t>
  </si>
  <si>
    <t>194. En considérant les ${pm_location_weeks} semaines passées à ${pm_location_name} pendant ${pm_location_period_lab_fr}, avez-vous donné l’argent que vous avez gagné avec une personne EXTÉRIEURE à votre ménage grâce aux méthodes suivantes ?</t>
  </si>
  <si>
    <t>194. Tunanin makonni ${pm_location_weeks} da kuka kashe a ${pm_location_name} lokacin ${pm_location_period_lab_ha}, kun raba kuɗin da kuka samu tare da wani BA a cikin gidanku ta amfani da waɗannan hanyoyin?</t>
  </si>
  <si>
    <t>pm_share_income_out_amt</t>
  </si>
  <si>
    <t>195. How much do you estimate you shared with people NOT in your household through these methods?</t>
  </si>
  <si>
    <t>Quel montant estimez-vous avoir donné à des personnes EXTÉRIEURES à votre ménage grâce à ces méthodes ?</t>
  </si>
  <si>
    <t>Only husband decides</t>
  </si>
  <si>
    <t>Nawa kuke kiyasin kun ba wa wasu mutane wanda ba ƴan cikin gidanku ba ta waɗannan hanyoyin?</t>
  </si>
  <si>
    <t>Seul le mari décide</t>
  </si>
  <si>
    <t>Miji ne kawai ya yanke shawara</t>
  </si>
  <si>
    <t>195. Quel montant estimez-vous avoir donné à des personnes EXTÉRIEURES à votre ménage grâce à ces méthodes ?</t>
  </si>
  <si>
    <t>195. Nawa kuke kiyasin kun ba wa wasu mutane wanda ba ƴan cikin gidanku ba ta waɗannan hanyoyin?</t>
  </si>
  <si>
    <t>pm_rec_income</t>
  </si>
  <si>
    <t>196. Thinking about the ${pm_location_weeks} weeks you spent in ${pm_location_name} during ${pm_location_period_lab}, did you receive money from your household in ${pm_home_location} using the following methods?</t>
  </si>
  <si>
    <t>En considérant les ${pm_location_weeks} semaines passées à ${pm_location_name} pendant ${pm_location_period_lab_fr}, avez-vous reçu de l’argent de votre ménage à ${pm_home_location} grâce aux méthodes suivantes ?</t>
  </si>
  <si>
    <t>Ku tuna da makonnin ${pm_location_weeks} da suka wuce a ${pm_location_name} a lokacin ${pm_location_period_lab_ha}, ko kun karɓi kuɗi daga ƴan gidan ku a ${pm_home_location} ta amfani da hanyoyi masu zuwa?</t>
  </si>
  <si>
    <t>196. En considérant les ${pm_location_weeks} semaines passées à ${pm_location_name} pendant ${pm_location_period_lab_fr}, avez-vous reçu de l’argent de votre ménage à ${pm_home_location} grâce aux méthodes suivantes ?</t>
  </si>
  <si>
    <t>196. Ku tuna da makonnin ${pm_location_weeks} da suka wuce a ${pm_location_name} a lokacin ${pm_location_period_lab_ha}, ko kun karɓi kuɗi daga ƴan gidan ku a ${pm_home_location} ta amfani da hanyoyi masu zuwa?</t>
  </si>
  <si>
    <t>pm_rec_income_amt</t>
  </si>
  <si>
    <t>197. How much money do you estimate you recieved through these methods?</t>
  </si>
  <si>
    <t>Quel montant estimez-vous avoir reçu grâce à ces méthodes ?</t>
  </si>
  <si>
    <t>Kudi nawa kuke kiyasin kun samu ta waɗannan hanyoyin?</t>
  </si>
  <si>
    <t>197. Quel montant estimez-vous avoir reçu grâce à ces méthodes ?</t>
  </si>
  <si>
    <t>197. Kudi nawa kuke kiyasin kun samu ta waɗannan hanyoyin?</t>
  </si>
  <si>
    <t>concat(${pm_current_country}, '-', ${pm_current_town})</t>
  </si>
  <si>
    <t>speedcheck_pm_locnothome_end</t>
  </si>
  <si>
    <t>387. How much do you think they spent on [...]?</t>
  </si>
  <si>
    <t xml:space="preserve">387. </t>
  </si>
  <si>
    <t>dur_pm_locnothome</t>
  </si>
  <si>
    <t>388. Food</t>
  </si>
  <si>
    <t xml:space="preserve">388. </t>
  </si>
  <si>
    <t>live_home</t>
  </si>
  <si>
    <t>Will surely live at home</t>
  </si>
  <si>
    <t>if(${pm_current_in_niger} = 1, choice-label(${pm_current_region}, ${pm_current_region}), 
if(selected(${pm_current_town}, '-777'), ${pm_current_town_o}, pulldata('towns', 'town_name', 'combined_id', ${pm_current_town_id})))</t>
  </si>
  <si>
    <t>Est presque sûr de toujours habiter ici</t>
  </si>
  <si>
    <t>Tabbas zai rayu a gida</t>
  </si>
  <si>
    <t>389. Other household expenditure</t>
  </si>
  <si>
    <t xml:space="preserve">389. </t>
  </si>
  <si>
    <t>345. The next set of questions are about your opinions regarding the roles that women and men play</t>
  </si>
  <si>
    <t>345. La prochaine série de questions porte sur vos opinions concernant les rôles que jouent les femmes et les hommes</t>
  </si>
  <si>
    <t>345. Tambayoyi na gaba sun ta'allaƙa ne da ra'ayoyin ku game da rawar da mata da maza suke takawa.</t>
  </si>
  <si>
    <t>pm_typical_week</t>
  </si>
  <si>
    <t>Week in Location</t>
  </si>
  <si>
    <t>Semaine dans localite</t>
  </si>
  <si>
    <t>Mako a Wuri</t>
  </si>
  <si>
    <t>Very likely to live at home</t>
  </si>
  <si>
    <t>Est probable de toujours habiter ici'</t>
  </si>
  <si>
    <t>Yiwuwar zama a gida</t>
  </si>
  <si>
    <t>346. How often, if ever do you talk about the role of women in society with other people?</t>
  </si>
  <si>
    <t>346. À quelle fréquence, si jamais cela arrive, parlez-vous du rôle des femmes dans la société avec d'autres personnes ?</t>
  </si>
  <si>
    <t>346. Sau nawa, idan ya na faruwa, kuke yin magana game da taka rawan mata a cikin al'umma tare da sauran mutane?</t>
  </si>
  <si>
    <t>speedcheck_pm_typicalweek_start</t>
  </si>
  <si>
    <t>if(${pm_current_location_same} = 1, ${pm_beginning_location}, ${pm_current_town_name})</t>
  </si>
  <si>
    <t>347. In your opinion, how much influence a wife should have over the following decisions within a couple?</t>
  </si>
  <si>
    <t>347. Selon vous, quelle influence une épouse devrait-elle avoir sur les décisions suivantes au sein d'un couple ?</t>
  </si>
  <si>
    <t>347. A ra'ayinka, wane tasiri mace ya kamata ta yi bisa yanke shawarwari da zan zana a tsakanin ta da mijinta?</t>
  </si>
  <si>
    <t>pm_typical_week_note</t>
  </si>
  <si>
    <t>199. Now I would like to ask you about a typical week in ${pm_location_name} during ${pm_location_period_lab}</t>
  </si>
  <si>
    <t>199. Maintenant, je voudrais vous poser des questions sur une semaine normale à ${pm_location_name} pendant ${pm_location_period_lab_fr}</t>
  </si>
  <si>
    <t>199. Yanzu ina so in tambaye ku game da sati guda a cikin ${pm_location_name} ${pm_location_period_lab_ha}</t>
  </si>
  <si>
    <t>More likely than not to live at home</t>
  </si>
  <si>
    <t>Plus probable de toujours habiter ici qu'ailleurs</t>
  </si>
  <si>
    <t>Mafi kusantar zama a gida</t>
  </si>
  <si>
    <t>198. Now I would like to ask you about a typical week in ${pm_location_name} during ${pm_location_period_lab}</t>
  </si>
  <si>
    <t>198. Maintenant, je voudrais vous poser des questions sur une semaine normale à ${pm_location_name} pendant ${pm_location_period_lab_fr}</t>
  </si>
  <si>
    <t>198. Yanzu ina so in tambaye ku game da sati guda a cikin ${pm_location_name} ${pm_location_period_lab_ha}</t>
  </si>
  <si>
    <t>pm_skip_meals_typical_wk</t>
  </si>
  <si>
    <t>200. In a typical week did you cut the size of meals or skipped meals?</t>
  </si>
  <si>
    <t>200. Au cours d'une semaine normale, avez-vous réduit la taille des repas ou sauté des repas ?</t>
  </si>
  <si>
    <t>200. A cikin mako sati ko kun rage yawan abincin da kuka saba ci ko kun tsallake abincin?</t>
  </si>
  <si>
    <t>if(${pm_current_location_same} = 1, ${pm_beginning_country}, 
if(${pm_current_in_niger} = 1, 1, 
if(selected(${pm_current_country}, '-777'), ${pm_current_country_o}, ${pm_current_country})))</t>
  </si>
  <si>
    <t>199. In a typical week did you cut the size of meals or skipped meals?</t>
  </si>
  <si>
    <t>199. Au cours d'une semaine normale, avez-vous réduit la taille des repas ou sauté des repas ?</t>
  </si>
  <si>
    <t>199. A cikin mako sati ko kun rage yawan abincin da kuka saba ci ko kun tsallake abincin?</t>
  </si>
  <si>
    <t>pm_skip_meals_typical_wk_num</t>
  </si>
  <si>
    <t>201. How many days?</t>
  </si>
  <si>
    <t>201. Combien de jours?</t>
  </si>
  <si>
    <t>201. Kwanaki nawa?</t>
  </si>
  <si>
    <t>200. How many days?</t>
  </si>
  <si>
    <t>200. Combien de jours?</t>
  </si>
  <si>
    <t>More likely than not to live elsewhere</t>
  </si>
  <si>
    <t>200. Kwanaki nawa?</t>
  </si>
  <si>
    <t>Plus probable d'habiter ailleurs qu'ici</t>
  </si>
  <si>
    <t>Mai yuwuwa fiye da kada ku zauna a wani wuri</t>
  </si>
  <si>
    <t>pm_consume_week</t>
  </si>
  <si>
    <t>Weekly consumption</t>
  </si>
  <si>
    <t>Very likely to live elsewhere</t>
  </si>
  <si>
    <t>Est probable d'habiter ailleurs</t>
  </si>
  <si>
    <t>pm_expenses_note</t>
  </si>
  <si>
    <t>Yiwuwar zama wani wuri</t>
  </si>
  <si>
    <t>202. Think about your expenses in a typical week in ${pm_location_name} during ${pm_location_period_lab}.
 How much did you personally spend, if any, on the following types of expenses?</t>
  </si>
  <si>
    <t>202. Pensez à vos dépenses au cours d'une semaine normale dans ${pm_location_name} entre ${pm_location_period_lab_fr}.
 Combien avez-vous personnellement dépensé, si c'est arrivé, pour les types de dépenses suivants ?</t>
  </si>
  <si>
    <t>if(${pm_current_in_niger} = 0 and
(${pm_current_country} = 3 or
${pm_current_country} = 6 or
${pm_current_country} = 7 or
${pm_current_country} = 9 or
${pm_current_country} = 10 or
${pm_current_country} = 13 or
${pm_current_country} = 14 or
${pm_current_country} = 15 or
${pm_current_country} = 16 or
${pm_current_country} = 17 or
${pm_current_country} = 18 or
${pm_current_country} = 19), 1, 0)</t>
  </si>
  <si>
    <t>202. Ku yi tunani game da abubuwan da kuka saye a cikin sati guda a ${pm_location_name} ${pm_location_period_lab_ha}.
 Nawa kuka kashe, idan an kashe kuɗi, akan nau'ikan kashe kashen kuɗi kamar haka?</t>
  </si>
  <si>
    <t>201. Think about your expenses in a typical week in ${pm_location_name} during ${pm_location_period_lab}.
 How much did you personally spend, if any, on the following types of expenses?</t>
  </si>
  <si>
    <t>201. Pensez à vos dépenses au cours d'une semaine normale dans ${pm_location_name} entre ${pm_location_period_lab_fr}.
 Combien avez-vous personnellement dépensé, si c'est arrivé, pour les types de dépenses suivants ?</t>
  </si>
  <si>
    <t>201. Ku yi tunani game da abubuwan da kuka saye a cikin sati guda a ${pm_location_name} ${pm_location_period_lab_ha}.
 Nawa kuka kashe, idan an kashe kuɗi, akan nau'ikan kashe kashen kuɗi kamar haka?</t>
  </si>
  <si>
    <t>pm_food_cost</t>
  </si>
  <si>
    <t>203. Food (including you paid directly + money for ingredients for household)</t>
  </si>
  <si>
    <t>203. Nourriture (y compris ce que vous avez payé directement + argent pour les ingrédients pour le ménage)</t>
  </si>
  <si>
    <t>203. Abinci (ciki har da wanda kuka saye kai tsaye da kuɗin kayan abinci na gida)</t>
  </si>
  <si>
    <t>Will surely live elsewhere</t>
  </si>
  <si>
    <t>Est presque sûr d'habiter ailleurs</t>
  </si>
  <si>
    <t>Tabbas zai rayu a wani wuri</t>
  </si>
  <si>
    <t>202. Food (including you paid directly + money for ingredients for household)</t>
  </si>
  <si>
    <t>202. Nourriture (y compris ce que vous avez payé directement + argent pour les ingrédients pour le ménage)</t>
  </si>
  <si>
    <t>202. Abinci (ciki har da wanda kuka saye kai tsaye da kuɗin kayan abinci na gida)</t>
  </si>
  <si>
    <t>pm_housing_cost</t>
  </si>
  <si>
    <t>204. Housing (rent)</t>
  </si>
  <si>
    <t>204. Logement (loyer)</t>
  </si>
  <si>
    <t>204. Wurin zama (gidan haya)</t>
  </si>
  <si>
    <t>if(${pm_current_location_same} = 1, ${pm_beginning_location}, concat(${pm_beginning_location}, ' or ', ${pm_current_location}))</t>
  </si>
  <si>
    <t>203. Housing (rent)</t>
  </si>
  <si>
    <t>203. Logement (loyer)</t>
  </si>
  <si>
    <t>203. Wurin zama (gidan haya)</t>
  </si>
  <si>
    <t>pm_transportation_cost</t>
  </si>
  <si>
    <t>205. Transportation</t>
  </si>
  <si>
    <t>205. Transport</t>
  </si>
  <si>
    <t>205. Sufuri</t>
  </si>
  <si>
    <t>204. Transportation</t>
  </si>
  <si>
    <t>204. Transport</t>
  </si>
  <si>
    <t>204. Sufuri</t>
  </si>
  <si>
    <t>pm_phone_cost</t>
  </si>
  <si>
    <t>206. Cell phone</t>
  </si>
  <si>
    <t>206. Téléphone portable</t>
  </si>
  <si>
    <t>206. Wayar salula/ wayar hannu</t>
  </si>
  <si>
    <t>205. Cell phone</t>
  </si>
  <si>
    <t>205. Téléphone portable</t>
  </si>
  <si>
    <t>205. Wayar salula/ wayar hannu</t>
  </si>
  <si>
    <t>pm_leisure_cost</t>
  </si>
  <si>
    <t>if(${pm_current_location_same} = 1, ${pm_beginning_location}, concat(${pm_beginning_location}, ' ou ', ${pm_current_location}))</t>
  </si>
  <si>
    <t>207. Leisure/pleasure (tea, cigarettes, substances, betting)</t>
  </si>
  <si>
    <t>207. Loisirs/plaisir (thé, cigarettes, substances, paris)</t>
  </si>
  <si>
    <t>207. Nishaɗi/shaɗi (shayi, sigari, abubuwan maye, caca)</t>
  </si>
  <si>
    <t>206. Leisure/pleasure (tea, cigarettes, substances, betting)</t>
  </si>
  <si>
    <t>206. Loisirs/plaisir (thé, cigarettes, substances, paris)</t>
  </si>
  <si>
    <t>206. Nishaɗi/shaɗi (shayi, sigari, abubuwan maye, caca)</t>
  </si>
  <si>
    <t>live_away</t>
  </si>
  <si>
    <t>Will surely live in Niger</t>
  </si>
  <si>
    <t>Est presque sûr de toujours habiter au Niger</t>
  </si>
  <si>
    <t>Tabbas ya fi son ya zauna ya rayu a Nijar</t>
  </si>
  <si>
    <t>pm_total_cost</t>
  </si>
  <si>
    <t>Calculate consumption totals and verify</t>
  </si>
  <si>
    <t>Calculer les totaux de consommation et vérifier</t>
  </si>
  <si>
    <t>Lissafa jimillar duk abubuwan da kayi amfani da su kuma ka tabbatar</t>
  </si>
  <si>
    <t>if(${pm_current_location_same} = 1, ${pm_beginning_location}, concat(${pm_beginning_location}, ' ko ', ${pm_current_location}))</t>
  </si>
  <si>
    <t>pm_consumption_confirm</t>
  </si>
  <si>
    <t>208. In a typical week, you would spend ${pm_total_cost}. Does that sound correct?</t>
  </si>
  <si>
    <t>208. Au cours d'une semaine normale, vous dépenseriez ${pm_total_cost}. Cela vous semble-t-il correct ?</t>
  </si>
  <si>
    <t>208. A cikin sati guda, za ku iya kashe ${pm_total_cost}. Ko hakan yayi daidai?</t>
  </si>
  <si>
    <t>Very likely to live in Niger</t>
  </si>
  <si>
    <t>Est probable de toujours habiter au Niger</t>
  </si>
  <si>
    <t>Ya fi son sosai ya zauna ya rayu a Nijar</t>
  </si>
  <si>
    <t>207. In a typical week, you would spend ${pm_total_cost}. Does that sound correct?</t>
  </si>
  <si>
    <t>207. Au cours d'une semaine normale, vous dépenseriez ${pm_total_cost}. Cela vous semble-t-il correct ?</t>
  </si>
  <si>
    <t>207. A cikin sati guda, za ku iya kashe ${pm_total_cost}. Ko hakan yayi daidai?</t>
  </si>
  <si>
    <t>pm_events_location_note</t>
  </si>
  <si>
    <t>209. Now I will ask about some things that may have happened to you in ${pm_location_name} during ${pm_location_period_lab}. 
 Think about all the time you spent in ${pm_location_name} during ${pm_location_period_lab} when answering these questions</t>
  </si>
  <si>
    <t>209. Maintenant, je vais vous poser des questions sur certaines choses qui pourraient vous être arrivées à ${pm_location_name} de ${pm_location_period_lab_fr}.
 Pensez à tout le temps que vous avez passé à ${pm_location_name} de ${pm_location_period_lab_fr} lorsque vous répondez à ces questions</t>
  </si>
  <si>
    <t>209. Yanzu zan yi tambaya game da wasu abubuwa da wataƙila sun faru da ku a ${pm_location_name} lokacin ${pm_location_period_lab_ha}.
 Ku yi tuna da duk lokacin da kuka zauna a ${pm_location_name} lokacin ${pm_location_period_lab_ha} amsa waɗannan tambayoyin</t>
  </si>
  <si>
    <t>208. Now I will ask about some things that may have happened to you in ${pm_location_name} during ${pm_location_period_lab}. 
 Think about all the time you spent in ${pm_location_name} during ${pm_location_period_lab} when answering these questions</t>
  </si>
  <si>
    <t>208. Maintenant, je vais vous poser des questions sur certaines choses qui pourraient vous être arrivées à ${pm_location_name} de ${pm_location_period_lab_fr}.
 Pensez à tout le temps que vous avez passé à ${pm_location_name} de ${pm_location_period_lab_fr} lorsque vous répondez à ces questions</t>
  </si>
  <si>
    <t>208. Yanzu zan yi tambaya game da wasu abubuwa da wataƙila sun faru da ku a ${pm_location_name} lokacin ${pm_location_period_lab_ha}.
 Ku yi tuna da duk lokacin da kuka zauna a ${pm_location_name} lokacin ${pm_location_period_lab_ha} amsa waɗannan tambayoyin</t>
  </si>
  <si>
    <t>select_one freq</t>
  </si>
  <si>
    <t>pm_disc</t>
  </si>
  <si>
    <t>210. How often, if at all, were you personally discriminated against based on your identity (ethnicity, religion, nationality)?</t>
  </si>
  <si>
    <t>210. À quelle fréquence, si ça vous est déjà arrivé, avez-vous personnellement été victime de discrimination liée a votre identité (ethnie, religion, nationalité) ?</t>
  </si>
  <si>
    <t>210. Sau nawa, idan ya taɓa faruwa, aka nuna muku wariya dangance da kabilarku, ko addininku, ko ƙasarku?</t>
  </si>
  <si>
    <t>More likely than not to live in Niger</t>
  </si>
  <si>
    <t>Plus probable de toujours habiter au Niger qu'ailleurs</t>
  </si>
  <si>
    <t>Ya fi son zama a Nijar fiye da wani wuri</t>
  </si>
  <si>
    <t>209. How often, if at all, were you personally discriminated against based on your identity (ethnicity, religion, nationality)?</t>
  </si>
  <si>
    <t>209. À quelle fréquence, si ça vous est déjà arrivé, avez-vous personnellement été victime de discrimination liée a votre identité (ethnie, religion, nationalité) ?</t>
  </si>
  <si>
    <t>209. Sau nawa, idan ya taɓa faruwa, aka nuna muku wariya dangance da kabilarku, ko addininku, ko ƙasarku?</t>
  </si>
  <si>
    <t>pm_felt_unsafe</t>
  </si>
  <si>
    <t>211. How often, if ever, have you felt unsafe walking in the neighborhood where you are staying?</t>
  </si>
  <si>
    <t>211. Combien de fois, si jamais ça vous est arrivé, vous êtes-vous senti en danger en vous promenant dans le quartier où vous séjournez ?</t>
  </si>
  <si>
    <t>211. Sau nawa, idan ya taɓa faruwa, kuka ji ku cikin haɗari, yayin da kuke yawo a cikin unguwar da kuke zaune?</t>
  </si>
  <si>
    <t>210. How often, if ever, have you felt unsafe walking in the neighborhood where you are staying?</t>
  </si>
  <si>
    <t>210. Combien de fois, si jamais ça vous est arrivé, vous êtes-vous senti en danger en vous promenant dans le quartier où vous séjournez ?</t>
  </si>
  <si>
    <t>210. Sau nawa, idan ya taɓa faruwa, kuka ji ku cikin haɗari, yayin da kuke yawo a cikin unguwar da kuke zaune?</t>
  </si>
  <si>
    <t>pm_vict</t>
  </si>
  <si>
    <t>More likely than not to live in another country</t>
  </si>
  <si>
    <t>Plus probable d'habiter ailleurs que Niger</t>
  </si>
  <si>
    <t>Ya fi son sosai ya zauna ya rayu a wani wuri</t>
  </si>
  <si>
    <t>361. Household members decisions to migrate</t>
  </si>
  <si>
    <t>361. Planification familiale (quand avoir des enfants)</t>
  </si>
  <si>
    <t>361. Tsarin iyali (lokacin ɗaukan ciki)</t>
  </si>
  <si>
    <t>pm_exp_note</t>
  </si>
  <si>
    <t>212. Have you experienced any of the following in ${pm_location_name} during ${pm_location_period_lab}?</t>
  </si>
  <si>
    <t>212. Avez-vous vécu l'une des situations suivantes à cet endroit entre ${pm_location_period_lab_fr} ?</t>
  </si>
  <si>
    <t>212. Ko kun taɓa fuskantar ɗayan waɗannan abubuwan a wannan wurin, lokacin ${pm_location_period_lab_ha}?</t>
  </si>
  <si>
    <t>${pm_shm_home} = 0</t>
  </si>
  <si>
    <t>211. Have you experienced any of the following in ${pm_location_name} during ${pm_location_period_lab}?</t>
  </si>
  <si>
    <t>211. Avez-vous vécu l'une des situations suivantes à cet endroit entre ${pm_location_period_lab_fr} ?</t>
  </si>
  <si>
    <t>211. Ko kun taɓa fuskantar ɗayan waɗannan abubuwan a wannan wurin, lokacin ${pm_location_period_lab_ha}?</t>
  </si>
  <si>
    <t>Very likely to live in another country</t>
  </si>
  <si>
    <t>pm_phys_attacked</t>
  </si>
  <si>
    <t>213. Physical attack</t>
  </si>
  <si>
    <t>213. Attaque physique</t>
  </si>
  <si>
    <t>213. harin jiki</t>
  </si>
  <si>
    <t>212. Physical attack</t>
  </si>
  <si>
    <t>212. Attaque physique</t>
  </si>
  <si>
    <t>212. harin jiki</t>
  </si>
  <si>
    <t>pm_phys_threat</t>
  </si>
  <si>
    <t>214. Threat of physical violence/attack</t>
  </si>
  <si>
    <t>214. Menace de violence physique/agression</t>
  </si>
  <si>
    <t>214. Barazanar ​​harin jiki</t>
  </si>
  <si>
    <t>${pm_shm_in_niger} = 1</t>
  </si>
  <si>
    <t>213. Threat of physical violence/attack</t>
  </si>
  <si>
    <t>213. Menace de violence physique/agression</t>
  </si>
  <si>
    <t>213. Barazanar ​​harin jiki</t>
  </si>
  <si>
    <t>pm_theft</t>
  </si>
  <si>
    <t>215. Theft of either money or property?</t>
  </si>
  <si>
    <t>215. Vol d'argent ou de biens ?</t>
  </si>
  <si>
    <t>215. Satar kudi ko kaya?</t>
  </si>
  <si>
    <t>214. Theft of either money or property?</t>
  </si>
  <si>
    <t>214. Vol d'argent ou de biens ?</t>
  </si>
  <si>
    <t>Will surely live in another country</t>
  </si>
  <si>
    <t>214. Satar kudi ko kaya?</t>
  </si>
  <si>
    <t>Tabbas ya zauna ya rayu a wani wuri</t>
  </si>
  <si>
    <t>pm_arrest</t>
  </si>
  <si>
    <t>216. Detention or arrest by state security forces?</t>
  </si>
  <si>
    <t>216. Détention ou arrestation par les forces de sécurité de l'État ?</t>
  </si>
  <si>
    <t>${pm_shm_in_niger} = 0</t>
  </si>
  <si>
    <t>216. Kaso ko kamu daga jami'an tsaron gwamnati?</t>
  </si>
  <si>
    <t>215. Detention or arrest by state security forces?</t>
  </si>
  <si>
    <t>215. Détention ou arrestation par les forces de sécurité de l'État ?</t>
  </si>
  <si>
    <t>215. Kaso ko kamu daga jami'an tsaron gwamnati?</t>
  </si>
  <si>
    <t>pm_illness</t>
  </si>
  <si>
    <t>217. Illness or injury that disrupted your daily life?</t>
  </si>
  <si>
    <t>217. Une maladie ou une blessure qui a perturbé votre quotidien ?</t>
  </si>
  <si>
    <t>217. Rashin lafiya ko rauni wanda ya kawo cikas ga rayuwarku ta yau da kullun?</t>
  </si>
  <si>
    <t>216. Illness or injury that disrupted your daily life?</t>
  </si>
  <si>
    <t>216. Une maladie ou une blessure qui a perturbé votre quotidien ?</t>
  </si>
  <si>
    <t>216. Rashin lafiya ko rauni wanda ya kawo cikas ga rayuwarku ta yau da kullun?</t>
  </si>
  <si>
    <t>410. Savings</t>
  </si>
  <si>
    <t xml:space="preserve">410. </t>
  </si>
  <si>
    <t>pm_vict_text</t>
  </si>
  <si>
    <t>${pm_shm_country} = -777</t>
  </si>
  <si>
    <t>364. Now I wil ask you about your opinions about the type of society you want to live in.</t>
  </si>
  <si>
    <t>364. Maintenant, je vais vous demander votre opinion sur le type de société dans laquelle vous souhaitez vivre.</t>
  </si>
  <si>
    <t>364. Yanzu zan tambaye ra'ayinku game da wasu mutane daban da ku, da kuma irin al'ummar da kuke son rayuwa a ciki.</t>
  </si>
  <si>
    <t>pm_vict_text_note</t>
  </si>
  <si>
    <t>218. Now I would like to ask you to tell me more about your specific experience with:</t>
  </si>
  <si>
    <t>218. J'aimerais maintenant vous demander de m'en dire un peu plus sur votre expérience spécifique avec :</t>
  </si>
  <si>
    <t>218. Yanzu ina so in tambaye ku ƙarin bayani game da abin da ka fuskanta a masamman game da:</t>
  </si>
  <si>
    <t>school_prefer_son</t>
  </si>
  <si>
    <t>Strongly prefer sons complete koranic school</t>
  </si>
  <si>
    <t>Préfère fortement que les fils terminent l'école coranique</t>
  </si>
  <si>
    <t>Ya fi son sosai ƴaƴa maza su kammala karatun ƙur'ani</t>
  </si>
  <si>
    <t>217. Now I would like to ask you to tell me more about your specific experience with:</t>
  </si>
  <si>
    <t>217. J'aimerais maintenant vous demander de m'en dire un peu plus sur votre expérience spécifique avec :</t>
  </si>
  <si>
    <t>217. Yanzu ina so in tambaye ku ƙarin bayani game da abin da ka fuskanta a masamman game da:</t>
  </si>
  <si>
    <t>pm_attack_note</t>
  </si>
  <si>
    <t>219. Physical attack</t>
  </si>
  <si>
    <t>219. Pouvez-vous m'en dire un peu plus sur ce qui s'est passé ?</t>
  </si>
  <si>
    <t>219. Za ku iya bani karin bayani a kan abin da ya faru?</t>
  </si>
  <si>
    <t>search('towns', 'matches', 'country_id', ${pm_shm_country})</t>
  </si>
  <si>
    <t>${pm_shm_in_niger} = 0 and ${pm_shm_country} = -999</t>
  </si>
  <si>
    <t>218. Physical attack</t>
  </si>
  <si>
    <t>218. Pouvez-vous m'en dire un peu plus sur ce qui s'est passé ?</t>
  </si>
  <si>
    <t>218. Za ku iya bani karin bayani a kan abin da ya faru?</t>
  </si>
  <si>
    <t>pm_phys_threat_note</t>
  </si>
  <si>
    <t>220. Threat of physical violence/attack</t>
  </si>
  <si>
    <t>220. Menace de violence physique/agression</t>
  </si>
  <si>
    <t>220. Barazanar ​​harin jiki</t>
  </si>
  <si>
    <t>Somewhat prefer sons complete koranic school</t>
  </si>
  <si>
    <t>Préfère un peu que les fils terminent l'école coranique</t>
  </si>
  <si>
    <t>219. Threat of physical violence/attack</t>
  </si>
  <si>
    <t>Ya ɗan fi son ƴaƴa maza su kammala karatun ƙur'ani</t>
  </si>
  <si>
    <t>219. Menace de violence physique/agression</t>
  </si>
  <si>
    <t>219. Barazanar ​​harin jiki</t>
  </si>
  <si>
    <t>pm_theft_note</t>
  </si>
  <si>
    <t>221. Theft of either money or property?</t>
  </si>
  <si>
    <t>221. Pouvez-vous m'en dire un peu plus sur ce qui s'est passé ?</t>
  </si>
  <si>
    <t>221. Za ku iya bani karin bayani a kan abin da ya faru?</t>
  </si>
  <si>
    <t>220. Theft of either money or property?</t>
  </si>
  <si>
    <t>220. Pouvez-vous m'en dire un peu plus sur ce qui s'est passé ?</t>
  </si>
  <si>
    <t>220. Za ku iya bani karin bayani a kan abin da ya faru?</t>
  </si>
  <si>
    <t>pm_experiences_text</t>
  </si>
  <si>
    <t>222. Detention or arrest by state security forces?</t>
  </si>
  <si>
    <t>222. Pouvez-vous m'en dire un peu plus sur ce qui s'est passé ?</t>
  </si>
  <si>
    <t>Indifferent between completion of koranic school or bacalaureat</t>
  </si>
  <si>
    <t>222. Ko za ka iya yi mini ƙarin bayani a kan abin da ya faru?</t>
  </si>
  <si>
    <t>Indifférent entre l'achèvement de l'école coranique et de l'école formelle jusqu'au baccalauréat</t>
  </si>
  <si>
    <t>Babu zaɓi tsakanin kammala karatun kur'ani ko boko har zuwa Bak</t>
  </si>
  <si>
    <t>221. Detention or arrest by state security forces?</t>
  </si>
  <si>
    <t>221. Ko za ka iya yi mini ƙarin bayani a kan abin da ya faru?</t>
  </si>
  <si>
    <t>select_one illness</t>
  </si>
  <si>
    <t>pm_illness_type</t>
  </si>
  <si>
    <t>223. What type of illness or injury did you experience?</t>
  </si>
  <si>
    <t>223. Quel type de maladie ou de blessure avez-vous subi ?</t>
  </si>
  <si>
    <t>selected(${pm_shm_town}, '-777')</t>
  </si>
  <si>
    <t>223. Wane irin ciwo ko rauni kuka fuskanta?</t>
  </si>
  <si>
    <t>222. What type of illness or injury did you experience?</t>
  </si>
  <si>
    <t>222. Quel type de maladie ou de blessure avez-vous subi ?</t>
  </si>
  <si>
    <t>222. Wane irin ciwo ko rauni kuka fuskanta?</t>
  </si>
  <si>
    <t>pm_illness_type_o</t>
  </si>
  <si>
    <t>224. What type of illness or injury did you experience?</t>
  </si>
  <si>
    <t>224. Quel type de maladie ou de blessure avez-vous subi ?</t>
  </si>
  <si>
    <t>224. Wane irin ciwo ko rauni kuka fuskanta?</t>
  </si>
  <si>
    <t>Somewhat prefer sons complete bacalaureat</t>
  </si>
  <si>
    <t>Préfère un peu que les fils terminent l'école jusqu'au bac</t>
  </si>
  <si>
    <t>Ya ɗan fi son ƴaƴa maza su kammala karatun boko har zuwa Bak</t>
  </si>
  <si>
    <t>pm_seek_treatment</t>
  </si>
  <si>
    <t>225. In ${pm_location_name}, did you seek any treatment for any illness or injury?</t>
  </si>
  <si>
    <t>225. À ${pm_location_name}, avez-vous cherché un traitement pour une maladie ou une blessure ?</t>
  </si>
  <si>
    <t>225. A ${pm_location_name}, kun nemi wani magani don wata cuta ko rauni?</t>
  </si>
  <si>
    <t>Enumerator: If yes, please ask the respondent when the best time to return to survey ${shm_name} and note it down. We would like you to return to the household then to survey ${shm_name}.</t>
  </si>
  <si>
    <t>Enquêteur : Si oui, veuillez demander au répondant quel est le meilleur moment pour revenir à l'enquête ${shm_name} et notez-le. Nous aimerions que vous retourniez au ménage pour enquêter ${shm_name}.</t>
  </si>
  <si>
    <t>Mai bincike: Idan eh ne, ka tambayi mai bada amsa lokacin da ya fi dacewa don komawa binciken ${shm_name} kuma arubuta shi. Da fatan za'a koma gidan don yin binciken ${shm_name}.</t>
  </si>
  <si>
    <t>224. In ${pm_location_name}, did you seek any treatment for any illness or injury?</t>
  </si>
  <si>
    <t>224. À ${pm_location_name}, avez-vous cherché un traitement pour une maladie ou une blessure ?</t>
  </si>
  <si>
    <t>224. A ${pm_location_name}, kun nemi wani magani don wata cuta ko rauni?</t>
  </si>
  <si>
    <t>Strongly prefer sons complete bacalaureat</t>
  </si>
  <si>
    <t>Préfère fortement que les garçons termnent l'école jusqu'au baccalauréat</t>
  </si>
  <si>
    <t>Ya fi son sosai ƴaƴa maza su kammala karatun boko har zuwa Bak</t>
  </si>
  <si>
    <t>speedcheck_pm_typicalweek_end</t>
  </si>
  <si>
    <t>Enumerator: Please write the name, age and sex of the member that was selected for this question. We will refer back to this individual in the Secondary Household Member (SHM) survey if the current SHM respondent moved out of the household.</t>
  </si>
  <si>
    <t>Agent enquêteur : Veuillez indiquer le nom, l’âge et le sexe du membre sélectionné pour cette question. Nous ferons référence à cette personne dans l’enquête du second membre du ménage (MSM) si le répondant actuel a quitté le ménage.</t>
  </si>
  <si>
    <t>Mai bincike: Da fatan za a rubuta suna, shekaru da jinsin ɗan gidan da aka zaɓa don wannan tambayar. Za mu koma ga wannan mutum a cikin binciken ɗan gida na biyu (SHM) idan mai bada amsa na yanzu ya fice daga gidan.</t>
  </si>
  <si>
    <t>dur_pm_typicalweek</t>
  </si>
  <si>
    <t>${hhmembers_above16} &gt; 0</t>
  </si>
  <si>
    <t>filter &lt;= ${hhmembers_above16}</t>
  </si>
  <si>
    <t>376. I will read you two statements. Which of the following statements is closest to your view? Choose Statement 1 or Statement 
 Using violence to accomplish your goals is never justified, no matter how worthy your cause
 It is sometime necessary to use violence in pursuit of a good cause.</t>
  </si>
  <si>
    <t>376. Je vais vous lire deux déclarations. Laquelle des déclarations suivantes est la plus proche de votre point de vue ? Choisissez la déclaration 1 ou la déclaration 
 Utiliser la violence pour atteindre vos objectifs n'est jamais justifié, quelle que soit la valeur de votre cause
 Il est parfois nécessaire de recourir à la violence dans la poursuite d'une bonne cause.</t>
  </si>
  <si>
    <t>376. Zan karanta muku maganganu guda biyu. A cikin wadannan maganganun wanne ne ya fi kusa da ra'ayin ku? Zabi Bayani na 1 ko Bayani na 
 Yin amfani da ƙarfi don cimma burinku ba zai taɓa zama daidai ba, komai cancantar dalilanku
 Wani lokaci ya zama dole a yi amfani da ƙarfi wajen neman manufa mai kyau.</t>
  </si>
  <si>
    <t>${pm_home} = 0 or ${pm_leave} = 1 or (${pm_home} = 1 and ${pm_current_location_same} = 0)</t>
  </si>
  <si>
    <t>394. How much did your household spend on the following types of expenses during the last agricultural season in CFA?</t>
  </si>
  <si>
    <t>394. Combien votre ménage a-t-il dépensé pour les types de dépenses suivantes au cours de la dernière saison agricole (en CFA) ?</t>
  </si>
  <si>
    <t>394. Nawa ne gidanku ya kashe akan waɗannan abubuwan a lokacin noman da ya wuce (a sefa)?</t>
  </si>
  <si>
    <t>work_prefer_son</t>
  </si>
  <si>
    <t>pm_gifts_loans</t>
  </si>
  <si>
    <t>Strongly prefer sons stay and work the land</t>
  </si>
  <si>
    <t>Préfère fortement que les fils restent et travaillent la terre</t>
  </si>
  <si>
    <t>Ya fi so sosai ƴaƴa maza su zauna su yi aikin gona</t>
  </si>
  <si>
    <t>388. How many ${hoh_livestock_name} does your household own?</t>
  </si>
  <si>
    <t>388. Combien de ${hoh_livestock_name} votre ménage possède-t-il ?</t>
  </si>
  <si>
    <t>388. ${hoh_livestock_name} Nawa gidan ku ya mallaka ?</t>
  </si>
  <si>
    <t>pm_gifts</t>
  </si>
  <si>
    <t>We discussed the amount of income you earned at each location that you shared with members of your household and people not in your household at each of the locations. In addition to these transfers, did you give any gifts and/or charitable donations to other individuals or ogranizations in ${period}?</t>
  </si>
  <si>
    <t>Nous avons discuté du montant des revenus que vous avez gagnés à chaque endroit et que vous avez partagés avec les membres de votre menage et des personnes extérieures à votre menage à chaque endroit. Outre ces transferts, avez-vous fait des cadeaux et/ou des dons de charité à d'autres personnes ou organisations en ${period_french} ?</t>
  </si>
  <si>
    <t>Mun tattauna yawan kuɗin shiga da kuka samu a kowane wuri wanda kuka raba tare da ƴan gidanku da kuma mutanen da ba ƴan cikin gidan ku ba a kowanne daga wuraren nan. Bancin waɗannan kyatuttuka, ko kun bada wata kyauta da/ko gudummawar sadaka ga wasu mutane ko ƙungiyoyi a cikin ${period_hausa}?</t>
  </si>
  <si>
    <t>225. We discussed the amount of income you earned at each location that you shared with members of your household and people not in your household at each of the locations. In addition to these transfers, did you give any gifts and/or charitable donations to other individuals or ogranizations in ${period}?</t>
  </si>
  <si>
    <t>225. Nous avons discuté du montant des revenus que vous avez gagnés à chaque endroit et que vous avez partagés avec les membres de votre menage et des personnes extérieures à votre menage à chaque endroit. Outre ces transferts, avez-vous fait des cadeaux et/ou des dons de charité à d'autres personnes ou organisations en ${period_french} ?</t>
  </si>
  <si>
    <t>Somewhat prefer sons stay and work the land</t>
  </si>
  <si>
    <t>225. Mun tattauna yawan kuɗin shiga da kuka samu a kowane wuri wanda kuka raba tare da ƴan gidanku da kuma mutanen da ba ƴan cikin gidan ku ba a kowanne daga wuraren nan. Bancin waɗannan kyatuttuka, ko kun bada wata kyauta da/ko gudummawar sadaka ga wasu mutane ko ƙungiyoyi a cikin ${period_hausa}?</t>
  </si>
  <si>
    <t>Préfère un peu que les fils restent et travaillent la terre</t>
  </si>
  <si>
    <t>Ya ɗan fi son ƴaƴa maza su zauna su yi aikin gona</t>
  </si>
  <si>
    <t>pm_gifts_amt</t>
  </si>
  <si>
    <t>What is the amount you gifted or donated in CFA?</t>
  </si>
  <si>
    <t>Quel est le montant que vous avez donné en CFA ?</t>
  </si>
  <si>
    <t>Nawa ne yawan kuɗin da kuka ba da kyauta ko gudummawa a kuɗin CFA?</t>
  </si>
  <si>
    <t>226. What is the amount you gifted or donated in CFA?</t>
  </si>
  <si>
    <t>226. Quel est le montant que vous avez donné en CFA ?</t>
  </si>
  <si>
    <t>226. Nawa ne yawan kuɗin da kuka ba da kyauta ko gudummawa a kuɗin CFA?</t>
  </si>
  <si>
    <t>pm_loans</t>
  </si>
  <si>
    <t>In addition to these transfers, did you loan the money you earned to other individuals or ogranizations in ${period}?</t>
  </si>
  <si>
    <t>En dehors de ces transferts, avez-vous prêté l'argent que vous avez gagné à d'autres personnes ou organisations en ${period_french} ?</t>
  </si>
  <si>
    <t>Indifferent between sons staying and leaving</t>
  </si>
  <si>
    <t>Bancin waɗannan kyatuttuka, kun ba da bashin kuɗin da kuka samu ga wasu mutane ko ƙungiyoyi a cikin ${period_hausa}?</t>
  </si>
  <si>
    <t>Indifférent entre les fils restent travailler la terre et partent en ville</t>
  </si>
  <si>
    <t>Bashi da zaɓi tsakanin ƴaƴa su zauna su yi aikin gona da su je birni</t>
  </si>
  <si>
    <t>${speedcheck_pm_loc_end} - ${speedcheck_pm_loc_start}</t>
  </si>
  <si>
    <t>227. In addition to these transfers, did you loan the money you earned to other individuals or ogranizations in ${period}?</t>
  </si>
  <si>
    <t>227. En dehors de ces transferts, avez-vous prêté l'argent que vous avez gagné à d'autres personnes ou organisations en ${period_french} ?</t>
  </si>
  <si>
    <t>227. Bancin waɗannan kyatuttuka, kun ba da bashin kuɗin da kuka samu ga wasu mutane ko ƙungiyoyi a cikin ${period_hausa}?</t>
  </si>
  <si>
    <t>pm_loans_amt</t>
  </si>
  <si>
    <t>What is the amount you loaned in CFA?</t>
  </si>
  <si>
    <t>Quel est le montant que vous avez prêté en CFA ?</t>
  </si>
  <si>
    <t>Nawa ne yawan kuɗin da kuka bada rance a kuɗin CFA?</t>
  </si>
  <si>
    <t>228. What is the amount you loaned in CFA?</t>
  </si>
  <si>
    <t>228. Quel est le montant que vous avez prêté en CFA ?</t>
  </si>
  <si>
    <t>Somewhat prefer sons go to a city to find professional opportunities</t>
  </si>
  <si>
    <t>228. Nawa ne yawan kuɗin da kuka bada rance a kuɗin CFA?</t>
  </si>
  <si>
    <t>Préfère un peu que les fils aillent en ville pour trouver des opportunités professionnelles</t>
  </si>
  <si>
    <t>Ya ɗan fi son ƴaƴa maza su je birni don neman sana'a</t>
  </si>
  <si>
    <t>378. How much cash in CFA did you receive from Mercy Corps in the last distribution?</t>
  </si>
  <si>
    <t>378. Combien avez-vous reçu en CFA de Mercy Corps au dernier transfert?</t>
  </si>
  <si>
    <t>378. Nawa kuka samu daga Mercy corps a zubin ƙarshe?</t>
  </si>
  <si>
    <t>pm_forced</t>
  </si>
  <si>
    <t>Strongly prefer sons go to a city to find professional opportunities</t>
  </si>
  <si>
    <t>423. Investments in agriculture and/or business</t>
  </si>
  <si>
    <t>Préfère fortement que les fils partent en ville pour trouver des opportunités professionnelles</t>
  </si>
  <si>
    <t xml:space="preserve">423. </t>
  </si>
  <si>
    <t>Ya fi so sosai ƴaƴa maza su je birni don neman sana'a</t>
  </si>
  <si>
    <t>pm_forced_note</t>
  </si>
  <si>
    <t>226. At any of the locations mentioned above, did you experience any of the following situations or been threatened with them in a workplace?</t>
  </si>
  <si>
    <t>226. Dans l'un des endroits mentionnés ci-dessus, avez-vous vécu l'une des situations suivantes ou avez-vous été menacé sur votre lieu de travail ?</t>
  </si>
  <si>
    <t>226. A cikin wannan wuraren da aka ambata, ko kun fuskanci ɗaya daga cikin waɗannan yanayi ko kuma an yi muku barazana a wurin aiki?</t>
  </si>
  <si>
    <t>229. At any of the locations mentioned above, did you experience any of the following situations or been threatened with them in a workplace?</t>
  </si>
  <si>
    <t>229. Dans l'un des endroits mentionnés ci-dessus, avez-vous vécu l'une des situations suivantes ou avez-vous été menacé sur votre lieu de travail ?</t>
  </si>
  <si>
    <t>229. A cikin wannan wuraren da aka ambata, ko kun fuskanci ɗaya daga cikin waɗannan yanayi ko kuma an yi muku barazana a wurin aiki?</t>
  </si>
  <si>
    <t>pm_forced_docs</t>
  </si>
  <si>
    <t>227. Had passport or other papers taken away</t>
  </si>
  <si>
    <t>227. confisquer votre Passeport ou autres papiers</t>
  </si>
  <si>
    <t>227. An amshe muku fasfo ko wasu takardu</t>
  </si>
  <si>
    <t>230. Had passport or other papers taken away</t>
  </si>
  <si>
    <t>230. confisquer votre Passeport ou autres papiers</t>
  </si>
  <si>
    <t>230. An amshe muku fasfo ko wasu takardu</t>
  </si>
  <si>
    <t>pm_forced_no_contact</t>
  </si>
  <si>
    <t>228. Been prevented from contacting friends or family</t>
  </si>
  <si>
    <t>228. Vous avez été empêché de contacter vos amis ou votre famille</t>
  </si>
  <si>
    <t>228. An hana ku tuntuɓar abokai ko dangi</t>
  </si>
  <si>
    <t>231. Been prevented from contacting friends or family</t>
  </si>
  <si>
    <t>231. Vous avez été empêché de contacter vos amis ou votre famille</t>
  </si>
  <si>
    <t>231. An hana ku tuntuɓar abokai ko dangi</t>
  </si>
  <si>
    <t>pm_forced_no_pay</t>
  </si>
  <si>
    <t>229. Been paid less than promised or not paid when promised</t>
  </si>
  <si>
    <t>229. A été payé moins que promis ou n'a pas été payé lorsque promis</t>
  </si>
  <si>
    <t>229. An biya ku ƙasa da abin da aka yi alkawari ko kuma ba a biya ku ba lokacin da aka yi alkawari</t>
  </si>
  <si>
    <t>232. Been paid less than promised or not paid when promised</t>
  </si>
  <si>
    <t>232. A été payé moins que promis ou n'a pas été payé lorsque promis</t>
  </si>
  <si>
    <t>232. An biya ku ƙasa da abin da aka yi alkawari ko kuma ba a biya ku ba lokacin da aka yi alkawari</t>
  </si>
  <si>
    <t>pm_forced_debt</t>
  </si>
  <si>
    <t>230. Been forced to pay off a debt to my employer before I could leave</t>
  </si>
  <si>
    <t>230. A été obligé de payer une dette à mon employeur avant de pouvoir partir</t>
  </si>
  <si>
    <t>230. An tilasta muku biyan bashi ga mai gida kafin tafiya</t>
  </si>
  <si>
    <t>school_prefer_d</t>
  </si>
  <si>
    <t>Strongly prefer daughters complete koranic school</t>
  </si>
  <si>
    <t>233. Been forced to pay off a debt to my employer before I could leave</t>
  </si>
  <si>
    <t>233. A été obligé de payer une dette à mon employeur avant de pouvoir partir</t>
  </si>
  <si>
    <t>Préfère fortement que les filles terminent l'école coranique</t>
  </si>
  <si>
    <t>233. An tilasta muku biyan bashi ga mai gida kafin tafiya</t>
  </si>
  <si>
    <t>Ya fi son sosai ƴaƴa mata su kammala karatun ƙur'ani</t>
  </si>
  <si>
    <t>pm_forced_restrained</t>
  </si>
  <si>
    <t>231. Experienced violence or physical restraint</t>
  </si>
  <si>
    <t>231. Victime de violence ou de contrainte physique</t>
  </si>
  <si>
    <t>231. An matsa muku ko an tilasta muku yin wani abin da ba ku iyawa</t>
  </si>
  <si>
    <t>234. Experienced violence or physical restraint</t>
  </si>
  <si>
    <t>234. Victime de violence ou de contrainte physique</t>
  </si>
  <si>
    <t>234. An matsa muku ko an tilasta muku yin wani abin da ba ku iyawa</t>
  </si>
  <si>
    <t>Somewhat prefer daughters complete koranic school</t>
  </si>
  <si>
    <t>pm_forced_illegal</t>
  </si>
  <si>
    <t>232. Forced to engage in actions against my will</t>
  </si>
  <si>
    <t>Préfére un peu que les filles terminent l'école coranique</t>
  </si>
  <si>
    <t>232. Forcé de s'engager dans des actions contre ma volonté</t>
  </si>
  <si>
    <t>Ya ɗan fi son ƴaƴa mata su kammala karatun ƙur'ani</t>
  </si>
  <si>
    <t>232. An tilasta muku aikata ayyukan da ba ku so ba</t>
  </si>
  <si>
    <t>235. Forced to engage in actions against my will</t>
  </si>
  <si>
    <t>235. Forcé de s'engager dans des actions contre ma volonté</t>
  </si>
  <si>
    <t>235. An tilasta muku aikata ayyukan da ba ku so ba</t>
  </si>
  <si>
    <t>431. Other</t>
  </si>
  <si>
    <t xml:space="preserve">431. </t>
  </si>
  <si>
    <t>Indifférent entre l'achèvement de l'école coranique et le baccalauréat</t>
  </si>
  <si>
    <t>pm_forced_location</t>
  </si>
  <si>
    <t>select_multiple locations</t>
  </si>
  <si>
    <t>pm_forced_loc_note</t>
  </si>
  <si>
    <t>233. Where did you experience or were threatened with the following situations?</t>
  </si>
  <si>
    <t>233. Où avez-vous vécu ou avez été menacé de faire face aux situations suivantes ?</t>
  </si>
  <si>
    <t>233. A cikin wannan wuraren da aka ambata, ko kun fuskanci ɗaya daga cikin waɗannan yanayi ko kuma an yi muku barazana a wurin aiki?</t>
  </si>
  <si>
    <t>236. Where did you experience or were threatened with the following situations?</t>
  </si>
  <si>
    <t>236. Où avez-vous vécu ou avez été menacé de faire face aux situations suivantes ?</t>
  </si>
  <si>
    <t>236. A cikin wannan wuraren da aka ambata, ko kun fuskanci ɗaya daga cikin waɗannan yanayi ko kuma an yi muku barazana a wurin aiki?</t>
  </si>
  <si>
    <t>Somewhat prefer daughters complete bacalaureat</t>
  </si>
  <si>
    <t>Préfère un peu que les filles terminent l'école jusqu'au bac</t>
  </si>
  <si>
    <t>pm_forced_docs_loc</t>
  </si>
  <si>
    <t>Ya ɗan fi son ƴaƴa mata su kammala karatun boko har zuwa Bak</t>
  </si>
  <si>
    <t>234. Had passport or other papers taken away</t>
  </si>
  <si>
    <t>234. confisquer votre Passeport ou autres papiers</t>
  </si>
  <si>
    <t>234. An amshe muku fasfo ko wasu takardu</t>
  </si>
  <si>
    <t>237. Had passport or other papers taken away</t>
  </si>
  <si>
    <t>237. confisquer votre Passeport ou autres papiers</t>
  </si>
  <si>
    <t>237. An amshe muku fasfo ko wasu takardu</t>
  </si>
  <si>
    <t>pm_forced_no_contact_loc</t>
  </si>
  <si>
    <t>235. Been prevented from contacting friends or family</t>
  </si>
  <si>
    <t>235. Vous avez été empêché de contacter vos amis ou votre famille</t>
  </si>
  <si>
    <t>235. An hana ku tuntuɓar abokai ko dangi</t>
  </si>
  <si>
    <t>238. Been prevented from contacting friends or family</t>
  </si>
  <si>
    <t>Strongly prefer daughters complete bacalaureat</t>
  </si>
  <si>
    <t>238. Vous avez été empêché de contacter vos amis ou votre famille</t>
  </si>
  <si>
    <t>238. An hana ku tuntuɓar abokai ko dangi</t>
  </si>
  <si>
    <t>Préfére fortement que les filles terminent l'école jusqu'au bac</t>
  </si>
  <si>
    <t>pm_forced_no_pay_loc</t>
  </si>
  <si>
    <t>Ya fi son sosai ƴaƴa mata su kammala karatun boko har zuwa Bak</t>
  </si>
  <si>
    <t>236. Been paid less than promised or not paid when promised</t>
  </si>
  <si>
    <t>236. A été payé moins que promis ou n'a pas été payé lorsque promis</t>
  </si>
  <si>
    <t>236. An biya ku ƙasa da abin da aka yi alkawari ko kuma ba a biya ku ba lokacin da aka yi alkawari</t>
  </si>
  <si>
    <t>239. Been paid less than promised or not paid when promised</t>
  </si>
  <si>
    <t>239. A été payé moins que promis ou n'a pas été payé lorsque promis</t>
  </si>
  <si>
    <t>239. An biya ku ƙasa da abin da aka yi alkawari ko kuma ba a biya ku ba lokacin da aka yi alkawari</t>
  </si>
  <si>
    <t>pm_forced_debt_loc</t>
  </si>
  <si>
    <t>237. Been forced to pay off a debt to my employer before I could leave</t>
  </si>
  <si>
    <t>237. A été obligé de payer une dette à mon employeur avant de pouvoir partir</t>
  </si>
  <si>
    <t>237. An tilasta muku biyan bashi ga mai gida kafin tafiya</t>
  </si>
  <si>
    <t>240. Been forced to pay off a debt to my employer before I could leave</t>
  </si>
  <si>
    <t>240. A été obligé de payer une dette à mon employeur avant de pouvoir partir</t>
  </si>
  <si>
    <t>240. An tilasta muku biyan bashi ga mai gida kafin tafiya</t>
  </si>
  <si>
    <t>pm_forced_restrained_loc</t>
  </si>
  <si>
    <t>238. Experienced violence or physical restraint</t>
  </si>
  <si>
    <t>238. Victime de violence ou de contrainte physique</t>
  </si>
  <si>
    <t>238. An matsa muku ko an tilasta muku yin wani abin da ba ku iyawa</t>
  </si>
  <si>
    <t>241. Experienced violence or physical restraint</t>
  </si>
  <si>
    <t>241. Victime de violence ou de contrainte physique</t>
  </si>
  <si>
    <t>241. An matsa muku ko an tilasta muku yin wani abin da ba ku iyawa</t>
  </si>
  <si>
    <t>pm_forced_illegal_loc</t>
  </si>
  <si>
    <t>239. Forced to engage in actions against my will</t>
  </si>
  <si>
    <t>239. Forcé de s'engager dans des actions contre ma volonté</t>
  </si>
  <si>
    <t>239. An tilasta muku aikata ayyukan da ba ku so ba</t>
  </si>
  <si>
    <t>242. Forced to engage in actions against my will</t>
  </si>
  <si>
    <t>242. Forcé de s'engager dans des actions contre ma volonté</t>
  </si>
  <si>
    <t>242. An tilasta muku aikata ayyukan da ba ku so ba</t>
  </si>
  <si>
    <t>work_prefer_d</t>
  </si>
  <si>
    <t>Strongly prefer daughters stay and work the land</t>
  </si>
  <si>
    <t>Préfère fortement que les filles restent et travaillent la terre</t>
  </si>
  <si>
    <t>Ya fi so sosai ƴaƴa mata su zauna su yi aikin gona</t>
  </si>
  <si>
    <t>speedcheck_pm_locact_end</t>
  </si>
  <si>
    <t>392. Savings</t>
  </si>
  <si>
    <t>392. Épargne</t>
  </si>
  <si>
    <t>392. Ajiya</t>
  </si>
  <si>
    <t>dur_pm_locact</t>
  </si>
  <si>
    <t>Somewhat prefer daughters stay and work the land</t>
  </si>
  <si>
    <t>Préfère un peu que les filles restent et travaillent la terre</t>
  </si>
  <si>
    <t>Ya ɗan fi son ƴaƴa mata su zauna su yi aikin gona</t>
  </si>
  <si>
    <t>speedcheck_pm_failedprep_start</t>
  </si>
  <si>
    <t>Indifferent between daughters staying and leaving</t>
  </si>
  <si>
    <t>pm_failed_prep</t>
  </si>
  <si>
    <t>Indifférent entre les filles qui restent travailler la terre et partent en ville</t>
  </si>
  <si>
    <t>240. Since ${period}, was there ever a time when you planned to migrate but then had to cancel their plans?</t>
  </si>
  <si>
    <t>240. Depuis cette ${period_french}, y a-t-il déjà eu un moment où tu avait prévu de migrer mais a ensuite dû annuler ses projets ?</t>
  </si>
  <si>
    <t>240. ${period_hausa}, ko akwai lokacin da ka shirya zuwa biɗa amma ka fasa?</t>
  </si>
  <si>
    <t>243. Since ${period}, was there ever a time when you planned to migrate but then had to cancel their plans?</t>
  </si>
  <si>
    <t>243. Depuis cette ${period_french}, y a-t-il déjà eu un moment où tu avait prévu de migrer mais a ensuite dû annuler ses projets ?</t>
  </si>
  <si>
    <t>243. ${period_hausa}, ko akwai lokacin da ka shirya zuwa biɗa amma ka fasa?</t>
  </si>
  <si>
    <t>select_multiple countries</t>
  </si>
  <si>
    <t>pm_failed_prep_country</t>
  </si>
  <si>
    <t>241. Where did they plan to migrate?</t>
  </si>
  <si>
    <t>241. Où envisageait-il de migrer ?</t>
  </si>
  <si>
    <t>241. Ina ka yi niyar zuwa?</t>
  </si>
  <si>
    <t>Somewhat prefer daughters go to a city to find professional opportunities</t>
  </si>
  <si>
    <t>244. Where did they plan to migrate?</t>
  </si>
  <si>
    <t>Préfèrent un peu que les filles aillent en ville pour trouver des opportunités professionnelles</t>
  </si>
  <si>
    <t>244. Où envisageait-il de migrer ?</t>
  </si>
  <si>
    <t>244. Ina ka yi niyar zuwa?</t>
  </si>
  <si>
    <t>Ya ɗan fi son ƴaƴa mata su je birni don neman sana'a</t>
  </si>
  <si>
    <t>pm_failed_prep_country_o</t>
  </si>
  <si>
    <t>242. Specify other</t>
  </si>
  <si>
    <t>242. Autre à préciser</t>
  </si>
  <si>
    <t>242. Wani abu daban a Bayyana</t>
  </si>
  <si>
    <t>245. Specify other</t>
  </si>
  <si>
    <t>245. Autre à préciser</t>
  </si>
  <si>
    <t>245. Wani abu daban a Bayyana</t>
  </si>
  <si>
    <t>pm_failed_repeat</t>
  </si>
  <si>
    <t>Failed Migrations</t>
  </si>
  <si>
    <t>Strongly prefer daughters go to a city to find professional opportunities</t>
  </si>
  <si>
    <t>Préfère fortement que les filles aillent en ville pour trouver des opportunités professionnelles</t>
  </si>
  <si>
    <t>Ya fi so sosai ƴaƴa mata su je birni don neman sana'a</t>
  </si>
  <si>
    <t>pm_failed_index</t>
  </si>
  <si>
    <t>399. Other</t>
  </si>
  <si>
    <t>399. Autres</t>
  </si>
  <si>
    <t>399. Wasu</t>
  </si>
  <si>
    <t>pm_failed_country_index</t>
  </si>
  <si>
    <t>410. Renting machines and tools (i.e. for plowing or spraying)</t>
  </si>
  <si>
    <t>410. Location de machines et d'outils (c'est-à-dire pour labourer ou pulvériser)</t>
  </si>
  <si>
    <t>410. Hayar injina da kayan aiki ( don noma ko feshi)</t>
  </si>
  <si>
    <t>pm_failed_country</t>
  </si>
  <si>
    <t>Country Name</t>
  </si>
  <si>
    <t>411. Water</t>
  </si>
  <si>
    <t>411. Eau</t>
  </si>
  <si>
    <t>411. Ruwa</t>
  </si>
  <si>
    <t>select_multiple towns</t>
  </si>
  <si>
    <t>pm_failed_town</t>
  </si>
  <si>
    <t>243. In ${pm_failed_country}, what was the name of the city or town that you planned to move to?</t>
  </si>
  <si>
    <t>243. Dans ${pm_failed_country}, quel était le nom de la ville ou du village dans lequel vous envisagez d'aller ?</t>
  </si>
  <si>
    <t>243. A cikin ${pm_failed_country}, menene sunan birni ko garin da ka yi niyyar zuwa?</t>
  </si>
  <si>
    <t>246. In ${pm_failed_country}, what was the name of the city or town that you planned to move to?</t>
  </si>
  <si>
    <t>246. Dans ${pm_failed_country}, quel était le nom de la ville ou du village dans lequel vous envisagez d'aller ?</t>
  </si>
  <si>
    <t>246. A cikin ${pm_failed_country}, menene sunan birni ko garin da ka yi niyyar zuwa?</t>
  </si>
  <si>
    <t>pm_failed_town_o</t>
  </si>
  <si>
    <t>244. Specify other</t>
  </si>
  <si>
    <t>244. Autre à préciser</t>
  </si>
  <si>
    <t>244. Wani daban a Bayyana</t>
  </si>
  <si>
    <t>ethnicity</t>
  </si>
  <si>
    <t>Arab</t>
  </si>
  <si>
    <t>Arabe</t>
  </si>
  <si>
    <t>247. Specify other</t>
  </si>
  <si>
    <t>Balarabe</t>
  </si>
  <si>
    <t>${pm_mig_concerns_fam} = 1</t>
  </si>
  <si>
    <t>247. Autre à préciser</t>
  </si>
  <si>
    <t>247. Wani daban a Bayyana</t>
  </si>
  <si>
    <t>select_multiple region</t>
  </si>
  <si>
    <t xml:space="preserve">pm_failed_region </t>
  </si>
  <si>
    <t>514. In ${pm_failed_country}, what was the name of the region that you planned to move to?</t>
  </si>
  <si>
    <t>En ${pm_failed_country}, quel était le nom de la région où vous comptiez qller en voyage ?</t>
  </si>
  <si>
    <t>A ${pm_failed_country}, menene sunan yankin da kuka yi niyyar zuwa balaguro?</t>
  </si>
  <si>
    <t>248. In ${pm_failed_country}, what was the name of the region that you planned to move to?</t>
  </si>
  <si>
    <t>248. En ${pm_failed_country}, quel était le nom de la région où vous comptiez qller en voyage ?</t>
  </si>
  <si>
    <t>248. A ${pm_failed_country}, menene sunan yankin da kuka yi niyyar zuwa balaguro?</t>
  </si>
  <si>
    <t>pm_failed_region_o</t>
  </si>
  <si>
    <t>246. Specify other</t>
  </si>
  <si>
    <t>246. Autre à préciser</t>
  </si>
  <si>
    <t>246. Wani daban a Bayyana</t>
  </si>
  <si>
    <t>Djerma/Songhai</t>
  </si>
  <si>
    <t>Ba zabarme/ba songaye</t>
  </si>
  <si>
    <t>249. Specify other</t>
  </si>
  <si>
    <t>249. Autre à préciser</t>
  </si>
  <si>
    <t>249. Wani daban a Bayyana</t>
  </si>
  <si>
    <t>pm_failed_prep_count</t>
  </si>
  <si>
    <t>247. How many times did you plan to migrate to ${pm_failed_country} and fail?</t>
  </si>
  <si>
    <t>247. Combien de fois avez-vous prévu de migrer vers ${pm_failed_country} et avez-vous échoué ?</t>
  </si>
  <si>
    <t>247. Sau nawa ka shirya zuwa biɗa ${pm_failed_country} kuma ka kasa?</t>
  </si>
  <si>
    <t>250. How many times did you plan to migrate to ${pm_failed_country} and fail?</t>
  </si>
  <si>
    <t>250. Combien de fois avez-vous prévu de migrer vers ${pm_failed_country} et avez-vous échoué ?</t>
  </si>
  <si>
    <t>250. Sau nawa ka shirya zuwa biɗa ${pm_failed_country} kuma ka kasa?</t>
  </si>
  <si>
    <t>select_multiple fail_reason</t>
  </si>
  <si>
    <t>pm_failed_prep_reason</t>
  </si>
  <si>
    <t>248. Why did you change your plans?</t>
  </si>
  <si>
    <t>248. Pourquoi avez-vous changé vos plans ?</t>
  </si>
  <si>
    <t>248. Me ya sa ka canza shirinka?</t>
  </si>
  <si>
    <t>Gourmantche</t>
  </si>
  <si>
    <t>Ba gurme</t>
  </si>
  <si>
    <t>251. Why did you change your plans?</t>
  </si>
  <si>
    <t>251. Pourquoi avez-vous changé vos plans ?</t>
  </si>
  <si>
    <t>251. Me ya sa ka canza shirinka?</t>
  </si>
  <si>
    <t>pm_failed_prep_reason_o</t>
  </si>
  <si>
    <t>249. Specify other reason</t>
  </si>
  <si>
    <t>249. Précisez une autre raison</t>
  </si>
  <si>
    <t>249. Baiyana wani dalili daban</t>
  </si>
  <si>
    <t>252. Specify other reason</t>
  </si>
  <si>
    <t>252. Précisez une autre raison</t>
  </si>
  <si>
    <t>252. Baiyana wani dalili daban</t>
  </si>
  <si>
    <t>Haoussa</t>
  </si>
  <si>
    <t>Ba haushe</t>
  </si>
  <si>
    <t>selected(${pm_mig_concern_fam_why}, '-777')</t>
  </si>
  <si>
    <t>403. Did you share the cash with anyone within the Household?</t>
  </si>
  <si>
    <t>403. Avez-vous partagé l'argent avec quelqu'un au sein du ménage ?</t>
  </si>
  <si>
    <t>403. Ko kun raba kuɗin tare da kowa a cikin Gidan?</t>
  </si>
  <si>
    <t>speedcheck_pm_failedprep_end</t>
  </si>
  <si>
    <t>404. Who did you share with?</t>
  </si>
  <si>
    <t>404. Avec qui avez-vous partagé l'argent?</t>
  </si>
  <si>
    <t>404. Wanene kuka ba wannan kudin?</t>
  </si>
  <si>
    <t>dur_pm_failedprep</t>
  </si>
  <si>
    <t>415. Can you estimate how many days ${hoh_labor_name} worked in field?</t>
  </si>
  <si>
    <t>Kanouri-Manga</t>
  </si>
  <si>
    <t>415. Pouvez-vous estimer le nombre de jours que ${hoh_labor_name} a travaillé sur le terrain ?</t>
  </si>
  <si>
    <t>415. Za ka iya misalta kwanaki nawa ne ${hoh_labor_name} yayi aiki a cikin gonar?</t>
  </si>
  <si>
    <t>Kanouri/ Ba mange</t>
  </si>
  <si>
    <t>speedcheck_pm_pastmig_end</t>
  </si>
  <si>
    <t>416. Now we'll ask about income generating activity from animal husbandry in the past three months</t>
  </si>
  <si>
    <t>416. Maintenant, nous allons poser des questions sur l'activité génératrice de revenus liée à l'élevage au cours des trois derniers mois</t>
  </si>
  <si>
    <t>416. Yanzu za mu yi hira game da ayyukan samar da kuɗaɗen shiga na kiwo a cikin watanni uku da suka gabata</t>
  </si>
  <si>
    <t>dur_pm_pastmig</t>
  </si>
  <si>
    <t>405. How much did you share with ${pm_mem_rel_in} (in CFA)?</t>
  </si>
  <si>
    <t>405. Combien avez-vous donné à ${pm_mem_rel_in} (en CFA)?</t>
  </si>
  <si>
    <t>Peul</t>
  </si>
  <si>
    <t>405. Nawa kuka ba ${pm_mem_rel_in} (a cikin CFA)?</t>
  </si>
  <si>
    <t>Ba fullace</t>
  </si>
  <si>
    <t>${pm_mig_concerns_comm} = 1</t>
  </si>
  <si>
    <t>406. With the money you shared with ${pm_mem_rel_in} (${pm_cash_share_in_amt}), what do you think they spent it on?</t>
  </si>
  <si>
    <t>406. Avec l'argent que vous avez partagé avec ${pm_mem_rel_in} (${pm_cash_share_in_amt}), en quoi pensez-vous qu'ils l'ont dépensé ?</t>
  </si>
  <si>
    <t>406. Da kuɗin da ka raba da ${pm_mem_rel_in} (${pm_cash_share_in_amt}), a kan me kake ganin suka kashe kuɗin?</t>
  </si>
  <si>
    <t>speedcheck_pm_migintent_start</t>
  </si>
  <si>
    <t>407. Other, specify:</t>
  </si>
  <si>
    <t>Touareg</t>
  </si>
  <si>
    <t>407. Autre précisez:</t>
  </si>
  <si>
    <t>407. Sauran, bayar da cikakkun bayanai:</t>
  </si>
  <si>
    <t>Bouzou/Ba abzine</t>
  </si>
  <si>
    <t>pm_future_note1</t>
  </si>
  <si>
    <t>250. Now I will ask you about plans you may have for your future</t>
  </si>
  <si>
    <t>250. Maintenant, je vais vous poser des questions sur les plans que vous pourriez avoir pour votre avenir</t>
  </si>
  <si>
    <t>250. Yanzu zan tambaye ku game da tsare-tsaren da za ku iya yi don gaba</t>
  </si>
  <si>
    <t>253. Now I will ask you about plans you may have for your future</t>
  </si>
  <si>
    <t>253. Maintenant, je vais vous poser des questions sur les plans que vous pourriez avoir pour votre avenir</t>
  </si>
  <si>
    <t>selected(${pm_mig_concern_comm_who}, '-777')</t>
  </si>
  <si>
    <t>253. Yanzu zan tambaye ku game da tsare-tsaren da za ku iya yi don gaba</t>
  </si>
  <si>
    <t>pm_mig_stay_length</t>
  </si>
  <si>
    <t>251. Counting from today how long do you plan to spend in ${pm_current_location} in the next 6 months (in months)?</t>
  </si>
  <si>
    <t>251. À partir d'aujourd'hui, combien de temps prévoyez-vous de passer à ${pm_current_location} au cours des 6 prochains mois (en mois) ?</t>
  </si>
  <si>
    <t>251. Lissafa daga yau tsawon wane lokaci kuke shirin zama a ${pm_current_location} a cikin watanni 6 masu zuwa (a cikin watanni)?</t>
  </si>
  <si>
    <t>Toubou</t>
  </si>
  <si>
    <t>Ba Tube</t>
  </si>
  <si>
    <t>254. Counting from today how long do you plan to spend in ${pm_current_location} in the next 6 months (in months)?</t>
  </si>
  <si>
    <t>254. À partir d'aujourd'hui, combien de temps prévoyez-vous de passer à ${pm_current_location} au cours des 6 prochains mois (en mois) ?</t>
  </si>
  <si>
    <t>254. Lissafa daga yau tsawon wane lokaci kuke shirin zama a ${pm_current_location} a cikin watanni 6 masu zuwa (a cikin watanni)?</t>
  </si>
  <si>
    <t>select_multiple mig_countries</t>
  </si>
  <si>
    <t>pm_mig_interest</t>
  </si>
  <si>
    <t>252. What country or countries outside of Niger are you interested in moving to (for at least one month)?</t>
  </si>
  <si>
    <t>252. Dans quel(s) pays en dehors du Niger souhaitez-vous vous installer (pour au moins un mois) ?</t>
  </si>
  <si>
    <t>252. Wace kasar waje ce kuke sha'awar zuwa (aƙalla wata ɗaya)?</t>
  </si>
  <si>
    <t>255. What country or countries outside of Niger are you interested in moving to (for at least one month)?</t>
  </si>
  <si>
    <t>255. Dans quel(s) pays en dehors du Niger souhaitez-vous vous installer (pour au moins un mois) ?</t>
  </si>
  <si>
    <t>255. Wace kasar waje ce kuke sha'awar zuwa (aƙalla wata ɗaya)?</t>
  </si>
  <si>
    <t>pm_mig_interest_o</t>
  </si>
  <si>
    <t>253. Enumerator: Enter other country</t>
  </si>
  <si>
    <t>253. Enquêteur : Entrez un autre pays</t>
  </si>
  <si>
    <t>253. Ɗan bincike: Shigar da wata ƙasa</t>
  </si>
  <si>
    <t>256. Enumerator: Enter other country</t>
  </si>
  <si>
    <t>256. Enquêteur : Entrez un autre pays</t>
  </si>
  <si>
    <t>256. Ɗan bincike: Shigar da wata ƙasa</t>
  </si>
  <si>
    <t>pm_countryinterest1</t>
  </si>
  <si>
    <t>${speedcheck_pm_migconcerns_end} - ${speedcheck_pm_migconcerns_start}</t>
  </si>
  <si>
    <t>pm_countryinterest2</t>
  </si>
  <si>
    <t>412. Debt repayment</t>
  </si>
  <si>
    <t>412. Remboursement des dettes</t>
  </si>
  <si>
    <t>412. Biyan bashi</t>
  </si>
  <si>
    <t>pm_countryinterest3</t>
  </si>
  <si>
    <t>vax</t>
  </si>
  <si>
    <t>Babu ko ɗaya</t>
  </si>
  <si>
    <t>pm_countryinterest4</t>
  </si>
  <si>
    <t>414. Education/Training payments</t>
  </si>
  <si>
    <t>414. Paiements pour études/formation</t>
  </si>
  <si>
    <t>414. Biyan kuɗi na ilimi / horo</t>
  </si>
  <si>
    <t>pm_countryinterest5</t>
  </si>
  <si>
    <t>415. Health expenditures</t>
  </si>
  <si>
    <t>415. Dépenses de santé</t>
  </si>
  <si>
    <t>415. Kuɗin kiwon lafiya</t>
  </si>
  <si>
    <t>select_one countryinterest</t>
  </si>
  <si>
    <t>Yellow Fever</t>
  </si>
  <si>
    <t>pm_mig_interest_most</t>
  </si>
  <si>
    <t>254. Which of these countries are you most interested in moving to?</t>
  </si>
  <si>
    <t>254. Dans lequel de ces pays aimeriez-vous le plus migrer ?</t>
  </si>
  <si>
    <t>254. A cikin waɗannan ƙasashen wanne kuka fi sha'awar zuwa?</t>
  </si>
  <si>
    <t>Farar masara</t>
  </si>
  <si>
    <t>257. Which of these countries are you most interested in moving to?</t>
  </si>
  <si>
    <t>257. Dans lequel de ces pays aimeriez-vous le plus migrer ?</t>
  </si>
  <si>
    <t>257. A cikin waɗannan ƙasashen wanne kuka fi sha'awar zuwa?</t>
  </si>
  <si>
    <t>pm_contacts</t>
  </si>
  <si>
    <t>417. Ceremonies</t>
  </si>
  <si>
    <t>417. Cérémonies</t>
  </si>
  <si>
    <t>417. Bukukuwa</t>
  </si>
  <si>
    <t>pm_mig_prep_contact_note</t>
  </si>
  <si>
    <t>255. Now I'd like to ask you about the individuals you contacted in the countries you are interested in migrating to since ${period}.</t>
  </si>
  <si>
    <t>255. J'aimerais maintenant vous poser des questions sur les personnes que vous avez contactées dans les pays vers lesquels vous souhaitez migrer 
depuis ${period_french}.</t>
  </si>
  <si>
    <t>255. Yanzu ina so in tambaye ku game da mutanen da kuka tuntuɓa a ƙasashen da kuke sha'awar zuwa tun ${period_hausa}.</t>
  </si>
  <si>
    <t>258. Now I'd like to ask you about the individuals you contacted in the countries you are interested in migrating to since ${period}.</t>
  </si>
  <si>
    <t>258. J'aimerais maintenant vous poser des questions sur les personnes que vous avez contactées dans les pays vers lesquels vous souhaitez migrer 
depuis ${period_french}.</t>
  </si>
  <si>
    <t>258. Yanzu ina so in tambaye ku game da mutanen da kuka tuntuɓa a ƙasashen da kuke sha'awar zuwa tun ${period_hausa}.</t>
  </si>
  <si>
    <t>pm_contact_lab</t>
  </si>
  <si>
    <t>Meningitis</t>
  </si>
  <si>
    <t>428. In a typical week, how many days did they do this job?</t>
  </si>
  <si>
    <t>Sankarau</t>
  </si>
  <si>
    <t>428. Au cours d'une semaine normale, combien de jours ont-ils fait ce travail ?</t>
  </si>
  <si>
    <t>428. A cikin mako, kwana nawa suka yi wannan aikin?</t>
  </si>
  <si>
    <t>pm_contact_lab_fr</t>
  </si>
  <si>
    <t>425. Thinking about the last agricultural season, did you need to pay other expenses we did not ask you about?</t>
  </si>
  <si>
    <t>425. En pensant à la dernière saison agricole, avez-vous dû faire d'autres dépenses dont nous n'avons pas parlé ?</t>
  </si>
  <si>
    <t>425. A tunaninka a lokacin noman da ya gabata, akwai wasu kashe kashen kuɗi da kuka yi wanda ba mu yi zancen su ba?</t>
  </si>
  <si>
    <t>pm_contact_lab_ha</t>
  </si>
  <si>
    <t>pulldata('pm_prev_locations_el', 'pm_locations', 'hh_id', ${hh_id})</t>
  </si>
  <si>
    <t>COVID-19</t>
  </si>
  <si>
    <t>pm_mig_prep_contact</t>
  </si>
  <si>
    <t>256. ${pm_contact_lab}</t>
  </si>
  <si>
    <t>256. ${pm_contact_lab_fr}</t>
  </si>
  <si>
    <t>256. ${pm_contact_lab_ha}</t>
  </si>
  <si>
    <t>COVID 19</t>
  </si>
  <si>
    <t>CUTAR COVID 19</t>
  </si>
  <si>
    <t>259. ${pm_contact_lab}</t>
  </si>
  <si>
    <t>259. ${pm_contact_lab_fr}</t>
  </si>
  <si>
    <t>259. ${pm_contact_lab_ha}</t>
  </si>
  <si>
    <t>select_multiple countryinterest</t>
  </si>
  <si>
    <t>pm_mig_prep_countries</t>
  </si>
  <si>
    <t>257. In which countries that you indicated you wanted to go to have you contacted people?</t>
  </si>
  <si>
    <t>257. Dans quels pays dont avez-vous indiqué vouloir vous rendre où vous avez contacté des gens ?</t>
  </si>
  <si>
    <t>257. A waɗanne ƙasashe da ka nuna kana son zuwa ka tuntuɓi mutane?</t>
  </si>
  <si>
    <t>260. In which countries that you indicated you wanted to go to have you contacted people?</t>
  </si>
  <si>
    <t>260. Dans quels pays dont avez-vous indiqué vouloir vous rendre où vous avez contacté des gens ?</t>
  </si>
  <si>
    <t>260. A waɗanne ƙasashe da ka nuna kana son zuwa ka tuntuɓi mutane?</t>
  </si>
  <si>
    <t>pulldata('pm_prev_locations_el', 'pm_locations_count', 'hh_id', ${hh_id})</t>
  </si>
  <si>
    <t>pm_mig_prep_countries_o</t>
  </si>
  <si>
    <t>258. Please select the countries you have contacted people in:</t>
  </si>
  <si>
    <t>258. Veuillez sélectionner les pays dans lesquels vous avez contacté des personnes :</t>
  </si>
  <si>
    <t>258. Da fatan za ka zaɓi ƙasashen da ka tuntuɓi mutane :</t>
  </si>
  <si>
    <t>261. Please select the countries you have contacted people in:</t>
  </si>
  <si>
    <t>261. Veuillez sélectionner les pays dans lesquels vous avez contacté des personnes :</t>
  </si>
  <si>
    <t>261. Da fatan za ka zaɓi ƙasashen da ka tuntuɓi mutane :</t>
  </si>
  <si>
    <t>Polio</t>
  </si>
  <si>
    <t>Cutar shan inna</t>
  </si>
  <si>
    <t>pm_mig_prep_countries_o_text</t>
  </si>
  <si>
    <t>259. Other, specify:</t>
  </si>
  <si>
    <t>259. Autre précisez:</t>
  </si>
  <si>
    <t>259. Wani daban, baiyana:</t>
  </si>
  <si>
    <t>262. Other, specify:</t>
  </si>
  <si>
    <t>262. Autre précisez:</t>
  </si>
  <si>
    <t>262. Wani daban, baiyana:</t>
  </si>
  <si>
    <t>select_multiple contactshare</t>
  </si>
  <si>
    <t>pm_mig_prep_contact_share</t>
  </si>
  <si>
    <t>260. What did you ask your contacts about?</t>
  </si>
  <si>
    <t>260. Sur quoi avez-vous interrogé vos contacts ?</t>
  </si>
  <si>
    <t>260. Menene ka tambayi wanda ka tuntuɓa?</t>
  </si>
  <si>
    <t>pulldata('pm_prev_locations_el', 'pm_location1', 'hh_id', ${hh_id})</t>
  </si>
  <si>
    <t>263. What did you ask your contacts about?</t>
  </si>
  <si>
    <t>263. Sur quoi avez-vous interrogé vos contacts ?</t>
  </si>
  <si>
    <t>263. Menene ka tambayi wanda ka tuntuɓa?</t>
  </si>
  <si>
    <t>pm_mig_prep_contact_share_o</t>
  </si>
  <si>
    <t>261. Other, specify:</t>
  </si>
  <si>
    <t>261. Autre précisez:</t>
  </si>
  <si>
    <t>261. Wani daban, baiyana:</t>
  </si>
  <si>
    <t>264. Other, specify:</t>
  </si>
  <si>
    <t>264. Autre précisez:</t>
  </si>
  <si>
    <t>Tuberculosis</t>
  </si>
  <si>
    <t>264. Wani daban, baiyana:</t>
  </si>
  <si>
    <t>Babban tari</t>
  </si>
  <si>
    <t>select_one encouragescale</t>
  </si>
  <si>
    <t>pm_mig_prep_encourage_scale</t>
  </si>
  <si>
    <t>262. Did your interaction with your contacts encourage or discourage you from migration?</t>
  </si>
  <si>
    <t>262. Votre interaction avec vos contacts vous a-t-elle encouragé ou découragé à migrer ?</t>
  </si>
  <si>
    <t>262. Ko hirar da ku ka yi da wanda kuka tuntuɓa ta ƙarfafa muka gwiwa ko ta hana ka zuwa biɗa?</t>
  </si>
  <si>
    <t>265. Did your interaction with your contacts encourage or discourage you from migration?</t>
  </si>
  <si>
    <t>265. Votre interaction avec vos contacts vous a-t-elle encouragé ou découragé à migrer ?</t>
  </si>
  <si>
    <t>265. Ko hirar da ku ka yi da wanda kuka tuntuɓa ta ƙarfafa muka gwiwa ko ta hana ka zuwa biɗa?</t>
  </si>
  <si>
    <t>pulldata('pm_prev_locations_el', 'pm_location2', 'hh_id', ${hh_id})</t>
  </si>
  <si>
    <t>select_multiple discouragereason</t>
  </si>
  <si>
    <t>pm_mig_prep_discourage_reason</t>
  </si>
  <si>
    <t>263. What did you learn from your contacts that discouraged you to migrate?</t>
  </si>
  <si>
    <t>263. Qu'avez-vous appris de vos contacts qui vous ont découragé à migrer ?</t>
  </si>
  <si>
    <t>263. Wane labari ka samo daga abokan hulɗar ku da ya hana ka zuwa biɗa?</t>
  </si>
  <si>
    <t>266. What did you learn from your contacts that discouraged you to migrate?</t>
  </si>
  <si>
    <t>266. Qu'avez-vous appris de vos contacts qui vous ont découragé à migrer ?</t>
  </si>
  <si>
    <t>266. Wane labari ka samo daga abokan hulɗar ku da ya hana ka zuwa biɗa?</t>
  </si>
  <si>
    <t>pm_mig_prep_discourage_reason_o</t>
  </si>
  <si>
    <t>267. Other, specify:</t>
  </si>
  <si>
    <t>267. Autre précisez:</t>
  </si>
  <si>
    <t>267. Wani daban, baiyana:</t>
  </si>
  <si>
    <t>select_multiple encouragereason</t>
  </si>
  <si>
    <t>pm_mig_prep_encourage_reason</t>
  </si>
  <si>
    <t>265. What did you learn from your contacts that encouraged you to migrate?</t>
  </si>
  <si>
    <t>pulldata('pm_prev_locations_el', 'pm_location3', 'hh_id', ${hh_id})</t>
  </si>
  <si>
    <t>265. Qu'avez-vous appris de vos contacts qui vous ont encouragé à migrer ?</t>
  </si>
  <si>
    <t>265. Wane labari ka samo daga abokan hulɗar ku wanda ya ƙarfafa muka gwiwa zuwa biɗa?</t>
  </si>
  <si>
    <t>268. What did you learn from your contacts that encouraged you to migrate?</t>
  </si>
  <si>
    <t>268. Qu'avez-vous appris de vos contacts qui vous ont encouragé à migrer ?</t>
  </si>
  <si>
    <t>268. Wane labari ka samo daga abokan hulɗar ku wanda ya ƙarfafa muka gwiwa zuwa biɗa?</t>
  </si>
  <si>
    <t>pm_mig_prep_encourage_reason_o</t>
  </si>
  <si>
    <t>266. Other, specify:</t>
  </si>
  <si>
    <t>266. Autre précisez:</t>
  </si>
  <si>
    <t>266. wani daban, baiyani:</t>
  </si>
  <si>
    <t>269. Other, specify:</t>
  </si>
  <si>
    <t>269. Autre précisez:</t>
  </si>
  <si>
    <t>269. wani daban, baiyani:</t>
  </si>
  <si>
    <t>languages</t>
  </si>
  <si>
    <t>pulldata('pm_prev_locations_el', 'pm_location4', 'hh_id', ${hh_id})</t>
  </si>
  <si>
    <t>422. Food</t>
  </si>
  <si>
    <t>422. Nourriture</t>
  </si>
  <si>
    <t>French</t>
  </si>
  <si>
    <t>422. Abinci</t>
  </si>
  <si>
    <t>Français</t>
  </si>
  <si>
    <t>Faransanci</t>
  </si>
  <si>
    <t>423. Other household expenditure</t>
  </si>
  <si>
    <t>423. Autres dépenses des ménages</t>
  </si>
  <si>
    <t>423. Sauran kuɗaɗen gida</t>
  </si>
  <si>
    <t>pm_mig_intent</t>
  </si>
  <si>
    <t>267. Think about the next three months, starting from today. Do you plan to move somewhere other than ${pm_current_location} and remain there for more than a month?</t>
  </si>
  <si>
    <t>267. Pensez aux trois prochains mois, à partir d’aujourd’hui. Envisagez-vous d'aller ailleurs que ${pm_current_location} et d'y rester plus d'un mois ?</t>
  </si>
  <si>
    <t>267. Ku tuna da watanni uku masu zuwa, daga yau. Ko kuna shirin zuwa wani wuri ${pm_current_location} kuma ku zauna a can sama da wata ɗaya?</t>
  </si>
  <si>
    <t>270. Think about the next three months, starting from today. Do you plan to move somewhere other than ${pm_current_location} and remain there for more than a month?</t>
  </si>
  <si>
    <t>270. Pensez aux trois prochains mois, à partir d’aujourd’hui. Envisagez-vous d'aller ailleurs que ${pm_current_location} et d'y rester plus d'un mois ?</t>
  </si>
  <si>
    <t>270. Ku tuna da watanni uku masu zuwa, daga yau. Ko kuna shirin zuwa wani wuri ${pm_current_location} kuma ku zauna a can sama da wata ɗaya?</t>
  </si>
  <si>
    <t>pm_mig_intent_1</t>
  </si>
  <si>
    <t>268. Think about the next year, starting with the upcoming harvest season. Do you plan to move somewhere other than where you are now for more than one month?</t>
  </si>
  <si>
    <t>268. Pensez à l'année prochaine, à commencer par la prochaine saison de récolte. Vous prévoyez de vous déplacer ailleurs que là où vous êtes maintenant depuis plus d'un mois?</t>
  </si>
  <si>
    <t>268. Ku tuna da shekara mai zuwa, fara da lokacin kaka mai zuwa. Ko kuna shirin zuwa wani wuri daban ba inda kake zaune a yanzu ba fiye da wata ɗaya?</t>
  </si>
  <si>
    <t>pulldata('pm_prev_locations_el', 'pm_location5', 'hh_id', ${hh_id})</t>
  </si>
  <si>
    <t>271. Think about the next year, starting with the upcoming harvest season. Do you plan to move somewhere other than where you are now for more than one month?</t>
  </si>
  <si>
    <t>271. Pensez à l'année prochaine, à commencer par la prochaine saison de récolte. Vous prévoyez de vous déplacer ailleurs que là où vous êtes maintenant depuis plus d'un mois?</t>
  </si>
  <si>
    <t>271. Ku tuna da shekara mai zuwa, fara da lokacin kaka mai zuwa. Ko kuna shirin zuwa wani wuri daban ba inda kake zaune a yanzu ba fiye da wata ɗaya?</t>
  </si>
  <si>
    <t>pm_mig_length_lab</t>
  </si>
  <si>
    <t>Arabic</t>
  </si>
  <si>
    <t>arabe</t>
  </si>
  <si>
    <t>Larabci</t>
  </si>
  <si>
    <t>pm_mig_length_lab_fr</t>
  </si>
  <si>
    <t>427. Housing cost payments</t>
  </si>
  <si>
    <t>427. Paiement des frais de logement</t>
  </si>
  <si>
    <t>427. Biyan kuɗin haya</t>
  </si>
  <si>
    <t>pm_mig_length_lab_hausa</t>
  </si>
  <si>
    <t>428. Education/Training payments</t>
  </si>
  <si>
    <t>428. Paiements pour études/formation</t>
  </si>
  <si>
    <t>428. Biyan kuɗi na ilimi / horo</t>
  </si>
  <si>
    <t>pm_mig_intent_note</t>
  </si>
  <si>
    <t>269. If you migrate in ${pm_mig_length_lab}, what is your intended destination? 
 Enumerator: Probe if in Niger or another country</t>
  </si>
  <si>
    <t>269. « Si vous migrez ${pm_mig_length_lab_fr}, quelle est votre destination prévue ?
 Agent enquêteur : Sondez si vous êtes au Niger ou dans un autre pays »</t>
  </si>
  <si>
    <t>269. Idan zaku yi tahiya ${pm_mig_length_lab_hausa}, ina ne kuke nufin zuwa?
 Mai bincike: Bincika idan a Nijar ne ko a wata ƙasa.</t>
  </si>
  <si>
    <t>Haussa</t>
  </si>
  <si>
    <t>Hausa</t>
  </si>
  <si>
    <t>272. If you migrate in ${pm_mig_length_lab}, what is your intended destination? 
 Enumerator: Probe if in Niger or another country</t>
  </si>
  <si>
    <t>272. « Si vous migrez ${pm_mig_length_lab_fr}, quelle est votre destination prévue ?
 Agent enquêteur : Sondez si vous êtes au Niger ou dans un autre pays »</t>
  </si>
  <si>
    <t>272. Idan zaku yi tahiya ${pm_mig_length_lab_hausa}, ina ne kuke nufin zuwa?
 Mai bincike: Bincika idan a Nijar ne ko a wata ƙasa.</t>
  </si>
  <si>
    <t>select_one countries</t>
  </si>
  <si>
    <t>pm_mig_intent_country</t>
  </si>
  <si>
    <t>270. What is the name of the country you would move to?</t>
  </si>
  <si>
    <t>270. Quel est le nom du pays dans lequel vous migreriez ?</t>
  </si>
  <si>
    <t>270. Menene sunan ƙasar da kuke nufin zuwa?</t>
  </si>
  <si>
    <t>273. What is the name of the country you would move to?</t>
  </si>
  <si>
    <t>273. Quel est le nom du pays dans lequel vous migreriez ?</t>
  </si>
  <si>
    <t>273. Menene sunan ƙasar da kuke nufin zuwa?</t>
  </si>
  <si>
    <t>pm_mig_intent_region</t>
  </si>
  <si>
    <t>271. Where in Niger would you move?</t>
  </si>
  <si>
    <t>271. Où migreriez-vous au Niger ?</t>
  </si>
  <si>
    <t>271. Ina za ku je a Nijar?</t>
  </si>
  <si>
    <t>274. Where in Niger would you move?</t>
  </si>
  <si>
    <t>274. Où migreriez-vous au Niger ?</t>
  </si>
  <si>
    <t>Songhai</t>
  </si>
  <si>
    <t>274. Ina za ku je a Nijar?</t>
  </si>
  <si>
    <t>Songhaï</t>
  </si>
  <si>
    <t>pm_mig_intent_town</t>
  </si>
  <si>
    <t>Songhai/ zabarmanci</t>
  </si>
  <si>
    <t>272. What is the name of the town you would move to?</t>
  </si>
  <si>
    <t>272. Quel est le nom de la ville dans laquelle vous migreriez ?</t>
  </si>
  <si>
    <t>272. Menene sunan garin da zaku je?</t>
  </si>
  <si>
    <t>275. What is the name of the town you would move to?</t>
  </si>
  <si>
    <t>275. Quel est le nom de la ville dans laquelle vous migreriez ?</t>
  </si>
  <si>
    <t>275. Menene sunan garin da zaku je?</t>
  </si>
  <si>
    <t>pm_mig_intent_town_o</t>
  </si>
  <si>
    <t>273. Other, specify:</t>
  </si>
  <si>
    <t>273. Autre précisez:</t>
  </si>
  <si>
    <t>273. Wani daban, baiyana:</t>
  </si>
  <si>
    <t>276. Other, specify:</t>
  </si>
  <si>
    <t>276. Autre précisez:</t>
  </si>
  <si>
    <t>276. Wani daban, baiyana:</t>
  </si>
  <si>
    <t>pm_mig_intent_town_id</t>
  </si>
  <si>
    <t>Tamasheq</t>
  </si>
  <si>
    <t>457. What region is ${hoh_roster_name} currently living in?</t>
  </si>
  <si>
    <t>457. Dans quelle région vit actuellement ${hoh_roster_name} ?</t>
  </si>
  <si>
    <t>457. A cikin wace jaha ce ${hoh_roster_name} yake zaune a yanzu?</t>
  </si>
  <si>
    <t>Buzanci</t>
  </si>
  <si>
    <t>pm_mig_intent_town_name</t>
  </si>
  <si>
    <t>. &gt;= 1</t>
  </si>
  <si>
    <t>433. You spent ${pm_cash_resid_exp_other} CFA on "other" categories. Please describe them:</t>
  </si>
  <si>
    <t>${pm_leave} = 1</t>
  </si>
  <si>
    <t xml:space="preserve">433. </t>
  </si>
  <si>
    <t>select_one season</t>
  </si>
  <si>
    <t>pm_mig_intent_season</t>
  </si>
  <si>
    <t>274. If you decide to migrate, when would you plan to leave ${pm_current_location}?</t>
  </si>
  <si>
    <t>274. Si vous décidez de migrer, quand comptez-vous quitter votre domicile ?</t>
  </si>
  <si>
    <t>274. Idan kun yanke shawarar zuwa bida, yaushe kuke ganin za ku barin gida?</t>
  </si>
  <si>
    <t>277. If you decide to migrate, when would you plan to leave ${pm_current_location}?</t>
  </si>
  <si>
    <t>277. Si vous décidez de migrer, quand comptez-vous quitter votre domicile ?</t>
  </si>
  <si>
    <t>277. Idan kun yanke shawarar zuwa bida, yaushe kuke ganin za ku barin gida?</t>
  </si>
  <si>
    <t>pm_mig_intend_length</t>
  </si>
  <si>
    <t>275. If you decide to migrate, how long would you plan to stay at your destination (in months)?</t>
  </si>
  <si>
    <t>Fulfulde</t>
  </si>
  <si>
    <t>275. Si vous décidez de migrer, combien de temps prévoyez-vous de rester à destination (en mois) ?</t>
  </si>
  <si>
    <t>275. Idan kun yi niyyar yin tahiya, tsawon wane lokaci kuke nufin zama a inda kuka je (a cikin watanni)?</t>
  </si>
  <si>
    <t>Hillanci/Fulatanci</t>
  </si>
  <si>
    <t>278. If you decide to migrate, how long would you plan to stay at your destination (in months)?</t>
  </si>
  <si>
    <t>278. Si vous décidez de migrer, combien de temps prévoyez-vous de rester à destination (en mois) ?</t>
  </si>
  <si>
    <t>278. Idan kun yi niyyar yin tahiya, tsawon wane lokaci kuke nufin zama a inda kuka je (a cikin watanni)?</t>
  </si>
  <si>
    <t>pm_mig_intent_group</t>
  </si>
  <si>
    <t>Do you plan to travel with someone else or as part of a group?</t>
  </si>
  <si>
    <t>Prévoyez-vous voyager avec quelqu'un d'autre ou en groupe ?</t>
  </si>
  <si>
    <t>Kuna shirin tafiya tare da wani ko tare da wani gungun jama'a ?</t>
  </si>
  <si>
    <t>279. Do you plan to travel with someone else or as part of a group?</t>
  </si>
  <si>
    <t>279. Prévoyez-vous voyager avec quelqu'un d'autre ou en groupe ?</t>
  </si>
  <si>
    <t>279. Kuna shirin tafiya tare da wani ko tare da wani gungun jama'a ?</t>
  </si>
  <si>
    <t>if(${pm_prev_add} = 0 and ${pm_leave} = 0, 0, 
if(${pm_prev_add} = 1 and ${pm_leave} = 0, ${pm_prev_add_num}, 
if(${pm_prev_add} = 0 and ${pm_leave} = 1, ${pm_locations_new}, 
${pm_locations_new} + ${pm_prev_add_num})))</t>
  </si>
  <si>
    <t>pm_mig_intent_group_travel_prev</t>
  </si>
  <si>
    <t>Have you traveled with any of these people before?</t>
  </si>
  <si>
    <t>Avez-vous déjà voyagé avec l'une de ces personnes ?</t>
  </si>
  <si>
    <t>Ko kun taɓa yin tafiya tare da ɗaya daga cikin waɗannan mutanen ?</t>
  </si>
  <si>
    <t>Kanuri</t>
  </si>
  <si>
    <t>280. Have you traveled with any of these people before?</t>
  </si>
  <si>
    <t>280. Avez-vous déjà voyagé avec l'une de ces personnes ?</t>
  </si>
  <si>
    <t>280. Ko kun taɓa yin tafiya tare da ɗaya daga cikin waɗannan mutanen ?</t>
  </si>
  <si>
    <t>Kanuri /Barbarci</t>
  </si>
  <si>
    <t>pm_mig_intent_group_know_prev</t>
  </si>
  <si>
    <t>Did you meet any of these people during a past migration?</t>
  </si>
  <si>
    <t>Avez-vous rencontré l'une de ces personnes lors d'une précédente migration ?</t>
  </si>
  <si>
    <t>Ko kun haɗu da ɗaya daga cikin waɗannan mutanen a wata tahiya da ta gabata?</t>
  </si>
  <si>
    <t>281. Did you meet any of these people during a past migration?</t>
  </si>
  <si>
    <t>281. Avez-vous rencontré l'une de ces personnes lors d'une précédente migration ?</t>
  </si>
  <si>
    <t>281. Ko kun haɗu da ɗaya daga cikin waɗannan mutanen a wata tahiya da ta gabata?</t>
  </si>
  <si>
    <t>select_one group_know_how</t>
  </si>
  <si>
    <t>pm_mig_intent_group_know_how</t>
  </si>
  <si>
    <t>How do you know the person/people you plan to travel with?</t>
  </si>
  <si>
    <t>Comment avez-connu la ou les personnes avec qui vous prévoyez de voyager ?</t>
  </si>
  <si>
    <t>Yaya kuka san mutumen ko mutanen da kuke shirin tafiya tare?</t>
  </si>
  <si>
    <t>if(${pm_current_location_same} = 1, 
concat('We are not counting ',  ${pm_beginning_location}, '.'), 
concat('We are not counting your initial location in ', ${pm_beginning_location}, ' or your current location in ', ${pm_current_location}, '.'))</t>
  </si>
  <si>
    <t>282. How do you know the person/people you plan to travel with?</t>
  </si>
  <si>
    <t>282. Comment avez-connu la ou les personnes avec qui vous prévoyez de voyager ?</t>
  </si>
  <si>
    <t>282. Yaya kuka san mutumen ko mutanen da kuke shirin tafiya tare?</t>
  </si>
  <si>
    <t>pm_mig_intent_group_know_how_o</t>
  </si>
  <si>
    <t>Other, specify:</t>
  </si>
  <si>
    <t>Autre précisez:</t>
  </si>
  <si>
    <t>Gourmanchema</t>
  </si>
  <si>
    <t>Wani daban, baiyana:</t>
  </si>
  <si>
    <t>Gourmanci</t>
  </si>
  <si>
    <t>283. Other, specify:</t>
  </si>
  <si>
    <t>283. Autre précisez:</t>
  </si>
  <si>
    <t>283. Wani daban, baiyana:</t>
  </si>
  <si>
    <t>speedcheck_pm_migintent_end</t>
  </si>
  <si>
    <t>465. Does ${hoh_roster_name} have children?</t>
  </si>
  <si>
    <t>465. Est-ce que ${hoh_roster_name} a des enfants ?</t>
  </si>
  <si>
    <t>465. ko ${hoh_roster_name} yana da yara?</t>
  </si>
  <si>
    <t>if(${pm_current_location_same} = 1, 
concat('On ne compte pas ',  ${pm_beginning_location}, '.'), 
concat('Nous ne comptons pas votre emplacement initial à ', ${pm_beginning_location}, ' ni votre emplacement actuel à ', ${pm_current_location}, '.'))</t>
  </si>
  <si>
    <t>dur_pm_migintent</t>
  </si>
  <si>
    <t>Tebu</t>
  </si>
  <si>
    <t>Tubanci</t>
  </si>
  <si>
    <t>466. How many children is ${hoh_roster_name} responsible for?</t>
  </si>
  <si>
    <t>466. De combien d'enfants ${hoh_roster_name} est-il responsable ?</t>
  </si>
  <si>
    <t>466. Yara nawa ne ${hoh_roster_name} yake ɗauke da Nauyinsu?</t>
  </si>
  <si>
    <t>467. What is the highest level of education that ${hoh_roster_name} has completed?</t>
  </si>
  <si>
    <t>467. Quel est le plus haut niveau d'études atteint par ${hoh_roster_name} ?</t>
  </si>
  <si>
    <t>467. Menene mafi girman mastayin ilimi da ${hoh_roster_name} ya kai?</t>
  </si>
  <si>
    <t>speedcheck_pm_migrisks_start</t>
  </si>
  <si>
    <t>if(${pm_current_location_same} = 1, 
concat("Ba'a lissafa ", ${pm_beginning_location},' cikin wannan wuraren.'), 
concat('Lura cewa ', ${pm_beginning_location}, ' ko ', ${pm_current_location}, ' ba a jibge a cikin wannan hatsarin ba.'))</t>
  </si>
  <si>
    <t>468. Is ${hoh_roster_name} currently enrolled in school?</t>
  </si>
  <si>
    <t>468. Est-ce que ${hoh_roster_name} est actuellement inscrit à l'école ?</t>
  </si>
  <si>
    <t>468. Ko ${hoh_roster_name} yana yin lakwal a halin yanzu?</t>
  </si>
  <si>
    <t>English</t>
  </si>
  <si>
    <t>Anglais</t>
  </si>
  <si>
    <t>select_multiple risks</t>
  </si>
  <si>
    <t>Turanci</t>
  </si>
  <si>
    <t>pm_mig_risk</t>
  </si>
  <si>
    <t>276. Quels sont les risques potentiels de la migration pour le migrant moyen ?</t>
  </si>
  <si>
    <t>276. Menene haɗarin zuwa biɗa ga matsaƙaicin ƙarhi?</t>
  </si>
  <si>
    <t>.=1</t>
  </si>
  <si>
    <t>284. What are the potential risks of migrating for the average migrant?</t>
  </si>
  <si>
    <t>Please correct the response to the previous question!</t>
  </si>
  <si>
    <t>284. Quels sont les risques potentiels de la migration pour le migrant moyen ?</t>
  </si>
  <si>
    <t>284. Menene haɗarin zuwa biɗa ga matsaƙaicin ƙarhi?</t>
  </si>
  <si>
    <t>select_multiple mitigate</t>
  </si>
  <si>
    <t>pm_mig_risk_mitigate</t>
  </si>
  <si>
    <t>Dioula</t>
  </si>
  <si>
    <t>277. Quelles mesures pourriez-vous prendre pour atténuer certains des risques associés au voyage dans un pays voisin pour trouver du travail ?</t>
  </si>
  <si>
    <t>277. Wadanne abubuwa ne za ka iya yi don rage wasu haɗurran da ke tattare da balaguro zuwa makwabciyar ƙasa don neman aiki?</t>
  </si>
  <si>
    <t>285. What are some things that you could do to mitigate some of the risks associated with traveling to a neighboring country to find work?</t>
  </si>
  <si>
    <t>285. Quelles mesures pourriez-vous prendre pour atténuer certains des risques associés au voyage dans un pays voisin pour trouver du travail ?</t>
  </si>
  <si>
    <t>285. Wadanne abubuwa ne za ka iya yi don rage wasu haɗurran da ke tattare da balaguro zuwa makwabciyar ƙasa don neman aiki?</t>
  </si>
  <si>
    <t>speedcheck_pm_migrisks_end</t>
  </si>
  <si>
    <t>471. In the past month (four weeks) how many days has ${hoh_roster_name} missed school for health reasons?</t>
  </si>
  <si>
    <t>471. Au cours du dernier mois (quatre semaines), combien de jours ${hoh_roster_name} a-t-il manqué l'école pour des raisons de santé ?</t>
  </si>
  <si>
    <t>471. A cikin watan da ya gabata (sati hudu), kwanaki nawa ${hoh_roster_name} yayi fashin zuwa makaranta saboda wata rishin lafiya?</t>
  </si>
  <si>
    <t>dur_pm_migrisks</t>
  </si>
  <si>
    <t>Bambara</t>
  </si>
  <si>
    <t>472. In the past month (four weeks) how many days has ${hoh_roster_name} missed school for work or other reasons?</t>
  </si>
  <si>
    <t>472. Au cours du dernier mois (quatre semaines), combien de jours ${hoh_roster_name} a-t-il manqué l'école pour le travail ou pour d'autres raisons ?</t>
  </si>
  <si>
    <t>472. A cikin watan da ya gabata (makonni hudu), kwanaki nawa ${hoh_roster_name} yayi fashin makaranta saboda aiki ko wasu dalilai?</t>
  </si>
  <si>
    <t>473. Is ${hoh_roster_name} married?</t>
  </si>
  <si>
    <t>473. Est-ce que ${hoh_roster_name} est marié ?</t>
  </si>
  <si>
    <t>473. Ko ${hoh_roster_name} yanada aure?</t>
  </si>
  <si>
    <t>pm_train_note</t>
  </si>
  <si>
    <t>254. I am going to ask you now about other things you may have done during ${period}.</t>
  </si>
  <si>
    <t>278. Je vais maintenant vous poser des questions sur d'autres choses que vous avez pu faire de ${period_french}.</t>
  </si>
  <si>
    <t>ENUMERATOR: Please select the locations that the respondent has confirmed</t>
  </si>
  <si>
    <t>278. Yanzu zan tambaye ku game da wasu abubuwan da ka samu damar yi a lokacin ${period_hausa}.</t>
  </si>
  <si>
    <t>ENNUMÉRATEUR : Veuillez sélectionner les emplacements que le répondant a confirmés</t>
  </si>
  <si>
    <t>ENUMERATOR: Da fatan za a zaɓi wuraren da mai amsa ya tabbatar</t>
  </si>
  <si>
    <t>${pm_prev_locations_count} != 0</t>
  </si>
  <si>
    <t>286. I am going to ask you now about other things you may have done during ${period}.</t>
  </si>
  <si>
    <t>Bamiléké</t>
  </si>
  <si>
    <t>286. Je vais maintenant vous poser des questions sur d'autres choses que vous avez pu faire de ${period_french}.</t>
  </si>
  <si>
    <t>286. Yanzu zan tambaye ku game da wasu abubuwan da ka samu damar yi a lokacin ${period_hausa}.</t>
  </si>
  <si>
    <t>pm_lang_train</t>
  </si>
  <si>
    <t>255. During ${period}, did you participate in any training to learn a new language?</t>
  </si>
  <si>
    <t>279. Au cours la période de ${period_french}, avez-vous participé à une formation pour apprendre une nouvelle langue ?</t>
  </si>
  <si>
    <t>filter &lt;= ${pm_prev_locations_count}</t>
  </si>
  <si>
    <t>279. A lokacin ${period_hausa}, kun halarci wani horo don koyon wani sabon yare/harshe?</t>
  </si>
  <si>
    <t>287. During ${period}, did you participate in any training to learn a new language?</t>
  </si>
  <si>
    <t>287. Au cours la période de ${period_french}, avez-vous participé à une formation pour apprendre une nouvelle langue ?</t>
  </si>
  <si>
    <t>287. A lokacin ${period_hausa}, kun halarci wani horo don koyon wani sabon yare/harshe?</t>
  </si>
  <si>
    <t>select_one languages</t>
  </si>
  <si>
    <t>pm_lang_train_language</t>
  </si>
  <si>
    <t>256. What language did you train in?</t>
  </si>
  <si>
    <t>280. Dans quelle langue avez-vous été formé ?</t>
  </si>
  <si>
    <t>280. A cikin wane yare ne aka horar da ku ?</t>
  </si>
  <si>
    <t>288. What language did you train in?</t>
  </si>
  <si>
    <t>288. Dans quelle langue avez-vous été formé ?</t>
  </si>
  <si>
    <t>288. A cikin wane yare ne aka horar da ku ?</t>
  </si>
  <si>
    <t>pm_lang_train_o</t>
  </si>
  <si>
    <t>Chinese</t>
  </si>
  <si>
    <t>257. Specify other</t>
  </si>
  <si>
    <t>count-selected(${pm_prev_confirm}) &lt; ${pm_prev_locations_count}</t>
  </si>
  <si>
    <t>Chinois</t>
  </si>
  <si>
    <t>281. Autre à Préciser</t>
  </si>
  <si>
    <t>Canis</t>
  </si>
  <si>
    <t>281. Wani daban a baiyana</t>
  </si>
  <si>
    <t>289. Specify other</t>
  </si>
  <si>
    <t>289. Autre à Préciser</t>
  </si>
  <si>
    <t>289. Wani daban a baiyana</t>
  </si>
  <si>
    <t>pm_lang_train_cost</t>
  </si>
  <si>
    <t>258. How much did you have to pay for this training?</t>
  </si>
  <si>
    <t>282. Combien avez-vous dû payer pour cette formation ?</t>
  </si>
  <si>
    <t>282. Nawa kuka biya don wannan horon?</t>
  </si>
  <si>
    <t>290. How much did you have to pay for this training?</t>
  </si>
  <si>
    <t>290. Combien avez-vous dû payer pour cette formation ?</t>
  </si>
  <si>
    <t>290. Nawa kuka biya don wannan horon?</t>
  </si>
  <si>
    <t>pm_voc_train</t>
  </si>
  <si>
    <t>259. During ${period}, did you participate in any form of vocational training or education course?</t>
  </si>
  <si>
    <t>283. Au cours de la période de ${period_french}, avez-vous participé à une forme quelconque de formation professionnelle ou de cours ?</t>
  </si>
  <si>
    <t>283. A lokacin ${period_hausa}, kun shiga wani horo na kwarewa cikin wata sana'a ko wani karatu na ilimi?</t>
  </si>
  <si>
    <t>291. During ${period}, did you participate in any form of vocational training or education course?</t>
  </si>
  <si>
    <t>291. Au cours de la période de ${period_french}, avez-vous participé à une forme quelconque de formation professionnelle ou de cours ?</t>
  </si>
  <si>
    <t>291. A lokacin ${period_hausa}, kun shiga wani horo na kwarewa cikin wata sana'a ko wani karatu na ilimi?</t>
  </si>
  <si>
    <t>pm_voc_train_o</t>
  </si>
  <si>
    <t>284. À quel(s) type(s) de formation(s) avez-vous participé (par exemple, formation mécanique, comptabilité, systèmes informatiques) ?</t>
  </si>
  <si>
    <t>284. Wane irin horo (s) kuka shiga (misali horon makanikanci, lissafin kuɗi, tsarin IT)?</t>
  </si>
  <si>
    <t>if(${pm_prev_locations_count} = 0, concat('Did you travel anywhere outside ', ${pm_home_location}, ' for at least a week (7 days) ', ${period_bl_fu5},  '?'), concat('Did you spend at least a week (7 days) in another location ', ${period_bl_fu5}, '?'))</t>
  </si>
  <si>
    <t>292. What type of training course(s) did you participate in (e.g. mechanic training, accounting, IT systems)?</t>
  </si>
  <si>
    <t>292. À quel(s) type(s) de formation(s) avez-vous participé (par exemple, formation mécanique, comptabilité, systèmes informatiques) ?</t>
  </si>
  <si>
    <t>292. Wane irin horo (s) kuka shiga (misali horon makanikanci, lissafin kuɗi, tsarin IT)?</t>
  </si>
  <si>
    <t>pm_voc_train_cost</t>
  </si>
  <si>
    <t>285. Combien avez-vous dû payer pour cette formation ?</t>
  </si>
  <si>
    <t>285. Nawa kuka biya don wannan horon?</t>
  </si>
  <si>
    <t>293. How much did you have to pay for this training?</t>
  </si>
  <si>
    <t>293. Combien avez-vous dû payer pour cette formation ?</t>
  </si>
  <si>
    <t>293. Nawa kuka biya don wannan horon?</t>
  </si>
  <si>
    <t>465. How were these goods transmitted to your household?</t>
  </si>
  <si>
    <t>465. Comment ces biens ont-ils été envoyé à votre ménage ?</t>
  </si>
  <si>
    <t>465. Ta yaya aka aika waɗannan kayan zuwa gidanku?</t>
  </si>
  <si>
    <t>speedcheck_pm_savings_start</t>
  </si>
  <si>
    <t>if(${pm_prev_locations_count} = 0, concat('Avez-vous voyagé en dehors de ', ${pm_home_location}, ' pendant au moins une semaine (7 jours) ', ${period_french_bl_fu5}, '?'), concat('Avez-vous passé au moins une semaine (7 jours) dans un autre endroit ', ${period_french_bl_fu5}, ' ?'))</t>
  </si>
  <si>
    <t>transmit</t>
  </si>
  <si>
    <t>456. Thinking about all the revenue and expense related to this business during the past three months, you said that the net income from this business for your household is ${hoh_biz_income}. Is that correct?</t>
  </si>
  <si>
    <t>456. En pensant à tous les revenus de cette entreprise et à toutes les dépenses, vous dites que la bénéfice net de cette entreprise au cours des trois derniers mois est ${hoh_biz_income}, est-ce exact ?</t>
  </si>
  <si>
    <t>456. Ku tuna da dukkan kuɗaɗen shiga da kashe kashen kuɗi da suka shafi wannan kasuwancin a cikin watanni uku da suka wuce. Kun ce yawan riban wannan kasuwancin shine ${hoh_biz_income}. Ko hakan daidai ne?</t>
  </si>
  <si>
    <t>pm_use_money_note</t>
  </si>
  <si>
    <t>286. Now I would like to ask you about different ways you may use money that you earn.</t>
  </si>
  <si>
    <t>286. Maintenant, je voudrais vous poser des questions sur les différentes façons dont vous pouvez utiliser l'argent que vous gagnez.</t>
  </si>
  <si>
    <t>286. Yanzu ina so in tambaye ku bisa hanyoyi daban-daban da kuke amfani da su wajen kashe kuɗin da kuke samu.</t>
  </si>
  <si>
    <t>294. Now I would like to ask you about different ways you may use money that you earn.</t>
  </si>
  <si>
    <t>294. Maintenant, je voudrais vous poser des questions sur les différentes façons dont vous pouvez utiliser l'argent que vous gagnez.</t>
  </si>
  <si>
    <t>294. Yanzu ina so in tambaye ku bisa hanyoyi daban-daban da kuke amfani da su wajen kashe kuɗin da kuke samu.</t>
  </si>
  <si>
    <t>select_multiple savings</t>
  </si>
  <si>
    <t>pm_separate_savings</t>
  </si>
  <si>
    <t>287. Do you currently have savings of each of the following types that you have put aside for yourself, separate from your household?</t>
  </si>
  <si>
    <t>287. Avez-vous actuellement des économies de chacun des types suivants que vous avez mises de côté pour vous-même, séparément de votre ménage ?</t>
  </si>
  <si>
    <t>287. Ko a halin yanzu kuna da tanadi na kowane irin waɗannan abubuwan da kuka ware don kanku, daban da na gidan ku?</t>
  </si>
  <si>
    <t>if(${pm_prev_locations_count} = 0, concat("Shin kun yi tafiya a ko'ina a waje ", ${pm_home_location},' aƙalla mako guda (kwana 7) tsakanin farkon lokacin da muka yi magana da ku a', ${period_hausa_bl_fu5}, '?'), concat('Shin kun shafe akalla sati guda (7) a wani wuri ', ${period_hausa_bl_fu5}, '?'))</t>
  </si>
  <si>
    <t>295. Do you currently have savings of each of the following types that you have put aside for yourself, separate from your household?</t>
  </si>
  <si>
    <t>295. Avez-vous actuellement des économies de chacun des types suivants que vous avez mises de côté pour vous-même, séparément de votre ménage ?</t>
  </si>
  <si>
    <t>295. Ko a halin yanzu kuna da tanadi na kowane irin waɗannan abubuwan da kuka ware don kanku, daban da na gidan ku?</t>
  </si>
  <si>
    <t>pm_separate_savings_o</t>
  </si>
  <si>
    <t>288. Specify other:</t>
  </si>
  <si>
    <t>288. Autre à préciser</t>
  </si>
  <si>
    <t>288. Wani daban a baiyana</t>
  </si>
  <si>
    <t>296. Specify other:</t>
  </si>
  <si>
    <t>296. Autre à préciser</t>
  </si>
  <si>
    <t>296. Wani daban a baiyana</t>
  </si>
  <si>
    <t>pm_savings_amt</t>
  </si>
  <si>
    <t>Savings Amount</t>
  </si>
  <si>
    <t>Montant de l'épargne</t>
  </si>
  <si>
    <t>Yawan kuɗin ajiye</t>
  </si>
  <si>
    <t>pm_savings_name</t>
  </si>
  <si>
    <t>Savings Type Name</t>
  </si>
  <si>
    <t>Nom du type d'épargne</t>
  </si>
  <si>
    <t>Sunan irin Ajiyar</t>
  </si>
  <si>
    <t>ENUMERATOR: Please ask the respondent to list all the locations they traveled to. We would like you to count the number of places and verify the number they reported.</t>
  </si>
  <si>
    <t>RECENSEUR : Veuillez demander au répondant d'énumérer tous les endroits où il s'est rendu. Nous aimerions que vous comptiez le nombre d'endroits et que vous vérifiiez le nombre qu'il a déclaré.</t>
  </si>
  <si>
    <t>ENUMERATOR: Da fatan za a tambayi wanda ya amsa ya jera duk wuraren da suka je. Muna so ku ƙidaya adadin wuraren kuma ku tabbatar da lambar da suka ruwaito.</t>
  </si>
  <si>
    <t>.&gt;0</t>
  </si>
  <si>
    <t>458. In the past three months, did ${hoh_member_act_name} earn money from any other activity?</t>
  </si>
  <si>
    <t>458. Au cours des trois derniers mois, ${hoh_member_act_name} a-t-il gagné de l'argent grâce à une autre activité ?</t>
  </si>
  <si>
    <t>${pm_prev_add} = 1</t>
  </si>
  <si>
    <t>458. A cikin watanni uku da suka gabata, ${hoh_member_act_name} ya samu kuɗi daga yin wani aiki?</t>
  </si>
  <si>
    <t>pm_savings_type_amt</t>
  </si>
  <si>
    <t>289. Please share with us your best estimate of the value in CFA ${pm_savings_name}</t>
  </si>
  <si>
    <t>289. Veuillez partager avec nous votre meilleure estimation de la valeur en CFA ${pm_savings_name}</t>
  </si>
  <si>
    <t>289. Da fatan za ku gaya mana misalin ƙimar kuɗin a CFA ${pm_savings_name}</t>
  </si>
  <si>
    <t>297. Please share with us your best estimate of the value in CFA ${pm_savings_name}</t>
  </si>
  <si>
    <t>297. Veuillez partager avec nous votre meilleure estimation de la valeur en CFA ${pm_savings_name}</t>
  </si>
  <si>
    <t>297. Da fatan za ku gaya mana misalin ƙimar kuɗin a CFA ${pm_savings_name}</t>
  </si>
  <si>
    <t>Ta hanyar wayar hannu</t>
  </si>
  <si>
    <t>460. Specify the activity</t>
  </si>
  <si>
    <t>460. Précisez l'activité</t>
  </si>
  <si>
    <t>460. Baiyana aikin</t>
  </si>
  <si>
    <t>select_multiple savings_reasons</t>
  </si>
  <si>
    <t>pm_separate_savings_why</t>
  </si>
  <si>
    <t>Do you already have a plan for using the money you have saved?</t>
  </si>
  <si>
    <t>Avez-vous déjà prévu d'utiliser l'argent que vous avez économisé ?</t>
  </si>
  <si>
    <t>Ko kun yi tsarin yin amfani da kuɗin da kuka adana?</t>
  </si>
  <si>
    <t>298. Do you already have a plan for using the money you have saved?</t>
  </si>
  <si>
    <t>298. Avez-vous déjà prévu d'utiliser l'argent que vous avez économisé ?</t>
  </si>
  <si>
    <t>298. Ko kun yi tsarin yin amfani da kuɗin da kuka adana?</t>
  </si>
  <si>
    <t>pm_separate_savings_why_o</t>
  </si>
  <si>
    <t>Veuillez corriger la réponse à la question précédente !</t>
  </si>
  <si>
    <t>Specify other:</t>
  </si>
  <si>
    <t>Da fatan za a gyara amsar tambayar da ta gabata!</t>
  </si>
  <si>
    <t>Autre à préciser</t>
  </si>
  <si>
    <t>Wani daban a baiyana</t>
  </si>
  <si>
    <t>299. Specify other:</t>
  </si>
  <si>
    <t>299. Autre à préciser</t>
  </si>
  <si>
    <t>299. Wani daban a baiyana</t>
  </si>
  <si>
    <t>select_multiple purchases</t>
  </si>
  <si>
    <t>pm_major_purchase</t>
  </si>
  <si>
    <t>You mentioned that you are saving for a major purchase. What are you planning to buy?</t>
  </si>
  <si>
    <t>Vous avez mentionné que vous économisez pour un achat important. Qu'envisagez-vous d'acheter ?</t>
  </si>
  <si>
    <t>Kun ambaci cewa kuna tanadi don sayen wani abu mai muhimmanci. Me kuke shirin saye?</t>
  </si>
  <si>
    <t>300. You mentioned that you are saving for a major purchase. What are you planning to buy?</t>
  </si>
  <si>
    <t>300. Vous avez mentionné que vous économisez pour un achat important. Qu'envisagez-vous d'acheter ?</t>
  </si>
  <si>
    <t>300. Kun ambaci cewa kuna tanadi don sayen wani abu mai muhimmanci. Me kuke shirin saye?</t>
  </si>
  <si>
    <t>pm_major_purchase_o</t>
  </si>
  <si>
    <t>301. Specify other:</t>
  </si>
  <si>
    <t>301. Autre à préciser</t>
  </si>
  <si>
    <t>301. Wani daban a baiyana</t>
  </si>
  <si>
    <t>pm_save_pm</t>
  </si>
  <si>
    <t>290. In the past month have you put aside any money for the future?</t>
  </si>
  <si>
    <t>290. Au cours du mois dernier, avez-vous mis de l'argent de côté pour l'avenir ?</t>
  </si>
  <si>
    <t>290. A cikin watan da ya gabata ko kun yi wata ajiyar kuɗi don gaba?</t>
  </si>
  <si>
    <t>302. In the past month have you put aside any money for the future?</t>
  </si>
  <si>
    <t>302. Au cours du mois dernier, avez-vous mis de l'argent de côté pour l'avenir ?</t>
  </si>
  <si>
    <t>302. A cikin watan da ya gabata ko kun yi wata ajiyar kuɗi don gaba?</t>
  </si>
  <si>
    <t>speedcheck_pm_savings_end</t>
  </si>
  <si>
    <t>443. What is the first name of ${hoh_hhtext}?</t>
  </si>
  <si>
    <t>443. Quel est le prenom de cette personne ${hoh_hhtextfrench} ?</t>
  </si>
  <si>
    <t>443. Menene sunan ${hoh_hhtexthausa}?</t>
  </si>
  <si>
    <t>dur_pm_savings</t>
  </si>
  <si>
    <t>480. What was the value of the goods members of your household sent to people out of Niger?</t>
  </si>
  <si>
    <t>480. Quel était le valeur au total des biens que les membres de votre ménage ont envoyé aux personnes qui sont quelques part hors du Niger ?</t>
  </si>
  <si>
    <t>480. Nawa ne kimar kayan da ƴan gidanku suka aikawa wasu mutane da ke wani wuri ba a Nijar ba?</t>
  </si>
  <si>
    <t>not(${pm_leave} = 0 and ${pm_prev_add} = 0)</t>
  </si>
  <si>
    <t>${pm_locations}</t>
  </si>
  <si>
    <t>464. In the past three months, have you or anyone in your household received money from someone who is not a member of your household and who lives elsewhere in Niger (outside your village)?</t>
  </si>
  <si>
    <t>464. Au cours des trois derniers mois, vous ou un membre de votre ménage avez reçu &lt;b&gt;de l'argent&lt;/b&gt; d'une personne qui n'est pas membre de votre ménage et qui habite &lt;b&gt;ailleurs au Niger&lt;/b&gt; (en dehors de votre village)?</t>
  </si>
  <si>
    <t>464. A cikin watanni uku da suka wuce, kai ko ɗan gidanku kun samu kuɗi daga wani da ba ɗan gidanku ba wanda yake zaune a wani gari a Nijar (wajen kauyenku)?</t>
  </si>
  <si>
    <t>speedcheck_pm_emerg_start</t>
  </si>
  <si>
    <t>444. What is ${hoh_new_mem_name}'s relationship to you, the household head?</t>
  </si>
  <si>
    <t>444. Quelle est la relation entre ${hoh_new_mem_name} et vous, le chef de ménage ?</t>
  </si>
  <si>
    <t>444. Menene alaƙa tsakanin ${hoh_new_mem_name} da, mai gida?</t>
  </si>
  <si>
    <t>pm_emergency_any</t>
  </si>
  <si>
    <t>445. What is ${hoh_new_mem_name}'s sex?</t>
  </si>
  <si>
    <t>445. Quel est le sexe de ${hoh_new_mem_name} ?</t>
  </si>
  <si>
    <t>445. Menene jinsin ${hoh_new_mem_name}?</t>
  </si>
  <si>
    <t>pm_emergency_note</t>
  </si>
  <si>
    <t>291. ${period}, did you experience an emergency or urgent need that forced you to:</t>
  </si>
  <si>
    <t>291. ${period_french}, avez-vous ressenti une urgence ou un besoin urgent qui vous a obligé à :</t>
  </si>
  <si>
    <t>291. ${period_hausa}, ko gidanku ya fuskanci wani hali na gaggawa ko wata buƙatu ta gaggawa wanda ya tilasta muku:</t>
  </si>
  <si>
    <t>changes</t>
  </si>
  <si>
    <t>No change</t>
  </si>
  <si>
    <t>303. ${period}, did you experience an emergency or urgent need that forced you to:</t>
  </si>
  <si>
    <t>Pas de changement</t>
  </si>
  <si>
    <t>303. ${period_french}, avez-vous ressenti une urgence ou un besoin urgent qui vous a obligé à :</t>
  </si>
  <si>
    <t>303. ${period_hausa}, ko gidanku ya fuskanci wani hali na gaggawa ko wata buƙatu ta gaggawa wanda ya tilasta muku:</t>
  </si>
  <si>
    <t>Babu canji</t>
  </si>
  <si>
    <t>pm_emerg_sell</t>
  </si>
  <si>
    <t>292. Sell assets</t>
  </si>
  <si>
    <t>292. Vendre des actifs</t>
  </si>
  <si>
    <t>292. Saida kadarori</t>
  </si>
  <si>
    <t>304. Sell assets</t>
  </si>
  <si>
    <t>304. Vendre des actifs</t>
  </si>
  <si>
    <t>304. Saida kadarori</t>
  </si>
  <si>
    <t>pm_emerg_borrow</t>
  </si>
  <si>
    <t>293. Borrow money</t>
  </si>
  <si>
    <t>293. Emprunter de l'argent</t>
  </si>
  <si>
    <t>293. Bashin kudi</t>
  </si>
  <si>
    <t>305. Borrow money</t>
  </si>
  <si>
    <t>305. Emprunter de l'argent</t>
  </si>
  <si>
    <t>305. Bashin kudi</t>
  </si>
  <si>
    <t>Respondent got married</t>
  </si>
  <si>
    <t>Le répondant s'est marié</t>
  </si>
  <si>
    <t>pm_emerg_spend</t>
  </si>
  <si>
    <t>294. Spend savings</t>
  </si>
  <si>
    <t>Mai bada amsa yana da aure</t>
  </si>
  <si>
    <t>294. Utiliser votre epargne</t>
  </si>
  <si>
    <t>294. Kashe kuɗin ajiyar ku</t>
  </si>
  <si>
    <t>306. Spend savings</t>
  </si>
  <si>
    <t>306. Utiliser votre epargne</t>
  </si>
  <si>
    <t>306. Kashe kuɗin ajiyar ku</t>
  </si>
  <si>
    <t>if(${pm_locations_list_index} &gt; ${pm_locations_new} and ${pm_leave} = 1, 1, 
if(${pm_leave} = 0, 1, 0))</t>
  </si>
  <si>
    <t>471. Specify other transfer method</t>
  </si>
  <si>
    <t>471. Précisez la méthode du transfert</t>
  </si>
  <si>
    <t>471. Wani daban a Bayyana</t>
  </si>
  <si>
    <t>select_multiple emergency</t>
  </si>
  <si>
    <t>Respondent divorced</t>
  </si>
  <si>
    <t>pm_emergency</t>
  </si>
  <si>
    <t>295. What type of event led you to sell assets or borrow money?</t>
  </si>
  <si>
    <t>295. Quel type d'événement vous a amené à vendre des actifs ou à emprunter de l'argent ?</t>
  </si>
  <si>
    <t>295. Wane irin lamari ne ya kai ku sayar da kadarori ko ɗaukan bashi?</t>
  </si>
  <si>
    <t>Le répondant a divorcé</t>
  </si>
  <si>
    <t>Mai bada amsa gobro ne</t>
  </si>
  <si>
    <t>307. What type of event led you to sell assets or borrow money?</t>
  </si>
  <si>
    <t>307. Quel type d'événement vous a amené à vendre des actifs ou à emprunter de l'argent ?</t>
  </si>
  <si>
    <t>307. Wane irin lamari ne ya kai ku sayar da kadarori ko ɗaukan bashi?</t>
  </si>
  <si>
    <t>pm_emergency_o</t>
  </si>
  <si>
    <t>296. Please briefly describe the event that led you to sell assets or borrow money</t>
  </si>
  <si>
    <t>296. Veuillez décrire brièvement l'événement qui vous a amené à vendre des actifs ou à emprunter de l'argent</t>
  </si>
  <si>
    <t>296. Ina son ku bani taƙaitaccen bayani bisa abin da ya sa ku saida kadarori ko ɗaukan bashi</t>
  </si>
  <si>
    <t>308. Please briefly describe the event that led you to sell assets or borrow money</t>
  </si>
  <si>
    <t>308. Veuillez décrire brièvement l'événement qui vous a amené à vendre des actifs ou à emprunter de l'argent</t>
  </si>
  <si>
    <t>308. Ina son ku bani taƙaitaccen bayani bisa abin da ya sa ku saida kadarori ko ɗaukan bashi</t>
  </si>
  <si>
    <t>Respondent had new baby (self or spouse)</t>
  </si>
  <si>
    <t>pm_emerg_sell_amt</t>
  </si>
  <si>
    <t>La répondante a eu un nouveau bébé (elle-même ou son conjoint)</t>
  </si>
  <si>
    <t>297. What was the value of assets you sold (in CFA)?</t>
  </si>
  <si>
    <t>Mai bada amsa tanada jariri ita da kanta ko kishiyarta</t>
  </si>
  <si>
    <t>297. Quelle était la valeur des actifs que vous avez vendus ?</t>
  </si>
  <si>
    <t>297. Misalin nawa ne ƙimar kadarorin da kuka saida?</t>
  </si>
  <si>
    <t>if(${pm_leave} = 1, ${pm_locations_list_index} - ${pm_locations_new}, ${pm_locations_list_index})</t>
  </si>
  <si>
    <t>309. What was the value of assets you sold (in CFA)?</t>
  </si>
  <si>
    <t>309. Quelle était la valeur des actifs que vous avez vendus ?</t>
  </si>
  <si>
    <t>309. Misalin nawa ne ƙimar kadarorin da kuka saida?</t>
  </si>
  <si>
    <t>pm_emerg_borrow_amt</t>
  </si>
  <si>
    <t>298. What was the value of the loan you took (in CFA)?</t>
  </si>
  <si>
    <t>298. Quelle était la valeur du prêt que vous avez contracté ?</t>
  </si>
  <si>
    <t>298. Nawa ne kuɗin bashin da kuka ɗauko?</t>
  </si>
  <si>
    <t>310. What was the value of the loan you took (in CFA)?</t>
  </si>
  <si>
    <t>310. Quelle était la valeur du prêt que vous avez contracté ?</t>
  </si>
  <si>
    <t>Death of respondent's child</t>
  </si>
  <si>
    <t>310. Nawa ne kuɗin bashin da kuka ɗauko?</t>
  </si>
  <si>
    <t>Décès de l'enfant du répondant</t>
  </si>
  <si>
    <t>Mutuwar ɗan mai bada amsa</t>
  </si>
  <si>
    <t>pm_emerg_spend_amt</t>
  </si>
  <si>
    <t>299. What was the value of the savings you spent (in CFA)?</t>
  </si>
  <si>
    <t>299. Quelle était la valeur de l'epargne que vous avez utilisé ?</t>
  </si>
  <si>
    <t>299. Nawa kuɗin ajiyar da kuka kashe?</t>
  </si>
  <si>
    <t>311. What was the value of the savings you spent (in CFA)?</t>
  </si>
  <si>
    <t>311. Quelle était la valeur de l'epargne que vous avez utilisé ?</t>
  </si>
  <si>
    <t>311. Nawa kuɗin ajiyar da kuka kashe?</t>
  </si>
  <si>
    <t>pm_total_loan_value</t>
  </si>
  <si>
    <t>300. Think about all of the credit or money you have borrowed. What is the approximate total value of all money you owe to other people (in CFA)?</t>
  </si>
  <si>
    <t>300. Pensez à tout le crédit ou l'argent que vous avez emprunté. Quelle est la valeur totale approximative de tout l'argent que vous devez à d'autres personnes ?</t>
  </si>
  <si>
    <t>300. Ku tuna da duk bashi ko kuɗin da kuka aro. Nawa ne kimar jimillar duk kuɗin da wasu mutanne ke binku?</t>
  </si>
  <si>
    <t>312. Think about all of the credit or money you have borrowed. What is the approximate total value of all money you owe to other people (in CFA)?</t>
  </si>
  <si>
    <t>312. Pensez à tout le crédit ou l'argent que vous avez emprunté. Quelle est la valeur totale approximative de tout l'argent que vous devez à d'autres personnes ?</t>
  </si>
  <si>
    <t xml:space="preserve">if(${pm_locations_list_index} = 1 and ${pm_leave} = 1,
  concat("Most recent destination since ",  ${period}, "?"), 
if(${pm_locations_list_index} &gt; 1 and ${pm_locations_list_index} &lt;= ${pm_locations_new},
  concat("before ", item-at(',', ${pm_locations_list}, ${pm_locations_list_index} - 2), "?"),
  concat("in location #", ${pm_prev_location_index}, " that you did not report in the previous surveys? Note: you mentioned that you did not report migrating to ", ${pm_prev_add}, " locations.")
)
)
</t>
  </si>
  <si>
    <t>312. Ku tuna da duk bashi ko kuɗin da kuka aro. Nawa ne kimar jimillar duk kuɗin da wasu mutanne ke binku?</t>
  </si>
  <si>
    <t>Death of household head</t>
  </si>
  <si>
    <t>select_one agree_likert</t>
  </si>
  <si>
    <t>pm_emergency_capital</t>
  </si>
  <si>
    <t>301. Please tell me the extent do you agree/disagree:
 If I had an emergency that required 5,000 CFA urgently (within 3 days), I would be able to find the money.</t>
  </si>
  <si>
    <t>Décès du chef de famille</t>
  </si>
  <si>
    <t>301. Veuillez me dire dans quelle mesure êtes-vous d'accord/pas d'accord :
 Si j'avais une urgence qui nécessitait 5 000 CFA en urgence (dans les 3 jours), je serais capable de trouver l'argent.</t>
  </si>
  <si>
    <t>301. Da fatan za ka gaya mini matsayin yarda/rishin yarda da kowanne: 
 Idan wata buƙatar gaggawa na 5,000 CFA ta same ni (a cikin kwanaki 3), zan iya samun kuɗin.</t>
  </si>
  <si>
    <t>Mutuwar maigida</t>
  </si>
  <si>
    <t>313. Please tell me the extent do you agree/disagree:
 If I had an emergency that required 5,000 CFA urgently (within 3 days), I would be able to find the money.</t>
  </si>
  <si>
    <t>313. Veuillez me dire dans quelle mesure êtes-vous d'accord/pas d'accord :
 Si j'avais une urgence qui nécessitait 5 000 CFA en urgence (dans les 3 jours), je serais capable de trouver l'argent.</t>
  </si>
  <si>
    <t>313. Da fatan za ka gaya mini matsayin yarda/rishin yarda da kowanne: 
 Idan wata buƙatar gaggawa na 5,000 CFA ta same ni (a cikin kwanaki 3), zan iya samun kuɗin.</t>
  </si>
  <si>
    <t>select_one contact_relation</t>
  </si>
  <si>
    <t>pm_emergency_who</t>
  </si>
  <si>
    <t>302. What type of person would you go to first for this money?</t>
  </si>
  <si>
    <t>302. Vers quel type de personne iriez-vous en premier pour cet argent ?</t>
  </si>
  <si>
    <t>302. Wane irin mutum ne za ku fara zuwa wurin shi don neman wannan kuɗin?</t>
  </si>
  <si>
    <t>314. What type of person would you go to first for this money?</t>
  </si>
  <si>
    <t>314. Vers quel type de personne iriez-vous en premier pour cet argent ?</t>
  </si>
  <si>
    <t>314. Wane irin mutum ne za ku fara zuwa wurin shi don neman wannan kuɗin?</t>
  </si>
  <si>
    <t>pm_emergency_who_o</t>
  </si>
  <si>
    <t>303. Specify your relationship with this person</t>
  </si>
  <si>
    <t>303. Précisez votre relation avec cette personne</t>
  </si>
  <si>
    <t>303. Faɗi dangantakar ku da wannan mutumen</t>
  </si>
  <si>
    <t>Death of other household member</t>
  </si>
  <si>
    <t>315. Specify your relationship with this person</t>
  </si>
  <si>
    <t>315. Précisez votre relation avec cette personne</t>
  </si>
  <si>
    <t>Décès d'un autre membre du ménage</t>
  </si>
  <si>
    <t>315. Faɗi dangantakar ku da wannan mutumen</t>
  </si>
  <si>
    <t>Mutuwar wani ɗan gida</t>
  </si>
  <si>
    <t>speedcheck_pm_emerg_end</t>
  </si>
  <si>
    <t xml:space="preserve">if(${pm_locations_list_index} = 1 and ${pm_leave} = 1,
  concat("Destination la plus récente depuis ",  ${period_french}, "?"), 
if(${pm_locations_list_index} &gt; 1 and ${pm_leave} = 1 and ${pm_locations_list_index} &lt;= ${pm_locations_new},
  concat("avant ", item-at(',', ${pm_locations_list}, ${pm_locations_list_index} - 2), "?"),
  concat("dans l'emplacement n°", ${pm_prev_location_index}, " que vous n'avez pas signalé dans les enquêtes précédentes ? Remarque : vous avez mentionné que vous n'avez pas signalé de migration vers ", ${pm_prev_add}, " emplacements.")
)
)
</t>
  </si>
  <si>
    <t>481. How much did your household send to people elsewhere in Niger?</t>
  </si>
  <si>
    <t>481. Combien votre ménage a-t-il envoyé à des personnes qui sont quelque part au Niger ?</t>
  </si>
  <si>
    <t>481. Nawa ne gidanku ya aikawa mutanen da ke wasu wurare a Nijar?</t>
  </si>
  <si>
    <t>dur_pm_emerg</t>
  </si>
  <si>
    <t>482. How did you transmit the money to the recipient?</t>
  </si>
  <si>
    <t>482. Comment avez-vous envoyé l'argent au destinataire ?</t>
  </si>
  <si>
    <t>482. Ta wace hanya kuka aika kuɗin ga mai karɓa?</t>
  </si>
  <si>
    <t>483. Specify other transfer method</t>
  </si>
  <si>
    <t>483. Précisez la méthode du transfert</t>
  </si>
  <si>
    <t>Loss of land/housing</t>
  </si>
  <si>
    <t>483. Wani daban a Bayyana</t>
  </si>
  <si>
    <t>Perte de terrain/logement</t>
  </si>
  <si>
    <t>speedcheck_pm_health_start</t>
  </si>
  <si>
    <t>Badda gonaki/gidaje</t>
  </si>
  <si>
    <t>484. In the past three months, have you or anyone in your household shared or sent goods (payment in kind) to someone who is not a member of your household and who lives elsewhere in Niger (outside your village)?</t>
  </si>
  <si>
    <t>484. Au cours des trois derniers mois, vous ou quelqu'un de votre ménage avez-vous partagé ou envoyé &lt;b&gt;des biens&lt;/b&gt; (paiement en nature) à quelqu'un qui n'est pas membre de votre ménage et qui habite &lt;b&gt;ailleurs au Niger&lt;/b&gt; (en dehors de votre village) ?</t>
  </si>
  <si>
    <t>484. A cikin watanni uku da suka wuce, kai ko wani a cikin gidanku kun bada ko kun aika kaya (a matsayin biya) ga wanda ba dan giɗanku ba da ke zaune a wani wuri a cikin Nijar (Ba'a garinku ba)?</t>
  </si>
  <si>
    <t xml:space="preserve">if(${pm_locations_list_index} = 1 and ${pm_leave} = 1,
  concat("Wuri na baya-bayan nan tun watan ",  ${period_hausa}, "?"), 
if(${pm_locations_list_index} &gt; 1 and ${pm_locations_list_index} &lt;= ${pm_locations_new},
  concat("kafin ", item-at(',', ${pm_locations_list}, ${pm_locations_list_index} - 2), "?"),
  concat("a wuri #", ${pm_prev_location_index}, " wanda baku bayar da rahoto ba a binciken da ya gabata? Lura: kun ambaci cewa ba ku bayar da rahoton ƙaura zuwa wurare ", ${pm_prev_add}, " ba.")
)
)
</t>
  </si>
  <si>
    <t>pm_health_note</t>
  </si>
  <si>
    <t>304. I would like to ask you a few questions about your health and wellbeing</t>
  </si>
  <si>
    <t>304. Je voudrais vous poser quelques questions sur votre santé et votre bien-être</t>
  </si>
  <si>
    <t>304. Ina so in yi muku wasu ƴan tambayoyi bisa lafiyar ku da jin daɗin ku</t>
  </si>
  <si>
    <t>316. I would like to ask you a few questions about your health and wellbeing</t>
  </si>
  <si>
    <t>316. Je voudrais vous poser quelques questions sur votre santé et votre bien-être</t>
  </si>
  <si>
    <t>316. Ina so in yi muku wasu ƴan tambayoyi bisa lafiyar ku da jin daɗin ku</t>
  </si>
  <si>
    <t>select_one health</t>
  </si>
  <si>
    <t>pm_physical_health</t>
  </si>
  <si>
    <t>305. In general, how would you characterize your physical health?</t>
  </si>
  <si>
    <t>305. En général, comment caractériseriez-vous votre santé physique ?</t>
  </si>
  <si>
    <t>305. A taƙaice, yaya za ku siffanta lafiyar jikin ku?</t>
  </si>
  <si>
    <t>317. In general, how would you characterize your physical health?</t>
  </si>
  <si>
    <t>317. En général, comment caractériseriez-vous votre santé physique ?</t>
  </si>
  <si>
    <t>317. A taƙaice, yaya za ku siffanta lafiyar jikin ku?</t>
  </si>
  <si>
    <t>pm_illness_limit</t>
  </si>
  <si>
    <t>306. Do you currently suffer from any illness or disability that limits your ability to travel or work?</t>
  </si>
  <si>
    <t>306. Souffrez-vous actuellement d'une maladie ou d'un handicap qui limite votre capacité à voyager ou à travailler ?</t>
  </si>
  <si>
    <t>306. Ko a halin yanzu kuna fama da wata rashin lafiya ko naƙasa da ke kawo muku cikas bisa karfinku na yin tafiya ko yin aiki?</t>
  </si>
  <si>
    <t>Please list the locations from most to least recent.</t>
  </si>
  <si>
    <t>Veuillez énumérer les emplacements du plus récent au moins récent.</t>
  </si>
  <si>
    <t>Da fatan za a jera wuraren daga mafi ƙaranci zuwa na baya-bayan nan.</t>
  </si>
  <si>
    <t>318. Do you currently suffer from any illness or disability that limits your ability to travel or work?</t>
  </si>
  <si>
    <t>318. Souffrez-vous actuellement d'une maladie ou d'un handicap qui limite votre capacité à voyager ou à travailler ?</t>
  </si>
  <si>
    <t>318. Ko a halin yanzu kuna fama da wata rashin lafiya ko naƙasa da ke kawo muku cikas bisa karfinku na yin tafiya ko yin aiki?</t>
  </si>
  <si>
    <t>select_multiple illness</t>
  </si>
  <si>
    <t>pm_illness_limit_type</t>
  </si>
  <si>
    <t>307. What illness limits you in this way?</t>
  </si>
  <si>
    <t>307. Quelle maladie vous limite de cette manière ?</t>
  </si>
  <si>
    <t>307. Wace cuta ce ke tsaida ku kenan ?</t>
  </si>
  <si>
    <t>319. What illness limits you in this way?</t>
  </si>
  <si>
    <t>319. Quelle maladie vous limite de cette manière ?</t>
  </si>
  <si>
    <t>319. Wace cuta ce ke tsaida ku kenan ?</t>
  </si>
  <si>
    <t>pm_illness_limit_type_o</t>
  </si>
  <si>
    <t>308. Other, specify:</t>
  </si>
  <si>
    <t>308. Autre précisez:</t>
  </si>
  <si>
    <t>308. wani daban baiyana</t>
  </si>
  <si>
    <t>320. Other, specify:</t>
  </si>
  <si>
    <t>320. Autre précisez:</t>
  </si>
  <si>
    <t>320. wani daban baiyana</t>
  </si>
  <si>
    <t>pm_past_week_note</t>
  </si>
  <si>
    <t>309. Now I want to ask you about the past week (7 days)</t>
  </si>
  <si>
    <t>309. Maintenant, je veux vous poser des questions sur la semaine dernière (7 jours)</t>
  </si>
  <si>
    <t>309. Yanzu ina so in muku tambayoyi kan satin da ya gabata (kwana 7)</t>
  </si>
  <si>
    <t>321. Now I want to ask you about the past week (7 days)</t>
  </si>
  <si>
    <t>321. Maintenant, je veux vous poser des questions sur la semaine dernière (7 jours)</t>
  </si>
  <si>
    <t>321. Yanzu ina so in muku tambayoyi kan satin da ya gabata (kwana 7)</t>
  </si>
  <si>
    <t>pm_skip_meals</t>
  </si>
  <si>
    <t>310. In the past 7 days have you cut the size of meals or skipped meals?</t>
  </si>
  <si>
    <t>310. Au cours des 7 derniers jours, avez-vous réduit la taille des repas ou sauté des repas ?</t>
  </si>
  <si>
    <t>${pm_previous_in_niger} = 1 or not(relevant(${pm_previous_in_niger}))</t>
  </si>
  <si>
    <t>310. A cikin kwanaki 7 da suka gabata kun rage yawan abincin da kuka saba ci ko kun tsallake shi gabaɗaya?</t>
  </si>
  <si>
    <t>322. In the past 7 days have you cut the size of meals or skipped meals?</t>
  </si>
  <si>
    <t>322. Au cours des 7 derniers jours, avez-vous réduit la taille des repas ou sauté des repas ?</t>
  </si>
  <si>
    <t>322. A cikin kwanaki 7 da suka gabata kun rage yawan abincin da kuka saba ci ko kun tsallake shi gabaɗaya?</t>
  </si>
  <si>
    <t>pm_skip_meals_num</t>
  </si>
  <si>
    <t>311. How many days?</t>
  </si>
  <si>
    <t>311. Combien de jours ?</t>
  </si>
  <si>
    <t>311. Kwana nawa?</t>
  </si>
  <si>
    <t>lesseqmore</t>
  </si>
  <si>
    <t>323. How many days?</t>
  </si>
  <si>
    <t>323. Combien de jours ?</t>
  </si>
  <si>
    <t>323. Kwana nawa?</t>
  </si>
  <si>
    <t>pm_eat_protein</t>
  </si>
  <si>
    <t>Less</t>
  </si>
  <si>
    <t>312. In the past week how many days did you consume animal protein (fish, meat, poultry)?</t>
  </si>
  <si>
    <t>Moins</t>
  </si>
  <si>
    <t>312. Au cours de la semaine écoulée, combien de fois avez-vous consommé des protéines animales (poisson, viande, volaille) ?</t>
  </si>
  <si>
    <t>312. A cikin satin da ya gabata sau nawa kuka ci abinci masu gina jiki kamar (kifi, nama, kaji)?</t>
  </si>
  <si>
    <t>ragi</t>
  </si>
  <si>
    <t>324. In the past week how many days did you consume animal protein (fish, meat, poultry)?</t>
  </si>
  <si>
    <t>324. Au cours de la semaine écoulée, combien de fois avez-vous consommé des protéines animales (poisson, viande, volaille) ?</t>
  </si>
  <si>
    <t>324. A cikin satin da ya gabata sau nawa kuka ci abinci masu gina jiki kamar (kifi, nama, kaji)?</t>
  </si>
  <si>
    <t>pm_sleep</t>
  </si>
  <si>
    <t>313. How many hours of sleep per night did you get on average in the last seven days?</t>
  </si>
  <si>
    <t>313. Combien d'heures de sommeil par nuit avez-vous dormi en moyenne au cours des sept derniers jours ?</t>
  </si>
  <si>
    <t>313. Sa'o'i nawa kuka yi barci a kowane dare a taƙaice cikin kwanaki bakwai da suka wuce?</t>
  </si>
  <si>
    <t>${pm_previous_in_niger} = 0</t>
  </si>
  <si>
    <t>325. How many hours of sleep per night did you get on average in the last seven days?</t>
  </si>
  <si>
    <t>325. Combien d'heures de sommeil par nuit avez-vous dormi en moyenne au cours des sept derniers jours ?</t>
  </si>
  <si>
    <t>325. Sa'o'i nawa kuka yi barci a kowane dare a taƙaice cikin kwanaki bakwai da suka wuce?</t>
  </si>
  <si>
    <t>pm_emotions</t>
  </si>
  <si>
    <t>456. Is ${hoh_roster_name} currently living in your household?</t>
  </si>
  <si>
    <t>456. Est-ce que ${hoh_roster_name} vit actuellement dans votre ménage ?</t>
  </si>
  <si>
    <t>456. Ko ${hoh_roster_name} yana zaune a gidanku a halin yanzu ?</t>
  </si>
  <si>
    <t>pm_emotion</t>
  </si>
  <si>
    <t>Égal</t>
  </si>
  <si>
    <t>Daidai</t>
  </si>
  <si>
    <t>314. In the past week, how often did you experience the following feelings?</t>
  </si>
  <si>
    <t>314. Au cours de la semaine dernière, à quelle fréquence avez-vous ressenti les sentiments suivants ?</t>
  </si>
  <si>
    <t>314. A cikin satin da ya wuce, sau nawa kuka ji irin waɗannan abubuwan a ranku?</t>
  </si>
  <si>
    <t>326. In the past week, how often did you experience the following feelings?</t>
  </si>
  <si>
    <t>326. Au cours de la semaine dernière, à quelle fréquence avez-vous ressenti les sentiments suivants ?</t>
  </si>
  <si>
    <t>326. A cikin satin da ya wuce, sau nawa kuka ji irin waɗannan abubuwan a ranku?</t>
  </si>
  <si>
    <t>pm_emotion1</t>
  </si>
  <si>
    <t>315. Enjoyment</t>
  </si>
  <si>
    <t>315. Plaisir</t>
  </si>
  <si>
    <t>315. jin daɗi</t>
  </si>
  <si>
    <t>${pm_previous_country} = -777</t>
  </si>
  <si>
    <t>327. Enjoyment</t>
  </si>
  <si>
    <t>327. Plaisir</t>
  </si>
  <si>
    <t>327. jin daɗi</t>
  </si>
  <si>
    <t>pm_emotion2</t>
  </si>
  <si>
    <t>316. Happiness</t>
  </si>
  <si>
    <t>316. Bonheur</t>
  </si>
  <si>
    <t>316. Farin ciki</t>
  </si>
  <si>
    <t>More</t>
  </si>
  <si>
    <t>328. Happiness</t>
  </si>
  <si>
    <t>328. Bonheur</t>
  </si>
  <si>
    <t>328. Farin ciki</t>
  </si>
  <si>
    <t>Plus</t>
  </si>
  <si>
    <t>pm_emotion3</t>
  </si>
  <si>
    <t>kari</t>
  </si>
  <si>
    <t>317. Stress</t>
  </si>
  <si>
    <t>317. Babbar Damuwa</t>
  </si>
  <si>
    <t>329. Stress</t>
  </si>
  <si>
    <t>329. Babbar Damuwa</t>
  </si>
  <si>
    <t>pm_emotion4</t>
  </si>
  <si>
    <t>318. Worry</t>
  </si>
  <si>
    <t>318. Inquiétude</t>
  </si>
  <si>
    <t>318. Damuwa</t>
  </si>
  <si>
    <t>330. Worry</t>
  </si>
  <si>
    <t>330. Inquiétude</t>
  </si>
  <si>
    <t>330. Damuwa</t>
  </si>
  <si>
    <t>if(${pm_previous_in_niger} = 1, 1, ${pm_previous_country})</t>
  </si>
  <si>
    <t>pm_emotion5</t>
  </si>
  <si>
    <t>319. Anger</t>
  </si>
  <si>
    <t>319. Colère</t>
  </si>
  <si>
    <t>319. Fushi</t>
  </si>
  <si>
    <t>331. Anger</t>
  </si>
  <si>
    <t>331. Colère</t>
  </si>
  <si>
    <t>331. Fushi</t>
  </si>
  <si>
    <t>pm_emotion6</t>
  </si>
  <si>
    <t>320. Physical pain</t>
  </si>
  <si>
    <t>320. Douleur physique</t>
  </si>
  <si>
    <t>320. ciwon jiki</t>
  </si>
  <si>
    <t>332. Physical pain</t>
  </si>
  <si>
    <t>332. Douleur physique</t>
  </si>
  <si>
    <t>332. ciwon jiki</t>
  </si>
  <si>
    <t>pm_emotion7</t>
  </si>
  <si>
    <t>321. Loneliness</t>
  </si>
  <si>
    <t>321. Solitude</t>
  </si>
  <si>
    <t>321. kadaici</t>
  </si>
  <si>
    <t>333. Loneliness</t>
  </si>
  <si>
    <t>333. Solitude</t>
  </si>
  <si>
    <t>333. kadaici</t>
  </si>
  <si>
    <t>search('towns', 'matches', 'country_id', ${pm_previous_country_code})</t>
  </si>
  <si>
    <t>${pm_previous_in_niger} = 0 and ${pm_previous_country} != '-777'</t>
  </si>
  <si>
    <t>464. What illness limits ${hoh_roster_name} in this way?</t>
  </si>
  <si>
    <t>who_cash_share</t>
  </si>
  <si>
    <t>464. Quelle maladie limite ${hoh_roster_name} de cette manière ?</t>
  </si>
  <si>
    <t>464. Wace rashin lafiya ke tsaida ${hoh_roster_name} ta haka ?</t>
  </si>
  <si>
    <t>pm_esteem</t>
  </si>
  <si>
    <t>Epoux/partenaire</t>
  </si>
  <si>
    <t>Miji/abokin zama</t>
  </si>
  <si>
    <t>465. Other, specify:</t>
  </si>
  <si>
    <t>465. Autre précisez:</t>
  </si>
  <si>
    <t>465. Sauran, bayar da cikakkun bayanai:</t>
  </si>
  <si>
    <t>pm_self_esteem_note</t>
  </si>
  <si>
    <t>322. I will now read out several statements. You should tell me whether these statements are true for you by using the following scale.</t>
  </si>
  <si>
    <t>322. Je vais maintenant lire plusieurs déclarations. Vous devez me dire si ces affirmations sont vraies pour vous en utilisant l'échelle suivante.</t>
  </si>
  <si>
    <t>322. Yanzu zan karanta wasu maganganu da yawa. Za ku gaya mini ko waɗannan maganganun sun yi daidai da ku ta hanyar yin amfani da kuranga mai zuwa.</t>
  </si>
  <si>
    <t>334. I will now read out several statements. You should tell me whether these statements are true for you by using the following scale.</t>
  </si>
  <si>
    <t>334. Je vais maintenant lire plusieurs déclarations. Vous devez me dire si ces affirmations sont vraies pour vous en utilisant l'échelle suivante.</t>
  </si>
  <si>
    <t>334. Yanzu zan karanta wasu maganganu da yawa. Za ku gaya mini ko waɗannan maganganun sun yi daidai da ku ta hanyar yin amfani da kuranga mai zuwa.</t>
  </si>
  <si>
    <t>pm_self_esteem_4</t>
  </si>
  <si>
    <t>323. I feel I do not have much to be proud of.</t>
  </si>
  <si>
    <t>323. Je sens que je n'ai pas beaucoup de raisons d'être fier (comblé).</t>
  </si>
  <si>
    <t>323. Ina jin ba ni da hujjojin ji da kaina.</t>
  </si>
  <si>
    <t>${pm_previous_town} = -777 or ${pm_previous_country} = '-777'</t>
  </si>
  <si>
    <t>335. I feel I do not have much to be proud of.</t>
  </si>
  <si>
    <t>335. Je sens que je n'ai pas beaucoup de raisons d'être fier (comblé).</t>
  </si>
  <si>
    <t>335. Ina jin ba ni da hujjojin ji da kaina.</t>
  </si>
  <si>
    <t>pm_self_esteem_9</t>
  </si>
  <si>
    <t>324. At times I think I am no good at all.</t>
  </si>
  <si>
    <t>324. Parfois, je pense que je ne suis utile à rien</t>
  </si>
  <si>
    <t>324. A wasu lokuta ina ganin ba ni da amfani komai.</t>
  </si>
  <si>
    <t>336. At times I think I am no good at all.</t>
  </si>
  <si>
    <t>336. Parfois, je pense que je ne suis utile à rien</t>
  </si>
  <si>
    <t>Iyaye</t>
  </si>
  <si>
    <t>336. A wasu lokuta ina ganin ba ni da amfani komai.</t>
  </si>
  <si>
    <t>469. Is ${hoh_roster_name} currently enrolled in school?</t>
  </si>
  <si>
    <t>469. Est-ce que ${hoh_roster_name} est actuellement inscrit à l'école ?</t>
  </si>
  <si>
    <t>469. Ko ${hoh_roster_name} yana yin lakwal a halin yanzu?</t>
  </si>
  <si>
    <t>pm_ladder_scale</t>
  </si>
  <si>
    <t>325. Suppose we say that the top of the ladder represents the best possible life for you and the bottom of the ladder represents the worst possible life for you. If the top step is 10 and the bottom step is 0, on which step of the ladder do you feel you personally stand at the present time?</t>
  </si>
  <si>
    <t>gendre/Bru</t>
  </si>
  <si>
    <t>Suruki/sarakuwa</t>
  </si>
  <si>
    <t>325. Supposons que le haut de l'échelle représente la meilleure vie possible pour vous et que le bas de l'échelle représente la pire vie possible pour vous. Si l'échelon supérieur est 10 et l'échelon inférieur est 0, sur quel échelon de l'échelle pensez-vous que vous vous situez personnellement à l'heure actuelle ?</t>
  </si>
  <si>
    <t>325. A ce saman kuranga tana nuna mafi kyawun rayuwa a gare ku kuma kasan kuranga tana nuna mafi munin rayuwa a gareku. Idan matakin saman ya kasance 10 kuma matakin ƙasa shine 0, akan wane mataki na kurangar kake jin kai da kanka kake a halin yanzu?</t>
  </si>
  <si>
    <t>concat(${pm_previous_country}, '-', ${pm_previous_town})</t>
  </si>
  <si>
    <t>337. Suppose we say that the top of the ladder represents the best possible life for you and the bottom of the ladder represents the worst possible life for you. If the top step is 10 and the bottom step is 0, on which step of the ladder do you feel you personally stand at the present time?</t>
  </si>
  <si>
    <t>337. Supposons que le haut de l'échelle représente la meilleure vie possible pour vous et que le bas de l'échelle représente la pire vie possible pour vous. Si l'échelon supérieur est 10 et l'échelon inférieur est 0, sur quel échelon de l'échelle pensez-vous que vous vous situez personnellement à l'heure actuelle ?</t>
  </si>
  <si>
    <t>337. A ce saman kuranga tana nuna mafi kyawun rayuwa a gare ku kuma kasan kuranga tana nuna mafi munin rayuwa a gareku. Idan matakin saman ya kasance 10 kuma matakin ƙasa shine 0, akan wane mataki na kurangar kake jin kai da kanka kake a halin yanzu?</t>
  </si>
  <si>
    <t>Un membre de famille de l'épouse</t>
  </si>
  <si>
    <t>speedcheck_pm_health_end</t>
  </si>
  <si>
    <t>Dan dangin miji</t>
  </si>
  <si>
    <t>471. What is the cost of school fees for the current academic year in CFA?</t>
  </si>
  <si>
    <t>471. Quel est le coût des frais de scolarité pour l'année scolaire en cours (en CFA) ?</t>
  </si>
  <si>
    <t>471. Nawa ne kuɗin makaranta na wannan shekarar (a sefa)?</t>
  </si>
  <si>
    <t>dur_pm_health</t>
  </si>
  <si>
    <t>Autre membre de famille</t>
  </si>
  <si>
    <t>472. In the past month (four weeks) how many days has ${hoh_roster_name} missed school for health reasons?</t>
  </si>
  <si>
    <t>472. Au cours du dernier mois (quatre semaines), combien de jours ${hoh_roster_name} a-t-il manqué l'école pour des raisons de santé ?</t>
  </si>
  <si>
    <t>472. A cikin watan da ya gabata (sati hudu), kwanaki nawa ${hoh_roster_name} yayi fashin zuwa makaranta saboda wata rishin lafiya?</t>
  </si>
  <si>
    <t>if(${pm_previous_country} = -777 or ${pm_previous_town} = -777, ${pm_previous_town_o}, pulldata('towns', 'town_name', 'combined_id', ${pm_previous_town_id}))</t>
  </si>
  <si>
    <t>473. In the past month (four weeks) how many days has ${hoh_roster_name} missed school for work or other reasons?</t>
  </si>
  <si>
    <t>473. Au cours du dernier mois (quatre semaines), combien de jours ${hoh_roster_name} a-t-il manqué l'école pour le travail ou pour d'autres raisons ?</t>
  </si>
  <si>
    <t>473. A cikin watan da ya gabata (makonni hudu), kwanaki nawa ${hoh_roster_name} yayi fashin makaranta saboda aiki ko wasu dalilai?</t>
  </si>
  <si>
    <t>speedcheck_pm_migprep_start</t>
  </si>
  <si>
    <t>474. Is ${hoh_roster_name} married?</t>
  </si>
  <si>
    <t>474. Est-ce que ${hoh_roster_name} est marié ?</t>
  </si>
  <si>
    <t>474. Ko ${hoh_roster_name} yanada aure?</t>
  </si>
  <si>
    <t>if(relevant(${pm_previous_region}), choice-label(${pm_previous_region}, ${pm_previous_region}), ${pm_previous_town_name})</t>
  </si>
  <si>
    <t>pm_identity_note</t>
  </si>
  <si>
    <t>326. I will now ask a few more questions about identity and health documents many people living here have.</t>
  </si>
  <si>
    <t>326. Je vais maintenant poser quelques questions supplémentaires sur les documents d'identité et de santé que possèdent de nombreuses personnes vivant ici.</t>
  </si>
  <si>
    <t>326. Yanzu zan muku yi ƙarin tambayoyi game da takardun ɗan kasa da kiwon lafiya da yawan mutane wanda ke zaune a nan suke da su.</t>
  </si>
  <si>
    <t>voisin</t>
  </si>
  <si>
    <t>338. I will now ask a few more questions about identity and health documents many people living here have.</t>
  </si>
  <si>
    <t>338. Je vais maintenant poser quelques questions supplémentaires sur les documents d'identité et de santé que possèdent de nombreuses personnes vivant ici.</t>
  </si>
  <si>
    <t>338. Yanzu zan muku yi ƙarin tambayoyi game da takardun ɗan kasa da kiwon lafiya da yawan mutane wanda ke zaune a nan suke da su.</t>
  </si>
  <si>
    <t>pm_id</t>
  </si>
  <si>
    <t>327. Do you have a national ID card?</t>
  </si>
  <si>
    <t>327. Avez-vous une carte d'identité nationale?</t>
  </si>
  <si>
    <t>327. Kuna da katin shaidar ɗan kasa?</t>
  </si>
  <si>
    <t>339. Do you have a national ID card?</t>
  </si>
  <si>
    <t>339. Avez-vous une carte d'identité nationale?</t>
  </si>
  <si>
    <t>339. Kuna da katin shaidar ɗan kasa?</t>
  </si>
  <si>
    <t>if(${pm_previous_in_niger} = 1, 1, 0)</t>
  </si>
  <si>
    <t>pm_confirm_docs_id</t>
  </si>
  <si>
    <t>328. Did the respondent show you the national ID card they claimed to possess?</t>
  </si>
  <si>
    <t>328. Le répondant vous a-t-il montré la carte d'identité nationale qu'il prétendait posséder ?</t>
  </si>
  <si>
    <t>328. Ko mai bada amsa ya nuna maka katin shaidarshi na ɗan ƙasa ?</t>
  </si>
  <si>
    <t>340. Did the respondent show you the national ID card they claimed to possess?</t>
  </si>
  <si>
    <t>340. Le répondant vous a-t-il montré la carte d'identité nationale qu'il prétendait posséder ?</t>
  </si>
  <si>
    <t>340. Ko mai bada amsa ya nuna maka katin shaidarshi na ɗan ƙasa ?</t>
  </si>
  <si>
    <t>if(${pm_previous_in_niger} = 0, 1, 0)</t>
  </si>
  <si>
    <t>pm_id_date</t>
  </si>
  <si>
    <t>cash_decision_mem</t>
  </si>
  <si>
    <t>247. What is the expiration date for the National ID card?</t>
  </si>
  <si>
    <t>247. Quelle est la date d'expiration de la carte d'identité nationale ?</t>
  </si>
  <si>
    <t>247. 112b ku. Yaushe ne ranar ƙarewar aikin katin shaidar ɗan ƙasa?</t>
  </si>
  <si>
    <t>518. I will now ask you about meals people in your household have consumed in the past 7 days.</t>
  </si>
  <si>
    <t>518. Je vais maintenant vous poser des questions sur les repas que les membres de votre ménage ont consommé au cours des 7 derniers jours.</t>
  </si>
  <si>
    <t>518. Yanzu zan tambaye ku bisa abincin da mutanen gidanku suka ci a cikin kwanaki 7 da suka wuce.</t>
  </si>
  <si>
    <t>pm_vax</t>
  </si>
  <si>
    <t>329. Do you have a vaccination booklet?</t>
  </si>
  <si>
    <t>329. Avez-vous un carnet de vaccination ?</t>
  </si>
  <si>
    <t>329. Kuna da takardar rigakafi?</t>
  </si>
  <si>
    <t>Husband</t>
  </si>
  <si>
    <t>Mari</t>
  </si>
  <si>
    <t>Miji</t>
  </si>
  <si>
    <t>341. Do you have a vaccination booklet?</t>
  </si>
  <si>
    <t>341. Avez-vous un carnet de vaccination ?</t>
  </si>
  <si>
    <t>341. Kuna da takardar rigakafi?</t>
  </si>
  <si>
    <t>pm_confirm_docs_vax</t>
  </si>
  <si>
    <t>330. Did the respondent show you the vaccination booklet they claimed to possess?</t>
  </si>
  <si>
    <t>if(${pm_previous_in_niger} = 0 and 
(${pm_previous_country} = 3 or
${pm_previous_country} = 6 or
${pm_previous_country} = 7 or
${pm_previous_country} = 9 or
${pm_previous_country} = 10 or
${pm_previous_country} = 13 or
${pm_previous_country} = 14 or
${pm_previous_country} = 15 or
${pm_previous_country} = 16 or
${pm_previous_country} = 17 or
${pm_previous_country} = 18 or
${pm_previous_country} = 19), 1, 0)</t>
  </si>
  <si>
    <t>330. L'enquêté vous a-t-il montré le carnet de vaccination qu'il prétendait posséder ?</t>
  </si>
  <si>
    <t>330. Ko mai bada amsa ya nuna maka takardar rigakafinshi?</t>
  </si>
  <si>
    <t>342. Did the respondent show you the vaccination booklet they claimed to possess?</t>
  </si>
  <si>
    <t>342. L'enquêté vous a-t-il montré le carnet de vaccination qu'il prétendait posséder ?</t>
  </si>
  <si>
    <t>Wife</t>
  </si>
  <si>
    <t>342. Ko mai bada amsa ya nuna maka takardar rigakafinshi?</t>
  </si>
  <si>
    <t>Mata</t>
  </si>
  <si>
    <t>pm_docs_necessary</t>
  </si>
  <si>
    <t>331. Do you agree or disagree with the following statement: when crossing borders, it is important to travel with the required identification and documents.</t>
  </si>
  <si>
    <t>331. Etes-vous d'accord ou pas d'accord avec l'affirmation suivante : lors du passage des frontières, il est important de voyager avec les pièces d'identité et les documents requis.</t>
  </si>
  <si>
    <t>331. Ko ka yarda ko ba ka yarda da wannan magana ba: lokacin ketare iyakoki, yana da mahimmanci tafiya tare da takadar ɗan ƙasa da kuma takardun da ake buƙata.</t>
  </si>
  <si>
    <t>343. Do you agree or disagree with the following statement: when crossing borders, it is important to travel with the required identification and documents.</t>
  </si>
  <si>
    <t>343. Etes-vous d'accord ou pas d'accord avec l'affirmation suivante : lors du passage des frontières, il est important de voyager avec les pièces d'identité et les documents requis.</t>
  </si>
  <si>
    <t>343. Ko ka yarda ko ba ka yarda da wannan magana ba: lokacin ketare iyakoki, yana da mahimmanci tafiya tare da takadar ɗan ƙasa da kuma takardun da ake buƙata.</t>
  </si>
  <si>
    <t>Grandmother</t>
  </si>
  <si>
    <t>Grand-mère</t>
  </si>
  <si>
    <t>479. Specify other</t>
  </si>
  <si>
    <t>479. Autre à préciser</t>
  </si>
  <si>
    <t>479. Wani daban a Bayyana</t>
  </si>
  <si>
    <t>pm_decide_travel</t>
  </si>
  <si>
    <t>Grandfather</t>
  </si>
  <si>
    <t>Grand-père</t>
  </si>
  <si>
    <t>515. Total savings: ${hoh_savings_total}: Does this look correct?</t>
  </si>
  <si>
    <t>515. Économies totales : ${hoh_savings_total} : cela vous semble correct ?</t>
  </si>
  <si>
    <t>515. Jimillar ajiya: ${hoh_savings_total}: kuna ganin ​​wannan yayi daidai?</t>
  </si>
  <si>
    <t>pm_decide_travel_note</t>
  </si>
  <si>
    <t>332. I would like to understand what you would expect to happen if you decided to travel to a neighboring country for work for at least one month.</t>
  </si>
  <si>
    <t>332. J'aimerais comprendre ce à quoi vous vous attendriez si vous décidiez de vous rendre dans un pays voisin pour travailler pendant au moins un mois.</t>
  </si>
  <si>
    <t>332. Ina so in fahimci abin da kuke tsammanin zai faru idan kun yanke shawarar tafiya na akalla wata ɗaya zuwa wata makwabciyar ƙasa don aiki.</t>
  </si>
  <si>
    <t>344. I would like to understand what you would expect to happen if you decided to travel to a neighboring country for work for at least one month.</t>
  </si>
  <si>
    <t>344. J'aimerais comprendre ce à quoi vous vous attendriez si vous décidiez de vous rendre dans un pays voisin pour travailler pendant au moins un mois.</t>
  </si>
  <si>
    <t>344. Ina so in fahimci abin da kuke tsammanin zai faru idan kun yanke shawarar tafiya na akalla wata ɗaya zuwa wata makwabciyar ƙasa don aiki.</t>
  </si>
  <si>
    <t>Son</t>
  </si>
  <si>
    <t>Fils</t>
  </si>
  <si>
    <t>Da</t>
  </si>
  <si>
    <t>pm_future_earn</t>
  </si>
  <si>
    <t>333. How much money would you expect to earn each month (before paying your expenses) in CFA?</t>
  </si>
  <si>
    <t>333. Combien d'argent espérez-vous qu'il gagne chaque mois (sans depense) en CFA ?</t>
  </si>
  <si>
    <t>333. Nawa kuke tsammanin samu kowane wata (kafin ku biya kuɗin ku) a sefa?</t>
  </si>
  <si>
    <t>345. How much money would you expect to earn each month (before paying your expenses) in CFA?</t>
  </si>
  <si>
    <t>345. Combien d'argent espérez-vous qu'il gagne chaque mois (sans depense) en CFA ?</t>
  </si>
  <si>
    <t>345. Nawa kuke tsammanin samu kowane wata (kafin ku biya kuɗin ku) a sefa?</t>
  </si>
  <si>
    <t>pm_future_earn_away</t>
  </si>
  <si>
    <t>334. Imagine that five years from now you are living in another West African country like Cote d'Ivoire or Nigeria. How much money do you think you would earn per month?</t>
  </si>
  <si>
    <t>334. Imaginez que dans cinq ans vous vivez dans un autre pays d'Afrique de l'Ouest comme la Côte d'Ivoire ou le Nigeria. Combien d'argent pensez-vous que vous gagneriez par mois en CFA ?</t>
  </si>
  <si>
    <t>334. Ku ƙaddara cewa shekaru biyar masu zuwa kuna zaune a wata ƙasa ta yammacin Afirka kamar Cote d'Ivoire ko Najeriya. Nawa kuke tunanin samu a kowane wata a sefa?</t>
  </si>
  <si>
    <t>Daughter</t>
  </si>
  <si>
    <t>Fille</t>
  </si>
  <si>
    <t>${speedcheck_pm_reportlocs_end} - ${speedcheck_pm_reportlocs_start}</t>
  </si>
  <si>
    <t>346. Imagine that five years from now you are living in another West African country like Cote d'Ivoire or Nigeria. How much money do you think you would earn per month?</t>
  </si>
  <si>
    <t>Diya</t>
  </si>
  <si>
    <t>346. Imaginez que dans cinq ans vous vivez dans un autre pays d'Afrique de l'Ouest comme la Côte d'Ivoire ou le Nigeria. Combien d'argent pensez-vous que vous gagneriez par mois en CFA ?</t>
  </si>
  <si>
    <t>346. Ku ƙaddara cewa shekaru biyar masu zuwa kuna zaune a wata ƙasa ta yammacin Afirka kamar Cote d'Ivoire ko Najeriya. Nawa kuke tunanin samu a kowane wata a sefa?</t>
  </si>
  <si>
    <t>pm_future_share</t>
  </si>
  <si>
    <t>335. How much money would you expect to share with your household each month in CFA?</t>
  </si>
  <si>
    <t>335. Combien d'argent vous attendez-vous à ce qu'il partage avec votre ménage chaque mois en CFA ?</t>
  </si>
  <si>
    <t>335. Nawa kuke tsammanin zaku aikawa gidanku a kowane wata a sefa?</t>
  </si>
  <si>
    <t>347. How much money would you expect to share with your household each month in CFA?</t>
  </si>
  <si>
    <t>347. Combien d'argent vous attendez-vous à ce qu'il partage avec votre ménage chaque mois en CFA ?</t>
  </si>
  <si>
    <t>347. Nawa kuke tsammanin zaku aikawa gidanku a kowane wata a sefa?</t>
  </si>
  <si>
    <t>pm_future_save</t>
  </si>
  <si>
    <t>336. How much money would you expect to put aside to save for the future each month?</t>
  </si>
  <si>
    <t>336. Combien comptez-vous mettre de côté chaque mois pour épargner pour l’avenir ?</t>
  </si>
  <si>
    <t>336. Nawa ne kuke ganin zaku ajiye don gaba a kowane wata?</t>
  </si>
  <si>
    <t>exp_categories</t>
  </si>
  <si>
    <t>348. How much money would you expect to put aside to save for the future each month?</t>
  </si>
  <si>
    <t>348. Combien comptez-vous mettre de côté chaque mois pour épargner pour l’avenir ?</t>
  </si>
  <si>
    <t>348. Nawa ne kuke ganin zaku ajiye don gaba a kowane wata?</t>
  </si>
  <si>
    <t>if(${pm_leave} = 0 and ${pm_current_location_same} = 0, concat(${pm_current_location}, ',', ${pm_beginning_location}),
if(${pm_leave} = 1 and ${pm_current_location_same} = 1, concat(join-if(',', ${pm_location}, ${pm_prev_location_dum} = 0),',', ${pm_beginning_location}), 
if(${pm_current_location_same} = 1 and ${pm_leave} = 0, ${pm_beginning_location}, 
if(${pm_leave} = 1 and ${pm_current_location_same} = 0, concat(${pm_current_location}, ',', join-if(',', ${pm_location}, ${pm_prev_location_dum} = 0), ',', ${pm_beginning_location}), ''))))</t>
  </si>
  <si>
    <t>pm_future_contact</t>
  </si>
  <si>
    <t>337. How many times would you expect to contact members of your household each month?</t>
  </si>
  <si>
    <t>337. Combien de fois vous attendriez-vous à ce qu'il contacte les membres de votre ménage chaque mois ?</t>
  </si>
  <si>
    <t>337. Sau nawa kuke tsammanin tuntuɓar ƴan gidan ku kowane wata ?</t>
  </si>
  <si>
    <t>349. How many times would you expect to contact members of your household each month?</t>
  </si>
  <si>
    <t>349. Combien de fois vous attendriez-vous à ce qu'il contacte les membres de votre ménage chaque mois ?</t>
  </si>
  <si>
    <t>349. Sau nawa kuke tsammanin tuntuɓar ƴan gidan ku kowane wata ?</t>
  </si>
  <si>
    <t>Transport</t>
  </si>
  <si>
    <t>Sifiri</t>
  </si>
  <si>
    <t>517. The amount you have left (${hoh_qty_left}) is negative. Please return and revise your responses.</t>
  </si>
  <si>
    <t xml:space="preserve">517. </t>
  </si>
  <si>
    <t>pm_future_children_note</t>
  </si>
  <si>
    <t>The next few questions ask about the  type of future you would hope for any children you have.</t>
  </si>
  <si>
    <t>Les prochaines questions portent sur le type d'avenir que vous souhaiteriez pour vos enfants.</t>
  </si>
  <si>
    <t>Tambayoyi masu zuwa sun ta'allaƙa da irin makomar da kuke fata ga yaranku.</t>
  </si>
  <si>
    <t>350. The next few questions ask about the type of future you would hope for any children you have.</t>
  </si>
  <si>
    <t>if(${pm_leave} = 0 and ${pm_current_location_same} = 0, concat(${pm_current_country_lbl}, ',', ${pm_beginning_country}),
if(${pm_leave} = 1 and ${pm_current_location_same} = 1, concat(join-if(',', ${pm_previous_country_code}, ${pm_prev_location_dum} = 0), ',', ${pm_beginning_country}), 
if(${pm_current_location_same} = 1 and ${pm_leave} = 0, ${pm_beginning_country}, 
if(${pm_leave} = 1 and ${pm_current_location_same} = 0, concat(${pm_current_country_lbl}, ',', join-if(',', ${pm_previous_country_code}, ${pm_prev_location_dum} = 0), ',', ${pm_beginning_country}), ''))))</t>
  </si>
  <si>
    <t>350. Les prochaines questions portent sur le type d'avenir que vous souhaiteriez pour vos enfants.</t>
  </si>
  <si>
    <t>350. Tambayoyi masu zuwa sun ta'allaƙa da irin makomar da kuke fata ga yaranku.</t>
  </si>
  <si>
    <t>select_one school_prefer_son</t>
  </si>
  <si>
    <t>pm_prefer_school_son</t>
  </si>
  <si>
    <t>195. If you had to choose, would you prefer that your sons complete Koranic school or complete their bacalaureat?</t>
  </si>
  <si>
    <t>195. Si vous deviez choisir, préféreriez-vous que vos garçons terminent l'école coranique ou terminent leur baccalauréat ?</t>
  </si>
  <si>
    <t>Debt</t>
  </si>
  <si>
    <t>195. Idan zaɓi ya kama ku dole, za ku fi son ƴaƴanku maza su kammala karatun Ƙur'ani ko kuma su kammala karatunsu na boko har zuwa bak?</t>
  </si>
  <si>
    <t>Dette</t>
  </si>
  <si>
    <t>Bashi</t>
  </si>
  <si>
    <t>351. If you had to choose, would you prefer that your sons complete Koranic school or complete their bacalaureat?</t>
  </si>
  <si>
    <t>351. Si vous deviez choisir, préféreriez-vous que vos garçons terminent l'école coranique ou terminent leur baccalauréat ?</t>
  </si>
  <si>
    <t>351. Idan zaɓi ya kama ku dole, za ku fi son ƴaƴanku maza su kammala karatun Ƙur'ani ko kuma su kammala karatunsu na boko har zuwa bak?</t>
  </si>
  <si>
    <t>select_one school_prefer_d</t>
  </si>
  <si>
    <t>pm_prefer_school_daughter</t>
  </si>
  <si>
    <t>196. If you had to choose, would you prefer that your daughters complete Koranic school or complete their bacalaureat?</t>
  </si>
  <si>
    <t>196. Si vous deviez choisir, préféreriez-vous que vos filles terminent l'école coranique ou terminent leur baccalauréat ?</t>
  </si>
  <si>
    <t>196. Idan zaɓi ya kama ku dole, za ku fi son ƴaƴanku mata su kammala karatun Ƙur'ani ko kuma su kammala karatunsu na boko har zuwa bak?</t>
  </si>
  <si>
    <t>352. If you had to choose, would you prefer that your daughters complete Koranic school or complete their bacalaureat?</t>
  </si>
  <si>
    <t>352. Si vous deviez choisir, préféreriez-vous que vos filles terminent l'école coranique ou terminent leur baccalauréat ?</t>
  </si>
  <si>
    <t>352. Idan zaɓi ya kama ku dole, za ku fi son ƴaƴanku mata su kammala karatun Ƙur'ani ko kuma su kammala karatunsu na boko har zuwa bak?</t>
  </si>
  <si>
    <t>select_one work_prefer_son</t>
  </si>
  <si>
    <t>pm_prefer_work_son</t>
  </si>
  <si>
    <t>Gift</t>
  </si>
  <si>
    <t>197. If you had to choose, would you prefer for your sons to stay in your community and work the land or to go to a city to find professional opportunities?</t>
  </si>
  <si>
    <t>Cadeau</t>
  </si>
  <si>
    <t>Kyauta</t>
  </si>
  <si>
    <t>197. Si vous deviez choisir, préféreriez-vous que vos garçons restent dans votre communauté et travaillent la terre ou qu'ils aillent dans une ville pour trouver des opportunités professionnelles ?</t>
  </si>
  <si>
    <t>197. Idan zaɓi ya kama ku dole, za ku fi son ƴaƴanku maza su zauna a yankinku su yi aikin gona ko kuma su tafi birni don neman aiki ?</t>
  </si>
  <si>
    <t>353. If you had to choose, would you prefer for your sons to stay in your community and work the land or to go to a city to find professional opportunities?</t>
  </si>
  <si>
    <t>353. Si vous deviez choisir, préféreriez-vous que vos garçons restent dans votre communauté et travaillent la terre ou qu'ils aillent dans une ville pour trouver des opportunités professionnelles ?</t>
  </si>
  <si>
    <t>353. Idan zaɓi ya kama ku dole, za ku fi son ƴaƴanku maza su zauna a yankinku su yi aikin gona ko kuma su tafi birni don neman aiki ?</t>
  </si>
  <si>
    <t>select_one work_prefer_d</t>
  </si>
  <si>
    <t>pm_prefer_work_daughter</t>
  </si>
  <si>
    <t>198. If you had to choose, would you prefer for your daughters to stay in your community and work the land or to go to a city to find professional opportunities?</t>
  </si>
  <si>
    <t>if(${pm_prev_add} = 0, '',
join-if(',', ${pm_location}, ${pm_prev_location_dum} = 1))</t>
  </si>
  <si>
    <t>198. Si vous deviez choisir, préféreriez-vous que vos filles restent dans votre communauté et travaillent la terre ou qu'elles aillent en ville pour trouver des opportunités professionnelles ?</t>
  </si>
  <si>
    <t>198. Idan zaɓi ya kama ku dole, za ku fi son ƴaƴanku mata su zauna a karkararku su yi aikin gona ko kuma su tafi birni don neman aiki ??</t>
  </si>
  <si>
    <t>Rent</t>
  </si>
  <si>
    <t>Louer</t>
  </si>
  <si>
    <t>Haya</t>
  </si>
  <si>
    <t>354. If you had to choose, would you prefer for your daughters to stay in your community and work the land or to go to a city to find professional opportunities?</t>
  </si>
  <si>
    <t>354. Si vous deviez choisir, préféreriez-vous que vos filles restent dans votre communauté et travaillent la terre ou qu'elles aillent en ville pour trouver des opportunités professionnelles ?</t>
  </si>
  <si>
    <t>354. Idan zaɓi ya kama ku dole, za ku fi son ƴaƴanku mata su zauna a karkararku su yi aikin gona ko kuma su tafi birni don neman aiki ??</t>
  </si>
  <si>
    <t>pm_language_son</t>
  </si>
  <si>
    <t>199. What language do you think it is most important for your sons to learn in order to have a good future?</t>
  </si>
  <si>
    <t>199. Quelle langue pensez-vous qu'il est le plus important que vos garçons apprennent pour avoir un bon avenir ?</t>
  </si>
  <si>
    <t>199. Wane yare ne kuke ganin ya fi muhimmanci ga ƴaƴanku mata su koya don su samu rayuwa mai kyau a nan gaba?</t>
  </si>
  <si>
    <t>355. What language do you think it is most important for your sons to learn in order to have a good future?</t>
  </si>
  <si>
    <t>355. Quelle langue pensez-vous qu'il est le plus important que vos garçons apprennent pour avoir un bon avenir ?</t>
  </si>
  <si>
    <t>355. Wane yare ne kuke ganin ya fi muhimmanci ga ƴaƴanku mata su koya don su samu rayuwa mai kyau a nan gaba?</t>
  </si>
  <si>
    <t>Medical</t>
  </si>
  <si>
    <t>Médical</t>
  </si>
  <si>
    <t>Likita</t>
  </si>
  <si>
    <t>pm_language_son_o</t>
  </si>
  <si>
    <t>199a. What language do you think it is most important for your sons to learn in order to have a good future?</t>
  </si>
  <si>
    <t>199a. Quelle langue pensez-vous qu'il est le plus important que vos garçons apprennent pour avoir un bon avenir ?</t>
  </si>
  <si>
    <t>199a. Wane yare ne kuke ganin ya fi muhimmanci ga ƴaƴanku mata su koya don su sami rayuwa mai kyau a gaba?</t>
  </si>
  <si>
    <t>356. What language do you think it is most important for your sons to learn in order to have a good future?</t>
  </si>
  <si>
    <t>356. Quelle langue pensez-vous qu'il est le plus important que vos garçons apprennent pour avoir un bon avenir ?</t>
  </si>
  <si>
    <t>356. Wane yare ne kuke ganin ya fi muhimmanci ga ƴaƴanku mata su koya don su sami rayuwa mai kyau a gaba?</t>
  </si>
  <si>
    <t>if(${pm_prev_add} = 0, '',
join-if(',', ${pm_previous_country_code}, ${pm_prev_location_dum} = 1))</t>
  </si>
  <si>
    <t>pm_language_daughter</t>
  </si>
  <si>
    <t>200. What language do you think it is most important for your daughters to learn in order to have a good future?</t>
  </si>
  <si>
    <t>200. Quelle langue pensez-vous qu'il est le plus important que vos filles apprennent pour avoir un bon avenir ?</t>
  </si>
  <si>
    <t>200. Wane yare ne kuke ganin ya fi muhimmanci ga ƴaƴanku mata su koya don samun kyakkyawar makoma?</t>
  </si>
  <si>
    <t>Livestock</t>
  </si>
  <si>
    <t>Bétail</t>
  </si>
  <si>
    <t>Dabbobi</t>
  </si>
  <si>
    <t>357. What language do you think it is most important for your daughters to learn in order to have a good future?</t>
  </si>
  <si>
    <t>357. Quelle langue pensez-vous qu'il est le plus important que vos filles apprennent pour avoir un bon avenir ?</t>
  </si>
  <si>
    <t>357. Wane yare ne kuke ganin ya fi muhimmanci ga ƴaƴanku mata su koya don samun kyakkyawar makoma?</t>
  </si>
  <si>
    <t>pm_language_daughter_o</t>
  </si>
  <si>
    <t>200a. What language do you think it is most important for your daughters to learn in order to have a good future?</t>
  </si>
  <si>
    <t>200a. Quelle langue pensez-vous qu'il est le plus important que vos filles apprennent pour avoir un bon avenir ?</t>
  </si>
  <si>
    <t>200a. Wane harshe kuke ganin ya fi muhimmanci ga ƴaƴanku mata su koya don samun kyakkyawar makoma?</t>
  </si>
  <si>
    <t>358. What language do you think it is most important for your daughters to learn in order to have a good future?</t>
  </si>
  <si>
    <t>358. Quelle langue pensez-vous qu'il est le plus important que vos filles apprennent pour avoir un bon avenir ?</t>
  </si>
  <si>
    <t>358. Wane harshe kuke ganin ya fi muhimmanci ga ƴaƴanku mata su koya don samun kyakkyawar makoma?</t>
  </si>
  <si>
    <t>Education</t>
  </si>
  <si>
    <t>Éducation</t>
  </si>
  <si>
    <t>Tarbiya</t>
  </si>
  <si>
    <t>485. Since ${period}, was there ever a time when ${hoh_roster_name} planned to migrate but then had to cancel their plans?</t>
  </si>
  <si>
    <t>485. Depuis cette ${period_french}, y a-t-il déjà eu un moment où ${hoh_roster_name} avait prévu de migrer mais a ensuite dû annuler ses projets ?</t>
  </si>
  <si>
    <t>485. Tun daga ${period_hausa}, ko akwai lokacin da ${hoh_roster_name} ya shirya zuwa biɗa amma sai ya soke shirinshi?</t>
  </si>
  <si>
    <t>486. Where did they plan to migrate?</t>
  </si>
  <si>
    <t>486. Où envisageait-il de migrer ?</t>
  </si>
  <si>
    <t>486. Zuwa ina ya shirya zuwa biɗar?</t>
  </si>
  <si>
    <t>Agrrgiculture</t>
  </si>
  <si>
    <t>pm_prep</t>
  </si>
  <si>
    <t>487. Specify other</t>
  </si>
  <si>
    <t>487. Autre à préciser</t>
  </si>
  <si>
    <t>487. Wani daban a Bayyana</t>
  </si>
  <si>
    <t>pm_prep_note</t>
  </si>
  <si>
    <t>338. Now I will ask about things you or your family may have done in preparation for your migration. Consider all migration preparations since ${period}.</t>
  </si>
  <si>
    <t>338. Je vais maintenant vous poser des questions sur les choses que vous ou votre famille avez pu faire pour préparer votre migration. Prenez en compte tous les préparatifs de migration depuis ${period_french}.</t>
  </si>
  <si>
    <t>338. Yanzu zan yi tambayoyi game da abubuwan da ku ko ƴan gidan ku kuka yi a shirye-shiryen zuwanku bulaguro. Ku yi la'aƙari da duk shirye-shiryen tahiya tun ${period_hausa}.</t>
  </si>
  <si>
    <t>359. Now I will ask about things you or your family may have done in preparation for your migration. Consider all migration preparations since ${period}.</t>
  </si>
  <si>
    <t>359. Je vais maintenant vous poser des questions sur les choses que vous ou votre famille avez pu faire pour préparer votre migration. Prenez en compte tous les préparatifs de migration depuis ${period_french}.</t>
  </si>
  <si>
    <t>359. Yanzu zan yi tambayoyi game da abubuwan da ku ko ƴan gidan ku kuka yi a shirye-shiryen zuwanku bulaguro. Ku yi la'aƙari da duk shirye-shiryen tahiya tun ${period_hausa}.</t>
  </si>
  <si>
    <t>Water</t>
  </si>
  <si>
    <t>Eau</t>
  </si>
  <si>
    <t>Ruwa</t>
  </si>
  <si>
    <t>pm_discuss_mig</t>
  </si>
  <si>
    <t>339. Have you and ${shm_name} discussed your plans or desire to travel to another country to find work since ${period}?</t>
  </si>
  <si>
    <t>339. Avez-vous discuté vous et ${shm_name} de vos projets ou de votre désir de voyager dans un autre pays pour trouver du travail depuis ${period_french} ?</t>
  </si>
  <si>
    <t>339. Ko kun tattauna tare da ${shm_name} game da shirin ka ko sha'awar ka ta tafiya wata ƙasa don neman aiki tun ${period_hausa}?</t>
  </si>
  <si>
    <t>if(${pm_prev_add} = 1, concat(${pm_locations_list_new}, ",", ${pm_locations_list_old}), ${pm_locations_list_new})</t>
  </si>
  <si>
    <t>360. Have you and ${shm_name} discussed your plans or desire to travel to another country to find work since ${period}?</t>
  </si>
  <si>
    <t>360. Avez-vous discuté vous et ${shm_name} de vos projets ou de votre désir de voyager dans un autre pays pour trouver du travail depuis ${period_french} ?</t>
  </si>
  <si>
    <t>360. Ko kun tattauna tare da ${shm_name} game da shirin ka ko sha'awar ka ta tafiya wata ƙasa don neman aiki tun ${period_hausa}?</t>
  </si>
  <si>
    <t>pm_discuss_responsibilities</t>
  </si>
  <si>
    <t>340. Have you discussed with your household how your household responsibilities would be managed during your migration?</t>
  </si>
  <si>
    <t>340. Avez-vous discuté avec votre ménage de la manière dont vos responsabilités familiales seraient gérées pendant votre migration ?</t>
  </si>
  <si>
    <t>340. Ko kun tattauna da ƴan gidanku a kan yadda za a gudanar da ayyukanku na gida a lokacin da babu kai a gida ?</t>
  </si>
  <si>
    <t>361. Have you discussed with your household how your household responsibilities would be managed during your migration?</t>
  </si>
  <si>
    <t>361. Avez-vous discuté avec votre ménage de la manière dont vos responsabilités familiales seraient gérées pendant votre migration ?</t>
  </si>
  <si>
    <t>361. Ko kun tattauna da ƴan gidanku a kan yadda za a gudanar da ayyukanku na gida a lokacin da babu kai a gida ?</t>
  </si>
  <si>
    <t>Cooking</t>
  </si>
  <si>
    <t>Cuisson</t>
  </si>
  <si>
    <t>dafa abinci</t>
  </si>
  <si>
    <t>pm_mig_prep_savings</t>
  </si>
  <si>
    <t>341. Have you or your immediate family gathered resources in order to prepare for migration? This could include saving money, selling assets, or taking a loan.</t>
  </si>
  <si>
    <t>341. Est-ce que vous ou votre famille proche avez rassemblé des ressources pour vous préparer à la migration ? Il peut s'agir d'économiser de l'argent, de vendre des actifs ou de contracter un prêt.</t>
  </si>
  <si>
    <t>341. Ko kai ko ƴan gidanku kun yi tanadin guzuri don shirin zuwa biɗa? Wannan na iya haɗawa da ajiyar kuɗi, sayar da kadarori, ko ɗaukar bashi.</t>
  </si>
  <si>
    <t>if(${pm_prev_add} = 1, concat(${pm_countries_new}, ",", ${pm_countries_old}), ${pm_countries_new})</t>
  </si>
  <si>
    <t>362. Have you or your immediate family gathered resources in order to prepare for migration? This could include saving money, selling assets, or taking a loan.</t>
  </si>
  <si>
    <t>362. Est-ce que vous ou votre famille proche avez rassemblé des ressources pour vous préparer à la migration ? Il peut s'agir d'économiser de l'argent, de vendre des actifs ou de contracter un prêt.</t>
  </si>
  <si>
    <t>362. Ko kai ko ƴan gidanku kun yi tanadin guzuri don shirin zuwa biɗa? Wannan na iya haɗawa da ajiyar kuɗi, sayar da kadarori, ko ɗaukar bashi.</t>
  </si>
  <si>
    <t>pm_mig_prep_legal</t>
  </si>
  <si>
    <t>342. Have you or your immediate family prepared any legal paperwork, such as marriage documents, birth certificates, or proof of property to prepare for migration?</t>
  </si>
  <si>
    <t>342. Est-ce que vous ou votre famille immédiate avez préparé des documents juridiques, tels que des documents de mariage, des certificats de naissance ou une preuve de propriété pour vous préparer à la migration ?</t>
  </si>
  <si>
    <t>342. Shin kai ko ƴan gidanku kun shirya wasu takardun doka, kamar takardar aure, takardun haihuwa, ko shaidar dukiya don shiryawa zuwa biɗa?</t>
  </si>
  <si>
    <t>363. Have you or your immediate family prepared any legal paperwork, such as marriage documents, birth certificates, or proof of property to prepare for migration?</t>
  </si>
  <si>
    <t>363. Est-ce que vous ou votre famille immédiate avez préparé des documents juridiques, tels que des documents de mariage, des certificats de naissance ou une preuve de propriété pour vous préparer à la migration ?</t>
  </si>
  <si>
    <t>Soap</t>
  </si>
  <si>
    <t>363. Shin kai ko ƴan gidanku kun shirya wasu takardun doka, kamar takardar aure, takardun haihuwa, ko shaidar dukiya don shiryawa zuwa biɗa?</t>
  </si>
  <si>
    <t>select_multiple discuss_mig_who</t>
  </si>
  <si>
    <t>Savon</t>
  </si>
  <si>
    <t>pm_discuss_mig_out</t>
  </si>
  <si>
    <t>sabulu</t>
  </si>
  <si>
    <t>343. Who have you spoken with outside of your household about whether you should migrate or where you should go?</t>
  </si>
  <si>
    <t>343. Avec qui avez-vous parlé en dehors de votre ménage pour savoir si vous devriez émigrer ou du lieu où vous devriez aller ?</t>
  </si>
  <si>
    <t>343. Wane ne kuka yi magana da shi a wajen gidanku, a kan ko za ku je biɗa ko kuma inda za ku je?</t>
  </si>
  <si>
    <t>item-at(',', ${pm_locations_list}, 0)</t>
  </si>
  <si>
    <t>364. Who have you spoken with outside of your household about whether you should migrate or where you should go?</t>
  </si>
  <si>
    <t>364. Avec qui avez-vous parlé en dehors de votre ménage pour savoir si vous devriez émigrer ou du lieu où vous devriez aller ?</t>
  </si>
  <si>
    <t>364. Wane ne kuka yi magana da shi a wajen gidanku, a kan ko za ku je biɗa ko kuma inda za ku je?</t>
  </si>
  <si>
    <t>select_multiple discuss_mig_info</t>
  </si>
  <si>
    <t>pm_discuss_mig_out_info</t>
  </si>
  <si>
    <t>344. What kinds of information did you discuss with these people?</t>
  </si>
  <si>
    <t>344. De quels types d'informations avez-vous discuté avec ces personnes ?</t>
  </si>
  <si>
    <t>344. Wane irin bayani kuka tattauna da waɗannan mutane?</t>
  </si>
  <si>
    <t>365. What kinds of information did you discuss with these people?</t>
  </si>
  <si>
    <t>365. De quels types d'informations avez-vous discuté avec ces personnes ?</t>
  </si>
  <si>
    <t>365. Wane irin bayani kuka tattauna da waɗannan mutane?</t>
  </si>
  <si>
    <t>pm_discuss_mig_out_encouragescale</t>
  </si>
  <si>
    <t>345. Did this information encourage or discourage you to migrate?</t>
  </si>
  <si>
    <t>345. Ces informations vous ont-elles encouragé ou découragé à migrer ?</t>
  </si>
  <si>
    <t>345. Ko wannan bayanin ya ƙarfafa muka gwiwa ko ya hana ka zuwa biɗa?</t>
  </si>
  <si>
    <t>Savings</t>
  </si>
  <si>
    <t>Des économies</t>
  </si>
  <si>
    <t>Tanadi</t>
  </si>
  <si>
    <t>366. Did this information encourage or discourage you to migrate?</t>
  </si>
  <si>
    <t>366. Ces informations vous ont-elles encouragé ou découragé à migrer ?</t>
  </si>
  <si>
    <t>366. Ko wannan bayanin ya ƙarfafa muka gwiwa ko ya hana ka zuwa biɗa?</t>
  </si>
  <si>
    <t>item-at(',', ${pm_locations_list}, 1)</t>
  </si>
  <si>
    <t>pm_mig_prep_mc</t>
  </si>
  <si>
    <t>346. Have you heard of the TSARI training program?</t>
  </si>
  <si>
    <t>346. Avez-vous entendu parler de la formation TSARI ?</t>
  </si>
  <si>
    <t>346. Ko kun ji labarin ko horon shirin TSARI a Tahoua?</t>
  </si>
  <si>
    <t>367. Have you heard of the TSARI training program?</t>
  </si>
  <si>
    <t>367. Avez-vous entendu parler de la formation TSARI ?</t>
  </si>
  <si>
    <t>367. Ko kun ji labarin ko horon shirin TSARI a Tahoua?</t>
  </si>
  <si>
    <t>select_multiple ppm_know_who</t>
  </si>
  <si>
    <t>pm_mig_prep_know_mc</t>
  </si>
  <si>
    <t>347. Do you know anyone who participated in the TSARI training program in Tahoua?</t>
  </si>
  <si>
    <t>Connaissez-vous quelqu'un qui a participé à la formation TSARI à Tahoua ?</t>
  </si>
  <si>
    <t>Shin ko kun san wani da ya halarci horon shirin TSARI a Tahoua?</t>
  </si>
  <si>
    <t>368. Do you know anyone who participated in the TSARI training program in Tahoua?</t>
  </si>
  <si>
    <t>368. Connaissez-vous quelqu'un qui a participé à la formation TSARI à Tahoua ?</t>
  </si>
  <si>
    <t>368. Shin ko kun san wani da ya halarci horon shirin TSARI a Tahoua?</t>
  </si>
  <si>
    <t>Child Care</t>
  </si>
  <si>
    <t>pm_mig_prep_speak_mc</t>
  </si>
  <si>
    <t>348. Did you speak with this person/these people about the TSARI training?</t>
  </si>
  <si>
    <t>Garde d'enfants</t>
  </si>
  <si>
    <t>Avez-vous parlé de la formation TSARI avec cette/ces personne(s) ?</t>
  </si>
  <si>
    <t>kula da yara</t>
  </si>
  <si>
    <t>item-at(',', ${pm_locations_list}, 2)</t>
  </si>
  <si>
    <t>Shin ko kun yi magana da wannan mutumin / waɗannan mutanen game da horon TSARI?</t>
  </si>
  <si>
    <t>369. Did you speak with this person/these people about the TSARI training?</t>
  </si>
  <si>
    <t>369. Avez-vous parlé de la formation TSARI avec cette/ces personne(s) ?</t>
  </si>
  <si>
    <t>369. Shin ko kun yi magana da wannan mutumin / waɗannan mutanen game da horon TSARI?</t>
  </si>
  <si>
    <t>pm_rules</t>
  </si>
  <si>
    <t>537. In the last 7 days, have children (&lt;14) gone a whole day without meals?</t>
  </si>
  <si>
    <t>537. Au cours des 7 derniers jours, des enfants (&lt;14) ont-ils passé une journée entière sans manger de repas ?</t>
  </si>
  <si>
    <t>537. A cikin kwanaki 7 na ƙarshe, ko yara ƴan ƙasa da shekara goma sha huɗu sun zauna tsawon wuni guda ba su ci da abinci ba?</t>
  </si>
  <si>
    <t>Other HH iItem</t>
  </si>
  <si>
    <t>pm_rules_note</t>
  </si>
  <si>
    <t>349. The next few questions ask about your knowledge of official rules for people from Niger to travel to neighboring countries</t>
  </si>
  <si>
    <t>Autre iItem HH</t>
  </si>
  <si>
    <t>349. Les prochaines questions portent sur votre connaissance des règles officielles permettant aux Nigériens de se rendre dans les pays voisins.</t>
  </si>
  <si>
    <t>349. Tambayoyi masu zuwa za'a yi su game da saninku bisa dokokinda suke bawa mutanen Nijar damar zuwa biɗa kasashen makwabta</t>
  </si>
  <si>
    <t>item-at(',', ${pm_locations_list}, 3)</t>
  </si>
  <si>
    <t>370. The next few questions ask about your knowledge of official rules for people from Niger to travel to neighboring countries</t>
  </si>
  <si>
    <t>370. Les prochaines questions portent sur votre connaissance des règles officielles permettant aux Nigériens de se rendre dans les pays voisins.</t>
  </si>
  <si>
    <t>370. Tambayoyi masu zuwa za'a yi su game da saninku bisa dokokinda suke bawa mutanen Nijar damar zuwa biɗa kasashen makwabta</t>
  </si>
  <si>
    <t>pm_niger_ecowas</t>
  </si>
  <si>
    <t>Is Niger still a part of the ECOWAS?</t>
  </si>
  <si>
    <t>Le Niger fait-il toujours partie de la CEDEAO ?</t>
  </si>
  <si>
    <t>Ko har yanzu Nijar na cikin kungiyar ECOWAS?</t>
  </si>
  <si>
    <t>371. Is Niger still a part of the ECOWAS?</t>
  </si>
  <si>
    <t>371. Le Niger fait-il toujours partie de la CEDEAO ?</t>
  </si>
  <si>
    <t>371. Ko har yanzu Nijar na cikin kungiyar ECOWAS?</t>
  </si>
  <si>
    <t>pm_docs_req_civ</t>
  </si>
  <si>
    <t>350. Suppose you want to travel to Cote d'Ivoire, what documents would you need to bring with you to travel there legally?</t>
  </si>
  <si>
    <t>350. Supposons que vous souhaiteriez vous rendre en Côte d'Ivoire, quels documents devriez-vous apporter pour vous y rendre légalement ?</t>
  </si>
  <si>
    <t>350. A ce kuna son tafiya Cote d'Ivoire, waɗanne takardu za ku buƙaci ku kawo tare da ku don tafiya can bisa doka?</t>
  </si>
  <si>
    <t>372. Suppose you want to travel to Cote d'Ivoire, what documents would you need to bring with you to travel there legally?</t>
  </si>
  <si>
    <t>372. Supposons que vous souhaiteriez vous rendre en Côte d'Ivoire, quels documents devriez-vous apporter pour vous y rendre légalement ?</t>
  </si>
  <si>
    <t>372. A ce kuna son tafiya Cote d'Ivoire, waɗanne takardu za ku buƙaci ku kawo tare da ku don tafiya can bisa doka?</t>
  </si>
  <si>
    <t>pm_docs_required_libya</t>
  </si>
  <si>
    <t>351. Suppose you instead want to travel to Libya, what documents would you need to bring with you to travel there legally?</t>
  </si>
  <si>
    <t>351. Supposons que vous vouliez plutôt vous rendre en Libye, quels documents devriez-vous apporter avec vous pour vous y rendre légalement ?</t>
  </si>
  <si>
    <t>351. A ce a maimakon haka kuna son tafiya Libya, waɗanne takardu za ku buƙaci kawo tare da ku don tafiya can bisa doka?</t>
  </si>
  <si>
    <t>item-at(',', ${pm_locations_list}, 4)</t>
  </si>
  <si>
    <t>risks</t>
  </si>
  <si>
    <t>373. Suppose you instead want to travel to Libya, what documents would you need to bring with you to travel there legally?</t>
  </si>
  <si>
    <t>373. Supposons que vous vouliez plutôt vous rendre en Libye, quels documents devriez-vous apporter avec vous pour vous y rendre légalement ?</t>
  </si>
  <si>
    <t>373. A ce a maimakon haka kuna son tafiya Libya, waɗanne takardu za ku buƙaci kawo tare da ku don tafiya can bisa doka?</t>
  </si>
  <si>
    <t>pm_time_ecowas</t>
  </si>
  <si>
    <t>352. If you want to travel to Nigeria to find work, how long can you work there without getting a formal work authorization (in months)?</t>
  </si>
  <si>
    <t>352. Si vous souhaitez vous rendre au Nigeria pour trouver du travail, combien de temps pouvez-vous y travailler sans obtenir une autorisation de travail formelle (en mois) ?</t>
  </si>
  <si>
    <t>352. Idan kuna son tafiya Najeriya don neman aiki, tsawon wane lokaci za ku iya yin aiki a can ba tare da samun izinin aiki ba (a cikin watanni)?</t>
  </si>
  <si>
    <t>374. If you want to travel to Nigeria to find work, how long can you work there without getting a formal work authorization (in months)?</t>
  </si>
  <si>
    <t>374. Si vous souhaitez vous rendre au Nigeria pour trouver du travail, combien de temps pouvez-vous y travailler sans obtenir une autorisation de travail formelle (en mois) ?</t>
  </si>
  <si>
    <t>374. Idan kuna son tafiya Najeriya don neman aiki, tsawon wane lokaci za ku iya yin aiki a can ba tare da samun izinin aiki ba (a cikin watanni)?</t>
  </si>
  <si>
    <t>select_multiple vax</t>
  </si>
  <si>
    <t>pm_vax_req</t>
  </si>
  <si>
    <t>353. If you want to travel to Senegal, what vaccinations are required in order to travel there legally?</t>
  </si>
  <si>
    <t>353. Si vous souhaitez vous rendre au Sénégal, quels vaccins sont nécessaires pour y voyager légalement ?</t>
  </si>
  <si>
    <t>353. Idan kuna son tafiya Senegal, waɗanne alluran rigakafi ake wajibta muku don tafiya can bisa doka?</t>
  </si>
  <si>
    <t>Theft</t>
  </si>
  <si>
    <t>item-at(',', ${pm_locations_list}, 5)</t>
  </si>
  <si>
    <t>Vol</t>
  </si>
  <si>
    <t>Sata</t>
  </si>
  <si>
    <t>375. If you want to travel to Senegal, what vaccinations are required in order to travel there legally?</t>
  </si>
  <si>
    <t>375. Si vous souhaitez vous rendre au Sénégal, quels vaccins sont nécessaires pour y voyager légalement ?</t>
  </si>
  <si>
    <t>375. Idan kuna son tafiya Senegal, waɗanne alluran rigakafi ake wajibta muku don tafiya can bisa doka?</t>
  </si>
  <si>
    <t>532. What was the daily wage you paid for people to work in your fields, or how much would you pay in CFA?</t>
  </si>
  <si>
    <t>532. Quel était le salaire journalier que vous payiez pour que les gens travaillent dans vos champs, ou combien paieriez-vous en CFA ?</t>
  </si>
  <si>
    <t>532. Nawa ne kuke biyan waɗanda suka yi aiki a gonakinku a dukkan wuni a sefa ?</t>
  </si>
  <si>
    <t>speedcheck_pm_migprep_end</t>
  </si>
  <si>
    <t>Psychological stress</t>
  </si>
  <si>
    <t>Stress psychologique</t>
  </si>
  <si>
    <t>Damuwar tunani</t>
  </si>
  <si>
    <t>item-at(',', ${pm_locations_list}, 6)</t>
  </si>
  <si>
    <t>544. Do you have a Whatsapp account/ phone number you use for WhatsApp?</t>
  </si>
  <si>
    <t>544. Avez-vous un compte/numéro de téléphone Whatsapp que vous utilisez pour WhatsApp ?</t>
  </si>
  <si>
    <t>544. Kuna yin WhatsApp / lambar wayar da kuke amfani da ita ta WhatsApp ce?</t>
  </si>
  <si>
    <t>dur_pm_migprep</t>
  </si>
  <si>
    <t>533. Thinking of your expenses related to labor and investment in your fields during the last agricultural season, you spent a total of ${hoh_total_paid} in CFA, is this correct?</t>
  </si>
  <si>
    <t>533. Pour toutes les dépenses pour vos champs dont nous avons parlé, vous avez payé ${hoh_total_paid} en CFA, est-ce correct ?</t>
  </si>
  <si>
    <t>533. Ku tuna da dukkan kuɗaɗen da kuka kashe a kan aikin gona a lokacin aikin noma na ƙarshe, kun kashe jimillar ${hoh_total_paid} a CFA, wannan daidai ne?</t>
  </si>
  <si>
    <t>Negative impacts on household in Niger</t>
  </si>
  <si>
    <t>Impacts négatifs sur les ménages au Niger</t>
  </si>
  <si>
    <t>Mummunan Tasiri kan gidaje a Nijar</t>
  </si>
  <si>
    <t>534. Now we'll ask about any work by members of your household in fields owned by other people.</t>
  </si>
  <si>
    <t>534. Nous allons maintenant poser des questions sur tout travail effectué par des membres de votre ménage dans des champs appartenant à d'autres personnes.</t>
  </si>
  <si>
    <t>534. Yanzu za mu yi tambayoyi game da duk wani aiki da ƴan gidanku suka yi a gonakin wasu mutane.</t>
  </si>
  <si>
    <t>item-at(',', ${pm_countries}, 0)</t>
  </si>
  <si>
    <t>535. Have any family members worked as a day labor in fields for someone else?</t>
  </si>
  <si>
    <t>535. Pensez à tout membre de votre ménage, y-a t-il des membres de votre ménage qui ont travaillé comme journaliers dans le champs de quelqu'un d'autre ?</t>
  </si>
  <si>
    <t>535. Ko wani ɗan gidanku ya yi aiki a matsayin ɗan barema a gonar wani?</t>
  </si>
  <si>
    <t>speedcheck_pm_periodinfo_end</t>
  </si>
  <si>
    <t>Inability to find a job or earn sufficient wages</t>
  </si>
  <si>
    <t>Incapacité de trouver un emploi ou de gagner un salaire suffisant</t>
  </si>
  <si>
    <t>544. Has your household spent money on the following types of expenses in the past week?</t>
  </si>
  <si>
    <t>Rashin iya samun aiki ko samun isashen albashi</t>
  </si>
  <si>
    <t>544. Votre ménage a-t-il dépensé de l'argent pour les types de dépenses suivants au cours de la semaine dernière ?</t>
  </si>
  <si>
    <t>544. Ko gidanku sun kashe kuɗi akan ire iren waɗannan abubuwan a cikin satin da ya gabata?</t>
  </si>
  <si>
    <t>dur_pm_periodinfo</t>
  </si>
  <si>
    <t>549. Do you have other phone numbers that you use regularly (i.e. other phone carriers)?</t>
  </si>
  <si>
    <t>549. Avez-vous d'autres numéros de téléphone que vous utilisez régulièrement (c'est-à-dire d'autres opérateurs téléphoniques) ?</t>
  </si>
  <si>
    <t>549. Ko kuna da wasu lambobin waya waɗanda kuke amfani da su kai-akai (layin wasu gidan wayar salula)?</t>
  </si>
  <si>
    <t>item-at(',', ${pm_countries}, 1)</t>
  </si>
  <si>
    <t>Illness and injuries</t>
  </si>
  <si>
    <t>Maladie et blessures</t>
  </si>
  <si>
    <t>Rashin lafiya da raunuka</t>
  </si>
  <si>
    <t>550. How many other additional phone numbers?</t>
  </si>
  <si>
    <t>550. Y-a t-il d'autres numéros de téléphone supplémentaires ?</t>
  </si>
  <si>
    <t>550. 220 a. Ko akwai ƙarin wasu lambobin waya?</t>
  </si>
  <si>
    <t>Exploitation or human trafficking</t>
  </si>
  <si>
    <t>Exploitation ou traite des êtres humains</t>
  </si>
  <si>
    <t>Amfani ko fataucin mutane</t>
  </si>
  <si>
    <t>item-at(',', ${pm_countries}, 2)</t>
  </si>
  <si>
    <t>496. Do you or another member of the household own this house?</t>
  </si>
  <si>
    <t>496. Est-ce que vous ou un autre membre du ménage êtes propriétaire de cette maison ?</t>
  </si>
  <si>
    <t>496. Shin wannan gidan mallakarku ne kai ko wani dan cikin gidan ?</t>
  </si>
  <si>
    <t>497. What is your best estimate of the value of your home in CFA?</t>
  </si>
  <si>
    <t>497. Quelle est votre meilleure estimation de la valeur de votre maison en CFA ?</t>
  </si>
  <si>
    <t>497. A ganinka wannan gidan aƙalla ya yi nawa a kudin CFA ?</t>
  </si>
  <si>
    <t>pm_worries</t>
  </si>
  <si>
    <t>Worries</t>
  </si>
  <si>
    <t>498. Does your household own the following goods?</t>
  </si>
  <si>
    <t>498. Votre ménage possède-t-il les biens suivants ?</t>
  </si>
  <si>
    <t>498. Ko gidanku na da kadarori masu zuwa?</t>
  </si>
  <si>
    <t>item-at(',', ${pm_countries}, 3)</t>
  </si>
  <si>
    <t>pm_worries_note</t>
  </si>
  <si>
    <t>354. Now I am going to ask you about the areas of your life that worry you.</t>
  </si>
  <si>
    <t>354. Je voudrais maintenant vous poser des questions sur les choses qui vous inquiètent dans votre vie.</t>
  </si>
  <si>
    <t>354. Yanzu ina son in tambaye ku bisa abubuwan da ke damun ku a cikin rayuwar ku.</t>
  </si>
  <si>
    <t>376. Now I am going to ask you about the areas of your life that worry you.</t>
  </si>
  <si>
    <t>376. Je voudrais maintenant vous poser des questions sur les choses qui vous inquiètent dans votre vie.</t>
  </si>
  <si>
    <t>376. Yanzu ina son in tambaye ku bisa abubuwan da ke damun ku a cikin rayuwar ku.</t>
  </si>
  <si>
    <t>select_one worries</t>
  </si>
  <si>
    <t>pm_risk_prob_note</t>
  </si>
  <si>
    <t>355. How stressed are you about the following areas of your life?</t>
  </si>
  <si>
    <t>mitigate</t>
  </si>
  <si>
    <t>355. Dans quelle mesure êtes-vous stressé par les domaines suivants de votre vie ?</t>
  </si>
  <si>
    <t>There is no way to mitigate these risks</t>
  </si>
  <si>
    <t>355. Yaya damuwarku game da abubuwa na rayuwarku da zan zana?</t>
  </si>
  <si>
    <t>Il n'y a aucun moyen d'atténuer ces risques</t>
  </si>
  <si>
    <t>Babu wata hanyar da za a iya rage waɗannan haɗari</t>
  </si>
  <si>
    <t>item-at(',', ${pm_countries}, 4)</t>
  </si>
  <si>
    <t>377. How stressed are you about the following areas of your life?</t>
  </si>
  <si>
    <t>377. Dans quelle mesure êtes-vous stressé par les domaines suivants de votre vie ?</t>
  </si>
  <si>
    <t>377. Yaya damuwarku game da abubuwa na rayuwarku da zan zana?</t>
  </si>
  <si>
    <t>pm_health_problems</t>
  </si>
  <si>
    <t>356. Your own health problems, illness</t>
  </si>
  <si>
    <t>356. Vos propres problèmes de santé</t>
  </si>
  <si>
    <t>356. Matsalolin lafiyar jikinku</t>
  </si>
  <si>
    <t>Talk with friends and other people who have migrated about their experiences and recommendations</t>
  </si>
  <si>
    <t>Discutez avec des amis et d'autres personnes qui ont migré de leurs expériences et recommandations</t>
  </si>
  <si>
    <t>Yin magana da abokai ko wasu mutanen da suka je biɗa game da abubuwan da suka faru da shawarwarin su</t>
  </si>
  <si>
    <t>378. Your own health problems, illness</t>
  </si>
  <si>
    <t>378. Vos propres problèmes de santé</t>
  </si>
  <si>
    <t>378. Matsalolin lafiyar jikinku</t>
  </si>
  <si>
    <t>item-at(',', ${pm_countries}, 5)</t>
  </si>
  <si>
    <t>pm_home_problems</t>
  </si>
  <si>
    <t>357. Problems at home and with relatives</t>
  </si>
  <si>
    <t>357. Problèmes dans le ménage et avec les proches</t>
  </si>
  <si>
    <t>357. Matsaloli na cikin gida da na dangi</t>
  </si>
  <si>
    <t>379. Problems at home and with relatives</t>
  </si>
  <si>
    <t>379. Problèmes dans le ménage et avec les proches</t>
  </si>
  <si>
    <t>379. Matsaloli na cikin gida da na dangi</t>
  </si>
  <si>
    <t>Discuss migration plans with household before migrating</t>
  </si>
  <si>
    <t>Discutez des projets de migration avec le ménage avant de migrer</t>
  </si>
  <si>
    <t>pm_accidents_disasters</t>
  </si>
  <si>
    <t>Tattauna tsare-tsaren zuwa biɗa tare da ƴan gida kafin zuwa biɗa</t>
  </si>
  <si>
    <t>358. Accidents and disasters</t>
  </si>
  <si>
    <t>358. Accidents et catastrophes</t>
  </si>
  <si>
    <t>358. Hatsari da ibtila'i</t>
  </si>
  <si>
    <t>item-at(',', ${pm_countries}, 6)</t>
  </si>
  <si>
    <t>380. Accidents and disasters</t>
  </si>
  <si>
    <t>380. Accidents et catastrophes</t>
  </si>
  <si>
    <t>380. Hatsari da ibtila'i</t>
  </si>
  <si>
    <t>Keep in touch with family and friends after migrating</t>
  </si>
  <si>
    <t>Restez en contact avec votre famille et vos amis après la migration</t>
  </si>
  <si>
    <t>pm_prob_other_ethnicity</t>
  </si>
  <si>
    <t>Ci gaba da tuntuɓar dangi da abokai bayan zuwa biɗa</t>
  </si>
  <si>
    <t>359. Problems with people in other ethnic groups</t>
  </si>
  <si>
    <t>359. Problèmes avec les personnes d'autres groupes ethniques</t>
  </si>
  <si>
    <t>359. Matsaloli da mutanen wasu kabilu daban</t>
  </si>
  <si>
    <t>381. Problems with people in other ethnic groups</t>
  </si>
  <si>
    <t>381. Problèmes avec les personnes d'autres groupes ethniques</t>
  </si>
  <si>
    <t>Build your social network in the destination</t>
  </si>
  <si>
    <t>381. Matsaloli da mutanen wasu kabilu daban</t>
  </si>
  <si>
    <t>Construisez votre réseau social dans la destination</t>
  </si>
  <si>
    <t>Gina hanyar sadarwar ku a wurin da ake nufi</t>
  </si>
  <si>
    <t>pm_money_problems</t>
  </si>
  <si>
    <t>360. Not enough money for basic needs (sucha as food and clothing)</t>
  </si>
  <si>
    <t>360. Pas assez d'argent pour les besoins de base (tels que la nourriture et les vêtements)</t>
  </si>
  <si>
    <t>360. Rashin isassun kuɗi don buƙatun asali (kamar abinci da sutura)</t>
  </si>
  <si>
    <t>item-at(',', ${pm_locations_list_new}, 0)</t>
  </si>
  <si>
    <t>Know which services and help are available to Nigeriens in the destination (example: embassy, mosque, etc.)</t>
  </si>
  <si>
    <t>382. Not enough money for basic needs (sucha as food and clothing)</t>
  </si>
  <si>
    <t>Savoir quels services et aides sont disponibles pour les Nigériens dans la destination (exemple : ambassade, mosquée, etc.)</t>
  </si>
  <si>
    <t>382. Pas assez d'argent pour les besoins de base (tels que la nourriture et les vêtements)</t>
  </si>
  <si>
    <t>Sanin irin ayyuka da taimako da ake samu ga ƴan Nijar a wurin da a ka je (misali: ofishin jakadanci, masallaci, da sauransu)</t>
  </si>
  <si>
    <t>382. Rashin isassun kuɗi don buƙatun asali (kamar abinci da sutura)</t>
  </si>
  <si>
    <t>pm_cant_educate_children</t>
  </si>
  <si>
    <t>361. Not being able to educate all children</t>
  </si>
  <si>
    <t>361. Ne pas pouvoir scolariser tous les enfants</t>
  </si>
  <si>
    <t>361. Rashin iya rubuta dukkan yara a makarantar boko</t>
  </si>
  <si>
    <t>Do not travel hidden in a vehicle while crossing the border</t>
  </si>
  <si>
    <t>Ne voyagez pas caché dans un véhicule lors du passage de la frontière</t>
  </si>
  <si>
    <t>Kada ku yi tafiya a ɓoye a cikin mota yayin ketare iyaka</t>
  </si>
  <si>
    <t>383. Not being able to educate all children</t>
  </si>
  <si>
    <t>item-at(',', ${pm_locations_list_new}, 1)</t>
  </si>
  <si>
    <t>383. Ne pas pouvoir scolariser tous les enfants</t>
  </si>
  <si>
    <t>383. Rashin iya rubuta dukkan yara a makarantar boko</t>
  </si>
  <si>
    <t>pm_cant_find_work</t>
  </si>
  <si>
    <t>362. Difficulty finding work</t>
  </si>
  <si>
    <t>362. Difficulté à trouver du travail</t>
  </si>
  <si>
    <t>362. Wahalar neman aiki</t>
  </si>
  <si>
    <t>Obtain all the documents required to migrate to an ECOWAS country and keep them safe</t>
  </si>
  <si>
    <t>Obtenez tous les documents nécessaires pour migrer vers un pays de la CEDEAO et conservez-les en sécurité</t>
  </si>
  <si>
    <t>384. Difficulty finding work</t>
  </si>
  <si>
    <t>Samun dukkan takaddun da ake buƙata don bulaguro a cikin ƙasashen ECOWAS kuma a kiyaye su</t>
  </si>
  <si>
    <t>384. Difficulté à trouver du travail</t>
  </si>
  <si>
    <t>384. Wahalar neman aiki</t>
  </si>
  <si>
    <t>pm_idleness</t>
  </si>
  <si>
    <t>363. Idleness of children or spouse</t>
  </si>
  <si>
    <t>363. L'oisiveté des enfants ou du conjoint</t>
  </si>
  <si>
    <t>363. Zaman banza na yara ko mata</t>
  </si>
  <si>
    <t>item-at(',', ${pm_locations_list_new}, 2)</t>
  </si>
  <si>
    <t>385. Idleness of children or spouse</t>
  </si>
  <si>
    <t>385. L'oisiveté des enfants ou du conjoint</t>
  </si>
  <si>
    <t>385. Zaman banza na yara ko mata</t>
  </si>
  <si>
    <t>pm_alcohol_consumption</t>
  </si>
  <si>
    <t>364. Alcohol comsumption of children or spouse</t>
  </si>
  <si>
    <t>Make copies of important documents and share them with a friend or family member</t>
  </si>
  <si>
    <t>364. Consommation d'alcool des enfants ou du conjoint</t>
  </si>
  <si>
    <t>Faites des copies de documents importants et partagez-les avec un ami ou un membre de votre famille</t>
  </si>
  <si>
    <t>364. Shan giya na yara ko mata</t>
  </si>
  <si>
    <t>Yin kwafi na mahimman takardu kuma da raba su tare da wani aboki ko ɗan uwa</t>
  </si>
  <si>
    <t>386. Alcohol comsumption of children or spouse</t>
  </si>
  <si>
    <t>386. Consommation d'alcool des enfants ou du conjoint</t>
  </si>
  <si>
    <t>386. Shan giya na yara ko mata</t>
  </si>
  <si>
    <t>pm_family_death</t>
  </si>
  <si>
    <t>365. Death of a family member</t>
  </si>
  <si>
    <t>365. Décès d'un membre de la famille</t>
  </si>
  <si>
    <t>365. Mutuwar wani ɗan uwa</t>
  </si>
  <si>
    <t>item-at(',', ${pm_locations_list_new}, 3)</t>
  </si>
  <si>
    <t>Keep your phone safe and away from strangers</t>
  </si>
  <si>
    <t>Gardez votre téléphone en sécurité et loin des étrangers</t>
  </si>
  <si>
    <t>Kiyaye wayarka da nisantata da baƙi</t>
  </si>
  <si>
    <t>387. Death of a family member</t>
  </si>
  <si>
    <t>387. Décès d'un membre de la famille</t>
  </si>
  <si>
    <t>387. Mutuwar wani ɗan uwa</t>
  </si>
  <si>
    <t>pm_debt_owed</t>
  </si>
  <si>
    <t>366. Debts owed to others</t>
  </si>
  <si>
    <t>366. Dettes envers autrui</t>
  </si>
  <si>
    <t>366. Bashi da wasu ke binku</t>
  </si>
  <si>
    <t>item-at(',', ${pm_locations_list_new}, 4)</t>
  </si>
  <si>
    <t>388. Debts owed to others</t>
  </si>
  <si>
    <t>388. Dettes envers autrui</t>
  </si>
  <si>
    <t>MC hotline</t>
  </si>
  <si>
    <t>388. Bashi da wasu ke binku</t>
  </si>
  <si>
    <t>Ligne d'assistance MC</t>
  </si>
  <si>
    <t>Hanyar sadarwa na taimako</t>
  </si>
  <si>
    <t>item-at(',', ${pm_locations_list_new}, 5)</t>
  </si>
  <si>
    <t>507. How much of this land (in hectares) did you rent during the last agricultural season?</t>
  </si>
  <si>
    <t>507. Quelle superficie de cette terre (en hectares) avez-vous louée au cours de la dernière saison agricole ?</t>
  </si>
  <si>
    <t>507. Eka nawa ne kuka yi haya a lokacin noman da ta wuce?</t>
  </si>
  <si>
    <t>select_one live_home</t>
  </si>
  <si>
    <t>pm_future_live_home</t>
  </si>
  <si>
    <t>367. In five years, how likely are you to live in Tahoua region, including at home, compared to somewhere else?</t>
  </si>
  <si>
    <t>367. Dans les cinq ans à venir, quelle est la probabilité que vous viviez dans la région de Tahoua, y compris chez vous, ou ailleurs ?</t>
  </si>
  <si>
    <t>367. A cikin shekaru biyar masu zuwa, yaya kuke ganin yiwuwar zamanku a jahar Tahoua, har da ƙauyenku, ko a wani wuri dabam?</t>
  </si>
  <si>
    <t>fail_reason</t>
  </si>
  <si>
    <t>Insufficient funds</t>
  </si>
  <si>
    <t>Fonds insuffisants</t>
  </si>
  <si>
    <t>389. In five years, how likely are you to live in Tahoua region, including at home, compared to somewhere else?</t>
  </si>
  <si>
    <t>item-at(',', ${pm_locations_list_new}, 6)</t>
  </si>
  <si>
    <t>389. Dans les cinq ans à venir, quelle est la probabilité que vous viviez dans la région de Tahoua, y compris chez vous, ou ailleurs ?</t>
  </si>
  <si>
    <t>Rashin isassun kudade</t>
  </si>
  <si>
    <t>389. A cikin shekaru biyar masu zuwa, yaya kuke ganin yiwuwar zamanku a jahar Tahoua, har da ƙauyenku, ko a wani wuri dabam?</t>
  </si>
  <si>
    <t>select_one live_away</t>
  </si>
  <si>
    <t>pm_future_in_niger</t>
  </si>
  <si>
    <t>368. Five years from now, are you more likely to live somewhere else in Niger or in another country?</t>
  </si>
  <si>
    <t>368. Dans cinq ans, pensez vous vivre ailleurs au Niger ou dans un autre pays ?</t>
  </si>
  <si>
    <t>368. Cikin shekaru biyar masu zuwa, ko kuna tunanin zama a wani wuri a Nijar ko a wata ƙasa daban?</t>
  </si>
  <si>
    <t>390. Five years from now, are you more likely to live somewhere else in Niger or in another country?</t>
  </si>
  <si>
    <t>390. Dans cinq ans, pensez vous vivre ailleurs au Niger ou dans un autre pays ?</t>
  </si>
  <si>
    <t>390. Cikin shekaru biyar masu zuwa, ko kuna tunanin zama a wani wuri a Nijar ko a wata ƙasa daban?</t>
  </si>
  <si>
    <t>Needed to stay home to help household (e.g., on farm)</t>
  </si>
  <si>
    <t>Nécessité de rester à la maison pour aider le ménage (par exemple, à la ferme)</t>
  </si>
  <si>
    <t>Ana buƙatar zama a gida don taimakawa gida (misali, a gona)</t>
  </si>
  <si>
    <t>556. Please go back and enter a new phone number.</t>
  </si>
  <si>
    <t>556. Veuillez revenir en arrière pour entrer un nouveau numéro de téléphone.</t>
  </si>
  <si>
    <t>556. Ko za ka koma baya ka shigar da sabuwar lambar waya.</t>
  </si>
  <si>
    <t>item-at(',', ${pm_countries_new}, 0)</t>
  </si>
  <si>
    <t>509. Now we will focus on agricultural activities during last agricultural season</t>
  </si>
  <si>
    <t>509. Maintenant, nous allons nous concentrer sur les activités agricoles au cours de la dernière saison agricole</t>
  </si>
  <si>
    <t>509. Yanzu za mu maida hankali kan ayyukan noma a lokacin damanar da ta wuce</t>
  </si>
  <si>
    <t>Insecurity/decided it was not safe to migrate</t>
  </si>
  <si>
    <t>Insécurité/décide qu'il n'était pas garanti de voyager</t>
  </si>
  <si>
    <t>speedcheck_pm_consult_start</t>
  </si>
  <si>
    <t>Rashin tsaro/yanke shawarar bai kamata ya tafi nema ba</t>
  </si>
  <si>
    <t>510. Which of the following crops did your household grow during the last agricultural season?</t>
  </si>
  <si>
    <t>510. Laquelle des cultures suivantes votre ménage a-t-il cultivées au cours de la dernière saison agricole ?</t>
  </si>
  <si>
    <t>510. Wanne daga cikin waɗannan amfanin gidanku ya noma a damanar da ta gabata?</t>
  </si>
  <si>
    <t>pm_spouse_consult</t>
  </si>
  <si>
    <t>Spouse consultations</t>
  </si>
  <si>
    <t>Too much concern about finding a job or housing in destination</t>
  </si>
  <si>
    <t>Trop d'inquiétudes pour trouver un emploi ou un logement dans la destination</t>
  </si>
  <si>
    <t>511. Specify other:</t>
  </si>
  <si>
    <t>Damuwa da yawa game da tabbacin samun aiki ko matsuguni a inda za'a je</t>
  </si>
  <si>
    <t>511. Précisez la culture</t>
  </si>
  <si>
    <t>511. Baiyana wani abu daban:</t>
  </si>
  <si>
    <t>pm_statement_note</t>
  </si>
  <si>
    <t>I will read you several statements. Please tell me the extent do you agree/disagree with each:</t>
  </si>
  <si>
    <t>Je vais vous lire plusieurs déclarations. Veuillez me dire dans quelle mesure êtes-vous d'accord/pas d'accord avec chacun :</t>
  </si>
  <si>
    <t>item-at(',', ${pm_countries_new}, 1)</t>
  </si>
  <si>
    <t>Zan karanta muku maganganu da yawa. Da fatan za a gaya mini iyakar yarda/rishin yarda da kowanne:</t>
  </si>
  <si>
    <t>391. I will read you several statements. Please tell me the extent do you agree/disagree with each:</t>
  </si>
  <si>
    <t>391. Je vais vous lire plusieurs déclarations. Veuillez me dire dans quelle mesure êtes-vous d'accord/pas d'accord avec chacun :</t>
  </si>
  <si>
    <t>391. Zan karanta muku maganganu da yawa. Da fatan za a gaya mini iyakar yarda/rishin yarda da kowanne:</t>
  </si>
  <si>
    <t>pm_respect_decision</t>
  </si>
  <si>
    <t>161. I must always respect decisions take by your household even if you do not agree</t>
  </si>
  <si>
    <t>Sickness</t>
  </si>
  <si>
    <t>161. Je dois toujours respecter les décisions prises par votre ménage même si vous n'êtes pas d'accord</t>
  </si>
  <si>
    <t>161. Dole ne in mutunta shawarar da gidanmu ya yanke ko da ba ra'ayina ba ne</t>
  </si>
  <si>
    <t>Maladie</t>
  </si>
  <si>
    <t>Rashin lafiya</t>
  </si>
  <si>
    <t>392. I must always respect decisions take by your household even if you do not agree</t>
  </si>
  <si>
    <t>392. Je dois toujours respecter les décisions prises par votre ménage même si vous n'êtes pas d'accord</t>
  </si>
  <si>
    <t>392. Dole ne in mutunta shawarar da gidanmu ya yanke ko da ba ra'ayina ba ne</t>
  </si>
  <si>
    <t>pm_duty_family</t>
  </si>
  <si>
    <t>162. I should always sacrifice my personal needs and wants to satisfy my parents.</t>
  </si>
  <si>
    <t>162. Je devrais toujours sacrifier mes besoins personnels et vouloir satisfaire mes parents.</t>
  </si>
  <si>
    <t>162. Dole ne ko yaushe in sadaukar da bukatuna na kaina don in gamsar da iyayena.</t>
  </si>
  <si>
    <t>item-at(',', ${pm_countries_new}, 2)</t>
  </si>
  <si>
    <t>393. I should always sacrifice my personal needs and wants to satisfy my parents.</t>
  </si>
  <si>
    <t>393. Je devrais toujours sacrifier mes besoins personnels et vouloir satisfaire mes parents.</t>
  </si>
  <si>
    <t>393. Dole ne ko yaushe in sadaukar da bukatuna na kaina don in gamsar da iyayena.</t>
  </si>
  <si>
    <t>Decided to stay home for studies/training</t>
  </si>
  <si>
    <t>pm_describe_note</t>
  </si>
  <si>
    <t>I am going to read a statement and I would like you to reflect on how well the statement describes you.</t>
  </si>
  <si>
    <t>A décidé de rester à la maison pour des études/une formation</t>
  </si>
  <si>
    <t>Je vais lire une déclaration et j'aimerais que vous réfléchissiez à la façon dont la déclaration vous décrit.</t>
  </si>
  <si>
    <t>Yanke shawarar zama a gida don karatu / horo</t>
  </si>
  <si>
    <t>Zan karanta wata magana kuma ina son ku yi tunanin yadda bayanin yake siffanta ku.</t>
  </si>
  <si>
    <t>394. I am going to read a statement and I would like you to reflect on how well the statement describes you.</t>
  </si>
  <si>
    <t>394. Je vais lire une déclaration et j'aimerais que vous réfléchissiez à la façon dont la déclaration vous décrit.</t>
  </si>
  <si>
    <t>394. Zan karanta wata magana kuma ina son ku yi tunanin yadda bayanin yake siffanta ku.</t>
  </si>
  <si>
    <t>select_one accurate</t>
  </si>
  <si>
    <t>pm_time_pref</t>
  </si>
  <si>
    <t xml:space="preserve">
163. "I am willing to give up something that is beneficial today in order to receive a greater benefit in the future”</t>
  </si>
  <si>
    <t>163. Je suis prêt à renoncer à quelque chose qui est bénéfique aujourd'hui afin de recevoir un plus grand bénéfice à l'avenir</t>
  </si>
  <si>
    <t>163. Na yarda in bar wani abu mai amfani a yau domin in samu fa'ida mai girma a nan gaba</t>
  </si>
  <si>
    <t>item-at(',', ${pm_countries_new}, 3)</t>
  </si>
  <si>
    <t>Parents/household refused permission</t>
  </si>
  <si>
    <t>Les parents/le ménage ont refusé l'autorisation</t>
  </si>
  <si>
    <t>Iyaye/masu gida sun ƙi bada izini</t>
  </si>
  <si>
    <t>395. "I am willing to give up something that is beneficial today in order to receive a greater benefit in the future”</t>
  </si>
  <si>
    <t>395. Je suis prêt à renoncer à quelque chose qui est bénéfique aujourd'hui afin de recevoir un plus grand bénéfice à l'avenir</t>
  </si>
  <si>
    <t>395. Na yarda in bar wani abu mai amfani a yau domin in samu fa'ida mai girma a nan gaba</t>
  </si>
  <si>
    <t>pm_risk_pref</t>
  </si>
  <si>
    <t>164. How do you see yourself? Are you generally a person who tries to avoid taking risks as someone who is fully prepared to take risks?</t>
  </si>
  <si>
    <t>164. Comment vous voyez-vous ?  Essayez-vous d'éviter de prendre des risques ou êtes-vous généralement une personne tout à fait prête à prendre des risques?</t>
  </si>
  <si>
    <t>164. Yaya kuke ganin kanku? Kuna ƙoƙarin gujewa haɗari ne, ko kuwa ku mutum ne wanda ke shiriye a kullum don ɗaukan haɗari?</t>
  </si>
  <si>
    <t>396. How do you see yourself? Are you generally a person who tries to avoid taking risks as someone who is fully prepared to take risks?</t>
  </si>
  <si>
    <t>396. Comment vous voyez-vous ? Essayez-vous d'éviter de prendre des risques ou êtes-vous généralement une personne tout à fait prête à prendre des risques?</t>
  </si>
  <si>
    <t>396. Yaya kuke ganin kanku? Kuna ƙoƙarin gujewa haɗari ne, ko kuwa ku mutum ne wanda ke shiriye a kullum don ɗaukan haɗari?</t>
  </si>
  <si>
    <t>pm_choice_outcome</t>
  </si>
  <si>
    <t>165. Some people feel they have completely free choice and control over their lives, while other people feel that what they have no real effect on what happens to them. 
How much freedom of choice do you feel that you have over what happens in your life?</t>
  </si>
  <si>
    <t>165.  Certaines personnes ont le sentiment d'avoir le choix et un contrôle total sur leur vie, tandis que d'autres pensent qu'elles ont n'a aucun contrôle sur ce qui leur arrive.
 Quelle liberté de choix pensez-vous avoir sur ce qui se passe dans votre vie ?</t>
  </si>
  <si>
    <t>165. Wasu mutane suna jin cewa suna da cikakken ƴancin zaɓi da kuma iko a kan rayuwarsu, yayin da wasu kuma suke ganin cewa abin da suke da shi ba ya da wani tasiri a kan abin da ke faruwa da su.
  Wane irin ƴancin zaɓi kake jin cewa kana da shi bisa abinda zai faruwa a rayuwarka?</t>
  </si>
  <si>
    <t>item-at(',', ${pm_countries_new}, 4)</t>
  </si>
  <si>
    <t>397. Some people feel they have completely free choice and control over their lives, while other people feel that what they have no real effect on what happens to them. 
How much freedom of choice do you feel that you have over what happens in your life?</t>
  </si>
  <si>
    <t>397. Certaines personnes ont le sentiment d'avoir le choix et un contrôle total sur leur vie, tandis que d'autres pensent qu'elles ont n'a aucun contrôle sur ce qui leur arrive.
 Quelle liberté de choix pensez-vous avoir sur ce qui se passe dans votre vie ?</t>
  </si>
  <si>
    <t>397. Wasu mutane suna jin cewa suna da cikakken ƴancin zaɓi da kuma iko a kan rayuwarsu, yayin da wasu kuma suke ganin cewa abin da suke da shi ba ya da wani tasiri a kan abin da ke faruwa da su.
 Wane irin ƴancin zaɓi kake jin cewa kana da shi bisa abinda zai faruwa a rayuwarka?</t>
  </si>
  <si>
    <t>pm_future_expect_good</t>
  </si>
  <si>
    <t xml:space="preserve">166. People have different expectations about the future: some expect only bad things to happen while others expect only good things to happen. 
What are your expectations for the future? </t>
  </si>
  <si>
    <t>166. Les gens ont des attentes différentes pour l'avenir : certains s'attendent à ce que de mauvaises choses se produisent tandis que d'autres s'attendent à ce que de bonnes choses se produisent.  
Quelles sont vos attentes pour l'avenir ?</t>
  </si>
  <si>
    <t>166. Mutane suna da tunani daban-daban game da yadda gobe zai kasance: wasu suna tsammanin abubuwa marasa kyau ne kawai za su faru yayin da wasu ke tsammanin abubuwa masu kyau ne kawai za su faru. 
 Menene tunaninku a kan abubuwan da zasu faru a nan gaba?</t>
  </si>
  <si>
    <t>Ne sait pas</t>
  </si>
  <si>
    <t>398. People have different expectations about the future: some expect only bad things to happen while others expect only good things to happen. 
What are your expectations for the future?</t>
  </si>
  <si>
    <t>398. Les gens ont des attentes différentes pour l'avenir : certains s'attendent à ce que de mauvaises choses se produisent tandis que d'autres s'attendent à ce que de bonnes choses se produisent. 
Quelles sont vos attentes pour l'avenir ?</t>
  </si>
  <si>
    <t>398. Mutane suna da tunani daban-daban game da yadda gobe zai kasance: wasu suna tsammanin abubuwa marasa kyau ne kawai za su faru yayin da wasu ke tsammanin abubuwa masu kyau ne kawai za su faru. 
 Menene tunaninku a kan abubuwan da zasu faru a nan gaba?</t>
  </si>
  <si>
    <t>pm_roles_note</t>
  </si>
  <si>
    <t>369. The next set of questions are about your opinions regarding the roles that women and men play</t>
  </si>
  <si>
    <t>369. La prochaine série de questions porte sur vos opinions concernant les rôles que jouent les femmes et les hommes</t>
  </si>
  <si>
    <t>369. Tambayoyi na gaba sun ta'allaƙa ne da ra'ayoyin ku game da rawar da mata da maza suke takawa.</t>
  </si>
  <si>
    <t>item-at(',', ${pm_countries_new}, 5)</t>
  </si>
  <si>
    <t>399. The next set of questions are about your opinions regarding the roles that women and men play</t>
  </si>
  <si>
    <t>399. La prochaine série de questions porte sur vos opinions concernant les rôles que jouent les femmes et les hommes</t>
  </si>
  <si>
    <t>399. Tambayoyi na gaba sun ta'allaƙa ne da ra'ayoyin ku game da rawar da mata da maza suke takawa.</t>
  </si>
  <si>
    <t>pm_discuss_women</t>
  </si>
  <si>
    <t>370. How often, if ever do you talk about the role of women in society with other people?</t>
  </si>
  <si>
    <t>370. À quelle fréquence, si jamais cela arrive, parlez-vous du rôle des femmes dans la société avec d'autres personnes ?</t>
  </si>
  <si>
    <t>370. Sau nawa, idan ya na faruwa, kuke yin magana game da taka rawan mata a cikin al'umma tare da sauran mutane?</t>
  </si>
  <si>
    <t>400. How often, if ever do you talk about the role of women in society with other people?</t>
  </si>
  <si>
    <t>400. À quelle fréquence, si jamais cela arrive, parlez-vous du rôle des femmes dans la société avec d'autres personnes ?</t>
  </si>
  <si>
    <t>400. Sau nawa, idan ya na faruwa, kuke yin magana game da taka rawan mata a cikin al'umma tare da sauran mutane?</t>
  </si>
  <si>
    <t>pm_decision_making_wife_note</t>
  </si>
  <si>
    <t>371. In your opinion, how much influence a wife should have over the following decisions within a couple?</t>
  </si>
  <si>
    <t>371. Selon vous, quelle influence une épouse devrait-elle avoir sur les décisions suivantes au sein d'un couple ?</t>
  </si>
  <si>
    <t>371. A ra'ayinka, wane tasiri mace ya kamata ta yi bisa yanke shawarwari da zan zana a tsakanin ta da mijinta?</t>
  </si>
  <si>
    <t>exp_categories_share</t>
  </si>
  <si>
    <t>item-at(',', ${pm_countries_new}, 6)</t>
  </si>
  <si>
    <t>401. In your opinion, how much influence a wife should have over the following decisions within a couple?</t>
  </si>
  <si>
    <t>401. Selon vous, quelle influence une épouse devrait-elle avoir sur les décisions suivantes au sein d'un couple ?</t>
  </si>
  <si>
    <t>401. A ra'ayinka, wane tasiri mace ya kamata ta yi bisa yanke shawarwari da zan zana a tsakanin ta da mijinta?</t>
  </si>
  <si>
    <t>select_one husbandwife</t>
  </si>
  <si>
    <t>pm_daily_hh_expenses_couple</t>
  </si>
  <si>
    <t>372. Daily household expenses (Less than 500 CFA)</t>
  </si>
  <si>
    <t>372. Dépenses quotidiennes du ménage (Moins de 500 CFA)</t>
  </si>
  <si>
    <t>372. Kashe kashen kuɗin gida na yau da kullun ( Kasa da dala ɗari)</t>
  </si>
  <si>
    <t>402. Daily household expenses (Less than 500 CFA)</t>
  </si>
  <si>
    <t>402. Dépenses quotidiennes du ménage (Moins de 500 CFA)</t>
  </si>
  <si>
    <t>402. Kashe kashen kuɗin gida na yau da kullun ( Kasa da dala ɗari)</t>
  </si>
  <si>
    <t>pm_hh_purchases_couple</t>
  </si>
  <si>
    <t>373. Household purchases worth more than 500 CFA</t>
  </si>
  <si>
    <t>373. Achats des ménages d'une valeur supérieure à 500 CFA</t>
  </si>
  <si>
    <t>373. Sayayyar gida na sama da ɗari</t>
  </si>
  <si>
    <t>Other household expenditure</t>
  </si>
  <si>
    <t>Autres dépenses des ménages</t>
  </si>
  <si>
    <t>Sauran kashe kashen kuɗin gida</t>
  </si>
  <si>
    <t>if(${pm_new_country7} != ${pm_new_country6} and not(empty(${pm_new_country7})), 1, 0)</t>
  </si>
  <si>
    <t>403. Household purchases worth more than 500 CFA</t>
  </si>
  <si>
    <t>403. Achats des ménages d'une valeur supérieure à 500 CFA</t>
  </si>
  <si>
    <t>403. Sayayyar gida na sama da ɗari</t>
  </si>
  <si>
    <t>pm_fam_plan_couple</t>
  </si>
  <si>
    <t>374. Family planning (how many children to have)</t>
  </si>
  <si>
    <t>374. Planification familiale (combien d'enfants avoir)</t>
  </si>
  <si>
    <t>374. Tsarin iyali (Yara nawa za a haifa)</t>
  </si>
  <si>
    <t>404. Family planning (how many children to have)</t>
  </si>
  <si>
    <t>Investments in Agriculture and/or Business</t>
  </si>
  <si>
    <t>404. Planification familiale (combien d'enfants avoir)</t>
  </si>
  <si>
    <t>Investissements dans l’agriculture et/ou les affaires</t>
  </si>
  <si>
    <t>404. Tsarin iyali (Yara nawa za a haifa)</t>
  </si>
  <si>
    <t>Zuba jari a Noma da/ko Kasuwanci</t>
  </si>
  <si>
    <t>pm_migrate_couple</t>
  </si>
  <si>
    <t>375. Whether the husband will migrate to find work</t>
  </si>
  <si>
    <t>375. Si le mari va migrer pour trouver du travail</t>
  </si>
  <si>
    <t>375. Ko mijin zai yi tahiya don neman aiki</t>
  </si>
  <si>
    <t>405. Whether the husband will migrate to find work</t>
  </si>
  <si>
    <t>405. Si le mari va migrer pour trouver du travail</t>
  </si>
  <si>
    <t>405. Ko mijin zai yi tahiya don neman aiki</t>
  </si>
  <si>
    <t>pm_vote_couple</t>
  </si>
  <si>
    <t>376. Who to vote for in local elections?</t>
  </si>
  <si>
    <t>376. Pour qui voter aux élections municipales ?</t>
  </si>
  <si>
    <t>if(${pm_new_country6} != ${pm_new_country5} and not(empty(${pm_new_country6})), 1, 0)</t>
  </si>
  <si>
    <t>376. Wanene za'a zaɓa a zaɓen ƙananan hukumomi?</t>
  </si>
  <si>
    <t>406. Who to vote for in local elections?</t>
  </si>
  <si>
    <t>406. Pour qui voter aux élections municipales ?</t>
  </si>
  <si>
    <t>406. Wanene za'a zaɓa a zaɓen ƙananan hukumomi?</t>
  </si>
  <si>
    <t>pm_marry_couple</t>
  </si>
  <si>
    <t>Adano</t>
  </si>
  <si>
    <t>377. To whom your daughter should marry?</t>
  </si>
  <si>
    <t>377. Avec qui votre fille devrait-elle se marier ?</t>
  </si>
  <si>
    <t>377. Wa ya kamata ɗiyarku ta aura?</t>
  </si>
  <si>
    <t>407. To whom your daughter should marry?</t>
  </si>
  <si>
    <t>407. Avec qui votre fille devrait-elle se marier ?</t>
  </si>
  <si>
    <t>407. Wa ya kamata ɗiyarku ta aura?</t>
  </si>
  <si>
    <t>pm_school_couple</t>
  </si>
  <si>
    <t>378. Children's enrollment in school</t>
  </si>
  <si>
    <t>378. Inscription des enfants à l'école</t>
  </si>
  <si>
    <t>378. Rubuta yara a makaranta</t>
  </si>
  <si>
    <t>if(${pm_new_country5} != ${pm_new_country4} and not(empty(${pm_new_country5})), 1, 0)</t>
  </si>
  <si>
    <t>408. Children's enrollment in school</t>
  </si>
  <si>
    <t>Debt Repayments</t>
  </si>
  <si>
    <t>408. Inscription des enfants à l'école</t>
  </si>
  <si>
    <t>408. Rubuta yara a makaranta</t>
  </si>
  <si>
    <t>Remboursements de la dette</t>
  </si>
  <si>
    <t>Biyan Bashi</t>
  </si>
  <si>
    <t>559. In the past three months, what is the total value of interest from loans you have given to others in CFA?</t>
  </si>
  <si>
    <t>559. Au cours des trois derniers mois, quelle est la valeur totale des intérêts des prêts que vous avez accordés à d'autres en CFA?</t>
  </si>
  <si>
    <t>559. A cikin watanni uku da suka gabata, nawa ne jimillar kudin ruwan basussuka da kuka baiwa wasu (a sefa)?</t>
  </si>
  <si>
    <t>if(${pm_new_country4} != ${pm_new_country3} and not(empty(${pm_new_country4})), 1, 0)</t>
  </si>
  <si>
    <t>Housing cost payments</t>
  </si>
  <si>
    <t>Paiements des frais de logement</t>
  </si>
  <si>
    <t>Biyan kuɗin haya</t>
  </si>
  <si>
    <t>pm_gbv</t>
  </si>
  <si>
    <t>Education/Training payments</t>
  </si>
  <si>
    <t>Paiements pour études/formation</t>
  </si>
  <si>
    <t>Biyan ilimi/ horo</t>
  </si>
  <si>
    <t>pm_gbv_note</t>
  </si>
  <si>
    <t>170. In your opinion, is a husband justified in hitting or beating his wife if:</t>
  </si>
  <si>
    <t>170. A votre avis, est-il justifié pour un mari de frapper ou de battre sa femme si :</t>
  </si>
  <si>
    <t>170. A ganinku, ko ya cancanta miji ya bugi matarshi ko ya bata kashi idan:</t>
  </si>
  <si>
    <t>if(${pm_new_country3} != ${pm_new_country2} and not(empty(${pm_new_country3})), 1, 0)</t>
  </si>
  <si>
    <t>409. In your opinion, is a husband justified in hitting or beating his wife if:</t>
  </si>
  <si>
    <t>409. A votre avis, est-il justifié pour un mari de frapper ou de battre sa femme si :</t>
  </si>
  <si>
    <t>409. A ganinku, ko ya cancanta miji ya bugi matarshi ko ya bata kashi idan:</t>
  </si>
  <si>
    <t>pm_neglects_children</t>
  </si>
  <si>
    <t>171. She neglects the children</t>
  </si>
  <si>
    <t>171. Elle néglige les enfants</t>
  </si>
  <si>
    <t>171. Ta yi sakaci da yara</t>
  </si>
  <si>
    <t>Health Expenditures</t>
  </si>
  <si>
    <t>Dépenses de santé</t>
  </si>
  <si>
    <t>Kuɗin kiwon Lafiya</t>
  </si>
  <si>
    <t>410. She neglects the children</t>
  </si>
  <si>
    <t>410. Elle néglige les enfants</t>
  </si>
  <si>
    <t>410. Ta yi sakaci da yara</t>
  </si>
  <si>
    <t>pm_argues</t>
  </si>
  <si>
    <t>172. She argues with him</t>
  </si>
  <si>
    <t>172. Elle se dispute avec lui</t>
  </si>
  <si>
    <t>172. Ta yi mishi gardama</t>
  </si>
  <si>
    <t>if(${pm_new_country2} != ${pm_new_country1} and not(empty(${pm_new_country2})), 1, 0)</t>
  </si>
  <si>
    <t>411. She argues with him</t>
  </si>
  <si>
    <t>411. Elle se dispute avec lui</t>
  </si>
  <si>
    <t>411. Ta yi mishi gardama</t>
  </si>
  <si>
    <t>pm_refuses_pray</t>
  </si>
  <si>
    <t>Migration costs</t>
  </si>
  <si>
    <t>173. She refuses to pray</t>
  </si>
  <si>
    <t>173. Elle refuse de prier</t>
  </si>
  <si>
    <t>173. Ta ƙi yin sallah</t>
  </si>
  <si>
    <t>Coûts de migration</t>
  </si>
  <si>
    <t>Kashe kuɗin zuwa biɗa</t>
  </si>
  <si>
    <t>412. She refuses to pray</t>
  </si>
  <si>
    <t>412. Elle refuse de prier</t>
  </si>
  <si>
    <t>412. Ta ƙi yin sallah</t>
  </si>
  <si>
    <t>pm_burns_food</t>
  </si>
  <si>
    <t>174. She burns the food</t>
  </si>
  <si>
    <t>174. Elle brûle la nourriture</t>
  </si>
  <si>
    <t>174. Ta ƙona abincin</t>
  </si>
  <si>
    <t>413. She burns the food</t>
  </si>
  <si>
    <t>413. Elle brûle la nourriture</t>
  </si>
  <si>
    <t>413. Ta ƙona abincin</t>
  </si>
  <si>
    <t>concat(${pm_bordercross_2_to_1}, ' ', ${pm_bordercross_3_to_2}, ' ', ${pm_bordercross_4_to_3}, ' ', ${pm_bordercross_5_to_4})</t>
  </si>
  <si>
    <t>565. How much do you pay per day for people to work in this business in CFA?</t>
  </si>
  <si>
    <t>565. Combien payez-vous par jour pour que les gens travaillent dans cette entreprise (en CFA) ?</t>
  </si>
  <si>
    <t>565. Nawa kuke biyan su a wuni (a sefa) ?</t>
  </si>
  <si>
    <t>579. Just to confirm, is this the number? 
 ${secondary_name2}
 ${secondary_phone2}</t>
  </si>
  <si>
    <t>579. Juste pour confirmer, est-ce bien le numéro ?
 ${secondary_name2}
 ${secondary_phone2}</t>
  </si>
  <si>
    <t>579. Don tabbatar kawai, da wannan itace lambar?
 ${secondary_name2}
 ${secondary_phone2}</t>
  </si>
  <si>
    <t>pm_fam_consult</t>
  </si>
  <si>
    <t>Family consultations</t>
  </si>
  <si>
    <t>Wasu daban</t>
  </si>
  <si>
    <t>${pm_bordercross_7_to_6} + ${pm_bordercross_6_to_5} + ${pm_bordercross_5_to_4} + ${pm_bordercross_4_to_3} + ${pm_bordercross_3_to_2} + ${pm_bordercross_2_to_1}</t>
  </si>
  <si>
    <t>580. Please go back and correct the name and phone number.</t>
  </si>
  <si>
    <t>580. Veuillez revenir en arrière et corriger le nom et le numéro de téléphone.</t>
  </si>
  <si>
    <t>580. Da fatan za ka koma baya ka gyara suna da lambar waya.</t>
  </si>
  <si>
    <t>pm_fam_discuss</t>
  </si>
  <si>
    <t>379. I am now going to mention some things that families sometimes speak about. Please tell me if you and other adults in your household talk about these things</t>
  </si>
  <si>
    <t>379. Je vais maintenant évoquer certaines choses dont les familles parlent parfois. S'il vous plaît, dites-moi si vous et d'autres adultes de votre ménage parlez de ces choses.</t>
  </si>
  <si>
    <t>379. Yanzu zan ambaci wasu abubuwa da wani lokaci mutane suke magana akai. Don Allah ku gaya mani idan ku da sauran mutanen gidanku kuna magana akan waɗannan abubuwan</t>
  </si>
  <si>
    <t>414. I am now going to mention some things that families sometimes speak about. Please tell me if you and other adults in your household talk about these things</t>
  </si>
  <si>
    <t>414. Je vais maintenant évoquer certaines choses dont les familles parlent parfois. S'il vous plaît, dites-moi si vous et d'autres adultes de votre ménage parlez de ces choses.</t>
  </si>
  <si>
    <t>414. Yanzu zan ambaci wasu abubuwa da wani lokaci mutane suke magana akai. Don Allah ku gaya mani idan ku da sauran mutanen gidanku kuna magana akan waɗannan abubuwan</t>
  </si>
  <si>
    <t>pm_fam_discuss_work</t>
  </si>
  <si>
    <t>380. Things that happen at work or in the fields?</t>
  </si>
  <si>
    <t>380. Des choses qui se passent au travail ou dans les champs ?</t>
  </si>
  <si>
    <t>380. Abubuwan da ke faruwa a wurin aiki ko a gona?</t>
  </si>
  <si>
    <t>415. Things that happen at work or in the fields?</t>
  </si>
  <si>
    <t>415. Des choses qui se passent au travail ou dans les champs ?</t>
  </si>
  <si>
    <t>415. Abubuwan da ke faruwa a wurin aiki ko a gona?</t>
  </si>
  <si>
    <t>pm_fam_discuss_community</t>
  </si>
  <si>
    <t>381. Things that happen in the community?</t>
  </si>
  <si>
    <t>381. Des choses qui se passent dans la communauté ?</t>
  </si>
  <si>
    <t>381. Abubuwan da ke faruwa a cikin al'umma?</t>
  </si>
  <si>
    <t>416. Things that happen in the community?</t>
  </si>
  <si>
    <t>416. Des choses qui se passent dans la communauté ?</t>
  </si>
  <si>
    <t>416. Abubuwan da ke faruwa a cikin al'umma?</t>
  </si>
  <si>
    <t>pm_fam_discuss_election</t>
  </si>
  <si>
    <t>382. Who to vote for in local elections?</t>
  </si>
  <si>
    <t>382. Pour qui voter aux élections municipales ?</t>
  </si>
  <si>
    <t>382. Wanene za'a zaɓa a zaɓen ƙananan hukumomi?</t>
  </si>
  <si>
    <t>417. Who to vote for in local elections?</t>
  </si>
  <si>
    <t>417. Pour qui voter aux élections municipales ?</t>
  </si>
  <si>
    <t>417. Wanene za'a zaɓa a zaɓen ƙananan hukumomi?</t>
  </si>
  <si>
    <t>countryinterest</t>
  </si>
  <si>
    <t>pm_fam_discuss_invest</t>
  </si>
  <si>
    <t>383. How to you invest your money such as whether to improve your house</t>
  </si>
  <si>
    <t>${pm_countryinterest1}</t>
  </si>
  <si>
    <t>383. Comment investir votre argent, par exemple pour améliorer votre maison</t>
  </si>
  <si>
    <t>383. Yadda za ku kashe kuɗin ku, kamar gyaran gidanku</t>
  </si>
  <si>
    <t>418. How to you invest your money such as whether to improve your house</t>
  </si>
  <si>
    <t>418. Comment investir votre argent, par exemple pour améliorer votre maison</t>
  </si>
  <si>
    <t>418. Yadda za ku kashe kuɗin ku, kamar gyaran gidanku</t>
  </si>
  <si>
    <t>pm_fam_children</t>
  </si>
  <si>
    <t>384. Family planning (when to have children)</t>
  </si>
  <si>
    <t>384. Planification familiale (quand avoir des enfants)</t>
  </si>
  <si>
    <t>384. Tsarin iyali (lokacin ɗaukan ciki)</t>
  </si>
  <si>
    <t>419. Family planning (when to have children)</t>
  </si>
  <si>
    <t>419. Planification familiale (quand avoir des enfants)</t>
  </si>
  <si>
    <t>419. Tsarin iyali (lokacin ɗaukan ciki)</t>
  </si>
  <si>
    <t>pm_fam_discuss_migrate</t>
  </si>
  <si>
    <t>385. Household members decisions to migrate</t>
  </si>
  <si>
    <t>385. Décisions des membres du ménage de migrer</t>
  </si>
  <si>
    <t>385. Yan gida sun yanke shawarar ƙaura</t>
  </si>
  <si>
    <t>${pm_countryinterest2}</t>
  </si>
  <si>
    <t>420. Household members decisions to migrate</t>
  </si>
  <si>
    <t>420. Décisions des membres du ménage de migrer</t>
  </si>
  <si>
    <t>420. Yan gida sun yanke shawarar ƙaura</t>
  </si>
  <si>
    <t>pm_fam_disagree</t>
  </si>
  <si>
    <t>386. Do you and members of your household ever disagree about any of these topics?</t>
  </si>
  <si>
    <t>386. Vous et votre conjoint êtes-vous déjà en désaccord sur ces sujets ?</t>
  </si>
  <si>
    <t>386. Ko kai da matarka kun taɓa samun saɓani game da waɗannan batutuwa?</t>
  </si>
  <si>
    <t>421. Do you and members of your household ever disagree about any of these topics?</t>
  </si>
  <si>
    <t>421. Vous et votre conjoint êtes-vous déjà en désaccord sur ces sujets ?</t>
  </si>
  <si>
    <t>421. Ko kai da matarka kun taɓa samun saɓani game da waɗannan batutuwa?</t>
  </si>
  <si>
    <t>pm_fam_contentious</t>
  </si>
  <si>
    <t>387. Do these conversations ever get contentious?</t>
  </si>
  <si>
    <t>387. Ces conversations deviennent-elles parfois controversées ?</t>
  </si>
  <si>
    <t>${pm_countryinterest3}</t>
  </si>
  <si>
    <t>387. Ko waɗannan hirarrakin sun taɓa zama sabani?</t>
  </si>
  <si>
    <t>422. Do these conversations ever get contentious?</t>
  </si>
  <si>
    <t>422. Ces conversations deviennent-elles parfois controversées ?</t>
  </si>
  <si>
    <t>422. Ko waɗannan hirarrakin sun taɓa zama sabani?</t>
  </si>
  <si>
    <t>${pm_countryinterest4}</t>
  </si>
  <si>
    <t>speedcheck_pm_consult_end</t>
  </si>
  <si>
    <t>dur_pm_consult</t>
  </si>
  <si>
    <t>${pm_countryinterest5}</t>
  </si>
  <si>
    <t xml:space="preserve">if(${pm_home} = 0  and ${pm_current_location_same} = 1 
and ${pm_past_in_niger} = 1, 1,
if(${pm_home} = 1 and ${pm_current_location_same} = 0 and 
${pm_current_in_niger} = 1, 1, 
if(${pm_home} = 0 and ${pm_current_location_same} = 0 and 
(${pm_current_in_niger} = 1 or ${pm_past_in_niger} = 1), 1, 
if(sum(${pm_dom_mig_ind}) &gt; 0, 1, 0))))
</t>
  </si>
  <si>
    <t>532. How many days did each laborer work in your fields?</t>
  </si>
  <si>
    <t>532. Combien de jours chaque ouvrier a-t-il travaillé dans vos champs ?</t>
  </si>
  <si>
    <t>532. Kwanaki nawa kowane ma'aikaci yayi aiki a gonakinku?</t>
  </si>
  <si>
    <t>pm_society_opinions</t>
  </si>
  <si>
    <t>Society Opinions</t>
  </si>
  <si>
    <t>533. What was the daily wage you paid for people to work in your fields, or how much would you pay in CFA?</t>
  </si>
  <si>
    <t>533. Quel était le salaire journalier que vous payiez pour que les gens travaillent dans vos champs, ou combien paieriez-vous en CFA ?</t>
  </si>
  <si>
    <t>533. Nawa ne kuke biyan waɗanda suka yi aiki a gonakinku a dukkan wuni a sefa ?</t>
  </si>
  <si>
    <t>pm_societytype_note</t>
  </si>
  <si>
    <t>388. Now I wil ask you about your opinions about the type of society you want to live in.</t>
  </si>
  <si>
    <t>388. Maintenant, je vais vous demander votre opinion sur le type de société dans laquelle vous souhaitez vivre.</t>
  </si>
  <si>
    <t>388. Yanzu zan tambaye ra'ayinku game da wasu mutane daban da ku, da kuma irin al'ummar da kuke son rayuwa a ciki.</t>
  </si>
  <si>
    <t>423. Now I wil ask you about your opinions about the type of society you want to live in.</t>
  </si>
  <si>
    <t>423. Maintenant, je vais vous demander votre opinion sur le type de société dans laquelle vous souhaitez vivre.</t>
  </si>
  <si>
    <t>423. Yanzu zan tambaye ra'ayinku game da wasu mutane daban da ku, da kuma irin al'ummar da kuke son rayuwa a ciki.</t>
  </si>
  <si>
    <t>pm_feeling_note</t>
  </si>
  <si>
    <t>389. Could you tell me your general feeling about each group of people is positive or negative on a scale of 0 to 10 where 0 is very negative and 10 is very positive</t>
  </si>
  <si>
    <t>389. Pourriez-vous me dire votre sentiment général sur chaque groupe de personnes s'il est positif ou négatif sur une échelle de 0 à 10 où 0 est très négatif et 10 est très positif</t>
  </si>
  <si>
    <t>389. Ko za ku iya gaya mini yanda kuke gani game da kowane gungun mutane, yana da kyau ko baya da kyau akan kuranga 0 zuwa 10 inda 0 ba shi da kyau sosai kuma 10 yana da inganci sosai.</t>
  </si>
  <si>
    <t>424. Could you tell me your general feeling about each group of people is positive or negative on a scale of 0 to 10 where 0 is very negative and 10 is very positive</t>
  </si>
  <si>
    <t xml:space="preserve">if(${pm_home} = 0  and ${pm_current_location_same} = 1 
and ${pm_past_in_niger} = 0, 1,
if(${pm_home} = 1 and ${pm_current_location_same} = 0 and 
${pm_current_in_niger} = 0, 1, 
if(${pm_home} = 0 and ${pm_current_location_same} = 0 and 
(${pm_current_in_niger} = 0 or ${pm_past_in_niger} = 0), 1, 
if(sum(${pm_border_cross_ind}) &gt; 0, 1, 0))))
</t>
  </si>
  <si>
    <t>424. Pourriez-vous me dire votre sentiment général sur chaque groupe de personnes s'il est positif ou négatif sur une échelle de 0 à 10 où 0 est très négatif et 10 est très positif</t>
  </si>
  <si>
    <t>424. Ko za ku iya gaya mini yanda kuke gani game da kowane gungun mutane, yana da kyau ko baya da kyau akan kuranga 0 zuwa 10 inda 0 ba shi da kyau sosai kuma 10 yana da inganci sosai.</t>
  </si>
  <si>
    <t>pm_tol_relig</t>
  </si>
  <si>
    <t>390. Followers of other religions</t>
  </si>
  <si>
    <t>390. Adeptes d'autres religions</t>
  </si>
  <si>
    <t>390. Mabiya wasu addinai</t>
  </si>
  <si>
    <t>season</t>
  </si>
  <si>
    <t>425. Followers of other religions</t>
  </si>
  <si>
    <t>425. Adeptes d'autres religions</t>
  </si>
  <si>
    <t>425. Mabiya wasu addinai</t>
  </si>
  <si>
    <t>Harvest season (this year)</t>
  </si>
  <si>
    <t>pm_tol_eth</t>
  </si>
  <si>
    <t>Saison des récoltes (cette année)</t>
  </si>
  <si>
    <t>391. People of different ethnic groups</t>
  </si>
  <si>
    <t>391. Personnes de différents groupes ethniques</t>
  </si>
  <si>
    <t>Lokacin kaka ta bana</t>
  </si>
  <si>
    <t>391. Mutanen wasu kabilu daban</t>
  </si>
  <si>
    <t>426. People of different ethnic groups</t>
  </si>
  <si>
    <t>426. Personnes de différents groupes ethniques</t>
  </si>
  <si>
    <t>426. Mutanen wasu kabilu daban</t>
  </si>
  <si>
    <t>pm_tol_mig</t>
  </si>
  <si>
    <t>392. Immigrants who come to Niger as foreign workers</t>
  </si>
  <si>
    <t>392. Les immigrés qui viennent au Niger en tant que travailleurs étrangers</t>
  </si>
  <si>
    <t>392. Baƙin haure masu zuwa Nijar a matsayin ma'aikata ƴan ƙasashen waje</t>
  </si>
  <si>
    <t>427. Immigrants who come to Niger as foreign workers</t>
  </si>
  <si>
    <t>427. Les immigrés qui viennent au Niger en tant que travailleurs étrangers</t>
  </si>
  <si>
    <t>427. Baƙin haure masu zuwa Nijar a matsayin ma'aikata ƴan ƙasashen waje</t>
  </si>
  <si>
    <t>Cold season</t>
  </si>
  <si>
    <t>pm_tol_muslim</t>
  </si>
  <si>
    <t>Saison froide</t>
  </si>
  <si>
    <t>393. People of a different sect of Islam</t>
  </si>
  <si>
    <t>Lokacin sanyi</t>
  </si>
  <si>
    <t>393. Les gens d'une autre secte de l'Islam</t>
  </si>
  <si>
    <t>393. Mabiya wasu ɗarikun musulunci</t>
  </si>
  <si>
    <t xml:space="preserve">if(${pm_home} = 0  and ${pm_current_location_same} = 1 
and ${pm_past_in_ecowas} = 1, 1,
if(${pm_home} = 1 and ${pm_current_location_same} = 0 and 
${pm_current_in_ecowas} = 1, 1, 
if(${pm_home} = 0 and ${pm_current_location_same} = 0 and 
(${pm_current_in_ecowas} = 1 or ${pm_past_in_ecowas} = 1), 1, 
if(sum(${pm_border_cross_ecowas_ind}) &gt; 0, 1, 0))))
</t>
  </si>
  <si>
    <t>428. People of a different sect of Islam</t>
  </si>
  <si>
    <t>428. Les gens d'une autre secte de l'Islam</t>
  </si>
  <si>
    <t>428. Mabiya wasu ɗarikun musulunci</t>
  </si>
  <si>
    <t>pm_marry_daughter_relig</t>
  </si>
  <si>
    <t>394. Imagine one of your daughters wanted to marry someone of a different religious faith, would you give them your permission?</t>
  </si>
  <si>
    <t>394. Imaginez qu'une de vos filles veuille épouser quelqu'un d'une confession religieuse différente, leur donneriez-vous votre permission ?</t>
  </si>
  <si>
    <t>394. Ku ƙaddara da wata ɗiyarku ta na son ta auri wani mai bin wani addini daban, za ku bada izininku?</t>
  </si>
  <si>
    <t>Hot season</t>
  </si>
  <si>
    <t>Saison chaude</t>
  </si>
  <si>
    <t>Lokacin zafi</t>
  </si>
  <si>
    <t>429. Imagine one of your daughters wanted to marry someone of a different religious faith, would you give them your permission?</t>
  </si>
  <si>
    <t>429. Imaginez qu'une de vos filles veuille épouser quelqu'un d'une confession religieuse différente, leur donneriez-vous votre permission ?</t>
  </si>
  <si>
    <t>429. Ku ƙaddara da wata ɗiyarku ta na son ta auri wani mai bin wani addini daban, za ku bada izininku?</t>
  </si>
  <si>
    <t>pm_marry_son_relig</t>
  </si>
  <si>
    <t>395. Imagine one of your sons wanted to marry someone of a different religious faith, would you give them your permission?</t>
  </si>
  <si>
    <t>395. Imaginez que l'un de vos fils veuille épouser quelqu'un d'une confession religieuse différente, leur donneriez-vous votre permission ?</t>
  </si>
  <si>
    <t>395. Ku ƙaddara da wani ɗanku ya na son ya auri wata ƴar addini daban, za ku bada izininku?</t>
  </si>
  <si>
    <t>430. Imagine one of your sons wanted to marry someone of a different religious faith, would you give them your permission?</t>
  </si>
  <si>
    <t>430. Imaginez que l'un de vos fils veuille épouser quelqu'un d'une confession religieuse différente, leur donneriez-vous votre permission ?</t>
  </si>
  <si>
    <t>430. Ku ƙaddara da wani ɗanku ya na son ya auri wata ƴar addini daban, za ku bada izininku?</t>
  </si>
  <si>
    <t>Bazara</t>
  </si>
  <si>
    <t>pm_marry_daughter_eth</t>
  </si>
  <si>
    <t>396. Imagine one of your daughters wanted to marry someone of a different ethnic group, would you give them your permission?</t>
  </si>
  <si>
    <t>396. Imaginez qu'une de vos filles veuille épouser quelqu'un d'un groupe ethnique différent, leur donneriez-vous votre permission ?</t>
  </si>
  <si>
    <t>396. Ku ƙaddara da wata ɗiyarka ta son ta auri ɗan wata kabila daban, za ku bada izininku?</t>
  </si>
  <si>
    <t>if(${pm_dom_mig} = 1 or ${pm_border_cross} = 1, 1, 0)</t>
  </si>
  <si>
    <t>431. Imagine one of your daughters wanted to marry someone of a different ethnic group, would you give them your permission?</t>
  </si>
  <si>
    <t>431. Imaginez qu'une de vos filles veuille épouser quelqu'un d'un groupe ethnique différent, leur donneriez-vous votre permission ?</t>
  </si>
  <si>
    <t>431. Ku ƙaddara da wata ɗiyarka ta son ta auri ɗan wata kabila daban, za ku bada izininku?</t>
  </si>
  <si>
    <t>pm_marry_son_eth</t>
  </si>
  <si>
    <t>397. Imagine one of your sons wanted to marry someone of a different ethnic group, would you give them your permission?</t>
  </si>
  <si>
    <t>397. Imaginez que l'un de vos fils veuille épouser quelqu'un d'un groupe ethnique différent, leur donneriez-vous votre permission ?</t>
  </si>
  <si>
    <t>397. Ku ƙaddara da wani ɗanku ya na son ya auri wani ɗan wata ƙabila daban, za ku bada izininku?</t>
  </si>
  <si>
    <t>Rainy season</t>
  </si>
  <si>
    <t>Saison des pluies</t>
  </si>
  <si>
    <t>Damana</t>
  </si>
  <si>
    <t>432. Imagine one of your sons wanted to marry someone of a different ethnic group, would you give them your permission?</t>
  </si>
  <si>
    <t>432. Imaginez que l'un de vos fils veuille épouser quelqu'un d'un groupe ethnique différent, leur donneriez-vous votre permission ?</t>
  </si>
  <si>
    <t>432. Ku ƙaddara da wani ɗanku ya na son ya auri wani ɗan wata ƙabila daban, za ku bada izininku?</t>
  </si>
  <si>
    <t>select_one statement</t>
  </si>
  <si>
    <t>pm_governance_opinion</t>
  </si>
  <si>
    <t>398. I will read you three statements. Please tell me which of these statements is closest to your opinion: 
 1) Democracy is preferable to any other kind of government 
 2) In some circumstances a non-democratic government can be preferable 
 3) For someone like me, it doesn't matter what kind of government we have</t>
  </si>
  <si>
    <t>398. Je vais vous lire trois déclarations. Veuillez me dire laquelle de ces déclarations est la plus proche de votre opinion :
 1) La démocratie est préférable à tout autre type de gouvernement
 2) Dans certaines circonstances, un gouvernement non démocratique peut être préférable
 3) Pour quelqu'un comme moi, peu importe le type de gouvernement que nous avons</t>
  </si>
  <si>
    <t>398. 1) Tsarin dimoraɗiyya ya fi kowane irin tsari mulki
 2) A wani yanayi ana iya fifita gwamnatin da ba ta demokradiyya ba
 3) Ga mutum irina, ba ruwanmu da wane irin gwamnati muke da ita”.</t>
  </si>
  <si>
    <t>433. I will read you three statements. Please tell me which of these statements is closest to your opinion: 
 1) Democracy is preferable to any other kind of government 
 2) In some circumstances a non-democratic government can be preferable 
 3) For someone like me, it doesn't matter what kind of government we have</t>
  </si>
  <si>
    <t>Harvest season (next year)</t>
  </si>
  <si>
    <t>433. Je vais vous lire trois déclarations. Veuillez me dire laquelle de ces déclarations est la plus proche de votre opinion :
 1) La démocratie est préférable à tout autre type de gouvernement
 2) Dans certaines circonstances, un gouvernement non démocratique peut être préférable
 3) Pour quelqu'un comme moi, peu importe le type de gouvernement que nous avons</t>
  </si>
  <si>
    <t>Période de récolte (l'année prochaine)</t>
  </si>
  <si>
    <t>433. 1) Tsarin dimoraɗiyya ya fi kowane irin tsari mulki
 2) A wani yanayi ana iya fifita gwamnatin da ba ta demokradiyya ba
 3) Ga mutum irina, ba ruwanmu da wane irin gwamnati muke da ita”.</t>
  </si>
  <si>
    <t>Lokacin kaka ta badi</t>
  </si>
  <si>
    <t>select_one state_likert</t>
  </si>
  <si>
    <t>pm_rule_law</t>
  </si>
  <si>
    <t>399. I will read you two statements. Which of the following statements is closest to your view? Choose Statement 1 or Statement 2 
 1. A government that enjoys the support of the people should be free to do whatever the people want, even if it is outside the law.
 2. The actions of any government, no matter how popular it is, must always follow the law.</t>
  </si>
  <si>
    <t>. = 1</t>
  </si>
  <si>
    <t>399. Je vais vous lire deux déclarations. Laquelle des déclarations suivantes est la plus proche de votre point de vue ? Choisissez la déclaration 1 ou la déclaration 2
 1. Un gouvernement qui bénéficie du soutien du peuple devrait être libre de faire ce que le peuple veut, même si cela n'est pas prévu par la loi.
 2. Les actions de tout gouvernement, aussi populaire soit-il, doivent toujours respecter la loi.</t>
  </si>
  <si>
    <t>Go back and correct the order.</t>
  </si>
  <si>
    <t>399. Zan karanta muku wasu maganganu guda biyu, a cikin waɗannan maganganu wanne ne ya fi kusa da ra'ayinku? Zabi Bayani na 1 ko Bayani na2 
 1. Gwamnatin da ke samun goyon bayan al’umma yana da ƴancin yin duk abin da jama’a ke so, ko da ba bisa doka ba ne.
 2. Ayyukan kowane gwamnati komai farin jininta, dole ne ta bi doka.</t>
  </si>
  <si>
    <t>count-items(',', ${pm_locations_list_new}) &gt; 6</t>
  </si>
  <si>
    <t>434. I will read you two statements. Which of the following statements is closest to your view? Choose Statement 1 or Statement 2 
 A government that enjoys the support of the people should be free to do whatever the people want, even if it is outside the law.
 The actions of any government, no matter how popular it is, must always follow the law.</t>
  </si>
  <si>
    <t>434. Je vais vous lire deux déclarations. Laquelle des déclarations suivantes est la plus proche de votre point de vue ? Choisissez la déclaration 1 ou la déclaration 2
 Un gouvernement qui bénéficie du soutien du peuple devrait être libre de faire ce que le peuple veut, même si cela n'est pas prévu par la loi.
 Les actions de tout gouvernement, aussi populaire soit-il, doivent toujours respecter la loi.</t>
  </si>
  <si>
    <t>434. Zan karanta muku wasu maganganu guda biyu, a cikin waɗannan maganganu wanne ne ya fi kusa da ra'ayinku? Zabi Bayani na 1 ko Bayani na2 
 Gwamnatin da ke samun goyon bayan al’umma yana da ƴancin yin duk abin da jama’a ke so, ko da ba bisa doka ba ne.
 Ayyukan kowane gwamnati komai farin jininta, dole ne ta bi doka.</t>
  </si>
  <si>
    <t>pm_violence_justified</t>
  </si>
  <si>
    <t>400. I will read you two statements. Which of the following statements is closest to your view? Choose Statement 1 or Statement 2 
 1. Using violence to accomplish your goals is never justified, no matter how worthy your cause
 2. It is sometime necessary to use violence in pursuit of a good cause.</t>
  </si>
  <si>
    <t>400. Je vais vous lire deux déclarations. Laquelle des déclarations suivantes est la plus proche de votre point de vue ? Choisissez la déclaration 1 ou la déclaration 2
 1. Utiliser la violence pour atteindre vos objectifs n'est jamais justifié, quelle que soit la valeur de votre cause
 2. Il est parfois nécessaire de recourir à la violence dans la poursuite d'une bonne cause.</t>
  </si>
  <si>
    <t>400. Zan karanta muku maganganu guda biyu. A cikin wadannan maganganun wanne ne ya fi kusa da ra'ayin ku? Zabi Bayani na 1 ko Bayani na 2 
 1. Yin amfani da ƙarfi don cimma burinku ba zai taɓa zama daidai ba, komai cancantar dalilanku
 2. Wani lokaci ya zama dole a yi amfani da ƙarfi wajen neman manufa mai kyau.</t>
  </si>
  <si>
    <t>435. I will read you two statements. Which of the following statements is closest to your view? Choose Statement 1 or Statement 2 
 Using violence to accomplish your goals is never justified, no matter how worthy your cause
 It is sometime necessary to use violence in pursuit of a good cause.</t>
  </si>
  <si>
    <t>435. Je vais vous lire deux déclarations. Laquelle des déclarations suivantes est la plus proche de votre point de vue ? Choisissez la déclaration 1 ou la déclaration 2
 Utiliser la violence pour atteindre vos objectifs n'est jamais justifié, quelle que soit la valeur de votre cause
 Il est parfois nécessaire de recourir à la violence dans la poursuite d'une bonne cause.</t>
  </si>
  <si>
    <t>435. Zan karanta muku maganganu guda biyu. A cikin wadannan maganganun wanne ne ya fi kusa da ra'ayin ku? Zabi Bayani na 1 ko Bayani na 2 
 Yin amfani da ƙarfi don cimma burinku ba zai taɓa zama daidai ba, komai cancantar dalilanku
 Wani lokaci ya zama dole a yi amfani da ƙarfi wajen neman manufa mai kyau.</t>
  </si>
  <si>
    <t>select_one save_or_share</t>
  </si>
  <si>
    <t>pm_surplus</t>
  </si>
  <si>
    <t>concerns</t>
  </si>
  <si>
    <t>184. Suppose a household in your village has a better harvest than its neighbors. In your opinion, should the household:
1. Save the surplus for the future
2. Share its surplus with less fortunate households in the village</t>
  </si>
  <si>
    <t>184. Supposons qu'un ménage de votre village ait une meilleure récolte que ses voisins. À votre avis, le ménage devrait-il :
1. Économisez le surplus pour l'avenir
2. Partager son surplus avec les ménages moins fortunés du village</t>
  </si>
  <si>
    <t>My family was concerned about safety</t>
  </si>
  <si>
    <t>184. A ce wani gida a garinku ya samu amfanin gona fiye da sauran gidaje. A ra'ayinku, ya kamata gidan:
1. Ajiyar ƙarin don gaba
2. Raba ƙarin da sauran gidaje marasa galihu a garin</t>
  </si>
  <si>
    <t>Ma famille était préoccupée par la sécurité</t>
  </si>
  <si>
    <t>Ƴan gidan mu sun damu da aminci</t>
  </si>
  <si>
    <t>436. Suppose a household in your village has a better harvest than its neighbors. In your opinion, should the household:
 Save the surplus for the future
 Share its surplus with less fortunate households in the village</t>
  </si>
  <si>
    <t>436. Supposons qu'un ménage de votre village ait une meilleure récolte que ses voisins. À votre avis, le ménage devrait-il :
 Économisez le surplus pour l'avenir
 Partager son surplus avec les ménages moins fortunés du village</t>
  </si>
  <si>
    <t>436. A ce wani gida a garinku ya samu amfanin gona fiye da sauran gidaje. A ra'ayinku, ya kamata gidan:
 Ajiyar ƙarin don gaba
 Raba ƙarin da sauran gidaje marasa galihu a garin</t>
  </si>
  <si>
    <t>select_one attitude</t>
  </si>
  <si>
    <t>pm_society_opinion</t>
  </si>
  <si>
    <t>185. I will share with you three different kinds of attitudes concerning the society we live in. Please choose the one which best describes your own opinion:
1. The entire way our society is organized must be radically changed by revolutionary action
2. Our society must be gradually improved by reforms
3. Our present society must be valiantly defended against all subversive forces</t>
  </si>
  <si>
    <t>185. Je vais partager avec vous trois différents types d'attitudes concernant la société dans laquelle nous vivons. 
Veuillez choisir celle qui décrit le mieux votre propre opinion :
1. Toute la manière dont notre société est organisée doit être radicalement changée par l'action révolutionnaire
2. Notre société doit être progressivement améliorée par des réformes
3. Notre société actuelle doit être vaillamment défendue contre toutes les forces subversives</t>
  </si>
  <si>
    <t>185. Zan gaya muku halaye iri uku daban-daban game da al'ummar da muke rayuwa a ciki, ina fatan zaku zaɓi wanda ya fi dacewa da ra'ayinku:
1. Dukkanin yadda al'ummarmu take da tsari dole ne a canza su ta hanyar juyin juya hali
2. Dole ne a inganta al'ummarmu a hankali ta hanyar gyara
3. Dole ne al'ummarmu ta yanzu ta kasance da jajircewa wajen kare kai daga duk wani yunkuri na zagon kasa</t>
  </si>
  <si>
    <t>My family was concerned about losing contact</t>
  </si>
  <si>
    <t>Ma famille craignait de perdre le contact</t>
  </si>
  <si>
    <t>count-items(',', ${pm_locations_list_new}) &gt; 5</t>
  </si>
  <si>
    <t>Ƴan gidan mu sun damu da rashin tuntuɓar juna</t>
  </si>
  <si>
    <t>437. I will share with you three different kinds of attitudes concerning the society we live in. Please choose the one which best describes your own opinion:
 The entire way our society is organized must be radically changed by revolutionary action
 Our society must be gradually improved by reforms
 Our present society must be valiantly defended against all subversive forces</t>
  </si>
  <si>
    <t>437. Je vais partager avec vous trois différents types d'attitudes concernant la société dans laquelle nous vivons. 
Veuillez choisir celle qui décrit le mieux votre propre opinion :
 Toute la manière dont notre société est organisée doit être radicalement changée par l'action révolutionnaire
 Notre société doit être progressivement améliorée par des réformes
 Notre société actuelle doit être vaillamment défendue contre toutes les forces subversives</t>
  </si>
  <si>
    <t>437. Zan gaya muku halaye iri uku daban-daban game da al'ummar da muke rayuwa a ciki, ina fatan zaku zaɓi wanda ya fi dacewa da ra'ayinku:
 Dukkanin yadda al'ummarmu take da tsari dole ne a canza su ta hanyar juyin juya hali
 Dole ne a inganta al'ummarmu a hankali ta hanyar gyara
 Dole ne al'ummarmu ta yanzu ta kasance da jajircewa wajen kare kai daga duk wani yunkuri na zagon kasa</t>
  </si>
  <si>
    <t>select_one customs</t>
  </si>
  <si>
    <t>pm_constrain_customs</t>
  </si>
  <si>
    <t>186. Now think about customs and habits in your society. Which of the following statements comes closer to your sentiment:
1. I feel constrained by the number of customs and habits that exist in my society
2. There are not enough customs and habits in my society to guide me
3. There are just about the right amount of customs and habits in my society</t>
  </si>
  <si>
    <t>My family believed I could help more at home than abroad</t>
  </si>
  <si>
    <t>186. Pensez maintenant aux us et coutumes de votre société. Laquelle des affirmations suivantes se rapproche le plus de votre sentiment :
1. Je me sens contraint par le nombre des us et coutumes qui existent dans ma société
2. Il n'y a pas assez des us et coutumes dans ma société pour me guider
3. Il y a à peu près ce qu'il faut des us et coutumes dans ma société</t>
  </si>
  <si>
    <t>Ma famille croyait que je pouvais aider davantage chez moi qu'à l'étranger</t>
  </si>
  <si>
    <t>186. Yanzu ku tuna da al'adu da ɗabi'u na al'ummarku. A cikin wadannan maganganu wanne ya fi kusa da ra'ayin ku:
1. Ina jin takura da yawan al'adu da dabi'un da ke cikin al'ummata
2. Babu isassun al'adu da ɗabi'a a cikin al'ummata da za su jagorance ni
3. Akwai daidai adadin al'adu da halaye a cikin al'ummata</t>
  </si>
  <si>
    <t>Ƴan gidan mu sun yi imanin cewa zan iya taimakawa fiye a gida fiye da ƙasar waje</t>
  </si>
  <si>
    <t>438. Now think about customs and habits in your society. Which of the following statements comes closer to your sentiment:
 I feel constrained by the number of customs and habits that exist in my society
 There are not enough customs and habits in my society to guide me
 There are just about the right amount of customs and habits in my society</t>
  </si>
  <si>
    <t>438. Pensez maintenant aux us et coutumes de votre société. Laquelle des affirmations suivantes se rapproche le plus de votre sentiment :
 Je me sens contraint par le nombre des us et coutumes qui existent dans ma société
 Il n'y a pas assez des us et coutumes dans ma société pour me guider
 Il y a à peu près ce qu'il faut des us et coutumes dans ma société</t>
  </si>
  <si>
    <t>438. Yanzu ku tuna da al'adu da ɗabi'u na al'ummarku. A cikin wadannan maganganu wanne ya fi kusa da ra'ayin ku:
 Ina jin takura da yawan al'adu da dabi'un da ke cikin al'ummata
 Babu isassun al'adu da ɗabi'a a cikin al'ummata da za su jagorance ni
 Akwai daidai adadin al'adu da halaye a cikin al'ummata</t>
  </si>
  <si>
    <t>pm_free_move</t>
  </si>
  <si>
    <t>187. Which of the following statements is closest to your view? Choose Statement 1 or Statement 2. 
Statement 1: People living in West Africa should be able to move freely across international borders in order to trade or work in other countries.
Statement 2: In order to protect their own citizens, governments should limit the cross-border movement of people and goods.</t>
  </si>
  <si>
    <t>187. Laquelle des affirmations suivantes est la plus proche de votre point de vue ? Choisissez l'affirmation 1 ou l'affirmation 2. 
Affirmation 1 : Les personnes vivant en Afrique de l'Ouest devraient pouvoir se déplacer librement à travers les frontières internationales pour faire du commerce ou travailler dans d'autres pays.
Affirmation 2 : Afin de protéger leurs propres citoyens, les gouvernements devraient limiter les mouvements transfrontaliers de personnes et de biens.</t>
  </si>
  <si>
    <t>187. A cikin wadannan maganganu wanne ya fi kusa da ra'ayinku? Zaɓi Bayani na 1 ko Bayani na 2. 
  Magana ta 1: Ya kamata mutanen yammacin Afirka su samu damar tafiya cikin walwala a kan iyakokin ƙsa da ƙasa don yin kasuwanci ko aiki a wasu ƙasashe.
  Magana ta 2: Domin kare ƴan ƙasarsu, ya kamata gwamnatoci su takaita zirga-zirgar jama'a da kayayyaki a kan iyaka.</t>
  </si>
  <si>
    <t>count-items(',', ${pm_locations_list_new}) &gt; 4</t>
  </si>
  <si>
    <t>439. Which of the following statements is closest to your view? Choose Statement 1 or Statement 
Statement 1: People living in West Africa should be able to move freely across international borders in order to trade or work in other countries.
Statement 2: In order to protect their own citizens, governments should limit the cross-border movement of people and goods.</t>
  </si>
  <si>
    <t>439. Laquelle des affirmations suivantes est la plus proche de votre point de vue ? Choisissez l'affirmation 1 ou l'affirmation 
Affirmation 1 : Les personnes vivant en Afrique de l'Ouest devraient pouvoir se déplacer librement à travers les frontières internationales pour faire du commerce ou travailler dans d'autres pays.
Affirmation 2 : Afin de protéger leurs propres citoyens, les gouvernements devraient limiter les mouvements transfrontaliers de personnes et de biens.</t>
  </si>
  <si>
    <t>439. A cikin wadannan maganganu wanne ya fi kusa da ra'ayinku? Zaɓi Bayani na 1 ko Bayani na 
 Magana ta 1: Ya kamata mutanen yammacin Afirka su samu damar tafiya cikin walwala a kan iyakokin ƙsa da ƙasa don yin kasuwanci ko aiki a wasu ƙasashe.
 Magana ta 2: Domin kare ƴan ƙasarsu, ya kamata gwamnatoci su takaita zirga-zirgar jama'a da kayayyaki a kan iyaka.</t>
  </si>
  <si>
    <t>540. What was the expense?</t>
  </si>
  <si>
    <t>540. Quelle était la dépense ?</t>
  </si>
  <si>
    <t>540. wane kashe kuɗi ne ?</t>
  </si>
  <si>
    <t>count-items(',', ${pm_locations_list_new}) &gt; 3</t>
  </si>
  <si>
    <t>who_concerned_fam</t>
  </si>
  <si>
    <t>count-items(',', ${pm_locations_list_new}) &gt; 2</t>
  </si>
  <si>
    <t>581. In the past three months, have you or anyone in your household received goods (payment in kind) from someone who is not a member of your household and who lives elsewhere in Niger (outside your village)?</t>
  </si>
  <si>
    <t>581. Au cours des trois derniers mois, vous ou un membre de votre ménage avez reçu &lt;b&gt;des biens&lt;/b&gt; (paiement en nature) d'une personne qui n'est pas membre de votre ménage et qui habite &lt;b&gt;ailleurs au Niger&lt;/b&gt; (en dehors de votre village)?</t>
  </si>
  <si>
    <t>581. A cikin watanni ukun da suka wuce, kai ko wani a cikin gidanku kun karɓi kaya (a matsayin biya) daga wani wanda ba ɗan gidanku ba ne kuma yana zaune a wani wuri a Nijar (Ba'a garinku ba)?</t>
  </si>
  <si>
    <t>pm_cash_group</t>
  </si>
  <si>
    <t>Cash Group</t>
  </si>
  <si>
    <t>582. What was the value of the goods members of your household receive from people elsewhere in Niger (in CFA)?</t>
  </si>
  <si>
    <t>582. Quel était la valeur au totale des biens que les membres de votre ménage ont reçu des personnes qui sont quelques part au Niger 
(en USD)?</t>
  </si>
  <si>
    <t>582. Nawa kimar kayayyakin da ƴan gidanku suka karba daga wasu mutane a wasu wurare a Nijar (in CFA)?</t>
  </si>
  <si>
    <t>count-items(',', ${pm_locations_list_new}) &gt; 1</t>
  </si>
  <si>
    <t>speedcheck_pm_cash_start</t>
  </si>
  <si>
    <t>583. How were these goods transmitted to your household?</t>
  </si>
  <si>
    <t>583. Comment ces biens ont-ils été envoyé à votre ménage ?</t>
  </si>
  <si>
    <t>583. Ta yaya aka aika waɗannan kayayyakin zuwa gidanku?</t>
  </si>
  <si>
    <t>pm_cash_note</t>
  </si>
  <si>
    <t>401. We would now like to ask you a few questions about a cash transfer you may have recently received from Mercy Corps</t>
  </si>
  <si>
    <t>401. Nous aimerions maintenant vous poser quelques questions sur un transfert en espèces que vous avez peut-être récemment reçu de Mercy Corps.</t>
  </si>
  <si>
    <t>401. Yanzu muna son mu muku wasu ƴan tambayoyi game da wani aiken kuɗi da wataƙila kuka samu a cikin kwanan nan daga Mercy Corps</t>
  </si>
  <si>
    <t>Other relatives</t>
  </si>
  <si>
    <t>D'autres proches</t>
  </si>
  <si>
    <t>Sauran dangi</t>
  </si>
  <si>
    <t>440. We would now like to ask you a few questions about a cash transfer you may have recently received from Mercy Corps</t>
  </si>
  <si>
    <t>440. Nous aimerions maintenant vous poser quelques questions sur un transfert en espèces que vous avez peut-être récemment reçu de Mercy Corps.</t>
  </si>
  <si>
    <t>440. Yanzu muna son mu muku wasu ƴan tambayoyi game da wani aiken kuɗi da wataƙila kuka samu a cikin kwanan nan daga Mercy Corps</t>
  </si>
  <si>
    <t>pm_cash_amt</t>
  </si>
  <si>
    <t>402. How much cash in CFA did you receive from Mercy Corps in the last distribution?</t>
  </si>
  <si>
    <t>402. Combien avez-vous reçu en CFA de Mercy Corps au dernier transfert?</t>
  </si>
  <si>
    <t>402. Nawa kuka samu daga Mercy corps a zubin ƙarshe?</t>
  </si>
  <si>
    <t>${pm_locations_new} &gt; 0 or ${pm_current_location_same} = 0</t>
  </si>
  <si>
    <t>441. How much cash in CFA did you receive from Mercy Corps in the last distribution?</t>
  </si>
  <si>
    <t>441. Combien avez-vous reçu en CFA de Mercy Corps au dernier transfert?</t>
  </si>
  <si>
    <t>441. Nawa kuka samu daga Mercy corps a zubin ƙarshe?</t>
  </si>
  <si>
    <t>pm_recieved_cash</t>
  </si>
  <si>
    <t>count-items(',', ${pm_locations_list_new}) -1</t>
  </si>
  <si>
    <t>586. How much in total did members of your household receive from people out of Niger?</t>
  </si>
  <si>
    <t>586. Combien au total les membres de votre ménage ont-ils reçu des personnes qui ne sont pas au Niger ?</t>
  </si>
  <si>
    <t>586. Nawa ne yan gidanku ya samu daga mutanen da ke zaune a ƙasar waje ba Nijar ba?</t>
  </si>
  <si>
    <t>select_one lesseqmore</t>
  </si>
  <si>
    <t>pm_cash_expect</t>
  </si>
  <si>
    <t>403. Was the amount you received equal to, less than, or more than the amount you were told you would receive?</t>
  </si>
  <si>
    <t>403. Le montant que vous avez reçu était égal, inférieur ou supérieur au montant promis?</t>
  </si>
  <si>
    <t>403. Ko kuɗin da kuka samu daidai ne ko ƙasa ko yahi wanda aka muku alƙawali?</t>
  </si>
  <si>
    <t>who_concerned_comm</t>
  </si>
  <si>
    <t>Village leaders</t>
  </si>
  <si>
    <t>Chefs de village</t>
  </si>
  <si>
    <t>Maigari</t>
  </si>
  <si>
    <t>442. Was the amount you received equal to, less than, or more than the amount you were told you would receive?</t>
  </si>
  <si>
    <t>442. Le montant que vous avez reçu était égal, inférieur ou supérieur au montant promis?</t>
  </si>
  <si>
    <t>442. Ko kuɗin da kuka samu daidai ne ko ƙasa ko yahi wanda aka muku alƙawali?</t>
  </si>
  <si>
    <t>pm_cash_note_1</t>
  </si>
  <si>
    <t>404. You mentioned that this Mercy Corps program gave you ${pm_cash_amt} CFA for the last cash transfer.</t>
  </si>
  <si>
    <t>404. Vous avez mentionné que ce programme Mercy Corps vous a donné ${pm_cash_amt} CFA pour le dernier transfert d'argent.</t>
  </si>
  <si>
    <t>404. Kun ce wannan shirin na Mercy corps ya muku zubin ${pm_cash_amt} CFA a zubin ƙarshe.</t>
  </si>
  <si>
    <t>Imam</t>
  </si>
  <si>
    <t>item-at(',', ${pm_countries_new}, index())</t>
  </si>
  <si>
    <t>Liman</t>
  </si>
  <si>
    <t>443. You mentioned that this Mercy Corps program gave you ${pm_cash_amt} CFA for the last cash transfer.</t>
  </si>
  <si>
    <t>443. Vous avez mentionné que ce programme Mercy Corps vous a donné ${pm_cash_amt} CFA pour le dernier transfert d'argent.</t>
  </si>
  <si>
    <t>443. Kun ce wannan shirin na Mercy corps ya muku zubin ${pm_cash_amt} CFA a zubin ƙarshe.</t>
  </si>
  <si>
    <t>select_multiple exp_categories</t>
  </si>
  <si>
    <t>pm_cash_exp_categories</t>
  </si>
  <si>
    <t>405. Can you please tell me what were the categories you spent the most of the assistance on?</t>
  </si>
  <si>
    <t>405. Pouvez-vous me dire quelles étaient les trois catégories sur lesquelles vous avez dépensé le plus l'argent?</t>
  </si>
  <si>
    <t>405. Ko zaku iya gaya mani bisa wane nau'ika uku ne kuka kashe yawancin kudin taimakon?</t>
  </si>
  <si>
    <t>Friends</t>
  </si>
  <si>
    <t>Amis</t>
  </si>
  <si>
    <t>Abokai</t>
  </si>
  <si>
    <t>444. Can you please tell me what were the categories you spent the most of the assistance on?</t>
  </si>
  <si>
    <t>444. Pouvez-vous me dire quelles étaient les trois catégories sur lesquelles vous avez dépensé le plus l'argent?</t>
  </si>
  <si>
    <t>444. Ko zaku iya gaya mani bisa wane nau'ika uku ne kuka kashe yawancin kudin taimakon?</t>
  </si>
  <si>
    <t>pm_cash_exp_categories_o</t>
  </si>
  <si>
    <t>406. Other, specify:</t>
  </si>
  <si>
    <t>406. Autre précisez:</t>
  </si>
  <si>
    <t>406. Wani daban, baiyana:</t>
  </si>
  <si>
    <t>item-at(',', ${pm_countries_new}, index() - 1)</t>
  </si>
  <si>
    <t>445. Other, specify:</t>
  </si>
  <si>
    <t>445. Autre précisez:</t>
  </si>
  <si>
    <t>445. Wani daban, baiyana:</t>
  </si>
  <si>
    <t>pm_cash_share_out</t>
  </si>
  <si>
    <t>407. Did you share the cash with anyone outside the Household?</t>
  </si>
  <si>
    <t>407. Avez-vous partagé l'argent avec quelqu'un en dehors du ménage ?</t>
  </si>
  <si>
    <t>407. Ko ka yi kyauta da kuɗin ga wani da ba ɗan gidan ku ba?</t>
  </si>
  <si>
    <t>Neighbors</t>
  </si>
  <si>
    <t>Voisins</t>
  </si>
  <si>
    <t>Maƙwabta</t>
  </si>
  <si>
    <t>446. Did you share the cash with anyone outside the Household?</t>
  </si>
  <si>
    <t>446. Avez-vous partagé l'argent avec quelqu'un en dehors du ménage ?</t>
  </si>
  <si>
    <t>446. Ko ka yi kyauta da kuɗin ga wani da ba ɗan gidan ku ba?</t>
  </si>
  <si>
    <t>select_multiple who_cash_share</t>
  </si>
  <si>
    <t>pm_cash_share_mem_out</t>
  </si>
  <si>
    <t>408. Who did you share with?</t>
  </si>
  <si>
    <t>408. Avec qui avez-vous partagé l'argent?</t>
  </si>
  <si>
    <t>408. Wanene kuka ba wannan kudin?</t>
  </si>
  <si>
    <t>447. Who did you share with?</t>
  </si>
  <si>
    <t>447. Avec qui avez-vous partagé l'argent?</t>
  </si>
  <si>
    <t>447. Wanene kuka ba wannan kudin?</t>
  </si>
  <si>
    <t>${pm_from_country} != ${pm_to_country}</t>
  </si>
  <si>
    <t>speedcheck_pm_cashshareout_start</t>
  </si>
  <si>
    <t>593. In the past three months, have you or anyone in your household shared or sent money to someone who is not a member of your household and who lives elsewhere in Niger (outside your village)?</t>
  </si>
  <si>
    <t>593. Au cours des trois derniers mois, vous ou quelqu'un de votre ménage avez-vous partagé ou envoyé &lt;b&gt;de l'argent&lt;/b&gt; à quelqu'un qui n'est pas membre de votre ménage et qui habite &lt;b&gt;ailleurs au Niger&lt;/b&gt;(en dehors de votre village)</t>
  </si>
  <si>
    <t>593. A cikin watanni uku da suka wuce, kai ko wani a cikin gidanku kun bada ko kun aika kuɗi ga wani wanda ba dan gidanku ba da ke zaune a wani wuri a Nijar (wajen garinku)</t>
  </si>
  <si>
    <t>pm_cash_share_with_out</t>
  </si>
  <si>
    <t>Shared Cash outside HH</t>
  </si>
  <si>
    <t>594. How much did your household send to people elsewhere in Niger?</t>
  </si>
  <si>
    <t>594. Combien votre ménage a-t-il envoyé à des personnes qui sont quelque part au Niger ?</t>
  </si>
  <si>
    <t>594. Nawa ne gidanku ya aikawa mutanen da ke wasu wurare a Nijar?</t>
  </si>
  <si>
    <t>pm_mem_rel_out</t>
  </si>
  <si>
    <t>contactshare</t>
  </si>
  <si>
    <t>item-at(',', ${pm_locations_list_new}, index())</t>
  </si>
  <si>
    <t>Possible accommodation options</t>
  </si>
  <si>
    <t>Options d'hébergement possibles</t>
  </si>
  <si>
    <t>Zaɓuɓɓukan masauki masu yiwuwa</t>
  </si>
  <si>
    <t>pm_cash_share_out_amt</t>
  </si>
  <si>
    <t>409. How much did you share with ${pm_mem_rel_out} (in CFA)?</t>
  </si>
  <si>
    <t>409. Combien avez-vous donné à ${pm_mem_rel_out} (en CFA)?</t>
  </si>
  <si>
    <t>409. Nawa kuka ba ${pm_mem_rel_out} (a cikin CFA)?</t>
  </si>
  <si>
    <t>448. How much did you share with ${pm_mem_rel_out} (in CFA)?</t>
  </si>
  <si>
    <t>448. Combien avez-vous donné à ${pm_mem_rel_out} (en CFA)?</t>
  </si>
  <si>
    <t>448. Nawa kuka ba ${pm_mem_rel_out} (a cikin CFA)?</t>
  </si>
  <si>
    <t>select_multiple exp_categories_share</t>
  </si>
  <si>
    <t>pm_cash_shared_out_cat</t>
  </si>
  <si>
    <t>Possible work options (and their pay)</t>
  </si>
  <si>
    <t>410. With the money you shared with ${pm_mem_rel_out} (${pm_cash_share_out_amt}), what do you think they spent it on?</t>
  </si>
  <si>
    <t>Options de travail possibles (et leur salaire)</t>
  </si>
  <si>
    <t>410. Avec l'argent que vous avez partagé avec ${pm_mem_rel_out} (${pm_cash_share_out_amt}), à quoi pensez-vous qu'ils l'ont dépensé ?</t>
  </si>
  <si>
    <t>Zaɓuɓɓukan aiki masu yuwuwa (da albashinsu)</t>
  </si>
  <si>
    <t>410. Da kudin da ka raba da ${pm_mem_rel_out} (${pm_cash_share_out_amt}), a kan me kake ganin suka kashe kuɗin?</t>
  </si>
  <si>
    <t>449. With the money you shared with ${pm_mem_rel_out} (${pm_cash_share_out_amt}), what do you think they spent it on?</t>
  </si>
  <si>
    <t>item-at(',', ${pm_locations_list_new}, index()-1)</t>
  </si>
  <si>
    <t>449. Avec l'argent que vous avez partagé avec ${pm_mem_rel_out} (${pm_cash_share_out_amt}), à quoi pensez-vous qu'ils l'ont dépensé ?</t>
  </si>
  <si>
    <t>449. Da kudin da ka raba da ${pm_mem_rel_out} (${pm_cash_share_out_amt}), a kan me kake ganin suka kashe kuɗin?</t>
  </si>
  <si>
    <t>pm_cash_shared_out_cat_o</t>
  </si>
  <si>
    <t>411. Other, specify:</t>
  </si>
  <si>
    <t>411. Autre précisez:</t>
  </si>
  <si>
    <t>411. Wani daban, baiyana:</t>
  </si>
  <si>
    <t>Safety considerations at destination</t>
  </si>
  <si>
    <t>Considérations de sécurité à destination</t>
  </si>
  <si>
    <t>La'akarin aminci a wurin da ake je</t>
  </si>
  <si>
    <t>450. Other, specify:</t>
  </si>
  <si>
    <t>450. Autre précisez:</t>
  </si>
  <si>
    <t>450. Wani daban, baiyana:</t>
  </si>
  <si>
    <t>pm_cash_shared_out_exp</t>
  </si>
  <si>
    <t>599. How were these goods transmitted to the recipient?</t>
  </si>
  <si>
    <t>599. Comment ces biens ont-ils été envoyé au destinataire ?</t>
  </si>
  <si>
    <t>599. Ta yaya aka aika waɗannan kayayyaki zuwa ga mai karɓa?</t>
  </si>
  <si>
    <t>pm_cash_shared_out_note</t>
  </si>
  <si>
    <t>412. How much do you think they spent on [...]?</t>
  </si>
  <si>
    <t>Cost of living in destination</t>
  </si>
  <si>
    <t>412. Combien pensez-vous qu'ils ont dépensé pour [...] ?</t>
  </si>
  <si>
    <t>Coût de la vie à destination</t>
  </si>
  <si>
    <t>412. Nawa kake tsammani suka kashe akan [...]?</t>
  </si>
  <si>
    <t>Tsadar rayuwa a inda ake je</t>
  </si>
  <si>
    <t>451. How much do you think they spent on [...]?</t>
  </si>
  <si>
    <t>451. Combien pensez-vous qu'ils ont dépensé pour [...] ?</t>
  </si>
  <si>
    <t>451. Nawa kake tsammani suka kashe akan [...]?</t>
  </si>
  <si>
    <t>Enumerator: do not read options, code based on response</t>
  </si>
  <si>
    <t>enquêteur : ne pas lire les options, code basé sur la réponse</t>
  </si>
  <si>
    <t>pm_cash_shared_out_exp_food</t>
  </si>
  <si>
    <t>Ɗan bincike: kar a karanta zaɓuɓɓuka, lamba bisa amsa</t>
  </si>
  <si>
    <t>413. Food</t>
  </si>
  <si>
    <t>413. Nourriture</t>
  </si>
  <si>
    <t>413. Abinci</t>
  </si>
  <si>
    <t>452. Food</t>
  </si>
  <si>
    <t>452. Nourriture</t>
  </si>
  <si>
    <t>452. Abinci</t>
  </si>
  <si>
    <t>pm_cash_shared_out_exp_hhcons</t>
  </si>
  <si>
    <t>414. Other household expenditure</t>
  </si>
  <si>
    <t>414. Autres dépenses du ménage</t>
  </si>
  <si>
    <t>414. Sauran kashe-kashen kuɗin gida</t>
  </si>
  <si>
    <t>453. Other household expenditure</t>
  </si>
  <si>
    <t>453. Autres dépenses du ménage</t>
  </si>
  <si>
    <t>453. Sauran kashe-kashen kuɗin gida</t>
  </si>
  <si>
    <t>pm_cash_shared_out_exp_invest</t>
  </si>
  <si>
    <t>415. Investments in agriculture and/or business</t>
  </si>
  <si>
    <t>415. Investissements dans l'agriculture et/ou le commerce</t>
  </si>
  <si>
    <t>415. Zuba jari a harkar noma da/ko kasuwanci</t>
  </si>
  <si>
    <t>encouragescale</t>
  </si>
  <si>
    <t>Encouraged</t>
  </si>
  <si>
    <t>Encouragé</t>
  </si>
  <si>
    <t>Karfafa</t>
  </si>
  <si>
    <t>454. Investments in agriculture and/or business</t>
  </si>
  <si>
    <t>454. Investissements dans l'agriculture et/ou le commerce</t>
  </si>
  <si>
    <t>454. Zuba jari a harkar noma da/ko kasuwanci</t>
  </si>
  <si>
    <t>pm_cash_shared_out_exp_savings</t>
  </si>
  <si>
    <t>416. Savings</t>
  </si>
  <si>
    <t>416. Épargne</t>
  </si>
  <si>
    <t>416. Ajiya</t>
  </si>
  <si>
    <t>455. Savings</t>
  </si>
  <si>
    <t>455. Épargne</t>
  </si>
  <si>
    <t>455. Ajiya</t>
  </si>
  <si>
    <t>pm_cash_shared_out_exp_debtpay</t>
  </si>
  <si>
    <t>417. Debt repayment</t>
  </si>
  <si>
    <t>417. Remboursement des dettes</t>
  </si>
  <si>
    <t>Stayed the same</t>
  </si>
  <si>
    <t>417. Biyan bashi</t>
  </si>
  <si>
    <t>Resté le même</t>
  </si>
  <si>
    <t>Ya tsaya kamar da</t>
  </si>
  <si>
    <t>selected(${pm_travel_how}, '-777')</t>
  </si>
  <si>
    <t>456. Debt repayment</t>
  </si>
  <si>
    <t>456. Remboursement des dettes</t>
  </si>
  <si>
    <t>456. Biyan bashi</t>
  </si>
  <si>
    <t>pm_cash_shared_out_exp_housingcost</t>
  </si>
  <si>
    <t>418. Housing cost payments</t>
  </si>
  <si>
    <t>418. Paiement des frais de logement</t>
  </si>
  <si>
    <t>418. Biyan kudin haya</t>
  </si>
  <si>
    <t>457. Housing cost payments</t>
  </si>
  <si>
    <t>457. Paiement des frais de logement</t>
  </si>
  <si>
    <t>457. Biyan kudin haya</t>
  </si>
  <si>
    <t>pm_cash_shared_out_exp_edu</t>
  </si>
  <si>
    <t>419. Education/Training payments</t>
  </si>
  <si>
    <t>419. Paiements pour études/formation</t>
  </si>
  <si>
    <t>419. Biyan kuɗi na ilimi / horo</t>
  </si>
  <si>
    <t>Discouraged</t>
  </si>
  <si>
    <t>Découragé</t>
  </si>
  <si>
    <t>Hanawa</t>
  </si>
  <si>
    <t>458. Education/Training payments</t>
  </si>
  <si>
    <t>458. Paiements pour études/formation</t>
  </si>
  <si>
    <t>458. Biyan kuɗi na ilimi / horo</t>
  </si>
  <si>
    <t>pm_cash_shared_out_exp_health</t>
  </si>
  <si>
    <t>420. Health expenditures</t>
  </si>
  <si>
    <t>420. Dépenses de santé</t>
  </si>
  <si>
    <t>420. Kuɗin kiwon lafiya</t>
  </si>
  <si>
    <t>459. Health expenditures</t>
  </si>
  <si>
    <t>459. Dépenses de santé</t>
  </si>
  <si>
    <t>459. Kuɗin kiwon lafiya</t>
  </si>
  <si>
    <t>pm_cash_shared_out_exp_migcost</t>
  </si>
  <si>
    <t>421. Migration cost payments</t>
  </si>
  <si>
    <t>421. Paiement des frais de migration</t>
  </si>
  <si>
    <t>421. Kashe kuɗin zuwa biɗa</t>
  </si>
  <si>
    <t>By travel group we are referring to individuals that accompanied you on the trip, not the number of people in the mode of transport.</t>
  </si>
  <si>
    <t>Par groupe de voyage, nous faisons référence aux personnes qui vous ont accompagné pendant le voyage et non au nombre de personnes dans le mode de transport.</t>
  </si>
  <si>
    <t>Daga gungun tahiya, muna magana ne akan mutane da suka raka ku a wannan tafiya, ba yawan mutanen da ke cikin sufurin ba.</t>
  </si>
  <si>
    <t>460. Migration cost payments</t>
  </si>
  <si>
    <t>460. Paiement des frais de migration</t>
  </si>
  <si>
    <t>460. Kashe kuɗin zuwa biɗa</t>
  </si>
  <si>
    <t>pm_cash_shared_out_exp_ceremony</t>
  </si>
  <si>
    <t>422. Ceremonies</t>
  </si>
  <si>
    <t>422. Cérémonies</t>
  </si>
  <si>
    <t>422. Bukukuwa</t>
  </si>
  <si>
    <t>461. Ceremonies</t>
  </si>
  <si>
    <t>461. Cérémonies</t>
  </si>
  <si>
    <t>discouragereason</t>
  </si>
  <si>
    <t>461. Bukukuwa</t>
  </si>
  <si>
    <t>That I could earn less than I expected</t>
  </si>
  <si>
    <t>pm_cash_shared_out_exp_other</t>
  </si>
  <si>
    <t>Que je pourrais gagner moins que ce à quoi je m'attendais</t>
  </si>
  <si>
    <t>423. Other</t>
  </si>
  <si>
    <t>Cewa zan iya samun kasa da yadda nake zato</t>
  </si>
  <si>
    <t>423. Autres</t>
  </si>
  <si>
    <t>423. Wasu</t>
  </si>
  <si>
    <t>462. Other</t>
  </si>
  <si>
    <t>462. Autres</t>
  </si>
  <si>
    <t>462. Wasu</t>
  </si>
  <si>
    <t>That it is costlier to live there than I expected</t>
  </si>
  <si>
    <t>Qu'il est plus coûteux d'y vivre que ce à quoi je m'attendais</t>
  </si>
  <si>
    <t>557. Now we will ask about other forms of income people in your household may have earned in the past three months.</t>
  </si>
  <si>
    <t>Cewa yana da tsadar zama a can fiye da yadda nake tsammani</t>
  </si>
  <si>
    <t>557. Nous allons maintenant poser des questions sur les autres formes de revenus que les membres de votre ménage ont pu gagner au cours des trois derniers mois.</t>
  </si>
  <si>
    <t>557. Yanzu za mu yi tambayoyi bisa wasu hanyoyin samun kuɗin shiga da yan gidanku a cikin watanni uku da suka gabata.</t>
  </si>
  <si>
    <t>pm_cash_shared_out_tot</t>
  </si>
  <si>
    <t>558. Do you or another member of your household own land that is currently not used for agriculture, outside of your current home?</t>
  </si>
  <si>
    <t>558. Est-ce que vous ou un autre membre de votre ménage possédez des terres qui ne sont actuellement pas utilisées pour l'agriculture, en dehors de votre domicile actuel ?</t>
  </si>
  <si>
    <t>558. Shin kai ko wani na gidanku kuna da wasu hilaye wanda ba na noma ba bancin gidanku da kuke ciki a halin yanzu?</t>
  </si>
  <si>
    <t>That it was less safe to travel there than I expected</t>
  </si>
  <si>
    <t>Qu'il était moins sûr d'y voyager que ce à quoi je m'attendais</t>
  </si>
  <si>
    <t>pm_cash_shared_out_constraint</t>
  </si>
  <si>
    <t>Cewa ba ya da tabbas bisa hanyar tafiya can ƙasa da yadda nake tsammani</t>
  </si>
  <si>
    <t>424. ENUMERATOR: The total amount spent on the above categories (${pm_cash_shared_out_tot}) is not equal to the amount the respondent shared (${pm_cash_share_out_amt}). Please return and correct responses.</t>
  </si>
  <si>
    <t>${pm_travel_num} &gt; 0</t>
  </si>
  <si>
    <t>424. ENUMÉRATEUR : Le montant total dépensé pour les catégories ci-dessus (${pm_cash_shared_out_tot}) n'est pas égal au montant partagé par le répondant (${pm_cash_share_out_amt}). Veuillez revenir pour corriger les réponses.</t>
  </si>
  <si>
    <t>424. Mai bincike: Jimillar adadin kuɗin da aka kashe akan nau'ikan da ke sama (${pm_cash_shared_out_tot}) bai yi daidai da adadin da (${pm_cash_share_out_amt}) ya raba ba. Da fatan za a dawo a gyara amsoshin.</t>
  </si>
  <si>
    <t>463. ENUMERATOR: The total amount spent on the above categories (${pm_cash_shared_out_tot}) is not equal to the amount the respondent shared (${pm_cash_share_out_amt}). Please return and correct responses.</t>
  </si>
  <si>
    <t>463. ENUMÉRATEUR : Le montant total dépensé pour les catégories ci-dessus (${pm_cash_shared_out_tot}) n'est pas égal au montant partagé par le répondant (${pm_cash_share_out_amt}). Veuillez revenir pour corriger les réponses.</t>
  </si>
  <si>
    <t>463. Mai bincike: Jimillar adadin kuɗin da aka kashe akan nau'ikan da ke sama (${pm_cash_shared_out_tot}) bai yi daidai da adadin da (${pm_cash_share_out_amt}) ya raba ba. Da fatan za a dawo a gyara amsoshin.</t>
  </si>
  <si>
    <t>560. In the past three months, what is the total value of interest from loans you have given to others in CFA?</t>
  </si>
  <si>
    <t>That it was less safe to live there than I expected</t>
  </si>
  <si>
    <t>560. Au cours des trois derniers mois, quelle est la valeur totale des intérêts des prêts que vous avez accordés à d'autres en CFA?</t>
  </si>
  <si>
    <t>560. A cikin watanni uku da suka gabata, nawa ne jimillar kudin ruwan basussuka da kuka baiwa wasu (a sefa)?</t>
  </si>
  <si>
    <t>Qu'il était moins sûr d'y vivre que ce à quoi je m'attendais</t>
  </si>
  <si>
    <t>Cewa ba ya da tabbashin zama a can fiye da yadda nake tsammani</t>
  </si>
  <si>
    <t>pm_info_share_out</t>
  </si>
  <si>
    <t>425. Did you share information you learned in the PPM program with people outside your household?</t>
  </si>
  <si>
    <t>425. Avez-vous partagé les informations que vous avez apprises dans le cadre du programme PPM avec des personnes extérieures à votre ménage ?</t>
  </si>
  <si>
    <t>425. Ko ka bada bayanin da ka koya a cikin shirin PPM tare da mutanen da ke wajen gidanku?</t>
  </si>
  <si>
    <t>464. Did you share information you learned in the PPM program with people outside your household?</t>
  </si>
  <si>
    <t>464. Avez-vous partagé les informations que vous avez apprises dans le cadre du programme PPM avec des personnes extérieures à votre ménage ?</t>
  </si>
  <si>
    <t>464. Ko ka bada bayanin da ka koya a cikin shirin PPM tare da mutanen da ke wajen gidanku?</t>
  </si>
  <si>
    <t>select_multiple ppm_info</t>
  </si>
  <si>
    <t>pm_info_share_out_what</t>
  </si>
  <si>
    <t>426. What information did you share with them?</t>
  </si>
  <si>
    <t>426. Quelles informations avez-vous partagées avec eux ?</t>
  </si>
  <si>
    <t>426. Wane bayani ka ba su?</t>
  </si>
  <si>
    <t>Wani</t>
  </si>
  <si>
    <t>465. What information did you share with them?</t>
  </si>
  <si>
    <t>465. Quelles informations avez-vous partagées avec eux ?</t>
  </si>
  <si>
    <t>465. Wane bayani ka ba su?</t>
  </si>
  <si>
    <t>speedcheck_pm_cashshareout_end</t>
  </si>
  <si>
    <t>614. Improve floors</t>
  </si>
  <si>
    <t>614. Améliorer les sols</t>
  </si>
  <si>
    <t>614. Inganta filalayen gida</t>
  </si>
  <si>
    <t>${pm_cross_relevant} = 1</t>
  </si>
  <si>
    <t>dur_pm_cashshareout</t>
  </si>
  <si>
    <t>615. Improve walls</t>
  </si>
  <si>
    <t>615. Réfectionner les murs</t>
  </si>
  <si>
    <t>615. gyara katangun gida</t>
  </si>
  <si>
    <t>speedcheck_pm_cashsharein_start</t>
  </si>
  <si>
    <t>561. Does anyone in the household fully, or partly own and operate an income generating activity that is not farming or herding? (i.e. a shop where you sell goods, restaurant, butcher shop)?</t>
  </si>
  <si>
    <t>561. Quelqu'un dans le ménage possède-t-il entièrement ou partiellement une activité génératrice de revenus autre que l'agriculture ou l'élevage ? (C'est-à-dire un magasin où vous vendez des marchandises, un restaurant, une boucherie) ?</t>
  </si>
  <si>
    <t>561. Ko akwai wani ɗan gidanku mai sana'a wanda jarin gaba daya nashi ko na hadin gwiwa ne banda noma da kiyo? ( kantin saida kaya, gidan abinci, fawa)?</t>
  </si>
  <si>
    <t>pm_cash_share_in</t>
  </si>
  <si>
    <t>427. Did you share the cash with anyone within the Household?</t>
  </si>
  <si>
    <t>427. Avez-vous partagé l'argent avec quelqu'un au sein du ménage ?</t>
  </si>
  <si>
    <t>encouragereason</t>
  </si>
  <si>
    <t>427. Ko kun raba kuɗin tare da kowa a cikin Gidan?</t>
  </si>
  <si>
    <t>That I could earn more than I expected</t>
  </si>
  <si>
    <t>Que je pourrais gagner plus que ce à quoi je m'attendais</t>
  </si>
  <si>
    <t>Cewa zan iya samun fiye da yadda nake tsammani</t>
  </si>
  <si>
    <t>466. Did you share the cash with anyone within the Household?</t>
  </si>
  <si>
    <t>466. Avez-vous partagé l'argent avec quelqu'un au sein du ménage ?</t>
  </si>
  <si>
    <t>466. Ko kun raba kuɗin tare da kowa a cikin Gidan?</t>
  </si>
  <si>
    <t>pm_cash_share_mem_in</t>
  </si>
  <si>
    <t>428. Who did you share with?</t>
  </si>
  <si>
    <t>428. Avec qui avez-vous partagé l'argent?</t>
  </si>
  <si>
    <t>428. Wanene kuka ba wannan kudin?</t>
  </si>
  <si>
    <t>467. Who did you share with?</t>
  </si>
  <si>
    <t>467. Avec qui avez-vous partagé l'argent?</t>
  </si>
  <si>
    <t>467. Wanene kuka ba wannan kudin?</t>
  </si>
  <si>
    <t>pm_cash_share_with_in</t>
  </si>
  <si>
    <t>Shared Cash within HH</t>
  </si>
  <si>
    <t>618. Specify other improvement (i.e. connect to electricity, build latrine)</t>
  </si>
  <si>
    <t>That it is less costly to live there than I expected</t>
  </si>
  <si>
    <t>618. Précisez les autres améliorations (c.-à-d. connecter de l'électricité, construire des latrines)</t>
  </si>
  <si>
    <t>618. Baiyana wasu abubuwan ingantawa (kamar sa wutar lantarki, gina salga (masai ) )</t>
  </si>
  <si>
    <t>Qu'il est moins cher d'y vivre que ce à quoi je m'attendais</t>
  </si>
  <si>
    <t>pm_mem_rel_in</t>
  </si>
  <si>
    <t>Cewa ba ya da tsadar zama a can fiye da yadda nake tsammani</t>
  </si>
  <si>
    <t>pm_cash_share_in_amt</t>
  </si>
  <si>
    <t>429. How much did you share with ${pm_mem_rel_in} (in CFA)?</t>
  </si>
  <si>
    <t>429. Combien avez-vous donné à ${pm_mem_rel_in} (en CFA)?</t>
  </si>
  <si>
    <t>429. Nawa kuka ba ${pm_mem_rel_in} (a cikin CFA)?</t>
  </si>
  <si>
    <t>468. How much did you share with ${pm_mem_rel_in} (in CFA)?</t>
  </si>
  <si>
    <t>468. Combien avez-vous donné à ${pm_mem_rel_in} (en CFA)?</t>
  </si>
  <si>
    <t>468. Nawa kuka ba ${pm_mem_rel_in} (a cikin CFA)?</t>
  </si>
  <si>
    <t>pm_cash_shared_in_cat</t>
  </si>
  <si>
    <t>430. With the money you shared with ${pm_mem_rel_in} (${pm_cash_share_in_amt}), what do you think they spent it on?</t>
  </si>
  <si>
    <t>That it was safer to travel there than I expected</t>
  </si>
  <si>
    <t>430. Avec l'argent que vous avez partagé avec ${pm_mem_rel_in} (${pm_cash_share_in_amt}), en quoi pensez-vous qu'ils l'ont dépensé ?</t>
  </si>
  <si>
    <t>430. Da kuɗin da ka raba da ${pm_mem_rel_in} (${pm_cash_share_in_amt}), a kan me kake ganin suka kashe kuɗin?</t>
  </si>
  <si>
    <t>Qu'il était plus sûr d'y voyager que ce à quoi je m'attendais</t>
  </si>
  <si>
    <t>Cewa ya fi tabbas bisa hanyar tafiya can fiye da yadda nake tsammani</t>
  </si>
  <si>
    <t>469. With the money you shared with ${pm_mem_rel_in} (${pm_cash_share_in_amt}), what do you think they spent it on?</t>
  </si>
  <si>
    <t>469. Avec l'argent que vous avez partagé avec ${pm_mem_rel_in} (${pm_cash_share_in_amt}), en quoi pensez-vous qu'ils l'ont dépensé ?</t>
  </si>
  <si>
    <t>469. Da kuɗin da ka raba da ${pm_mem_rel_in} (${pm_cash_share_in_amt}), a kan me kake ganin suka kashe kuɗin?</t>
  </si>
  <si>
    <t>pm_cash_shared_in_cat_o</t>
  </si>
  <si>
    <t>431. Other, specify:</t>
  </si>
  <si>
    <t>431. Autre précisez:</t>
  </si>
  <si>
    <t>431. Wani daban, baiyana:</t>
  </si>
  <si>
    <t>470. Other, specify:</t>
  </si>
  <si>
    <t>470. Autre précisez:</t>
  </si>
  <si>
    <t>470. Wani daban, baiyana:</t>
  </si>
  <si>
    <t>pm_cash_shared_in_exp</t>
  </si>
  <si>
    <t>That it was safer to live there than I expected</t>
  </si>
  <si>
    <t>Qu'il était plus sûr de vivre là-bas que ce à quoi je m'attendais</t>
  </si>
  <si>
    <t>Cewa ya fi tabbas zama a can fiye da yadda nake tsammani</t>
  </si>
  <si>
    <t>623. Specify improvement to land</t>
  </si>
  <si>
    <t>623. Précisez les améliorations de votre terre que vous avez fait</t>
  </si>
  <si>
    <t>623. Ku bayyana kuɗin da kuka kashe don haɓɓaka gonarku</t>
  </si>
  <si>
    <t>pm_cash_shared_in_exp_food</t>
  </si>
  <si>
    <t>432. Food</t>
  </si>
  <si>
    <t>432. Nourriture</t>
  </si>
  <si>
    <t>432. Abinci</t>
  </si>
  <si>
    <t>selected(${pm_crossed_border_how}, '-777')</t>
  </si>
  <si>
    <t>471. Food</t>
  </si>
  <si>
    <t>471. Nourriture</t>
  </si>
  <si>
    <t>471. Abinci</t>
  </si>
  <si>
    <t>pm_cash_shared_in_exp_hhcons</t>
  </si>
  <si>
    <t>433. Other household expenditure</t>
  </si>
  <si>
    <t>433. Autres dépenses des ménages</t>
  </si>
  <si>
    <t>433. Sauran kuɗaɗen gida</t>
  </si>
  <si>
    <t>472. Other household expenditure</t>
  </si>
  <si>
    <t>472. Autres dépenses des ménages</t>
  </si>
  <si>
    <t>472. Sauran kuɗaɗen gida</t>
  </si>
  <si>
    <t>pm_cash_shared_in_exp_invest</t>
  </si>
  <si>
    <t>434. Investments in agriculture and/or business</t>
  </si>
  <si>
    <t>434. Investissements dans l'agriculture et/ou les affaires</t>
  </si>
  <si>
    <t>434. Zuba jari a harkar noma da/ko kasuwanci</t>
  </si>
  <si>
    <t>473. Investments in agriculture and/or business</t>
  </si>
  <si>
    <t>473. Investissements dans l'agriculture et/ou les affaires</t>
  </si>
  <si>
    <t>473. Zuba jari a harkar noma da/ko kasuwanci</t>
  </si>
  <si>
    <t>pm_cash_shared_in_exp_savings</t>
  </si>
  <si>
    <t>435. Savings</t>
  </si>
  <si>
    <t>435. Épargne</t>
  </si>
  <si>
    <t>435. Ajiya</t>
  </si>
  <si>
    <t>474. Savings</t>
  </si>
  <si>
    <t>474. Épargne</t>
  </si>
  <si>
    <t>474. Ajiya</t>
  </si>
  <si>
    <t>pm_cash_shared_in_exp_debtpay</t>
  </si>
  <si>
    <t>436. Debt repayment</t>
  </si>
  <si>
    <t>436. Remboursement des dettes</t>
  </si>
  <si>
    <t>436. Biyan bashi</t>
  </si>
  <si>
    <t>475. Debt repayment</t>
  </si>
  <si>
    <t>ppm_info</t>
  </si>
  <si>
    <t>475. Remboursement des dettes</t>
  </si>
  <si>
    <t>475. Biyan bashi</t>
  </si>
  <si>
    <t>Told them where you wanted to move and why</t>
  </si>
  <si>
    <t>pm_cash_shared_in_exp_housingcost</t>
  </si>
  <si>
    <t>Je leur ai dit où tu voulais migrer et pourquoi</t>
  </si>
  <si>
    <t>437. Housing cost payments</t>
  </si>
  <si>
    <t>Na faɗa musu inda kuke son zuwa da me yasa</t>
  </si>
  <si>
    <t>437. Paiement des frais de logement</t>
  </si>
  <si>
    <t>437. Biyan kuɗin haya</t>
  </si>
  <si>
    <t>476. Housing cost payments</t>
  </si>
  <si>
    <t>476. Paiement des frais de logement</t>
  </si>
  <si>
    <t>476. Biyan kuɗin haya</t>
  </si>
  <si>
    <t>pm_cash_shared_in_exp_edu</t>
  </si>
  <si>
    <t>438. Education/Training payments</t>
  </si>
  <si>
    <t>438. Paiements pour études/formation</t>
  </si>
  <si>
    <t>438. Biyan kuɗi na ilimi / horo</t>
  </si>
  <si>
    <t>477. Education/Training payments</t>
  </si>
  <si>
    <t>477. Paiements pour études/formation</t>
  </si>
  <si>
    <t>Told them about the risks of migration</t>
  </si>
  <si>
    <t>477. Biyan kuɗi na ilimi / horo</t>
  </si>
  <si>
    <t>Je leur ai parlé des risques de la migration</t>
  </si>
  <si>
    <t>Na gaya musu illar zuwa biɗa</t>
  </si>
  <si>
    <t>pm_cash_shared_in_exp_health</t>
  </si>
  <si>
    <t>439. Health expenditures</t>
  </si>
  <si>
    <t>439. Dépenses de santé</t>
  </si>
  <si>
    <t>439. Kuɗin kiwon lafiya</t>
  </si>
  <si>
    <t>478. Health expenditures</t>
  </si>
  <si>
    <t>478. Dépenses de santé</t>
  </si>
  <si>
    <t>478. Kuɗin kiwon lafiya</t>
  </si>
  <si>
    <t>pm_cash_shared_in_exp_migcost</t>
  </si>
  <si>
    <t>440. Migration cost payments</t>
  </si>
  <si>
    <t>440. Paiement des frais de migration</t>
  </si>
  <si>
    <t>440. Kashe kuɗin zuwa biɗa</t>
  </si>
  <si>
    <t>479. Migration cost payments</t>
  </si>
  <si>
    <t>479. Paiement des frais de migration</t>
  </si>
  <si>
    <t>479. Kashe kuɗin zuwa biɗa</t>
  </si>
  <si>
    <t>pm_cash_shared_in_exp_ceremony</t>
  </si>
  <si>
    <t>Told them about how to find a job or housing</t>
  </si>
  <si>
    <t>441. Ceremonies</t>
  </si>
  <si>
    <t>Je leur ai expliqué comment trouver un emploi ou un logement</t>
  </si>
  <si>
    <t>441. Cérémonies</t>
  </si>
  <si>
    <t>441. Bukukuwa</t>
  </si>
  <si>
    <t>Na gaya musu yadda za su samu aiki ko gida</t>
  </si>
  <si>
    <t>480. Ceremonies</t>
  </si>
  <si>
    <t>480. Cérémonies</t>
  </si>
  <si>
    <t>480. Bukukuwa</t>
  </si>
  <si>
    <t>pm_cash_shared_in_exp_other</t>
  </si>
  <si>
    <t>442. Other</t>
  </si>
  <si>
    <t>442. Autres</t>
  </si>
  <si>
    <t>442. Wasu</t>
  </si>
  <si>
    <t>481. Other</t>
  </si>
  <si>
    <t>Told them about whether/how to talk with their families</t>
  </si>
  <si>
    <t>481. Autres</t>
  </si>
  <si>
    <t>481. Wasu</t>
  </si>
  <si>
    <t>Je leur ai demandé si/comment parler avec leur famille</t>
  </si>
  <si>
    <t>Na gaya musu yadda za su yi magana da ƴan gidan su</t>
  </si>
  <si>
    <t>571. We have discussed work done by members of your household in agriculture, in husbandry, in a business owned by your family.</t>
  </si>
  <si>
    <t>571. Nous avons discuté du travail effectué par les membres de votre ménage dans l'agriculture, l'élevage, dans une entreprise appartenant à votre famille.</t>
  </si>
  <si>
    <t>571. “Mun tattauna bisa ayyukan da ƴan gidanku suka yi a harakar noma da kiwo, kasuwancin da ƴan gidanku suka mallaka.</t>
  </si>
  <si>
    <t>pm_cash_shared_in_tot</t>
  </si>
  <si>
    <t>selected(${pm_show_docs_border}, '1')</t>
  </si>
  <si>
    <t>Told them how to prepare to migrate</t>
  </si>
  <si>
    <t>Je leur ai dit comment se préparer à migrer</t>
  </si>
  <si>
    <t>Na gaya musu yadda ake shiriya zuwa biɗa</t>
  </si>
  <si>
    <t>pm_cash_shared_in_constraint</t>
  </si>
  <si>
    <t>443. ENUMERATOR: The total amount spent on the above categories (${pm_cash_shared_in_tot}CFA) is not equal to the amount the respondent shared (${pm_cash_share_in_amt}CFA). Please return and correct responses.</t>
  </si>
  <si>
    <t>443. ENQUÊTEUR : Le montant total dépensé pour les catégories ci-dessus (${pm_cash_shared_in_tot}CFA) n'est pas égal au montant annoncé par le répondant (${pm_cash_share_in_amt}CFA). Veuillez revenir et corriger les réponses.</t>
  </si>
  <si>
    <t>443. Mai bincike: Jimillar kuɗin da aka kashe akan waɗannan nau'ikan da ke sama (${pm_cash_shared_in_tot}CFA) bai kai yawan wanda mai amsa ya bayar ba (${pm_cash_share_in_amt}CFA). Da fatan za a dawo a gyara amsoshin.</t>
  </si>
  <si>
    <t>482. ENUMERATOR: The total amount spent on the above categories (${pm_cash_shared_in_tot}CFA) is not equal to the amount the respondent shared (${pm_cash_share_in_amt}CFA). Please return and correct responses.</t>
  </si>
  <si>
    <t>482. ENQUÊTEUR : Le montant total dépensé pour les catégories ci-dessus (${pm_cash_shared_in_tot}CFA) n'est pas égal au montant annoncé par le répondant (${pm_cash_share_in_amt}CFA). Veuillez revenir et corriger les réponses.</t>
  </si>
  <si>
    <t>482. Mai bincike: Jimillar kuɗin da aka kashe akan waɗannan nau'ikan da ke sama (${pm_cash_shared_in_tot}CFA) bai kai yawan wanda mai amsa ya bayar ba (${pm_cash_share_in_amt}CFA). Da fatan za a dawo a gyara amsoshin.</t>
  </si>
  <si>
    <t>Told them you received cash to facilitate your migration process</t>
  </si>
  <si>
    <t>Je leur ai dit que vous aviez reçu de l'argent pour faciliter votre processus de migration</t>
  </si>
  <si>
    <t>Na faɗa musu cewa kun karɓi kuɗi don sauƙaƙe tsarin zuwa biɗa</t>
  </si>
  <si>
    <t>${pm_docs_border} = -777</t>
  </si>
  <si>
    <t>pm_cash_share_in_tot</t>
  </si>
  <si>
    <t>630. During ${period}, was your household negatively affected by any of the following types of events?</t>
  </si>
  <si>
    <t>630. Au cours de ${period_french}, votre ménage a-t-il été affecté négativement par l'un des types d'événements suivants ?</t>
  </si>
  <si>
    <t>630. A lokacin ${period_hausa}, ko gidanku ya fuskanci wani daga cikin matsaloli nan masu zuwa? Zaɓi duk abin da ya dace</t>
  </si>
  <si>
    <t>pm_cash_share_out_tot</t>
  </si>
  <si>
    <t>572. In the past three months, did ${hoh_member_act_name} earn money from any other activity?</t>
  </si>
  <si>
    <t>572. Au cours des trois derniers mois, ${hoh_member_act_name} a-t-il gagné de l'argent grâce à une autre activité ?</t>
  </si>
  <si>
    <t>572. A cikin watanni uku da suka gabata, ${hoh_member_act_name} ya samu kuɗi daga yin wani aiki?</t>
  </si>
  <si>
    <t>pm_cash_share_amt</t>
  </si>
  <si>
    <t>pm_cash_resid</t>
  </si>
  <si>
    <t>discuss_mig_who</t>
  </si>
  <si>
    <t>No one</t>
  </si>
  <si>
    <t>pm_cash_share_over</t>
  </si>
  <si>
    <t>444. You mentioned that you shared ${pm_cash_share_amt}, which is greater than the amount you received (${pm_cash_amt}). Please reassess your responses.</t>
  </si>
  <si>
    <t>Personne</t>
  </si>
  <si>
    <t>444. Vous avez mentionné que vous aviez partagé ${pm_cash_share_amt}, ce qui est supérieur au montant que vous avez gardé pour vous (${pm_cash_amt}). Veuillez revoir vos réponses.</t>
  </si>
  <si>
    <t>444. Kun ambaci cewa kun raba ${pm_cash_share_amt}, wanda ya fi yawan kuɗin da kuka ajiye don kanku (${pm_cash_amt}). Da fatan za ku sake duba amsarku.</t>
  </si>
  <si>
    <t>Babu kowa</t>
  </si>
  <si>
    <t>483. You mentioned that you shared ${pm_cash_share_amt}, which is greater than the amount you received (${pm_cash_amt}). Please reassess your responses.</t>
  </si>
  <si>
    <t>483. Vous avez mentionné que vous aviez partagé ${pm_cash_share_amt}, ce qui est supérieur au montant que vous avez gardé pour vous (${pm_cash_amt}). Veuillez revoir vos réponses.</t>
  </si>
  <si>
    <t>483. Kun ambaci cewa kun raba ${pm_cash_share_amt}, wanda ya fi yawan kuɗin da kuka ajiye don kanku (${pm_cash_amt}). Da fatan za ku sake duba amsarku.</t>
  </si>
  <si>
    <t>speedcheck_pm_cashsharein_end</t>
  </si>
  <si>
    <t>575. How much does ${hoh_member_act_name} earn from this activity during an average week (that they are engaged in ${hoh_member_other_activity_name})?</t>
  </si>
  <si>
    <t>575. Combien ${hoh_member_act_name} gagne-t-il grâce à cette activité au cours d'une semaine en moyenne (pendant laquelle il est engagé comme ${hoh_member_other_activity_name}) ?</t>
  </si>
  <si>
    <t>575. A takaice nawa ${hoh_member_act_name} yake samu daga wannan aiki a cikin sati (a lokacin da suke cikin aikin ${hoh_member_other_activity_name})?</t>
  </si>
  <si>
    <t>dur_pm_cashsharein</t>
  </si>
  <si>
    <t>Wasu dangi</t>
  </si>
  <si>
    <t>pm_cash_resid_exp</t>
  </si>
  <si>
    <t>Close friends or neighbors</t>
  </si>
  <si>
    <t>Amis proches ou voisins</t>
  </si>
  <si>
    <t>Abokai na kusa ko makwabta</t>
  </si>
  <si>
    <t>speedcheck_pm_cashresid_start</t>
  </si>
  <si>
    <t>634. Borrow money?</t>
  </si>
  <si>
    <t>634. Emprunter de l'argent</t>
  </si>
  <si>
    <t>Enumerator: Do not include costs related to crossing border in this total.</t>
  </si>
  <si>
    <t>634. Bashin kuɗi</t>
  </si>
  <si>
    <t>Enquêteur : Ne pas inclure les coûts liés au passage de la frontière dans ce total.</t>
  </si>
  <si>
    <t>Ɗan bincike: Kar a haɗa da kuɗin da ke da alaƙa da ketare iyaka a cikin wannan jimlar.</t>
  </si>
  <si>
    <t>pm_cash_resid_note</t>
  </si>
  <si>
    <t>445. With the money you kept for yourself (${pm_cash_resid}), how much did you use for each of the following:</t>
  </si>
  <si>
    <t>445. Avec l'argent que vous avez gardé pour vous (${pm_cash_resid}) , combien avez-vous utilisé pour chacun des éléments suivants:</t>
  </si>
  <si>
    <t>445. Game da Kuɗin da kuka ajiye wa kanku (${pm_cash_resid}), nawa kuka yi amfani kan kowane ɗayan cikin abubuwa nan masu zuwa:</t>
  </si>
  <si>
    <t>Others in village</t>
  </si>
  <si>
    <t>D'autres personnes dans le village</t>
  </si>
  <si>
    <t>484. With the money you kept for yourself (${pm_cash_resid}), how much did you use for each of the following:</t>
  </si>
  <si>
    <t>Wasu mutane a gari</t>
  </si>
  <si>
    <t>484. Avec l'argent que vous avez gardé pour vous (${pm_cash_resid}) , combien avez-vous utilisé pour chacun des éléments suivants:</t>
  </si>
  <si>
    <t>484. Game da Kuɗin da kuka ajiye wa kanku (${pm_cash_resid}), nawa kuka yi amfani kan kowane ɗayan cikin abubuwa nan masu zuwa:</t>
  </si>
  <si>
    <t>pm_cash_resid_exp_food</t>
  </si>
  <si>
    <t>446. Food</t>
  </si>
  <si>
    <t>446. Nourriture</t>
  </si>
  <si>
    <t>446. Abinci</t>
  </si>
  <si>
    <t>485. Food</t>
  </si>
  <si>
    <t>485. Nourriture</t>
  </si>
  <si>
    <t>485. Abinci</t>
  </si>
  <si>
    <t>pm_cash_resid_exp_hhcons</t>
  </si>
  <si>
    <t>447. Other household expenditure</t>
  </si>
  <si>
    <t>447. Autres dépenses des ménages</t>
  </si>
  <si>
    <t>447. Sauran kuɗaɗen gida</t>
  </si>
  <si>
    <t>486. Other household expenditure</t>
  </si>
  <si>
    <t>486. Autres dépenses des ménages</t>
  </si>
  <si>
    <t>486. Sauran kuɗaɗen gida</t>
  </si>
  <si>
    <t>Masu garuruwa</t>
  </si>
  <si>
    <t>pm_cash_resid_exp_invest</t>
  </si>
  <si>
    <t>448. Investments in agriculture and/or business</t>
  </si>
  <si>
    <t>448. Investissements dans l'agriculture et/ou les affaires</t>
  </si>
  <si>
    <t>448. Zuba jari a harkar noma da/ko kasuwanci</t>
  </si>
  <si>
    <t>487. Investments in agriculture and/or business</t>
  </si>
  <si>
    <t>487. Investissements dans l'agriculture et/ou les affaires</t>
  </si>
  <si>
    <t>487. Zuba jari a harkar noma da/ko kasuwanci</t>
  </si>
  <si>
    <t>pm_cash_resid_exp_savings</t>
  </si>
  <si>
    <t>449. Savings</t>
  </si>
  <si>
    <t>449. Épargne</t>
  </si>
  <si>
    <t>449. Ajiya</t>
  </si>
  <si>
    <t>NGO</t>
  </si>
  <si>
    <t>488. Savings</t>
  </si>
  <si>
    <t>488. Épargne</t>
  </si>
  <si>
    <t>ONG</t>
  </si>
  <si>
    <t>488. Ajiya</t>
  </si>
  <si>
    <t>Ƙungiya mai zaman kanta</t>
  </si>
  <si>
    <t>pm_cash_resid_exp_debtpay</t>
  </si>
  <si>
    <t>450. Debt repayment</t>
  </si>
  <si>
    <t>450. Remboursement des dettes</t>
  </si>
  <si>
    <t>450. Biyan bashi</t>
  </si>
  <si>
    <t>489. Debt repayment</t>
  </si>
  <si>
    <t>489. Remboursement des dettes</t>
  </si>
  <si>
    <t>489. Biyan bashi</t>
  </si>
  <si>
    <t>pm_cash_resid_exp_housingcost</t>
  </si>
  <si>
    <t>451. Housing cost payments</t>
  </si>
  <si>
    <t>451. Paiement des frais de logement</t>
  </si>
  <si>
    <t>451. Biyan kuɗin haya</t>
  </si>
  <si>
    <t>490. Housing cost payments</t>
  </si>
  <si>
    <t>490. Paiement des frais de logement</t>
  </si>
  <si>
    <t>490. Biyan kuɗin haya</t>
  </si>
  <si>
    <t>pm_cash_resid_exp_edu</t>
  </si>
  <si>
    <t>452. Education/Training payments</t>
  </si>
  <si>
    <t>452. Paiements pour études/formation</t>
  </si>
  <si>
    <t>452. Biyan kuɗi na ilimi / horo</t>
  </si>
  <si>
    <t>491. Education/Training payments</t>
  </si>
  <si>
    <t>491. Paiements pour études/formation</t>
  </si>
  <si>
    <t>491. Biyan kuɗi na ilimi / horo</t>
  </si>
  <si>
    <t>pm_cash_resid_exp_health</t>
  </si>
  <si>
    <t>453. Health expenditures</t>
  </si>
  <si>
    <t>453. Dépenses de santé</t>
  </si>
  <si>
    <t>453. Kuɗin kiwon lafiya</t>
  </si>
  <si>
    <t>492. Health expenditures</t>
  </si>
  <si>
    <t>492. Dépenses de santé</t>
  </si>
  <si>
    <t>492. Kuɗin kiwon lafiya</t>
  </si>
  <si>
    <t>pm_cash_resid_exp_migcost</t>
  </si>
  <si>
    <t>454. Migration cost payments</t>
  </si>
  <si>
    <t>454. Paiement des frais de migration</t>
  </si>
  <si>
    <t>454. Kashe kuɗin zuwa biɗa</t>
  </si>
  <si>
    <t>493. Migration cost payments</t>
  </si>
  <si>
    <t>493. Paiement des frais de migration</t>
  </si>
  <si>
    <t>493. Kashe kuɗin zuwa biɗa</t>
  </si>
  <si>
    <t>pm_cash_resid_exp_ceremony</t>
  </si>
  <si>
    <t>455. Ceremonies</t>
  </si>
  <si>
    <t>455. Cérémonies</t>
  </si>
  <si>
    <t>455. Bukukuwa</t>
  </si>
  <si>
    <t>494. Ceremonies</t>
  </si>
  <si>
    <t>494. Cérémonies</t>
  </si>
  <si>
    <t>494. Bukukuwa</t>
  </si>
  <si>
    <t>pm_cash_resid_exp_other</t>
  </si>
  <si>
    <t>456. Other</t>
  </si>
  <si>
    <t>456. Autres</t>
  </si>
  <si>
    <t>456. Wasu daban</t>
  </si>
  <si>
    <t>495. Other</t>
  </si>
  <si>
    <t>495. Autres</t>
  </si>
  <si>
    <t>495. Wasu daban</t>
  </si>
  <si>
    <t>discuss_mig_info</t>
  </si>
  <si>
    <t>About your or their own personal experiences with migration</t>
  </si>
  <si>
    <t>585. Specify other transfer method</t>
  </si>
  <si>
    <t>À propos de votre ou de leurs propres expériences personnelles en matière de migration</t>
  </si>
  <si>
    <t>585. Précisez la méthode du transfert</t>
  </si>
  <si>
    <t>585. Wani daban a Bayyana</t>
  </si>
  <si>
    <t>Game da ƙwarewarka ko nasu game da zuwa biɗa</t>
  </si>
  <si>
    <t>pm_cash_resid_use</t>
  </si>
  <si>
    <t>586. In the past three months, have you or anyone in your household received money from someone who is not a member of your household and who lives in a foreign country (outside of Niger)?</t>
  </si>
  <si>
    <t>586. Au cours des trois derniers mois, vous ou un membre de votre ménage avez-vous reçu &lt;b&gt;de l'argent&lt;/b&gt; d'une personne qui n'est pas membre de votre ménage et qui habite &lt;b&gt;à l'extérieur du Niger&lt;/b&gt; (dans un autre pays)?</t>
  </si>
  <si>
    <t>586. A cikin watanni uku da suka wuce, kai ko dan gidanku kun samu kuɗi daga wanda ba dan gidanku ba da ke zaune a ƙetaren Nijar (a wata kasa)?</t>
  </si>
  <si>
    <t>pm_cash_resid_exp_o</t>
  </si>
  <si>
    <t>457. You spent ${pm_cash_resid_exp_other} CFA on "other" categories. Please describe them:</t>
  </si>
  <si>
    <t>496. You spent ${pm_cash_resid_exp_other} CFA on "other" categories. Please describe them:</t>
  </si>
  <si>
    <t>pm_cash_resid_over</t>
  </si>
  <si>
    <t>458. You mentioned that you spent ${pm_cash_resid_use}, which is greater than the amount you kept for yourself (${pm_cash_resid}). Please reassess your responses.</t>
  </si>
  <si>
    <t>458. Vous avez mentionné que vous aviez partagé ${pm_cash_resid_use}, ce qui est supérieur au montant que vous avez gardé pour vous (${pm_cash_resid}). Veuillez revoir vos réponses.</t>
  </si>
  <si>
    <t>About other peoples’ experiences with migration</t>
  </si>
  <si>
    <t>458. Kun ambaci cewa kun raba ${pm_cash_resid_use}, wanda ya fi yawan kuɗin da kuka ajiye don kanku (${pm_cash_resid}). Da fatan za ku sake duba amsarku.</t>
  </si>
  <si>
    <t>À propos des expériences d’autres personnes en matière de migration</t>
  </si>
  <si>
    <t>Game da ƙwarewar wasu mutane bisa zuwa biɗa</t>
  </si>
  <si>
    <t>497. You mentioned that you spent ${pm_cash_resid_use}, which is greater than the amount you kept for yourself (${pm_cash_resid}). Please reassess your responses.</t>
  </si>
  <si>
    <t>497. Vous avez mentionné que vous aviez partagé ${pm_cash_resid_use}, ce qui est supérieur au montant que vous avez gardé pour vous (${pm_cash_resid}). Veuillez revoir vos réponses.</t>
  </si>
  <si>
    <t>497. Kun ambaci cewa kun raba ${pm_cash_resid_use}, wanda ya fi yawan kuɗin da kuka ajiye don kanku (${pm_cash_resid}). Da fatan za ku sake duba amsarku.</t>
  </si>
  <si>
    <t>speedcheck_pm_cashresid_end</t>
  </si>
  <si>
    <t>589. Specify other transfer method</t>
  </si>
  <si>
    <t>589. Précisez la méthode du transfert</t>
  </si>
  <si>
    <t>589. Wani daban a Bayyana</t>
  </si>
  <si>
    <t>dur_pm_cashresid</t>
  </si>
  <si>
    <t>About stories they heard on the radio/whatsapp</t>
  </si>
  <si>
    <t>À propos des histoires qu'ils ont entendues à la radio/Whatsapp</t>
  </si>
  <si>
    <t>Game da labaran da suka ji a rediyo/whatsapp</t>
  </si>
  <si>
    <t>590. In the past three months, have you or anyone in your household received goods (payment in kind) from someone who is not a member of your household and who lives in a foreign country (outside of Niger)?</t>
  </si>
  <si>
    <t>590. Au cours des trois derniers mois, vous ou un membre de votre ménage avez reçu &lt;b&gt;des biens&lt;/b&gt; (paiement en nature) d'une personne qui n'est pas membre de votre ménage et qui habite &lt;b&gt;à l'extérieur du Niger&lt;/b&gt; (dans un autre pays)?</t>
  </si>
  <si>
    <t>590. A cikin wata uku da suka wuce, kai ko wani a cikin gidanku an baku wasu kaya (a matsayin biya) daga wani wanda ba ɗan gidanku ba da ke zaune a ƙetaren Nijar (a wata kasa)?</t>
  </si>
  <si>
    <t>pm_cash_new_exp_ind</t>
  </si>
  <si>
    <t>459. Did the assistance you received from Mercy Corps allow you to spend money on something you normally would not have spent money on?</t>
  </si>
  <si>
    <t>459. L'assistance que vous avez reçue du Mercy Corps vous a permis de dépenser de l'argent pour quelque chose sur lequel vous n'auriez normalement pas dépensé de l'argent?</t>
  </si>
  <si>
    <t>459. Ko taimakon da kuka samu daga Mercy Corps ya baku damar kashe kuɗi a kan abinda baku yi niyyar kashe kudi ba?</t>
  </si>
  <si>
    <t>498. Did the assistance you received from Mercy Corps allow you to spend money on something you normally would not have spent money on?</t>
  </si>
  <si>
    <t>498. L'assistance que vous avez reçue du Mercy Corps vous a permis de dépenser de l'argent pour quelque chose sur lequel vous n'auriez normalement pas dépensé de l'argent?</t>
  </si>
  <si>
    <t>498. Ko taimakon da kuka samu daga Mercy Corps ya baku damar kashe kuɗi a kan abinda baku yi niyyar kashe kudi ba?</t>
  </si>
  <si>
    <t>pm_cash_new_exp</t>
  </si>
  <si>
    <t>460. What did it allow you to spend money on?</t>
  </si>
  <si>
    <t>460. Sur quoi vous a-t-il permis de dépenser de l'argent?</t>
  </si>
  <si>
    <t>460. A kan me ya ba ku damar kashe kuɗi?</t>
  </si>
  <si>
    <t>499. What did it allow you to spend money on?</t>
  </si>
  <si>
    <t>499. Sur quoi vous a-t-il permis de dépenser de l'argent?</t>
  </si>
  <si>
    <t>499. A kan me ya ba ku damar kashe kuɗi?</t>
  </si>
  <si>
    <t>select_one cash_decision_mem</t>
  </si>
  <si>
    <t>pm_cash_decision_mem</t>
  </si>
  <si>
    <t>About information they heard from an NGO or in a training</t>
  </si>
  <si>
    <t>À propos des informations qu'ils ont entendues d'une ONG ou lors d'une formation</t>
  </si>
  <si>
    <t>461. Who makes the decisions in your home specifically about the use of the cash transfer?</t>
  </si>
  <si>
    <t>461. Qui prend les décisions dans votre maison spécifiquement sur l'utilisation du transfert en espèces?</t>
  </si>
  <si>
    <t>Game da bayanin da suka ji daga wata kungiya mai zaman kanta ko a cikin horo</t>
  </si>
  <si>
    <t>461. You spent ${pm_cash_resid_exp_other} CFA on "other" categories. Please describe them:</t>
  </si>
  <si>
    <t>500. Who makes the decisions in your home specifically about the use of the cash transfer?</t>
  </si>
  <si>
    <t>500. Qui prend les décisions dans votre maison spécifiquement sur l'utilisation du transfert en espèces?</t>
  </si>
  <si>
    <t>500. You spent ${pm_cash_resid_exp_other} CFA on "other" categories. Please describe them:</t>
  </si>
  <si>
    <t>speedcheck_pm_cash_end</t>
  </si>
  <si>
    <t>dur_pm_cash</t>
  </si>
  <si>
    <t>${pm_travel_phys_attacked} = 1 or ${pm_travel_phys_threat} = 1 or ${pm_travel_theft} = 1 or ${pm_travel_arrest} = 1</t>
  </si>
  <si>
    <t>ppm_know_who</t>
  </si>
  <si>
    <t>Doesn’t know anyone who participated</t>
  </si>
  <si>
    <t>Ne connaît personne qui a participé</t>
  </si>
  <si>
    <t>Bai san kowa wanda ya halarta ba</t>
  </si>
  <si>
    <t>speedcheck_pm_end</t>
  </si>
  <si>
    <t>Participant lives in your household (including yourself)</t>
  </si>
  <si>
    <t>Le participant vit dans votre menage (y compris vous-même)</t>
  </si>
  <si>
    <t>Mahalarci yana zaune a gidanku (ciki har da kanku)</t>
  </si>
  <si>
    <t>dur_pm</t>
  </si>
  <si>
    <t>Participant is in your family BUT does not live in your household</t>
  </si>
  <si>
    <t>Le participant fait partie de votre famille MAIS ne vit pas dans votre menage</t>
  </si>
  <si>
    <t>Mahalarcin ɗan gidan ku ne AMMA baya zaune a gidan ku</t>
  </si>
  <si>
    <t>If they refuse, enter -888</t>
  </si>
  <si>
    <t>S'il refuse, entrez -888</t>
  </si>
  <si>
    <t>Idan ya ƙiya, shigar da -888</t>
  </si>
  <si>
    <t>${pm_travel_phys_attacked} = 1</t>
  </si>
  <si>
    <t>speedcheck_hoh_start</t>
  </si>
  <si>
    <t>Participant is a neighbor or close friend that you speak with regularly (i.e., almost every week)</t>
  </si>
  <si>
    <t>Le participant est un voisin ou un ami proche avec qui vous parlez régulièrement (c'est-à-dire presque chaque semaine)</t>
  </si>
  <si>
    <t>Mahalarcin maƙwabci ne ko aboki na kud da kud wanda kuke magana da shi kai-akai (watau kusan kowane mako)</t>
  </si>
  <si>
    <t>hoh_questions</t>
  </si>
  <si>
    <t>HoH Questionnaire</t>
  </si>
  <si>
    <t>hoh_note</t>
  </si>
  <si>
    <t>462. HoH Questions</t>
  </si>
  <si>
    <t>${pm_travel_phys_threat} = 1</t>
  </si>
  <si>
    <t>Participant is someone you know but you do not speak with regularly</t>
  </si>
  <si>
    <t>501. HoH Questions</t>
  </si>
  <si>
    <t>Le participant est quelqu'un que vous connaissez mais avec qui vous ne parlez pas régulièrement</t>
  </si>
  <si>
    <t>Mahalarcin wani wanda kuka sani ne amma ba ku yin magana da shi kai-akai</t>
  </si>
  <si>
    <t>speedcheck_hoh_rosternew_start</t>
  </si>
  <si>
    <t>605. Specify other transfer method</t>
  </si>
  <si>
    <t>605. Precisez la methode du transfert</t>
  </si>
  <si>
    <t>605. Wani daban a Bayyana</t>
  </si>
  <si>
    <t>hoh_definition_note</t>
  </si>
  <si>
    <t>463. A household is a group of people, related or unrelated, who live together in the same housing, pool their resources together, share their meals and recognize the authority of the same one person who is the head of household.</t>
  </si>
  <si>
    <t>463. Un ménage est l’ensemble des personnes apparentées ou non qui vivent habituellement dans un même logement, mettent en commun leurs ressources, partagent leurs repas, et reconnaissent l’autorité d’une seule et même personne appelée chef de ménage.</t>
  </si>
  <si>
    <t>463. Gida shine mutanen da ko dangi ko a'a wanda suke rayuwa cikin gida guda, sun sa dukiyar su tare, suna cin abinci tare, kuma sun yarda da shugabancin mutum ɗaya wanda a ke ce ma mai gida.</t>
  </si>
  <si>
    <t>502. A household is a group of people, related or unrelated, who live together in the same housing, pool their resources together, share their meals and recognize the authority of the same one person who is the head of household.</t>
  </si>
  <si>
    <t>502. Un ménage est l’ensemble des personnes apparentées ou non qui vivent habituellement dans un même logement, mettent en commun leurs ressources, partagent leurs repas, et reconnaissent l’autorité d’une seule et même personne appelée chef de ménage.</t>
  </si>
  <si>
    <t>502. Gida shine mutanen da ko dangi ko a'a wanda suke rayuwa cikin gida guda, sun sa dukiyar su tare, suna cin abinci tare, kuma sun yarda da shugabancin mutum ɗaya wanda a ke ce ma mai gida.</t>
  </si>
  <si>
    <t>hoh_new_hh_mems</t>
  </si>
  <si>
    <t>464. Are there new members in the household since we last spoke to you? For reference, these are the members you mentioned:
 ${hoh_roster_list}</t>
  </si>
  <si>
    <t>464. Y a-t-il de nouveaux membres dans le foyer depuis notre dernière conversation ? Pour référence, voici les membres que vous avez mentionnés : 
 ${hoh_roster_list}</t>
  </si>
  <si>
    <t>464. Shin akwai sabbin membobi a gidan tun hirar mu ta ƙarshe? Don tunatarwa, waɗannan su ne membobin da ka ambata: 
 ${hoh_roster_list}</t>
  </si>
  <si>
    <t>${pm_travel_theft} = 1</t>
  </si>
  <si>
    <t>503. Are there new members in the household since we last spoke to you? For reference, these are the members you mentioned:
 ${hoh_roster_list}</t>
  </si>
  <si>
    <t>503. Y a-t-il de nouveaux membres dans le foyer depuis notre dernière conversation ? Pour référence, voici les membres que vous avez mentionnés : 
 ${hoh_roster_list}</t>
  </si>
  <si>
    <t>503. Shin akwai sabbin membobi a gidan tun hirar mu ta ƙarshe? Don tunatarwa, waɗannan su ne membobin da ka ambata: 
 ${hoh_roster_list}</t>
  </si>
  <si>
    <t>hoh_new_hh_mems_num</t>
  </si>
  <si>
    <t>465. How many?</t>
  </si>
  <si>
    <t>465. Combien?</t>
  </si>
  <si>
    <t>465. Nawa?</t>
  </si>
  <si>
    <t>504. How many?</t>
  </si>
  <si>
    <t>504. Combien?</t>
  </si>
  <si>
    <t>504. Nawa?</t>
  </si>
  <si>
    <t>hoh_roster_new</t>
  </si>
  <si>
    <t>Add new members to existing roster</t>
  </si>
  <si>
    <t>potential_spouse</t>
  </si>
  <si>
    <t>609. Specify other transfer method</t>
  </si>
  <si>
    <t>609. Precisez la methode du transfert</t>
  </si>
  <si>
    <t>609. Wani daban a Bayyana</t>
  </si>
  <si>
    <t>${pm_spouse_name1} (age: ${pm_spouse_age1})</t>
  </si>
  <si>
    <t>${pm_spouse_name1} (âge: ${pm_spouse_age1})</t>
  </si>
  <si>
    <t>hoh_hhindex</t>
  </si>
  <si>
    <t>${pm_spouse_name1} (shekaru: ${pm_spouse_age1})</t>
  </si>
  <si>
    <t>Index</t>
  </si>
  <si>
    <t>610. In the past three months, have you received support from any of the following sources?</t>
  </si>
  <si>
    <t>${pm_travel_arrest} = 1</t>
  </si>
  <si>
    <t>610. Au cours des trois derniers mois, avez-vous reçu de l'aide de l'une des sources suivantes ?</t>
  </si>
  <si>
    <t>610. A cikin watanni uku da suka wuce, kun samu taimako daga ɗayan waɗannan hanyoyin?</t>
  </si>
  <si>
    <t>hoh_hhtext</t>
  </si>
  <si>
    <t>611. How much did ou receive from all the sources combined?</t>
  </si>
  <si>
    <t>611. Combien avez-vous reçu de toutes les sources confondues ?</t>
  </si>
  <si>
    <t>611. Nawa kuka samu daga duk hanyoyin shiga gaba ɗayan su?</t>
  </si>
  <si>
    <t>${pm_spouse_name2} (age: ${pm_spouse_age2})</t>
  </si>
  <si>
    <t>${pm_spouse_name2} (âge: ${pm_spouse_age2})</t>
  </si>
  <si>
    <t>${pm_spouse_name2} (shekaru: ${pm_spouse_age2})</t>
  </si>
  <si>
    <t>hoh_hhtextfrench</t>
  </si>
  <si>
    <t>612. In addition to the transfers we just discussed, what is the total value of income from charity or gifts your household has received &lt;b&gt;in the past three months&lt;/b&gt; in CFA?</t>
  </si>
  <si>
    <t>612. En dehors des transferts qu'on vient de citer, quelle est la valeur totale des revenus provenant d'œuvres caritatives ou de cadeaux que votre ménage a reçus &lt;b&gt; au cours des trois derniers mois&lt;/b&gt; (en CFA) ?</t>
  </si>
  <si>
    <t>612. Nawa ne yawan kuɗin taimako ko kyauta da ƴan gidanku suka samu a cikin watanni uku da suka gabata (a sefa) ?</t>
  </si>
  <si>
    <t>hoh_hhtexthausa</t>
  </si>
  <si>
    <t>${pm_spouse_name3} (age: ${pm_spouse_age3})</t>
  </si>
  <si>
    <t>${pm_spouse_name3} (âge: ${pm_spouse_age3})</t>
  </si>
  <si>
    <t>${pm_spouse_name3} (shekaru: ${pm_spouse_age3})</t>
  </si>
  <si>
    <t>hoh_hhname</t>
  </si>
  <si>
    <t>Name</t>
  </si>
  <si>
    <t>${pm_spouse_name4} (age: ${pm_spouse_age4})</t>
  </si>
  <si>
    <t>${pm_spouse_name4} (âge: ${pm_spouse_age4})</t>
  </si>
  <si>
    <t>${pm_spouse_name4} (shekaru: ${pm_spouse_age4})</t>
  </si>
  <si>
    <t>hoh_new_mem_name_last</t>
  </si>
  <si>
    <t>466. What is the last name of ${hoh_hhtext}?</t>
  </si>
  <si>
    <t>466. Quel est le nom de ${hoh_hhtextfrench} ?</t>
  </si>
  <si>
    <t>466. Menene sunan uban ${hoh_hhtexthausa}?</t>
  </si>
  <si>
    <t>505. What is the last name of ${hoh_hhtext}?</t>
  </si>
  <si>
    <t>505. Quel est le nom de ${hoh_hhtextfrench} ?</t>
  </si>
  <si>
    <t>505. Menene sunan uban ${hoh_hhtexthausa}?</t>
  </si>
  <si>
    <t>hoh_new_mem_name_first</t>
  </si>
  <si>
    <t>467. What is the first name of ${hoh_hhtext}?</t>
  </si>
  <si>
    <t>467. Quel est le prenom de cette personne ${hoh_hhtextfrench} ?</t>
  </si>
  <si>
    <t>${pm_spouse_name5} (age: ${pm_spouse_age5})</t>
  </si>
  <si>
    <t>467. Menene sunan ${hoh_hhtexthausa}?</t>
  </si>
  <si>
    <t>${pm_spouse_name5} (âge: ${pm_spouse_age5})</t>
  </si>
  <si>
    <t>${pm_spouse_name5} (shekaru: ${pm_spouse_age5})</t>
  </si>
  <si>
    <t>506. What is the first name of ${hoh_hhtext}?</t>
  </si>
  <si>
    <t>506. Quel est le prenom de cette personne ${hoh_hhtextfrench} ?</t>
  </si>
  <si>
    <t>506. Menene sunan ${hoh_hhtexthausa}?</t>
  </si>
  <si>
    <t>hoh_new_mem_name</t>
  </si>
  <si>
    <t>${pm_spouse_name6} (age: ${pm_spouse_age6})</t>
  </si>
  <si>
    <t>${pm_spouse_name6} (âge: ${pm_spouse_age6})</t>
  </si>
  <si>
    <t>${pm_spouse_name6} (shekaru: ${pm_spouse_age6})</t>
  </si>
  <si>
    <t>select_one relation</t>
  </si>
  <si>
    <t>hoh_new_mem_relation</t>
  </si>
  <si>
    <t>468. What is ${hoh_new_mem_name}'s relationship to you, the household head?</t>
  </si>
  <si>
    <t>468. Quelle est la relation entre ${hoh_new_mem_name} et vous, le chef de ménage ?</t>
  </si>
  <si>
    <t>468. Menene alaƙa tsakanin ${hoh_new_mem_name} da, mai gida?</t>
  </si>
  <si>
    <t>${pm_spouse_name7} (age: ${pm_spouse_age7})</t>
  </si>
  <si>
    <t>${pm_spouse_name7} (âge: ${pm_spouse_age7})</t>
  </si>
  <si>
    <t>${pm_spouse_name7} (shekaru: ${pm_spouse_age7})</t>
  </si>
  <si>
    <t>507. What is ${hoh_new_mem_name}'s relationship to you, the household head?</t>
  </si>
  <si>
    <t>507. Quelle est la relation entre ${hoh_new_mem_name} et vous, le chef de ménage ?</t>
  </si>
  <si>
    <t>507. Menene alaƙa tsakanin ${hoh_new_mem_name} da, mai gida?</t>
  </si>
  <si>
    <t>select_one sex</t>
  </si>
  <si>
    <t>hoh_new_mem_sex</t>
  </si>
  <si>
    <t>469. What is ${hoh_new_mem_name}'s sex?</t>
  </si>
  <si>
    <t>469. Quel est le sexe de ${hoh_new_mem_name} ?</t>
  </si>
  <si>
    <t>469. Menene jinsin ${hoh_new_mem_name}?</t>
  </si>
  <si>
    <t>508. What is ${hoh_new_mem_name}'s sex?</t>
  </si>
  <si>
    <t>508. Quel est le sexe de ${hoh_new_mem_name} ?</t>
  </si>
  <si>
    <t>508. Menene jinsin ${hoh_new_mem_name}?</t>
  </si>
  <si>
    <t>hoh_new_mem_age</t>
  </si>
  <si>
    <t>${pm_spouse_name8} (age: ${pm_spouse_age8})</t>
  </si>
  <si>
    <t>470. What is ${hoh_new_mem_name}'s age?</t>
  </si>
  <si>
    <t>${pm_spouse_name8} (âge: ${pm_spouse_age8})</t>
  </si>
  <si>
    <t>470. Quel âge a ${hoh_new_mem_name} ?</t>
  </si>
  <si>
    <t>${speedcheck_pm_transit_end} - ${speedcheck_pm_transit_start}</t>
  </si>
  <si>
    <t>${pm_spouse_name8} (shekaru: ${pm_spouse_age8})</t>
  </si>
  <si>
    <t>470. ${hoh_new_mem_name} Shekarun shi/ta nawa?</t>
  </si>
  <si>
    <t>509. What is ${hoh_new_mem_name}'s age?</t>
  </si>
  <si>
    <t>509. Quel âge a ${hoh_new_mem_name} ?</t>
  </si>
  <si>
    <t>509. ${hoh_new_mem_name} Shekarun shi/ta nawa?</t>
  </si>
  <si>
    <t>${pm_spouse_name9} (age: ${pm_spouse_age9})</t>
  </si>
  <si>
    <t>${pm_spouse_name9} (âge: ${pm_spouse_age9})</t>
  </si>
  <si>
    <t>${pm_spouse_name9} (shekaru: ${pm_spouse_age9})</t>
  </si>
  <si>
    <t>speedcheck_hoh_rosternew_end</t>
  </si>
  <si>
    <t>${pm_spouse_name10} (age: ${pm_spouse_age10})</t>
  </si>
  <si>
    <t>${pm_spouse_name10} (âge: ${pm_spouse_age10})</t>
  </si>
  <si>
    <t>${pm_spouse_name10} (shekaru: ${pm_spouse_age10})</t>
  </si>
  <si>
    <t>dur_hoh_rosternew</t>
  </si>
  <si>
    <t>667. Poultry</t>
  </si>
  <si>
    <t>667. Volaille</t>
  </si>
  <si>
    <t>667. Kaji</t>
  </si>
  <si>
    <t>${pm_spouse_name11} (age: ${pm_spouse_age11})</t>
  </si>
  <si>
    <t>hoh_hhmembers_new</t>
  </si>
  <si>
    <t>${pm_spouse_name11} (âge: ${pm_spouse_age11})</t>
  </si>
  <si>
    <t>${pm_spouse_name11} (shekaru: ${pm_spouse_age11})</t>
  </si>
  <si>
    <t>${pm_spouse_name12} (age: ${pm_spouse_age12})</t>
  </si>
  <si>
    <t>${pm_spouse_name12} (âge: ${pm_spouse_age12})</t>
  </si>
  <si>
    <t>${pm_spouse_name12} (shekaru: ${pm_spouse_age12})</t>
  </si>
  <si>
    <t>hoh_roster_note</t>
  </si>
  <si>
    <t>471. I want to ask a few questions about the members of your household who are currently residing here.</t>
  </si>
  <si>
    <t>471. Je veux poser quelques questions sur les membres de votre ménage qui résident actuellement ici.</t>
  </si>
  <si>
    <t>471. Ina so in muku ƴan tambayoyi bisa yan gidanku da ke zaune a gida a yanzu.</t>
  </si>
  <si>
    <t>if(${pm_prev_add} = 1, "You also mentioned that you did not report some locations that you spent more than a week in, I am going to ask you about those locations at the end.", " ")</t>
  </si>
  <si>
    <t>510. I want to ask a few questions about the members of your household who are currently residing here.</t>
  </si>
  <si>
    <t>510. Je veux poser quelques questions sur les membres de votre ménage qui résident actuellement ici.</t>
  </si>
  <si>
    <t>510. Ina so in muku ƴan tambayoyi bisa yan gidanku da ke zaune a gida a yanzu.</t>
  </si>
  <si>
    <t>${pm_spouse_name13} (age: ${pm_spouse_age13})</t>
  </si>
  <si>
    <t>${pm_spouse_name13} (âge: ${pm_spouse_age13})</t>
  </si>
  <si>
    <t>${pm_spouse_name13} (shekaru: ${pm_spouse_age13})</t>
  </si>
  <si>
    <t>621. In the past 3 months did you make any investments in your non-agricultural business?</t>
  </si>
  <si>
    <t>621. Au cours des 3 derniers mois, avez-vous fait des investissements dans votre entreprise non agricole ?</t>
  </si>
  <si>
    <t>621. A cikin watanni 3 da suka gabata, kun zuba jari a cikin harkokinku da ba na noma ba?</t>
  </si>
  <si>
    <t>hoh_roster</t>
  </si>
  <si>
    <t>${pm_spouse_name14} (age: ${pm_spouse_age14})</t>
  </si>
  <si>
    <t>${pm_spouse_name14} (âge: ${pm_spouse_age14})</t>
  </si>
  <si>
    <t>${pm_spouse_name14} (shekaru: ${pm_spouse_age14})</t>
  </si>
  <si>
    <t>speedcheck_hoh_roster_start</t>
  </si>
  <si>
    <t>if(${pm_prev_add} = 1, "Vous avez également mentionné que vous n'aviez pas signalé certains endroits où vous avez passé plus d'une semaine. Je vais vous poser des questions sur ces endroits à la fin.", " ")</t>
  </si>
  <si>
    <t>623. In the past 3 months did you make any investments to improve the productivity of your land?</t>
  </si>
  <si>
    <t>623. Au cours des 3 derniers mois, avez-vous fait des investissements pour améliorer la productivité de votre terre ?</t>
  </si>
  <si>
    <t>623. A cikin watanni 3 da suka gabata, kun zuba kudi don inganta samun amfanin gonakinku?</t>
  </si>
  <si>
    <t>hoh_roster_index</t>
  </si>
  <si>
    <t>${pm_spouse_name15} (age: ${pm_spouse_age15})</t>
  </si>
  <si>
    <t>${pm_spouse_name15} (âge: ${pm_spouse_age15})</t>
  </si>
  <si>
    <t>${pm_spouse_name15} (shekaru: ${pm_spouse_age15})</t>
  </si>
  <si>
    <t>624. Specify improvement to land</t>
  </si>
  <si>
    <t>624. Précisez les améliorations de votre terre que vous avez fait</t>
  </si>
  <si>
    <t>624. Ku bayyana kuɗin da kuka kashe don haɓɓaka gonarku</t>
  </si>
  <si>
    <t>hoh_roster_name_cases</t>
  </si>
  <si>
    <t>${pm_spouse_name16} (age: ${pm_spouse_age16})</t>
  </si>
  <si>
    <t>hoh_roster_age_cases</t>
  </si>
  <si>
    <t>${pm_spouse_name16} (âge: ${pm_spouse_age16})</t>
  </si>
  <si>
    <t>${pm_spouse_name16} (shekaru: ${pm_spouse_age16})</t>
  </si>
  <si>
    <t>if(${pm_prev_add} = 1, "Kun kuma bayyana cewa ba ku bayar da rahoton wasu wuraren da kuka shafe sama da mako guda a ciki ba, zan tambaye ku game da waɗannan wuraren a ƙarshe.", " ")</t>
  </si>
  <si>
    <t>hoh_roster_sex_cases</t>
  </si>
  <si>
    <t>hoh_roster_new_index</t>
  </si>
  <si>
    <t>${pm_spouse_name17} (age: ${pm_spouse_age17})</t>
  </si>
  <si>
    <t>${pm_spouse_name17} (âge: ${pm_spouse_age17})</t>
  </si>
  <si>
    <t>${pm_spouse_name17} (shekaru: ${pm_spouse_age17})</t>
  </si>
  <si>
    <t>625. Now I will ask you about different ways your household may use money that you earn.</t>
  </si>
  <si>
    <t>625. Je vais maintenant vous poser des questions sur les différentes façons dont votre ménage peut utiliser l'argent que vous gagnez.</t>
  </si>
  <si>
    <t>625. Yanzu zan yi muku tambayoyi game hanyoyi daban-daban da gidanku ke iya amfani da su don kashe kuɗin da yake samu.</t>
  </si>
  <si>
    <t>hoh_roster_name_new</t>
  </si>
  <si>
    <t>New member name (only populated if no more members to enumerate in the cases data)</t>
  </si>
  <si>
    <t>626. Does your household currently have any savings that you keep in any of the following ways?</t>
  </si>
  <si>
    <t>626. Votre ménage dispose-t-il actuellement d'économies que vous conservez de l'une des manières suivantes ?</t>
  </si>
  <si>
    <t>626. Ko a halin yanzu gidanku na da ajiyar kuɗi daga ɗaya a cikin wanɗannan dubaru?</t>
  </si>
  <si>
    <t>hoh_roster_age_new</t>
  </si>
  <si>
    <t>New member age</t>
  </si>
  <si>
    <t>${pm_spouse_name18} (age: ${pm_spouse_age18})</t>
  </si>
  <si>
    <t>${pm_spouse_name18} (âge: ${pm_spouse_age18})</t>
  </si>
  <si>
    <t>${pm_spouse_name18} (shekaru: ${pm_spouse_age18})</t>
  </si>
  <si>
    <t>627. Specify other:</t>
  </si>
  <si>
    <t>627. Autre a préciser :</t>
  </si>
  <si>
    <t>627. Baiyana wani abu daban:</t>
  </si>
  <si>
    <t>hoh_roster_sex_new</t>
  </si>
  <si>
    <t>New member sex</t>
  </si>
  <si>
    <t>${pm_spouse_name19} (age: ${pm_spouse_age19})</t>
  </si>
  <si>
    <t>${pm_spouse_name19} (âge: ${pm_spouse_age19})</t>
  </si>
  <si>
    <t>${pm_spouse_name19} (shekaru: ${pm_spouse_age19})</t>
  </si>
  <si>
    <t>669. What is the phone number where we can reach you?</t>
  </si>
  <si>
    <t>669. Quel est le numéro de téléphone auquel nous pouvons vous joindre?</t>
  </si>
  <si>
    <t>669. Wace lambar waya ce zamu iya samun ku da ita?</t>
  </si>
  <si>
    <t>hoh_roster_name</t>
  </si>
  <si>
    <t>count-items(',', ${pm_locations_list})</t>
  </si>
  <si>
    <t>670. I am going to read back the phone number you just shared with me. Can you confirm this is your primary phone number? ${primary_phone}</t>
  </si>
  <si>
    <t>670. Je vais relire le numéro de téléphone que vous venez de me donner. Pouvez-vous confirmer qu'il s'agit de votre numéro de téléphone principal ? ${primary_phone}</t>
  </si>
  <si>
    <t>670. Zan sake karanta lambar wayar da kuka bani. Zaku iya tabbatar mini da wannan itace lambar wayarku ta farko? ${primary_phone}</t>
  </si>
  <si>
    <t>hoh_roster_age</t>
  </si>
  <si>
    <t>${pm_spouse_name20} (age: ${pm_spouse_age20})</t>
  </si>
  <si>
    <t>${pm_spouse_name20} (âge: ${pm_spouse_age20})</t>
  </si>
  <si>
    <t>${pm_spouse_name20} (shekaru: ${pm_spouse_age20})</t>
  </si>
  <si>
    <t>671. Please go back and correct the number.</t>
  </si>
  <si>
    <t>671. Veuillez revenir en arrière pour corriger le numéro.</t>
  </si>
  <si>
    <t>671. ko za ka koma baya ka gyara lambar.</t>
  </si>
  <si>
    <t>hoh_roster_sex</t>
  </si>
  <si>
    <t>Other member, spouse not in list</t>
  </si>
  <si>
    <t>Autre membre, conjoint non inscrit sur la liste</t>
  </si>
  <si>
    <t>Wani memba, matar aure ba a cikin lissafi</t>
  </si>
  <si>
    <t>628. Please share with us your best estimate of the value in CFA ${hoh_savings_name}</t>
  </si>
  <si>
    <t>628. Veuillez nous dire votre meilleure estimation de la valeur en CFA ${hoh_savings_name}</t>
  </si>
  <si>
    <t>628. Da fatan zaku baiyana mini yawan kuɗin a tsammaninku ${hoh_savings_name} a CFA</t>
  </si>
  <si>
    <t>hoh_info</t>
  </si>
  <si>
    <t>472. ${hoh_roster_name}
 Sex: ${hoh_roster_sex}
 Age: ${hoh_roster_age}</t>
  </si>
  <si>
    <t>511. ${hoh_roster_name}
 Sex: ${hoh_roster_sex}
 Age: ${hoh_roster_age}</t>
  </si>
  <si>
    <t>hoh_nationality</t>
  </si>
  <si>
    <t>473. Is ${hoh_roster_name} a Nigerien national?</t>
  </si>
  <si>
    <t>473. ${hoh_roster_name} est-il un citoyen(ne) du Niger ?</t>
  </si>
  <si>
    <t>473. Ko ${hoh_roster_name} ɗan ƙasar Nijar ne?</t>
  </si>
  <si>
    <t>512. Is ${hoh_roster_name} a Nigerien national?</t>
  </si>
  <si>
    <t>512. ${hoh_roster_name} est-il un citoyen(ne) du Niger ?</t>
  </si>
  <si>
    <t>512. Ko ${hoh_roster_name} ɗan ƙasar Nijar ne?</t>
  </si>
  <si>
    <t>hoh_nationality_country</t>
  </si>
  <si>
    <t>474. Where are they a cititzen of?</t>
  </si>
  <si>
    <t>474. D'où sont-ils citoyens ?</t>
  </si>
  <si>
    <t>474. Ƴan wace ƙasa ce?</t>
  </si>
  <si>
    <t>potential_child</t>
  </si>
  <si>
    <t>${pm_child_name1} (age: ${pm_child_age1})</t>
  </si>
  <si>
    <t>513. Where are they a cititzen of?</t>
  </si>
  <si>
    <t>${pm_child_name1} (âge: ${pm_child_age1})</t>
  </si>
  <si>
    <t>513. D'où sont-ils citoyens ?</t>
  </si>
  <si>
    <t>item-at(',', ${pm_locations_list} , ${pm_location_act_index} - 1)</t>
  </si>
  <si>
    <t>${pm_child_name1} (shekaru: ${pm_child_age1})</t>
  </si>
  <si>
    <t>513. Ƴan wace ƙasa ce?</t>
  </si>
  <si>
    <t>hoh_nationality_country_o</t>
  </si>
  <si>
    <t>475. Please enter the nationality of ${hoh_roster_name}</t>
  </si>
  <si>
    <t>475. Veuillez saisir la nationalité de ${hoh_roster_name}</t>
  </si>
  <si>
    <t>475. Da fatan za a shigar da ƙasar ${hoh_roster_name}</t>
  </si>
  <si>
    <t>514. Please enter the nationality of ${hoh_roster_name}</t>
  </si>
  <si>
    <t>514. Veuillez saisir la nationalité de ${hoh_roster_name}</t>
  </si>
  <si>
    <t>514. Da fatan za a shigar da ƙasar ${hoh_roster_name}</t>
  </si>
  <si>
    <t>hoh_roster_in</t>
  </si>
  <si>
    <t>476. Is ${hoh_roster_name} still a member of this household?</t>
  </si>
  <si>
    <t>476. ${hoh_roster_name} est-il toujours membre de ce ménage ?</t>
  </si>
  <si>
    <t>476. Ko suna yana cikin ƴan gidan nan?</t>
  </si>
  <si>
    <t>${pm_child_name2} (age: ${pm_child_age2})</t>
  </si>
  <si>
    <t>${pm_child_name2} (âge: ${pm_child_age2})</t>
  </si>
  <si>
    <t>${pm_child_name2} (shekaru: ${pm_child_age2})</t>
  </si>
  <si>
    <t>515. Is ${hoh_roster_name} still a member of this household?</t>
  </si>
  <si>
    <t>515. ${hoh_roster_name} est-il toujours membre de ce ménage ?</t>
  </si>
  <si>
    <t>515. Ko suna yana cikin ƴan gidan nan?</t>
  </si>
  <si>
    <t>select_one whyno_in</t>
  </si>
  <si>
    <t>hoh_roster_notin_why</t>
  </si>
  <si>
    <t>477. Why are they not a member of this household?</t>
  </si>
  <si>
    <t>477. Pourquoi ne font-ils pas partie de ce ménage ?</t>
  </si>
  <si>
    <t>477. Me ya sa ba su cikin ƴan gidan nan ?</t>
  </si>
  <si>
    <t>if(${pm_location_name} = ${pm_home_location}, 1, 0)</t>
  </si>
  <si>
    <t>516. Why are they not a member of this household?</t>
  </si>
  <si>
    <t>516. Pourquoi ne font-ils pas partie de ce ménage ?</t>
  </si>
  <si>
    <t>516. Me ya sa ba su cikin ƴan gidan nan ?</t>
  </si>
  <si>
    <t>hoh_roster_notin_why_o</t>
  </si>
  <si>
    <t>478. Other, specify:</t>
  </si>
  <si>
    <t>478. Autre précisez:</t>
  </si>
  <si>
    <t>478. Sauran, bayar da cikakkun bayanai:</t>
  </si>
  <si>
    <t>517. Other, specify:</t>
  </si>
  <si>
    <t>517. Autre précisez:</t>
  </si>
  <si>
    <t>517. Sauran, bayar da cikakkun bayanai:</t>
  </si>
  <si>
    <t>hoh_roster_notin_death_rel</t>
  </si>
  <si>
    <t>Please indicate the relation of this member to ${pm_name}</t>
  </si>
  <si>
    <t>Veuillez indiquer la relation de ce membre avec ${pm_name}</t>
  </si>
  <si>
    <t>Da fatan za a nuna alakar wannan memba zuwa ${pm_name}</t>
  </si>
  <si>
    <t>518. Please indicate the relation of this member to ${pm_name}</t>
  </si>
  <si>
    <t>518. Veuillez indiquer la relation de ce membre avec ${pm_name}</t>
  </si>
  <si>
    <t>518. Da fatan za a nuna alakar wannan memba zuwa ${pm_name}</t>
  </si>
  <si>
    <t>hoh_roster_notin_death</t>
  </si>
  <si>
    <t>479. Enumerator: Record any details about the death of the family member</t>
  </si>
  <si>
    <t>479. Enqueteur: Veuillez noter toute information pertinente concernant le décès</t>
  </si>
  <si>
    <t>${pm_location_act_index} + 1</t>
  </si>
  <si>
    <t>519. Enumerator: Record any details about the death of the family member</t>
  </si>
  <si>
    <t>519. Enqueteur: Veuillez noter toute information pertinente concernant le décès</t>
  </si>
  <si>
    <t>hoh_living_in_hh</t>
  </si>
  <si>
    <t>480. Is ${hoh_roster_name} currently living in your household?</t>
  </si>
  <si>
    <t>480. Est-ce que ${hoh_roster_name} vit actuellement dans votre ménage ?</t>
  </si>
  <si>
    <t>480. Ko ${hoh_roster_name} yana zaune a gidanku a halin yanzu ?</t>
  </si>
  <si>
    <t>520. Is ${hoh_roster_name} currently living in your household?</t>
  </si>
  <si>
    <t>520. Est-ce que ${hoh_roster_name} vit actuellement dans votre ménage ?</t>
  </si>
  <si>
    <t>520. Ko ${hoh_roster_name} yana zaune a gidanku a halin yanzu ?</t>
  </si>
  <si>
    <t>hoh_in_niger</t>
  </si>
  <si>
    <t>481. Is ${hoh_roster_name} currently living in Niger?</t>
  </si>
  <si>
    <t>481. Est-ce que ${hoh_roster_name} vit actuellement au Niger ?</t>
  </si>
  <si>
    <t>481. Ko ${hoh_roster_name} yana zaune a Nijar a halin yanzu?</t>
  </si>
  <si>
    <t>521. Is ${hoh_roster_name} currently living in Niger?</t>
  </si>
  <si>
    <t>521. Est-ce que ${hoh_roster_name} vit actuellement au Niger ?</t>
  </si>
  <si>
    <t>521. Ko ${hoh_roster_name} yana zaune a Nijar a halin yanzu?</t>
  </si>
  <si>
    <t>hoh_in_niger_region</t>
  </si>
  <si>
    <t>482. What region is ${hoh_roster_name} currently living in?</t>
  </si>
  <si>
    <t>482. Dans quelle région vit actuellement ${hoh_roster_name} ?</t>
  </si>
  <si>
    <t>482. A cikin wace jaha ce ${hoh_roster_name} yake zaune a yanzu?</t>
  </si>
  <si>
    <t>522. What region is ${hoh_roster_name} currently living in?</t>
  </si>
  <si>
    <t>522. Dans quelle région vit actuellement ${hoh_roster_name} ?</t>
  </si>
  <si>
    <t>522. A cikin wace jaha ce ${hoh_roster_name} yake zaune a yanzu?</t>
  </si>
  <si>
    <t>hoh_out_niger</t>
  </si>
  <si>
    <t>483. What country is ${hoh_roster_name} currently living in?</t>
  </si>
  <si>
    <t>483. Dans quel pays vit actuellement ${hoh_roster_name} ?</t>
  </si>
  <si>
    <t>483. A cikin wace kasa ce ${hoh_roster_name} yake zaune a yanzu?</t>
  </si>
  <si>
    <t>523. What country is ${hoh_roster_name} currently living in?</t>
  </si>
  <si>
    <t>count-items(',', ${pm_locations_list_new})</t>
  </si>
  <si>
    <t>523. Dans quel pays vit actuellement ${hoh_roster_name} ?</t>
  </si>
  <si>
    <t>523. A cikin wace kasa ce ${hoh_roster_name} yake zaune a yanzu?</t>
  </si>
  <si>
    <t>hoh_out_niger_o</t>
  </si>
  <si>
    <t>484. Specify other</t>
  </si>
  <si>
    <t>484. Autre à préciser</t>
  </si>
  <si>
    <t>484. Wani daban a Bayyana</t>
  </si>
  <si>
    <t>524. Specify other</t>
  </si>
  <si>
    <t>524. Autre à préciser</t>
  </si>
  <si>
    <t>524. Wani daban a Bayyana</t>
  </si>
  <si>
    <t>hoh_out_town</t>
  </si>
  <si>
    <t>485. Enumerator: Select town</t>
  </si>
  <si>
    <t>485. Enquêteur : Sélectionnez la ville</t>
  </si>
  <si>
    <t>485. Ɗan bincike: Zaɓi gari</t>
  </si>
  <si>
    <t>525. Enumerator: Select town</t>
  </si>
  <si>
    <t>525. Enquêteur : Sélectionnez la ville</t>
  </si>
  <si>
    <t>525. Ɗan bincike: Zaɓi gari</t>
  </si>
  <si>
    <t>hoh_out_town_o</t>
  </si>
  <si>
    <t>486. Specify other</t>
  </si>
  <si>
    <t>486. Autre à préciser</t>
  </si>
  <si>
    <t>486. Wani daban a Bayyana</t>
  </si>
  <si>
    <t>526. Specify other</t>
  </si>
  <si>
    <t>526. Autre à préciser</t>
  </si>
  <si>
    <t>526. Wani daban a Bayyana</t>
  </si>
  <si>
    <t>hoh_mem_in_hh</t>
  </si>
  <si>
    <t xml:space="preserve">if(${pm_location_act_index} &lt;= ${pm_locations_new_count}, ${period}, ${period_bl_fu5}) </t>
  </si>
  <si>
    <t>hoh_illness_limit</t>
  </si>
  <si>
    <t>487. Does ${hoh_roster_name} currently suffer from any illness or disability that limits their ability to travel or work?</t>
  </si>
  <si>
    <t>487. Est-ce que ${hoh_roster_name} souffre actuellement d'une maladie ou d'un handicap qui limite sa capacité à voyager ou à travailler ?</t>
  </si>
  <si>
    <t>487. ko a halin yanzu ${hoh_roster_name} yana da rashin lafiya ko naƙasa wanda ke iya hanashi zuwa balaguro ko yin aiki?</t>
  </si>
  <si>
    <t>527. Does ${hoh_roster_name} currently suffer from any illness or disability that limits their ability to travel or work?</t>
  </si>
  <si>
    <t>527. Est-ce que ${hoh_roster_name} souffre actuellement d'une maladie ou d'un handicap qui limite sa capacité à voyager ou à travailler ?</t>
  </si>
  <si>
    <t>527. ko a halin yanzu ${hoh_roster_name} yana da rashin lafiya ko naƙasa wanda ke iya hanashi zuwa balaguro ko yin aiki?</t>
  </si>
  <si>
    <t>hoh_illness_limit_type</t>
  </si>
  <si>
    <t>${pm_child_name3} (age: ${pm_child_age3})</t>
  </si>
  <si>
    <t>488. What illness limits ${hoh_roster_name} in this way?</t>
  </si>
  <si>
    <t>488. Quelle maladie limite ${hoh_roster_name} de cette manière ?</t>
  </si>
  <si>
    <t>488. Wace rashin lafiya ke tsaida ${hoh_roster_name} ta haka ?</t>
  </si>
  <si>
    <t>${pm_child_name3} (âge: ${pm_child_age3})</t>
  </si>
  <si>
    <t>${pm_child_name3} (shekaru: ${pm_child_age3})</t>
  </si>
  <si>
    <t>528. What illness limits ${hoh_roster_name} in this way?</t>
  </si>
  <si>
    <t>528. Quelle maladie limite ${hoh_roster_name} de cette manière ?</t>
  </si>
  <si>
    <t>528. Wace rashin lafiya ke tsaida ${hoh_roster_name} ta haka ?</t>
  </si>
  <si>
    <t>hoh_illness_limit_type_o</t>
  </si>
  <si>
    <t>489. Other, specify:</t>
  </si>
  <si>
    <t>489. Autre précisez:</t>
  </si>
  <si>
    <t>489. Sauran, bayar da cikakkun bayanai:</t>
  </si>
  <si>
    <t>529. Other, specify:</t>
  </si>
  <si>
    <t>529. Autre précisez:</t>
  </si>
  <si>
    <t>529. Sauran, bayar da cikakkun bayanai:</t>
  </si>
  <si>
    <t>hoh_any_children</t>
  </si>
  <si>
    <t>490. Does ${hoh_roster_name} have children?</t>
  </si>
  <si>
    <t>490. Est-ce que ${hoh_roster_name} a des enfants ?</t>
  </si>
  <si>
    <t xml:space="preserve">if(${pm_location_act_index} &lt;= ${pm_locations_new_count}, ${period_french}, ${period_french_bl_fu5}) </t>
  </si>
  <si>
    <t>490. ko ${hoh_roster_name} yana da yara?</t>
  </si>
  <si>
    <t>${pm_child_name4} (age: ${pm_child_age4})</t>
  </si>
  <si>
    <t>${pm_child_name4} (âge: ${pm_child_age4})</t>
  </si>
  <si>
    <t>${pm_child_name4} (shekaru: ${pm_child_age4})</t>
  </si>
  <si>
    <t>530. Does ${hoh_roster_name} have children?</t>
  </si>
  <si>
    <t>530. Est-ce que ${hoh_roster_name} a des enfants ?</t>
  </si>
  <si>
    <t>530. ko ${hoh_roster_name} yana da yara?</t>
  </si>
  <si>
    <t>hoh_children</t>
  </si>
  <si>
    <t>491. How many children is ${hoh_roster_name} responsible for?</t>
  </si>
  <si>
    <t>491. De combien d'enfants ${hoh_roster_name} est-il responsable ?</t>
  </si>
  <si>
    <t>491. Yara nawa ne ${hoh_roster_name} yake ɗauke da Nauyinsu?</t>
  </si>
  <si>
    <t>${pm_child_name5} (age: ${pm_child_age5})</t>
  </si>
  <si>
    <t>${pm_child_name5} (âge: ${pm_child_age5})</t>
  </si>
  <si>
    <t>${pm_child_name5} (shekaru: ${pm_child_age5})</t>
  </si>
  <si>
    <t>531. How many children is ${hoh_roster_name} responsible for?</t>
  </si>
  <si>
    <t>531. De combien d'enfants ${hoh_roster_name} est-il responsable ?</t>
  </si>
  <si>
    <t>531. Yara nawa ne ${hoh_roster_name} yake ɗauke da Nauyinsu?</t>
  </si>
  <si>
    <t xml:space="preserve">if(${pm_location_act_index} &lt;= ${pm_locations_new_count}, ${period_hausa}, ${period_hausa_bl_fu5}) </t>
  </si>
  <si>
    <t>select_one education</t>
  </si>
  <si>
    <t>hoh_education</t>
  </si>
  <si>
    <t>492. What is the highest level of education that ${hoh_roster_name} has completed?</t>
  </si>
  <si>
    <t>492. Quel est le plus haut niveau d'études atteint par ${hoh_roster_name} ?</t>
  </si>
  <si>
    <t>492. Menene mafi girman mastayin ilimi da ${hoh_roster_name} ya kai?</t>
  </si>
  <si>
    <t>${pm_child_name6} (age: ${pm_child_age6})</t>
  </si>
  <si>
    <t>${pm_child_name6} (âge: ${pm_child_age6})</t>
  </si>
  <si>
    <t>${pm_child_name6} (shekaru: ${pm_child_age6})</t>
  </si>
  <si>
    <t>532. What is the highest level of education that ${hoh_roster_name} has completed?</t>
  </si>
  <si>
    <t>ENUMERATOR: Please ask the respondent to think about their full stay in all locations since ${period}.</t>
  </si>
  <si>
    <t>532. Quel est le plus haut niveau d'études atteint par ${hoh_roster_name} ?</t>
  </si>
  <si>
    <t xml:space="preserve">ENQUETEUR : Veuillez demander au répondant de réfléchir à l'ensemble de son séjour dans tous les lieux depuis ${period_french}. </t>
  </si>
  <si>
    <t>532. Menene mafi girman mastayin ilimi da ${hoh_roster_name} ya kai?</t>
  </si>
  <si>
    <t>LABARI: Da fatan za a tambayi wanda ake kara ya yi tunanin cikakken zaman su a duk wuraren tun watan ${period_hausa}.</t>
  </si>
  <si>
    <t>${pm_child_name7} (age: ${pm_child_age7})</t>
  </si>
  <si>
    <t>. &gt;= 1 and . &lt;= 26</t>
  </si>
  <si>
    <t>${pm_child_name7} (âge: ${pm_child_age7})</t>
  </si>
  <si>
    <t>hoh_attending_school</t>
  </si>
  <si>
    <t>${pm_child_name7} (shekaru: ${pm_child_age7})</t>
  </si>
  <si>
    <t>493. Is ${hoh_roster_name} currently enrolled in school?</t>
  </si>
  <si>
    <t>493. Est-ce que ${hoh_roster_name} est actuellement inscrit à l'école ?</t>
  </si>
  <si>
    <t>493. Ko ${hoh_roster_name} yana yin lakwal a halin yanzu?</t>
  </si>
  <si>
    <t>533. Is ${hoh_roster_name} currently enrolled in school?</t>
  </si>
  <si>
    <t>533. Est-ce que ${hoh_roster_name} est actuellement inscrit à l'école ?</t>
  </si>
  <si>
    <t>533. Ko ${hoh_roster_name} yana yin lakwal a halin yanzu?</t>
  </si>
  <si>
    <t>select_one schools</t>
  </si>
  <si>
    <t>hoh_school_type</t>
  </si>
  <si>
    <t>494. What kind of school is ${hoh_roster_name} enrolled in?</t>
  </si>
  <si>
    <t>494. Dans quel type d'école est inscrit ${hoh_roster_name} ?</t>
  </si>
  <si>
    <t>494. Wace irin makaranta aka rubuta ${hoh_roster_name}?</t>
  </si>
  <si>
    <t>534. What kind of school is ${hoh_roster_name} enrolled in?</t>
  </si>
  <si>
    <t>534. Dans quel type d'école est inscrit ${hoh_roster_name} ?</t>
  </si>
  <si>
    <t>534. Wace irin makaranta aka rubuta ${hoh_roster_name}?</t>
  </si>
  <si>
    <t>${pm_child_name8} (age: ${pm_child_age8})</t>
  </si>
  <si>
    <t>hoh_school_cost</t>
  </si>
  <si>
    <t>${pm_child_name8} (âge: ${pm_child_age8})</t>
  </si>
  <si>
    <t>495. What is the cost of school fees for the current academic year in CFA?</t>
  </si>
  <si>
    <t>${pm_child_name8} (shekaru: ${pm_child_age8})</t>
  </si>
  <si>
    <t>495. Quel est le coût des frais de scolarité pour l'année scolaire en cours (en CFA) ?</t>
  </si>
  <si>
    <t>495. Nawa ne kuɗin makaranta na wannan shekarar (a sefa)?</t>
  </si>
  <si>
    <t>535. What is the cost of school fees for the current academic year in CFA?</t>
  </si>
  <si>
    <t>535. Quel est le coût des frais de scolarité pour l'année scolaire en cours (en CFA) ?</t>
  </si>
  <si>
    <t>535. Nawa ne kuɗin makaranta na wannan shekarar (a sefa)?</t>
  </si>
  <si>
    <t>hoh_school_absent_health</t>
  </si>
  <si>
    <t>496. In the past month (four weeks) how many days has ${hoh_roster_name} missed school for health reasons?</t>
  </si>
  <si>
    <t>496. Au cours du dernier mois (quatre semaines), combien de jours ${hoh_roster_name} a-t-il manqué l'école pour des raisons de santé ?</t>
  </si>
  <si>
    <t>496. A cikin watan da ya gabata (sati hudu), kwanaki nawa ${hoh_roster_name} yayi fashin zuwa makaranta saboda wata rishin lafiya?</t>
  </si>
  <si>
    <t>${pm_child_name9} (age: ${pm_child_age9})</t>
  </si>
  <si>
    <t>${pm_child_name9} (âge: ${pm_child_age9})</t>
  </si>
  <si>
    <t>${pm_child_name9} (shekaru: ${pm_child_age9})</t>
  </si>
  <si>
    <t>536. In the past month (four weeks) how many days has ${hoh_roster_name} missed school for health reasons?</t>
  </si>
  <si>
    <t>536. Au cours du dernier mois (quatre semaines), combien de jours ${hoh_roster_name} a-t-il manqué l'école pour des raisons de santé ?</t>
  </si>
  <si>
    <t>536. A cikin watan da ya gabata (sati hudu), kwanaki nawa ${hoh_roster_name} yayi fashin zuwa makaranta saboda wata rishin lafiya?</t>
  </si>
  <si>
    <t>hoh_school_absent_work</t>
  </si>
  <si>
    <t>497. In the past month (four weeks) how many days has ${hoh_roster_name} missed school for work or other reasons?</t>
  </si>
  <si>
    <t>497. Au cours du dernier mois (quatre semaines), combien de jours ${hoh_roster_name} a-t-il manqué l'école pour le travail ou pour d'autres raisons ?</t>
  </si>
  <si>
    <t>497. A cikin watan da ya gabata (makonni hudu), kwanaki nawa ${hoh_roster_name} yayi fashin makaranta saboda aiki ko wasu dalilai?</t>
  </si>
  <si>
    <t>537. In the past month (four weeks) how many days has ${hoh_roster_name} missed school for work or other reasons?</t>
  </si>
  <si>
    <t>537. Au cours du dernier mois (quatre semaines), combien de jours ${hoh_roster_name} a-t-il manqué l'école pour le travail ou pour d'autres raisons ?</t>
  </si>
  <si>
    <t>537. A cikin watan da ya gabata (makonni hudu), kwanaki nawa ${hoh_roster_name} yayi fashin makaranta saboda aiki ko wasu dalilai?</t>
  </si>
  <si>
    <t>${pm_child_name10} (age: ${pm_child_age10})</t>
  </si>
  <si>
    <t>${pm_child_name10} (âge: ${pm_child_age10})</t>
  </si>
  <si>
    <t>${pm_child_name10} (shekaru: ${pm_child_age10})</t>
  </si>
  <si>
    <t>hoh_married</t>
  </si>
  <si>
    <t>498. Is ${hoh_roster_name} married?</t>
  </si>
  <si>
    <t>498. Est-ce que ${hoh_roster_name} est marié ?</t>
  </si>
  <si>
    <t>498. Ko ${hoh_roster_name} yanada aure?</t>
  </si>
  <si>
    <t>538. Is ${hoh_roster_name} married?</t>
  </si>
  <si>
    <t>538. Est-ce que ${hoh_roster_name} est marié ?</t>
  </si>
  <si>
    <t>538. Ko ${hoh_roster_name} yanada aure?</t>
  </si>
  <si>
    <t>hoh_wives</t>
  </si>
  <si>
    <t>499. How many wives does ${hoh_new_mem_name} have?</t>
  </si>
  <si>
    <t>499. Combien de femmes a ${hoh_roster_name} ?</t>
  </si>
  <si>
    <t>499. Mata nawa ${hoh_roster_name} yake da su?</t>
  </si>
  <si>
    <t>539. How many wives does ${hoh_new_mem_name} have?</t>
  </si>
  <si>
    <t>539. Combien de femmes a ${hoh_roster_name} ?</t>
  </si>
  <si>
    <t>539. Mata nawa ${hoh_roster_name} yake da su?</t>
  </si>
  <si>
    <t>hoh_mem_in_in</t>
  </si>
  <si>
    <t>${pm_child_name11} (age: ${pm_child_age11})</t>
  </si>
  <si>
    <t>${pm_child_name11} (âge: ${pm_child_age11})</t>
  </si>
  <si>
    <t>${pm_child_name11} (shekaru: ${pm_child_age11})</t>
  </si>
  <si>
    <t>643. In the last three months did you or a member of your household try to secure a loan from any source but were refused?</t>
  </si>
  <si>
    <t>643. Au cours des trois derniers mois, vous ou un membre de votre ménage avez-vous essayé d'obtenir un prêt auprès de n'importe quelle source, mais cela a été refusé ?</t>
  </si>
  <si>
    <t>643. A cikin watanni uku da suka wuce kai ko wani dan gidanku kun yi ƙoƙarin samun bashi daga kowace hanya amma an ƙi?</t>
  </si>
  <si>
    <t>${pm_child_name12} (age: ${pm_child_age12})</t>
  </si>
  <si>
    <t>${pm_child_name12} (âge: ${pm_child_age12})</t>
  </si>
  <si>
    <t>${pm_child_name12} (shekaru: ${pm_child_age12})</t>
  </si>
  <si>
    <t>hoh_past_migration</t>
  </si>
  <si>
    <t>Past Migration</t>
  </si>
  <si>
    <t>${pm_any_work} = 0</t>
  </si>
  <si>
    <t>${pm_child_name13} (age: ${pm_child_age13})</t>
  </si>
  <si>
    <t>${pm_child_name13} (âge: ${pm_child_age13})</t>
  </si>
  <si>
    <t>${pm_child_name13} (shekaru: ${pm_child_age13})</t>
  </si>
  <si>
    <t>hoh_past_migration_note</t>
  </si>
  <si>
    <t>500. We would now like to ask you about the migration history of ${hoh_roster_name}.</t>
  </si>
  <si>
    <t>500. Nous aimerions maintenant vous poser des questions sur l'historique de migration de ${hoh_roster_name}.</t>
  </si>
  <si>
    <t>500. Yanzu muna so mu tambaye ka tarihin zuwa biɗa na ${hoh_roster_name}.</t>
  </si>
  <si>
    <t>540. We would now like to ask you about the migration history of ${hoh_roster_name}.</t>
  </si>
  <si>
    <t>540. Nous aimerions maintenant vous poser des questions sur l'historique de migration de ${hoh_roster_name}.</t>
  </si>
  <si>
    <t>540. Yanzu muna so mu tambaye ka tarihin zuwa biɗa na ${hoh_roster_name}.</t>
  </si>
  <si>
    <t>hoh_mem_migrate</t>
  </si>
  <si>
    <t>501. Since ${period}, has ${hoh_roster_name} spent more than a week (7 days) away from home?</t>
  </si>
  <si>
    <t>501. Depuis cette ${period_french}, ${hoh_roster_name} a-t-il passé plus d'une semaine (7 jours) loin de chez lui ?</t>
  </si>
  <si>
    <t>501. Tun wancan ${period_hausa}, ${hoh_roster_name} ya shafe fiye da sati guda (kwana 7) baya gida?</t>
  </si>
  <si>
    <t>541. Since ${period}, has ${hoh_roster_name} spent more than a week (7 days) away from home?</t>
  </si>
  <si>
    <t>541. Depuis cette ${period_french}, ${hoh_roster_name} a-t-il passé plus d'une semaine (7 jours) loin de chez lui ?</t>
  </si>
  <si>
    <t>541. Tun wancan ${period_hausa}, ${hoh_roster_name} ya shafe fiye da sati guda (kwana 7) baya gida?</t>
  </si>
  <si>
    <t>${pm_child_name14} (age: ${pm_child_age14})</t>
  </si>
  <si>
    <t>${pm_child_name14} (âge: ${pm_child_age14})</t>
  </si>
  <si>
    <t>hoh_dest_country</t>
  </si>
  <si>
    <t>${pm_child_name14} (shekaru: ${pm_child_age14})</t>
  </si>
  <si>
    <t>502. Since ${period}, in which of the following countries has ${hoh_roster_name} spent more than one week? Select all that apply</t>
  </si>
  <si>
    <t>502. Depuis cette ${period_french}, dans lequel des pays suivants hoh_roster_name a-t-il passé plus d'une semaine ? Sélectionnez tout ce qui s'y rapporte</t>
  </si>
  <si>
    <t>502. Tun daga wancan ${period_hausa}, a cikin waɗanne ƙasashe ne ${hoh_roster_name} ya shafe fiye da mako ɗaya? Zaɓi duk abin da ya dace</t>
  </si>
  <si>
    <t>542. Since ${period}, in which of the following countries has ${hoh_roster_name} spent more than one week? Select all that apply</t>
  </si>
  <si>
    <t>542. Depuis cette ${period_french}, dans lequel des pays suivants hoh_roster_name a-t-il passé plus d'une semaine ? Sélectionnez tout ce qui s'y rapporte</t>
  </si>
  <si>
    <t>542. Tun daga wancan ${period_hausa}, a cikin waɗanne ƙasashe ne ${hoh_roster_name} ya shafe fiye da mako ɗaya? Zaɓi duk abin da ya dace</t>
  </si>
  <si>
    <t>${pm_reason_not_work} = -777</t>
  </si>
  <si>
    <t>hoh_dest_country_o</t>
  </si>
  <si>
    <t>503. Specify other</t>
  </si>
  <si>
    <t>503. Autre à préciser</t>
  </si>
  <si>
    <t>503. Wani daban a Bayyana</t>
  </si>
  <si>
    <t>543. Specify other</t>
  </si>
  <si>
    <t>543. Autre à préciser</t>
  </si>
  <si>
    <t>${pm_child_name15} (age: ${pm_child_age15})</t>
  </si>
  <si>
    <t>543. Wani daban a Bayyana</t>
  </si>
  <si>
    <t>${pm_child_name15} (âge: ${pm_child_age15})</t>
  </si>
  <si>
    <t>${pm_child_name15} (shekaru: ${pm_child_age15})</t>
  </si>
  <si>
    <t>hoh_dom_mig_ind</t>
  </si>
  <si>
    <t>hoh_border_cross_ind</t>
  </si>
  <si>
    <t>${pm_child_name16} (age: ${pm_child_age16})</t>
  </si>
  <si>
    <t>${pm_child_name16} (âge: ${pm_child_age16})</t>
  </si>
  <si>
    <t>700. How interested was the resppondent</t>
  </si>
  <si>
    <t>${pm_child_name16} (shekaru: ${pm_child_age16})</t>
  </si>
  <si>
    <t>700. Dans quelle mesure le répondant était-il intéressé</t>
  </si>
  <si>
    <t>700. Yaya kake ganin maida hankalin mai bada amsa yake</t>
  </si>
  <si>
    <t>hoh_border_cross_ecowas_ind</t>
  </si>
  <si>
    <t>Excludes Burkina Faso and Mali</t>
  </si>
  <si>
    <t>. &gt;= 1 or . &lt; 11</t>
  </si>
  <si>
    <t>${pm_any_work} = 1</t>
  </si>
  <si>
    <t>hoh_num_dest_country</t>
  </si>
  <si>
    <t>${pm_child_name17} (age: ${pm_child_age17})</t>
  </si>
  <si>
    <t>${pm_child_name17} (âge: ${pm_child_age17})</t>
  </si>
  <si>
    <t>${pm_child_name17} (shekaru: ${pm_child_age17})</t>
  </si>
  <si>
    <t>speedcheck_hoh_rosterdest_start</t>
  </si>
  <si>
    <t>hoh_countries</t>
  </si>
  <si>
    <t>${pm_child_name18} (age: ${pm_child_age18})</t>
  </si>
  <si>
    <t>Countries</t>
  </si>
  <si>
    <t>${pm_child_name18} (âge: ${pm_child_age18})</t>
  </si>
  <si>
    <t>${pm_child_name18} (shekaru: ${pm_child_age18})</t>
  </si>
  <si>
    <t>hoh_destinations_index</t>
  </si>
  <si>
    <t>Repeat Group Index</t>
  </si>
  <si>
    <t>${pm_child_name19} (age: ${pm_child_age19})</t>
  </si>
  <si>
    <t>${pm_child_name19} (âge: ${pm_child_age19})</t>
  </si>
  <si>
    <t>${pm_child_name19} (shekaru: ${pm_child_age19})</t>
  </si>
  <si>
    <t>hoh_dest_index</t>
  </si>
  <si>
    <t>Country Index</t>
  </si>
  <si>
    <t>654. In the past week how many days have adults in your household consumed animal protein (including fish, meat, poultry)?</t>
  </si>
  <si>
    <t>654. Au cours des 7 derniers jours, combien de fois les adultes de votre ménage ont-ils consommé des protéines animales (y compris poisson, viande, volaille) ?</t>
  </si>
  <si>
    <t>654. A cikin kwanaki 7 da suka wuce sau nawa manyan gidanku suka ci abinci masu gina jiki kamar su kifi ko nama ko kaji?</t>
  </si>
  <si>
    <t>hoh_destination</t>
  </si>
  <si>
    <t>655. In the last 7 days, have children (&lt;14) gone a whole day without meals?</t>
  </si>
  <si>
    <t>655. Au cours des 7 derniers jours, des enfants (&lt;14) ont-ils passé une journée entière sans manger de repas ?</t>
  </si>
  <si>
    <t>655. A cikin kwanaki 7 na ƙarshe, ko yara ƴan ƙasa da shekara goma sha huɗu sun zauna tsawon wuni guda ba su ci da abinci ba?</t>
  </si>
  <si>
    <t>${pm_child_name20} (age: ${pm_child_age20})</t>
  </si>
  <si>
    <t>${pm_child_name20} (âge: ${pm_child_age20})</t>
  </si>
  <si>
    <t>hoh_dest_town</t>
  </si>
  <si>
    <t>504. In ${hoh_destination}, what was the name of the city or town that ${hoh_roster_name} moved to?</t>
  </si>
  <si>
    <t>${pm_child_name20} (shekaru: ${pm_child_age20})</t>
  </si>
  <si>
    <t>504. À ${hoh_destination}, quel était le nom de la ville dans laquelle ${hoh_roster_name} il a séjourné ?</t>
  </si>
  <si>
    <t>504. A ${hoh_destination}, menene sunan birnin da ${hoh_roster_name} ya zauna?</t>
  </si>
  <si>
    <t>${pm_activity_desc_count}</t>
  </si>
  <si>
    <t>544. In ${hoh_destination}, what was the name of the city or town that ${hoh_roster_name} moved to?</t>
  </si>
  <si>
    <t>544. À ${hoh_destination}, quel était le nom de la ville dans laquelle ${hoh_roster_name} il a séjourné ?</t>
  </si>
  <si>
    <t>544. A ${hoh_destination}, menene sunan birnin da ${hoh_roster_name} ya zauna?</t>
  </si>
  <si>
    <t>hoh_dest_town_o</t>
  </si>
  <si>
    <t>505. Specify other</t>
  </si>
  <si>
    <t>505. Autre à préciser</t>
  </si>
  <si>
    <t>505. Wani daban a Bayyana</t>
  </si>
  <si>
    <t>Other member, child not in list</t>
  </si>
  <si>
    <t>Autre membre, enfant hors liste</t>
  </si>
  <si>
    <t>545. Specify other</t>
  </si>
  <si>
    <t>545. Autre à préciser</t>
  </si>
  <si>
    <t>Wani memba, yaro ba a cikin lissafin ba</t>
  </si>
  <si>
    <t>545. Wani daban a Bayyana</t>
  </si>
  <si>
    <t xml:space="preserve">hoh_dest_region </t>
  </si>
  <si>
    <t>506. In ${hoh_destination}, what was the name of the region that ${hoh_roster_name} moved to?</t>
  </si>
  <si>
    <t>506. Dans ${hoh_destination}, quel était le nom de la région vers laquelle ${hoh_roster_name} a été déplacé ?</t>
  </si>
  <si>
    <t>506. A ${hoh_destination}, menene sunan yankin da ${hoh_roster_name} ya koma?</t>
  </si>
  <si>
    <t>546. In ${hoh_destination}, what was the name of the region that ${hoh_roster_name} moved to?</t>
  </si>
  <si>
    <t>546. Dans ${hoh_destination}, quel était le nom de la région vers laquelle ${hoh_roster_name} a été déplacé ?</t>
  </si>
  <si>
    <t>546. A ${hoh_destination}, menene sunan yankin da ${hoh_roster_name} ya koma?</t>
  </si>
  <si>
    <t>hoh_dest_region_o</t>
  </si>
  <si>
    <t>507. Specify other</t>
  </si>
  <si>
    <t>507. Autre à préciser</t>
  </si>
  <si>
    <t>507. Wani daban a Bayyana</t>
  </si>
  <si>
    <t>547. Specify other</t>
  </si>
  <si>
    <t>547. Autre à préciser</t>
  </si>
  <si>
    <t>547. Wani daban a Bayyana</t>
  </si>
  <si>
    <t>hoh_dest_frequency</t>
  </si>
  <si>
    <t>508. How many times did ${hoh_roster_name} travel to ${hoh_destination} since ${period}?</t>
  </si>
  <si>
    <t>508. Combien de fois ${hoh_roster_name} s'est-il rendu à ${hoh_destination} depuis la ${period_french}?</t>
  </si>
  <si>
    <t>508. Sau nawa ${hoh_roster_name} yayi tafiya zuwa ${hoh_destination} tun daga wancan ${period_hausa}?</t>
  </si>
  <si>
    <t>548. How many times did ${hoh_roster_name} travel to ${hoh_destination} since ${period}?</t>
  </si>
  <si>
    <t>548. Combien de fois ${hoh_roster_name} s'est-il rendu à ${hoh_destination} depuis la ${period_french}?</t>
  </si>
  <si>
    <t>548. Sau nawa ${hoh_roster_name} yayi tafiya zuwa ${hoh_destination} tun daga wancan ${period_hausa}?</t>
  </si>
  <si>
    <t>Other Countries</t>
  </si>
  <si>
    <t>speedcheck_hoh_rosterdest_end</t>
  </si>
  <si>
    <t>members</t>
  </si>
  <si>
    <t>dur_hoh_rosterdest</t>
  </si>
  <si>
    <t>${hhmem1}</t>
  </si>
  <si>
    <t>hoh_failed_prep</t>
  </si>
  <si>
    <t>509. Since ${period}, was there ever a time when ${hoh_roster_name} planned to migrate but then had to cancel their plans?</t>
  </si>
  <si>
    <t>509. Depuis cette ${period_french}, y a-t-il déjà eu un moment où ${hoh_roster_name} avait prévu de migrer mais a ensuite dû annuler ses projets ?</t>
  </si>
  <si>
    <t>509. ${period_hausa}, ko akwai lokacin da ${hoh_roster_name} ya shirya zuwa biɗa amma sai ya soke shirinshi?</t>
  </si>
  <si>
    <t>${pm_activity} = -777</t>
  </si>
  <si>
    <t>549. Since ${period}, was there ever a time when ${hoh_roster_name} planned to migrate but then had to cancel their plans?</t>
  </si>
  <si>
    <t>549. Depuis cette ${period_french}, y a-t-il déjà eu un moment où ${hoh_roster_name} avait prévu de migrer mais a ensuite dû annuler ses projets ?</t>
  </si>
  <si>
    <t>549. ${period_hausa}, ko akwai lokacin da ${hoh_roster_name} ya shirya zuwa biɗa amma sai ya soke shirinshi?</t>
  </si>
  <si>
    <t>hoh_failed_prep_country</t>
  </si>
  <si>
    <t>510. Where did they plan to migrate?</t>
  </si>
  <si>
    <t>510. Où envisageait-il de migrer ?</t>
  </si>
  <si>
    <t>510. Ina ya shirya zuwa biɗar?</t>
  </si>
  <si>
    <t>${hhmem2}</t>
  </si>
  <si>
    <t>550. Where did they plan to migrate?</t>
  </si>
  <si>
    <t>550. Où envisageait-il de migrer ?</t>
  </si>
  <si>
    <t>550. Ina ya shirya zuwa biɗar?</t>
  </si>
  <si>
    <t>hoh_failed_prep_country_o</t>
  </si>
  <si>
    <t>511. Specify other</t>
  </si>
  <si>
    <t>511. Autre à préciser</t>
  </si>
  <si>
    <t>511. Wani daban a Bayyana</t>
  </si>
  <si>
    <t>if(${pm_activity} = -777, ${pm_activity_o}, choice-label(${pm_activity}, ${pm_activity}))</t>
  </si>
  <si>
    <t>551. Specify other</t>
  </si>
  <si>
    <t>551. Autre à préciser</t>
  </si>
  <si>
    <t>${hhmem3}</t>
  </si>
  <si>
    <t>551. Wani daban a Bayyana</t>
  </si>
  <si>
    <t>hoh_failed_repeat</t>
  </si>
  <si>
    <t>hoh_failed_index</t>
  </si>
  <si>
    <t>${hhmem4}</t>
  </si>
  <si>
    <t>Receiving payment includes the case when you are self-employed and earn a profit from your activities.</t>
  </si>
  <si>
    <t>Recevoir un paiement inclut le cas où vous êtes travailleur indépendant et tirez un profit de vos activités.</t>
  </si>
  <si>
    <t>Karɓar biyan kuɗi ya haɗa da aikin kanku da kuke yi wanda kuke samun riba a ciki.</t>
  </si>
  <si>
    <t>hoh_failed_country_index</t>
  </si>
  <si>
    <t>${hhmem5}</t>
  </si>
  <si>
    <t>hoh_failed_country</t>
  </si>
  <si>
    <t>${hhmem6}</t>
  </si>
  <si>
    <t>${pm_activity_paid} = 0</t>
  </si>
  <si>
    <t>hoh_failed_town</t>
  </si>
  <si>
    <t>512. In ${hoh_failed_country}, what was the name of the city or town that ${hoh_roster_name} planned to move to?</t>
  </si>
  <si>
    <t>512. Dans ${hoh_failed_country}, quel était le nom de la ville ou du village vers lequel ${hoh_roster_name} prévoyait de voyager ?</t>
  </si>
  <si>
    <t>512. A ƙasar ${hoh_failed_country}, menene sunan birni ko garin da sunan ${hoh_roster_name} yayi shirin zuwa?</t>
  </si>
  <si>
    <t>${hhmem7}</t>
  </si>
  <si>
    <t>552. In ${hoh_failed_country}, what was the name of the city or town that ${hoh_roster_name} planned to move to?</t>
  </si>
  <si>
    <t>552. Dans ${hoh_failed_country}, quel était le nom de la ville ou du village vers lequel ${hoh_roster_name} prévoyait de voyager ?</t>
  </si>
  <si>
    <t>552. A ƙasar ${hoh_failed_country}, menene sunan birni ko garin da sunan ${hoh_roster_name} yayi shirin zuwa?</t>
  </si>
  <si>
    <t>${pm_activity_notpaid} = -777</t>
  </si>
  <si>
    <t>hoh_failed_town_o</t>
  </si>
  <si>
    <t>513. Specify other</t>
  </si>
  <si>
    <t>${hhmem8}</t>
  </si>
  <si>
    <t>513. Autre à préciser</t>
  </si>
  <si>
    <t>513. Wani daban a Bayyana</t>
  </si>
  <si>
    <t>553. Specify other</t>
  </si>
  <si>
    <t>553. Autre à préciser</t>
  </si>
  <si>
    <t>553. Wani daban a Bayyana</t>
  </si>
  <si>
    <t xml:space="preserve">hoh_failed_region </t>
  </si>
  <si>
    <t>514. In ${hoh_failed_country}, what was the name of the region that ${hoh_roster_name} planned to move to?</t>
  </si>
  <si>
    <t>514. Dans ${hoh_failed_country}, quel était le nom de la région dans laquelle ${hoh_roster_name} prévoyait de voyager ?</t>
  </si>
  <si>
    <t>${hhmem9}</t>
  </si>
  <si>
    <t>514. A kasar ${hoh_failed_country}, menene sunan yankin da sunan ${hoh_roster_name} ya shirya zuwa?</t>
  </si>
  <si>
    <t>554. In ${hoh_failed_country}, what was the name of the region that ${hoh_roster_name} planned to move to?</t>
  </si>
  <si>
    <t>554. Dans ${hoh_failed_country}, quel était le nom de la région dans laquelle ${hoh_roster_name} prévoyait de voyager ?</t>
  </si>
  <si>
    <t>554. A kasar ${hoh_failed_country}, menene sunan yankin da sunan ${hoh_roster_name} ya shirya zuwa?</t>
  </si>
  <si>
    <t>hoh_failed_region_o</t>
  </si>
  <si>
    <t>515. Specify other</t>
  </si>
  <si>
    <t>515. Autre à préciser</t>
  </si>
  <si>
    <t>${hhmem10}</t>
  </si>
  <si>
    <t>515. Wani daban a Bayyana</t>
  </si>
  <si>
    <t>555. Specify other</t>
  </si>
  <si>
    <t>555. Autre à préciser</t>
  </si>
  <si>
    <t>555. Wani daban a Bayyana</t>
  </si>
  <si>
    <t>hoh_failed_prep_count</t>
  </si>
  <si>
    <t>516. How many times did they plan to migrate to ${hoh_failed_country} and fail?</t>
  </si>
  <si>
    <t>516. Combien de fois ont-ils prévu de migrer vers ${hoh_failed_country} et ont-ils échoué ?</t>
  </si>
  <si>
    <t>516. Sau nawa ya shirya zuwa ƙasar ${hoh_failed_country} kuma ya kasa?</t>
  </si>
  <si>
    <t>${hhmem11}</t>
  </si>
  <si>
    <t>556. How many times did they plan to migrate to ${hoh_failed_country} and fail?</t>
  </si>
  <si>
    <t>556. Combien de fois ont-ils prévu de migrer vers ${hoh_failed_country} et ont-ils échoué ?</t>
  </si>
  <si>
    <t>556. Sau nawa ya shirya zuwa ƙasar ${hoh_failed_country} kuma ya kasa?</t>
  </si>
  <si>
    <t>hoh_failed_prep_reason</t>
  </si>
  <si>
    <t>517. Why did they change their plans?</t>
  </si>
  <si>
    <t>517. Pourquoi a-t-il changé son plan?</t>
  </si>
  <si>
    <t>517. Me yasa ya fasa tafiyar?</t>
  </si>
  <si>
    <t>557. Why did they change their plans?</t>
  </si>
  <si>
    <t>557. Pourquoi a-t-il changé son plan?</t>
  </si>
  <si>
    <t>557. Me yasa ya fasa tafiyar?</t>
  </si>
  <si>
    <t>${hhmem12}</t>
  </si>
  <si>
    <t>hoh_failed_prep_reason_o</t>
  </si>
  <si>
    <t>518. Specify other reason</t>
  </si>
  <si>
    <t>518. Précisez une autre raison</t>
  </si>
  <si>
    <t>518. Baiyana wani dalili daban</t>
  </si>
  <si>
    <t>558. Specify other reason</t>
  </si>
  <si>
    <t>558. Précisez une autre raison</t>
  </si>
  <si>
    <t>558. Baiyana wani dalili daban</t>
  </si>
  <si>
    <t>${hhmem13}</t>
  </si>
  <si>
    <t>${speedcheck_pm_acts_end} - ${speedcheck_pm_acts_start}</t>
  </si>
  <si>
    <t>667. Goat</t>
  </si>
  <si>
    <t>667. Chèvre</t>
  </si>
  <si>
    <t>667. Akuya</t>
  </si>
  <si>
    <t>${hhmem14}</t>
  </si>
  <si>
    <t>speedcheck_hoh_roster_end</t>
  </si>
  <si>
    <t>668. Poultry</t>
  </si>
  <si>
    <t>668. Volaille</t>
  </si>
  <si>
    <t>668. Kaji</t>
  </si>
  <si>
    <t>dur_hoh_roster</t>
  </si>
  <si>
    <t>indexed-repeat(${pm_activity_name}, ${pm_locations_activity}, ${pm_location_act_index}, ${pm_activities}, 1)</t>
  </si>
  <si>
    <t>${hhmem15}</t>
  </si>
  <si>
    <t>hoh_members_above_7</t>
  </si>
  <si>
    <t>Members 7+</t>
  </si>
  <si>
    <t>Membres 7+</t>
  </si>
  <si>
    <t>Membobi 7+</t>
  </si>
  <si>
    <t>hoh_members_living_in_hh</t>
  </si>
  <si>
    <t>Members Living in HH</t>
  </si>
  <si>
    <t>hoh_members_in_hh</t>
  </si>
  <si>
    <t>${hhmem16}</t>
  </si>
  <si>
    <t>hoh_dom_mig</t>
  </si>
  <si>
    <t>hoh_border_cross</t>
  </si>
  <si>
    <t>indexed-repeat(${pm_activity_name}, ${pm_locations_activity}, ${pm_location_act_index}, ${pm_activities}, 2)</t>
  </si>
  <si>
    <t>hoh_border_cross_ecowas</t>
  </si>
  <si>
    <t>hoh_mig_any</t>
  </si>
  <si>
    <t>${hhmem17}</t>
  </si>
  <si>
    <t>hoh_hh_resources</t>
  </si>
  <si>
    <t>Household Resources</t>
  </si>
  <si>
    <t>hoh_hh_resources_note</t>
  </si>
  <si>
    <t>519. Now I will ask you about how your household manages its resources.</t>
  </si>
  <si>
    <t>519. Je vais maintenant vous demander comment votre ménage gère ses ressources.</t>
  </si>
  <si>
    <t>519. Yanzu zan tambaye ku yadda gidanku yake sarrafa dukiyoyinshi.</t>
  </si>
  <si>
    <t>indexed-repeat(${pm_activity_name}, ${pm_locations_activity}, ${pm_location_act_index}, ${pm_activities}, 3)</t>
  </si>
  <si>
    <t>559. Now I will ask you about how your household manages its resources.</t>
  </si>
  <si>
    <t>559. Je vais maintenant vous demander comment votre ménage gère ses ressources.</t>
  </si>
  <si>
    <t>559. Yanzu zan tambaye ku yadda gidanku yake sarrafa dukiyoyinshi.</t>
  </si>
  <si>
    <t>${hhmem18}</t>
  </si>
  <si>
    <t>hoh_own_home</t>
  </si>
  <si>
    <t>520. Do you or another member of the household own this house?</t>
  </si>
  <si>
    <t>520. Est-ce que vous ou un autre membre du ménage êtes propriétaire de cette maison ?</t>
  </si>
  <si>
    <t>520. Shin wannan gidan mallakarku ne kai ko wani dan cikin gidan ?</t>
  </si>
  <si>
    <t>560. Do you or another member of the household own this house?</t>
  </si>
  <si>
    <t>560. Est-ce que vous ou un autre membre du ménage êtes propriétaire de cette maison ?</t>
  </si>
  <si>
    <t>560. Shin wannan gidan mallakarku ne kai ko wani dan cikin gidan ?</t>
  </si>
  <si>
    <t>hoh_home_value</t>
  </si>
  <si>
    <t>521. What is your best estimate of the value of your home in CFA?</t>
  </si>
  <si>
    <t>521. Quelle est votre meilleure estimation de la valeur de votre maison en CFA ?</t>
  </si>
  <si>
    <t>521. A ganinka wannan gidan aƙalla ya yi nawa a kudin CFA ?</t>
  </si>
  <si>
    <t>${hhmem19}</t>
  </si>
  <si>
    <t>561. What is your best estimate of the value of your home in CFA?</t>
  </si>
  <si>
    <t>561. Quelle est votre meilleure estimation de la valeur de votre maison en CFA ?</t>
  </si>
  <si>
    <t>561. A ganinka wannan gidan aƙalla ya yi nawa a kudin CFA ?</t>
  </si>
  <si>
    <t>indexed-repeat(${pm_activity_name}, ${pm_locations_activity}, ${pm_location_act_index}, ${pm_activities}, 4)</t>
  </si>
  <si>
    <t>select_multiple assets</t>
  </si>
  <si>
    <t>hoh_durable_asset</t>
  </si>
  <si>
    <t>522. Does your household own the following goods?</t>
  </si>
  <si>
    <t>522. Votre ménage possède-t-il les biens suivants ?</t>
  </si>
  <si>
    <t>522. Ko gidanku na da kadarori masu zuwa?</t>
  </si>
  <si>
    <t>562. Does your household own the following goods?</t>
  </si>
  <si>
    <t>562. Votre ménage possède-t-il les biens suivants ?</t>
  </si>
  <si>
    <t>562. Ko gidanku na da kadarori masu zuwa?</t>
  </si>
  <si>
    <t>select_multiple livestock</t>
  </si>
  <si>
    <t>${hhmem20}</t>
  </si>
  <si>
    <t>hoh_livestock_any</t>
  </si>
  <si>
    <t>523. Does your household own any of the following types of livestock?</t>
  </si>
  <si>
    <t>523. Votre ménage possède-t-il l'un des types de bétail suivants ?</t>
  </si>
  <si>
    <t>523. ko gidanku yana da ɗaya daga cikin irin wadannan dabbobi?</t>
  </si>
  <si>
    <t>563. Does your household own any of the following types of livestock?</t>
  </si>
  <si>
    <t>563. Votre ménage possède-t-il l'un des types de bétail suivants ?</t>
  </si>
  <si>
    <t>563. ko gidanku yana da ɗaya daga cikin irin wadannan dabbobi?</t>
  </si>
  <si>
    <t>speedcheck_hoh_livestock_start</t>
  </si>
  <si>
    <t>indexed-repeat(${pm_activity_name}, ${pm_locations_activity}, ${pm_location_act_index}, ${pm_activities}, 5)</t>
  </si>
  <si>
    <t>${hhmem21}</t>
  </si>
  <si>
    <t>hoh_livestock</t>
  </si>
  <si>
    <t>Assets</t>
  </si>
  <si>
    <t>Actifs</t>
  </si>
  <si>
    <t>Kadara</t>
  </si>
  <si>
    <t>${hhmem22}</t>
  </si>
  <si>
    <t>hoh_livestock_name</t>
  </si>
  <si>
    <t xml:space="preserve">Asset Name </t>
  </si>
  <si>
    <t>Nom de l'actif</t>
  </si>
  <si>
    <t>Sunan kadara</t>
  </si>
  <si>
    <t>hoh_livestock_own</t>
  </si>
  <si>
    <t>524. How many ${hoh_livestock_name} does your household own?</t>
  </si>
  <si>
    <t>524. Combien de ${hoh_livestock_name} votre ménage possède-t-il ?</t>
  </si>
  <si>
    <t>524. ${hoh_livestock_name} Nawa gidan ku ya mallaka ?</t>
  </si>
  <si>
    <t>${hhmem23}</t>
  </si>
  <si>
    <t>564. How many ${hoh_livestock_name} does your household own?</t>
  </si>
  <si>
    <t>564. Combien de ${hoh_livestock_name} votre ménage possède-t-il ?</t>
  </si>
  <si>
    <t>564. ${hoh_livestock_name} Nawa gidan ku ya mallaka ?</t>
  </si>
  <si>
    <t>hoh_livestock_value</t>
  </si>
  <si>
    <t>525. How much is ${hoh_livestock_name} worth in CFA?</t>
  </si>
  <si>
    <t>525. Combien vaut ${hoh_livestock_name} en CFA ?</t>
  </si>
  <si>
    <t>525. Nawa ne kuɗin ${hoh_livestock_name} a sefa?</t>
  </si>
  <si>
    <t>${pm_activity_desc_count}&gt;0</t>
  </si>
  <si>
    <t>565. How much is ${hoh_livestock_name} worth in CFA?</t>
  </si>
  <si>
    <t>565. Combien vaut ${hoh_livestock_name} en CFA ?</t>
  </si>
  <si>
    <t>565. Nawa ne kuɗin ${hoh_livestock_name} a sefa?</t>
  </si>
  <si>
    <t>filter &lt;= ${pm_activity_desc_count}</t>
  </si>
  <si>
    <t>${hhmem24}</t>
  </si>
  <si>
    <t>679. Please go back and correct the number.</t>
  </si>
  <si>
    <t>679. Veuillez revenir en arrière pour corriger le numéro.</t>
  </si>
  <si>
    <t>679. Da fatan za ka koma baya ka gyara lambar.</t>
  </si>
  <si>
    <t>speedcheck_hoh_livestock_end</t>
  </si>
  <si>
    <t>680. Do you have other phone numbers that you use regularly (i.e. other phone carriers)?</t>
  </si>
  <si>
    <t>680. Avez-vous d'autres numéros de téléphone que vous utilisez régulièrement (c'est-à-dire d'autres opérateurs téléphoniques) ?</t>
  </si>
  <si>
    <t>680. Ko kuna da wasu lambobin waya waɗanda kuke amfani da su kai-akai (layin wasu gidan wayar salula)?</t>
  </si>
  <si>
    <t>dur_hoh_livestock</t>
  </si>
  <si>
    <t>indexed-repeat(${pm_activity_name}, ${pm_locations_activity}, ${pm_location_act_index}, ${pm_activities}, ${pm_primary_activity})</t>
  </si>
  <si>
    <t>${hhmem25}</t>
  </si>
  <si>
    <t>681. How many other additional phone numbers?</t>
  </si>
  <si>
    <t>681. Y-a t-il d'autres numéros de téléphone supplémentaires ?</t>
  </si>
  <si>
    <t>681. 220 a. Ko akwai ƙarin wasu lambobin waya?</t>
  </si>
  <si>
    <t>speedcheck_hoh_land_start</t>
  </si>
  <si>
    <t>hoh_agriculture_note</t>
  </si>
  <si>
    <t>526. Now we'll talk about your households' agricultural and and animal husbandry activities. 
 Let's starting with the most recent agricultural season</t>
  </si>
  <si>
    <t>526. Maintenant, nous allons parler des activités agricoles et d'élevage de votre ménage.
 Commençons par la dernière saison agricole</t>
  </si>
  <si>
    <t>526. Yanzu za mu yi hira bisa aikin noma da kiwo na gidanku.</t>
  </si>
  <si>
    <t>${hhmem26}</t>
  </si>
  <si>
    <t>566. Now we'll talk about your households' agricultural and and animal husbandry activities. 
 Let's starting with the most recent agricultural season</t>
  </si>
  <si>
    <t>566. Maintenant, nous allons parler des activités agricoles et d'élevage de votre ménage.
 Commençons par la dernière saison agricole</t>
  </si>
  <si>
    <t>566. Yanzu za mu yi hira bisa aikin noma da kiwo na gidanku.</t>
  </si>
  <si>
    <t>indexed-repeat(${pm_activity_paid}, ${pm_locations_activity}, ${pm_location_act_index}, ${pm_activities}, ${pm_primary_activity})</t>
  </si>
  <si>
    <t>hoh_land_access_amt</t>
  </si>
  <si>
    <t>${hhmem27}</t>
  </si>
  <si>
    <t>527. Thinking of all the agricultural land your household owned, rented or and had access to during the last agricultural season, please estimate its total size in hectres</t>
  </si>
  <si>
    <t>527. En pensant à toutes les terres agricoles que votre ménage possédait, louait ou auxquelles il avait accès au cours de la dernière saison agricole, veuillez estimer leur superficie totale en hectares</t>
  </si>
  <si>
    <t>527. A ganinka da gonakan da kuka mallaka da na haya da na aro wanda kuka noma a bana sun kai eka nawa?</t>
  </si>
  <si>
    <t>567. Thinking of all the agricultural land your household owned, rented or and had access to during the last agricultural season, please estimate its total size in hectres</t>
  </si>
  <si>
    <t>567. En pensant à toutes les terres agricoles que votre ménage possédait, louait ou auxquelles il avait accès au cours de la dernière saison agricole, veuillez estimer leur superficie totale en hectares</t>
  </si>
  <si>
    <t>567. A ganinka da gonakan da kuka mallaka da na haya da na aro wanda kuka noma a bana sun kai eka nawa?</t>
  </si>
  <si>
    <t>hoh_own_hectares</t>
  </si>
  <si>
    <t>528. How much of this land (in hectares) do you or another member of your household own?</t>
  </si>
  <si>
    <t>528. Quelle superficie de cette terre (en hectares) vous ou un autre membre de votre ménage possédez?</t>
  </si>
  <si>
    <t>528. Eka nawa ne mallakinku cikin wadannan gonakin, ku ko wani ɗan gidanku?</t>
  </si>
  <si>
    <t>568. How much of this land (in hectares) do you or another member of your household own?</t>
  </si>
  <si>
    <t>${hhmem28}</t>
  </si>
  <si>
    <t>568. Quelle superficie de cette terre (en hectares) vous ou un autre membre de votre ménage possédez?</t>
  </si>
  <si>
    <t>568. Eka nawa ne mallakinku cikin wadannan gonakin, ku ko wani ɗan gidanku?</t>
  </si>
  <si>
    <t>hoh_land_sold</t>
  </si>
  <si>
    <t>529. How much of this land, if any have you sold in the past year?</t>
  </si>
  <si>
    <t>529. Quelle superficie de ce terrain, si c'est déjà arrivé, avez-vous vendu au cours de l'année écoulée ?</t>
  </si>
  <si>
    <t>529. Eka nawa ne kuka saida, idan ya taɓa faruwa, a cikin shekarar da ta gabata?</t>
  </si>
  <si>
    <t>569. How much of this land, if any have you sold in the past year?</t>
  </si>
  <si>
    <t>569. Quelle superficie de ce terrain, si c'est déjà arrivé, avez-vous vendu au cours de l'année écoulée ?</t>
  </si>
  <si>
    <t>569. Eka nawa ne kuka saida, idan ya taɓa faruwa, a cikin shekarar da ta gabata?</t>
  </si>
  <si>
    <t>hoh_land_purchased</t>
  </si>
  <si>
    <t>530. How much of this land, if any have you purchased in the past year?</t>
  </si>
  <si>
    <t>530. Quelle superficie de ce terrain, si c'est déjà arrivé, avez-vous acheté au cours de la dernière année ?</t>
  </si>
  <si>
    <t>530. Eka nawa ne kuka saye, idan ya faru, a cikin shekarar da ta gabata?</t>
  </si>
  <si>
    <t>(. &gt;= 0 and . &lt;= 40) and (. &lt;= ${pm_location_weeks} or empty(${pm_location_weeks}))</t>
  </si>
  <si>
    <t>Please enter an integer less than or equal to the full length of your stay.</t>
  </si>
  <si>
    <t>570. How much of this land, if any have you purchased in the past year?</t>
  </si>
  <si>
    <t>Veuillez saisir un nombre entier inférieur ou égal à la durée totale de votre séjour.</t>
  </si>
  <si>
    <t>570. Quelle superficie de ce terrain, si c'est déjà arrivé, avez-vous acheté au cours de la dernière année ?</t>
  </si>
  <si>
    <t>Da fatan za ka rubuta wani adadi ƙasa ko daidai da tsawon lokacin zaman ku.</t>
  </si>
  <si>
    <t>570. Eka nawa ne kuka saye, idan ya faru, a cikin shekarar da ta gabata?</t>
  </si>
  <si>
    <t>hoh_rent_land</t>
  </si>
  <si>
    <t>531. How much of this land (in hectares) did you rent during the last agricultural season?</t>
  </si>
  <si>
    <t>531. Quelle superficie de cette terre (en hectares) avez-vous louée au cours de la dernière saison agricole ?</t>
  </si>
  <si>
    <t>531. Eka nawa ne kuka yi haya a lokacin noman da ta wuce?</t>
  </si>
  <si>
    <t>571. How much of this land (in hectares) did you rent during the last agricultural season?</t>
  </si>
  <si>
    <t>571. Quelle superficie de cette terre (en hectares) avez-vous louée au cours de la dernière saison agricole ?</t>
  </si>
  <si>
    <t>571. Eka nawa ne kuka yi haya a lokacin noman da ta wuce?</t>
  </si>
  <si>
    <t>hoh_rent_land_amt</t>
  </si>
  <si>
    <t>532. How much did you pay to rent this land during the last agricultural season (in CFA)?</t>
  </si>
  <si>
    <t>532. A combien avez-vous loué ce terrain (en CFA) au cours de la dernière saison agricole ?</t>
  </si>
  <si>
    <t>532. A nawa kuka yi hayar wannan gonar a lokacin noman da ta wuce (a sefa)?</t>
  </si>
  <si>
    <t>unavail_why</t>
  </si>
  <si>
    <t>Sick</t>
  </si>
  <si>
    <t>572. How much did you pay to rent this land during the last agricultural season (in CFA)?</t>
  </si>
  <si>
    <t>572. A combien avez-vous loué ce terrain (en CFA) au cours de la dernière saison agricole ?</t>
  </si>
  <si>
    <t>572. A nawa kuka yi hayar wannan gonar a lokacin noman da ta wuce (a sefa)?</t>
  </si>
  <si>
    <t>speedcheck_hoh_land_end</t>
  </si>
  <si>
    <t>Malade</t>
  </si>
  <si>
    <t>Rishin lafia</t>
  </si>
  <si>
    <t>dur_hoh_land</t>
  </si>
  <si>
    <t>${pm_primary_activity_paid} = 1</t>
  </si>
  <si>
    <t>hoh_last_season_note</t>
  </si>
  <si>
    <t>533. Now we will focus on agricultural activities during last agricultural season</t>
  </si>
  <si>
    <t>533. Maintenant, nous allons nous concentrer sur les activités agricoles au cours de la dernière saison agricole</t>
  </si>
  <si>
    <t>533. Yanzu za mu maida hankali kan ayyukan noma a lokacin damanar da ta wuce</t>
  </si>
  <si>
    <t>ya rasou</t>
  </si>
  <si>
    <t>573. Now we will focus on agricultural activities during last agricultural season</t>
  </si>
  <si>
    <t>573. Maintenant, nous allons nous concentrer sur les activités agricoles au cours de la dernière saison agricole</t>
  </si>
  <si>
    <t>573. Yanzu za mu maida hankali kan ayyukan noma a lokacin damanar da ta wuce</t>
  </si>
  <si>
    <t>select_multiple crops</t>
  </si>
  <si>
    <t>hoh_crops</t>
  </si>
  <si>
    <t>534. Which of the following crops did your household grow during the last agricultural season?</t>
  </si>
  <si>
    <t>534. Laquelle des cultures suivantes votre ménage a-t-il cultivées au cours de la dernière saison agricole ?</t>
  </si>
  <si>
    <t>534. Wanne daga cikin waɗannan amfanin gidanku ya noma a damanar da ta gabata?</t>
  </si>
  <si>
    <t>574. Which of the following crops did your household grow during the last agricultural season?</t>
  </si>
  <si>
    <t>574. Laquelle des cultures suivantes votre ménage a-t-il cultivées au cours de la dernière saison agricole ?</t>
  </si>
  <si>
    <t>574. Wanne daga cikin waɗannan amfanin gidanku ya noma a damanar da ta gabata?</t>
  </si>
  <si>
    <t>hoh_crops_o</t>
  </si>
  <si>
    <t>saki</t>
  </si>
  <si>
    <t>535. Specify other:</t>
  </si>
  <si>
    <t>535. Précisez la culture</t>
  </si>
  <si>
    <t>535. Baiyana wani abu daban:</t>
  </si>
  <si>
    <t>${pm_primary_activity_paid} = 1 and selected(${pm_main_activity_pay_type}, '1')</t>
  </si>
  <si>
    <t>575. Specify other:</t>
  </si>
  <si>
    <t>575. Précisez la culture</t>
  </si>
  <si>
    <t>575. Baiyana wani abu daban:</t>
  </si>
  <si>
    <t>speedcheck_hoh_cropsinfo_start</t>
  </si>
  <si>
    <t>690. I am going to call this phone number to confirm it is correct. [Enumerator: Did the phone ring?]</t>
  </si>
  <si>
    <t>690. Je vais appeler ce numéro de téléphone pour confirmer qu'il est correct. [Enquêteur : Le téléphone a-t-il sonné ?]</t>
  </si>
  <si>
    <t>690. Zan kirayi wannan lambar wayar don tabbatar da daidai ce. [Ɗan bincike: Wayar ta yi ƙara?]</t>
  </si>
  <si>
    <t>hoh_crops_info</t>
  </si>
  <si>
    <t>Crops - ${hoh_crop_name}</t>
  </si>
  <si>
    <t>Away from home</t>
  </si>
  <si>
    <t>Cultures - ${hoh_crop_name}</t>
  </si>
  <si>
    <t>Exode</t>
  </si>
  <si>
    <t>amfanin gona - ${hoh_crop_name}</t>
  </si>
  <si>
    <t>tabarada</t>
  </si>
  <si>
    <t>691. Please go back and enter a new phone number.</t>
  </si>
  <si>
    <t>691. Veuillez ressaisir le numéro</t>
  </si>
  <si>
    <t>691. Da fatan zaku rubuta lambar</t>
  </si>
  <si>
    <t>hoh_crop_name</t>
  </si>
  <si>
    <t>Crop Name</t>
  </si>
  <si>
    <t>Nom de la culture</t>
  </si>
  <si>
    <t>Sunan amfanin gona</t>
  </si>
  <si>
    <t>${pm_primary_activity_paid} = 1 and selected(${pm_main_activity_pay_type}, '2')</t>
  </si>
  <si>
    <t>Visited another village</t>
  </si>
  <si>
    <t>Rendu visite dans un autre village</t>
  </si>
  <si>
    <t>Ya ziyarci wani kauye</t>
  </si>
  <si>
    <t>hoh_crop_desc</t>
  </si>
  <si>
    <t>hoh_crop_quantity</t>
  </si>
  <si>
    <t>536. How much of ${hoh_crop_name} did your household produce?</t>
  </si>
  <si>
    <t>536. Quelle quantité de ${hoh_crop_name} votre ménage a-t-il produit ?</t>
  </si>
  <si>
    <t>536. ${hoh_crop_name} Nawa gidanku ya samu?</t>
  </si>
  <si>
    <t>576. How much of ${hoh_crop_name} did your household produce?</t>
  </si>
  <si>
    <t>576. Quelle quantité de ${hoh_crop_name} votre ménage a-t-il produit ?</t>
  </si>
  <si>
    <t>576. ${hoh_crop_name} Nawa gidanku ya samu?</t>
  </si>
  <si>
    <t>select_one unit</t>
  </si>
  <si>
    <t>hoh_crop_unit</t>
  </si>
  <si>
    <t>537. Select crop unit for ${hoh_crop_name}</t>
  </si>
  <si>
    <t>537. Sélectionnez l'unité de culture pour ${hoh_crop_name}</t>
  </si>
  <si>
    <t>537. Zaɓi amfanin gonar don ${hoh_crop_name}</t>
  </si>
  <si>
    <t>577. Select crop unit for ${hoh_crop_name}</t>
  </si>
  <si>
    <t>577. Sélectionnez l'unité de culture pour ${hoh_crop_name}</t>
  </si>
  <si>
    <t>577. Zaɓi amfanin gonar don ${hoh_crop_name}</t>
  </si>
  <si>
    <t>hoh_crop_unit_o</t>
  </si>
  <si>
    <t>538. Specify other unit:</t>
  </si>
  <si>
    <t>538. Spécifiez une autre unité :</t>
  </si>
  <si>
    <t>538. Baiyana wani amfanin gonar daban:</t>
  </si>
  <si>
    <t>578. Specify other unit:</t>
  </si>
  <si>
    <t>578. Spécifiez une autre unité :</t>
  </si>
  <si>
    <t>578. Baiyana wani amfanin gonar daban:</t>
  </si>
  <si>
    <t>hoh_crop_unit_name</t>
  </si>
  <si>
    <t>Unit Name</t>
  </si>
  <si>
    <t>pm_prev_locations_opt</t>
  </si>
  <si>
    <t>${pm_prev_location1}</t>
  </si>
  <si>
    <t>hoh_qty_sold</t>
  </si>
  <si>
    <t>not(count-selected(.) &gt; 1 and selected(., '0'))</t>
  </si>
  <si>
    <t>539. What quantity (${hoh_crop_unit_name}) of ${hoh_crop_name} did your household sell since the last harvest?</t>
  </si>
  <si>
    <t>539. Quelle quantité (${hoh_crop_unit_name}) de ${hoh_crop_name} votre ménage a-t-il vendu depuis la dernière récolte ?</t>
  </si>
  <si>
    <t>539. Nawa ne yawan (${hoh_crop_unit_name}) na ${hoh_crop_name} gidanku ya saida tun daga kaka na ƙarshe?</t>
  </si>
  <si>
    <t>${pm_activity_name_employer} &gt; 1</t>
  </si>
  <si>
    <t>579. What quantity (${hoh_crop_unit_name}) of ${hoh_crop_name} did your household sell since the last harvest?</t>
  </si>
  <si>
    <t>579. Quelle quantité (${hoh_crop_unit_name}) de ${hoh_crop_name} votre ménage a-t-il vendu depuis la dernière récolte ?</t>
  </si>
  <si>
    <t>579. Nawa ne yawan (${hoh_crop_unit_name}) na ${hoh_crop_name} gidanku ya saida tun daga kaka na ƙarshe?</t>
  </si>
  <si>
    <t>hoh_price_sold</t>
  </si>
  <si>
    <t>540. What was the price per ${hoh_crop_unit_name} of ${hoh_crop_name} you sold in CFA?</t>
  </si>
  <si>
    <t>540. Quel était le prix unitaire (${hoh_crop_unit_name}) de ${hoh_crop_name} que vous avez vendu en CFA ?</t>
  </si>
  <si>
    <t>540. Nawa farashin kowane ${hoh_crop_unit_name} na ${hoh_crop_name} da kuka saida a CFA?</t>
  </si>
  <si>
    <t>580. What was the price per ${hoh_crop_unit_name} of ${hoh_crop_name} you sold in CFA?</t>
  </si>
  <si>
    <t>580. Quel était le prix unitaire (${hoh_crop_unit_name}) de ${hoh_crop_name} que vous avez vendu en CFA ?</t>
  </si>
  <si>
    <t>580. Nawa farashin kowane ${hoh_crop_unit_name} na ${hoh_crop_name} da kuka saida a CFA?</t>
  </si>
  <si>
    <t>${pm_prev_location2}</t>
  </si>
  <si>
    <t>hoh_qty_consume</t>
  </si>
  <si>
    <t>541. How many ${hoh_crop_unit_name}s of ${hoh_crop_name} did your household consume?</t>
  </si>
  <si>
    <t>541. Quelle quantité (${hoh_crop_unit_name}) de ${hoh_crop_name} votre ménage a-t-il consommé ?</t>
  </si>
  <si>
    <t>541. Nawa yawan ${hoh_crop_unit_name} na ${hoh_crop_name} gidanku ya cinye?</t>
  </si>
  <si>
    <t>selected(${pm_main_activity_other_benefit}, '-777')</t>
  </si>
  <si>
    <t>581. How many ${hoh_crop_unit_name}s of ${hoh_crop_name} did your household consume?</t>
  </si>
  <si>
    <t>581. Quelle quantité (${hoh_crop_unit_name}) de ${hoh_crop_name} votre ménage a-t-il consommé ?</t>
  </si>
  <si>
    <t>581. Nawa yawan ${hoh_crop_unit_name} na ${hoh_crop_name} gidanku ya cinye?</t>
  </si>
  <si>
    <t>hoh_price_consume</t>
  </si>
  <si>
    <t>542. If you were to sell the ${hoh_crop_name} that you consumed, what would be the price per ${hoh_crop_unit_name} in CFA?</t>
  </si>
  <si>
    <t>542. Si vous devriez vendre les ${hoh_crop_name} que vous avez consommés, quel serait le prix par ${hoh_crop_unit_name} en CFA ?</t>
  </si>
  <si>
    <t>${pm_prev_location3}</t>
  </si>
  <si>
    <t>542. Idan za ku sayar da ${hoh_crop_name} da kuka cinye, nawa zaku iya sayar da $ {hoh_crop_unit_name} a CFA?</t>
  </si>
  <si>
    <t>582. If you were to sell the ${hoh_crop_name} that you consumed, what would be the price per ${hoh_crop_unit_name} in CFA?</t>
  </si>
  <si>
    <t>582. Si vous devriez vendre les ${hoh_crop_name} que vous avez consommés, quel serait le prix par ${hoh_crop_unit_name} en CFA ?</t>
  </si>
  <si>
    <t>582. Idan za ku sayar da ${hoh_crop_name} da kuka cinye, nawa zaku iya sayar da $ {hoh_crop_unit_name} a CFA?</t>
  </si>
  <si>
    <t>hoh_qty_left</t>
  </si>
  <si>
    <t>If they do not know, enter -999</t>
  </si>
  <si>
    <t>S'ils ne le savent pas, entrez -999</t>
  </si>
  <si>
    <t>Idan ba su sani ba, shigar da -999</t>
  </si>
  <si>
    <t>. &gt;= 0 or . = -999</t>
  </si>
  <si>
    <t>selected(${pm_main_activity_other_benefit}, '1')</t>
  </si>
  <si>
    <t>700. Please go back and enter a new phone number.</t>
  </si>
  <si>
    <t>700. Veuillez ressaisir le numéro</t>
  </si>
  <si>
    <t xml:space="preserve">700. </t>
  </si>
  <si>
    <t>${pm_prev_location4}</t>
  </si>
  <si>
    <t>hoh_qty_left_over</t>
  </si>
  <si>
    <t>543. The amount you have left (${hoh_qty_left}) is negative. Please return and revise your responses.</t>
  </si>
  <si>
    <t>543. Le montant qu'il vous reste (${hoh_qty_left}) est négatif. Veuillez revenir et réviser vos réponses.</t>
  </si>
  <si>
    <t>543. jimillar kuɗin da suka saura (${hoh_qty_left}) maras kyau ne. Da fatan za a dawo a sake duba amsoshin.</t>
  </si>
  <si>
    <t>583. The amount you have left (${hoh_qty_left}) is negative. Please return and revise your responses.</t>
  </si>
  <si>
    <t>583. Le montant qu'il vous reste (${hoh_qty_left}) est négatif. Veuillez revenir et réviser vos réponses.</t>
  </si>
  <si>
    <t>583. jimillar kuɗin da suka saura (${hoh_qty_left}) maras kyau ne. Da fatan za a dawo a sake duba amsoshin.</t>
  </si>
  <si>
    <t>hoh_qty_left_confirm</t>
  </si>
  <si>
    <t>544. Based on your responses, you had ${hoh_qty_left} ${hoh_crop_unit_name} left over. Does this sound correct?</t>
  </si>
  <si>
    <t>544. D'après vos réponses, il vous restait ${hoh_qty_left} ${hoh_crop_unit_name}. Est-ce que cela semble correct ?</t>
  </si>
  <si>
    <t>544. Dangane da amsoshinku, kuna da sauran ${hoh_qty_left} ${hoh_crop_unit_name}. Ko wannan yayi daidai?</t>
  </si>
  <si>
    <t>${pm_prev_location5}</t>
  </si>
  <si>
    <t>584. Based on your responses, you had ${hoh_qty_left} ${hoh_crop_unit_name} left over. Does this sound correct?</t>
  </si>
  <si>
    <t>selected(${pm_main_activity_other_benefit}, '2')</t>
  </si>
  <si>
    <t>584. D'après vos réponses, il vous restait ${hoh_qty_left} ${hoh_crop_unit_name}. Est-ce que cela semble correct ?</t>
  </si>
  <si>
    <t>584. Dangane da amsoshinku, kuna da sauran ${hoh_qty_left} ${hoh_crop_unit_name}. Ko wannan yayi daidai?</t>
  </si>
  <si>
    <t>hoh_price_left</t>
  </si>
  <si>
    <t>542. If you were to sell the ${hoh_crop_name} that you had left over, what would be the price per ${hoh_crop_unit_name} in CFA?</t>
  </si>
  <si>
    <t>542. Si vous deviez vendre les ${hoh_crop_name} qui vous reste, quel serait le prix par ${hoh_crop_unit_name} en CFA ?</t>
  </si>
  <si>
    <t>542. Idan za ku sayar da ${hoh_crop_name} da ya muku saura, zaku iya sayar da $ {hoh_crop_unit_name} a CFA?</t>
  </si>
  <si>
    <t>585. If you were to sell the ${hoh_crop_name} that you had left over, what would be the price per ${hoh_crop_unit_name} in CFA?</t>
  </si>
  <si>
    <t>585. Si vous deviez vendre les ${hoh_crop_name} qui vous reste, quel serait le prix par ${hoh_crop_unit_name} en CFA ?</t>
  </si>
  <si>
    <t>585. Idan za ku sayar da ${hoh_crop_name} da ya muku saura, zaku iya sayar da $ {hoh_crop_unit_name} a CFA?</t>
  </si>
  <si>
    <t>hoh_crop_revenue</t>
  </si>
  <si>
    <t>702. How impatient was the respondent?</t>
  </si>
  <si>
    <t>702. À quel point le répondant était-il impatient ?</t>
  </si>
  <si>
    <t>selected(${pm_main_activity_other_benefit}, '3')</t>
  </si>
  <si>
    <t>702. Yaya kake ganin rashin haƙurin mai bada amsa?</t>
  </si>
  <si>
    <t>Crops</t>
  </si>
  <si>
    <t>Cultures</t>
  </si>
  <si>
    <t>amfanin gona</t>
  </si>
  <si>
    <t>savings_reasons</t>
  </si>
  <si>
    <t>No plan</t>
  </si>
  <si>
    <t>Aucun projet</t>
  </si>
  <si>
    <t>Babu shiri</t>
  </si>
  <si>
    <t>hh_agr_expenses</t>
  </si>
  <si>
    <t>Household Agriculture Expenses</t>
  </si>
  <si>
    <t>Dépenses agricoles du ménage</t>
  </si>
  <si>
    <t>To make a major purchase</t>
  </si>
  <si>
    <t>Kashe kashen kuɗin aikin gona na gida</t>
  </si>
  <si>
    <t>Pour faire un achat important</t>
  </si>
  <si>
    <t>Don yin muhimmin sayeyya</t>
  </si>
  <si>
    <t>hoh_spend_ag</t>
  </si>
  <si>
    <t>545. How much did your household spend on the following types of expenses during the last agricultural season in CFA?</t>
  </si>
  <si>
    <t>545. Combien votre ménage a-t-il dépensé pour les types de dépenses suivantes au cours de la dernière saison agricole (en CFA) ?</t>
  </si>
  <si>
    <t>${pm_activity_name_employer} &gt; 1 and ${pm_primary_activity_paid} = 1</t>
  </si>
  <si>
    <t>545. Nawa ne gidanku ya kashe akan waɗannan abubuwan a lokacin noman da ya wuce (a sefa)?</t>
  </si>
  <si>
    <t>For unforeseen expenses, emergencies</t>
  </si>
  <si>
    <t>Pour des dépenses imprévues, des urgences</t>
  </si>
  <si>
    <t>586. How much did your household spend on the following types of expenses during the last agricultural season in CFA?</t>
  </si>
  <si>
    <t>Don kashe kashen kudaden ba zata ba, na gaggawa</t>
  </si>
  <si>
    <t>586. Combien votre ménage a-t-il dépensé pour les types de dépenses suivantes au cours de la dernière saison agricole (en CFA) ?</t>
  </si>
  <si>
    <t>586. Nawa ne gidanku ya kashe akan waɗannan abubuwan a lokacin noman da ya wuce (a sefa)?</t>
  </si>
  <si>
    <t>hoh_spend_seeds</t>
  </si>
  <si>
    <t>546. Seeds</t>
  </si>
  <si>
    <t>546. Semences</t>
  </si>
  <si>
    <t>546. Iri</t>
  </si>
  <si>
    <t>587. Seeds</t>
  </si>
  <si>
    <t>587. Semences</t>
  </si>
  <si>
    <t>587. Iri</t>
  </si>
  <si>
    <t>hoh_spend_fert</t>
  </si>
  <si>
    <t>547. Fertilizer</t>
  </si>
  <si>
    <t>547. Engrais</t>
  </si>
  <si>
    <t>547. Takin zamani</t>
  </si>
  <si>
    <t>To build/repair a home</t>
  </si>
  <si>
    <t>Pour construire/réparer une maison</t>
  </si>
  <si>
    <t>Don ginawa/gyara gida</t>
  </si>
  <si>
    <t>588. Fertilizer</t>
  </si>
  <si>
    <t>${pm_main_activity_deduct} = 1</t>
  </si>
  <si>
    <t>588. Engrais</t>
  </si>
  <si>
    <t>588. Takin zamani</t>
  </si>
  <si>
    <t>hoh_spend_rent</t>
  </si>
  <si>
    <t>548. Renting machines and tools (i.e. for plowing or spraying)</t>
  </si>
  <si>
    <t>548. Location de machines et d'outils (c'est-à-dire pour labourer ou pulvériser)</t>
  </si>
  <si>
    <t>548. Hayar injina da kayan aiki ( don noma ko feshi)</t>
  </si>
  <si>
    <t>589. Renting machines and tools (i.e. for plowing or spraying)</t>
  </si>
  <si>
    <t>589. Location de machines et d'outils (c'est-à-dire pour labourer ou pulvériser)</t>
  </si>
  <si>
    <t>589. Hayar injina da kayan aiki ( don noma ko feshi)</t>
  </si>
  <si>
    <t>To migrate or support someone else’s migration</t>
  </si>
  <si>
    <t>Pour migrer ou soutenir la migration d'une autre personne</t>
  </si>
  <si>
    <t>hoh_spend_water</t>
  </si>
  <si>
    <t>Don balaguro ko tallafawa balaguron wani</t>
  </si>
  <si>
    <t>549. Water</t>
  </si>
  <si>
    <t>549. Eau</t>
  </si>
  <si>
    <t>549. Ruwa</t>
  </si>
  <si>
    <t>590. Water</t>
  </si>
  <si>
    <t>590. Eau</t>
  </si>
  <si>
    <t>590. Ruwa</t>
  </si>
  <si>
    <t>To get married</t>
  </si>
  <si>
    <t>Dépenses agricoles des ménages</t>
  </si>
  <si>
    <t>Pour se marier</t>
  </si>
  <si>
    <t>Kashe-kashen kuɗin aikin gona na gida</t>
  </si>
  <si>
    <t>Don yin aure</t>
  </si>
  <si>
    <t>speedcheck_hoh_cropsinfo_end</t>
  </si>
  <si>
    <t>dur_hoh_cropsinfo</t>
  </si>
  <si>
    <t>To pay for school fees</t>
  </si>
  <si>
    <t>Pour payer les frais de scolarité</t>
  </si>
  <si>
    <t>Domin biyan kudin makaranta</t>
  </si>
  <si>
    <t>if(empty(${pm_activity_payment_val}), 0,  ${pm_activity_payment_val} div ${pm_activity_weeks})</t>
  </si>
  <si>
    <t>speedcheck_hoh_labor_start</t>
  </si>
  <si>
    <t>hoh_work_note</t>
  </si>
  <si>
    <t>550. We want to understand how many days people worked in your fields and who did this work.</t>
  </si>
  <si>
    <t>550. Nous voulons comprendre combien de jours des gens ont travaillé dans vos champs et qui a fait ce travail.</t>
  </si>
  <si>
    <t>550. Muna son mu fahimci kwanaki nawa mutane suka yi aiki a gonakinku da kuma wanda ya yi wannan aikin.</t>
  </si>
  <si>
    <t>To share with immediate or extended family</t>
  </si>
  <si>
    <t>Pour partager avec la famille proche ou élargie</t>
  </si>
  <si>
    <t>Don rabawa tare da dangi na kusa ko dangi na nesa</t>
  </si>
  <si>
    <t>591. We want to understand how many days people worked in your fields and who did this work.</t>
  </si>
  <si>
    <t>591. Nous voulons comprendre combien de jours des gens ont travaillé dans vos champs et qui a fait ce travail.</t>
  </si>
  <si>
    <t>591. Muna son mu fahimci kwanaki nawa mutane suka yi aiki a gonakinku da kuma wanda ya yi wannan aikin.</t>
  </si>
  <si>
    <t>hoh_weeks_labor</t>
  </si>
  <si>
    <t>551. Think about the last agricultural season. How many weeks were people working in your fields? This includes work by people who are members of your household and those who are not members of your household.</t>
  </si>
  <si>
    <t>551. Pensez à la dernière saison agricole. Combien de semaines au total les gens ont-ils travaillé dans vos champs ? Cela inclut le travail des personnes qui sont membres de votre ménage et celles qui ne le sont pas.</t>
  </si>
  <si>
    <t>551. Ku tuna da lokacin noma na ƙarshe. Makonni nawa mutane ke aiki a filayenku? Wannan ya haɗa da aikin mutanen da ke cikin gidanku da waɗanda ba ƴan gidanku ba ne.</t>
  </si>
  <si>
    <t>To share with non-family members</t>
  </si>
  <si>
    <t>Pour partager avec des personnes extérieures à la famille</t>
  </si>
  <si>
    <t>if(empty(${pm_activity_payment_amt}) and empty(${pm_activity_payment_val}), 0,  ${pm_activity_payment_val_week} +  ${pm_activity_payment_amt})</t>
  </si>
  <si>
    <t>Don rabawa tare da waɗanda ba dangi ba</t>
  </si>
  <si>
    <t>592. Think about the last agricultural season. How many weeks were people working in your fields? This includes work by people who are members of your household and those who are not members of your household.</t>
  </si>
  <si>
    <t>592. Pensez à la dernière saison agricole. Combien de semaines au total les gens ont-ils travaillé dans vos champs ? Cela inclut le travail des personnes qui sont membres de votre ménage et celles qui ne le sont pas.</t>
  </si>
  <si>
    <t>592. Ku tuna da lokacin noma na ƙarshe. Makonni nawa mutane ke aiki a filayenku? Wannan ya haɗa da aikin mutanen da ke cikin gidanku da waɗanda ba ƴan gidanku ba ne.</t>
  </si>
  <si>
    <t>hoh_days_labor</t>
  </si>
  <si>
    <t>552. Think about a typical week during the last agricultural season. How many days were people working in your fields? This includes work by people who are members of your household and those who are not members of your household.</t>
  </si>
  <si>
    <t>552. Pensez à une semaine typique au cours de la dernière saison agricole. Combien de jours les gens ont-ils travaillé dans vos champs par semaine ? Cela inclut le travail des personnes qui sont membres de votre ménage et celles qui ne le sont pas.</t>
  </si>
  <si>
    <t>552. Ku tuna da mako guda na lokacin damana ta ƙarshe. Kwanaki nawa mutane suke aiki a gonkinku a cikin kowane sati? Wannan ya haɗa da aikin mutanen da ke cikin gidan ku da waɗanda ba 'yan gidan ku ba ne.</t>
  </si>
  <si>
    <t>To start or expand a business</t>
  </si>
  <si>
    <t>Pour créer ou développer une entreprise</t>
  </si>
  <si>
    <t>Don farawa ko fadada kasuwanci</t>
  </si>
  <si>
    <t>593. Think about a typical week during the last agricultural season. How many days were people working in your fields? This includes work by people who are members of your household and those who are not members of your household.</t>
  </si>
  <si>
    <t>593. Pensez à une semaine typique au cours de la dernière saison agricole. Combien de jours les gens ont-ils travaillé dans vos champs par semaine ? Cela inclut le travail des personnes qui sont membres de votre ménage et celles qui ne le sont pas.</t>
  </si>
  <si>
    <t>593. Ku tuna da mako guda na lokacin damana ta ƙarshe. Kwanaki nawa mutane suke aiki a gonkinku a cikin kowane sati? Wannan ya haɗa da aikin mutanen da ke cikin gidan ku da waɗanda ba 'yan gidan ku ba ne.</t>
  </si>
  <si>
    <t>if(empty(${pm_main_activity_benefit_house}), 0, ${pm_main_activity_benefit_house})</t>
  </si>
  <si>
    <t>hoh_hh_labor</t>
  </si>
  <si>
    <t>Household Members Working</t>
  </si>
  <si>
    <t>Membres actifs du ménage</t>
  </si>
  <si>
    <t>Ƴan gida masu Ƙarhin aiki</t>
  </si>
  <si>
    <t>hoh_labor_index</t>
  </si>
  <si>
    <t>hoh_labor_name</t>
  </si>
  <si>
    <t>Household Name</t>
  </si>
  <si>
    <t>Nom du ménage</t>
  </si>
  <si>
    <t>Sunan gida</t>
  </si>
  <si>
    <t>hoh_ag_days_member</t>
  </si>
  <si>
    <t>553. Can you estimate how many days during the last agricultural season did ${hoh_labor_name} work in field?</t>
  </si>
  <si>
    <t>553. Pouvez-vous estimer combien de jours au cours de la dernière saison agricole ${hoh_labor_name} a-t-il travaillé dans les champs ?</t>
  </si>
  <si>
    <t>553. Za ku iya ƙiyasin kwanaki nawa a lokacin noman da ya gabata ${hoh_labor_name} ya yi aikin a noma?</t>
  </si>
  <si>
    <t>if(empty(${pm_main_activity_benefit_food}), 0, ${pm_main_activity_benefit_food})</t>
  </si>
  <si>
    <t>594. Can you estimate how many days during the last agricultural season did ${hoh_labor_name} work in field?</t>
  </si>
  <si>
    <t>594. Pouvez-vous estimer combien de jours au cours de la dernière saison agricole ${hoh_labor_name} a-t-il travaillé dans les champs ?</t>
  </si>
  <si>
    <t>594. Za ku iya ƙiyasin kwanaki nawa a lokacin noman da ya gabata ${hoh_labor_name} ya yi aikin a noma?</t>
  </si>
  <si>
    <t>hoh_hire_note</t>
  </si>
  <si>
    <t>554. The following questions about agricultural labor are for the last agricultural season (last 180 days).</t>
  </si>
  <si>
    <t>554. Les questions suivantes sur le travail agricole concernent la dernière saison agricole (180 derniers jours).</t>
  </si>
  <si>
    <t>554. Tambayoyi masu zuwa game da aikin noma na ƙarshe ne (kwanaki 180 na ƙarshe).</t>
  </si>
  <si>
    <t>group_know_how</t>
  </si>
  <si>
    <t>if(empty(${pm_main_activity_benefit_phone}), 0, ${pm_main_activity_benefit_phone})</t>
  </si>
  <si>
    <t>Family from home</t>
  </si>
  <si>
    <t>Famille du pays d'origine</t>
  </si>
  <si>
    <t>Iyali daga gida</t>
  </si>
  <si>
    <t>595. The following questions about agricultural labor are for the last agricultural season (last 180 days).</t>
  </si>
  <si>
    <t>595. Les questions suivantes sur le travail agricole concernent la dernière saison agricole (180 derniers jours).</t>
  </si>
  <si>
    <t>595. Tambayoyi masu zuwa game da aikin noma na ƙarshe ne (kwanaki 180 na ƙarshe).</t>
  </si>
  <si>
    <t>hoh_hire_ag</t>
  </si>
  <si>
    <t>555. Did you hire anyone outside of your household to work in your fields?</t>
  </si>
  <si>
    <t>555. Avez-vous embauché quelqu'un en dehors de votre ménage pour travailler dans vos champs ?</t>
  </si>
  <si>
    <t>555. Ko kun ɗauki wani dan barema da ba ɗan gidanku ba don yin aiki a gonakinku?</t>
  </si>
  <si>
    <t>596. Did you hire anyone outside of your household to work in your fields?</t>
  </si>
  <si>
    <t>596. Avez-vous embauché quelqu'un en dehors de votre ménage pour travailler dans vos champs ?</t>
  </si>
  <si>
    <t>Family living somewhere else</t>
  </si>
  <si>
    <t>596. Ko kun ɗauki wani dan barema da ba ɗan gidanku ba don yin aiki a gonakinku?</t>
  </si>
  <si>
    <t>Famille vivant ailleurs</t>
  </si>
  <si>
    <t>Iyali suna zaune a wani wuri dabam</t>
  </si>
  <si>
    <t>if(empty(${pm_main_activity_benefit_other}), 0, ${pm_main_activity_benefit_other})</t>
  </si>
  <si>
    <t>hoh_hire_ag_num</t>
  </si>
  <si>
    <t>556. How many different people did you hire people to work in your fields?</t>
  </si>
  <si>
    <t>556. Combien de personnes avez-vous embauchées pour travailler dans vos champs ?</t>
  </si>
  <si>
    <t>556. Mutane nawa kuka ɗauka don yin aiki a gonakinku?</t>
  </si>
  <si>
    <t>597. How many different people did you hire people to work in your fields?</t>
  </si>
  <si>
    <t>597. Combien de personnes avez-vous embauchées pour travailler dans vos champs ?</t>
  </si>
  <si>
    <t>597. Mutane nawa kuka ɗauka don yin aiki a gonakinku?</t>
  </si>
  <si>
    <t>hoh_hire_ag_days</t>
  </si>
  <si>
    <t>557. How many days did each laborer work in your fields?</t>
  </si>
  <si>
    <t>557. Combien de jours chaque ouvrier a-t-il travaillé dans vos champs ?</t>
  </si>
  <si>
    <t>557. Kwanaki nawa kowane ma'aikaci yayi aiki a gonakinku?</t>
  </si>
  <si>
    <t>Friend from village</t>
  </si>
  <si>
    <t>Ami du village</t>
  </si>
  <si>
    <t>Aboki daga kauye</t>
  </si>
  <si>
    <t>598. How many days did each laborer work in your fields?</t>
  </si>
  <si>
    <t>598. Combien de jours chaque ouvrier a-t-il travaillé dans vos champs ?</t>
  </si>
  <si>
    <t>598. Kwanaki nawa kowane ma'aikaci yayi aiki a gonakinku?</t>
  </si>
  <si>
    <t>hoh_hire_ag_wage</t>
  </si>
  <si>
    <t>558. What was the daily wage you paid for people to work in your fields, or how much would you pay in CFA?</t>
  </si>
  <si>
    <t>558. Quel était le salaire journalier que vous payiez pour que les gens travaillent dans vos champs, ou combien paieriez-vous en CFA ?</t>
  </si>
  <si>
    <t>if(empty(${pm_main_activity_deduct_amt}), 0, ${pm_main_activity_deduct_amt})</t>
  </si>
  <si>
    <t>558. Nawa ne kuke biyan waɗanda suka yi aiki a gonakinku a dukkan wuni a sefa ?</t>
  </si>
  <si>
    <t>599. What was the daily wage you paid for people to work in your fields, or how much would you pay in CFA?</t>
  </si>
  <si>
    <t>599. Quel était le salaire journalier que vous payiez pour que les gens travaillent dans vos champs, ou combien paieriez-vous en CFA ?</t>
  </si>
  <si>
    <t>599. Nawa ne kuke biyan waɗanda suka yi aiki a gonakinku a dukkan wuni a sefa ?</t>
  </si>
  <si>
    <t>Friend from outside village</t>
  </si>
  <si>
    <t>hoh_total_paid</t>
  </si>
  <si>
    <t>Ami de l'extérieur du village</t>
  </si>
  <si>
    <t>Calculate total, you paid X amount, is this correct? 
Sold - investments - paid for day labor</t>
  </si>
  <si>
    <t>Aboki daga wajen ƙauyen</t>
  </si>
  <si>
    <t>Calculez le total, vous avez payé X montant, est-ce correct ?
 Vendu - investissements - payé pour le travail journalier</t>
  </si>
  <si>
    <t>Kayi lissafin jimillar, kun biya kuɗin X, ko daidai ne?
  An saida - zuba jari - biya ga aikin wuni</t>
  </si>
  <si>
    <t>hoh_confirm_total</t>
  </si>
  <si>
    <t>559. Thinking of your expenses related to labor and investment in your fields during the last agricultural season, you spent a total of ${hoh_total_paid} in CFA, is this correct?</t>
  </si>
  <si>
    <t>559. Pour toutes les dépenses pour vos champs dont nous avons parlé, vous avez payé ${hoh_total_paid} en CFA, est-ce correct ?</t>
  </si>
  <si>
    <t>559. Ku tuna da dukkan kuɗaɗen da kuka kashe a kan aikin gona a lokacin aikin noma na ƙarshe, kun kashe jimillar ${hoh_total_paid} a CFA, wannan daidai ne?</t>
  </si>
  <si>
    <t>600. Thinking of your expenses related to labor and investment in your fields during the last agricultural season, you spent a total of ${hoh_total_paid} in CFA, is this correct?</t>
  </si>
  <si>
    <t>600. Pour toutes les dépenses pour vos champs dont nous avons parlé, vous avez payé ${hoh_total_paid} en CFA, est-ce correct ?</t>
  </si>
  <si>
    <t>(max(${pm_payment_amt}, 0) + max(${pm_house}, 0) + max(${pm_food}, 0) + max(${pm_phone_act}, 0) + max(${pm_other}, 0) - max(${pm_deduct}, 0)) * max(${pm_activity_weeks}, 0)</t>
  </si>
  <si>
    <t>600. Ku tuna da dukkan kuɗaɗen da kuka kashe a kan aikin gona a lokacin aikin noma na ƙarshe, kun kashe jimillar ${hoh_total_paid} a CFA, wannan daidai ne?</t>
  </si>
  <si>
    <t>hoh_paid_ag_note</t>
  </si>
  <si>
    <t>560. Now we'll ask about any work by members of your household in fields owned by other people.</t>
  </si>
  <si>
    <t>560. Nous allons maintenant poser des questions sur tout travail effectué par des membres de votre ménage dans des champs appartenant à d'autres personnes.</t>
  </si>
  <si>
    <t>560. Yanzu za mu yi tambayoyi game da duk wani aiki da ƴan gidanku suka yi a gonakin wasu mutane.</t>
  </si>
  <si>
    <t>601. Now we'll ask about any work by members of your household in fields owned by other people.</t>
  </si>
  <si>
    <t>601. Nous allons maintenant poser des questions sur tout travail effectué par des membres de votre ménage dans des champs appartenant à d'autres personnes.</t>
  </si>
  <si>
    <t>601. Yanzu za mu yi tambayoyi game da duk wani aiki da ƴan gidanku suka yi a gonakin wasu mutane.</t>
  </si>
  <si>
    <t>hoh_members_paid_ag</t>
  </si>
  <si>
    <t>561. Have any family members worked as a day labor in fields for someone else?</t>
  </si>
  <si>
    <t>561. Pensez à tout membre de votre ménage, y-a t-il des membres de votre ménage qui ont travaillé comme journaliers dans le champs de quelqu'un d'autre ?</t>
  </si>
  <si>
    <t>561. Ko wani ɗan gidanku ya yi aiki a matsayin ɗan barema a gonar wani?</t>
  </si>
  <si>
    <t>182. En tenant compte de toutes vos réponses ci-dessus, diriez-vous qu'il est exact qu'en ce lieu votre revenu total pendant au cours de ${pm_primary_activity_name} était de ${pm_calc_total_income} CFA ?</t>
  </si>
  <si>
    <t>602. Have any family members worked as a day labor in fields for someone else?</t>
  </si>
  <si>
    <t>602. Pensez à tout membre de votre ménage, y-a t-il des membres de votre ménage qui ont travaillé comme journaliers dans le champs de quelqu'un d'autre ?</t>
  </si>
  <si>
    <t>602. Ko wani ɗan gidanku ya yi aiki a matsayin ɗan barema a gonar wani?</t>
  </si>
  <si>
    <t>. =1</t>
  </si>
  <si>
    <t>speedcheck_hoh_labor_end</t>
  </si>
  <si>
    <t>If this is not correct, please go back and correct your responses</t>
  </si>
  <si>
    <t>Si ce n'est pas correcte, veuillez revenir en arriere pour corriger vos réponses</t>
  </si>
  <si>
    <t>dur_hoh_labor</t>
  </si>
  <si>
    <t>speedcheck_hoh_paid_start</t>
  </si>
  <si>
    <t>hoh_hh_paid</t>
  </si>
  <si>
    <t>purchases</t>
  </si>
  <si>
    <t>Household Day Laborers</t>
  </si>
  <si>
    <t>Travaileurs journaliers</t>
  </si>
  <si>
    <t>Masu aikin wuni</t>
  </si>
  <si>
    <t>Land</t>
  </si>
  <si>
    <t>Terre</t>
  </si>
  <si>
    <t>Ƙasa</t>
  </si>
  <si>
    <t>hoh_paid_name</t>
  </si>
  <si>
    <t>hoh_paid_age</t>
  </si>
  <si>
    <t>hoh_paid_ag</t>
  </si>
  <si>
    <t>562. Can you estimate how many days ${hoh_paid_name} worked as a day laborer in the fields for someone else?</t>
  </si>
  <si>
    <t>562. Pouvez-vous estimer combien de jours ${hoh_paid_name} a travaillé comme journalier dans les champs d'autres personnes ?</t>
  </si>
  <si>
    <t>562. Za ku iya misalta ko wuni nawa ${hoh_paid_name} yayi aiki a matsayin ma'aikacin barema a gonar wasu mutane?</t>
  </si>
  <si>
    <t>603. Can you estimate how many days ${hoh_paid_name} worked as a day laborer in the fields for someone else?</t>
  </si>
  <si>
    <t>603. Pouvez-vous estimer combien de jours ${hoh_paid_name} a travaillé comme journalier dans les champs d'autres personnes ?</t>
  </si>
  <si>
    <t>603. Za ku iya misalta ko wuni nawa ${hoh_paid_name} yayi aiki a matsayin ma'aikacin barema a gonar wasu mutane?</t>
  </si>
  <si>
    <t>hoh_paid_ag_wage</t>
  </si>
  <si>
    <t>563. What was the daily wage paid to ${hoh_paid_name} working as a day laborer for someone else in CFA?</t>
  </si>
  <si>
    <t>563. Quel était le salaire journalier payé à ${hoh_paid_name} travaillant comme journalier pour quelqu'un d'autre en CFA ?</t>
  </si>
  <si>
    <t>563. Nawa biyan ${hoh_paid_name} na wuni a lokacin da yake barema a gonar wani a sefa?</t>
  </si>
  <si>
    <t>604. What was the daily wage paid to ${hoh_paid_name} working as a day laborer for someone else in CFA?</t>
  </si>
  <si>
    <t>604. Quel était le salaire journalier payé à ${hoh_paid_name} travaillant comme journalier pour quelqu'un d'autre en CFA ?</t>
  </si>
  <si>
    <t>604. Nawa biyan ${hoh_paid_name} na wuni a lokacin da yake barema a gonar wani a sefa?</t>
  </si>
  <si>
    <t>hoh_paid_ag_total</t>
  </si>
  <si>
    <t>paid_ag * paid_ag_wage</t>
  </si>
  <si>
    <t>payé_ag * payé_ag_wage</t>
  </si>
  <si>
    <t>biya_ag * biya_ag_wage</t>
  </si>
  <si>
    <t>speedcheck_hoh_paid_end</t>
  </si>
  <si>
    <t>dur_hoh_paid</t>
  </si>
  <si>
    <t>hoh_ag_exp_other</t>
  </si>
  <si>
    <t>564. Thinking about the last agricultural season, did you need to pay other expenses we did not ask you about?</t>
  </si>
  <si>
    <t>564. En pensant à la dernière saison agricole, avez-vous dû faire d'autres dépenses dont nous n'avons pas parlé ?</t>
  </si>
  <si>
    <t>564. A tunaninka a lokacin noman da ya gabata, akwai wasu kashe kashen kuɗi da kuka yi wanda ba mu yi zancen su ba?</t>
  </si>
  <si>
    <t>605. Thinking about the last agricultural season, did you need to pay other expenses we did not ask you about?</t>
  </si>
  <si>
    <t>605. En pensant à la dernière saison agricole, avez-vous dû faire d'autres dépenses dont nous n'avons pas parlé ?</t>
  </si>
  <si>
    <t>605. A tunaninka a lokacin noman da ya gabata, akwai wasu kashe kashen kuɗi da kuka yi wanda ba mu yi zancen su ba?</t>
  </si>
  <si>
    <t>hoh_ag_exp_other_name</t>
  </si>
  <si>
    <t>565. What was the expense?</t>
  </si>
  <si>
    <t>565. Quelle était la dépense ?</t>
  </si>
  <si>
    <t>565. wane kashe kuɗi ne ?</t>
  </si>
  <si>
    <t>606. What was the expense?</t>
  </si>
  <si>
    <t>606. Quelle était la dépense ?</t>
  </si>
  <si>
    <t>606. wane kashe kuɗi ne ?</t>
  </si>
  <si>
    <t>hoh_ag_exp_other_amt</t>
  </si>
  <si>
    <t>566. What was the approximate value of ${hoh_ag_exp_other_name} in CFA?</t>
  </si>
  <si>
    <t>566. Quelle était la valeur approximative de ${hoh_ag_exp_other_name} en CFA ?</t>
  </si>
  <si>
    <t>566. Nawa farashin ${hoh_ag_exp_other_name} a wacan lokacin a sefa?</t>
  </si>
  <si>
    <t>607. What was the approximate value of ${hoh_ag_exp_other_name} in CFA?</t>
  </si>
  <si>
    <t>607. Quelle était la valeur approximative de ${hoh_ag_exp_other_name} en CFA ?</t>
  </si>
  <si>
    <t>607. Nawa farashin ${hoh_ag_exp_other_name} a wacan lokacin a sefa?</t>
  </si>
  <si>
    <t>hoh_income1</t>
  </si>
  <si>
    <t>Total wages from outside ag work</t>
  </si>
  <si>
    <t>hoh_income2</t>
  </si>
  <si>
    <t>Total sales of own crops (not incl. own consumption)</t>
  </si>
  <si>
    <t>For example, to pay for inventory, pay for job placement/recruitment</t>
  </si>
  <si>
    <t>hoh_income3</t>
  </si>
  <si>
    <t>Par exemple, pour payer l'inventaire, payer pour le placement/recrutement</t>
  </si>
  <si>
    <t>Wages paid for work on own farm</t>
  </si>
  <si>
    <t>Misali, don biyan kaya, biyan kuɗin saka jari</t>
  </si>
  <si>
    <t>hoh_income4</t>
  </si>
  <si>
    <t>Cost of seed</t>
  </si>
  <si>
    <t>hoh_income5</t>
  </si>
  <si>
    <t>Cost of fertilizer</t>
  </si>
  <si>
    <t>hoh_income6</t>
  </si>
  <si>
    <t>Cost of machinery</t>
  </si>
  <si>
    <t>hoh_income7</t>
  </si>
  <si>
    <t>Cost of water</t>
  </si>
  <si>
    <t>hoh_income8</t>
  </si>
  <si>
    <t>Cost of other expenses</t>
  </si>
  <si>
    <t>hoh_total_income</t>
  </si>
  <si>
    <t>total_income_confirm</t>
  </si>
  <si>
    <t>567. Total income: ${hoh_total_income}
 Does this seem right?</t>
  </si>
  <si>
    <t>567. Revenu total : ${hoh_total_income}
 Cela vous semble-t-il juste ?</t>
  </si>
  <si>
    <t>567. Jimillar kuɗin shiga: ${hoh_total_income}
 ko kuna ganin hakan yayi daidai?</t>
  </si>
  <si>
    <t>${pm_main_activity_debt} = 1</t>
  </si>
  <si>
    <t>608. Total income: ${hoh_total_income}
 Does this seem right?</t>
  </si>
  <si>
    <t>608. Revenu total : ${hoh_total_income}
 Cela vous semble-t-il juste ?</t>
  </si>
  <si>
    <t>608. Jimillar kuɗin shiga: ${hoh_total_income}
 ko kuna ganin hakan yayi daidai?</t>
  </si>
  <si>
    <t>livestock_act_note</t>
  </si>
  <si>
    <t>568. Now we'll ask about income generating activity from animal husbandry in the past six months</t>
  </si>
  <si>
    <t>609. Now we'll ask about income generating activity from animal husbandry in the past six months</t>
  </si>
  <si>
    <t xml:space="preserve">609. </t>
  </si>
  <si>
    <t>speedcheck_hoh_livestockact_start</t>
  </si>
  <si>
    <t>hoh_livestock_activity</t>
  </si>
  <si>
    <t>Livestock Activity</t>
  </si>
  <si>
    <t>Activité d'élevage</t>
  </si>
  <si>
    <t>Ayyukan kiwo</t>
  </si>
  <si>
    <t>hoh_livestock_act_name</t>
  </si>
  <si>
    <t>hoh_livestock_bought</t>
  </si>
  <si>
    <t>569. How many ${hoh_livestock_act_name} did you buy?</t>
  </si>
  <si>
    <t>569. Au cours des trois derniers mois, combien de ${hoh_livestock_act_name} avez-vous acheté ?</t>
  </si>
  <si>
    <t>569. ${hoh_livestock_act_name} Nawa kuka saye?</t>
  </si>
  <si>
    <t>${pm_activity_desc_count} &gt; 1</t>
  </si>
  <si>
    <t>610. How many ${hoh_livestock_act_name} did you buy?</t>
  </si>
  <si>
    <t>610. Au cours des trois derniers mois, combien de ${hoh_livestock_act_name} avez-vous acheté ?</t>
  </si>
  <si>
    <t>610. ${hoh_livestock_act_name} Nawa kuka saye?</t>
  </si>
  <si>
    <t>hoh_livestock_bought_val</t>
  </si>
  <si>
    <t>570. How much did you buy ${hoh_livestock_act_name} for in CFA?</t>
  </si>
  <si>
    <t>570. Pour combien avez-vous acheté ${hoh_livestock_act_name} en CFA ?</t>
  </si>
  <si>
    <t>570. A nawa kuka sayi ${hoh_livestock_act_name} a kuɗin CFA?</t>
  </si>
  <si>
    <t>611. How much did you buy ${hoh_livestock_act_name} for in CFA?</t>
  </si>
  <si>
    <t>611. Pour combien avez-vous acheté ${hoh_livestock_act_name} en CFA ?</t>
  </si>
  <si>
    <t>611. A nawa kuka sayi ${hoh_livestock_act_name} a kuɗin CFA?</t>
  </si>
  <si>
    <t>hoh_livestock_sold</t>
  </si>
  <si>
    <t>571. How many ${hoh_livestock_act_name} did you sell?</t>
  </si>
  <si>
    <t>571. Au cours des trois derniers mois, combien de ${hoh_livestock_act_name} avez-vous vendu ?</t>
  </si>
  <si>
    <t>571. ${hoh_livestock_act_name} nawa kuka saida?</t>
  </si>
  <si>
    <t>612. How many ${hoh_livestock_act_name} did you sell?</t>
  </si>
  <si>
    <t>612. Au cours des trois derniers mois, combien de ${hoh_livestock_act_name} avez-vous vendu ?</t>
  </si>
  <si>
    <t>612. ${hoh_livestock_act_name} nawa kuka saida?</t>
  </si>
  <si>
    <t>hoh_livestock_sold_val</t>
  </si>
  <si>
    <t>572. How much did you sell ${hoh_livestock_act_name} for in CFA?</t>
  </si>
  <si>
    <t>572. Pour combien avez-vous vendu ${hoh_livestock_act_name} en CFA ?</t>
  </si>
  <si>
    <t>572. Nawa kuka sayar da ${hoh_livestock_act_name} a kuɗin CFA?</t>
  </si>
  <si>
    <t>Please enter an integer less than the full length of your stay in ${pm_location_name} (${pm_location_weeks} weeks).</t>
  </si>
  <si>
    <t>613. How much did you sell ${hoh_livestock_act_name} for in CFA?</t>
  </si>
  <si>
    <t>613. Pour combien avez-vous vendu ${hoh_livestock_act_name} en CFA ?</t>
  </si>
  <si>
    <t>613. Nawa kuka sayar da ${hoh_livestock_act_name} a kuɗin CFA?</t>
  </si>
  <si>
    <t>hoh_livestock_consumed</t>
  </si>
  <si>
    <t>573. How many ${hoh_livestock_act_name} did you consume?</t>
  </si>
  <si>
    <t>573. Au cours des trois derniers mois, combien de ${hoh_livestock_act_name} avez-vous consommé ?</t>
  </si>
  <si>
    <t>573. ${hoh_livestock_act_name} Nawa kuka cinye ?</t>
  </si>
  <si>
    <t>614. How many ${hoh_livestock_act_name} did you consume?</t>
  </si>
  <si>
    <t>614. Au cours des trois derniers mois, combien de ${hoh_livestock_act_name} avez-vous consommé ?</t>
  </si>
  <si>
    <t>614. ${hoh_livestock_act_name} Nawa kuka cinye ?</t>
  </si>
  <si>
    <t>hoh_livestock_consumed_val</t>
  </si>
  <si>
    <t>574. If you were to sell the ${hoh_livestock_act_name} you consumed, how much would you sell them for in CFA?</t>
  </si>
  <si>
    <t>574. Si vous devriez vendre les ${hoh_livestock_act_name} que vous avez consommés, à combien les vendriez-vous en CFA ?</t>
  </si>
  <si>
    <t>574. Idan za ku sayar da ${hoh_livestock_act_name} da kuka cinye, nawa za ku sayar da su a CFA?</t>
  </si>
  <si>
    <t>615. If you were to sell the ${hoh_livestock_act_name} you consumed, how much would you sell them for in CFA?</t>
  </si>
  <si>
    <t>615. Si vous devriez vendre les ${hoh_livestock_act_name} que vous avez consommés, à combien les vendriez-vous en CFA ?</t>
  </si>
  <si>
    <t>615. Idan za ku sayar da ${hoh_livestock_act_name} da kuka cinye, nawa za ku sayar da su a CFA?</t>
  </si>
  <si>
    <t>hoh_livestock_expend</t>
  </si>
  <si>
    <t>575. In the past six months, how much did you spend on food and health expense for all of your animals (in CFA)?</t>
  </si>
  <si>
    <t>Au cours des six derniers mois, combien avez-vous dépensé en nourriture et en soins pour tous vos animaux (en CFA) ?</t>
  </si>
  <si>
    <t>A cikin watanni shida da suka gabata, nawa kuka kashe akan abinci da kuɗin kiwon lafiya ga dukan dabbobinku (a cikin CFA)?</t>
  </si>
  <si>
    <t>616. In the past six months, how much did you spend on food and health expense for all of your animals (in CFA)?</t>
  </si>
  <si>
    <t>616. Au cours des six derniers mois, combien avez-vous dépensé en nourriture et en soins pour tous vos animaux (en CFA) ?</t>
  </si>
  <si>
    <t>616. A cikin watanni shida da suka gabata, nawa kuka kashe akan abinci da kuɗin kiwon lafiya ga dukan dabbobinku (a cikin CFA)?</t>
  </si>
  <si>
    <t>${pm_other_income}*${pm_other_income_weeks}</t>
  </si>
  <si>
    <t>hoh_typical_week_note</t>
  </si>
  <si>
    <t>576. When thinking about the past six months, I would like to ask you about how many days a typical week people in your household worked. We know people may work more during some weeks rather than others, please think about what happens during most weeks.</t>
  </si>
  <si>
    <t>En pensant aux six derniers mois, j'aimerais vous demander combien de jours par semaine les membres de votre menage ont travaillé en moyenne. Nous savons que certaines personnes travaillent plus certaines semaines que d'autres ; pensez donc à ce qui se passe la plupart du temps.</t>
  </si>
  <si>
    <t>Yi tunani game da watanni shida da suka gabata, Ina so in tambaye ku game da kwanaki nawa a mako na yau da kullun mutane a gidanku suke aiki. Mun san cewa zasu mutane na iya yin aiki da yawa a cikin wasu makonni maimakon wasu, kenan muna fatan za ku yi tunanin abin da ke faruwa a yawancin lokaci.</t>
  </si>
  <si>
    <t>617. When thinking about the past six months, I would like to ask you about how many days a typical week people in your household worked. We know people may work more during some weeks rather than others, please think about what happens during most weeks.</t>
  </si>
  <si>
    <t>617. En pensant aux six derniers mois, j'aimerais vous demander combien de jours par semaine les membres de votre menage ont travaillé en moyenne. Nous savons que certaines personnes travaillent plus certaines semaines que d'autres ; pensez donc à ce qui se passe la plupart du temps.</t>
  </si>
  <si>
    <t>617. Yi tunani game da watanni shida da suka gabata, Ina so in tambaye ku game da kwanaki nawa a mako na yau da kullun mutane a gidanku suke aiki. Mun san cewa zasu mutane na iya yin aiki da yawa a cikin wasu makonni maimakon wasu, kenan muna fatan za ku yi tunanin abin da ke faruwa a yawancin lokaci.</t>
  </si>
  <si>
    <t>hoh_livestock_days_member</t>
  </si>
  <si>
    <t>577. How many days did people in your household work to care for your animals in a typical week in the past six months?</t>
  </si>
  <si>
    <t>Au cours des six derniers mois, combien de jours de travail les membres de votre menage ont-ils consacrés à vos animaux par semaine ?</t>
  </si>
  <si>
    <t>A cikin watanni shida da suka gabata, kwana nawa mutanen gidanku suka yi aiki don kula da dabbobinku a cikin mako guda ?</t>
  </si>
  <si>
    <t>618. How many days did people in your household work to care for your animals in a typical week in the past six months?</t>
  </si>
  <si>
    <t>618. Au cours des six derniers mois, combien de jours de travail les membres de votre menage ont-ils consacrés à vos animaux par semaine ?</t>
  </si>
  <si>
    <t>618. A cikin watanni shida da suka gabata, kwana nawa mutanen gidanku suka yi aiki don kula da dabbobinku a cikin mako guda ?</t>
  </si>
  <si>
    <t>hoh_hire_livestock</t>
  </si>
  <si>
    <t>578. In the past six months, did you hire anyone outside your household to care for your animals?</t>
  </si>
  <si>
    <t>Au cours des six derniers mois, avez-vous embauché une personne extérieure à votre foyer pour s'occuper de vos animaux ?</t>
  </si>
  <si>
    <t>A cikin wata shida da suka gabata, ko kun dauki hayar wani wanda ba ɗan gidanku ba don kula da dabbobinku?</t>
  </si>
  <si>
    <t>619. In the past six months, did you hire anyone outside your household to care for your animals?</t>
  </si>
  <si>
    <t>619. Au cours des six derniers mois, avez-vous embauché une personne extérieure à votre foyer pour s'occuper de vos animaux ?</t>
  </si>
  <si>
    <t>619. A cikin wata shida da suka gabata, ko kun dauki hayar wani wanda ba ɗan gidanku ba don kula da dabbobinku?</t>
  </si>
  <si>
    <t>if(${pm_activity_desc_count} &gt;  1, ${pm_calc_other_income} + ${pm_calc_total_income}, ${pm_calc_total_income})</t>
  </si>
  <si>
    <t>hoh_hire_livestock_days</t>
  </si>
  <si>
    <t>579. In the last six months, for how many weeks did you hire people to care for your livestock?</t>
  </si>
  <si>
    <t>Au cours des six derniers mois, pendant combien de semaines avez-vous embauché des personnes pour s'occuper de votre bétail ?</t>
  </si>
  <si>
    <t>A cikin watanni shida da suka gabata, tsawon makonni nawa kuka dauki hayar mutane don kula da dabbobinku?</t>
  </si>
  <si>
    <t>620. In the last six months, for how many weeks did you hire people to care for your livestock?</t>
  </si>
  <si>
    <t>620. Au cours des six derniers mois, pendant combien de semaines avez-vous embauché des personnes pour s'occuper de votre bétail ?</t>
  </si>
  <si>
    <t>620. A cikin watanni shida da suka gabata, tsawon makonni nawa kuka dauki hayar mutane don kula da dabbobinku?</t>
  </si>
  <si>
    <t>hoh_hire_livestock_wage</t>
  </si>
  <si>
    <t>580. What was the weekly wage paid to people who care for your animals, or how much would you pay in CFA?</t>
  </si>
  <si>
    <t>580. Quel était les frais hebdomadaire payés aux personnes qui s'occupent de vos animaux, ou combien paieriez-vous en CFA ?</t>
  </si>
  <si>
    <t>580. 105 a. Nawa albashin mako-mako na wannan mutanen da ke kula da dabbobinku a CFA?</t>
  </si>
  <si>
    <t>621. What was the weekly wage paid to people who care for your animals, or how much would you pay in CFA?</t>
  </si>
  <si>
    <t>621. Quel était les frais hebdomadaire payés aux personnes qui s'occupent de vos animaux, ou combien paieriez-vous en CFA ?</t>
  </si>
  <si>
    <t>621. 105 a. Nawa albashin mako-mako na wannan mutanen da ke kula da dabbobinku a CFA?</t>
  </si>
  <si>
    <t>hoh_hire_livestock_total</t>
  </si>
  <si>
    <t>hoh_livestock_total_confirm</t>
  </si>
  <si>
    <t>581. You paid ${hoh_hire_livestock_total} in CFA for people to care for your animals, is this correct?</t>
  </si>
  <si>
    <t>581. Vous avez payé ${hoh_hire_livestock_total} (en CFA) aux personnes qui s'occupent de vos animaux, est-ce exact ?</t>
  </si>
  <si>
    <t>581. ${hoh_hire_livestock_total} (a sefa) kuka biya, ko daidai ne?</t>
  </si>
  <si>
    <t>622. You paid ${hoh_hire_livestock_total} in CFA for people to care for your animals, is this correct?</t>
  </si>
  <si>
    <t>622. Vous avez payé ${hoh_hire_livestock_total} (en CFA) aux personnes qui s'occupent de vos animaux, est-ce exact ?</t>
  </si>
  <si>
    <t>622. ${hoh_hire_livestock_total} (a sefa) kuka biya, ko daidai ne?</t>
  </si>
  <si>
    <t>hoh_paid_livestock</t>
  </si>
  <si>
    <t>accurate</t>
  </si>
  <si>
    <t>582. In the past six months, did any member of your household care for livestock owned by other people?</t>
  </si>
  <si>
    <t>453. Au cours des six derniers mois, un membre de votre menage a-t-il pris soin du bétail appartenant à d'autres personnes ?</t>
  </si>
  <si>
    <t>453. A cikin wata shida da suka wuce, akwai wani daga cikin ƴan gidan ku da ya kula da dabbobin wasu mutane?</t>
  </si>
  <si>
    <t>623. In the past six months, did any member of your household care for livestock owned by other people?</t>
  </si>
  <si>
    <t>623. Au cours des six derniers mois, un membre de votre menage a-t-il pris soin du bétail appartenant à d'autres personnes ?</t>
  </si>
  <si>
    <t>623. A cikin wata shida da suka wuce, akwai wani daga cikin ƴan gidan ku da ya kula da dabbobin wasu mutane?</t>
  </si>
  <si>
    <t>hoh_paid_livestock_days</t>
  </si>
  <si>
    <t>583. In a typical week, how many days did they do this job?</t>
  </si>
  <si>
    <t>Describes me not at all</t>
  </si>
  <si>
    <t>583. Au cours d'une semaine normale, combien de jours ont-ils fait ce travail ?</t>
  </si>
  <si>
    <t>583. A cikin mako, kwana nawa suka yi wannan aikin?</t>
  </si>
  <si>
    <t>Ne me décrit pas du tout</t>
  </si>
  <si>
    <t>Bai siffanta ni ba ko kaɗan</t>
  </si>
  <si>
    <t>624. In a typical week, how many days did they do this job?</t>
  </si>
  <si>
    <t>624. Au cours d'une semaine normale, combien de jours ont-ils fait ce travail ?</t>
  </si>
  <si>
    <t>624. A cikin mako, kwana nawa suka yi wannan aikin?</t>
  </si>
  <si>
    <t>hoh_paid_livestock_wage</t>
  </si>
  <si>
    <t>584. What was the daily wage paid to household members who cared for livestock owned by other people?</t>
  </si>
  <si>
    <t>584. Quel étaient les frais journaliers payés aux membres de votre ménage qui s'occupent des animaux du bétail appartenant à d'autres personnes en CFA ?</t>
  </si>
  <si>
    <t>584. Nawa ne biyan wuni na ƴan gida masu kula da dabbobin wasu mutane (a kuɗin CFA)?</t>
  </si>
  <si>
    <t>625. What was the daily wage paid to household members who cared for livestock owned by other people?</t>
  </si>
  <si>
    <t>625. Quel étaient les frais journaliers payés aux membres de votre ménage qui s'occupent des animaux du bétail appartenant à d'autres personnes en CFA ?</t>
  </si>
  <si>
    <t>625. Nawa ne biyan wuni na ƴan gida masu kula da dabbobin wasu mutane (a kuɗin CFA)?</t>
  </si>
  <si>
    <t>hoh_other_income_note</t>
  </si>
  <si>
    <t>585. Now we will ask about other forms of income people in your household may have earned in the past six months.</t>
  </si>
  <si>
    <t>626. Now we will ask about other forms of income people in your household may have earned in the past six months.</t>
  </si>
  <si>
    <t xml:space="preserve">626. </t>
  </si>
  <si>
    <t>Describes me somewhat</t>
  </si>
  <si>
    <t>Me décrit un peu</t>
  </si>
  <si>
    <t>hoh_own_other</t>
  </si>
  <si>
    <t>Ya siffanta ni kaɗan</t>
  </si>
  <si>
    <t>586. Do you or another member of your household own land that is currently not used for agriculture, outside of your current home?</t>
  </si>
  <si>
    <t>586. Est-ce que vous ou un autre membre de votre ménage possédez des terres qui ne sont actuellement pas utilisées pour l'agriculture, en dehors de votre domicile actuel ?</t>
  </si>
  <si>
    <t>586. Shin kai ko wani na gidanku kuna da wasu hilaye wanda ba na noma ba bancin gidanku da kuke ciki a halin yanzu?</t>
  </si>
  <si>
    <t>${speedcheck_pm_primaryact_end} - ${speedcheck_pm_primaryact_start}</t>
  </si>
  <si>
    <t>627. Do you or another member of your household own land that is currently not used for agriculture, outside of your current home?</t>
  </si>
  <si>
    <t>627. Est-ce que vous ou un autre membre de votre ménage possédez des terres qui ne sont actuellement pas utilisées pour l'agriculture, en dehors de votre domicile actuel ?</t>
  </si>
  <si>
    <t>627. Shin kai ko wani na gidanku kuna da wasu hilaye wanda ba na noma ba bancin gidanku da kuke ciki a halin yanzu?</t>
  </si>
  <si>
    <t>hoh_earn_rent</t>
  </si>
  <si>
    <t>587. In the past six months, what is the total revenue from rent of land or other property in CFA?</t>
  </si>
  <si>
    <t>Au cours des six derniers mois, quel a été le montant total des revenus locatifs de terres ou d'autres biens en CFA ?</t>
  </si>
  <si>
    <t>A cikin watanni shida da suka gabata, nawa ne jimillar kuɗaɗen da kuka samu daga hayar filaye ko wasu kadarori a CFA?</t>
  </si>
  <si>
    <t>Describes me very well</t>
  </si>
  <si>
    <t>628. In the past six months, what is the total revenue from rent of land or other property in CFA?</t>
  </si>
  <si>
    <t>628. Au cours des six derniers mois, quel a été le montant total des revenus locatifs de terres ou d'autres biens en CFA ?</t>
  </si>
  <si>
    <t>Me décrit très bien</t>
  </si>
  <si>
    <t>628. A cikin watanni shida da suka gabata, nawa ne jimillar kuɗaɗen da kuka samu daga hayar filaye ko wasu kadarori a CFA?</t>
  </si>
  <si>
    <t>Ya siffanta sosai</t>
  </si>
  <si>
    <t>hoh_earn_interest</t>
  </si>
  <si>
    <t>588. In the past six months, what is the total value of interest from loans you have given to others in CFA?</t>
  </si>
  <si>
    <t>Au cours des six derniers mois, quel a été le montant total des intérêts des prêts que vous avez accordés à d'autres en CFA ?</t>
  </si>
  <si>
    <t>A cikin watanni shida da suka gabata, nawa ne jimillar ribar da kuka samu daga rancen da kuka bai wa wasu a CFA?</t>
  </si>
  <si>
    <t>629. In the past six months, what is the total value of interest from loans you have given to others in CFA?</t>
  </si>
  <si>
    <t>629. Au cours des six derniers mois, quel a été le montant total des intérêts des prêts que vous avez accordés à d'autres en CFA ?</t>
  </si>
  <si>
    <t>629. A cikin watanni shida da suka gabata, nawa ne jimillar ribar da kuka samu daga rancen da kuka bai wa wasu a CFA?</t>
  </si>
  <si>
    <t>speedcheck_hoh_livestockact_end</t>
  </si>
  <si>
    <t>dur_hoh_livestockact</t>
  </si>
  <si>
    <t>speedcheck_hoh_biz_start</t>
  </si>
  <si>
    <t>hoh_own_biz</t>
  </si>
  <si>
    <t>589. Does anyone in the household fully, or partly own and operate an income generating activity that is not farming or herding? (i.e. a shop where you sell goods, restaurant, butcher shop)?</t>
  </si>
  <si>
    <t>589. Quelqu'un dans le ménage possède-t-il entièrement ou partiellement une activité génératrice de revenus autre que l'agriculture ou l'élevage ? (C'est-à-dire un magasin où vous vendez des marchandises, un restaurant, une boucherie) ?</t>
  </si>
  <si>
    <t>589. Ko akwai wani ɗan gidanku mai sana'a wanda jarin gaba daya nashi ko na hadin gwiwa ne banda noma da kiyo? ( kantin saida kaya, gidan abinci, fawa)?</t>
  </si>
  <si>
    <t>630. Does anyone in the household fully, or partly own and operate an income generating activity that is not farming or herding? (i.e. a shop where you sell goods, restaurant, butcher shop)?</t>
  </si>
  <si>
    <t>630. Quelqu'un dans le ménage possède-t-il entièrement ou partiellement une activité génératrice de revenus autre que l'agriculture ou l'élevage ? (C'est-à-dire un magasin où vous vendez des marchandises, un restaurant, une boucherie) ?</t>
  </si>
  <si>
    <t>630. Ko akwai wani ɗan gidanku mai sana'a wanda jarin gaba daya nashi ko na hadin gwiwa ne banda noma da kiyo? ( kantin saida kaya, gidan abinci, fawa)?</t>
  </si>
  <si>
    <t>hoh_biz_type</t>
  </si>
  <si>
    <t>590. What type of business is this?</t>
  </si>
  <si>
    <t>590. Quel type d'entreprise est-ce?</t>
  </si>
  <si>
    <t>590. Wane irin kasuwanci ne?</t>
  </si>
  <si>
    <t>631. What type of business is this?</t>
  </si>
  <si>
    <t>631. Quel type d'entreprise est-ce?</t>
  </si>
  <si>
    <t>631. Wane irin kasuwanci ne?</t>
  </si>
  <si>
    <t>hoh_biz_type_o</t>
  </si>
  <si>
    <t>591. Specify other</t>
  </si>
  <si>
    <t>591. Autre à préciser :</t>
  </si>
  <si>
    <t>591. Baiyana wani abu daban:</t>
  </si>
  <si>
    <t>632. Specify other</t>
  </si>
  <si>
    <t>632. Autre à préciser :</t>
  </si>
  <si>
    <t>632. Baiyana wani abu daban:</t>
  </si>
  <si>
    <t>hoh_biz_type_name</t>
  </si>
  <si>
    <t>hoh_biz_loc</t>
  </si>
  <si>
    <t>592. Do you have a permanent location (i.e. building)?</t>
  </si>
  <si>
    <t>592. Avez-vous un emplacement permanent (c'est-à-dire un bâtiment) ?</t>
  </si>
  <si>
    <t>592. Kuna da wurin dindindin (kamar gini)?</t>
  </si>
  <si>
    <t>633. Do you have a permanent location (i.e. building)?</t>
  </si>
  <si>
    <t>633. Avez-vous un emplacement permanent (c'est-à-dire un bâtiment) ?</t>
  </si>
  <si>
    <t>633. Kuna da wurin dindindin (kamar gini)?</t>
  </si>
  <si>
    <t>hoh_biz_employ</t>
  </si>
  <si>
    <t>593. How many people outside of your household do you employ in this business?</t>
  </si>
  <si>
    <t>593. Combien de personnes en dehors de votre ménage employez-vous dans cette entreprise ?</t>
  </si>
  <si>
    <t>593. Mutane nawa ne kuka dauka aiki banda ƴan gidan a wannan kasuwancin?</t>
  </si>
  <si>
    <t>634. How many people outside of your household do you employ in this business?</t>
  </si>
  <si>
    <t>634. Combien de personnes en dehors de votre ménage employez-vous dans cette entreprise ?</t>
  </si>
  <si>
    <t>634. Mutane nawa ne kuka dauka aiki banda ƴan gidan a wannan kasuwancin?</t>
  </si>
  <si>
    <t>hoh_biz_wage</t>
  </si>
  <si>
    <t>594. How much do you pay per day for people to work in this business in CFA?</t>
  </si>
  <si>
    <t>594. Combien payez-vous par jour pour que les gens travaillent dans cette entreprise (en CFA) ?</t>
  </si>
  <si>
    <t>594. Nawa kuke biyan su a wuni (a sefa) ?</t>
  </si>
  <si>
    <t>635. How much do you pay per day for people to work in this business in CFA?</t>
  </si>
  <si>
    <t>635. Combien payez-vous par jour pour que les gens travaillent dans cette entreprise (en CFA) ?</t>
  </si>
  <si>
    <t>635. Nawa kuke biyan su a wuni (a sefa) ?</t>
  </si>
  <si>
    <t>${pm_location_is_home} =0</t>
  </si>
  <si>
    <t>hoh_biz_days_total</t>
  </si>
  <si>
    <t>Members in Business</t>
  </si>
  <si>
    <t>hoh_biz_index</t>
  </si>
  <si>
    <t>hoh_biz_name</t>
  </si>
  <si>
    <t>hoh_biz_age</t>
  </si>
  <si>
    <t>hoh_biz_days</t>
  </si>
  <si>
    <t>595. In a typical week during the past six months, how many days did ${hoh_biz_name} work in the household business?</t>
  </si>
  <si>
    <t>Au cours d'une semaine normale dans les six derniers mois, combien de jours ${hoh_biz_name} a-t-il travaillé dans l'entreprise familiale ?</t>
  </si>
  <si>
    <t>A cikin mako guda a cikin watanni shida da suka gabata, kwanaki nawa ${hoh_biz_name} yayi aiki a cikin kasuwancin gida?</t>
  </si>
  <si>
    <t>636. In a typical week during the past six months, how many days did ${hoh_biz_name} work in the household business?</t>
  </si>
  <si>
    <t>636. Au cours d'une semaine normale dans les six derniers mois, combien de jours ${hoh_biz_name} a-t-il travaillé dans l'entreprise familiale ?</t>
  </si>
  <si>
    <t>636. A cikin mako guda a cikin watanni shida da suka gabata, kwanaki nawa ${hoh_biz_name} yayi aiki a cikin kasuwancin gida?</t>
  </si>
  <si>
    <t>speedcheck_hoh_biz_end</t>
  </si>
  <si>
    <t>dur_hoh_biz</t>
  </si>
  <si>
    <t>hoh_biz_revenue</t>
  </si>
  <si>
    <t>596. Thinking about all of the revenues from this business in the past six months, what was the total amount of money coming in from this business in the last six months?</t>
  </si>
  <si>
    <t>En considérant tous les revenus de cette entreprise au cours des six derniers mois, quel a été le montant total des rentrées d'argent provenant de cette entreprise au cours des six derniers mois ?</t>
  </si>
  <si>
    <t>Idan aka yi la’akari da dukkan kuɗaɗen shiga da aka samu daga wannan sana’ar a cikin watanni shida da suka gabata, nawa ne yawan kuɗaɗen da aka samu daga wannan sana’ar a cikin watanni shida da suka gabata?</t>
  </si>
  <si>
    <t>637. Thinking about all of the revenues from this business in the past six months, what was the total amount of money coming in from this business in the last six months?</t>
  </si>
  <si>
    <t>637. En considérant tous les revenus de cette entreprise au cours des six derniers mois, quel a été le montant total des rentrées d'argent provenant de cette entreprise au cours des six derniers mois ?</t>
  </si>
  <si>
    <t>637. Idan aka yi la’akari da dukkan kuɗaɗen shiga da aka samu daga wannan sana’ar a cikin watanni shida da suka gabata, nawa ne yawan kuɗaɗen da aka samu daga wannan sana’ar a cikin watanni shida da suka gabata?</t>
  </si>
  <si>
    <t>hoh_biz_expense</t>
  </si>
  <si>
    <t>597. Thinking about all of the the expenses from this business, what was the total amount of money you spent on costs related to this business in the last six months?</t>
  </si>
  <si>
    <t>En considérant toutes les dépenses de cette entreprise, quel a été le montant total des dépenses liées à cette entreprise au cours des six derniers mois ?</t>
  </si>
  <si>
    <t>Idan aka yi la’akari da duk abin da aka kashe daga wannan kasuwancin, nawa ne jimlar kuɗin da kuka kashe akan farashi mai alaƙa da wannan kasuwancin a cikin watanni shida da suka gabata?</t>
  </si>
  <si>
    <t>638. Thinking about all of the the expenses from this business, what was the total amount of money you spent on costs related to this business in the last six months?</t>
  </si>
  <si>
    <t>638. En considérant toutes les dépenses de cette entreprise, quel a été le montant total des dépenses liées à cette entreprise au cours des six derniers mois ?</t>
  </si>
  <si>
    <t>638. Idan aka yi la’akari da duk abin da aka kashe daga wannan kasuwancin, nawa ne jimlar kuɗin da kuka kashe akan farashi mai alaƙa da wannan kasuwancin a cikin watanni shida da suka gabata?</t>
  </si>
  <si>
    <t>hoh_biz_income</t>
  </si>
  <si>
    <t>hoh_biz_income_confirm</t>
  </si>
  <si>
    <t>598. Thinking about all the revenue and expense related to this business during the past six months, you said that the net income from this business for your household is ${hoh_biz_income}. Is that correct?</t>
  </si>
  <si>
    <t>En considérant tous les revenus et dépenses liés à cette entreprise au cours des six derniers mois, vous avez indiqué que le revenu net de votre menage s'élevait à ${hoh_biz_income}. Est-ce exact ?</t>
  </si>
  <si>
    <t>Idan aka yi la'akari da duk kuɗaɗen shiga da kashewa da suka shafi wannan kasuwancin a cikin watanni shida da suka gabata, kun ce yawan kuɗin da aka samu daga wannan kasuwancin na gidan ku shine ${hoh_biz_income}. Shin hakan daidai ne?</t>
  </si>
  <si>
    <t>639. Thinking about all the revenue and expense related to this business during the past six months, you said that the net income from this business for your household is ${hoh_biz_income}. Is that correct?</t>
  </si>
  <si>
    <t>639. En considérant tous les revenus et dépenses liés à cette entreprise au cours des six derniers mois, vous avez indiqué que le revenu net de votre menage s'élevait à ${hoh_biz_income}. Est-ce exact ?</t>
  </si>
  <si>
    <t>639. Idan aka yi la'akari da duk kuɗaɗen shiga da kashewa da suka shafi wannan kasuwancin a cikin watanni shida da suka gabata, kun ce yawan kuɗin da aka samu daga wannan kasuwancin na gidan ku shine ${hoh_biz_income}. Shin hakan daidai ne?</t>
  </si>
  <si>
    <t>hoh_members_other_activity_note</t>
  </si>
  <si>
    <t>599. We have discussed work done by members of your household in agriculture, in husbandry, in a business owned by your family.</t>
  </si>
  <si>
    <t>599. Nous avons discuté du travail effectué par les membres de votre ménage dans l'agriculture, l'élevage, dans une entreprise appartenant à votre famille.</t>
  </si>
  <si>
    <t>599. “Mun tattauna bisa ayyukan da ƴan gidanku suka yi a harakar noma da kiwo, kasuwancin da ƴan gidanku suka mallaka.</t>
  </si>
  <si>
    <t>640. We have discussed work done by members of your household in agriculture, in husbandry, in a business owned by your family.</t>
  </si>
  <si>
    <t>640. Nous avons discuté du travail effectué par les membres de votre ménage dans l'agriculture, l'élevage, dans une entreprise appartenant à votre famille.</t>
  </si>
  <si>
    <t>640. “Mun tattauna bisa ayyukan da ƴan gidanku suka yi a harakar noma da kiwo, kasuwancin da ƴan gidanku suka mallaka.</t>
  </si>
  <si>
    <t>speedcheck_hoh_memact_start</t>
  </si>
  <si>
    <t>hoh_member_activity</t>
  </si>
  <si>
    <t>Outside Activities</t>
  </si>
  <si>
    <t>Activités extérieures</t>
  </si>
  <si>
    <t>Ayyukan da ba na gida ba</t>
  </si>
  <si>
    <t>hoh_member_act_index</t>
  </si>
  <si>
    <t>hoh_member_act_name</t>
  </si>
  <si>
    <t>hoh_member_other_activity</t>
  </si>
  <si>
    <t>600. In the past six months, did ${hoh_member_act_name} earn money from any other activity?</t>
  </si>
  <si>
    <t>Au cours des six derniers mois, ${hoh_member_act_name} a-t-il gagné de l'argent grâce à une autre activité ?</t>
  </si>
  <si>
    <t>A cikin watanni shida da suka gabata, ${hoh_member_act_name} ya sami kuɗi daga wani aiki daban ?</t>
  </si>
  <si>
    <t>641. In the past six months, did ${hoh_member_act_name} earn money from any other activity?</t>
  </si>
  <si>
    <t>641. Au cours des six derniers mois, ${hoh_member_act_name} a-t-il gagné de l'argent grâce à une autre activité ?</t>
  </si>
  <si>
    <t>641. A cikin watanni shida da suka gabata, ${hoh_member_act_name} ya sami kuɗi daga wani aiki daban ?</t>
  </si>
  <si>
    <t>. &gt;= 0 and . &lt;= ${pm_calc_sum_income}</t>
  </si>
  <si>
    <t>hoh_member_other_act</t>
  </si>
  <si>
    <t>Please enter an amount less than or equal to your total earnings in the location.</t>
  </si>
  <si>
    <t>601. What was the activity?</t>
  </si>
  <si>
    <t>601. Quelle était l'activité ?</t>
  </si>
  <si>
    <t>601. Menene aikin?</t>
  </si>
  <si>
    <t>not(selected(${pm_share_income}, '0'))</t>
  </si>
  <si>
    <t>642. What was the activity?</t>
  </si>
  <si>
    <t>642. Quelle était l'activité ?</t>
  </si>
  <si>
    <t>642. Menene aikin?</t>
  </si>
  <si>
    <t>hoh_member_other_activity_o</t>
  </si>
  <si>
    <t>602. Specify the activity</t>
  </si>
  <si>
    <t>602. Précisez l'activité</t>
  </si>
  <si>
    <t>602. Baiyana aikin</t>
  </si>
  <si>
    <t>643. Specify the activity</t>
  </si>
  <si>
    <t>643. Précisez l'activité</t>
  </si>
  <si>
    <t>643. Baiyana aikin</t>
  </si>
  <si>
    <t>hoh_member_other_activity_name</t>
  </si>
  <si>
    <t>hoh_member_other_amt</t>
  </si>
  <si>
    <t>603. How much does ${hoh_member_act_name} earn from this activity during an average week (that they are engaged in ${hoh_member_other_activity_name})?</t>
  </si>
  <si>
    <t>603. Combien ${hoh_member_act_name} gagne-t-il grâce à cette activité au cours d'une semaine en moyenne (pendant laquelle il est engagé comme ${hoh_member_other_activity_name}) ?</t>
  </si>
  <si>
    <t>603. A takaice nawa ${hoh_member_act_name} yake samu daga wannan aiki a cikin sati (a lokacin da suke cikin aikin ${hoh_member_other_activity_name})?</t>
  </si>
  <si>
    <t>644. How much does ${hoh_member_act_name} earn from this activity during an average week (that they are engaged in ${hoh_member_other_activity_name})?</t>
  </si>
  <si>
    <t>644. Combien ${hoh_member_act_name} gagne-t-il grâce à cette activité au cours d'une semaine en moyenne (pendant laquelle il est engagé comme ${hoh_member_other_activity_name}) ?</t>
  </si>
  <si>
    <t>644. A takaice nawa ${hoh_member_act_name} yake samu daga wannan aiki a cikin sati (a lokacin da suke cikin aikin ${hoh_member_other_activity_name})?</t>
  </si>
  <si>
    <t>hoh_member_other_weeks</t>
  </si>
  <si>
    <t>604. Think about the past six months how many weeks did they engage in ${hoh_member_other_activity_name}?</t>
  </si>
  <si>
    <t>Pensez aux six derniers mois, combien de semaines ont-ils consacrées à ${hoh_member_other_activity_name} ?</t>
  </si>
  <si>
    <t>Ku tuna da lokacin da ${hoh_member_other_activity_name} a watanni shida da suka gabata tsawon makonni nawa suka yi wannan aikin ?</t>
  </si>
  <si>
    <t>645. Think about the past six months how many weeks did they engage in ${hoh_member_other_activity_name}?</t>
  </si>
  <si>
    <t>645. Pensez aux six derniers mois, combien de semaines ont-ils consacrées à ${hoh_member_other_activity_name} ?</t>
  </si>
  <si>
    <t>645. Ku tuna da lokacin da ${hoh_member_other_activity_name} a watanni shida da suka gabata tsawon makonni nawa suka yi wannan aikin ?</t>
  </si>
  <si>
    <t>hoh_member_contribute</t>
  </si>
  <si>
    <t>605. Can you estimate how much ${hoh_member_act_name} contributes to the household common pot in a typical week (excluding labor) including both cash and in goods?</t>
  </si>
  <si>
    <t>605. Pouvez-vous estimer la contribution de ${hoh_member_act_name} au fond commun du ménage au cours d'une semaine normale (hors main-d'œuvre), y compris en espèces et en nature ?</t>
  </si>
  <si>
    <t>605. Ko za ku iya kimanta gudunmawar kuɗi da kaya da ${hoh_member_act_name} ya kawo gidan a cikin sati guda (banda aiki)?</t>
  </si>
  <si>
    <t>not(selected(${pm_share_income_out}, '0'))</t>
  </si>
  <si>
    <t>646. Can you estimate how much ${hoh_member_act_name} contributes to the household common pot in a typical week (excluding labor) including both cash and in goods?</t>
  </si>
  <si>
    <t>646. Pouvez-vous estimer la contribution de ${hoh_member_act_name} au fond commun du ménage au cours d'une semaine normale (hors main-d'œuvre), y compris en espèces et en nature ?</t>
  </si>
  <si>
    <t>646. Ko za ku iya kimanta gudunmawar kuɗi da kaya da ${hoh_member_act_name} ya kawo gidan a cikin sati guda (banda aiki)?</t>
  </si>
  <si>
    <t>speedcheck_hoh_memact_end</t>
  </si>
  <si>
    <t>dur_hoh_memact</t>
  </si>
  <si>
    <t>hoh_remittance_qs</t>
  </si>
  <si>
    <t>Questions about remittances</t>
  </si>
  <si>
    <t>speedcheck_hoh_remit_start</t>
  </si>
  <si>
    <t>hoh_remit_pm_method</t>
  </si>
  <si>
    <t>Since Tabaski of last year (2024), has your household received money from ${pm_name} from locations outside your village through the following methods?</t>
  </si>
  <si>
    <t>Depuis la Tabaski de l'année dernière (2024), votre menage a-t-il reçu de l'argent de ${pm_name} en dehors de votre village par les moyens suivants ?</t>
  </si>
  <si>
    <t>Tun layya ta bara (2024), ko ƴan gidanku sun karɓi kuɗi daga ${pm_name} daga wajen ƙauyenku ta hanyoyi masu zuwa?</t>
  </si>
  <si>
    <t>647. Since Tabaski of last year (2024), has your household received money from ${pm_name} from locations outside your village through the following methods?</t>
  </si>
  <si>
    <t>647. Depuis la Tabaski de l'année dernière (2024), votre menage a-t-il reçu de l'argent de ${pm_name} en dehors de votre village par les moyens suivants ?</t>
  </si>
  <si>
    <t>647. Tun layya ta bara (2024), ko ƴan gidanku sun karɓi kuɗi daga ${pm_name} daga wajen ƙauyenku ta hanyoyi masu zuwa?</t>
  </si>
  <si>
    <t>hoh_remit_pm_amt</t>
  </si>
  <si>
    <t>How much have you received from ${pm_name} (in CFA) since tabaski last year?</t>
  </si>
  <si>
    <t>Combien avez-vous reçu de ${pm_name} (en francs CFA) depuis la Tabaski de l'année dernière?</t>
  </si>
  <si>
    <t>Nawa kuka karɓa daga ${pm_name} (a ​​kuɗin CFA) tun tabaski bara?</t>
  </si>
  <si>
    <t>648. How much have you received from ${pm_name} (in CFA) since tabaski last year?</t>
  </si>
  <si>
    <t>648. Combien avez-vous reçu de ${pm_name} (en francs CFA) depuis la Tabaski de l'année dernière?</t>
  </si>
  <si>
    <t>648. Nawa kuka karɓa daga ${pm_name} (a ​​kuɗin CFA) tun tabaski bara?</t>
  </si>
  <si>
    <t>hoh_remit_hh_method</t>
  </si>
  <si>
    <t>Since Tabaski of last year (2024), has your household received money from other members (not including ${pm_name}) from locations outside your village through the following methods?</t>
  </si>
  <si>
    <t>Depuis la Tabaski de l'année dernière (2024), votre menage a-t-il reçu de l'argent d'autres personnes (hors ${pm_name}) provenant de lieux extérieurs à votre village par les moyens suivants ?</t>
  </si>
  <si>
    <t>Tun daga laiya na shekarar bara (2024), ƴan gidan ku sun karɓi kuɗi daga wasu mutanin (ba tare da ${pm_name} ba) daga wajen ƙauyenku ta hanyoyi masu zuwa?</t>
  </si>
  <si>
    <t>649. Since Tabaski of last year (2024), has your household received money from other members (not including ${pm_name}) from locations outside your village through the following methods?</t>
  </si>
  <si>
    <t>649. Depuis la Tabaski de l'année dernière (2024), votre menage a-t-il reçu de l'argent d'autres personnes (hors ${pm_name}) provenant de lieux extérieurs à votre village par les moyens suivants ?</t>
  </si>
  <si>
    <t>649. Tun daga laiya na shekarar bara (2024), ƴan gidan ku sun karɓi kuɗi daga wasu mutanin (ba tare da ${pm_name} ba) daga wajen ƙauyenku ta hanyoyi masu zuwa?</t>
  </si>
  <si>
    <t>hoh_remit_hh_amt</t>
  </si>
  <si>
    <t>How much have you received from other members of the household (in CFA)?</t>
  </si>
  <si>
    <t>Combien avez-vous reçu d'autres membres du menage (en francs CFA) depuis la Tabaski de l'année dernière?</t>
  </si>
  <si>
    <t>Nawa kuka karɓa daga sauran membobin gidan (a cikin CFA) tun tabaski bara?</t>
  </si>
  <si>
    <t>650. How much have you received from other members of the household (in CFA)?</t>
  </si>
  <si>
    <t>650. Combien avez-vous reçu d'autres membres du menage (en francs CFA) depuis la Tabaski de l'année dernière?</t>
  </si>
  <si>
    <t>650. Nawa kuka karɓa daga sauran membobin gidan (a cikin CFA) tun tabaski bara?</t>
  </si>
  <si>
    <t>hoh_remit_rec_niger</t>
  </si>
  <si>
    <t>606. In the past six months, have you or anyone in your household received money from someone who is not a member of your household and who lives elsewhere in Niger (outside your village)?</t>
  </si>
  <si>
    <t>Au cours des six derniers mois, avez-vous, vous ou un membre de votre menage, reçu de l'argent d'une personne extérieure à votre menage et résidant ailleurs au Niger (hors de votre village) ?</t>
  </si>
  <si>
    <t>not(selected(${pm_rec_income}, '0'))</t>
  </si>
  <si>
    <t>A cikin watanni shida da suka gabata, kai ko wani a cikin gidan ku kun karɓi kuɗi daga wanda ba ɗan gidanku ba ne kuma yana zaune a wani wuri a Nijar (a wajen ƙauyenku)?</t>
  </si>
  <si>
    <t>651. In the past six months, have you or anyone in your household received money from someone who is not a member of your household and who lives elsewhere in Niger (outside your village)?</t>
  </si>
  <si>
    <t>651. Au cours des six derniers mois, avez-vous, vous ou un membre de votre menage, reçu de l'argent d'une personne extérieure à votre menage et résidant ailleurs au Niger (hors de votre village) ?</t>
  </si>
  <si>
    <t>651. A cikin watanni shida da suka gabata, kai ko wani a cikin gidan ku kun karɓi kuɗi daga wanda ba ɗan gidanku ba ne kuma yana zaune a wani wuri a Nijar (a wajen ƙauyenku)?</t>
  </si>
  <si>
    <t>hoh_remit_rec_niger_amt</t>
  </si>
  <si>
    <t>607. How much in total did members of your household receive from people elsewhere in Niger (in CFA)?</t>
  </si>
  <si>
    <t>607. Combien au total les membres de votre ménage ont-ils reçu des personnes qui sont quelques part au Niger (en USD)?</t>
  </si>
  <si>
    <t>607. Nawa ne ƴan gidanku suka samu daga wasu matanen da ke wani gari a Nijar (in CFA)?</t>
  </si>
  <si>
    <t>652. How much in total did members of your household receive from people elsewhere in Niger (in CFA)?</t>
  </si>
  <si>
    <t>652. Combien au total les membres de votre ménage ont-ils reçu des personnes qui sont quelques part au Niger (en USD)?</t>
  </si>
  <si>
    <t>652. Nawa ne ƴan gidanku suka samu daga wasu matanen da ke wani gari a Nijar (in CFA)?</t>
  </si>
  <si>
    <t>hoh_remit_rec_niger_how</t>
  </si>
  <si>
    <t>608. How was this money transmitted to your household?</t>
  </si>
  <si>
    <t>608. Comment cet argent a-t-il été envoyé à votre ménage ?</t>
  </si>
  <si>
    <t>608. Ta wace hanya aka aikawa gidanku wannan kuɗin ?</t>
  </si>
  <si>
    <t>653. How was this money transmitted to your household?</t>
  </si>
  <si>
    <t>653. Comment cet argent a-t-il été envoyé à votre ménage ?</t>
  </si>
  <si>
    <t>653. Ta wace hanya aka aikawa gidanku wannan kuɗin ?</t>
  </si>
  <si>
    <t>hoh_remit_rec_niger_how_o</t>
  </si>
  <si>
    <t>609. Précisez la méthode du transfert</t>
  </si>
  <si>
    <t>654. Specify other transfer method</t>
  </si>
  <si>
    <t>654. Précisez la méthode du transfert</t>
  </si>
  <si>
    <t>654. Wani daban a Bayyana</t>
  </si>
  <si>
    <t>hoh_goods_rec_niger</t>
  </si>
  <si>
    <t>610. In the past six months, have you or anyone in your household received goods (payment in kind) from someone who is not a member of your household and who lives elsewhere in Niger (outside your village)?</t>
  </si>
  <si>
    <t>Au cours des six derniers mois, avez-vous, vous ou un membre de votre foyer, reçu des biens (paiement en nature) d'une personne extérieure à votre menage et résidant ailleurs au Niger (hors de votre village) ?</t>
  </si>
  <si>
    <t>A cikin watanni shida da suka gabata, kai ko wani a cikin gidan ku kun karɓi kaya (biya daga kaya) daga wanda ba ɗan gidanku ba ne kuma yana zaune a wani wuri a Nijar (a wajen ƙauyenku)?</t>
  </si>
  <si>
    <t>655. In the past six months, have you or anyone in your household received goods (payment in kind) from someone who is not a member of your household and who lives elsewhere in Niger (outside your village)?</t>
  </si>
  <si>
    <t>655. Au cours des six derniers mois, avez-vous, vous ou un membre de votre foyer, reçu des biens (paiement en nature) d'une personne extérieure à votre menage et résidant ailleurs au Niger (hors de votre village) ?</t>
  </si>
  <si>
    <t>655. A cikin watanni shida da suka gabata, kai ko wani a cikin gidan ku kun karɓi kaya (biya daga kaya) daga wanda ba ɗan gidanku ba ne kuma yana zaune a wani wuri a Nijar (a wajen ƙauyenku)?</t>
  </si>
  <si>
    <t>${speedcheck_pm_locnothome_end} - ${speedcheck_pm_locnothome_start}</t>
  </si>
  <si>
    <t>hoh_goods_rec_niger_amt</t>
  </si>
  <si>
    <t>611. What was the value of the goods members of your household receive from people elsewhere in Niger (in CFA)?</t>
  </si>
  <si>
    <t>611. Quel était la valeur au totale des biens que les membres de votre ménage ont reçu des personnes qui sont quelques part au Niger 
 (en USD)?</t>
  </si>
  <si>
    <t>611. Nawa kimar kayayyakin da ƴan gidanku suka karba daga wasu mutane a wasu wurare a Nijar (in CFA)?</t>
  </si>
  <si>
    <t>656. What was the value of the goods members of your household receive from people elsewhere in Niger (in CFA)?</t>
  </si>
  <si>
    <t>656. Quel était la valeur au totale des biens que les membres de votre ménage ont reçu des personnes qui sont quelques part au Niger 
 (en USD)?</t>
  </si>
  <si>
    <t>656. Nawa kimar kayayyakin da ƴan gidanku suka karba daga wasu mutane a wasu wurare a Nijar (in CFA)?</t>
  </si>
  <si>
    <t>select_multiple goods_transfer</t>
  </si>
  <si>
    <t>hoh_goods_rec_niger_how</t>
  </si>
  <si>
    <t>612. How were these goods transmitted to your household?</t>
  </si>
  <si>
    <t>612. Comment ces biens ont-ils été envoyé à votre ménage ?</t>
  </si>
  <si>
    <t>612. Ta yaya aka aika waɗannan kayayyakin zuwa gidanku?</t>
  </si>
  <si>
    <t>657. How were these goods transmitted to your household?</t>
  </si>
  <si>
    <t>657. Comment ces biens ont-ils été envoyé à votre ménage ?</t>
  </si>
  <si>
    <t>657. Ta yaya aka aika waɗannan kayayyakin zuwa gidanku?</t>
  </si>
  <si>
    <t>hoh_goods_rec_niger_how_o</t>
  </si>
  <si>
    <t>613. Specify other transfer method</t>
  </si>
  <si>
    <t>613. Précisez la méthode du transfert</t>
  </si>
  <si>
    <t>613. Wani daban a Bayyana</t>
  </si>
  <si>
    <t>658. Specify other transfer method</t>
  </si>
  <si>
    <t>658. Précisez la méthode du transfert</t>
  </si>
  <si>
    <t>658. Wani daban a Bayyana</t>
  </si>
  <si>
    <t>hoh_remit_rec_out</t>
  </si>
  <si>
    <t>614. In the past six months, have you or anyone in your household received money from someone who is not a member of your household and who lives in a foreign country (outside of Niger)?</t>
  </si>
  <si>
    <t>Au cours des six derniers mois, avez-vous, ou un membre de votre menage, reçu de l'argent d'une personne extérieure à votre menage et résidant à l'étranger (hors du Niger) ?</t>
  </si>
  <si>
    <t>A cikin watanni shida da suka gabata, kai ko wani a cikin gidanku ya sami kuɗi daga wani wanda ba dan gidan ku ba kuma yana zaune a wata ƙasa (wajen Nijar)?</t>
  </si>
  <si>
    <t>659. In the past six months, have you or anyone in your household received money from someone who is not a member of your household and who lives in a foreign country (outside of Niger)?</t>
  </si>
  <si>
    <t>659. Au cours des six derniers mois, avez-vous, ou un membre de votre menage, reçu de l'argent d'une personne extérieure à votre menage et résidant à l'étranger (hors du Niger) ?</t>
  </si>
  <si>
    <t>659. A cikin watanni shida da suka gabata, kai ko wani a cikin gidanku ya sami kuɗi daga wani wanda ba dan gidan ku ba kuma yana zaune a wata ƙasa (wajen Nijar)?</t>
  </si>
  <si>
    <t>hoh_remit_rec_out_amt</t>
  </si>
  <si>
    <t>615. How much in total did members of your household receive from people out of Niger?</t>
  </si>
  <si>
    <t>615. Combien au total les membres de votre ménage ont-ils reçu des personnes qui ne sont pas au Niger ?</t>
  </si>
  <si>
    <t>615. Nawa ne yan gidanku ya samu daga mutanen da ke zaune a ƙasar waje ba Nijar ba?</t>
  </si>
  <si>
    <t>660. How much in total did members of your household receive from people out of Niger?</t>
  </si>
  <si>
    <t>660. Combien au total les membres de votre ménage ont-ils reçu des personnes qui ne sont pas au Niger ?</t>
  </si>
  <si>
    <t>660. Nawa ne yan gidanku ya samu daga mutanen da ke zaune a ƙasar waje ba Nijar ba?</t>
  </si>
  <si>
    <t>hoh_remit_rec_out_how</t>
  </si>
  <si>
    <t>616. How was this money transmitted to your household?</t>
  </si>
  <si>
    <t>616. Comment cet argent a-t-il été envoyé à votre ménage ?</t>
  </si>
  <si>
    <t>616. Ta wace hanya aka aikawa gidanku wannan kuɗin ?</t>
  </si>
  <si>
    <t>661. How was this money transmitted to your household?</t>
  </si>
  <si>
    <t>661. Comment cet argent a-t-il été envoyé à votre ménage ?</t>
  </si>
  <si>
    <t>661. Ta wace hanya aka aikawa gidanku wannan kuɗin ?</t>
  </si>
  <si>
    <t>hoh_remit_rec_out_how_o</t>
  </si>
  <si>
    <t>617. Specify other transfer method</t>
  </si>
  <si>
    <t>617. Précisez la méthode du transfert</t>
  </si>
  <si>
    <t>617. Wani daban a Bayyana</t>
  </si>
  <si>
    <t>662. Specify other transfer method</t>
  </si>
  <si>
    <t>662. Précisez la méthode du transfert</t>
  </si>
  <si>
    <t>662. Wani daban a Bayyana</t>
  </si>
  <si>
    <t>hoh_goods_rec_out</t>
  </si>
  <si>
    <t>618. In the past six months, have you or anyone in your household received goods (payment in kind) from someone who is not a member of your household and who lives in a foreign country (outside of Niger)?</t>
  </si>
  <si>
    <t>Au cours des six derniers mois, avez-vous, vous ou un membre de votre menage, reçu des biens (paiement en nature) d'une personne extérieure à votre menage et résidant à l'étranger (hors du Niger) ?</t>
  </si>
  <si>
    <t>A cikin watanni shida da suka gabata, kai ko wani a cikin gidanku ya sami kaya (biyan daga kaya ) daga wanda ba ɗan gidanku ba ne kuma yana zaune a wata ƙasa (wajen Nijar)?</t>
  </si>
  <si>
    <t>663. In the past six months, have you or anyone in your household received goods (payment in kind) from someone who is not a member of your household and who lives in a foreign country (outside of Niger)?</t>
  </si>
  <si>
    <t>663. Au cours des six derniers mois, avez-vous, vous ou un membre de votre menage, reçu des biens (paiement en nature) d'une personne extérieure à votre menage et résidant à l'étranger (hors du Niger) ?</t>
  </si>
  <si>
    <t>663. A cikin watanni shida da suka gabata, kai ko wani a cikin gidanku ya sami kaya (biyan daga kaya ) daga wanda ba ɗan gidanku ba ne kuma yana zaune a wata ƙasa (wajen Nijar)?</t>
  </si>
  <si>
    <t>hoh_goods_rec_out_amt</t>
  </si>
  <si>
    <t>619. What was the value of the goods members of your household receive from people out of Niger?</t>
  </si>
  <si>
    <t>619. Quel était la valeur au totale des biens que les membres de votre ménage ont reçu des personnes qui ne sont pas au Niger ?</t>
  </si>
  <si>
    <t>619. Nawa kimar kayan da ƴan gidanku suka samo daga mutanen da ke zaune a ƙasar waje ba Nijar ba?</t>
  </si>
  <si>
    <t>664. What was the value of the goods members of your household receive from people out of Niger?</t>
  </si>
  <si>
    <t>664. Quel était la valeur au totale des biens que les membres de votre ménage ont reçu des personnes qui ne sont pas au Niger ?</t>
  </si>
  <si>
    <t>664. Nawa kimar kayan da ƴan gidanku suka samo daga mutanen da ke zaune a ƙasar waje ba Nijar ba?</t>
  </si>
  <si>
    <t>hoh_goods_rec_out_how</t>
  </si>
  <si>
    <t>620. How were these goods transmitted to your household?</t>
  </si>
  <si>
    <t>620. Comment ces biens ont-ils été envoyé à votre ménage ?</t>
  </si>
  <si>
    <t>620. Ta yaya aka aika waɗannan kayan zuwa gidanku?</t>
  </si>
  <si>
    <t>665. How were these goods transmitted to your household?</t>
  </si>
  <si>
    <t>665. Comment ces biens ont-ils été envoyé à votre ménage ?</t>
  </si>
  <si>
    <t>665. Ta yaya aka aika waɗannan kayan zuwa gidanku?</t>
  </si>
  <si>
    <t>hoh_goods_rec_out_how_o</t>
  </si>
  <si>
    <t>621. Specify other transfer method</t>
  </si>
  <si>
    <t>621. Précisez la méthode du transfert</t>
  </si>
  <si>
    <t>621. Wani daban a Bayyana</t>
  </si>
  <si>
    <t>666. Specify other transfer method</t>
  </si>
  <si>
    <t>666. Précisez la méthode du transfert</t>
  </si>
  <si>
    <t>666. Wani daban a Bayyana</t>
  </si>
  <si>
    <t>hoh_remit_send_niger</t>
  </si>
  <si>
    <t>622. In the past six months, have you or anyone in your household shared or sent money to someone who is not a member of your household and who lives elsewhere in Niger (outside your village)?</t>
  </si>
  <si>
    <t>Au cours des six derniers mois, avez-vous, vous ou un membre de votre menage, partagé ou envoyé de l'argent à une personne extérieure à votre menage et résidant ailleurs à l'intérieur du Niger (hors de votre village) ?</t>
  </si>
  <si>
    <t>A cikin watanni shida da suka gabata, kai ko wani a cikin gidanku kun aika kudi ga wanda ba an gidanku ba kuma yana zaune a wani wuri a Nijar (a wajen kauyenku)?</t>
  </si>
  <si>
    <t>667. In the past six months, have you or anyone in your household shared or sent money to someone who is not a member of your household and who lives elsewhere in Niger (outside your village)?</t>
  </si>
  <si>
    <t>667. Au cours des six derniers mois, avez-vous, vous ou un membre de votre menage, partagé ou envoyé de l'argent à une personne extérieure à votre menage et résidant ailleurs à l'intérieur du Niger (hors de votre village) ?</t>
  </si>
  <si>
    <t>667. A cikin watanni shida da suka gabata, kai ko wani a cikin gidanku kun aika kudi ga wanda ba an gidanku ba kuma yana zaune a wani wuri a Nijar (a wajen kauyenku)?</t>
  </si>
  <si>
    <t>hoh_remit_send_niger_amt</t>
  </si>
  <si>
    <t>623. How much did your household send to people elsewhere in Niger?</t>
  </si>
  <si>
    <t>623. Combien votre ménage a-t-il envoyé à des personnes qui sont quelque part au Niger ?</t>
  </si>
  <si>
    <t>623. Nawa ne gidanku ya aikawa mutanen da ke wasu wurare a Nijar?</t>
  </si>
  <si>
    <t>668. How much did your household send to people elsewhere in Niger?</t>
  </si>
  <si>
    <t>668. Combien votre ménage a-t-il envoyé à des personnes qui sont quelque part au Niger ?</t>
  </si>
  <si>
    <t>668. Nawa ne gidanku ya aikawa mutanen da ke wasu wurare a Nijar?</t>
  </si>
  <si>
    <t>hoh_remit_send_niger_how</t>
  </si>
  <si>
    <t>624. How did you transmit the money to the recipient?</t>
  </si>
  <si>
    <t>624. Comment avez-vous envoyé l'argent au destinataire ?</t>
  </si>
  <si>
    <t>624. Ta wace hanya kuka aika kuɗin ga mai karɓa?</t>
  </si>
  <si>
    <t>669. How did you transmit the money to the recipient?</t>
  </si>
  <si>
    <t>669. Comment avez-vous envoyé l'argent au destinataire ?</t>
  </si>
  <si>
    <t>669. Ta wace hanya kuka aika kuɗin ga mai karɓa?</t>
  </si>
  <si>
    <t>hoh_remit_send_niger_how_o</t>
  </si>
  <si>
    <t>625. Specify other transfer method</t>
  </si>
  <si>
    <t>625. Précisez la méthode du transfert</t>
  </si>
  <si>
    <t>625. Wani daban a Bayyana</t>
  </si>
  <si>
    <t>670. Specify other transfer method</t>
  </si>
  <si>
    <t>670. Précisez la méthode du transfert</t>
  </si>
  <si>
    <t>670. Wani daban a Bayyana</t>
  </si>
  <si>
    <t>hoh_goods_send_niger</t>
  </si>
  <si>
    <t>626. In the past six months, have you or anyone in your household shared or sent goods (payment in kind) to someone who is not a member of your household and who lives elsewhere in Niger (outside your village)?</t>
  </si>
  <si>
    <t>Au cours des six derniers mois, avez-vous, ou un membre de votre foyer, partagé ou envoyé des biens (paiement en nature) à une personne extérieure à votre foyer et résidant ailleurs au Niger (hors de votre village) ?</t>
  </si>
  <si>
    <t>A cikin watanni shida da suka gabata, kai ko wani a cikin gidanku kun aika kaya (biya daga kaya) ga wanda ba ɗan gidanku ba kuma yana zaune a wani wuri a Nijar (wajen ƙauyenku)?</t>
  </si>
  <si>
    <t>671. In the past six months, have you or anyone in your household shared or sent goods (payment in kind) to someone who is not a member of your household and who lives elsewhere in Niger (outside your village)?</t>
  </si>
  <si>
    <t>671. Au cours des six derniers mois, avez-vous, ou un membre de votre foyer, partagé ou envoyé des biens (paiement en nature) à une personne extérieure à votre foyer et résidant ailleurs au Niger (hors de votre village) ?</t>
  </si>
  <si>
    <t>671. A cikin watanni shida da suka gabata, kai ko wani a cikin gidanku kun aika kaya (biya daga kaya) ga wanda ba ɗan gidanku ba kuma yana zaune a wani wuri a Nijar (wajen ƙauyenku)?</t>
  </si>
  <si>
    <t>hoh_goods_send_niger_amt</t>
  </si>
  <si>
    <t>627. What was the value of the goods members of your household sent to people elsewhere in Niger?</t>
  </si>
  <si>
    <t>627. Quel était la valeur au totale des biens que les membres de votre ménage ont envoyé aux personnes qui sont quelques part au Niger ?</t>
  </si>
  <si>
    <t>627. Nawa ne kimar kayan da ƴan gidanku suka aika wa mutane a wasu wurare a cikin Nijar?</t>
  </si>
  <si>
    <t>672. What was the value of the goods members of your household sent to people elsewhere in Niger?</t>
  </si>
  <si>
    <t>672. Quel était la valeur au totale des biens que les membres de votre ménage ont envoyé aux personnes qui sont quelques part au Niger ?</t>
  </si>
  <si>
    <t>672. Nawa ne kimar kayan da ƴan gidanku suka aika wa mutane a wasu wurare a cikin Nijar?</t>
  </si>
  <si>
    <t>hoh_goods_send_niger_how</t>
  </si>
  <si>
    <t>628. How were these goods transmitted to the recipient?</t>
  </si>
  <si>
    <t>628. Comment ces biens ont-ils été envoyé au destinataire ?</t>
  </si>
  <si>
    <t>628. Ta yaya aka aika waɗannan kayayyaki zuwa ga mai karɓa?</t>
  </si>
  <si>
    <t>673. How were these goods transmitted to the recipient?</t>
  </si>
  <si>
    <t>673. Comment ces biens ont-ils été envoyé au destinataire ?</t>
  </si>
  <si>
    <t>673. Ta yaya aka aika waɗannan kayayyaki zuwa ga mai karɓa?</t>
  </si>
  <si>
    <t>. &gt; 0 and . &lt;= 7</t>
  </si>
  <si>
    <t>hoh_goods_send_niger_how_o</t>
  </si>
  <si>
    <t>${pm_skip_meals_typical_wk} = 1</t>
  </si>
  <si>
    <t>629. Specify other transfer method</t>
  </si>
  <si>
    <t>629. Precisez la methode du transfert</t>
  </si>
  <si>
    <t>629. Wani daban a Bayyana</t>
  </si>
  <si>
    <t>674. Specify other transfer method</t>
  </si>
  <si>
    <t>674. Precisez la methode du transfert</t>
  </si>
  <si>
    <t>674. Wani daban a Bayyana</t>
  </si>
  <si>
    <t>hoh_remit_send_out</t>
  </si>
  <si>
    <t>630. In the past six months, have you or anyone in your household shared or sent money to someone who is not a member of your household and who lives in a foreign country (outside of Niger)?</t>
  </si>
  <si>
    <t>Au cours des six derniers mois, avez-vous, ou un membre de votre foyer, partagé ou envoyé de l'argent à une personne extérieure à votre foyer et résidant à l'étranger (hors du Niger) ?</t>
  </si>
  <si>
    <t>A cikin watanni shida da suka gabata, kai ko wani a cikin gidanku kun raba ko aika kudi ga wanda ba dan gidanku ba kuma yana zaune a wata kasa (wajen Nijar)?</t>
  </si>
  <si>
    <t>675. In the past six months, have you or anyone in your household shared or sent money to someone who is not a member of your household and who lives in a foreign country (outside of Niger)?</t>
  </si>
  <si>
    <t>675. Au cours des six derniers mois, avez-vous, ou un membre de votre foyer, partagé ou envoyé de l'argent à une personne extérieure à votre foyer et résidant à l'étranger (hors du Niger) ?</t>
  </si>
  <si>
    <t>675. A cikin watanni shida da suka gabata, kai ko wani a cikin gidanku kun raba ko aika kudi ga wanda ba dan gidanku ba kuma yana zaune a wata kasa (wajen Nijar)?</t>
  </si>
  <si>
    <t>hoh_remit_send_out_amt</t>
  </si>
  <si>
    <t>631. How much did your household send to people people out of Niger?</t>
  </si>
  <si>
    <t>631. Combien votre ménage a-t-il envoyé à d'autres personnes qui sont quelque part hors du Niger ?</t>
  </si>
  <si>
    <t>631. Nawa gidanku ya aikawa wasu mutane da ke wani wuri ba a Nijar ba?</t>
  </si>
  <si>
    <t>676. How much did your household send to people people out of Niger?</t>
  </si>
  <si>
    <t>676. Combien votre ménage a-t-il envoyé à d'autres personnes qui sont quelque part hors du Niger ?</t>
  </si>
  <si>
    <t>676. Nawa gidanku ya aikawa wasu mutane da ke wani wuri ba a Nijar ba?</t>
  </si>
  <si>
    <t>hoh_remit_send_out_how</t>
  </si>
  <si>
    <t>632. How did you transmit the money to the recipient?</t>
  </si>
  <si>
    <t>632. Comment avez-vous transmis l'argent au destinataire ?</t>
  </si>
  <si>
    <t>632. Ta wace hanya kuka aika kuɗin ga mai karɓa?</t>
  </si>
  <si>
    <t>677. How did you transmit the money to the recipient?</t>
  </si>
  <si>
    <t>677. Comment avez-vous transmis l'argent au destinataire ?</t>
  </si>
  <si>
    <t>677. Ta wace hanya kuka aika kuɗin ga mai karɓa?</t>
  </si>
  <si>
    <t>hoh_remit_send_out_how_o</t>
  </si>
  <si>
    <t>633. Specify other transfer method</t>
  </si>
  <si>
    <t>633. Precisez la methode du transfert</t>
  </si>
  <si>
    <t>633. Wani daban a Bayyana</t>
  </si>
  <si>
    <t>678. Specify other transfer method</t>
  </si>
  <si>
    <t>678. Precisez la methode du transfert</t>
  </si>
  <si>
    <t>678. Wani daban a Bayyana</t>
  </si>
  <si>
    <t>hoh_goods_send_out</t>
  </si>
  <si>
    <t>634. In the past six months, have you or anyone in your household shared or sent goods (payment in kind) to someone who is not a member of your household and who lives in a foreign country (outside of Niger)?</t>
  </si>
  <si>
    <t>Au cours des six derniers mois, avez-vous, ou un membre de votre foyer, partagé ou envoyé des biens (paiement en nature) à une personne extérieure à votre foyer et résidant à l'étranger (hors du Niger) ?</t>
  </si>
  <si>
    <t>A cikin watanni shida da suka gabata, kai ko wani a cikin gidanku kun aika kaya (biya daga kaya) ga wanda ba ɗan gidanku ba kuma yana zaune a wata ƙasa (a wajen Nijar)?</t>
  </si>
  <si>
    <t>679. In the past six months, have you or anyone in your household shared or sent goods (payment in kind) to someone who is not a member of your household and who lives in a foreign country (outside of Niger)?</t>
  </si>
  <si>
    <t>679. Au cours des six derniers mois, avez-vous, ou un membre de votre foyer, partagé ou envoyé des biens (paiement en nature) à une personne extérieure à votre foyer et résidant à l'étranger (hors du Niger) ?</t>
  </si>
  <si>
    <t>679. A cikin watanni shida da suka gabata, kai ko wani a cikin gidanku kun aika kaya (biya daga kaya) ga wanda ba ɗan gidanku ba kuma yana zaune a wata ƙasa (a wajen Nijar)?</t>
  </si>
  <si>
    <t>hoh_goods_send_out_amt</t>
  </si>
  <si>
    <t>635. What was the value of the goods members of your household sent to people out of Niger?</t>
  </si>
  <si>
    <t>635. Quel était le valeur au total des biens que les membres de votre ménage ont envoyé aux personnes qui sont quelques part hors du Niger ?</t>
  </si>
  <si>
    <t>635. Nawa ne kimar kayan da ƴan gidanku suka aikawa wasu mutane da ke wani wuri ba a Nijar ba?</t>
  </si>
  <si>
    <t>680. What was the value of the goods members of your household sent to people out of Niger?</t>
  </si>
  <si>
    <t>680. Quel était le valeur au total des biens que les membres de votre ménage ont envoyé aux personnes qui sont quelques part hors du Niger ?</t>
  </si>
  <si>
    <t>680. Nawa ne kimar kayan da ƴan gidanku suka aikawa wasu mutane da ke wani wuri ba a Nijar ba?</t>
  </si>
  <si>
    <t>hoh_goods_send_out_how</t>
  </si>
  <si>
    <t>636. How were these goods transmitted to the recipient?</t>
  </si>
  <si>
    <t>636. Comment ces biens ont-ils été envoyé au destinataire ?</t>
  </si>
  <si>
    <t>636. Ta yaya aka aika waɗannan kayayyaki zuwa ga mai karɓa?</t>
  </si>
  <si>
    <t>681. How were these goods transmitted to the recipient?</t>
  </si>
  <si>
    <t>681. Comment ces biens ont-ils été envoyé au destinataire ?</t>
  </si>
  <si>
    <t>681. Ta yaya aka aika waɗannan kayayyaki zuwa ga mai karɓa?</t>
  </si>
  <si>
    <t>hoh_goods_send_out_how_o</t>
  </si>
  <si>
    <t>637. Specify other transfer method</t>
  </si>
  <si>
    <t>637. Precisez la methode du transfert</t>
  </si>
  <si>
    <t>637. Wani daban a Bayyana</t>
  </si>
  <si>
    <t>682. Specify other transfer method</t>
  </si>
  <si>
    <t>682. Precisez la methode du transfert</t>
  </si>
  <si>
    <t>682. Wani daban a Bayyana</t>
  </si>
  <si>
    <t>select_multiple support</t>
  </si>
  <si>
    <t>hoh_receive_support</t>
  </si>
  <si>
    <t>638. In the past six months, have you received support from any of the following sources?</t>
  </si>
  <si>
    <t>Au cours des six derniers mois, avez-vous reçu une aide de l'une des sources suivantes ?</t>
  </si>
  <si>
    <t>A cikin watanni shida da suka gabata, kun sami tallafi daga ɗayan waɗannan kafofin?</t>
  </si>
  <si>
    <t>683. In the past six months, have you received support from any of the following sources?</t>
  </si>
  <si>
    <t>683. Au cours des six derniers mois, avez-vous reçu une aide de l'une des sources suivantes ?</t>
  </si>
  <si>
    <t>683. A cikin watanni shida da suka gabata, kun sami tallafi daga ɗayan waɗannan kafofin?</t>
  </si>
  <si>
    <t>hoh_receive_support_amt</t>
  </si>
  <si>
    <t>639. How much did you receive from all the sources combined?</t>
  </si>
  <si>
    <t>639. Combien avez-vous reçu de toutes les sources confondues ?</t>
  </si>
  <si>
    <t>639. Nawa kuka samu daga duk hanyoyin shiga gaba ɗayan su?</t>
  </si>
  <si>
    <t>684. How much did you receive from all the sources combined?</t>
  </si>
  <si>
    <t>684. Combien avez-vous reçu de toutes les sources confondues ?</t>
  </si>
  <si>
    <t>684. Nawa kuka samu daga duk hanyoyin shiga gaba ɗayan su?</t>
  </si>
  <si>
    <t>hoh_income_gifts</t>
  </si>
  <si>
    <t>640. In addition to the transfers we just discussed, what is the total value of income from charity or gifts your household has received &lt;b&gt;in the past six months&lt;/b&gt; in CFA?</t>
  </si>
  <si>
    <t>Outre les transferts que nous venons d'évoquer, quel est le montant total des revenus provenant d'œuvres caritatives ou de dons que votre ménage a reçus &lt;b&gt;au cours des six derniers mois&lt;/b&gt; en francs CFA ?</t>
  </si>
  <si>
    <t>Bancin aiken kuɗi da muka tattauna yanzu, nawa ne jimillar kuɗin da kuka samu na taimako ko kyaututtukan &lt;b&gt;a cikin watanni shida da suka gabata a CFA?</t>
  </si>
  <si>
    <t>685. In addition to the transfers we just discussed, what is the total value of income from charity or gifts your household has received &lt;b&gt;in the past six months&lt;/b&gt; in CFA?</t>
  </si>
  <si>
    <t>685. Outre les transferts que nous venons d'évoquer, quel est le montant total des revenus provenant d'œuvres caritatives ou de dons que votre ménage a reçus &lt;b&gt;au cours des six derniers mois&lt;/b&gt; en francs CFA ?</t>
  </si>
  <si>
    <t>685. Bancin aiken kuɗi da muka tattauna yanzu, nawa ne jimillar kuɗin da kuka samu na taimako ko kyaututtukan &lt;b&gt;a cikin watanni shida da suka gabata a CFA?</t>
  </si>
  <si>
    <t>speedcheck_hoh_remit_end</t>
  </si>
  <si>
    <t>dur_hoh_remit</t>
  </si>
  <si>
    <t>speedcheck_hoh_homeimprove_start</t>
  </si>
  <si>
    <t>hoh_improve</t>
  </si>
  <si>
    <t>Improvements</t>
  </si>
  <si>
    <t>Améliorations</t>
  </si>
  <si>
    <t>Ingantawa</t>
  </si>
  <si>
    <t>hoh_improve_home</t>
  </si>
  <si>
    <t>641. In the past six months did your household make a significant investment or improvement in the house you reside in?</t>
  </si>
  <si>
    <t>Au cours des six derniers mois, votre ménage a-t-il réalisé un investissement ou une amélioration significative dans la maison que vous occupez ?</t>
  </si>
  <si>
    <t>A cikin watanni shida da suka gabata, an yi wasu kashe kashen kuɗi don gyara gidan ku wanda kuke zaune a ciki?</t>
  </si>
  <si>
    <t>686. In the past six months did your household make a significant investment or improvement in the house you reside in?</t>
  </si>
  <si>
    <t>686. Au cours des six derniers mois, votre ménage a-t-il réalisé un investissement ou une amélioration significative dans la maison que vous occupez ?</t>
  </si>
  <si>
    <t>686. A cikin watanni shida da suka gabata, an yi wasu kashe kashen kuɗi don gyara gidan ku wanda kuke zaune a ciki?</t>
  </si>
  <si>
    <t>hoh_improve_add_rooms</t>
  </si>
  <si>
    <t>642. Build additional rooms</t>
  </si>
  <si>
    <t>642. Construire des chambres supplémentaires</t>
  </si>
  <si>
    <t>642. Ginin ƙarin ɗakuna</t>
  </si>
  <si>
    <t>687. Build additional rooms</t>
  </si>
  <si>
    <t>687. Construire des chambres supplémentaires</t>
  </si>
  <si>
    <t>687. Ginin ƙarin ɗakuna</t>
  </si>
  <si>
    <t>hoh_improve_floors</t>
  </si>
  <si>
    <t>643. Improve floors</t>
  </si>
  <si>
    <t>643. Améliorer les sols</t>
  </si>
  <si>
    <t>643. Inganta filalayen gida</t>
  </si>
  <si>
    <t>688. Improve floors</t>
  </si>
  <si>
    <t>688. Améliorer les sols</t>
  </si>
  <si>
    <t>688. Inganta filalayen gida</t>
  </si>
  <si>
    <t>hoh_improve_walls</t>
  </si>
  <si>
    <t>644. Improve walls</t>
  </si>
  <si>
    <t>644. Réfectionner les murs</t>
  </si>
  <si>
    <t>644. gyara katangun gida</t>
  </si>
  <si>
    <t>689. Improve walls</t>
  </si>
  <si>
    <t>689. Réfectionner les murs</t>
  </si>
  <si>
    <t>689. gyara katangun gida</t>
  </si>
  <si>
    <t>hoh_improve_roof</t>
  </si>
  <si>
    <t>645. Improve roof</t>
  </si>
  <si>
    <t>645. Réfectionner le toit</t>
  </si>
  <si>
    <t>645. gyara rufin gida</t>
  </si>
  <si>
    <t>690. Improve roof</t>
  </si>
  <si>
    <t>690. Réfectionner le toit</t>
  </si>
  <si>
    <t>690. gyara rufin gida</t>
  </si>
  <si>
    <t>hoh_improve_o</t>
  </si>
  <si>
    <t>646. Other improvement</t>
  </si>
  <si>
    <t>646. Autre amélioration</t>
  </si>
  <si>
    <t>646. Wasu gyare gyare daban</t>
  </si>
  <si>
    <t>691. Other improvement</t>
  </si>
  <si>
    <t>691. Autre amélioration</t>
  </si>
  <si>
    <t>691. Wasu gyare gyare daban</t>
  </si>
  <si>
    <t>hoh_improve_other</t>
  </si>
  <si>
    <t>647. Specify other improvement (i.e. connect to electricity, build latrine)</t>
  </si>
  <si>
    <t>647. Précisez les autres améliorations (c.-à-d. connecter de l'électricité, construire des latrines)</t>
  </si>
  <si>
    <t>647. Baiyana wasu abubuwan ingantawa (kamar sa wutar lantarki, gina salga (masai ) )</t>
  </si>
  <si>
    <t>692. Specify other improvement (i.e. connect to electricity, build latrine)</t>
  </si>
  <si>
    <t>692. Précisez les autres améliorations (c.-à-d. connecter de l'électricité, construire des latrines)</t>
  </si>
  <si>
    <t>692. Baiyana wasu abubuwan ingantawa (kamar sa wutar lantarki, gina salga (masai ) )</t>
  </si>
  <si>
    <t>hoh_improve_home_amt</t>
  </si>
  <si>
    <t>${pm_food_cost} + ${pm_housing_cost} + ${pm_transportation_cost} + ${pm_phone_cost} + ${pm_leisure_cost}</t>
  </si>
  <si>
    <t>648. Approximately how much did all of these investments together cost in CFA?</t>
  </si>
  <si>
    <t>648. Combien ont coûté approximativement tous ces investissements (en CFA) ?</t>
  </si>
  <si>
    <t>648. Aƙalla nawa aka kashe akan waɗannan ayyukan a sefa?</t>
  </si>
  <si>
    <t>693. Approximately how much did all of these investments together cost in CFA?</t>
  </si>
  <si>
    <t>693. Combien ont coûté approximativement tous ces investissements (en CFA) ?</t>
  </si>
  <si>
    <t>693. Aƙalla nawa aka kashe akan waɗannan ayyukan a sefa?</t>
  </si>
  <si>
    <t>hoh_improve_business</t>
  </si>
  <si>
    <t>649. In the past six months did you make any investments in your non-agricultural business?</t>
  </si>
  <si>
    <t>Au cours des six derniers mois, avez-vous investi dans votre entreprise non agricole ?</t>
  </si>
  <si>
    <t>A cikin watanni shida da suka gabata kun saka wani jari a cikin kasuwancin ku wanda ba na noma ba?</t>
  </si>
  <si>
    <t>694. In the past six months did you make any investments in your non-agricultural business?</t>
  </si>
  <si>
    <t>694. Au cours des six derniers mois, avez-vous investi dans votre entreprise non agricole ?</t>
  </si>
  <si>
    <t>694. A cikin watanni shida da suka gabata kun saka wani jari a cikin kasuwancin ku wanda ba na noma ba?</t>
  </si>
  <si>
    <t>hoh_improve_business_o</t>
  </si>
  <si>
    <t>650. Specify the improvement to your business</t>
  </si>
  <si>
    <t>650. Précisez les investissements que vous avez fait dans votre entreprise</t>
  </si>
  <si>
    <t>650. Ku bayyana kuɗin da kuka kashe don haɓɓaka kasuwancin ku</t>
  </si>
  <si>
    <t>Please go back and correct answers.</t>
  </si>
  <si>
    <t>Revenir en arrière et corriger la réponse</t>
  </si>
  <si>
    <t>695. Specify the improvement to your business</t>
  </si>
  <si>
    <t>695. Précisez les investissements que vous avez fait dans votre entreprise</t>
  </si>
  <si>
    <t>695. Ku bayyana kuɗin da kuka kashe don haɓɓaka kasuwancin ku</t>
  </si>
  <si>
    <t>hoh_improve_land</t>
  </si>
  <si>
    <t>651. In the past six months did you make any investments to improve the productivity of your land?</t>
  </si>
  <si>
    <t>Au cours des six derniers mois, avez-vous investi pour améliorer la productivité de vos terres ?</t>
  </si>
  <si>
    <t>A cikin watanni shida da suka gabata kun yi wasu kashe kashen kuɗi don inganta samun amfani a gonakin ku?</t>
  </si>
  <si>
    <t>696. In the past six months did you make any investments to improve the productivity of your land?</t>
  </si>
  <si>
    <t>696. Au cours des six derniers mois, avez-vous investi pour améliorer la productivité de vos terres ?</t>
  </si>
  <si>
    <t>696. A cikin watanni shida da suka gabata kun yi wasu kashe kashen kuɗi don inganta samun amfani a gonakin ku?</t>
  </si>
  <si>
    <t>hoh_improve_land_other</t>
  </si>
  <si>
    <t>652. Specify improvement to land</t>
  </si>
  <si>
    <t>652. Précisez les améliorations de votre terre que vous avez fait</t>
  </si>
  <si>
    <t>652. Ku bayyana kuɗin da kuka kashe don haɓɓaka gonarku</t>
  </si>
  <si>
    <t>697. Specify improvement to land</t>
  </si>
  <si>
    <t>697. Précisez les améliorations de votre terre que vous avez fait</t>
  </si>
  <si>
    <t>697. Ku bayyana kuɗin da kuka kashe don haɓɓaka gonarku</t>
  </si>
  <si>
    <t>speedcheck_hoh_homeimprove_end</t>
  </si>
  <si>
    <t>dur_hoh_homeimprove</t>
  </si>
  <si>
    <t>speedcheck_hoh_savings_start</t>
  </si>
  <si>
    <t>hoh_use_money_note</t>
  </si>
  <si>
    <t>653. Now I will ask you about different ways your household may use money that you earn.</t>
  </si>
  <si>
    <t>653. Je vais maintenant vous poser des questions sur les différentes façons dont votre ménage peut utiliser l'argent que vous gagnez.</t>
  </si>
  <si>
    <t>653. Yanzu zan yi muku tambayoyi game hanyoyi daban-daban da gidanku ke iya amfani da su don kashe kuɗin da yake samu.</t>
  </si>
  <si>
    <t>698. Now I will ask you about different ways your household may use money that you earn.</t>
  </si>
  <si>
    <t>698. Je vais maintenant vous poser des questions sur les différentes façons dont votre ménage peut utiliser l'argent que vous gagnez.</t>
  </si>
  <si>
    <t>698. Yanzu zan yi muku tambayoyi game hanyoyi daban-daban da gidanku ke iya amfani da su don kashe kuɗin da yake samu.</t>
  </si>
  <si>
    <t>hoh_savings_type</t>
  </si>
  <si>
    <t>654. Does your household currently have any savings that you keep in any of the following ways?</t>
  </si>
  <si>
    <t>654. Votre ménage dispose-t-il actuellement d'économies que vous conservez de l'une des manières suivantes ?</t>
  </si>
  <si>
    <t>654. Ko a halin yanzu gidanku na da ajiyar kuɗi daga ɗaya a cikin wanɗannan dubaru?</t>
  </si>
  <si>
    <t>699. Does your household currently have any savings that you keep in any of the following ways?</t>
  </si>
  <si>
    <t>699. Votre ménage dispose-t-il actuellement d'économies que vous conservez de l'une des manières suivantes ?</t>
  </si>
  <si>
    <t>699. Ko a halin yanzu gidanku na da ajiyar kuɗi daga ɗaya a cikin wanɗannan dubaru?</t>
  </si>
  <si>
    <t>hoh_savings_type_o</t>
  </si>
  <si>
    <t>655. Specify other:</t>
  </si>
  <si>
    <t>655. Autre a préciser :</t>
  </si>
  <si>
    <t>655. Baiyana wani abu daban:</t>
  </si>
  <si>
    <t>700. Specify other:</t>
  </si>
  <si>
    <t>700. Autre a préciser :</t>
  </si>
  <si>
    <t>700. Baiyana wani abu daban:</t>
  </si>
  <si>
    <t>hoh_savings_amt</t>
  </si>
  <si>
    <t>hoh_savings_code</t>
  </si>
  <si>
    <t>hoh_savings_name</t>
  </si>
  <si>
    <t>Sunan irin tanadi</t>
  </si>
  <si>
    <t>hoh_savings_type_amt</t>
  </si>
  <si>
    <t>656. Please share with us your best estimate of the value in CFA ${hoh_savings_name}</t>
  </si>
  <si>
    <t>656. Veuillez nous dire votre meilleure estimation de la valeur en CFA ${hoh_savings_name}</t>
  </si>
  <si>
    <t>656. Da fatan zaku baiyana mini yawan kuɗin a tsammaninku ${hoh_savings_name} a CFA</t>
  </si>
  <si>
    <t>701. Please share with us your best estimate of the value in CFA ${hoh_savings_name}</t>
  </si>
  <si>
    <t>701. Veuillez nous dire votre meilleure estimation de la valeur en CFA ${hoh_savings_name}</t>
  </si>
  <si>
    <t>701. Da fatan zaku baiyana mini yawan kuɗin a tsammaninku ${hoh_savings_name} a CFA</t>
  </si>
  <si>
    <t>hoh_savings_interest</t>
  </si>
  <si>
    <t>657. Do you earn interest on this money ${hoh_savings_name}?</t>
  </si>
  <si>
    <t>657. Gagnez-vous des intérêts sur cet argent ${hoh_savings_name} ?</t>
  </si>
  <si>
    <t>657. Kuna samun kudin ruwa akan wannan kuɗin ${hoh_savings_name}?</t>
  </si>
  <si>
    <t>702. Do you earn interest on this money ${hoh_savings_name}?</t>
  </si>
  <si>
    <t>702. Gagnez-vous des intérêts sur cet argent ${hoh_savings_name} ?</t>
  </si>
  <si>
    <t>702. Kuna samun kudin ruwa akan wannan kuɗin ${hoh_savings_name}?</t>
  </si>
  <si>
    <t>speedcheck_hoh_savings_end</t>
  </si>
  <si>
    <t>dur_hoh_savings</t>
  </si>
  <si>
    <t>hoh_savings_total</t>
  </si>
  <si>
    <t>hoh_savings_confirm</t>
  </si>
  <si>
    <t>658. Total savings: ${hoh_savings_total}: Does this look correct?</t>
  </si>
  <si>
    <t>658. Économies totales : ${hoh_savings_total} : cela vous semble correct ?</t>
  </si>
  <si>
    <t>658. Jimillar ajiya: ${hoh_savings_total}: kuna ganin ​​wannan yayi daidai?</t>
  </si>
  <si>
    <t>703. Total savings: ${hoh_savings_total}: Does this look correct?</t>
  </si>
  <si>
    <t>703. Économies totales : ${hoh_savings_total} : cela vous semble correct ?</t>
  </si>
  <si>
    <t>703. Jimillar ajiya: ${hoh_savings_total}: kuna ganin ​​wannan yayi daidai?</t>
  </si>
  <si>
    <t>hoh_emergency</t>
  </si>
  <si>
    <t>659. During ${period}, was your household negatively affected by any of the following types of events?</t>
  </si>
  <si>
    <t>659. Au cours de ${period_french}, votre ménage a-t-il été affecté négativement par l'un des types d'événements suivants ?</t>
  </si>
  <si>
    <t>659. A lokacin ${period_hausa}, ko gidanku ya fuskanci wani daga cikin matsaloli nan masu zuwa? Zaɓi duk abin da ya dace</t>
  </si>
  <si>
    <t>704. During ${period}, was your household negatively affected by any of the following types of events?</t>
  </si>
  <si>
    <t>704. Au cours de ${period_french}, votre ménage a-t-il été affecté négativement par l'un des types d'événements suivants ?</t>
  </si>
  <si>
    <t>704. A lokacin ${period_hausa}, ko gidanku ya fuskanci wani daga cikin matsaloli nan masu zuwa? Zaɓi duk abin da ya dace</t>
  </si>
  <si>
    <t>hoh_emergency_o</t>
  </si>
  <si>
    <t>660. Please briefly describe the event(s) that negatveily affected your household</t>
  </si>
  <si>
    <t>660. Veuillez décrire brièvement le/les événement(s) qui ont eu des effets négatifs sur votre ménage au cours des 3 derniers mois</t>
  </si>
  <si>
    <t>660. Da fatan za ku yi taƙaitaccen bayani a kan abin da ya shafi gidan ku</t>
  </si>
  <si>
    <t>705. Please briefly describe the event(s) that negatveily affected your household</t>
  </si>
  <si>
    <t>705. Veuillez décrire brièvement le/les événement(s) qui ont eu des effets négatifs sur votre ménage au cours des 3 derniers mois</t>
  </si>
  <si>
    <t>705. Da fatan za ku yi taƙaitaccen bayani a kan abin da ya shafi gidan ku</t>
  </si>
  <si>
    <t>speedcheck_hoh_emerg_start</t>
  </si>
  <si>
    <t>hoh_emerg_resp</t>
  </si>
  <si>
    <t>Emergency response</t>
  </si>
  <si>
    <t>hoh_emergency_name</t>
  </si>
  <si>
    <t>Emergency Name</t>
  </si>
  <si>
    <t>hoh_emerg_yes</t>
  </si>
  <si>
    <t>hoh_emerg_note</t>
  </si>
  <si>
    <t>661. In response to ${hoh_emergency_name}, did you or your household take the following actions?</t>
  </si>
  <si>
    <t>661. En réponse à ${hoh_emergency_name}, avez-vous vous ou votre ménage pris les mesures suivantes ??</t>
  </si>
  <si>
    <t>661. Dangance da ${hoh_emergency_name}, ku ko ƴan gindanku kun ɗauki waɗannan matakai?</t>
  </si>
  <si>
    <t>706. In response to ${hoh_emergency_name}, did you or your household take the following actions?</t>
  </si>
  <si>
    <t>706. En réponse à ${hoh_emergency_name}, avez-vous vous ou votre ménage pris les mesures suivantes ??</t>
  </si>
  <si>
    <t>706. Dangance da ${hoh_emergency_name}, ku ko ƴan gindanku kun ɗauki waɗannan matakai?</t>
  </si>
  <si>
    <t>hoh_emerg_sell</t>
  </si>
  <si>
    <t>662. Sell assets?</t>
  </si>
  <si>
    <t>662. Vendre des actifs</t>
  </si>
  <si>
    <t>662. Saida kadarori</t>
  </si>
  <si>
    <t>707. Sell assets?</t>
  </si>
  <si>
    <t>707. Vendre des actifs</t>
  </si>
  <si>
    <t>707. Saida kadarori</t>
  </si>
  <si>
    <t>hoh_emerg_borrow</t>
  </si>
  <si>
    <t>663. Borrow money?</t>
  </si>
  <si>
    <t>663. Emprunter de l'argent</t>
  </si>
  <si>
    <t>663. Bashin kuɗi</t>
  </si>
  <si>
    <t>708. Borrow money?</t>
  </si>
  <si>
    <t>708. Emprunter de l'argent</t>
  </si>
  <si>
    <t>708. Bashin kuɗi</t>
  </si>
  <si>
    <t>hoh_emerg_spend</t>
  </si>
  <si>
    <t>664. Spend your savings?</t>
  </si>
  <si>
    <t>664. Utiliser votre épargne</t>
  </si>
  <si>
    <t>664. Kashe kuɗin ajiyar ku</t>
  </si>
  <si>
    <t>709. Spend your savings?</t>
  </si>
  <si>
    <t>709. Utiliser votre épargne</t>
  </si>
  <si>
    <t>709. Kashe kuɗin ajiyar ku</t>
  </si>
  <si>
    <t>hoh_emerg_consume</t>
  </si>
  <si>
    <t>665. Reduce spending on food or change your food consumption?</t>
  </si>
  <si>
    <t>665. Réduire les dépenses alimentaires ou changé des habitudes de consommation ?</t>
  </si>
  <si>
    <t>665. Rage kashe kuɗi akan abinci ko canza abincin?</t>
  </si>
  <si>
    <t>710. Reduce spending on food or change your food consumption?</t>
  </si>
  <si>
    <t>710. Réduire les dépenses alimentaires ou changé des habitudes de consommation ?</t>
  </si>
  <si>
    <t>710. Rage kashe kuɗi akan abinci ko canza abincin?</t>
  </si>
  <si>
    <t>hoh_emerg_amt</t>
  </si>
  <si>
    <t>hoh_emerg_note2</t>
  </si>
  <si>
    <t>666. For ${hoh_emergency_name}
 What was the value of the following in CFA?</t>
  </si>
  <si>
    <t>666. Par rapport à ${hoh_emergency_name}
 Quelle était la valeur des éléments suivantes en CFA?</t>
  </si>
  <si>
    <t>666. Game da ${hoh_emergency_name}
 Nawa ne kimar waɗannan abubuwan a kuɗin CFA?</t>
  </si>
  <si>
    <t>711. For ${hoh_emergency_name}
 What was the value of the following in CFA?</t>
  </si>
  <si>
    <t>711. Par rapport à ${hoh_emergency_name}
 Quelle était la valeur des éléments suivantes en CFA?</t>
  </si>
  <si>
    <t>711. Game da ${hoh_emergency_name}
 Nawa ne kimar waɗannan abubuwan a kuɗin CFA?</t>
  </si>
  <si>
    <t>hoh_emerg_sell_amt</t>
  </si>
  <si>
    <t>667. Assets you sold</t>
  </si>
  <si>
    <t>667. Les actifs que vous avez vendus</t>
  </si>
  <si>
    <t>667. Kadarorin da kuka saida</t>
  </si>
  <si>
    <t>712. Assets you sold</t>
  </si>
  <si>
    <t>712. Les actifs que vous avez vendus</t>
  </si>
  <si>
    <t>712. Kadarorin da kuka saida</t>
  </si>
  <si>
    <t>hoh_emerg_borrow_amt</t>
  </si>
  <si>
    <t>668. Loan(s) you took</t>
  </si>
  <si>
    <t>668. Les prêt(s) que vous avez contracté</t>
  </si>
  <si>
    <t>668. Bashin da kuka ɗauka</t>
  </si>
  <si>
    <t>713. Loan(s) you took</t>
  </si>
  <si>
    <t>713. Les prêt(s) que vous avez contracté</t>
  </si>
  <si>
    <t>713. Bashin da kuka ɗauka</t>
  </si>
  <si>
    <t>hoh_emerg_spend_amt</t>
  </si>
  <si>
    <t>669. Savings you spent?</t>
  </si>
  <si>
    <t>669. L'épargne que vous avez utilisé</t>
  </si>
  <si>
    <t>669. Ajiyar da kuka kashe</t>
  </si>
  <si>
    <t>714. Savings you spent?</t>
  </si>
  <si>
    <t>714. L'épargne que vous avez utilisé</t>
  </si>
  <si>
    <t>714. Ajiyar da kuka kashe</t>
  </si>
  <si>
    <t>speedcheck_hoh_emerg_end</t>
  </si>
  <si>
    <t>dur_hoh_emerg</t>
  </si>
  <si>
    <t>speedcheck_hoh_credit_start</t>
  </si>
  <si>
    <t>hoh_owe_note</t>
  </si>
  <si>
    <t>670. Now I would like to ask you about any money that you and your family owe to other people; money you have borrowed from people outside your household.</t>
  </si>
  <si>
    <t>670. Maintenant, je voudrais vous poser des questions sur l'argent que vous et votre ménage devez à d'autres personnes ; l'argent que vous avez emprunté à des personnes extérieures à votre ménage.</t>
  </si>
  <si>
    <t>670. Yanzu ina son in tambaye ku game da duk wani kuɗin da ku da ƴan gidanku kuka ɗauko daga wajen wasu mutane; kuɗin da kuka aro daga mutane wanda ba ƴan gidanku ba.</t>
  </si>
  <si>
    <t>715. Now I would like to ask you about any money that you and your family owe to other people; money you have borrowed from people outside your household.</t>
  </si>
  <si>
    <t>715. Maintenant, je voudrais vous poser des questions sur l'argent que vous et votre ménage devez à d'autres personnes ; l'argent que vous avez emprunté à des personnes extérieures à votre ménage.</t>
  </si>
  <si>
    <t>715. Yanzu ina son in tambaye ku game da duk wani kuɗin da ku da ƴan gidanku kuka ɗauko daga wajen wasu mutane; kuɗin da kuka aro daga mutane wanda ba ƴan gidanku ba.</t>
  </si>
  <si>
    <t>hoh_credit_refuse</t>
  </si>
  <si>
    <t>671. In the last six months did you or a member of your household try to secure a loan from any source but were refused?</t>
  </si>
  <si>
    <t>Au cours des six derniers mois, vous ou un membre de votre ménage avez-vous tenté d'obtenir un prêt, quelle qu'en soit la source, mais votre demande a été refusée ?</t>
  </si>
  <si>
    <t>A cikin watanni shida da suka gabata kai ko wani dan gidan ku kun yi ƙoƙarin samun bashi daga kowace hanya amma an ƙi a baku ?</t>
  </si>
  <si>
    <t>716. In the last six months did you or a member of your household try to secure a loan from any source but were refused?</t>
  </si>
  <si>
    <t>716. Au cours des six derniers mois, vous ou un membre de votre ménage avez-vous tenté d'obtenir un prêt, quelle qu'en soit la source, mais votre demande a été refusée ?</t>
  </si>
  <si>
    <t>716. A cikin watanni shida da suka gabata kai ko wani dan gidan ku kun yi ƙoƙarin samun bashi daga kowace hanya amma an ƙi a baku ?</t>
  </si>
  <si>
    <t>hoh_credit_refuse_amt</t>
  </si>
  <si>
    <t>672. What was the value of the loan in CFA?</t>
  </si>
  <si>
    <t>${pm_phys_attacked} = 1 or ${pm_phys_threat} = 1 or ${pm_theft} = 1 or ${pm_arrest}=1 or ${pm_illness}=1 or ${pm_illness} = 1</t>
  </si>
  <si>
    <t>672. Quelle était la valeur du prêt en CFA?</t>
  </si>
  <si>
    <t>672. Nawa ne yawan kuɗin bashin a sefa?</t>
  </si>
  <si>
    <t>717. What was the value of the loan in CFA?</t>
  </si>
  <si>
    <t>717. Quelle était la valeur du prêt en CFA?</t>
  </si>
  <si>
    <t>717. Nawa ne yawan kuɗin bashin a sefa?</t>
  </si>
  <si>
    <t>hoh_borrow_total</t>
  </si>
  <si>
    <t>673. Think about all the people you or members of your household owe money, including recent loans, what is the total value your household owes (in CFA)?</t>
  </si>
  <si>
    <t>673. Pensez à toutes les personnes que vous ou les membres de votre ménage devez de l'argent, y compris les prêts récents, quelle est la valeur totale que votre ménage doit (en CFA) ?</t>
  </si>
  <si>
    <t>673. Ku tuna da duk mutanen da ke bin da ƴan gidanku kuɗi, dukan basussuka sabi da tsohi, nawa jimillar kuɗin a ke bin gidanku (a kuɗin sefa CFA)?</t>
  </si>
  <si>
    <t>718. Think about all the people you or members of your household owe money, including recent loans, what is the total value your household owes (in CFA)?</t>
  </si>
  <si>
    <t>718. Pensez à toutes les personnes que vous ou les membres de votre ménage devez de l'argent, y compris les prêts récents, quelle est la valeur totale que votre ménage doit (en CFA) ?</t>
  </si>
  <si>
    <t>718. Ku tuna da duk mutanen da ke bin da ƴan gidanku kuɗi, dukan basussuka sabi da tsohi, nawa jimillar kuɗin a ke bin gidanku (a kuɗin sefa CFA)?</t>
  </si>
  <si>
    <t>hoh_borrow_ppm</t>
  </si>
  <si>
    <t>674. Do you know if a loan was given to your household by a household that participated in the TSARI training program?</t>
  </si>
  <si>
    <t>Savez-vous si un prêt a été accordé à votre ménage par un ménage ayant participé au programme de formation TSARI ?</t>
  </si>
  <si>
    <t>Shin ko kun san ko gidan ku ya karɓi bashi daga wani gida da ke cikin shirin TSARI ?</t>
  </si>
  <si>
    <t>719. Do you know if a loan was given to your household by a household that participated in the TSARI training program?</t>
  </si>
  <si>
    <t>719. Savez-vous si un prêt a été accordé à votre ménage par un ménage ayant participé au programme de formation TSARI ?</t>
  </si>
  <si>
    <t>719. Shin ko kun san ko gidan ku ya karɓi bashi daga wani gida da ke cikin shirin TSARI ?</t>
  </si>
  <si>
    <t>hoh_transfer_village</t>
  </si>
  <si>
    <t>675. In the past six months, have you or anyone in your household received money or goods from someone who is not a member of your household and lives in your village in Niger?</t>
  </si>
  <si>
    <t>Au cours des six derniers mois, vous ou un membre de votre ménage avez-vous reçu de l'argent ou des biens d'une personne extérieure à votre ménage et vivant dans votre village au Niger ?</t>
  </si>
  <si>
    <t>A cikin watanni shida da suka gabata, kai ko wani a cikin gidan ku kun karbi kudi ko kaya daga wani wanda ba ɗan gidanku ba ne kuma yana zaune a kauyenku a Nijar?</t>
  </si>
  <si>
    <t>720. In the past six months, have you or anyone in your household received money or goods from someone who is not a member of your household and lives in your village in Niger?</t>
  </si>
  <si>
    <t>720. Au cours des six derniers mois, vous ou un membre de votre ménage avez-vous reçu de l'argent ou des biens d'une personne extérieure à votre ménage et vivant dans votre village au Niger ?</t>
  </si>
  <si>
    <t>720. A cikin watanni shida da suka gabata, kai ko wani a cikin gidan ku kun karbi kudi ko kaya daga wani wanda ba ɗan gidanku ba ne kuma yana zaune a kauyenku a Nijar?</t>
  </si>
  <si>
    <t>hoh_transfer_village_ppm</t>
  </si>
  <si>
    <t>676. Do you know if the person who gave your hosuehold money was from a household that participated in the TSARI training program?</t>
  </si>
  <si>
    <t>Savez-vous si la personne qui a donné de l'argent à votre ménage était issue d'un ménage ayant participé au programme de formation TSARI ?</t>
  </si>
  <si>
    <t>Shin kun san ko mutumin da ya bada kuɗin ga gidan ku ko ya fito daga gidajen da suka shiga cikin shirin horon TSARI ne?</t>
  </si>
  <si>
    <t>${pm_phys_attacked} = 1</t>
  </si>
  <si>
    <t>721. Do you know if the person who gave your hosuehold money was from a household that participated in the TSARI training program?</t>
  </si>
  <si>
    <t>721. Savez-vous si la personne qui a donné de l'argent à votre ménage était issue d'un ménage ayant participé au programme de formation TSARI ?</t>
  </si>
  <si>
    <t>721. Shin kun san ko mutumin da ya bada kuɗin ga gidan ku ko ya fito daga gidajen da suka shiga cikin shirin horon TSARI ne?</t>
  </si>
  <si>
    <t>speedcheck_hoh_credit_end</t>
  </si>
  <si>
    <t>dur_hoh_credit</t>
  </si>
  <si>
    <t>speedcheck_hoh_foodinsec_start</t>
  </si>
  <si>
    <t>hoh_meals_note</t>
  </si>
  <si>
    <t>677. I will now ask you about meals people in your household have consumed in the past 7 days.</t>
  </si>
  <si>
    <t>677. Je vais maintenant vous poser des questions sur les repas que les membres de votre ménage ont consommé au cours des 7 derniers jours.</t>
  </si>
  <si>
    <t>677. Yanzu zan tambaye ku bisa abincin da mutanen gidanku suka ci a cikin kwanaki 7 da suka wuce.</t>
  </si>
  <si>
    <t>722. I will now ask you about meals people in your household have consumed in the past 7 days.</t>
  </si>
  <si>
    <t>722. Je vais maintenant vous poser des questions sur les repas que les membres de votre ménage ont consommé au cours des 7 derniers jours.</t>
  </si>
  <si>
    <t>722. Yanzu zan tambaye ku bisa abincin da mutanen gidanku suka ci a cikin kwanaki 7 da suka wuce.</t>
  </si>
  <si>
    <t>hoh_adults_skip_days</t>
  </si>
  <si>
    <t>${pm_phys_threat} = 1</t>
  </si>
  <si>
    <t>678. In the last 7 days, have adults gone a whole day without meals?</t>
  </si>
  <si>
    <t>678. Au cours des 7 derniers jours, des adultes sont-ils restés une journée entière sans manger de repas ?</t>
  </si>
  <si>
    <t>678. A cikin kwanaki 7 da suka wuce, ko manya gidanku sun zauna tsawon wuni guda basu ci abinci ba?</t>
  </si>
  <si>
    <t>723. In the last 7 days, have adults gone a whole day without meals?</t>
  </si>
  <si>
    <t>723. Au cours des 7 derniers jours, des adultes sont-ils restés une journée entière sans manger de repas ?</t>
  </si>
  <si>
    <t>723. A cikin kwanaki 7 da suka wuce, ko manya gidanku sun zauna tsawon wuni guda basu ci abinci ba?</t>
  </si>
  <si>
    <t>hoh_adults_skip_days_num</t>
  </si>
  <si>
    <t>679. How many days?</t>
  </si>
  <si>
    <t>679. Pendant combien de jours?</t>
  </si>
  <si>
    <t>679. 151a Tsawon kwanaki nawa?</t>
  </si>
  <si>
    <t>724. How many days?</t>
  </si>
  <si>
    <t>724. Pendant combien de jours?</t>
  </si>
  <si>
    <t>724. 151a Tsawon kwanaki nawa?</t>
  </si>
  <si>
    <t>hoh_adults_skip_meals</t>
  </si>
  <si>
    <t>680. In the last 7 days, have adults cut the size of meals or skipped meals?</t>
  </si>
  <si>
    <t>680. Au cours des 7 derniers jours, les adultes ont-ils réduit la taille de leur repas ou les ont-ils sauté?</t>
  </si>
  <si>
    <t>680. A cikin kwanaki 7 na ƙarshe, ko manyan gidanku sun rage yawan abincin da suka saba ci ko sun tsallake shi?</t>
  </si>
  <si>
    <t>${pm_theft} = 1</t>
  </si>
  <si>
    <t>725. In the last 7 days, have adults cut the size of meals or skipped meals?</t>
  </si>
  <si>
    <t>725. Au cours des 7 derniers jours, les adultes ont-ils réduit la taille de leur repas ou les ont-ils sauté?</t>
  </si>
  <si>
    <t>725. A cikin kwanaki 7 na ƙarshe, ko manyan gidanku sun rage yawan abincin da suka saba ci ko sun tsallake shi?</t>
  </si>
  <si>
    <t>hoh_adults_skip_meal_num</t>
  </si>
  <si>
    <t>681. How many days?</t>
  </si>
  <si>
    <t>681. Pendant combien de jours?</t>
  </si>
  <si>
    <t>681. Tsawon kwanaki nawa?</t>
  </si>
  <si>
    <t>726. How many days?</t>
  </si>
  <si>
    <t>726. Pendant combien de jours?</t>
  </si>
  <si>
    <t>726. Tsawon kwanaki nawa?</t>
  </si>
  <si>
    <t>hoh_adult_protein</t>
  </si>
  <si>
    <t>682. In the past week how many days have adults in your household consumed animal protein (including fish, meat, poultry)?</t>
  </si>
  <si>
    <t>682. Au cours des 7 derniers jours, combien de fois les adultes de votre ménage ont-ils consommé des protéines animales (y compris poisson, viande, volaille) ?</t>
  </si>
  <si>
    <t>682. A cikin kwanaki 7 da suka wuce sau nawa manyan gidanku suka ci abinci masu gina jiki kamar su kifi ko nama ko kaji?</t>
  </si>
  <si>
    <t>727. In the past week how many days have adults in your household consumed animal protein (including fish, meat, poultry)?</t>
  </si>
  <si>
    <t>727. Au cours des 7 derniers jours, combien de fois les adultes de votre ménage ont-ils consommé des protéines animales (y compris poisson, viande, volaille) ?</t>
  </si>
  <si>
    <t>727. A cikin kwanaki 7 da suka wuce sau nawa manyan gidanku suka ci abinci masu gina jiki kamar su kifi ko nama ko kaji?</t>
  </si>
  <si>
    <t>${pm_arrest}=1</t>
  </si>
  <si>
    <t>hoh_child_skip_days</t>
  </si>
  <si>
    <t>683. In the last 7 days, have children (&lt;14) gone a whole day without meals?</t>
  </si>
  <si>
    <t>683. Au cours des 7 derniers jours, des enfants (&lt;14) ont-ils passé une journée entière sans manger de repas ?</t>
  </si>
  <si>
    <t>683. A cikin kwanaki 7 na ƙarshe, ko yara ƴan ƙasa da shekara goma sha huɗu sun zauna tsawon wuni guda ba su ci da abinci ba?</t>
  </si>
  <si>
    <t>728. In the last 7 days, have children (&lt;14) gone a whole day without meals?</t>
  </si>
  <si>
    <t>728. Au cours des 7 derniers jours, des enfants (&lt;14) ont-ils passé une journée entière sans manger de repas ?</t>
  </si>
  <si>
    <t>728. A cikin kwanaki 7 na ƙarshe, ko yara ƴan ƙasa da shekara goma sha huɗu sun zauna tsawon wuni guda ba su ci da abinci ba?</t>
  </si>
  <si>
    <t>hoh_child_skip_days_num</t>
  </si>
  <si>
    <t>684. How many days?</t>
  </si>
  <si>
    <t>684. Pendant combien de jours?</t>
  </si>
  <si>
    <t>684. 154a Tsawon kwanaki nawa?</t>
  </si>
  <si>
    <t>729. How many days?</t>
  </si>
  <si>
    <t>729. Pendant combien de jours?</t>
  </si>
  <si>
    <t>729. 154a Tsawon kwanaki nawa?</t>
  </si>
  <si>
    <t>hoh_child_skip_meals</t>
  </si>
  <si>
    <t>685. In the last 7 days, have children (&lt;14) cut the size of meals or skipped meals?</t>
  </si>
  <si>
    <t>Enquêteur : ne pas lire les options, code basé sur la réponse</t>
  </si>
  <si>
    <t>685. Au cours des 7 derniers jours, des enfants (&lt;14) ont-ils réduit la taille de leurs repas ou les ont-ils sauté?</t>
  </si>
  <si>
    <t>685. A cikin kwanaki 7 na ƙarshe, suna da yara (&lt;14) sun rage yawan abinci ko sun rasa gaba ɗaya?</t>
  </si>
  <si>
    <t>list-label</t>
  </si>
  <si>
    <t>${pm_illness} = 1</t>
  </si>
  <si>
    <t>730. In the last 7 days, have children (&lt;14) cut the size of meals or skipped meals?</t>
  </si>
  <si>
    <t>730. Au cours des 7 derniers jours, des enfants (&lt;14) ont-ils réduit la taille de leurs repas ou les ont-ils sauté?</t>
  </si>
  <si>
    <t>730. A cikin kwanaki 7 na ƙarshe, suna da yara (&lt;14) sun rage yawan abinci ko sun rasa gaba ɗaya?</t>
  </si>
  <si>
    <t>hoh_child_skip_meals_num</t>
  </si>
  <si>
    <t>686. How many days?</t>
  </si>
  <si>
    <t>686. Pendant combien de jours?</t>
  </si>
  <si>
    <t>686. 155a Tsawon kwanaki nawa?</t>
  </si>
  <si>
    <t>731. How many days?</t>
  </si>
  <si>
    <t>731. Pendant combien de jours?</t>
  </si>
  <si>
    <t>731. 155a Tsawon kwanaki nawa?</t>
  </si>
  <si>
    <t>hoh_child_protein</t>
  </si>
  <si>
    <t>687. In the past week how many days have children in your household consumed animal protein (inlcuding fish, meat, poultry)?</t>
  </si>
  <si>
    <t>687. Au cours des 7 derniers jours, combien de fois les enfants de votre ménage ont-ils consommé des protéines animales (y compris poisson, viande, volaille) ?</t>
  </si>
  <si>
    <t>687. A cikin kwanaki 7 da suka gabata sau nawa yara a cikin gidanku suka ci abinci masu gina jiki kamar su kifi, nama, kaji ?</t>
  </si>
  <si>
    <t>732. In the past week how many days have children in your household consumed animal protein (inlcuding fish, meat, poultry)?</t>
  </si>
  <si>
    <t>732. Au cours des 7 derniers jours, combien de fois les enfants de votre ménage ont-ils consommé des protéines animales (y compris poisson, viande, volaille) ?</t>
  </si>
  <si>
    <t>732. A cikin kwanaki 7 da suka gabata sau nawa yara a cikin gidanku suka ci abinci masu gina jiki kamar su kifi, nama, kaji ?</t>
  </si>
  <si>
    <t>speedcheck_hoh_foodinsec_end</t>
  </si>
  <si>
    <t>${pm_illness_type} = -777</t>
  </si>
  <si>
    <t>dur_hoh_foodinsec</t>
  </si>
  <si>
    <t>hoh_consumption</t>
  </si>
  <si>
    <t>speedcheck_hoh_cons_start</t>
  </si>
  <si>
    <t>select_multiple cons_month</t>
  </si>
  <si>
    <t>hoh_monthly_consumption_any</t>
  </si>
  <si>
    <t>688. Has your household spent money on the following types of expenses in the past month?</t>
  </si>
  <si>
    <t>688. Votre ménage a-t-il dépensé de l'argent pour les types de dépenses suivants au cours du dernier mois ?</t>
  </si>
  <si>
    <t>688. Shin gidanku ya kashe kuɗi akan irin waɗannan abubuwan a cikin watan da ya gabata?</t>
  </si>
  <si>
    <t>733. Has your household spent money on the following types of expenses in the past month?</t>
  </si>
  <si>
    <t>733. Votre ménage a-t-il dépensé de l'argent pour les types de dépenses suivants au cours du dernier mois ?</t>
  </si>
  <si>
    <t>733. Shin gidanku ya kashe kuɗi akan irin waɗannan abubuwan a cikin watan da ya gabata?</t>
  </si>
  <si>
    <t>hoh_cons_month</t>
  </si>
  <si>
    <t>Consumption - Monthly</t>
  </si>
  <si>
    <t>Consommation - Mensuelle</t>
  </si>
  <si>
    <t>Cimaka - kowane wata</t>
  </si>
  <si>
    <t>hoh_item</t>
  </si>
  <si>
    <t>item</t>
  </si>
  <si>
    <t>article</t>
  </si>
  <si>
    <t>kaya</t>
  </si>
  <si>
    <t>hoh_monthly_consumption_amt</t>
  </si>
  <si>
    <t>689. How much did your household spend on ${hoh_item} in the past month (in CFA)?</t>
  </si>
  <si>
    <t>689. Combien votre ménage a-t-il dépensé pour ${hoh_item} au cours du dernier mois (en CFA) ?</t>
  </si>
  <si>
    <t>689. Nawa ne (a CFA) gidanku ya kashe akan ${hoh_item} cikin watan da ya gabata ?</t>
  </si>
  <si>
    <t>734. How much did your household spend on ${hoh_item} in the past month (in CFA)?</t>
  </si>
  <si>
    <t>734. Combien votre ménage a-t-il dépensé pour ${hoh_item} au cours du dernier mois (en CFA) ?</t>
  </si>
  <si>
    <t>734. Nawa ne (a CFA) gidanku ya kashe akan ${hoh_item} cikin watan da ya gabata ?</t>
  </si>
  <si>
    <t>select_multiple cons_week</t>
  </si>
  <si>
    <t>hoh_weekly_consumption_any</t>
  </si>
  <si>
    <t>690. Has your household spent money on the following types of expenses in the past week?</t>
  </si>
  <si>
    <t>690. Votre ménage a-t-il dépensé de l'argent pour les types de dépenses suivants au cours de la semaine dernière ?</t>
  </si>
  <si>
    <t>690. Ko gidanku sun kashe kuɗi akan ire iren waɗannan abubuwan a cikin satin da ya gabata?</t>
  </si>
  <si>
    <t>735. Has your household spent money on the following types of expenses in the past week?</t>
  </si>
  <si>
    <t>735. Votre ménage a-t-il dépensé de l'argent pour les types de dépenses suivants au cours de la semaine dernière ?</t>
  </si>
  <si>
    <t>735. Ko gidanku sun kashe kuɗi akan ire iren waɗannan abubuwan a cikin satin da ya gabata?</t>
  </si>
  <si>
    <t>hoh_cons_week</t>
  </si>
  <si>
    <t>Consumption - Weekly</t>
  </si>
  <si>
    <t>Consommation - Hebdomadaire</t>
  </si>
  <si>
    <t>Cimakar - sati-sati</t>
  </si>
  <si>
    <t>hoh_item_week</t>
  </si>
  <si>
    <t>item weekly</t>
  </si>
  <si>
    <t>article hebdomadaire</t>
  </si>
  <si>
    <t>kayan sati-sati</t>
  </si>
  <si>
    <t>hoh_weekly_consumption_amt</t>
  </si>
  <si>
    <t>691. How much did your household spend on ${hoh_item_week} in the past week (in CFA)?</t>
  </si>
  <si>
    <t>691. Combien votre ménage a-t-il dépensé en ${hoh_item_week} la semaine dernière (en CFA) ?</t>
  </si>
  <si>
    <t>691. Nawa ne gidan ku ya kashe (a CFA) a ${hoh_item_week} satin da ya gabata ?</t>
  </si>
  <si>
    <t>736. How much did your household spend on ${hoh_item_week} in the past week (in CFA)?</t>
  </si>
  <si>
    <t>736. Combien votre ménage a-t-il dépensé en ${hoh_item_week} la semaine dernière (en CFA) ?</t>
  </si>
  <si>
    <t>736. Nawa ne gidan ku ya kashe (a CFA) a ${hoh_item_week} satin da ya gabata ?</t>
  </si>
  <si>
    <t>hoh_tabaski</t>
  </si>
  <si>
    <t>hoh_purchase</t>
  </si>
  <si>
    <t>692. For Tabaski, did your household purchase any of the following?</t>
  </si>
  <si>
    <t>692. Pour le Tabaski, votre ménage a-t-il acheté l'un des produits suivants ?</t>
  </si>
  <si>
    <t>Don sallar laiya, gidanku ya sayi ɗaya daga cikin waɗannan?</t>
  </si>
  <si>
    <t>737. For Tabaski, did your household purchase any of the following?</t>
  </si>
  <si>
    <t>737. Pour le Tabaski, votre ménage a-t-il acheté l'un des produits suivants ?</t>
  </si>
  <si>
    <t>737. Don sallar laiya, gidanku ya sayi ɗaya daga cikin waɗannan?</t>
  </si>
  <si>
    <t>hoh_purchase_clothing</t>
  </si>
  <si>
    <t>693. Clothing</t>
  </si>
  <si>
    <t>693. Vêtements</t>
  </si>
  <si>
    <t>693. Tufafi</t>
  </si>
  <si>
    <t>738. Clothing</t>
  </si>
  <si>
    <t>738. Vêtements</t>
  </si>
  <si>
    <t>738. Tufafi</t>
  </si>
  <si>
    <t>hoh_purchase_sheep</t>
  </si>
  <si>
    <t>694. Sheep</t>
  </si>
  <si>
    <t>694. Mouton</t>
  </si>
  <si>
    <t>694. Rago</t>
  </si>
  <si>
    <t>739. Sheep</t>
  </si>
  <si>
    <t>739. Mouton</t>
  </si>
  <si>
    <t>739. Rago</t>
  </si>
  <si>
    <t>hoh_purchase_goat</t>
  </si>
  <si>
    <t>695. Goat</t>
  </si>
  <si>
    <t>695. Chèvre</t>
  </si>
  <si>
    <t>695. Akuya</t>
  </si>
  <si>
    <t>740. Goat</t>
  </si>
  <si>
    <t>740. Chèvre</t>
  </si>
  <si>
    <t>740. Akuya</t>
  </si>
  <si>
    <t>hoh_purchase_poultry</t>
  </si>
  <si>
    <t>696. Poultry</t>
  </si>
  <si>
    <t>696. Volaille</t>
  </si>
  <si>
    <t>696. Kaji</t>
  </si>
  <si>
    <t>${speedcheck_pm_typicalweek_end} - ${speedcheck_pm_typicalweek_start}</t>
  </si>
  <si>
    <t>741. Poultry</t>
  </si>
  <si>
    <t>741. Volaille</t>
  </si>
  <si>
    <t>741. Kaji</t>
  </si>
  <si>
    <t>speedcheck_hoh_cons_end</t>
  </si>
  <si>
    <t>dur_hoh_cons</t>
  </si>
  <si>
    <t>speedcheck_hoh_end</t>
  </si>
  <si>
    <t>dur_hoh</t>
  </si>
  <si>
    <t>followup</t>
  </si>
  <si>
    <t>Follow Up Questions</t>
  </si>
  <si>
    <t>Questions de suivi</t>
  </si>
  <si>
    <t>Tambayoyi na bibiya</t>
  </si>
  <si>
    <t>followup_note</t>
  </si>
  <si>
    <t>697. As I mentioned at the beginning of our interview, we would like to stay in touch with you.</t>
  </si>
  <si>
    <t>697. Comme je l'ai mentionné au début de notre entretien, nous aimerions rester en contact avec vous.</t>
  </si>
  <si>
    <t>697. Kamar yadda na faɗa a farkon hirarmu, muna son mu ci gaba da tuntuɓar ku.</t>
  </si>
  <si>
    <t>742. As I mentioned at the beginning of our interview, we would like to stay in touch with you.</t>
  </si>
  <si>
    <t>742. Comme je l'ai mentionné au début de notre entretien, nous aimerions rester en contact avec vous.</t>
  </si>
  <si>
    <t>742. Kamar yadda na faɗa a farkon hirarmu, muna son mu ci gaba da tuntuɓar ku.</t>
  </si>
  <si>
    <t>primary_phone</t>
  </si>
  <si>
    <t>698. What is the phone number where we can reach you?</t>
  </si>
  <si>
    <t>698. Quel est le numéro de téléphone auquel nous pouvons vous joindre?</t>
  </si>
  <si>
    <t>698. Wace lambar waya ce zamu iya samun ku da ita?</t>
  </si>
  <si>
    <t>743. What is the phone number where we can reach you?</t>
  </si>
  <si>
    <t>743. Quel est le numéro de téléphone auquel nous pouvons vous joindre?</t>
  </si>
  <si>
    <t>743. Wace lambar waya ce zamu iya samun ku da ita?</t>
  </si>
  <si>
    <t>primary_phone_confirm</t>
  </si>
  <si>
    <t>699. I am going to read back the phone number you just shared with me. Can you confirm this is your primary phone number? ${primary_phone}</t>
  </si>
  <si>
    <t>699. Je vais relire le numéro de téléphone que vous venez de me donner. Pouvez-vous confirmer qu'il s'agit de votre numéro de téléphone principal ? ${primary_phone}</t>
  </si>
  <si>
    <t>699. Zan sake karanta lambar wayar da kuka bani. Zaku iya tabbatar mini da wannan itace lambar wayarku ta farko? ${primary_phone}</t>
  </si>
  <si>
    <t>744. I am going to read back the phone number you just shared with me. Can you confirm this is your primary phone number? ${primary_phone}</t>
  </si>
  <si>
    <t>744. Je vais relire le numéro de téléphone que vous venez de me donner. Pouvez-vous confirmer qu'il s'agit de votre numéro de téléphone principal ? ${primary_phone}</t>
  </si>
  <si>
    <t>744. Zan sake karanta lambar wayar da kuka bani. Zaku iya tabbatar mini da wannan itace lambar wayarku ta farko? ${primary_phone}</t>
  </si>
  <si>
    <t>primary_phone_2</t>
  </si>
  <si>
    <t>700. Please go back and correct the number.</t>
  </si>
  <si>
    <t>700. Veuillez revenir en arrière pour corriger le numéro.</t>
  </si>
  <si>
    <t>700. ko za ka koma baya ka gyara lambar.</t>
  </si>
  <si>
    <t>745. Please go back and correct the number.</t>
  </si>
  <si>
    <t>745. Veuillez revenir en arrière pour corriger le numéro.</t>
  </si>
  <si>
    <t>745. ko za ka koma baya ka gyara lambar.</t>
  </si>
  <si>
    <t>select_one call</t>
  </si>
  <si>
    <t>primary_phone_test</t>
  </si>
  <si>
    <t>701. I am going to call this phone number to confirm it is correct.</t>
  </si>
  <si>
    <t>701. Je vais appeler ce numéro de téléphone pour confirmer qu'il est correct.</t>
  </si>
  <si>
    <t>701. Zan kirayi wannan lambar don tabbatar da cewa daidai ce.</t>
  </si>
  <si>
    <t>746. I am going to call this phone number to confirm it is correct.</t>
  </si>
  <si>
    <t>746. Je vais appeler ce numéro de téléphone pour confirmer qu'il est correct.</t>
  </si>
  <si>
    <t>746. Zan kirayi wannan lambar don tabbatar da cewa daidai ce.</t>
  </si>
  <si>
    <t>primary_phone_test_note</t>
  </si>
  <si>
    <t>702. Please go back and enter a new phone number.</t>
  </si>
  <si>
    <t>702. Veuillez revenir en arrière pour entrer un nouveau numéro de téléphone.</t>
  </si>
  <si>
    <t>702. Ko za ka koma baya ka shigar da sabuwar lambar waya.</t>
  </si>
  <si>
    <t>747. Please go back and enter a new phone number.</t>
  </si>
  <si>
    <t>747. Veuillez revenir en arrière pour entrer un nouveau numéro de téléphone.</t>
  </si>
  <si>
    <t>747. Ko za ka koma baya ka shigar da sabuwar lambar waya.</t>
  </si>
  <si>
    <t>use_whatsapp</t>
  </si>
  <si>
    <t>703. Do you have a Whatsapp account/ phone number you use for WhatsApp?</t>
  </si>
  <si>
    <t>703. Avez-vous un compte/numéro de téléphone Whatsapp que vous utilisez pour WhatsApp ?</t>
  </si>
  <si>
    <t>703. Kuna yin WhatsApp / lambar wayar da kuke amfani da ita ta WhatsApp ce?</t>
  </si>
  <si>
    <t>748. Do you have a Whatsapp account/ phone number you use for WhatsApp?</t>
  </si>
  <si>
    <t>748. Avez-vous un compte/numéro de téléphone Whatsapp que vous utilisez pour WhatsApp ?</t>
  </si>
  <si>
    <t>748. Kuna yin WhatsApp / lambar wayar da kuke amfani da ita ta WhatsApp ce?</t>
  </si>
  <si>
    <t>phone_whatsapp</t>
  </si>
  <si>
    <t>704. Is this the phone number you use for whatsapp?</t>
  </si>
  <si>
    <t>704. Est-ce le numéro de téléphone que vous utilisez pour WhatsApp ?</t>
  </si>
  <si>
    <t>704. Wannan ita ce lambar wayar da kuke amfani da ita don yin whatsapp?</t>
  </si>
  <si>
    <t>749. Is this the phone number you use for whatsapp?</t>
  </si>
  <si>
    <t>749. Est-ce le numéro de téléphone que vous utilisez pour WhatsApp ?</t>
  </si>
  <si>
    <t>749. Wannan ita ce lambar wayar da kuke amfani da ita don yin whatsapp?</t>
  </si>
  <si>
    <t>phone_whatsapp_number</t>
  </si>
  <si>
    <t>705. Please tell me the phone number you use for Whatsapp</t>
  </si>
  <si>
    <t>705. Veuillez me dire le numéro de téléphone que vous utilisez pour Whatsapp</t>
  </si>
  <si>
    <t>705. Don Allah ku gaya mini lambar wayar da kuke amfani da ita don yin Whatsapp</t>
  </si>
  <si>
    <t>750. Please tell me the phone number you use for Whatsapp</t>
  </si>
  <si>
    <t>750. Veuillez me dire le numéro de téléphone que vous utilisez pour Whatsapp</t>
  </si>
  <si>
    <t>750. Don Allah ku gaya mini lambar wayar da kuke amfani da ita don yin Whatsapp</t>
  </si>
  <si>
    <t>${pm_gifts} = 1</t>
  </si>
  <si>
    <t>phone_whatsapp_confirm</t>
  </si>
  <si>
    <t>706. I am going read back the phone number you just shared with me as your Whatsapp number. Is this the phone number you use for whatsapp? ${phone_whatsapp_number}</t>
  </si>
  <si>
    <t>706. Je vais relire le numéro de téléphone que vous nous avez donné comme votre numéro Whatsapp. Est-ce le numéro de téléphone que vous utilisez pour WhatsApp ? ${phone_whatsapp_number}</t>
  </si>
  <si>
    <t>706. Zan sake karanta lambar wayar da kuka bani a zaman lambar Whatsapp dinku. Wannan shine lambar wayar da kuke amfani da ita don yin whatsapp? ${phone_whatsapp_number}</t>
  </si>
  <si>
    <t>751. I am going read back the phone number you just shared with me as your Whatsapp number. Is this the phone number you use for whatsapp? ${phone_whatsapp_number}</t>
  </si>
  <si>
    <t>751. Je vais relire le numéro de téléphone que vous nous avez donné comme votre numéro Whatsapp. Est-ce le numéro de téléphone que vous utilisez pour WhatsApp ? ${phone_whatsapp_number}</t>
  </si>
  <si>
    <t>751. Zan sake karanta lambar wayar da kuka bani a zaman lambar Whatsapp dinku. Wannan shine lambar wayar da kuke amfani da ita don yin whatsapp? ${phone_whatsapp_number}</t>
  </si>
  <si>
    <t>whatsapp_mismatch</t>
  </si>
  <si>
    <t>707. Please go back and correct the number.</t>
  </si>
  <si>
    <t>707. Veuillez revenir en arrière pour corriger le numéro.</t>
  </si>
  <si>
    <t>707. Da fatan za ka koma baya ka gyara lambar.</t>
  </si>
  <si>
    <t>752. Please go back and correct the number.</t>
  </si>
  <si>
    <t>752. Veuillez revenir en arrière pour corriger le numéro.</t>
  </si>
  <si>
    <t>752. Da fatan za ka koma baya ka gyara lambar.</t>
  </si>
  <si>
    <t>primary_other_phone</t>
  </si>
  <si>
    <t>708. Do you have other phone numbers that you use regularly (i.e. other phone carriers)?</t>
  </si>
  <si>
    <t>708. Avez-vous d'autres numéros de téléphone que vous utilisez régulièrement (c'est-à-dire d'autres opérateurs téléphoniques) ?</t>
  </si>
  <si>
    <t>708. Ko kuna da wasu lambobin waya waɗanda kuke amfani da su kai-akai (layin wasu gidan wayar salula)?</t>
  </si>
  <si>
    <t>753. Do you have other phone numbers that you use regularly (i.e. other phone carriers)?</t>
  </si>
  <si>
    <t>753. Avez-vous d'autres numéros de téléphone que vous utilisez régulièrement (c'est-à-dire d'autres opérateurs téléphoniques) ?</t>
  </si>
  <si>
    <t>753. Ko kuna da wasu lambobin waya waɗanda kuke amfani da su kai-akai (layin wasu gidan wayar salula)?</t>
  </si>
  <si>
    <t>primary_other_phones</t>
  </si>
  <si>
    <t>709. How many other additional phone numbers?</t>
  </si>
  <si>
    <t>709. Y-a t-il d'autres numéros de téléphone supplémentaires ?</t>
  </si>
  <si>
    <t>709. 220 a. Ko akwai ƙarin wasu lambobin waya?</t>
  </si>
  <si>
    <t>754. How many other additional phone numbers?</t>
  </si>
  <si>
    <t>754. Y-a t-il d'autres numéros de téléphone supplémentaires ?</t>
  </si>
  <si>
    <t>754. 220 a. Ko akwai ƙarin wasu lambobin waya?</t>
  </si>
  <si>
    <t>other_phones</t>
  </si>
  <si>
    <t>Other Phones</t>
  </si>
  <si>
    <t>primary_other_phone_num</t>
  </si>
  <si>
    <t>710. What are these additional phone numbers?</t>
  </si>
  <si>
    <t>710. Quels sont les numéros de téléphone supplémentaires ?</t>
  </si>
  <si>
    <t>710. Waɗannene ƙarin lambobin wayan?</t>
  </si>
  <si>
    <t>755. What are these additional phone numbers?</t>
  </si>
  <si>
    <t>755. Quels sont les numéros de téléphone supplémentaires ?</t>
  </si>
  <si>
    <t>755. Waɗannene ƙarin lambobin wayan?</t>
  </si>
  <si>
    <t>${pm_loans} = 1</t>
  </si>
  <si>
    <t>secondary_contact1</t>
  </si>
  <si>
    <t>711. In case we cannot reach you, could you please provide us with the name and phone number of someone outside your household that we could call to ask for your number? 
 We would only call that person if we cannot reach you after a few attempts and this would really help us stay in contact with you.</t>
  </si>
  <si>
    <t>711. Si nous ne pouvons pas vous joindre, pourriez-vous nous fournir le nom et le numéro de téléphone d'une personne extérieure à votre foyer que nous pourrions appeler pour demander votre numéro ?
 Nous n'appellerions cette personne que si nous ne pouvons pas vous joindre après quelques tentatives, cela nous aiderait vraiment à rester en contact avec vous.</t>
  </si>
  <si>
    <t>711. Idan ba za mu iya samun ku ba, ko za ku iya ba mu suna da lambar wayar wani wanda ba na gidanku ba da za mu iya kira don neman lambar ku?
 Za mu kirayi mutumen ne kawai idan bamu sameku ba bayan kira biyu zuwa uku, hakan zai taimaka mana ci gaba da tuntuɓar ku.</t>
  </si>
  <si>
    <t>756. In case we cannot reach you, could you please provide us with the name and phone number of someone outside your household that we could call to ask for your number? 
 We would only call that person if we cannot reach you after a few attempts and this would really help us stay in contact with you.</t>
  </si>
  <si>
    <t>756. Si nous ne pouvons pas vous joindre, pourriez-vous nous fournir le nom et le numéro de téléphone d'une personne extérieure à votre foyer que nous pourrions appeler pour demander votre numéro ?
 Nous n'appellerions cette personne que si nous ne pouvons pas vous joindre après quelques tentatives, cela nous aiderait vraiment à rester en contact avec vous.</t>
  </si>
  <si>
    <t>756. Idan ba za mu iya samun ku ba, ko za ku iya ba mu suna da lambar wayar wani wanda ba na gidanku ba da za mu iya kira don neman lambar ku?
 Za mu kirayi mutumen ne kawai idan bamu sameku ba bayan kira biyu zuwa uku, hakan zai taimaka mana ci gaba da tuntuɓar ku.</t>
  </si>
  <si>
    <t>secondary_name_create1</t>
  </si>
  <si>
    <t>Name of Secondary Contact 1</t>
  </si>
  <si>
    <t>secondary_name1_last</t>
  </si>
  <si>
    <t>712. What is the last name of this person</t>
  </si>
  <si>
    <t>712. Quel est le nom de cette personne</t>
  </si>
  <si>
    <t>712. Menene sunan uban wannan mutumen?</t>
  </si>
  <si>
    <t>757. What is the last name of this person</t>
  </si>
  <si>
    <t>757. Quel est le nom de cette personne</t>
  </si>
  <si>
    <t>757. Menene sunan uban wannan mutumen?</t>
  </si>
  <si>
    <t>secondary_name1_first</t>
  </si>
  <si>
    <t>713. What is the first name of this person</t>
  </si>
  <si>
    <t>713. Quel est le prénom de cette personne</t>
  </si>
  <si>
    <t>713. Menene sunan wannan mutumen?</t>
  </si>
  <si>
    <t>758. What is the first name of this person</t>
  </si>
  <si>
    <t>758. Quel est le prénom de cette personne</t>
  </si>
  <si>
    <t>758. Menene sunan wannan mutumen?</t>
  </si>
  <si>
    <t>secondary_name1</t>
  </si>
  <si>
    <t>secondary_phone1</t>
  </si>
  <si>
    <t>714. What is their phone number?</t>
  </si>
  <si>
    <t xml:space="preserve">714. </t>
  </si>
  <si>
    <t>759. What is their phone number?</t>
  </si>
  <si>
    <t xml:space="preserve">759. </t>
  </si>
  <si>
    <t>secondary_relation1</t>
  </si>
  <si>
    <t>715. What is ${secondary_name1}'s relationship to you?</t>
  </si>
  <si>
    <t>715. Quelle est la relation entre ${secondary_name1} et vous ?</t>
  </si>
  <si>
    <t>715. Menene alaƙar ku da ${secondary_name1} ?</t>
  </si>
  <si>
    <t>760. What is ${secondary_name1}'s relationship to you?</t>
  </si>
  <si>
    <t>760. Quelle est la relation entre ${secondary_name1} et vous ?</t>
  </si>
  <si>
    <t>760. Menene alaƙar ku da ${secondary_name1} ?</t>
  </si>
  <si>
    <t>secondary_phone1_confirm</t>
  </si>
  <si>
    <t>716. Just to confirm, is this the number? 
 ${secondary_name1}
 ${secondary_phone1}</t>
  </si>
  <si>
    <t>716. Juste pour confirmer, est-ce bien le numéro ?
 ${secondary_name1}
 ${secondary_phone1}</t>
  </si>
  <si>
    <t>716. Don tabbatarwa kawai, da wannan itace lambar?
 ${secondary_name1}
 ${secondary_phone1}</t>
  </si>
  <si>
    <t>761. Just to confirm, is this the number? 
 ${secondary_name1}
 ${secondary_phone1}</t>
  </si>
  <si>
    <t>761. Juste pour confirmer, est-ce bien le numéro ?
 ${secondary_name1}
 ${secondary_phone1}</t>
  </si>
  <si>
    <t>761. Don tabbatarwa kawai, da wannan itace lambar?
 ${secondary_name1}
 ${secondary_phone1}</t>
  </si>
  <si>
    <t>secondary_phone1_note</t>
  </si>
  <si>
    <t>717. Please go back and correct the name and phone number.</t>
  </si>
  <si>
    <t>717. Veuillez revenir en arrière et corriger le nom et le numéro de téléphone.</t>
  </si>
  <si>
    <t>717. Da fatan za ka koma baya don ka gyara suna da lambar waya.</t>
  </si>
  <si>
    <t>762. Please go back and correct the name and phone number.</t>
  </si>
  <si>
    <t>762. Veuillez revenir en arrière et corriger le nom et le numéro de téléphone.</t>
  </si>
  <si>
    <t>762. Da fatan za ka koma baya don ka gyara suna da lambar waya.</t>
  </si>
  <si>
    <t>secondary_phone1_test</t>
  </si>
  <si>
    <t>718. I am going to call this phone number to confirm it is correct. [Enumerator: Did the phone ring?]</t>
  </si>
  <si>
    <t>718. Je vais appeler ce numéro de téléphone pour confirmer qu'il est correct. [Enquêteur : Le téléphone a-t-il sonné ?]</t>
  </si>
  <si>
    <t>718. Zan kirayi wannan lambar wayar don tabbatar da daidai ce. [Ɗan bincike: Wayar ta yi ƙara?]</t>
  </si>
  <si>
    <t>763. I am going to call this phone number to confirm it is correct. [Enumerator: Did the phone ring?]</t>
  </si>
  <si>
    <t>763. Je vais appeler ce numéro de téléphone pour confirmer qu'il est correct. [Enquêteur : Le téléphone a-t-il sonné ?]</t>
  </si>
  <si>
    <t>763. Zan kirayi wannan lambar wayar don tabbatar da daidai ce. [Ɗan bincike: Wayar ta yi ƙara?]</t>
  </si>
  <si>
    <t>secondary_phone1_test_note</t>
  </si>
  <si>
    <t>719. Please go back and enter a new phone number.</t>
  </si>
  <si>
    <t>719. Veuillez ressaisir le numéro</t>
  </si>
  <si>
    <t>719. Da fatan zaku rubuta lambar</t>
  </si>
  <si>
    <t>764. Please go back and enter a new phone number.</t>
  </si>
  <si>
    <t>764. Veuillez ressaisir le numéro</t>
  </si>
  <si>
    <t>764. Da fatan zaku rubuta lambar</t>
  </si>
  <si>
    <t>secondary_contact2</t>
  </si>
  <si>
    <t>720. We currently have the number of ${secondary_name1} that you shared with us, could you give us the name of phone number of someone else that you're usually in contact with? We would only call that person if we cannot reach you or ${secondary_name1} after a few attempts and this would really help us stay in contact with you.</t>
  </si>
  <si>
    <t>720. Nous avons actuellement le numéro de ${secondary_name1} que vous nous avez donné nous, pourriez-vous nous donner le nom et le numéro de téléphone de quelqu'un d'autre avec qui vous êtes habituellement en contact ? Nous n'appellerions cette personne que si nous ne parvenions pas à vous joindre ou à joindre ${secondary_name1} après quelques tentatives puisque cela nous aiderait vraiment à rester en contact avec vous.</t>
  </si>
  <si>
    <t>720. A halin yanzu muna da lambar ${secondary_name1} da kuka bamu, za ku iya bamu suna da lambar wayar wani da kuke kiran juna da shi? Za mu kiraye wannan mutumen ne kawai idan bamu sameku ba ko bamu samu ${secondary_name1} bayan kira biyu zuwa uku, wannan zai taimaka mana wajen ci gaba da tuntuɓar ku.</t>
  </si>
  <si>
    <t>765. We currently have the number of ${secondary_name1} that you shared with us, could you give us the name of phone number of someone else that you're usually in contact with? We would only call that person if we cannot reach you or ${secondary_name1} after a few attempts and this would really help us stay in contact with you.</t>
  </si>
  <si>
    <t>765. Nous avons actuellement le numéro de ${secondary_name1} que vous nous avez donné nous, pourriez-vous nous donner le nom et le numéro de téléphone de quelqu'un d'autre avec qui vous êtes habituellement en contact ? Nous n'appellerions cette personne que si nous ne parvenions pas à vous joindre ou à joindre ${secondary_name1} après quelques tentatives puisque cela nous aiderait vraiment à rester en contact avec vous.</t>
  </si>
  <si>
    <t>765. A halin yanzu muna da lambar ${secondary_name1} da kuka bamu, za ku iya bamu suna da lambar wayar wani da kuke kiran juna da shi? Za mu kiraye wannan mutumen ne kawai idan bamu sameku ba ko bamu samu ${secondary_name1} bayan kira biyu zuwa uku, wannan zai taimaka mana wajen ci gaba da tuntuɓar ku.</t>
  </si>
  <si>
    <t>secondary_name_create2</t>
  </si>
  <si>
    <t>Name of Secondary Contact 2</t>
  </si>
  <si>
    <t>secondary_name2_last</t>
  </si>
  <si>
    <t>721. What is the last name of this person</t>
  </si>
  <si>
    <t>721. Quel est le nom de cette personne?</t>
  </si>
  <si>
    <t>721. Menene sunan uban wannan mutumen?</t>
  </si>
  <si>
    <t>766. What is the last name of this person</t>
  </si>
  <si>
    <t>766. Quel est le nom de cette personne?</t>
  </si>
  <si>
    <t>766. Menene sunan uban wannan mutumen?</t>
  </si>
  <si>
    <t>secondary_name2_first</t>
  </si>
  <si>
    <t>722. What is the first name of this person</t>
  </si>
  <si>
    <t>722. Quel est le prénom de cette personne?</t>
  </si>
  <si>
    <t>722. Menene sunan wannan mutumen?</t>
  </si>
  <si>
    <t>767. What is the first name of this person</t>
  </si>
  <si>
    <t>767. Quel est le prénom de cette personne?</t>
  </si>
  <si>
    <t>767. Menene sunan wannan mutumen?</t>
  </si>
  <si>
    <t>secondary_name2</t>
  </si>
  <si>
    <t>secondary_phone2</t>
  </si>
  <si>
    <t>723. What is their phone number?</t>
  </si>
  <si>
    <t>723. Quel est leur numéro de téléphone?</t>
  </si>
  <si>
    <t>723. Menene lambar wayarsu?</t>
  </si>
  <si>
    <t>768. What is their phone number?</t>
  </si>
  <si>
    <t>768. Quel est leur numéro de téléphone?</t>
  </si>
  <si>
    <t>768. Menene lambar wayarsu?</t>
  </si>
  <si>
    <t>secondary_relation2</t>
  </si>
  <si>
    <t>724. What is ${secondary_name2}'s relationship to you?</t>
  </si>
  <si>
    <t>724. Quelle est la relation entre ${secondary_name2} et vous ?</t>
  </si>
  <si>
    <t>724. Menene alaƙar ku da ${secondary_name2} ?</t>
  </si>
  <si>
    <t>769. What is ${secondary_name2}'s relationship to you?</t>
  </si>
  <si>
    <t>769. Quelle est la relation entre ${secondary_name2} et vous ?</t>
  </si>
  <si>
    <t>769. Menene alaƙar ku da ${secondary_name2} ?</t>
  </si>
  <si>
    <t>secondary_phone2_confirm</t>
  </si>
  <si>
    <t>725. Just to confirm, is this the number? 
 ${secondary_name2}
 ${secondary_phone2}</t>
  </si>
  <si>
    <t>725. Juste pour confirmer, est-ce bien le numéro ?
 ${secondary_name2}
 ${secondary_phone2}</t>
  </si>
  <si>
    <t>725. Don tabbatar kawai, da wannan itace lambar?
 ${secondary_name2}
 ${secondary_phone2}</t>
  </si>
  <si>
    <t>770. Just to confirm, is this the number? 
 ${secondary_name2}
 ${secondary_phone2}</t>
  </si>
  <si>
    <t>770. Juste pour confirmer, est-ce bien le numéro ?
 ${secondary_name2}
 ${secondary_phone2}</t>
  </si>
  <si>
    <t>770. Don tabbatar kawai, da wannan itace lambar?
 ${secondary_name2}
 ${secondary_phone2}</t>
  </si>
  <si>
    <t>secondary_phone2_note</t>
  </si>
  <si>
    <t>726. Please go back and correct the name and phone number.</t>
  </si>
  <si>
    <t>726. Veuillez revenir en arrière et corriger le nom et le numéro de téléphone.</t>
  </si>
  <si>
    <t>726. Da fatan za ka koma baya ka gyara suna da lambar waya.</t>
  </si>
  <si>
    <t>771. Please go back and correct the name and phone number.</t>
  </si>
  <si>
    <t>771. Veuillez revenir en arrière et corriger le nom et le numéro de téléphone.</t>
  </si>
  <si>
    <t>771. Da fatan za ka koma baya ka gyara suna da lambar waya.</t>
  </si>
  <si>
    <t>secondary_phone2_test</t>
  </si>
  <si>
    <t>727. I am going to call this phone number to confirm it is correct. [Enumerator: Did the phone ring?]</t>
  </si>
  <si>
    <t>727. Je vais appeler ce numéro de téléphone pour confirmer qu'il est correct. [Enquêteur : Le téléphone a-t-il sonné ?]</t>
  </si>
  <si>
    <t>727. Zan kirayi wannan lambar wayar don tabbatar da daidai ce. [Ɗan bincike: Wayar ta yi ƙara?]</t>
  </si>
  <si>
    <t>772. I am going to call this phone number to confirm it is correct. [Enumerator: Did the phone ring?]</t>
  </si>
  <si>
    <t>772. Je vais appeler ce numéro de téléphone pour confirmer qu'il est correct. [Enquêteur : Le téléphone a-t-il sonné ?]</t>
  </si>
  <si>
    <t>772. Zan kirayi wannan lambar wayar don tabbatar da daidai ce. [Ɗan bincike: Wayar ta yi ƙara?]</t>
  </si>
  <si>
    <t>secondary_phone2_test_note</t>
  </si>
  <si>
    <t>728. Please go back and enter a new phone number.</t>
  </si>
  <si>
    <t>728. Veuillez ressaisir le numéro</t>
  </si>
  <si>
    <t>728. Da fatan zaku rubuta lambar</t>
  </si>
  <si>
    <t>773. Please go back and enter a new phone number.</t>
  </si>
  <si>
    <t>773. Veuillez ressaisir le numéro</t>
  </si>
  <si>
    <t>773. Da fatan zaku rubuta lambar</t>
  </si>
  <si>
    <t>enum_end</t>
  </si>
  <si>
    <t>Final Enumerator questions</t>
  </si>
  <si>
    <t>Questions finales de l'enquêteur</t>
  </si>
  <si>
    <t>Tambayoyin ƙarshe na ɗan bincike</t>
  </si>
  <si>
    <t>select_one interest</t>
  </si>
  <si>
    <t>resp_interest</t>
  </si>
  <si>
    <t>729. How interested was the resppondent</t>
  </si>
  <si>
    <t>729. Dans quelle mesure le répondant était-il intéressé</t>
  </si>
  <si>
    <t>729. Yaya kake ganin maida hankalin mai bada amsa yake</t>
  </si>
  <si>
    <t>774. How interested was the resppondent</t>
  </si>
  <si>
    <t>774. Dans quelle mesure le répondant était-il intéressé</t>
  </si>
  <si>
    <t>774. Yaya kake ganin maida hankalin mai bada amsa yake</t>
  </si>
  <si>
    <t>select_one patient</t>
  </si>
  <si>
    <t>resp_patient</t>
  </si>
  <si>
    <t>730. How impatient was the respondent?</t>
  </si>
  <si>
    <t>730. À quel point le répondant était-il impatient ?</t>
  </si>
  <si>
    <t>730. Yaya kake ganin rashin haƙurin mai bada amsa?</t>
  </si>
  <si>
    <t>775. How impatient was the respondent?</t>
  </si>
  <si>
    <t>775. À quel point le répondant était-il impatient ?</t>
  </si>
  <si>
    <t>775. Yaya kake ganin rashin haƙurin mai bada amsa?</t>
  </si>
  <si>
    <t>select_one comprehension</t>
  </si>
  <si>
    <t>resp_understand</t>
  </si>
  <si>
    <t>731. How well did the respondent understand the questions?</t>
  </si>
  <si>
    <t>731. Dans quelle mesure le répondant a-t-il compris les questions ?</t>
  </si>
  <si>
    <t>731. Yaya kake ganin mai bada amsa ya fahimci tambayoyin?</t>
  </si>
  <si>
    <t>776. How well did the respondent understand the questions?</t>
  </si>
  <si>
    <t>776. Dans quelle mesure le répondant a-t-il compris les questions ?</t>
  </si>
  <si>
    <t>776. Yaya kake ganin mai bada amsa ya fahimci tambayoyin?</t>
  </si>
  <si>
    <t>select_one present</t>
  </si>
  <si>
    <t>other_people</t>
  </si>
  <si>
    <t>732. Was the interview conducted in the presence of other people?</t>
  </si>
  <si>
    <t>732. L'entretien a-t-il été réalisé en présence d'autres personnes ?</t>
  </si>
  <si>
    <t>732. Ko an yi hirar ne a gaban wasu mutane?</t>
  </si>
  <si>
    <t>777. Was the interview conducted in the presence of other people?</t>
  </si>
  <si>
    <t>777. L'entretien a-t-il été réalisé en présence d'autres personnes ?</t>
  </si>
  <si>
    <t>777. Ko an yi hirar ne a gaban wasu mutane?</t>
  </si>
  <si>
    <t>comment</t>
  </si>
  <si>
    <t>733. Enumerator: Record any comments on the survey</t>
  </si>
  <si>
    <t>733. Enquêteur : Veuillez noter vos commentaires si vous en avez</t>
  </si>
  <si>
    <t>733. Ɗan bincike: Yi rikodin duk wani sharhi akan binciken</t>
  </si>
  <si>
    <t>778. Enumerator: Record any comments on the survey</t>
  </si>
  <si>
    <t>778. Enquêteur : Veuillez noter vos commentaires si vous en avez</t>
  </si>
  <si>
    <t>778. Ɗan bincike: Yi rikodin duk wani sharhi akan binciken</t>
  </si>
  <si>
    <t>gps</t>
  </si>
  <si>
    <t>Collect GPS</t>
  </si>
  <si>
    <t>Collecteur de GPS</t>
  </si>
  <si>
    <t>Mai daukan GPS</t>
  </si>
  <si>
    <t>Tambayoyin ɗan bincike na ƙarshe</t>
  </si>
  <si>
    <t>Consented</t>
  </si>
  <si>
    <t>thankyou</t>
  </si>
  <si>
    <t>734. That is the end of the survey. Thank you for your time.</t>
  </si>
  <si>
    <t>734. C'est la fin de l'enquête. Merci pour votre temps.</t>
  </si>
  <si>
    <t>734. Karshen tambayoyin kenan. Na gode da lokacin da kuka bani.</t>
  </si>
  <si>
    <t>779. That is the end of the survey. Thank you for your time.</t>
  </si>
  <si>
    <t>779. C'est la fin de l'enquête. Merci pour votre temps.</t>
  </si>
  <si>
    <t>779. Karshen tambayoyin kenan. Na gode da lokacin da kuka bani.</t>
  </si>
  <si>
    <t>not(selected(${pm_forced_docs}, '0')) or not(selected(${pm_forced_no_contact}, '0')) or
not(selected(${pm_forced_no_pay}, '0')) or not(selected(${pm_forced_debt}, '0')) or not(selected(${pm_forced_restrained}, '0')) or not(selected(${pm_forced_illegal}, '0'))</t>
  </si>
  <si>
    <t>filter &lt;= count-items(',', ${pm_locations_list})</t>
  </si>
  <si>
    <t>not(selected(${pm_forced_docs}, '0'))</t>
  </si>
  <si>
    <t>not(selected(${pm_forced_no_contact}, '0'))</t>
  </si>
  <si>
    <t>not(selected(${pm_forced_no_pay}, '0'))</t>
  </si>
  <si>
    <t>not(selected(${pm_forced_debt}, '0'))</t>
  </si>
  <si>
    <t>not(selected(${pm_forced_restrained}, '0'))</t>
  </si>
  <si>
    <t>not(selected(${pm_forced_illegal}, '0'))</t>
  </si>
  <si>
    <t>${speedcheck_pm_locact_end} - ${speedcheck_pm_locact_start}</t>
  </si>
  <si>
    <t>not(count-selected(.) &gt; 1 and selected(., '-999'))</t>
  </si>
  <si>
    <t>${pm_failed_prep} = 1</t>
  </si>
  <si>
    <t>filter != 1</t>
  </si>
  <si>
    <t>${pm_failed_prep_country} = -777</t>
  </si>
  <si>
    <t>count-selected(${pm_failed_prep_country})</t>
  </si>
  <si>
    <t>selected-at(${pm_failed_prep_country}, ${pm_failed_index}-1)</t>
  </si>
  <si>
    <t>if(${pm_failed_country_index} = -777, ${pm_failed_prep_country_o}, choice-label(${pm_failed_prep_country}, ${pm_failed_country_index}))</t>
  </si>
  <si>
    <t>search('towns', 'matches', 'country_id', ${pm_failed_country_index})</t>
  </si>
  <si>
    <t>not(${pm_failed_country_index} = 1 or ${pm_failed_country_index} = -999)</t>
  </si>
  <si>
    <t>selected(${pm_failed_town} , '-777')</t>
  </si>
  <si>
    <t>${pm_failed_country_index} = 1</t>
  </si>
  <si>
    <t>selected(${pm_failed_region}, '-777')</t>
  </si>
  <si>
    <t>selected(${pm_failed_prep_reason}, '-777')</t>
  </si>
  <si>
    <t>${speedcheck_pm_failedprep_end} - ${speedcheck_pm_failedprep_start}</t>
  </si>
  <si>
    <t>${speedcheck_pm_pastmig_end} - ${speedcheck_pm_pastmig_start}</t>
  </si>
  <si>
    <t>. &gt;= 0 and . &lt;=6</t>
  </si>
  <si>
    <t xml:space="preserve">
not((selected(., -999) or selected(., 0)) and count-selected(.) &gt; 1)</t>
  </si>
  <si>
    <t>selected(${pm_mig_interest}, '-777')</t>
  </si>
  <si>
    <t>if(selected-at(${pm_mig_interest}, 0) = '-777', ${pm_mig_interest_o}, choice-label(${pm_mig_interest}, selected-at(${pm_mig_interest}, 0)))</t>
  </si>
  <si>
    <t>if(selected-at(${pm_mig_interest}, 1) = '-777', ${pm_mig_interest_o}, choice-label(${pm_mig_interest}, selected-at(${pm_mig_interest}, 1)))</t>
  </si>
  <si>
    <t>if(selected-at(${pm_mig_interest}, 2) = '-777', ${pm_mig_interest_o}, choice-label(${pm_mig_interest}, selected-at(${pm_mig_interest}, 2)))</t>
  </si>
  <si>
    <t>if(selected-at(${pm_mig_interest}, 3) = '-777', ${pm_mig_interest_o}, choice-label(${pm_mig_interest}, selected-at(${pm_mig_interest}, 3)))</t>
  </si>
  <si>
    <t>if(selected-at(${pm_mig_interest}, 4) = '-777', ${pm_mig_interest_o}, choice-label(${pm_mig_interest}, selected-at(${pm_mig_interest}, 4)))</t>
  </si>
  <si>
    <t>count-selected(${pm_mig_interest}) &gt; 1</t>
  </si>
  <si>
    <t>if(selected(${pm_mig_interest}, '0'), 
"Have you or your immediate family contacted anybody in a foreign country?",
"Have you or your immediate family contacted anybody in the places you indicated you might want to go?")</t>
  </si>
  <si>
    <t>if(selected(${pm_mig_interest}, '0'), 
"Avez-vous, vous ou votre famille immédiate contacté quelqu'un dans un pays étranger ?",
"Est-ce que vous ou votre famille immédiate avez contacté quelqu'un dans les endroits que vous avez indiqués comme étant susceptibles de vous rendre ?")</t>
  </si>
  <si>
    <t>if(selected(${pm_mig_interest}, '0'), 
"Ko kai ko ƴan gidan ku kun tuntuɓi wani a wata ƙasa?",
"Ko kai ko danginku kun tuntubi wani a wuraren da ka nuna kana son zuwa?")</t>
  </si>
  <si>
    <t>${pm_mig_prep_contact} = 1 and not(selected(${pm_mig_interest}, '0'))</t>
  </si>
  <si>
    <t>filter &lt;= count-selected(${pm_mig_interest})</t>
  </si>
  <si>
    <t>selected(${pm_mig_prep_countries}, '-777') or selected(${pm_mig_interest}, '0') and relevant(${pm_mig_prep_countries})</t>
  </si>
  <si>
    <t>filter &gt; 0 or filter = -777</t>
  </si>
  <si>
    <t>selected(${pm_mig_prep_countries_o}, '-777')</t>
  </si>
  <si>
    <t>${pm_mig_prep_contact} = 1</t>
  </si>
  <si>
    <t>selected(${pm_mig_prep_contact_share}, '-777')</t>
  </si>
  <si>
    <t>${pm_mig_prep_encourage_scale} = 3</t>
  </si>
  <si>
    <t>selected(${pm_mig_prep_discourage_reason}, '-777')</t>
  </si>
  <si>
    <t>${pm_mig_prep_encourage_scale} = 1</t>
  </si>
  <si>
    <t>selected(${pm_mig_prep_encourage_reason}, '-777')</t>
  </si>
  <si>
    <t>If respondent is not in home location, ask them not to include migration to home location in their response.</t>
  </si>
  <si>
    <t>Si le répondant ne se trouve pas dans son lieu d'origine, demandez-lui de ne pas inclure une migration vers son lieu d'origine dans sa réponse.</t>
  </si>
  <si>
    <t>Idan mai bada amsa ba ya gida,ka ce mashi kada ya lissafaa tahiya zuwa gida a matsayin zuwa biɗa a cikin amsar shi.</t>
  </si>
  <si>
    <t>${pm_mig_intent} != 1</t>
  </si>
  <si>
    <t>if(${pm_mig_intent} = 1, 'the next three months', 
if(${pm_mig_intent_1} = 1, 'the next year',
''))</t>
  </si>
  <si>
    <t>if(${pm_mig_intent} = 1, 'dans les 3 prochains mois', 
if(${pm_mig_intent_1} = 1, "l'année prochaine",
''))</t>
  </si>
  <si>
    <t>if(${pm_mig_intent} = 1, 'nan da watanni 3 masu zuwa', 
if(${pm_mig_intent_1} = 1, 'a shekara mai zuwa',
''))</t>
  </si>
  <si>
    <t>${pm_mig_intent} = 1 or ${pm_mig_intent_1} = 1</t>
  </si>
  <si>
    <t>filter!=1</t>
  </si>
  <si>
    <t>${pm_mig_intent_country} = 1</t>
  </si>
  <si>
    <t>search('towns', 'matches', 'country_id', ${pm_mig_intent_country})</t>
  </si>
  <si>
    <t>not(${pm_mig_intent_country} = 1 or ${pm_mig_intent_country} = -999) and relevant(${pm_mig_intent_country})</t>
  </si>
  <si>
    <t>selected(${pm_mig_intent_town}, '-777') and relevant(${pm_mig_intent_country})</t>
  </si>
  <si>
    <t>concat(${pm_mig_intent_country}, '-', ${pm_mig_intent_town})</t>
  </si>
  <si>
    <t>if(${pm_mig_intent_country} = 1, choice-label(${pm_mig_intent_region}, ${pm_mig_intent_region}), pulldata('towns', 'town_name', 'combined_id', ${pm_mig_intent_town_id}))</t>
  </si>
  <si>
    <t>. &gt;= 0 and . &lt; 60</t>
  </si>
  <si>
    <t>${pm_mig_intent_group} = 1</t>
  </si>
  <si>
    <t>selected(${pm_mig_intent_group_know_how}, -777)</t>
  </si>
  <si>
    <t>${speedcheck_pm_migintent_end} - ${speedcheck_pm_migintent_start}</t>
  </si>
  <si>
    <t>if(selected(., '0') or selected(., '-999'), count-selected(.) = 1, count-selected(.) &gt; 0)</t>
  </si>
  <si>
    <t>not(selected(${pm_mig_risk}, '0'))</t>
  </si>
  <si>
    <t>${speedcheck_pm_migrisks_end} - ${speedcheck_pm_migrisks_start}</t>
  </si>
  <si>
    <t>${pm_lang_train} = 1</t>
  </si>
  <si>
    <t>${pm_lang_train_language} = -777</t>
  </si>
  <si>
    <t>${pm_voc_train} = -777</t>
  </si>
  <si>
    <t>${pm_voc_train} = 1</t>
  </si>
  <si>
    <t>not(selected(., '0') and count-selected(.) &gt; 1)</t>
  </si>
  <si>
    <t>selected(${pm_separate_savings}, '-777')</t>
  </si>
  <si>
    <t>not(selected(${pm_separate_savings}, '0'))</t>
  </si>
  <si>
    <t>count-selected(${pm_separate_savings})</t>
  </si>
  <si>
    <t>if(selected-at(${pm_separate_savings}, index()-1) = '-777', ${pm_separate_savings_o}, choice-label(${pm_separate_savings}, selected-at(${pm_separate_savings}, index()-1)))</t>
  </si>
  <si>
    <t>selected(${pm_separate_savings_why}, '-777')</t>
  </si>
  <si>
    <t>selected(${pm_separate_savings_why}, '1')</t>
  </si>
  <si>
    <t>selected(${pm_major_purchase}, '-777')</t>
  </si>
  <si>
    <t>${speedcheck_pm_savings_end} - ${speedcheck_pm_savings_start}</t>
  </si>
  <si>
    <t>${pm_emerg_sell} = 1 or ${pm_emerg_borrow} =1 or ${pm_emerg_spend} = 1</t>
  </si>
  <si>
    <t>${pm_emergency} = -777</t>
  </si>
  <si>
    <t>${pm_emerg_sell} = 1</t>
  </si>
  <si>
    <t>${pm_emerg_borrow} =1</t>
  </si>
  <si>
    <t>${pm_emerg_spend} = 1</t>
  </si>
  <si>
    <t>For the statement below, please indicate whether you agree strongly, agree, disagree, or disagree strongly.</t>
  </si>
  <si>
    <t>Pour l'énoncé ci-dessous, veuillez indiquer si vous êtes tout à fait d'accord, d'accord, en désaccord ou tout à fait en désaccord avec celui-ci.</t>
  </si>
  <si>
    <t>Cikin waɗannan maganganun da za'a zana sai ka bada amsa idan ka yarda sosai, ka yarda, baka yarda ba, baka yarda ba sam sam da shi.</t>
  </si>
  <si>
    <t>${pm_emergency_capital}&gt;2</t>
  </si>
  <si>
    <t>${pm_emergency_who} = -777</t>
  </si>
  <si>
    <t>${speedcheck_pm_emerg_end} - ${speedcheck_pm_emerg_start}</t>
  </si>
  <si>
    <t>${pm_illness_limit} = 1</t>
  </si>
  <si>
    <t>selected(${pm_illness_limit_type}, '-777')</t>
  </si>
  <si>
    <t>${pm_skip_meals} = 1</t>
  </si>
  <si>
    <t>. &gt;= 0 and . &lt;= 16</t>
  </si>
  <si>
    <t>This is a measure from 0 to 10</t>
  </si>
  <si>
    <t>C'est une mesure de 0 à 10</t>
  </si>
  <si>
    <t>Wannan ma'auni ne daga 0 zuwa 10,</t>
  </si>
  <si>
    <t>. &gt;= 0 and . &lt;= 10</t>
  </si>
  <si>
    <t>${speedcheck_pm_health_end} - ${speedcheck_pm_health_start}</t>
  </si>
  <si>
    <t>${pm_id} = 1</t>
  </si>
  <si>
    <t>month-year</t>
  </si>
  <si>
    <t>${pm_confirm_docs_id} = 1</t>
  </si>
  <si>
    <t>${pm_vax} = 1</t>
  </si>
  <si>
    <t>. &gt;= 0 and . &lt; 100</t>
  </si>
  <si>
    <t>${pm_language_son} = -777</t>
  </si>
  <si>
    <t>${pm_language_daughter} = -777</t>
  </si>
  <si>
    <t>If respondent migrated away from home since ${period}, ask them to also think about preparations for that move.</t>
  </si>
  <si>
    <t>Si le répondant a migré loin de chez lui depuis ${period_french}, demandez-lui de réfléchir également aux préparatifs liés à cette migration.</t>
  </si>
  <si>
    <t>Idan mai bada amsa ya yi tahiya daga gida tun ${period_hausa}, a tambaye shi ya tuna game da shirye-shiryen wannan tahiyar.</t>
  </si>
  <si>
    <t>not(selected(${pm_discuss_mig_out}, '0'))</t>
  </si>
  <si>
    <t>${pm_mig_prep_mc} = 1</t>
  </si>
  <si>
    <t>not(count-selected(.) &gt; 1 and selected(., 0))</t>
  </si>
  <si>
    <t>If don't know, enter -999</t>
  </si>
  <si>
    <t>Si la réponse est "Ne sait pas", saisissez -999</t>
  </si>
  <si>
    <t>(. &gt;= 0 and . &lt; 100) or (. = -999)</t>
  </si>
  <si>
    <t>${speedcheck_pm_migprep_end} - ${speedcheck_pm_migprep_start}</t>
  </si>
  <si>
    <t>${speedcheck_pm_periodinfo_end} - ${speedcheck_pm_periodinfo_start}</t>
  </si>
  <si>
    <t>${pm_future_live_home} &gt;3</t>
  </si>
  <si>
    <t>For each of the statements listed below, please indicate whether you agree strongly, agree,  disagree, or disagree strongly with it.</t>
  </si>
  <si>
    <t>Pour chacun des énoncés énumérés ci-dessous, veuillez indiquer si vous êtes tout à fait d'accord, d'accord, en désaccord ou tout à fait en désaccord avec celui-ci.</t>
  </si>
  <si>
    <t xml:space="preserve"> Cikin waɗannan maganganun da za'a zana sai ka bada amsa idan ka yarda sosai, ka yarda, baka yarda ba, baka yarda ba sam sam da shi.</t>
  </si>
  <si>
    <t>Please use this scale, where the value 0 means: ‘not at all willing to take risks’ and the value 10 means: ‘very willing to take risks’.</t>
  </si>
  <si>
    <t>Veuillez saisir un chiffre entre 0 et 10, où la valeur 0 signifie : « pas du tout disposé à prendre des risques » et la valeur 10 signifie : « très disposé à prendre des risques ».</t>
  </si>
  <si>
    <t xml:space="preserve"> Sai ka sa alama a kan ma'aunin, 0 (sifili) ya na nufin: 'kwata kwata babu shirin ɗaukar kasada' 10 (goma)tana nufin: 'A shirye ƙorai don ɗaukar kasada'.</t>
  </si>
  <si>
    <t>Please use this scale where 0 means “no choice at all” and 10 means “a great deal of choice” to indicate how much freedom of choice and control you feel you have over the way your life turns out</t>
  </si>
  <si>
    <t>Veuillez utiliser cette échelle où 0 signifie pas de choix du tout" et 10 signifie "beaucoup de choix" pour indiquer le degré de liberté de choix et de contrôle que vous pensez avoir sur la façon dont votre vie se déroule"</t>
  </si>
  <si>
    <t>Da fatan za a yi amfani da wannan kurangar inda 0 ke nufin "babu zaɓi kwata-kwata" kuma 10 na nufin "akwai zaɓi mai girma" don nuna yawan ƴancin zaɓi da iko da kuke jin kuna shi bisa yadda rayuwarku take tahiya"</t>
  </si>
  <si>
    <t>Please use the scale from 0 to 10 where 0 means "In the future I expect only bad things to happen to me, and 10 means, "In the future, I expect only good things to happen to me."</t>
  </si>
  <si>
    <t>Veuillez utiliser l'échelle de 0 à 10 où 0 signifie " Dans le futur, je m'attends à ce que seules de mauvaises choses m'arrivent, et 10 signifie, " À l'avenir, je m'attends à ce que seules de bonnes choses m'arrivent."</t>
  </si>
  <si>
    <t>Da fatan za a yi amfani da kuranga daga 0 zuwa 10, inda 0 ke nufin " A nan gaba ina sa ran abubuwa marasa kyau za su faru da ni, kuma 10 na nufin, "A nan gaba, abubuwa masu kyau ne kawai za su faru da ni."</t>
  </si>
  <si>
    <t>${pm_fam_disagree} = 1</t>
  </si>
  <si>
    <t>${speedcheck_pm_consult_end} - ${speedcheck_pm_consult_start}</t>
  </si>
  <si>
    <t>Please use a scale from 0 to 10 where 0 is very negative and 10 is very positive</t>
  </si>
  <si>
    <t>Veuillez utiliser une échelle de 0 à 10 où 0 est très négatif et 10 est très positif</t>
  </si>
  <si>
    <t>Da fatan za a yi amfani da kuranga daga 0 zuwa 10 inda 0 ba shi da kyau sosai kuma 10 yana da kyau sosai</t>
  </si>
  <si>
    <t>[Interviewer: Probe for strength of opinion: Do you agree or agree very strongly?]</t>
  </si>
  <si>
    <t>[Enquêteur : Sonder la force de l'opinion : Êtes-vous d'accord ou très d'accord ?]</t>
  </si>
  <si>
    <t>[Ɗan bincike: Bincika don sanin ra'ayin da ya fi ƙarfi: Kun yarda ko kun yarda sosai?]</t>
  </si>
  <si>
    <t xml:space="preserve">(${treatment} = 2 or ${treatment} = 1) </t>
  </si>
  <si>
    <t>. &lt; 1000000</t>
  </si>
  <si>
    <t>not(${pm_cash_amt} = 0)</t>
  </si>
  <si>
    <t>count-selected(.) &lt;= 3</t>
  </si>
  <si>
    <t>Please choose at most 3 options</t>
  </si>
  <si>
    <t>selected(${pm_cash_exp_categories}, '-777')</t>
  </si>
  <si>
    <t>${pm_cash_share_out} = 1</t>
  </si>
  <si>
    <t>count-selected(${pm_cash_share_mem_out})</t>
  </si>
  <si>
    <t>choice-label(${pm_cash_share_mem_out}, selected-at(${pm_cash_share_mem_out}, index()-1))</t>
  </si>
  <si>
    <t>selected(${pm_cash_shared_out_cat}, '-777')</t>
  </si>
  <si>
    <t>not(selected(${pm_cash_shared_out_cat}, '-999'))</t>
  </si>
  <si>
    <t>.&gt; 0</t>
  </si>
  <si>
    <t>Please enter a number above or equal to 0.</t>
  </si>
  <si>
    <t>selected(${pm_cash_shared_out_cat}, '1')</t>
  </si>
  <si>
    <t>selected(${pm_cash_shared_out_cat}, '2')</t>
  </si>
  <si>
    <t>selected(${pm_cash_shared_out_cat}, '3')</t>
  </si>
  <si>
    <t>selected(${pm_cash_shared_out_cat}, '4')</t>
  </si>
  <si>
    <t>selected(${pm_cash_shared_out_cat}, '5')</t>
  </si>
  <si>
    <t>selected(${pm_cash_shared_out_cat}, '6')</t>
  </si>
  <si>
    <t>selected(${pm_cash_shared_out_cat}, '7')</t>
  </si>
  <si>
    <t>selected(${pm_cash_shared_out_cat}, '8')</t>
  </si>
  <si>
    <t>selected(${pm_cash_shared_out_cat}, '9')</t>
  </si>
  <si>
    <t>selected(${pm_cash_shared_out_cat}, '10')</t>
  </si>
  <si>
    <t>if(${pm_cash_shared_out_exp_food} = null, 0 , ${pm_cash_shared_out_exp_food}) + 
if(${pm_cash_shared_out_exp_hhcons} = null, 0 , ${pm_cash_shared_out_exp_hhcons}) + 
if(${pm_cash_shared_out_exp_invest} = null, 0, ${pm_cash_shared_out_exp_invest}) +
if(${pm_cash_shared_out_exp_savings}  = null, 0, ${pm_cash_shared_out_exp_savings}) + 
if(${pm_cash_shared_out_exp_debtpay} = null, 0, ${pm_cash_shared_out_exp_debtpay}) +
if(${pm_cash_shared_out_exp_housingcost} = null, 0,${pm_cash_shared_out_exp_housingcost}) +
if(${pm_cash_shared_out_exp_health} = null, 0, ${pm_cash_shared_out_exp_health}) +
if(${pm_cash_shared_out_exp_edu} = null, 0, ${pm_cash_shared_out_exp_edu}) +
if(${pm_cash_shared_out_exp_migcost} = null, 0, ${pm_cash_shared_out_exp_migcost}) + 
if(${pm_cash_shared_out_exp_ceremony} = null, 0, ${pm_cash_shared_out_exp_ceremony}) + 
if(${pm_cash_shared_out_exp_other} = null, 0, ${pm_cash_shared_out_exp_other})</t>
  </si>
  <si>
    <t>not(selected(${pm_cash_shared_out_cat}, '-999')) and 
${pm_cash_shared_out_tot} != ${pm_cash_share_out_amt}</t>
  </si>
  <si>
    <t>${treatment} = 1</t>
  </si>
  <si>
    <t>${pm_info_share_out} = 1</t>
  </si>
  <si>
    <t>${speedcheck_pm_cashshareout_end} - ${speedcheck_pm_cashshareout_start}</t>
  </si>
  <si>
    <t>${pm_cash_share_in} = 1</t>
  </si>
  <si>
    <t>filter=1</t>
  </si>
  <si>
    <t>count-selected(${pm_cash_share_mem_in})</t>
  </si>
  <si>
    <t>choice-label(${pm_cash_share_mem_in}, selected-at(${pm_cash_share_mem_in}, index()-1))</t>
  </si>
  <si>
    <t>selected(${pm_cash_shared_in_cat}, '-777')</t>
  </si>
  <si>
    <t>not(selected(${pm_cash_shared_in_cat}, '-999'))</t>
  </si>
  <si>
    <t>.&gt;=0</t>
  </si>
  <si>
    <t>selected(${pm_cash_shared_in_cat}, '1')</t>
  </si>
  <si>
    <t>selected(${pm_cash_shared_in_cat}, '2')</t>
  </si>
  <si>
    <t>selected(${pm_cash_shared_in_cat}, '3')</t>
  </si>
  <si>
    <t>selected(${pm_cash_shared_in_cat}, '4')</t>
  </si>
  <si>
    <t>selected(${pm_cash_shared_in_cat}, '5')</t>
  </si>
  <si>
    <t>selected(${pm_cash_shared_in_cat}, '6')</t>
  </si>
  <si>
    <t>selected(${pm_cash_shared_in_cat}, '7')</t>
  </si>
  <si>
    <t>selected(${pm_cash_shared_in_cat}, '8')</t>
  </si>
  <si>
    <t>selected(${pm_cash_shared_in_cat}, '9')</t>
  </si>
  <si>
    <t>selected(${pm_cash_shared_in_cat}, '10')</t>
  </si>
  <si>
    <t>if(${pm_cash_shared_in_exp_food} = null, 0, ${pm_cash_shared_in_exp_food}) +
if(${pm_cash_shared_in_exp_hhcons} = null, 0 , ${pm_cash_shared_in_exp_hhcons}) + 
if(${pm_cash_shared_in_exp_invest} = null, 0, ${pm_cash_shared_in_exp_invest}) +
if(${pm_cash_shared_in_exp_savings}  = null, 0, ${pm_cash_shared_in_exp_savings}) + 
if(${pm_cash_shared_in_exp_debtpay} = null, 0, ${pm_cash_shared_in_exp_debtpay}) +
if(${pm_cash_shared_in_exp_housingcost} = null, 0, ${pm_cash_shared_in_exp_housingcost}) +
if(${pm_cash_shared_in_exp_health} = null, 0, ${pm_cash_shared_in_exp_health}) +
if(${pm_cash_shared_in_exp_edu} = null, 0, ${pm_cash_shared_in_exp_edu}) +
if(${pm_cash_shared_in_exp_migcost} = null, 0, ${pm_cash_shared_in_exp_migcost}) + 
if(${pm_cash_shared_in_exp_ceremony} = null, 0, ${pm_cash_shared_in_exp_ceremony}) + 
if(${pm_cash_shared_in_exp_other} = null, 0, ${pm_cash_shared_in_exp_other})</t>
  </si>
  <si>
    <t>not(selected(${pm_cash_shared_in_cat}, '-999')) and 
${pm_cash_shared_in_tot} != ${pm_cash_share_in_amt}</t>
  </si>
  <si>
    <t>sum(${pm_cash_share_in_amt})</t>
  </si>
  <si>
    <t>sum(${pm_cash_share_out_amt})</t>
  </si>
  <si>
    <t>${pm_cash_share_out_tot} + ${pm_cash_share_in_tot}</t>
  </si>
  <si>
    <t>${pm_cash_amt} - ${pm_cash_share_amt}</t>
  </si>
  <si>
    <t>${pm_cash_share_amt} &gt; ${pm_cash_amt}</t>
  </si>
  <si>
    <t>${speedcheck_pm_cashsharein_end} - ${speedcheck_pm_cashsharein_start}</t>
  </si>
  <si>
    <t>${pm_cash_resid_exp_food} + ${pm_cash_resid_exp_hhcons} + ${pm_cash_resid_exp_invest} + ${pm_cash_resid_exp_savings} + ${pm_cash_resid_exp_debtpay} + ${pm_cash_resid_exp_housingcost} + ${pm_cash_resid_exp_edu} + ${pm_cash_resid_exp_health} + ${pm_cash_resid_exp_migcost} + ${pm_cash_resid_exp_ceremony} + ${pm_cash_resid_exp_other}</t>
  </si>
  <si>
    <t>${pm_cash_resid_exp_other} &gt; 0</t>
  </si>
  <si>
    <t>${pm_cash_resid_use} &gt; ${pm_cash_resid}</t>
  </si>
  <si>
    <t>${speedcheck_pm_cashresid_end} - ${speedcheck_pm_cashresid_start}</t>
  </si>
  <si>
    <t>${pm_cash_new_exp_ind} = 1</t>
  </si>
  <si>
    <t>${speedcheck_pm_cash_end} - ${speedcheck_pm_cash_start}</t>
  </si>
  <si>
    <t>${speedcheck_pm_end} - ${speedcheck_pm_start}</t>
  </si>
  <si>
    <t>${pm_hoh} = 1 or (${shm_hoh} = 1 and (${pm_shm_home} = 0 and ${pm_shm_home_2w} &lt; 1) or ${pm_shm_home} = -999)</t>
  </si>
  <si>
    <t>On dit que la personne n'est plus un membre du menage s'il ne fait plus parti du menage et il n'a pas l'intention d'y revenir. On considere un membre qui est parti en exode avec l'intention d'y revenir comme membre du menage.</t>
  </si>
  <si>
    <t>Sai ace mutum ba dan gidan ba ne idan ba ya cikin gidan kuma ba yada niyyar komawa. Dan gida wanda ya fita zuwa bida da niyyar komawa ana ɗaukarshi ɗan gidan.</t>
  </si>
  <si>
    <t>Please enter a number greater than 0!</t>
  </si>
  <si>
    <t>${hoh_new_hh_mems} = 1</t>
  </si>
  <si>
    <t>${hoh_new_hh_mems_num}</t>
  </si>
  <si>
    <t>concat("new member ", ${hoh_hhindex})</t>
  </si>
  <si>
    <t>concat("nouveau membre ", ${hoh_hhindex})</t>
  </si>
  <si>
    <t>concat("sabon memba ", ${hoh_hhindex})</t>
  </si>
  <si>
    <t>concat(${hoh_new_mem_name_first}, ' ', ${hoh_new_mem_name_last})</t>
  </si>
  <si>
    <t xml:space="preserve">${speedcheck_hoh_rosternew_end} - ${speedcheck_hoh_rosternew_start} </t>
  </si>
  <si>
    <t>if(${hoh_new_hh_mems} = 0, ${hhmembers}, ${hhmembers} + ${hoh_new_hh_mems_num})</t>
  </si>
  <si>
    <t>${hoh_hhmembers_new}</t>
  </si>
  <si>
    <t>pulldata('baseline_ids_el', concat('hhname', ${hoh_roster_index}), 'hh_id', ${hh_id})</t>
  </si>
  <si>
    <t>pulldata('baseline_ids_el', concat('hhage', ${hoh_roster_index}), 'hh_id', ${hh_id})</t>
  </si>
  <si>
    <t>pulldata('baseline_ids_el', concat('hhsex', ${hoh_roster_index}), 'hh_id', ${hh_id})</t>
  </si>
  <si>
    <t>empty(${hoh_roster_name_cases})</t>
  </si>
  <si>
    <t xml:space="preserve">${hoh_roster_index} - ${hhmembers} </t>
  </si>
  <si>
    <t>indexed-repeat(${hoh_new_mem_name}, ${hoh_roster_new}, ${hoh_roster_new_index})</t>
  </si>
  <si>
    <t>indexed-repeat(${hoh_new_mem_age}, ${hoh_roster_new}, ${hoh_roster_new_index})</t>
  </si>
  <si>
    <t>if(indexed-repeat(${hoh_new_mem_sex}, ${hoh_roster_new}, ${hoh_roster_new_index}) = 1, 'Male', 'Female')</t>
  </si>
  <si>
    <t>if(empty(${hoh_roster_name_cases}), ${hoh_roster_name_new}, ${hoh_roster_name_cases})</t>
  </si>
  <si>
    <t>if(empty(${hoh_roster_name_cases}), ${hoh_roster_age_new}, ${hoh_roster_age_cases})</t>
  </si>
  <si>
    <t>if(empty(${hoh_roster_name_cases}), ${hoh_roster_sex_new}, ${hoh_roster_sex_cases})</t>
  </si>
  <si>
    <t>${hoh_nationality} = 0</t>
  </si>
  <si>
    <t>${hoh_nationality_country} = -777</t>
  </si>
  <si>
    <t>not(empty(${hoh_roster_name_cases}))</t>
  </si>
  <si>
    <t xml:space="preserve">${hoh_roster_in} = 0 </t>
  </si>
  <si>
    <t>selected(${hoh_roster_notin_why}, '-777')</t>
  </si>
  <si>
    <t>selected(${hoh_roster_notin_why}, '4')</t>
  </si>
  <si>
    <t>${hoh_roster_in} = 1</t>
  </si>
  <si>
    <t>${hoh_living_in_hh} = 0</t>
  </si>
  <si>
    <t>${hoh_in_niger} = 1</t>
  </si>
  <si>
    <t>${hoh_in_niger} = 0</t>
  </si>
  <si>
    <t>filter != 1 and filter != 2</t>
  </si>
  <si>
    <t>${hoh_out_niger} = -777</t>
  </si>
  <si>
    <t>search('towns', 'matches', 'country_id', ${hoh_out_niger})</t>
  </si>
  <si>
    <t>${hoh_in_niger} = 0 and ${hoh_out_niger} != -999</t>
  </si>
  <si>
    <t>${hoh_out_town} = -777</t>
  </si>
  <si>
    <t>${hoh_living_in_hh} = 1 or empty(${hoh_roster_name_cases})</t>
  </si>
  <si>
    <t>${hoh_roster_age} &gt; 7</t>
  </si>
  <si>
    <t>${hoh_illness_limit} = 1</t>
  </si>
  <si>
    <t>selected(${hoh_illness_limit_type}, '-777')</t>
  </si>
  <si>
    <t>(${hoh_roster_sex} = 1 and ${hoh_roster_age} &gt; 18) or (${hoh_roster_sex} = 0 and ${hoh_roster_age} &gt; 15)</t>
  </si>
  <si>
    <t>${hoh_any_children}=1</t>
  </si>
  <si>
    <t>${hoh_roster_age} &gt;= 14</t>
  </si>
  <si>
    <t xml:space="preserve">(${hoh_roster_age} &gt; 4 and ${hoh_roster_age} &lt; 27) </t>
  </si>
  <si>
    <t>${hoh_attending_school} = 1</t>
  </si>
  <si>
    <t xml:space="preserve">. &gt;= 0 </t>
  </si>
  <si>
    <t>${hoh_attending_school}=1</t>
  </si>
  <si>
    <t>. &gt;= 0 and . &lt;= 28</t>
  </si>
  <si>
    <t>Please enter an integer between 0 and 28 days</t>
  </si>
  <si>
    <t>if(${hoh_roster_sex} = 1, ${hoh_roster_age} &gt;= 17, ${hoh_roster_age} &gt;= 14)</t>
  </si>
  <si>
    <t>. &gt; 0 and . &lt; 10</t>
  </si>
  <si>
    <t>${hoh_married} = 1 and ${hoh_roster_sex} = 1</t>
  </si>
  <si>
    <t>(${hoh_roster_in} = 1 or empty(${hoh_roster_name_cases})) and ${hoh_roster_age} &gt; 17</t>
  </si>
  <si>
    <t>${hoh_mem_migrate} = 1</t>
  </si>
  <si>
    <t>selected(${hoh_dest_country}, '-777')</t>
  </si>
  <si>
    <t>if(selected(${hoh_dest_country}, '1'), 1 , 0)</t>
  </si>
  <si>
    <t>if(selected(${hoh_dest_country}, '2') or selected(${hoh_dest_country}, '3') or 
selected(${hoh_dest_country}, '4') or selected(${hoh_dest_country}, '5') or
selected(${hoh_dest_country}, '6') or selected(${hoh_dest_country}, '7') or
selected(${hoh_dest_country}, '8') or selected(${hoh_dest_country}, '9') or
selected(${hoh_dest_country}, '10') or selected(${hoh_dest_country}, '11') or
selected(${hoh_dest_country}, '12') or selected(${hoh_dest_country}, '13') or
selected(${hoh_dest_country}, '14') or selected(${hoh_dest_country}, '15') or
selected(${hoh_dest_country}, '16') or selected(${hoh_dest_country}, '17') or
selected(${hoh_dest_country}, '18') or selected(${hoh_dest_country}, '19') or
selected(${hoh_dest_country}, '20') or selected(${hoh_dest_country}, '21') or
selected(${hoh_dest_country}, '22') or selected(${hoh_dest_country}, '-777'), 1, 0)</t>
  </si>
  <si>
    <t>if(selected(${hoh_dest_country}, '3') or selected(${hoh_dest_country}, '6') or 
selected(${hoh_dest_country}, '7') or selected(${hoh_dest_country}, '9') or
selected(${hoh_dest_country}, '10') or selected(${hoh_dest_country}, '13') or
selected(${hoh_dest_country}, '14') or selected(${hoh_dest_country}, '15') or
selected(${hoh_dest_country}, '16') or selected(${hoh_dest_country}, '17') or
selected(${hoh_dest_country}, '18') or selected(${hoh_dest_country}, '19'), 1, 0)</t>
  </si>
  <si>
    <t>count-selected(${hoh_dest_country})</t>
  </si>
  <si>
    <t>not(selected(${hoh_dest_country}, '-999'))</t>
  </si>
  <si>
    <t>${hoh_num_dest_country}</t>
  </si>
  <si>
    <t>selected-at(${hoh_dest_country}, index()-1)</t>
  </si>
  <si>
    <t>if(${hoh_dest_index} = -777, ${hoh_dest_country_o}, choice-label(${hoh_dest_country}, ${hoh_dest_index}))</t>
  </si>
  <si>
    <t>search('towns', 'matches', 'country_id', ${hoh_dest_index})</t>
  </si>
  <si>
    <t>not(${hoh_dest_index} = 1 or ${hoh_dest_index} = -999)</t>
  </si>
  <si>
    <t>selected(${hoh_dest_town}, '-777')</t>
  </si>
  <si>
    <t>${hoh_dest_index} = 1</t>
  </si>
  <si>
    <t>selected(${hoh_dest_region}, '-777')</t>
  </si>
  <si>
    <t>not(selected(${hoh_dest_index}, '-999'))</t>
  </si>
  <si>
    <t xml:space="preserve">${speedcheck_hoh_rosterdest_end} - ${speedcheck_hoh_rosterdest_start} </t>
  </si>
  <si>
    <t>${hoh_failed_prep} = 1</t>
  </si>
  <si>
    <t>${hoh_failed_prep_country} = -777</t>
  </si>
  <si>
    <t>count-selected(${hoh_failed_prep_country})</t>
  </si>
  <si>
    <t>selected-at(${hoh_failed_prep_country}, ${hoh_failed_index}-1)</t>
  </si>
  <si>
    <t>if(${hoh_failed_country_index} = -777, ${hoh_failed_prep_country_o}, choice-label(${hoh_failed_prep_country}, ${hoh_failed_country_index}))</t>
  </si>
  <si>
    <t>search('towns', 'matches', 'country_id', ${hoh_failed_country_index})</t>
  </si>
  <si>
    <t>not(${hoh_failed_country_index} = 1 or ${hoh_failed_country_index} = -999)</t>
  </si>
  <si>
    <t>selected(${hoh_failed_town} , '-777')</t>
  </si>
  <si>
    <t>${hoh_failed_country_index} = 1</t>
  </si>
  <si>
    <t>selected(${hoh_failed_region}, '-777')</t>
  </si>
  <si>
    <t>${hoh_failed_country_index} != -999</t>
  </si>
  <si>
    <t>selected(${hoh_failed_prep_reason}, '-777')</t>
  </si>
  <si>
    <t xml:space="preserve">${speedcheck_hoh_roster_end} - ${speedcheck_hoh_roster_start} </t>
  </si>
  <si>
    <t>join-if(' ', ${hoh_roster_index}, ${hoh_roster_age} &gt;= 7)</t>
  </si>
  <si>
    <t>join-if(' ', ${hoh_roster_index}, ${hoh_living_in_hh} = 1)</t>
  </si>
  <si>
    <t>join-if(' ', ${hoh_roster_index}, ${hoh_roster_in} = 1 or empty(${hoh_roster_name_cases}))</t>
  </si>
  <si>
    <t>if(sum(${hoh_dom_mig_ind}) &gt; 0, 1, 0)</t>
  </si>
  <si>
    <t>if(sum(${hoh_border_cross_ind}) &gt; 0, 1, 0)</t>
  </si>
  <si>
    <t>if(sum(${hoh_border_cross_ecowas_ind}) &gt; 0, 1, 0)</t>
  </si>
  <si>
    <t>if(${hoh_dom_mig} = 1 or ${hoh_border_cross} = 1, 1, 0)</t>
  </si>
  <si>
    <t>${hoh_own_home} = 1</t>
  </si>
  <si>
    <t>not(selected(${hoh_livestock_any}, '0'))</t>
  </si>
  <si>
    <t>count-selected(${hoh_livestock_any})</t>
  </si>
  <si>
    <t>choice-label(${hoh_livestock_any}, selected-at(${hoh_livestock_any}, index()-1))</t>
  </si>
  <si>
    <t>. &gt;= 1 and . &lt;= 1000</t>
  </si>
  <si>
    <t xml:space="preserve">${speedcheck_hoh_livestock_end} - ${speedcheck_hoh_livestock_start} </t>
  </si>
  <si>
    <t>. &lt;= ${hoh_land_access_amt}</t>
  </si>
  <si>
    <t>Think about the total amount you paid to rent this land for the entire agricultural season</t>
  </si>
  <si>
    <t>Pensez au montant total que vous avez payé pour louer ce terrain pour toute la saison agricole</t>
  </si>
  <si>
    <t>Tuna da jimillar kuɗin da kuka biya don hayar wannan fili a lokacin noma</t>
  </si>
  <si>
    <t>${hoh_rent_land} &gt; 0</t>
  </si>
  <si>
    <t xml:space="preserve">${speedcheck_hoh_land_end} - ${speedcheck_hoh_land_start} </t>
  </si>
  <si>
    <t>selected(${hoh_crops}, '-777')</t>
  </si>
  <si>
    <t>${hoh_crops} != 0</t>
  </si>
  <si>
    <t>count-selected(${hoh_crops})</t>
  </si>
  <si>
    <t>if(selected-at(${hoh_crops}, index()-1) = '-777', ${hoh_crops_o}, choice-label(${hoh_crops}, selected-at(${hoh_crops}, index()-1)))</t>
  </si>
  <si>
    <t>${hoh_crop_unit} = -777</t>
  </si>
  <si>
    <t>if(${hoh_crop_unit} = -777, ${hoh_crop_unit_o}, choice-label(${hoh_crop_unit}, ${hoh_crop_unit}))</t>
  </si>
  <si>
    <t>. &lt;= ${hoh_crop_quantity}</t>
  </si>
  <si>
    <t>${hoh_qty_sold} &gt; 0</t>
  </si>
  <si>
    <t>${hoh_qty_consume} &gt; 0</t>
  </si>
  <si>
    <t>${hoh_crop_quantity} - ${hoh_qty_sold} - ${hoh_qty_consume}</t>
  </si>
  <si>
    <t>${hoh_qty_left} &lt; 0</t>
  </si>
  <si>
    <t>${hoh_qty_left} &gt;= 0</t>
  </si>
  <si>
    <t>${hoh_qty_left} &gt; 0</t>
  </si>
  <si>
    <t>${hoh_qty_sold} * ${hoh_price_sold}</t>
  </si>
  <si>
    <t>${speedcheck_hoh_cropsinfo_end} - ${speedcheck_hoh_cropsinfo_start}</t>
  </si>
  <si>
    <t>. &gt;= 0 and . &lt;= 26</t>
  </si>
  <si>
    <t>count-selected(${hoh_members_above_7})</t>
  </si>
  <si>
    <t>selected-at(${hoh_members_above_7}, index()-1)</t>
  </si>
  <si>
    <t>indexed-repeat(${hoh_roster_name}, ${hoh_roster}, ${hoh_labor_index})</t>
  </si>
  <si>
    <t>. &gt;= 0 and . &lt;= 180</t>
  </si>
  <si>
    <t>${hoh_days_labor} &gt; 0</t>
  </si>
  <si>
    <t>${hoh_hire_ag} = 1</t>
  </si>
  <si>
    <t>${hoh_income3} + ${hoh_income4} + ${hoh_income5} + ${hoh_income6} + ${hoh_income7} + ${hoh_income8}</t>
  </si>
  <si>
    <t>Veuillez revenir et corriger vos réponses aux questions 88 à 93.</t>
  </si>
  <si>
    <t xml:space="preserve">${speedcheck_hoh_labor_end} - ${speedcheck_hoh_labor_start} </t>
  </si>
  <si>
    <t>${hoh_members_paid_ag} = 1</t>
  </si>
  <si>
    <t>indexed-repeat(${hoh_roster_name}, ${hoh_roster}, index())</t>
  </si>
  <si>
    <t>indexed-repeat(${hoh_roster_age}, ${hoh_roster}, index())</t>
  </si>
  <si>
    <t>${hoh_paid_age} &gt; 7</t>
  </si>
  <si>
    <t>${hoh_paid_ag} &gt; 0</t>
  </si>
  <si>
    <t>${hoh_paid_ag} * ${hoh_paid_ag_wage}</t>
  </si>
  <si>
    <t xml:space="preserve">${speedcheck_hoh_paid_end} - ${speedcheck_hoh_paid_start} </t>
  </si>
  <si>
    <t>${hoh_ag_exp_other}=1</t>
  </si>
  <si>
    <t>if(empty(sum(${hoh_paid_ag_total})), 0, sum(${hoh_paid_ag_total}))</t>
  </si>
  <si>
    <t>if(empty(sum(${hoh_crop_revenue})), 0, sum(${hoh_crop_revenue}))</t>
  </si>
  <si>
    <t>if(empty(${hoh_hire_ag_num}) or empty(${hoh_hire_ag_days}) or empty(${hoh_hire_ag_wage}), 0, ${hoh_hire_ag_num} * ${hoh_hire_ag_days} * ${hoh_hire_ag_wage})</t>
  </si>
  <si>
    <t>if(empty(${hoh_spend_seeds}), 0, ${hoh_spend_seeds})</t>
  </si>
  <si>
    <t>if(empty(${hoh_spend_fert}), 0, ${hoh_spend_fert})</t>
  </si>
  <si>
    <t>if(empty(${hoh_spend_rent}), 0, ${hoh_spend_rent})</t>
  </si>
  <si>
    <t>if(empty(${hoh_spend_water}), 0, ${hoh_spend_water})</t>
  </si>
  <si>
    <t>if(empty(${hoh_ag_exp_other_amt}), 0, ${hoh_ag_exp_other_amt})</t>
  </si>
  <si>
    <t>${hoh_income1} + ${hoh_income2}  - ${hoh_income3} - ${hoh_income4} - ${hoh_income5} - ${hoh_income6} - ${hoh_income7} - ${hoh_income8}</t>
  </si>
  <si>
    <t>Veuillez revenir et corriger vos réponses aux questions 82 à 87 et 95 à 97</t>
  </si>
  <si>
    <t>609. Nous allons maintenant vous poser des questions sur les activités génératrices de revenus provenant de l'élevage au cours des six derniers mois.</t>
  </si>
  <si>
    <t>609. Yanzu za mu yi tambaya game da ayyukan samar da kuɗin shiga daga kiwon dabbobi a cikin watanni shida da suka gabata</t>
  </si>
  <si>
    <t>choice-label(${hoh_livestock_any}, index())</t>
  </si>
  <si>
    <t>610. Combien de ${hoh_livestock_act_name} avez-vous acheté ?</t>
  </si>
  <si>
    <t>You mentioned that you bought ${hoh_livestock_bought} individual ${hoh_livestock_act_name}. Please report the total price you received in CFA.</t>
  </si>
  <si>
    <t>${hoh_livestock_bought} &gt; 0</t>
  </si>
  <si>
    <t>612. Combien de ${hoh_livestock_act_name} avez-vous vendu ?</t>
  </si>
  <si>
    <t>You mentioned that you sold ${hoh_livestock_sold} individual ${hoh_livestock_act_name}. Please report the total amount you received in CFA.</t>
  </si>
  <si>
    <t>${hoh_livestock_sold} &gt; 0</t>
  </si>
  <si>
    <t>614. Combien de ${hoh_livestock_act_name} avez-vous consommé ?</t>
  </si>
  <si>
    <t>You mentioned that you consumed ${hoh_livestock_consumed} individual ${hoh_livestock_act_name}. Please report the total amount you would receive in CFA.</t>
  </si>
  <si>
    <t>${hoh_livestock_consumed} &gt; 0</t>
  </si>
  <si>
    <t>. &lt;= 7</t>
  </si>
  <si>
    <t>. &lt;= 12</t>
  </si>
  <si>
    <t>${hoh_hire_livestock} = 1</t>
  </si>
  <si>
    <t>${hoh_hire_livestock_days} * ${hoh_hire_livestock_wage} * 12</t>
  </si>
  <si>
    <t>${hoh_paid_livestock} = 1</t>
  </si>
  <si>
    <t>${hoh_own_other} = 1</t>
  </si>
  <si>
    <t xml:space="preserve">${speedcheck_hoh_livestockact_end} - ${speedcheck_hoh_livestockact_start} </t>
  </si>
  <si>
    <t>${hoh_own_biz} = 1</t>
  </si>
  <si>
    <t>${hoh_biz_type} = -777</t>
  </si>
  <si>
    <t>if(${hoh_biz_type} = -777, ${hoh_biz_type_o}, choice-label(${hoh_biz_type}, ${hoh_biz_type}))</t>
  </si>
  <si>
    <t>${hoh_own_biz} = 1 and ${hoh_biz_employ} = 1</t>
  </si>
  <si>
    <t>count-selected(${hoh_members_in_hh})</t>
  </si>
  <si>
    <t>selected-at(${hoh_members_in_hh}, index()-1)</t>
  </si>
  <si>
    <t>indexed-repeat(${hoh_roster_name}, ${hoh_roster}, ${hoh_biz_index})</t>
  </si>
  <si>
    <t>indexed-repeat(${hoh_roster_age}, ${hoh_roster}, ${hoh_biz_index})</t>
  </si>
  <si>
    <t>${hoh_own_biz} = 1 and ${hoh_biz_age} &gt;= 7</t>
  </si>
  <si>
    <t xml:space="preserve">${speedcheck_hoh_biz_end} - ${speedcheck_hoh_biz_start} </t>
  </si>
  <si>
    <t>${hoh_biz_revenue} - ${hoh_biz_expense}</t>
  </si>
  <si>
    <t>indexed-repeat(${hoh_roster_name}, ${hoh_roster}, ${hoh_member_act_index})</t>
  </si>
  <si>
    <t>${hoh_member_other_activity} = 1</t>
  </si>
  <si>
    <t>${hoh_member_other_activity} = 1 and ${hoh_member_other_act} = '-777'</t>
  </si>
  <si>
    <t>if(${hoh_member_other_act} = '-777', ${hoh_member_other_activity_o}, choice-label(${hoh_member_other_act}, ${hoh_member_other_act}))</t>
  </si>
  <si>
    <t xml:space="preserve"> ${speedcheck_hoh_memact_end} - ${speedcheck_hoh_memact_start}</t>
  </si>
  <si>
    <t>If they physically brought the money with them when they returned from their trip, please select "Hand cash directly to recipient".</t>
  </si>
  <si>
    <t>S'ils ont apporté l'argent physiquement à leur retour de voyage, veuillez sélectionner « Remettre l'argent directement au bénéficiaire ».</t>
  </si>
  <si>
    <t>Idan sun zo da kuɗin tare da su a hannu lokacin da suka dawo daga tafiyarsu, sai a zaɓi "Bada kuɗi Hannu da hannu".</t>
  </si>
  <si>
    <t>not(selected(${hoh_remit_pm_method}, '0'))</t>
  </si>
  <si>
    <t>Recall that we consider the following members to be a part of your household: ${hoh_roster_list}. If they physically brought the money with them when they returned from their trip, please select "Hand cash directly to recipient".</t>
  </si>
  <si>
    <t>Nous considérons que les membres suivants font partie de votre menage : ${hoh_roster_list}. S'ils ont apporté l'argent avec eux à leur retour de voyage, veuillez sélectionner « Remettre l'argent directement au bénéficiaire ».</t>
  </si>
  <si>
    <t>Ku tuna cewa muna ɗaukar waɗannan mutanen a matsayin ƴan gidan ku: ${hoh_roster_list}. Idan sun zo da kuɗin tare da su a jiki lokacin da suka dawo daga tafiyarsu, sai a zaɓi "Karɓar kuɗin hannu da hannu".</t>
  </si>
  <si>
    <t>not(selected(${hoh_remit_hh_method}, '0'))</t>
  </si>
  <si>
    <t>${hoh_remit_rec_niger} = 1</t>
  </si>
  <si>
    <t>selected(${hoh_remit_rec_niger_how}, '-777')</t>
  </si>
  <si>
    <t>${hoh_goods_rec_niger} = 1</t>
  </si>
  <si>
    <t>selected(${hoh_goods_rec_niger_how}, '-777')</t>
  </si>
  <si>
    <t>${hoh_remit_rec_out} = 1</t>
  </si>
  <si>
    <t>${hoh_remit_rec_out_how} = '-777'</t>
  </si>
  <si>
    <t>${hoh_goods_rec_out} = 1</t>
  </si>
  <si>
    <t>${hoh_goods_rec_out_how} = '-777'</t>
  </si>
  <si>
    <t>${hoh_remit_send_niger} = 1</t>
  </si>
  <si>
    <t>selected(${hoh_remit_send_niger_how}, '-777')</t>
  </si>
  <si>
    <t>${hoh_goods_send_niger} = 1</t>
  </si>
  <si>
    <t>selected(${hoh_goods_send_niger_how}, '-777')</t>
  </si>
  <si>
    <t>${hoh_remit_send_out} = 1</t>
  </si>
  <si>
    <t>selected(${hoh_remit_send_out_how}, '-777')</t>
  </si>
  <si>
    <t>${hoh_goods_send_out} = 1</t>
  </si>
  <si>
    <t>selected(${hoh_goods_send_out_how}, '-777')</t>
  </si>
  <si>
    <t>Support could include cash, other material goods, or training.</t>
  </si>
  <si>
    <t>Le soutien peut comprendre de l'argent, d'autres biens matériels ou une formation.</t>
  </si>
  <si>
    <t>Taimako na iya haɗawa da kuɗi, wasu kayan masarufi ko horo.</t>
  </si>
  <si>
    <t>not(selected(${hoh_receive_support}, '0'))</t>
  </si>
  <si>
    <t>Enumerator: Do not include any transfer that you have already collected elsewhere in the survey</t>
  </si>
  <si>
    <t>Enquêteur : Il ne faut pas inclure les transferts que vous avez déja enregistré autrepart dans le questionnaire.</t>
  </si>
  <si>
    <t xml:space="preserve">${speedcheck_hoh_remit_end} - ${speedcheck_hoh_remit_start} </t>
  </si>
  <si>
    <t>${hoh_improve_o} = 1</t>
  </si>
  <si>
    <t>${hoh_improve_add_rooms} + ${hoh_improve_floors} + ${hoh_improve_walls} + ${hoh_improve_roof} + ${hoh_improve_o} &gt; 0</t>
  </si>
  <si>
    <t>${hoh_improve_business} = 1</t>
  </si>
  <si>
    <t>${hoh_improve_land} = 1</t>
  </si>
  <si>
    <t xml:space="preserve">${speedcheck_hoh_homeimprove_end} - ${speedcheck_hoh_homeimprove_start} </t>
  </si>
  <si>
    <t>selected(${hoh_savings_type}, '-777')</t>
  </si>
  <si>
    <t>not(selected(${hoh_savings_type}, '0'))</t>
  </si>
  <si>
    <t>count-selected(${hoh_savings_type})</t>
  </si>
  <si>
    <t>selected-at(${hoh_savings_type}, index()-1)</t>
  </si>
  <si>
    <t>if(selected-at(${hoh_savings_type}, index()-1) = '-777', ${hoh_savings_type_o}, choice-label(${hoh_savings_type}, selected-at(${hoh_savings_type}, index()-1)))</t>
  </si>
  <si>
    <t>${hoh_savings_code} != 1</t>
  </si>
  <si>
    <t xml:space="preserve">${speedcheck_hoh_savings_end} - ${speedcheck_hoh_savings_start} </t>
  </si>
  <si>
    <t>sum(${hoh_savings_type_amt})</t>
  </si>
  <si>
    <t>Veuillez revenir et corriger vos réponses aux questions 141 et 142</t>
  </si>
  <si>
    <t>Select all that apply</t>
  </si>
  <si>
    <t>Sélectionnez tout ce qui s'y rapporte</t>
  </si>
  <si>
    <t>Zaɓi duk abin da ya dace</t>
  </si>
  <si>
    <t>selected(${hoh_emergency}, '-777')</t>
  </si>
  <si>
    <t>not(selected(${hoh_emergency}, '0'))</t>
  </si>
  <si>
    <t>count-selected(${hoh_emergency})</t>
  </si>
  <si>
    <t>if(selected-at(${hoh_emergency}, index()-1) = '-777', ${hoh_emergency_o}, choice-label(${hoh_emergency}, selected-at(${hoh_emergency}, index()-1)))</t>
  </si>
  <si>
    <t>${hoh_emerg_sell} = 1 or ${hoh_emerg_borrow} = 1 or ${hoh_emerg_spend} = 1</t>
  </si>
  <si>
    <t>Assets include animals, food stock</t>
  </si>
  <si>
    <t>Par exemple, des animaux, vos stocks alimentaires</t>
  </si>
  <si>
    <t>Kadarorin sun haɗa da dabbobi, ajiyar abinci</t>
  </si>
  <si>
    <t>${hoh_emerg_sell} = 1</t>
  </si>
  <si>
    <t>${hoh_emerg_borrow} = 1</t>
  </si>
  <si>
    <t>${hoh_emerg_spend} = 1</t>
  </si>
  <si>
    <t xml:space="preserve">${speedcheck_hoh_emerg_end} - ${speedcheck_hoh_emerg_start} </t>
  </si>
  <si>
    <t>${hoh_credit_refuse} = 1</t>
  </si>
  <si>
    <t>${hoh_borrow_total} &gt; 0</t>
  </si>
  <si>
    <t>${hoh_transfer_village} = 1</t>
  </si>
  <si>
    <t xml:space="preserve">${speedcheck_hoh_credit_end} - ${speedcheck_hoh_credit_start} </t>
  </si>
  <si>
    <t>${hoh_adults_skip_days} = 1</t>
  </si>
  <si>
    <t>${hoh_adults_skip_meals} = 1</t>
  </si>
  <si>
    <t>${hoh_child_skip_days} = 1</t>
  </si>
  <si>
    <t>${hoh_child_skip_meals} = 1</t>
  </si>
  <si>
    <t xml:space="preserve">${speedcheck_hoh_foodinsec_end} - ${speedcheck_hoh_foodinsec_start} </t>
  </si>
  <si>
    <t>not(selected(., '0') and count-selected(.)&gt; 1)</t>
  </si>
  <si>
    <t>not(selected(${hoh_monthly_consumption_any}, '0'))</t>
  </si>
  <si>
    <t>count-selected(${hoh_monthly_consumption_any})</t>
  </si>
  <si>
    <t>choice-label(${hoh_monthly_consumption_any}, selected-at(${hoh_monthly_consumption_any}, index()-1))</t>
  </si>
  <si>
    <t>not(selected(${hoh_weekly_consumption_any}, '0'))</t>
  </si>
  <si>
    <t>count-selected(${hoh_weekly_consumption_any})</t>
  </si>
  <si>
    <t>choice-label(${hoh_weekly_consumption_any}, selected-at(${hoh_weekly_consumption_any}, index()-1))</t>
  </si>
  <si>
    <t>737. Don sallar laiya (2025), gidanku ya sayi ɗaya daga cikin waɗannan?</t>
  </si>
  <si>
    <t xml:space="preserve">${speedcheck_hoh_cons_end} - ${speedcheck_hoh_cons_start} </t>
  </si>
  <si>
    <t xml:space="preserve">${speedcheck_hoh_end} - ${speedcheck_hoh_start} </t>
  </si>
  <si>
    <t>numbers_phone</t>
  </si>
  <si>
    <t>${primary_phone_confirm} = 0</t>
  </si>
  <si>
    <t>[Enumerator: Did the phone ring?]</t>
  </si>
  <si>
    <t>[enquêteur : Le téléphone a-t-il sonné ?]</t>
  </si>
  <si>
    <t>[Ɗan bincike: Wayar ta yi ƙara?]</t>
  </si>
  <si>
    <t>${primary_phone_test} = 0</t>
  </si>
  <si>
    <t>${use_whatsapp} = 1</t>
  </si>
  <si>
    <t>${phone_whatsapp} = 0</t>
  </si>
  <si>
    <t>${phone_whatsapp_confirm} = 0</t>
  </si>
  <si>
    <t>754. Y a-t-il d’autres numéros de téléphone supplémentaires?</t>
  </si>
  <si>
    <t>754. Akwai wasu ƙarin lambobin waya?</t>
  </si>
  <si>
    <t>${primary_other_phone} = 1</t>
  </si>
  <si>
    <t>${primary_other_phones}</t>
  </si>
  <si>
    <t>${secondary_contact1} = 1</t>
  </si>
  <si>
    <t>concat(${secondary_name1_last}, ' ', ${secondary_name1_first})</t>
  </si>
  <si>
    <t>${secondary_phone1_confirm} = 0</t>
  </si>
  <si>
    <t>${secondary_phone1_test} &lt;= 0</t>
  </si>
  <si>
    <t>${secondary_contact2} = 1</t>
  </si>
  <si>
    <t>concat(${secondary_name2_last}, ' ', ${secondary_name2_first})</t>
  </si>
  <si>
    <t>${secondary_phone2_confirm} = 0</t>
  </si>
  <si>
    <t>${secondary_phone2_test} &lt;= 0</t>
  </si>
  <si>
    <t>Il n'est pas obligatoire de faire des commentaires! N'ecrivez pas R.A.S.</t>
  </si>
  <si>
    <t>GPS coordinates can only be collected when outside.</t>
  </si>
  <si>
    <t>Les coordonnées GPS ne peuvent être prises qu'à l'extérieur.</t>
  </si>
</sst>
</file>

<file path=xl/styles.xml><?xml version="1.0" encoding="utf-8"?>
<styleSheet xmlns="http://schemas.openxmlformats.org/spreadsheetml/2006/main" xmlns:x14ac="http://schemas.microsoft.com/office/spreadsheetml/2009/9/ac" xmlns:mc="http://schemas.openxmlformats.org/markup-compatibility/2006">
  <fonts count="44">
    <font>
      <sz val="12.0"/>
      <color rgb="FF000000"/>
      <name val="Calibri"/>
      <scheme val="minor"/>
    </font>
    <font>
      <b/>
      <sz val="10.0"/>
      <color theme="1"/>
      <name val="Fira Code"/>
    </font>
    <font>
      <b/>
      <sz val="12.0"/>
      <color theme="1"/>
      <name val="Calibri"/>
    </font>
    <font>
      <b/>
      <u/>
      <sz val="12.0"/>
      <color rgb="FF000000"/>
      <name val="Calibri"/>
    </font>
    <font>
      <b/>
      <sz val="10.0"/>
      <color rgb="FF000000"/>
      <name val="Fira Code"/>
    </font>
    <font/>
    <font>
      <sz val="12.0"/>
      <color rgb="FF000000"/>
      <name val="Calibri"/>
    </font>
    <font>
      <color theme="1"/>
      <name val="Arial"/>
    </font>
    <font>
      <sz val="12.0"/>
      <color theme="1"/>
      <name val="Calibri"/>
    </font>
    <font>
      <sz val="10.0"/>
      <color theme="1"/>
      <name val="Fira Code"/>
    </font>
    <font>
      <sz val="10.0"/>
      <color rgb="FF000000"/>
      <name val="Fira Code"/>
    </font>
    <font>
      <i/>
      <u/>
      <sz val="12.0"/>
      <color rgb="FF0000D4"/>
      <name val="Calibri"/>
    </font>
    <font>
      <b/>
      <sz val="12.0"/>
      <color rgb="FF000000"/>
      <name val="Calibri"/>
    </font>
    <font>
      <i/>
      <u/>
      <sz val="12.0"/>
      <color rgb="FF0000D4"/>
      <name val="Calibri"/>
    </font>
    <font>
      <i/>
      <u/>
      <sz val="12.0"/>
      <color rgb="FF0000D4"/>
      <name val="Calibri"/>
    </font>
    <font>
      <b/>
      <u/>
      <sz val="12.0"/>
      <color rgb="FF000000"/>
      <name val="Calibri"/>
    </font>
    <font>
      <b/>
      <u/>
      <sz val="12.0"/>
      <color rgb="FF000000"/>
      <name val="Calibri"/>
    </font>
    <font>
      <i/>
      <u/>
      <sz val="12.0"/>
      <color rgb="FF0000D4"/>
      <name val="Calibri"/>
    </font>
    <font>
      <i/>
      <u/>
      <sz val="12.0"/>
      <color rgb="FF0000D4"/>
      <name val="Calibri"/>
    </font>
    <font>
      <u/>
      <sz val="12.0"/>
      <color rgb="FF000000"/>
      <name val="Calibri"/>
    </font>
    <font>
      <u/>
      <sz val="12.0"/>
      <color rgb="FF0000D4"/>
      <name val="Calibri"/>
    </font>
    <font>
      <i/>
      <u/>
      <sz val="12.0"/>
      <color rgb="FF0000D4"/>
      <name val="Calibri"/>
    </font>
    <font>
      <color theme="1"/>
      <name val="Fira Code"/>
    </font>
    <font>
      <i/>
      <u/>
      <sz val="12.0"/>
      <color rgb="FF0000D4"/>
      <name val="Calibri"/>
    </font>
    <font>
      <sz val="10.0"/>
      <color theme="1"/>
      <name val="Calibri"/>
      <scheme val="minor"/>
    </font>
    <font>
      <sz val="10.0"/>
      <color theme="1"/>
      <name val="Calibri"/>
    </font>
    <font>
      <b/>
      <u/>
      <sz val="12.0"/>
      <color rgb="FF000000"/>
      <name val="Calibri"/>
    </font>
    <font>
      <sz val="10.0"/>
      <color rgb="FF000000"/>
      <name val="&quot;Fira Sans&quot;"/>
    </font>
    <font>
      <sz val="10.0"/>
      <color rgb="FF222221"/>
      <name val="Fira Code"/>
    </font>
    <font>
      <sz val="10.0"/>
      <color theme="1"/>
      <name val="&quot;Fira Code&quot;"/>
    </font>
    <font>
      <u/>
      <sz val="12.0"/>
      <color rgb="FF0000D4"/>
      <name val="Calibri"/>
    </font>
    <font>
      <color theme="1"/>
      <name val="Calibri"/>
      <scheme val="minor"/>
    </font>
    <font>
      <u/>
      <sz val="12.0"/>
      <color rgb="FF0000D4"/>
      <name val="Calibri"/>
    </font>
    <font>
      <u/>
      <sz val="12.0"/>
      <color rgb="FF000000"/>
      <name val="Calibri"/>
    </font>
    <font>
      <i/>
      <u/>
      <sz val="12.0"/>
      <color rgb="FF0000D4"/>
      <name val="Calibri"/>
    </font>
    <font>
      <b/>
      <sz val="12.0"/>
      <color rgb="FF333333"/>
      <name val="Calibri"/>
    </font>
    <font>
      <sz val="12.0"/>
      <color rgb="FF333333"/>
      <name val="Calibri"/>
    </font>
    <font>
      <sz val="10.0"/>
      <color rgb="FF000000"/>
      <name val="&quot;Fira Code&quot;"/>
    </font>
    <font>
      <color rgb="FF000000"/>
      <name val="&quot;Fira Code&quot;"/>
    </font>
    <font>
      <sz val="10.0"/>
      <color rgb="FF444746"/>
      <name val="Fira Code"/>
    </font>
    <font>
      <sz val="10.0"/>
      <color rgb="FF000000"/>
      <name val="&quot;docs-Fira Code&quot;"/>
    </font>
    <font>
      <sz val="10.0"/>
      <color rgb="FFE8EAED"/>
      <name val="Roboto"/>
    </font>
    <font>
      <sz val="10.0"/>
      <color rgb="FF000000"/>
      <name val="Arial"/>
    </font>
    <font>
      <sz val="10.0"/>
      <color rgb="FF1F1F1F"/>
      <name val="Fira Code"/>
    </font>
  </fonts>
  <fills count="25">
    <fill>
      <patternFill patternType="none"/>
    </fill>
    <fill>
      <patternFill patternType="lightGray"/>
    </fill>
    <fill>
      <patternFill patternType="solid">
        <fgColor rgb="FFD8D8D8"/>
        <bgColor rgb="FFD8D8D8"/>
      </patternFill>
    </fill>
    <fill>
      <patternFill patternType="solid">
        <fgColor rgb="FFDAEEF3"/>
        <bgColor rgb="FFDAEEF3"/>
      </patternFill>
    </fill>
    <fill>
      <patternFill patternType="solid">
        <fgColor rgb="FFD6E3BC"/>
        <bgColor rgb="FFD6E3BC"/>
      </patternFill>
    </fill>
    <fill>
      <patternFill patternType="solid">
        <fgColor rgb="FFEAF1DD"/>
        <bgColor rgb="FFEAF1DD"/>
      </patternFill>
    </fill>
    <fill>
      <patternFill patternType="solid">
        <fgColor rgb="FFFDE9D9"/>
        <bgColor rgb="FFFDE9D9"/>
      </patternFill>
    </fill>
    <fill>
      <patternFill patternType="solid">
        <fgColor rgb="FFE4E300"/>
        <bgColor rgb="FFE4E300"/>
      </patternFill>
    </fill>
    <fill>
      <patternFill patternType="solid">
        <fgColor rgb="FFFBFB00"/>
        <bgColor rgb="FFFBFB00"/>
      </patternFill>
    </fill>
    <fill>
      <patternFill patternType="solid">
        <fgColor rgb="FFDCC97A"/>
        <bgColor rgb="FFDCC97A"/>
      </patternFill>
    </fill>
    <fill>
      <patternFill patternType="solid">
        <fgColor rgb="FFEEB400"/>
        <bgColor rgb="FFEEB400"/>
      </patternFill>
    </fill>
    <fill>
      <patternFill patternType="solid">
        <fgColor rgb="FFFFD44B"/>
        <bgColor rgb="FFFFD44B"/>
      </patternFill>
    </fill>
    <fill>
      <patternFill patternType="solid">
        <fgColor rgb="FFE7D480"/>
        <bgColor rgb="FFE7D480"/>
      </patternFill>
    </fill>
    <fill>
      <patternFill patternType="solid">
        <fgColor rgb="FFB8CCE4"/>
        <bgColor rgb="FFB8CCE4"/>
      </patternFill>
    </fill>
    <fill>
      <patternFill patternType="solid">
        <fgColor rgb="FFDBE5F1"/>
        <bgColor rgb="FFDBE5F1"/>
      </patternFill>
    </fill>
    <fill>
      <patternFill patternType="solid">
        <fgColor rgb="FFFF9900"/>
        <bgColor rgb="FFFF9900"/>
      </patternFill>
    </fill>
    <fill>
      <patternFill patternType="solid">
        <fgColor rgb="FFFFBB57"/>
        <bgColor rgb="FFFFBB57"/>
      </patternFill>
    </fill>
    <fill>
      <patternFill patternType="solid">
        <fgColor rgb="FFFABF8F"/>
        <bgColor rgb="FFFABF8F"/>
      </patternFill>
    </fill>
    <fill>
      <patternFill patternType="solid">
        <fgColor rgb="FFFBD4B4"/>
        <bgColor rgb="FFFBD4B4"/>
      </patternFill>
    </fill>
    <fill>
      <patternFill patternType="solid">
        <fgColor rgb="FFFFFFFF"/>
        <bgColor rgb="FFFFFFFF"/>
      </patternFill>
    </fill>
    <fill>
      <patternFill patternType="solid">
        <fgColor rgb="FFB2A1C7"/>
        <bgColor rgb="FFB2A1C7"/>
      </patternFill>
    </fill>
    <fill>
      <patternFill patternType="solid">
        <fgColor rgb="FF4685D2"/>
        <bgColor rgb="FF4685D2"/>
      </patternFill>
    </fill>
    <fill>
      <patternFill patternType="solid">
        <fgColor rgb="FF99BCE7"/>
        <bgColor rgb="FF99BCE7"/>
      </patternFill>
    </fill>
    <fill>
      <patternFill patternType="solid">
        <fgColor rgb="FFC4BD97"/>
        <bgColor rgb="FFC4BD97"/>
      </patternFill>
    </fill>
    <fill>
      <patternFill patternType="solid">
        <fgColor rgb="FFE3E0CF"/>
        <bgColor rgb="FFE3E0CF"/>
      </patternFill>
    </fill>
  </fills>
  <borders count="51">
    <border/>
    <border>
      <left style="thin">
        <color rgb="FFBFBFBF"/>
      </left>
      <right style="thin">
        <color rgb="FFBFBFBF"/>
      </right>
      <top style="thin">
        <color rgb="FFBFBFBF"/>
      </top>
      <bottom style="thin">
        <color rgb="FF000000"/>
      </bottom>
    </border>
    <border>
      <left style="thin">
        <color rgb="FFBFBFBF"/>
      </left>
      <right style="thin">
        <color rgb="FFBFBFBF"/>
      </right>
      <top style="thin">
        <color rgb="FFBFBFBF"/>
      </top>
      <bottom style="thin">
        <color rgb="FFBFBFBF"/>
      </bottom>
    </border>
    <border>
      <left style="thin">
        <color rgb="FF000000"/>
      </left>
      <top style="thin">
        <color rgb="FF000000"/>
      </top>
      <bottom/>
    </border>
    <border>
      <right style="thin">
        <color rgb="FFBFBFBF"/>
      </right>
      <top style="thin">
        <color rgb="FFBFBFBF"/>
      </top>
      <bottom style="thin">
        <color rgb="FFBFBFBF"/>
      </bottom>
    </border>
    <border>
      <right style="thin">
        <color rgb="FF000000"/>
      </right>
      <top style="thin">
        <color rgb="FF000000"/>
      </top>
      <bottom/>
    </border>
    <border>
      <right style="thin">
        <color rgb="FFBFBFBF"/>
      </right>
      <top style="thin">
        <color rgb="FFBFBFBF"/>
      </top>
      <bottom style="thin">
        <color rgb="FF000000"/>
      </bottom>
    </border>
    <border>
      <left style="thin">
        <color rgb="FFBFBFBF"/>
      </left>
      <bottom style="thin">
        <color rgb="FF000000"/>
      </bottom>
    </border>
    <border>
      <bottom style="thin">
        <color rgb="FF000000"/>
      </bottom>
    </border>
    <border>
      <left style="thin">
        <color rgb="FFBFBFBF"/>
      </left>
      <right style="thin">
        <color rgb="FFBFBFBF"/>
      </right>
      <bottom style="thin">
        <color rgb="FFBFBFBF"/>
      </bottom>
    </border>
    <border>
      <right style="thin">
        <color rgb="FFBFBFBF"/>
      </right>
      <bottom style="thin">
        <color rgb="FFBFBFBF"/>
      </bottom>
    </border>
    <border>
      <left style="thin">
        <color rgb="FF000000"/>
      </left>
      <top/>
      <bottom/>
    </border>
    <border>
      <right style="thin">
        <color rgb="FF000000"/>
      </right>
      <top/>
      <bottom/>
    </border>
    <border>
      <left style="thin">
        <color rgb="FFBFBFBF"/>
      </left>
      <right style="thin">
        <color rgb="FFBFBFBF"/>
      </right>
      <bottom style="thin">
        <color rgb="FF000000"/>
      </bottom>
    </border>
    <border>
      <right style="thin">
        <color rgb="FFBFBFBF"/>
      </right>
      <bottom style="thin">
        <color rgb="FF000000"/>
      </bottom>
    </border>
    <border>
      <left style="thin">
        <color rgb="FF000000"/>
      </left>
      <top/>
      <bottom style="thin">
        <color rgb="FF000000"/>
      </bottom>
    </border>
    <border>
      <right style="thin">
        <color rgb="FF000000"/>
      </right>
      <top/>
      <bottom style="thin">
        <color rgb="FF000000"/>
      </bottom>
    </border>
    <border>
      <left style="thin">
        <color rgb="FFBFBFBF"/>
      </left>
      <right style="thin">
        <color rgb="FFBFBFBF"/>
      </right>
      <top style="thin">
        <color rgb="FF000000"/>
      </top>
      <bottom style="thin">
        <color rgb="FFBFBFBF"/>
      </bottom>
    </border>
    <border>
      <right style="thin">
        <color rgb="FFBFBFBF"/>
      </right>
      <top style="thin">
        <color rgb="FF000000"/>
      </top>
      <bottom style="thin">
        <color rgb="FFBFBFBF"/>
      </bottom>
    </border>
    <border>
      <right style="thin">
        <color rgb="FF000000"/>
      </right>
      <top style="thin">
        <color rgb="FF000000"/>
      </top>
      <bottom style="thin">
        <color rgb="FF000000"/>
      </bottom>
    </border>
    <border>
      <top style="thin">
        <color rgb="FF000000"/>
      </top>
    </border>
    <border>
      <left style="thin">
        <color rgb="FF7F7F7F"/>
      </left>
      <right style="thin">
        <color rgb="FF7F7F7F"/>
      </right>
      <top style="thin">
        <color rgb="FF7F7F7F"/>
      </top>
      <bottom/>
    </border>
    <border>
      <right style="thin">
        <color rgb="FF000000"/>
      </right>
      <bottom style="thin">
        <color rgb="FFBFBFBF"/>
      </bottom>
    </border>
    <border>
      <right style="thin">
        <color rgb="FF000000"/>
      </right>
      <bottom style="thin">
        <color rgb="FF000000"/>
      </bottom>
    </border>
    <border>
      <left/>
      <right/>
      <top/>
      <bottom/>
    </border>
    <border>
      <left style="thin">
        <color rgb="FF000000"/>
      </left>
      <right style="thin">
        <color rgb="FF000000"/>
      </right>
      <top style="thin">
        <color rgb="FF000000"/>
      </top>
      <bottom style="thin">
        <color rgb="FF000000"/>
      </bottom>
    </border>
    <border>
      <left style="thin">
        <color rgb="FF000000"/>
      </left>
      <right/>
      <top/>
      <bottom/>
    </border>
    <border>
      <left/>
      <right style="thin">
        <color rgb="FF000000"/>
      </right>
      <top/>
      <bottom/>
    </border>
    <border>
      <bottom style="thin">
        <color rgb="FFBFBFBF"/>
      </bottom>
    </border>
    <border>
      <left style="thin">
        <color rgb="FF7F7F7F"/>
      </left>
      <top style="thin">
        <color rgb="FF7F7F7F"/>
      </top>
      <bottom style="thin">
        <color rgb="FF7F7F7F"/>
      </bottom>
    </border>
    <border>
      <right style="thin">
        <color rgb="FF7F7F7F"/>
      </right>
      <top style="thin">
        <color rgb="FF7F7F7F"/>
      </top>
      <bottom style="thin">
        <color rgb="FF7F7F7F"/>
      </bottom>
    </border>
    <border>
      <left style="thin">
        <color rgb="FF7F7F7F"/>
      </left>
      <right style="thin">
        <color rgb="FF7F7F7F"/>
      </right>
      <top style="thin">
        <color rgb="FF7F7F7F"/>
      </top>
      <bottom style="thin">
        <color rgb="FF7F7F7F"/>
      </bottom>
    </border>
    <border>
      <right style="thin">
        <color rgb="FFBFBFBF"/>
      </right>
    </border>
    <border>
      <right style="thin">
        <color rgb="FF000000"/>
      </right>
      <top style="thin">
        <color rgb="FF000000"/>
      </top>
      <bottom style="thin">
        <color rgb="FFBFBFBF"/>
      </bottom>
    </border>
    <border>
      <left style="thin">
        <color rgb="FF7F7F7F"/>
      </left>
      <top style="thin">
        <color rgb="FF7F7F7F"/>
      </top>
      <bottom/>
    </border>
    <border>
      <right style="thin">
        <color rgb="FF7F7F7F"/>
      </right>
      <top style="thin">
        <color rgb="FF7F7F7F"/>
      </top>
      <bottom/>
    </border>
    <border>
      <left style="thin">
        <color rgb="FF7F7F7F"/>
      </left>
      <top/>
      <bottom/>
    </border>
    <border>
      <right style="thin">
        <color rgb="FF7F7F7F"/>
      </right>
      <top/>
      <bottom/>
    </border>
    <border>
      <left style="thin">
        <color rgb="FF7F7F7F"/>
      </left>
      <top/>
      <bottom style="thin">
        <color rgb="FF7F7F7F"/>
      </bottom>
    </border>
    <border>
      <right style="thin">
        <color rgb="FF7F7F7F"/>
      </right>
      <top/>
      <bottom style="thin">
        <color rgb="FF7F7F7F"/>
      </bottom>
    </border>
    <border>
      <left style="thin">
        <color rgb="FF808080"/>
      </left>
      <right style="thin">
        <color rgb="FF808080"/>
      </right>
      <top style="thin">
        <color rgb="FF808080"/>
      </top>
      <bottom style="thin">
        <color rgb="FF808080"/>
      </bottom>
    </border>
    <border>
      <top style="thin">
        <color rgb="FF000000"/>
      </top>
      <bottom style="thin">
        <color rgb="FFBFBFBF"/>
      </bottom>
    </border>
    <border>
      <left style="thin">
        <color rgb="FFBFBFBF"/>
      </left>
      <right style="thin">
        <color rgb="FFBFBFBF"/>
      </right>
      <top style="thin">
        <color rgb="FF000000"/>
      </top>
      <bottom style="thin">
        <color rgb="FF000000"/>
      </bottom>
    </border>
    <border>
      <right style="thin">
        <color rgb="FFBFBFBF"/>
      </right>
      <top style="thin">
        <color rgb="FF000000"/>
      </top>
      <bottom style="thin">
        <color rgb="FF000000"/>
      </bottom>
    </border>
    <border>
      <top style="thin">
        <color rgb="FF000000"/>
      </top>
      <bottom style="thin">
        <color rgb="FF000000"/>
      </bottom>
    </border>
    <border>
      <left style="thin">
        <color rgb="FF000000"/>
      </left>
      <top style="thin">
        <color rgb="FF000000"/>
      </top>
      <bottom style="thin">
        <color rgb="FF000000"/>
      </bottom>
    </border>
    <border>
      <left style="thin">
        <color rgb="FF7F7F7F"/>
      </left>
      <right style="thin">
        <color rgb="FF7F7F7F"/>
      </right>
      <top style="thin">
        <color rgb="FF7F7F7F"/>
      </top>
      <bottom style="thin">
        <color rgb="FF000000"/>
      </bottom>
    </border>
    <border>
      <right style="thin">
        <color rgb="FF000000"/>
      </right>
    </border>
    <border>
      <left style="thin">
        <color rgb="FFBFBFBF"/>
      </left>
      <right style="thin">
        <color rgb="FFBFBFBF"/>
      </right>
      <top style="thin">
        <color rgb="FF000000"/>
      </top>
    </border>
    <border>
      <right style="thin">
        <color rgb="FFBFBFBF"/>
      </right>
      <top style="thin">
        <color rgb="FF000000"/>
      </top>
    </border>
    <border>
      <left style="thin">
        <color rgb="FFBFBFBF"/>
      </left>
      <right style="thin">
        <color rgb="FFBFBFBF"/>
      </right>
    </border>
  </borders>
  <cellStyleXfs count="1">
    <xf borderId="0" fillId="0" fontId="0" numFmtId="0" applyAlignment="1" applyFont="1"/>
  </cellStyleXfs>
  <cellXfs count="398">
    <xf borderId="0" fillId="0" fontId="0" numFmtId="0" xfId="0" applyAlignment="1" applyFont="1">
      <alignment readingOrder="0" shrinkToFit="0" vertical="bottom" wrapText="0"/>
    </xf>
    <xf borderId="1" fillId="0" fontId="1" numFmtId="0" xfId="0" applyAlignment="1" applyBorder="1" applyFont="1">
      <alignment vertical="bottom"/>
    </xf>
    <xf borderId="2" fillId="2" fontId="2" numFmtId="0" xfId="0" applyAlignment="1" applyBorder="1" applyFill="1" applyFont="1">
      <alignment vertical="bottom"/>
    </xf>
    <xf borderId="3" fillId="3" fontId="3" numFmtId="0" xfId="0" applyAlignment="1" applyBorder="1" applyFill="1" applyFont="1">
      <alignment horizontal="left" shrinkToFit="0" vertical="center" wrapText="1"/>
    </xf>
    <xf borderId="0" fillId="2" fontId="4" numFmtId="0" xfId="0" applyAlignment="1" applyFont="1">
      <alignment readingOrder="0" shrinkToFit="0" wrapText="1"/>
    </xf>
    <xf borderId="4" fillId="2" fontId="2" numFmtId="0" xfId="0" applyAlignment="1" applyBorder="1" applyFont="1">
      <alignment vertical="bottom"/>
    </xf>
    <xf borderId="5" fillId="0" fontId="5" numFmtId="0" xfId="0" applyBorder="1" applyFont="1"/>
    <xf borderId="0" fillId="2" fontId="4" numFmtId="0" xfId="0" applyAlignment="1" applyFont="1">
      <alignment shrinkToFit="0" wrapText="1"/>
    </xf>
    <xf borderId="4" fillId="2" fontId="2" numFmtId="49" xfId="0" applyAlignment="1" applyBorder="1" applyFont="1" applyNumberFormat="1">
      <alignment shrinkToFit="0" vertical="bottom" wrapText="1"/>
    </xf>
    <xf borderId="0" fillId="0" fontId="6" numFmtId="0" xfId="0" applyAlignment="1" applyFont="1">
      <alignment shrinkToFit="0" wrapText="1"/>
    </xf>
    <xf borderId="6" fillId="0" fontId="1" numFmtId="0" xfId="0" applyAlignment="1" applyBorder="1" applyFont="1">
      <alignment vertical="bottom"/>
    </xf>
    <xf borderId="0" fillId="0" fontId="6" numFmtId="0" xfId="0" applyFont="1"/>
    <xf borderId="4" fillId="2" fontId="2" numFmtId="0" xfId="0" applyAlignment="1" applyBorder="1" applyFont="1">
      <alignment shrinkToFit="0" vertical="bottom" wrapText="1"/>
    </xf>
    <xf borderId="6" fillId="0" fontId="1" numFmtId="49" xfId="0" applyAlignment="1" applyBorder="1" applyFont="1" applyNumberFormat="1">
      <alignment shrinkToFit="0" vertical="bottom" wrapText="1"/>
    </xf>
    <xf borderId="0" fillId="2" fontId="7" numFmtId="0" xfId="0" applyAlignment="1" applyFont="1">
      <alignment vertical="bottom"/>
    </xf>
    <xf borderId="6" fillId="0" fontId="1" numFmtId="0" xfId="0" applyAlignment="1" applyBorder="1" applyFont="1">
      <alignment vertical="bottom"/>
    </xf>
    <xf borderId="7" fillId="0" fontId="1" numFmtId="0" xfId="0" applyAlignment="1" applyBorder="1" applyFont="1">
      <alignment vertical="bottom"/>
    </xf>
    <xf borderId="8" fillId="0" fontId="1" numFmtId="0" xfId="0" applyAlignment="1" applyBorder="1" applyFont="1">
      <alignment vertical="bottom"/>
    </xf>
    <xf borderId="9" fillId="0" fontId="8" numFmtId="0" xfId="0" applyAlignment="1" applyBorder="1" applyFont="1">
      <alignment readingOrder="0" vertical="bottom"/>
    </xf>
    <xf borderId="8" fillId="0" fontId="9" numFmtId="0" xfId="0" applyAlignment="1" applyBorder="1" applyFont="1">
      <alignment vertical="bottom"/>
    </xf>
    <xf borderId="10" fillId="0" fontId="8" numFmtId="0" xfId="0" applyAlignment="1" applyBorder="1" applyFont="1">
      <alignment readingOrder="0" vertical="bottom"/>
    </xf>
    <xf borderId="11" fillId="3" fontId="6" numFmtId="0" xfId="0" applyAlignment="1" applyBorder="1" applyFont="1">
      <alignment horizontal="center" shrinkToFit="0" vertical="center" wrapText="1"/>
    </xf>
    <xf borderId="12" fillId="0" fontId="5" numFmtId="0" xfId="0" applyBorder="1" applyFont="1"/>
    <xf borderId="9" fillId="0" fontId="9" numFmtId="0" xfId="0" applyAlignment="1" applyBorder="1" applyFont="1">
      <alignment vertical="bottom"/>
    </xf>
    <xf borderId="0" fillId="0" fontId="10" numFmtId="0" xfId="0" applyAlignment="1" applyFont="1">
      <alignment shrinkToFit="0" wrapText="1"/>
    </xf>
    <xf borderId="10" fillId="0" fontId="9" numFmtId="0" xfId="0" applyAlignment="1" applyBorder="1" applyFont="1">
      <alignment horizontal="right" vertical="bottom"/>
    </xf>
    <xf borderId="11" fillId="3" fontId="6" numFmtId="0" xfId="0" applyAlignment="1" applyBorder="1" applyFont="1">
      <alignment horizontal="left" shrinkToFit="0" vertical="center" wrapText="1"/>
    </xf>
    <xf borderId="10" fillId="0" fontId="8" numFmtId="0" xfId="0" applyAlignment="1" applyBorder="1" applyFont="1">
      <alignment vertical="bottom"/>
    </xf>
    <xf borderId="0" fillId="0" fontId="10" numFmtId="49" xfId="0" applyAlignment="1" applyFont="1" applyNumberFormat="1">
      <alignment shrinkToFit="0" wrapText="1"/>
    </xf>
    <xf borderId="10" fillId="0" fontId="9" numFmtId="0" xfId="0" applyAlignment="1" applyBorder="1" applyFont="1">
      <alignment vertical="bottom"/>
    </xf>
    <xf borderId="10" fillId="0" fontId="7" numFmtId="0" xfId="0" applyAlignment="1" applyBorder="1" applyFont="1">
      <alignment vertical="bottom"/>
    </xf>
    <xf borderId="10" fillId="0" fontId="9" numFmtId="0" xfId="0" applyAlignment="1" applyBorder="1" applyFont="1">
      <alignment vertical="bottom"/>
    </xf>
    <xf borderId="0" fillId="0" fontId="7" numFmtId="0" xfId="0" applyAlignment="1" applyFont="1">
      <alignment vertical="bottom"/>
    </xf>
    <xf borderId="0" fillId="0" fontId="9" numFmtId="0" xfId="0" applyAlignment="1" applyFont="1">
      <alignment vertical="bottom"/>
    </xf>
    <xf borderId="13" fillId="0" fontId="9" numFmtId="0" xfId="0" applyAlignment="1" applyBorder="1" applyFont="1">
      <alignment vertical="bottom"/>
    </xf>
    <xf borderId="14" fillId="0" fontId="9" numFmtId="0" xfId="0" applyAlignment="1" applyBorder="1" applyFont="1">
      <alignment horizontal="right" vertical="bottom"/>
    </xf>
    <xf borderId="14" fillId="0" fontId="9" numFmtId="0" xfId="0" applyAlignment="1" applyBorder="1" applyFont="1">
      <alignment vertical="bottom"/>
    </xf>
    <xf borderId="14" fillId="0" fontId="9" numFmtId="0" xfId="0" applyAlignment="1" applyBorder="1" applyFont="1">
      <alignment vertical="bottom"/>
    </xf>
    <xf borderId="15" fillId="3" fontId="11" numFmtId="0" xfId="0" applyAlignment="1" applyBorder="1" applyFont="1">
      <alignment horizontal="left" shrinkToFit="0" vertical="top" wrapText="1"/>
    </xf>
    <xf borderId="16" fillId="0" fontId="5" numFmtId="0" xfId="0" applyBorder="1" applyFont="1"/>
    <xf borderId="17" fillId="0" fontId="9" numFmtId="0" xfId="0" applyAlignment="1" applyBorder="1" applyFont="1">
      <alignment vertical="bottom"/>
    </xf>
    <xf borderId="18" fillId="0" fontId="9" numFmtId="0" xfId="0" applyAlignment="1" applyBorder="1" applyFont="1">
      <alignment horizontal="right" readingOrder="0" vertical="bottom"/>
    </xf>
    <xf borderId="18" fillId="0" fontId="9" numFmtId="0" xfId="0" applyAlignment="1" applyBorder="1" applyFont="1">
      <alignment readingOrder="0" vertical="bottom"/>
    </xf>
    <xf borderId="19" fillId="0" fontId="9" numFmtId="0" xfId="0" applyAlignment="1" applyBorder="1" applyFont="1">
      <alignment readingOrder="0" vertical="bottom"/>
    </xf>
    <xf borderId="20" fillId="0" fontId="9" numFmtId="0" xfId="0" applyAlignment="1" applyBorder="1" applyFont="1">
      <alignment vertical="bottom"/>
    </xf>
    <xf borderId="20" fillId="0" fontId="9" numFmtId="0" xfId="0" applyAlignment="1" applyBorder="1" applyFont="1">
      <alignment readingOrder="0" vertical="bottom"/>
    </xf>
    <xf borderId="21" fillId="2" fontId="12" numFmtId="0" xfId="0" applyBorder="1" applyFont="1"/>
    <xf borderId="21" fillId="2" fontId="12" numFmtId="0" xfId="0" applyAlignment="1" applyBorder="1" applyFont="1">
      <alignment shrinkToFit="0" wrapText="1"/>
    </xf>
    <xf borderId="21" fillId="2" fontId="2" numFmtId="0" xfId="0" applyAlignment="1" applyBorder="1" applyFont="1">
      <alignment shrinkToFit="0" wrapText="1"/>
    </xf>
    <xf borderId="10" fillId="0" fontId="9" numFmtId="0" xfId="0" applyAlignment="1" applyBorder="1" applyFont="1">
      <alignment horizontal="right" readingOrder="0" vertical="bottom"/>
    </xf>
    <xf borderId="22" fillId="0" fontId="9" numFmtId="0" xfId="0" applyAlignment="1" applyBorder="1" applyFont="1">
      <alignment readingOrder="0" vertical="bottom"/>
    </xf>
    <xf borderId="23" fillId="0" fontId="9" numFmtId="0" xfId="0" applyAlignment="1" applyBorder="1" applyFont="1">
      <alignment readingOrder="0" vertical="bottom"/>
    </xf>
    <xf borderId="0" fillId="0" fontId="9" numFmtId="0" xfId="0" applyAlignment="1" applyFont="1">
      <alignment readingOrder="0" vertical="bottom"/>
    </xf>
    <xf borderId="24" fillId="2" fontId="12" numFmtId="0" xfId="0" applyBorder="1" applyFont="1"/>
    <xf borderId="25" fillId="3" fontId="6" numFmtId="0" xfId="0" applyAlignment="1" applyBorder="1" applyFont="1">
      <alignment horizontal="left" shrinkToFit="0" vertical="top" wrapText="1"/>
    </xf>
    <xf borderId="22" fillId="0" fontId="9" numFmtId="0" xfId="0" applyAlignment="1" applyBorder="1" applyFont="1">
      <alignment vertical="bottom"/>
    </xf>
    <xf borderId="23" fillId="0" fontId="9" numFmtId="0" xfId="0" applyAlignment="1" applyBorder="1" applyFont="1">
      <alignment vertical="bottom"/>
    </xf>
    <xf borderId="24" fillId="3" fontId="6" numFmtId="0" xfId="0" applyAlignment="1" applyBorder="1" applyFont="1">
      <alignment shrinkToFit="0" vertical="top" wrapText="1"/>
    </xf>
    <xf borderId="0" fillId="0" fontId="10" numFmtId="0" xfId="0" applyAlignment="1" applyFont="1">
      <alignment readingOrder="0" shrinkToFit="0" wrapText="1"/>
    </xf>
    <xf borderId="24" fillId="3" fontId="6" numFmtId="0" xfId="0" applyAlignment="1" applyBorder="1" applyFont="1">
      <alignment horizontal="left" shrinkToFit="0" vertical="top" wrapText="1"/>
    </xf>
    <xf borderId="25" fillId="3" fontId="6" numFmtId="0" xfId="0" applyAlignment="1" applyBorder="1" applyFont="1">
      <alignment vertical="top"/>
    </xf>
    <xf borderId="25" fillId="3" fontId="6" numFmtId="0" xfId="0" applyAlignment="1" applyBorder="1" applyFont="1">
      <alignment shrinkToFit="0" vertical="top" wrapText="1"/>
    </xf>
    <xf borderId="25" fillId="3" fontId="13" numFmtId="0" xfId="0" applyAlignment="1" applyBorder="1" applyFont="1">
      <alignment vertical="top"/>
    </xf>
    <xf borderId="13" fillId="0" fontId="9" numFmtId="0" xfId="0" applyAlignment="1" applyBorder="1" applyFont="1">
      <alignment vertical="bottom"/>
    </xf>
    <xf borderId="25" fillId="3" fontId="14" numFmtId="0" xfId="0" applyAlignment="1" applyBorder="1" applyFont="1">
      <alignment shrinkToFit="0" vertical="top" wrapText="1"/>
    </xf>
    <xf borderId="0" fillId="4" fontId="9" numFmtId="0" xfId="0" applyAlignment="1" applyFill="1" applyFont="1">
      <alignment readingOrder="0" shrinkToFit="0" vertical="bottom" wrapText="1"/>
    </xf>
    <xf borderId="0" fillId="5" fontId="9" numFmtId="0" xfId="0" applyAlignment="1" applyFill="1" applyFont="1">
      <alignment readingOrder="0" shrinkToFit="0" vertical="bottom" wrapText="1"/>
    </xf>
    <xf borderId="0" fillId="4" fontId="9" numFmtId="0" xfId="0" applyAlignment="1" applyFont="1">
      <alignment shrinkToFit="0" vertical="bottom" wrapText="1"/>
    </xf>
    <xf borderId="0" fillId="4" fontId="9" numFmtId="0" xfId="0" applyAlignment="1" applyFont="1">
      <alignment shrinkToFit="0" vertical="bottom" wrapText="1"/>
    </xf>
    <xf borderId="0" fillId="5" fontId="9" numFmtId="0" xfId="0" applyAlignment="1" applyFont="1">
      <alignment shrinkToFit="0" vertical="bottom" wrapText="1"/>
    </xf>
    <xf borderId="0" fillId="0" fontId="9" numFmtId="0" xfId="0" applyAlignment="1" applyFont="1">
      <alignment shrinkToFit="0" vertical="bottom" wrapText="1"/>
    </xf>
    <xf borderId="8" fillId="0" fontId="9" numFmtId="0" xfId="0" applyAlignment="1" applyBorder="1" applyFont="1">
      <alignment shrinkToFit="0" vertical="bottom" wrapText="0"/>
    </xf>
    <xf borderId="26" fillId="3" fontId="15" numFmtId="0" xfId="0" applyAlignment="1" applyBorder="1" applyFont="1">
      <alignment horizontal="left" shrinkToFit="0" vertical="center" wrapText="1"/>
    </xf>
    <xf borderId="27" fillId="3" fontId="16" numFmtId="0" xfId="0" applyAlignment="1" applyBorder="1" applyFont="1">
      <alignment horizontal="left" shrinkToFit="0" vertical="center" wrapText="1"/>
    </xf>
    <xf borderId="11" fillId="3" fontId="17" numFmtId="0" xfId="0" applyAlignment="1" applyBorder="1" applyFont="1">
      <alignment horizontal="left" shrinkToFit="0" vertical="top" wrapText="1"/>
    </xf>
    <xf borderId="9" fillId="0" fontId="9" numFmtId="0" xfId="0" applyAlignment="1" applyBorder="1" applyFont="1">
      <alignment vertical="bottom"/>
    </xf>
    <xf borderId="10" fillId="0" fontId="9" numFmtId="0" xfId="0" applyAlignment="1" applyBorder="1" applyFont="1">
      <alignment horizontal="right" vertical="bottom"/>
    </xf>
    <xf borderId="25" fillId="3" fontId="18" numFmtId="49" xfId="0" applyAlignment="1" applyBorder="1" applyFont="1" applyNumberFormat="1">
      <alignment shrinkToFit="0" vertical="top" wrapText="1"/>
    </xf>
    <xf borderId="28" fillId="0" fontId="9" numFmtId="0" xfId="0" applyAlignment="1" applyBorder="1" applyFont="1">
      <alignment shrinkToFit="0" vertical="bottom" wrapText="0"/>
    </xf>
    <xf borderId="0" fillId="0" fontId="9" numFmtId="0" xfId="0" applyAlignment="1" applyFont="1">
      <alignment horizontal="right" vertical="bottom"/>
    </xf>
    <xf borderId="29" fillId="6" fontId="19" numFmtId="0" xfId="0" applyAlignment="1" applyBorder="1" applyFill="1" applyFont="1">
      <alignment horizontal="left"/>
    </xf>
    <xf borderId="30" fillId="0" fontId="5" numFmtId="0" xfId="0" applyBorder="1" applyFont="1"/>
    <xf borderId="31" fillId="6" fontId="6" numFmtId="0" xfId="0" applyAlignment="1" applyBorder="1" applyFont="1">
      <alignment shrinkToFit="0" wrapText="1"/>
    </xf>
    <xf borderId="2" fillId="2" fontId="12" numFmtId="0" xfId="0" applyBorder="1" applyFont="1"/>
    <xf borderId="31" fillId="6" fontId="6" numFmtId="0" xfId="0" applyBorder="1" applyFont="1"/>
    <xf borderId="32" fillId="0" fontId="9" numFmtId="0" xfId="0" applyAlignment="1" applyBorder="1" applyFont="1">
      <alignment horizontal="right" readingOrder="0" vertical="bottom"/>
    </xf>
    <xf borderId="2" fillId="2" fontId="12" numFmtId="0" xfId="0" applyAlignment="1" applyBorder="1" applyFont="1">
      <alignment shrinkToFit="0" wrapText="1"/>
    </xf>
    <xf borderId="10" fillId="0" fontId="9" numFmtId="0" xfId="0" applyAlignment="1" applyBorder="1" applyFont="1">
      <alignment readingOrder="0" vertical="bottom"/>
    </xf>
    <xf borderId="32" fillId="0" fontId="9" numFmtId="0" xfId="0" applyAlignment="1" applyBorder="1" applyFont="1">
      <alignment vertical="bottom"/>
    </xf>
    <xf borderId="0" fillId="0" fontId="9" numFmtId="0" xfId="0" applyAlignment="1" applyFont="1">
      <alignment horizontal="right" readingOrder="0" vertical="bottom"/>
    </xf>
    <xf borderId="0" fillId="7" fontId="9" numFmtId="0" xfId="0" applyAlignment="1" applyFill="1" applyFont="1">
      <alignment shrinkToFit="0" vertical="bottom" wrapText="1"/>
    </xf>
    <xf borderId="24" fillId="6" fontId="6" numFmtId="0" xfId="0" applyBorder="1" applyFont="1"/>
    <xf borderId="0" fillId="8" fontId="9" numFmtId="49" xfId="0" applyAlignment="1" applyFill="1" applyFont="1" applyNumberFormat="1">
      <alignment shrinkToFit="0" vertical="bottom" wrapText="1"/>
    </xf>
    <xf borderId="21" fillId="3" fontId="6" numFmtId="0" xfId="0" applyAlignment="1" applyBorder="1" applyFont="1">
      <alignment horizontal="left" shrinkToFit="0" vertical="top" wrapText="1"/>
    </xf>
    <xf borderId="14" fillId="0" fontId="9" numFmtId="0" xfId="0" applyAlignment="1" applyBorder="1" applyFont="1">
      <alignment horizontal="right" vertical="bottom"/>
    </xf>
    <xf borderId="8" fillId="0" fontId="9" numFmtId="0" xfId="0" applyAlignment="1" applyBorder="1" applyFont="1">
      <alignment vertical="bottom"/>
    </xf>
    <xf borderId="0" fillId="7" fontId="9" numFmtId="0" xfId="0" applyAlignment="1" applyFont="1">
      <alignment shrinkToFit="0" vertical="bottom" wrapText="1"/>
    </xf>
    <xf borderId="8" fillId="0" fontId="9" numFmtId="0" xfId="0" applyAlignment="1" applyBorder="1" applyFont="1">
      <alignment horizontal="right" vertical="bottom"/>
    </xf>
    <xf borderId="21" fillId="3" fontId="6" numFmtId="0" xfId="0" applyAlignment="1" applyBorder="1" applyFont="1">
      <alignment vertical="top"/>
    </xf>
    <xf borderId="31" fillId="6" fontId="20" numFmtId="0" xfId="0" applyAlignment="1" applyBorder="1" applyFont="1">
      <alignment horizontal="left" vertical="top"/>
    </xf>
    <xf borderId="0" fillId="0" fontId="9" numFmtId="0" xfId="0" applyAlignment="1" applyFont="1">
      <alignment vertical="bottom"/>
    </xf>
    <xf borderId="25" fillId="3" fontId="6" numFmtId="0" xfId="0" applyAlignment="1" applyBorder="1" applyFont="1">
      <alignment horizontal="left" vertical="top"/>
    </xf>
    <xf borderId="0" fillId="0" fontId="9" numFmtId="0" xfId="0" applyAlignment="1" applyFont="1">
      <alignment horizontal="right" vertical="bottom"/>
    </xf>
    <xf borderId="31" fillId="6" fontId="6" numFmtId="0" xfId="0" applyAlignment="1" applyBorder="1" applyFont="1">
      <alignment horizontal="left" vertical="top"/>
    </xf>
    <xf borderId="31" fillId="6" fontId="6" numFmtId="0" xfId="0" applyAlignment="1" applyBorder="1" applyFont="1">
      <alignment horizontal="left" shrinkToFit="0" vertical="top" wrapText="1"/>
    </xf>
    <xf borderId="0" fillId="0" fontId="10" numFmtId="0" xfId="0" applyAlignment="1" applyFont="1">
      <alignment horizontal="left" readingOrder="0"/>
    </xf>
    <xf borderId="25" fillId="3" fontId="21" numFmtId="0" xfId="0" applyAlignment="1" applyBorder="1" applyFont="1">
      <alignment horizontal="left" vertical="top"/>
    </xf>
    <xf borderId="20" fillId="0" fontId="22" numFmtId="0" xfId="0" applyAlignment="1" applyBorder="1" applyFont="1">
      <alignment vertical="bottom"/>
    </xf>
    <xf borderId="25" fillId="3" fontId="23" numFmtId="0" xfId="0" applyAlignment="1" applyBorder="1" applyFont="1">
      <alignment horizontal="left" shrinkToFit="0" vertical="top" wrapText="1"/>
    </xf>
    <xf borderId="0" fillId="0" fontId="22" numFmtId="0" xfId="0" applyAlignment="1" applyFont="1">
      <alignment vertical="bottom"/>
    </xf>
    <xf borderId="17" fillId="0" fontId="9" numFmtId="0" xfId="0" applyAlignment="1" applyBorder="1" applyFont="1">
      <alignment vertical="bottom"/>
    </xf>
    <xf borderId="18" fillId="0" fontId="9" numFmtId="0" xfId="0" applyAlignment="1" applyBorder="1" applyFont="1">
      <alignment horizontal="right" vertical="bottom"/>
    </xf>
    <xf borderId="33" fillId="0" fontId="9" numFmtId="0" xfId="0" applyAlignment="1" applyBorder="1" applyFont="1">
      <alignment vertical="bottom"/>
    </xf>
    <xf borderId="19" fillId="0" fontId="9" numFmtId="0" xfId="0" applyAlignment="1" applyBorder="1" applyFont="1">
      <alignment vertical="bottom"/>
    </xf>
    <xf borderId="18" fillId="0" fontId="9" numFmtId="0" xfId="0" applyAlignment="1" applyBorder="1" applyFont="1">
      <alignment vertical="bottom"/>
    </xf>
    <xf borderId="23" fillId="0" fontId="9" numFmtId="0" xfId="0" applyAlignment="1" applyBorder="1" applyFont="1">
      <alignment vertical="bottom"/>
    </xf>
    <xf borderId="18" fillId="0" fontId="9" numFmtId="0" xfId="0" applyAlignment="1" applyBorder="1" applyFont="1">
      <alignment vertical="bottom"/>
    </xf>
    <xf borderId="0" fillId="0" fontId="10" numFmtId="0" xfId="0" applyAlignment="1" applyFont="1">
      <alignment horizontal="left" readingOrder="0" shrinkToFit="0" vertical="bottom" wrapText="1"/>
    </xf>
    <xf borderId="0" fillId="0" fontId="24" numFmtId="0" xfId="0" applyFont="1"/>
    <xf borderId="0" fillId="8" fontId="9" numFmtId="0" xfId="0" applyAlignment="1" applyFont="1">
      <alignment readingOrder="0" shrinkToFit="0" vertical="bottom" wrapText="1"/>
    </xf>
    <xf borderId="0" fillId="7" fontId="25" numFmtId="0" xfId="0" applyAlignment="1" applyFont="1">
      <alignment vertical="bottom"/>
    </xf>
    <xf borderId="0" fillId="0" fontId="25" numFmtId="0" xfId="0" applyAlignment="1" applyFont="1">
      <alignment vertical="bottom"/>
    </xf>
    <xf borderId="34" fillId="3" fontId="26" numFmtId="0" xfId="0" applyAlignment="1" applyBorder="1" applyFont="1">
      <alignment horizontal="left" shrinkToFit="0" vertical="center" wrapText="1"/>
    </xf>
    <xf borderId="0" fillId="9" fontId="9" numFmtId="0" xfId="0" applyAlignment="1" applyFill="1" applyFont="1">
      <alignment readingOrder="0" shrinkToFit="0" vertical="bottom" wrapText="1"/>
    </xf>
    <xf borderId="35" fillId="0" fontId="5" numFmtId="0" xfId="0" applyBorder="1" applyFont="1"/>
    <xf borderId="0" fillId="0" fontId="6" numFmtId="0" xfId="0" applyAlignment="1" applyFont="1">
      <alignment horizontal="left" shrinkToFit="0" vertical="center" wrapText="1"/>
    </xf>
    <xf borderId="0" fillId="9" fontId="9" numFmtId="0" xfId="0" applyAlignment="1" applyFont="1">
      <alignment shrinkToFit="0" vertical="bottom" wrapText="1"/>
    </xf>
    <xf borderId="0" fillId="0" fontId="27" numFmtId="0" xfId="0" applyAlignment="1" applyFont="1">
      <alignment horizontal="left" readingOrder="0" vertical="bottom"/>
    </xf>
    <xf borderId="36" fillId="3" fontId="6" numFmtId="0" xfId="0" applyAlignment="1" applyBorder="1" applyFont="1">
      <alignment horizontal="center" shrinkToFit="0" vertical="center" wrapText="1"/>
    </xf>
    <xf borderId="37" fillId="0" fontId="5" numFmtId="0" xfId="0" applyBorder="1" applyFont="1"/>
    <xf borderId="38" fillId="3" fontId="6" numFmtId="0" xfId="0" applyAlignment="1" applyBorder="1" applyFont="1">
      <alignment horizontal="left" shrinkToFit="0" vertical="center" wrapText="1"/>
    </xf>
    <xf borderId="39" fillId="0" fontId="5" numFmtId="0" xfId="0" applyBorder="1" applyFont="1"/>
    <xf borderId="25" fillId="2" fontId="12" numFmtId="0" xfId="0" applyAlignment="1" applyBorder="1" applyFont="1">
      <alignment horizontal="left" shrinkToFit="0" vertical="center" wrapText="1"/>
    </xf>
    <xf borderId="25" fillId="2" fontId="2" numFmtId="0" xfId="0" applyAlignment="1" applyBorder="1" applyFont="1">
      <alignment horizontal="left" shrinkToFit="0" vertical="center" wrapText="1"/>
    </xf>
    <xf borderId="25" fillId="2" fontId="12" numFmtId="0" xfId="0" applyBorder="1" applyFont="1"/>
    <xf borderId="25" fillId="2" fontId="12" numFmtId="0" xfId="0" applyAlignment="1" applyBorder="1" applyFont="1">
      <alignment shrinkToFit="0" wrapText="1"/>
    </xf>
    <xf borderId="0" fillId="0" fontId="9" numFmtId="0" xfId="0" applyAlignment="1" applyFont="1">
      <alignment shrinkToFit="0" wrapText="1"/>
    </xf>
    <xf borderId="0" fillId="10" fontId="9" numFmtId="0" xfId="0" applyAlignment="1" applyFill="1" applyFont="1">
      <alignment readingOrder="0" shrinkToFit="0" vertical="bottom" wrapText="1"/>
    </xf>
    <xf borderId="0" fillId="11" fontId="9" numFmtId="0" xfId="0" applyAlignment="1" applyFill="1" applyFont="1">
      <alignment readingOrder="0" shrinkToFit="0" vertical="bottom" wrapText="1"/>
    </xf>
    <xf borderId="0" fillId="10" fontId="9" numFmtId="0" xfId="0" applyAlignment="1" applyFont="1">
      <alignment shrinkToFit="0" vertical="bottom" wrapText="1"/>
    </xf>
    <xf borderId="0" fillId="10" fontId="9" numFmtId="0" xfId="0" applyAlignment="1" applyFont="1">
      <alignment shrinkToFit="0" vertical="bottom" wrapText="1"/>
    </xf>
    <xf borderId="25" fillId="3" fontId="6" numFmtId="49" xfId="0" applyAlignment="1" applyBorder="1" applyFont="1" applyNumberFormat="1">
      <alignment shrinkToFit="0" vertical="top" wrapText="1"/>
    </xf>
    <xf borderId="0" fillId="0" fontId="28" numFmtId="0" xfId="0" applyAlignment="1" applyFont="1">
      <alignment vertical="bottom"/>
    </xf>
    <xf borderId="22" fillId="0" fontId="9" numFmtId="0" xfId="0" applyAlignment="1" applyBorder="1" applyFont="1">
      <alignment vertical="bottom"/>
    </xf>
    <xf borderId="0" fillId="0" fontId="6" numFmtId="49" xfId="0" applyAlignment="1" applyFont="1" applyNumberFormat="1">
      <alignment horizontal="left" shrinkToFit="0" vertical="center" wrapText="1"/>
    </xf>
    <xf borderId="32" fillId="0" fontId="9" numFmtId="0" xfId="0" applyAlignment="1" applyBorder="1" applyFont="1">
      <alignment vertical="bottom"/>
    </xf>
    <xf borderId="40" fillId="6" fontId="6" numFmtId="0" xfId="0" applyAlignment="1" applyBorder="1" applyFont="1">
      <alignment horizontal="left" shrinkToFit="0" vertical="top" wrapText="1"/>
    </xf>
    <xf borderId="2" fillId="0" fontId="9" numFmtId="0" xfId="0" applyAlignment="1" applyBorder="1" applyFont="1">
      <alignment vertical="bottom"/>
    </xf>
    <xf borderId="4" fillId="0" fontId="9" numFmtId="0" xfId="0" applyAlignment="1" applyBorder="1" applyFont="1">
      <alignment horizontal="right" vertical="bottom"/>
    </xf>
    <xf borderId="4" fillId="0" fontId="9" numFmtId="0" xfId="0" applyAlignment="1" applyBorder="1" applyFont="1">
      <alignment vertical="bottom"/>
    </xf>
    <xf borderId="0" fillId="7" fontId="9" numFmtId="0" xfId="0" applyAlignment="1" applyFont="1">
      <alignment readingOrder="0" shrinkToFit="0" vertical="bottom" wrapText="1"/>
    </xf>
    <xf borderId="4" fillId="0" fontId="9" numFmtId="0" xfId="0" applyAlignment="1" applyBorder="1" applyFont="1">
      <alignment vertical="bottom"/>
    </xf>
    <xf borderId="0" fillId="0" fontId="8" numFmtId="0" xfId="0" applyAlignment="1" applyFont="1">
      <alignment vertical="bottom"/>
    </xf>
    <xf borderId="0" fillId="0" fontId="8" numFmtId="0" xfId="0" applyAlignment="1" applyFont="1">
      <alignment horizontal="right" vertical="bottom"/>
    </xf>
    <xf borderId="0" fillId="8" fontId="9" numFmtId="0" xfId="0" applyAlignment="1" applyFont="1">
      <alignment shrinkToFit="0" vertical="bottom" wrapText="1"/>
    </xf>
    <xf borderId="0" fillId="0" fontId="8" numFmtId="0" xfId="0" applyAlignment="1" applyFont="1">
      <alignment shrinkToFit="0" vertical="bottom" wrapText="0"/>
    </xf>
    <xf borderId="0" fillId="10" fontId="29" numFmtId="0" xfId="0" applyAlignment="1" applyFont="1">
      <alignment vertical="bottom"/>
    </xf>
    <xf borderId="0" fillId="11" fontId="29" numFmtId="0" xfId="0" applyAlignment="1" applyFont="1">
      <alignment vertical="bottom"/>
    </xf>
    <xf borderId="0" fillId="11" fontId="29" numFmtId="0" xfId="0" applyAlignment="1" applyFont="1">
      <alignment vertical="bottom"/>
    </xf>
    <xf borderId="0" fillId="10" fontId="25" numFmtId="0" xfId="0" applyAlignment="1" applyFont="1">
      <alignment vertical="bottom"/>
    </xf>
    <xf borderId="0" fillId="10" fontId="25" numFmtId="0" xfId="0" applyAlignment="1" applyFont="1">
      <alignment vertical="bottom"/>
    </xf>
    <xf borderId="0" fillId="0" fontId="8" numFmtId="0" xfId="0" applyAlignment="1" applyFont="1">
      <alignment horizontal="right" readingOrder="0" vertical="bottom"/>
    </xf>
    <xf borderId="28" fillId="0" fontId="9" numFmtId="0" xfId="0" applyAlignment="1" applyBorder="1" applyFont="1">
      <alignment vertical="bottom"/>
    </xf>
    <xf borderId="24" fillId="6" fontId="30" numFmtId="0" xfId="0" applyBorder="1" applyFont="1"/>
    <xf borderId="0" fillId="11" fontId="9" numFmtId="49" xfId="0" applyAlignment="1" applyFont="1" applyNumberFormat="1">
      <alignment shrinkToFit="0" vertical="bottom" wrapText="1"/>
    </xf>
    <xf borderId="0" fillId="0" fontId="9" numFmtId="0" xfId="0" applyAlignment="1" applyFont="1">
      <alignment shrinkToFit="0" vertical="bottom" wrapText="0"/>
    </xf>
    <xf borderId="0" fillId="9" fontId="9" numFmtId="0" xfId="0" applyAlignment="1" applyFont="1">
      <alignment shrinkToFit="0" vertical="bottom" wrapText="1"/>
    </xf>
    <xf borderId="0" fillId="12" fontId="9" numFmtId="49" xfId="0" applyAlignment="1" applyFill="1" applyFont="1" applyNumberFormat="1">
      <alignment shrinkToFit="0" vertical="bottom" wrapText="1"/>
    </xf>
    <xf borderId="41" fillId="0" fontId="9" numFmtId="0" xfId="0" applyAlignment="1" applyBorder="1" applyFont="1">
      <alignment shrinkToFit="0" vertical="bottom" wrapText="0"/>
    </xf>
    <xf borderId="0" fillId="5" fontId="9" numFmtId="49" xfId="0" applyAlignment="1" applyFont="1" applyNumberFormat="1">
      <alignment shrinkToFit="0" vertical="bottom" wrapText="1"/>
    </xf>
    <xf borderId="0" fillId="13" fontId="9" numFmtId="0" xfId="0" applyAlignment="1" applyFill="1" applyFont="1">
      <alignment shrinkToFit="0" vertical="bottom" wrapText="1"/>
    </xf>
    <xf borderId="0" fillId="14" fontId="9" numFmtId="49" xfId="0" applyAlignment="1" applyFill="1" applyFont="1" applyNumberFormat="1">
      <alignment shrinkToFit="0" vertical="bottom" wrapText="1"/>
    </xf>
    <xf borderId="0" fillId="13" fontId="9" numFmtId="0" xfId="0" applyAlignment="1" applyFont="1">
      <alignment readingOrder="0" shrinkToFit="0" vertical="bottom" wrapText="1"/>
    </xf>
    <xf borderId="0" fillId="13" fontId="9" numFmtId="0" xfId="0" applyAlignment="1" applyFont="1">
      <alignment shrinkToFit="0" vertical="bottom" wrapText="1"/>
    </xf>
    <xf borderId="0" fillId="15" fontId="9" numFmtId="0" xfId="0" applyAlignment="1" applyFill="1" applyFont="1">
      <alignment shrinkToFit="0" vertical="bottom" wrapText="1"/>
    </xf>
    <xf borderId="0" fillId="16" fontId="9" numFmtId="49" xfId="0" applyAlignment="1" applyFill="1" applyFont="1" applyNumberFormat="1">
      <alignment shrinkToFit="0" vertical="bottom" wrapText="1"/>
    </xf>
    <xf borderId="0" fillId="15" fontId="9" numFmtId="0" xfId="0" applyAlignment="1" applyFont="1">
      <alignment shrinkToFit="0" vertical="bottom" wrapText="1"/>
    </xf>
    <xf borderId="0" fillId="16" fontId="9" numFmtId="0" xfId="0" applyAlignment="1" applyFont="1">
      <alignment shrinkToFit="0" vertical="bottom" wrapText="1"/>
    </xf>
    <xf borderId="0" fillId="8" fontId="9" numFmtId="0" xfId="0" applyAlignment="1" applyFont="1">
      <alignment shrinkToFit="0" vertical="bottom" wrapText="1"/>
    </xf>
    <xf borderId="0" fillId="17" fontId="9" numFmtId="0" xfId="0" applyAlignment="1" applyFill="1" applyFont="1">
      <alignment shrinkToFit="0" vertical="bottom" wrapText="1"/>
    </xf>
    <xf borderId="0" fillId="18" fontId="9" numFmtId="49" xfId="0" applyAlignment="1" applyFill="1" applyFont="1" applyNumberFormat="1">
      <alignment shrinkToFit="0" vertical="bottom" wrapText="1"/>
    </xf>
    <xf borderId="0" fillId="17" fontId="9" numFmtId="0" xfId="0" applyAlignment="1" applyFont="1">
      <alignment shrinkToFit="0" vertical="bottom" wrapText="1"/>
    </xf>
    <xf borderId="0" fillId="0" fontId="31" numFmtId="0" xfId="0" applyFont="1"/>
    <xf borderId="0" fillId="0" fontId="10" numFmtId="49" xfId="0" applyAlignment="1" applyFont="1" applyNumberFormat="1">
      <alignment readingOrder="0" shrinkToFit="0" wrapText="1"/>
    </xf>
    <xf borderId="42" fillId="0" fontId="9" numFmtId="0" xfId="0" applyAlignment="1" applyBorder="1" applyFont="1">
      <alignment vertical="bottom"/>
    </xf>
    <xf borderId="43" fillId="0" fontId="9" numFmtId="0" xfId="0" applyAlignment="1" applyBorder="1" applyFont="1">
      <alignment vertical="bottom"/>
    </xf>
    <xf borderId="43" fillId="0" fontId="9" numFmtId="0" xfId="0" applyAlignment="1" applyBorder="1" applyFont="1">
      <alignment vertical="bottom"/>
    </xf>
    <xf borderId="44" fillId="0" fontId="9" numFmtId="0" xfId="0" applyAlignment="1" applyBorder="1" applyFont="1">
      <alignment vertical="bottom"/>
    </xf>
    <xf borderId="41" fillId="0" fontId="9" numFmtId="0" xfId="0" applyAlignment="1" applyBorder="1" applyFont="1">
      <alignment horizontal="right" vertical="bottom"/>
    </xf>
    <xf borderId="31" fillId="6" fontId="32" numFmtId="0" xfId="0" applyAlignment="1" applyBorder="1" applyFont="1">
      <alignment horizontal="left" readingOrder="0" vertical="top"/>
    </xf>
    <xf borderId="0" fillId="11" fontId="9" numFmtId="0" xfId="0" applyAlignment="1" applyFont="1">
      <alignment shrinkToFit="0" vertical="bottom" wrapText="1"/>
    </xf>
    <xf borderId="0" fillId="10" fontId="9" numFmtId="49" xfId="0" applyAlignment="1" applyFont="1" applyNumberFormat="1">
      <alignment shrinkToFit="0" vertical="bottom" wrapText="1"/>
    </xf>
    <xf borderId="31" fillId="6" fontId="6" numFmtId="0" xfId="0" applyAlignment="1" applyBorder="1" applyFont="1">
      <alignment horizontal="center" vertical="top"/>
    </xf>
    <xf borderId="0" fillId="11" fontId="9" numFmtId="49" xfId="0" applyAlignment="1" applyFont="1" applyNumberFormat="1">
      <alignment readingOrder="0" shrinkToFit="0" vertical="bottom" wrapText="1"/>
    </xf>
    <xf borderId="45" fillId="5" fontId="33" numFmtId="0" xfId="0" applyAlignment="1" applyBorder="1" applyFont="1">
      <alignment horizontal="left"/>
    </xf>
    <xf borderId="19" fillId="0" fontId="5" numFmtId="0" xfId="0" applyBorder="1" applyFont="1"/>
    <xf borderId="25" fillId="5" fontId="6" numFmtId="0" xfId="0" applyAlignment="1" applyBorder="1" applyFont="1">
      <alignment shrinkToFit="0" wrapText="1"/>
    </xf>
    <xf borderId="25" fillId="5" fontId="6" numFmtId="0" xfId="0" applyBorder="1" applyFont="1"/>
    <xf borderId="45" fillId="5" fontId="34" numFmtId="0" xfId="0" applyAlignment="1" applyBorder="1" applyFont="1">
      <alignment horizontal="left" vertical="top"/>
    </xf>
    <xf borderId="44" fillId="0" fontId="5" numFmtId="0" xfId="0" applyBorder="1" applyFont="1"/>
    <xf borderId="31" fillId="5" fontId="35" numFmtId="0" xfId="0" applyAlignment="1" applyBorder="1" applyFont="1">
      <alignment horizontal="center"/>
    </xf>
    <xf borderId="41" fillId="0" fontId="9" numFmtId="0" xfId="0" applyAlignment="1" applyBorder="1" applyFont="1">
      <alignment vertical="bottom"/>
    </xf>
    <xf borderId="31" fillId="5" fontId="36" numFmtId="0" xfId="0" applyAlignment="1" applyBorder="1" applyFont="1">
      <alignment horizontal="center"/>
    </xf>
    <xf borderId="31" fillId="5" fontId="36" numFmtId="16" xfId="0" applyAlignment="1" applyBorder="1" applyFont="1" applyNumberFormat="1">
      <alignment horizontal="center"/>
    </xf>
    <xf borderId="0" fillId="15" fontId="9" numFmtId="49" xfId="0" applyAlignment="1" applyFont="1" applyNumberFormat="1">
      <alignment shrinkToFit="0" vertical="bottom" wrapText="1"/>
    </xf>
    <xf borderId="31" fillId="5" fontId="6" numFmtId="0" xfId="0" applyBorder="1" applyFont="1"/>
    <xf borderId="31" fillId="5" fontId="6" numFmtId="0" xfId="0" applyAlignment="1" applyBorder="1" applyFont="1">
      <alignment shrinkToFit="0" wrapText="1"/>
    </xf>
    <xf borderId="31" fillId="5" fontId="36" numFmtId="0" xfId="0" applyAlignment="1" applyBorder="1" applyFont="1">
      <alignment horizontal="center" shrinkToFit="0" wrapText="1"/>
    </xf>
    <xf borderId="31" fillId="5" fontId="36" numFmtId="0" xfId="0" applyAlignment="1" applyBorder="1" applyFont="1">
      <alignment horizontal="center" shrinkToFit="0" vertical="center" wrapText="1"/>
    </xf>
    <xf borderId="31" fillId="5" fontId="6" numFmtId="0" xfId="0" applyAlignment="1" applyBorder="1" applyFont="1">
      <alignment horizontal="center" shrinkToFit="0" vertical="center" wrapText="1"/>
    </xf>
    <xf borderId="31" fillId="5" fontId="6" numFmtId="0" xfId="0" applyAlignment="1" applyBorder="1" applyFont="1">
      <alignment horizontal="center" shrinkToFit="0" wrapText="1"/>
    </xf>
    <xf borderId="46" fillId="5" fontId="6" numFmtId="0" xfId="0" applyBorder="1" applyFont="1"/>
    <xf borderId="46" fillId="5" fontId="6" numFmtId="0" xfId="0" applyAlignment="1" applyBorder="1" applyFont="1">
      <alignment horizontal="center" shrinkToFit="0" wrapText="1"/>
    </xf>
    <xf borderId="0" fillId="0" fontId="6" numFmtId="0" xfId="0" applyAlignment="1" applyFont="1">
      <alignment horizontal="center" shrinkToFit="0" wrapText="1"/>
    </xf>
    <xf borderId="0" fillId="0" fontId="9" numFmtId="0" xfId="0" applyAlignment="1" applyFont="1">
      <alignment readingOrder="0" shrinkToFit="0" wrapText="1"/>
    </xf>
    <xf borderId="0" fillId="16" fontId="9" numFmtId="49" xfId="0" applyAlignment="1" applyFont="1" applyNumberFormat="1">
      <alignment readingOrder="0" shrinkToFit="0" vertical="bottom" wrapText="1"/>
    </xf>
    <xf borderId="0" fillId="8" fontId="9" numFmtId="49" xfId="0" applyAlignment="1" applyFont="1" applyNumberFormat="1">
      <alignment readingOrder="0" shrinkToFit="0" vertical="bottom" wrapText="1"/>
    </xf>
    <xf borderId="0" fillId="16" fontId="9" numFmtId="0" xfId="0" applyAlignment="1" applyFont="1">
      <alignment readingOrder="0" shrinkToFit="0" vertical="bottom" wrapText="1"/>
    </xf>
    <xf borderId="0" fillId="5" fontId="9" numFmtId="49" xfId="0" applyAlignment="1" applyFont="1" applyNumberFormat="1">
      <alignment readingOrder="0" shrinkToFit="0" vertical="bottom" wrapText="1"/>
    </xf>
    <xf borderId="0" fillId="0" fontId="9" numFmtId="0" xfId="0" applyAlignment="1" applyFont="1">
      <alignment readingOrder="0"/>
    </xf>
    <xf borderId="0" fillId="0" fontId="9" numFmtId="0" xfId="0" applyFont="1"/>
    <xf borderId="0" fillId="0" fontId="9" numFmtId="0" xfId="0" applyAlignment="1" applyFont="1">
      <alignment shrinkToFit="0" vertical="bottom" wrapText="1"/>
    </xf>
    <xf borderId="0" fillId="0" fontId="9" numFmtId="49" xfId="0" applyAlignment="1" applyFont="1" applyNumberFormat="1">
      <alignment shrinkToFit="0" vertical="bottom" wrapText="1"/>
    </xf>
    <xf borderId="0" fillId="0" fontId="37" numFmtId="0" xfId="0" applyAlignment="1" applyFont="1">
      <alignment readingOrder="0" vertical="bottom"/>
    </xf>
    <xf borderId="47" fillId="0" fontId="9" numFmtId="0" xfId="0" applyAlignment="1" applyBorder="1" applyFont="1">
      <alignment vertical="bottom"/>
    </xf>
    <xf borderId="28" fillId="0" fontId="9" numFmtId="0" xfId="0" applyAlignment="1" applyBorder="1" applyFont="1">
      <alignment vertical="bottom"/>
    </xf>
    <xf borderId="0" fillId="16" fontId="9" numFmtId="0" xfId="0" applyAlignment="1" applyFont="1">
      <alignment shrinkToFit="0" vertical="bottom" wrapText="1"/>
    </xf>
    <xf borderId="0" fillId="19" fontId="10" numFmtId="49" xfId="0" applyAlignment="1" applyFill="1" applyFont="1" applyNumberFormat="1">
      <alignment horizontal="left" readingOrder="0"/>
    </xf>
    <xf borderId="0" fillId="18" fontId="9" numFmtId="49" xfId="0" applyAlignment="1" applyFont="1" applyNumberFormat="1">
      <alignment readingOrder="0" shrinkToFit="0" vertical="bottom" wrapText="1"/>
    </xf>
    <xf borderId="0" fillId="0" fontId="9" numFmtId="0" xfId="0" applyAlignment="1" applyFont="1">
      <alignment readingOrder="0" shrinkToFit="0" vertical="bottom" wrapText="1"/>
    </xf>
    <xf borderId="20" fillId="0" fontId="9" numFmtId="0" xfId="0" applyAlignment="1" applyBorder="1" applyFont="1">
      <alignment vertical="bottom"/>
    </xf>
    <xf borderId="0" fillId="7" fontId="9" numFmtId="0" xfId="0" applyAlignment="1" applyFont="1">
      <alignment vertical="bottom"/>
    </xf>
    <xf borderId="14" fillId="0" fontId="9" numFmtId="0" xfId="0" applyAlignment="1" applyBorder="1" applyFont="1">
      <alignment horizontal="right" readingOrder="0" vertical="bottom"/>
    </xf>
    <xf borderId="0" fillId="4" fontId="9" numFmtId="0" xfId="0" applyAlignment="1" applyFont="1">
      <alignment readingOrder="0" vertical="bottom"/>
    </xf>
    <xf borderId="0" fillId="4" fontId="9" numFmtId="0" xfId="0" applyAlignment="1" applyFont="1">
      <alignment vertical="bottom"/>
    </xf>
    <xf borderId="0" fillId="0" fontId="25" numFmtId="0" xfId="0" applyAlignment="1" applyFont="1">
      <alignment vertical="bottom"/>
    </xf>
    <xf borderId="0" fillId="0" fontId="25" numFmtId="49" xfId="0" applyAlignment="1" applyFont="1" applyNumberFormat="1">
      <alignment vertical="bottom"/>
    </xf>
    <xf borderId="0" fillId="13" fontId="9" numFmtId="0" xfId="0" applyAlignment="1" applyFont="1">
      <alignment vertical="bottom"/>
    </xf>
    <xf borderId="0" fillId="8" fontId="9" numFmtId="49" xfId="0" applyAlignment="1" applyFont="1" applyNumberFormat="1">
      <alignment vertical="bottom"/>
    </xf>
    <xf borderId="32" fillId="0" fontId="9" numFmtId="0" xfId="0" applyAlignment="1" applyBorder="1" applyFont="1">
      <alignment horizontal="right" vertical="bottom"/>
    </xf>
    <xf borderId="0" fillId="5" fontId="9" numFmtId="49" xfId="0" applyAlignment="1" applyFont="1" applyNumberFormat="1">
      <alignment vertical="bottom"/>
    </xf>
    <xf borderId="0" fillId="5" fontId="9" numFmtId="0" xfId="0" applyAlignment="1" applyFont="1">
      <alignment vertical="bottom"/>
    </xf>
    <xf borderId="0" fillId="18" fontId="9" numFmtId="0" xfId="0" applyAlignment="1" applyFont="1">
      <alignment vertical="bottom"/>
    </xf>
    <xf borderId="0" fillId="14" fontId="9" numFmtId="0" xfId="0" applyAlignment="1" applyFont="1">
      <alignment vertical="bottom"/>
    </xf>
    <xf borderId="0" fillId="15" fontId="25" numFmtId="0" xfId="0" applyAlignment="1" applyFont="1">
      <alignment vertical="bottom"/>
    </xf>
    <xf borderId="0" fillId="16" fontId="25" numFmtId="49" xfId="0" applyAlignment="1" applyFont="1" applyNumberFormat="1">
      <alignment vertical="bottom"/>
    </xf>
    <xf borderId="0" fillId="15" fontId="9" numFmtId="0" xfId="0" applyAlignment="1" applyFont="1">
      <alignment vertical="bottom"/>
    </xf>
    <xf borderId="0" fillId="16" fontId="9" numFmtId="49" xfId="0" applyAlignment="1" applyFont="1" applyNumberFormat="1">
      <alignment vertical="bottom"/>
    </xf>
    <xf borderId="0" fillId="17" fontId="9" numFmtId="0" xfId="0" applyAlignment="1" applyFont="1">
      <alignment vertical="bottom"/>
    </xf>
    <xf borderId="0" fillId="18" fontId="9" numFmtId="49" xfId="0" applyAlignment="1" applyFont="1" applyNumberFormat="1">
      <alignment vertical="bottom"/>
    </xf>
    <xf borderId="0" fillId="15" fontId="9" numFmtId="49" xfId="0" applyAlignment="1" applyFont="1" applyNumberFormat="1">
      <alignment vertical="bottom"/>
    </xf>
    <xf borderId="0" fillId="8" fontId="9" numFmtId="49" xfId="0" applyAlignment="1" applyFont="1" applyNumberFormat="1">
      <alignment readingOrder="0" vertical="bottom"/>
    </xf>
    <xf borderId="0" fillId="7" fontId="25" numFmtId="0" xfId="0" applyAlignment="1" applyFont="1">
      <alignment vertical="bottom"/>
    </xf>
    <xf borderId="0" fillId="8" fontId="25" numFmtId="49" xfId="0" applyAlignment="1" applyFont="1" applyNumberFormat="1">
      <alignment vertical="bottom"/>
    </xf>
    <xf borderId="0" fillId="9" fontId="9" numFmtId="0" xfId="0" applyAlignment="1" applyFont="1">
      <alignment vertical="bottom"/>
    </xf>
    <xf borderId="0" fillId="12" fontId="9" numFmtId="49" xfId="0" applyAlignment="1" applyFont="1" applyNumberFormat="1">
      <alignment readingOrder="0" vertical="bottom"/>
    </xf>
    <xf borderId="0" fillId="5" fontId="9" numFmtId="49" xfId="0" applyAlignment="1" applyFont="1" applyNumberFormat="1">
      <alignment readingOrder="0" vertical="bottom"/>
    </xf>
    <xf borderId="0" fillId="7" fontId="9" numFmtId="0" xfId="0" applyAlignment="1" applyFont="1">
      <alignment vertical="bottom"/>
    </xf>
    <xf borderId="0" fillId="0" fontId="38" numFmtId="49" xfId="0" applyAlignment="1" applyFont="1" applyNumberFormat="1">
      <alignment readingOrder="0" vertical="bottom"/>
    </xf>
    <xf borderId="48" fillId="0" fontId="9" numFmtId="0" xfId="0" applyAlignment="1" applyBorder="1" applyFont="1">
      <alignment vertical="bottom"/>
    </xf>
    <xf borderId="49" fillId="0" fontId="9" numFmtId="0" xfId="0" applyAlignment="1" applyBorder="1" applyFont="1">
      <alignment horizontal="right" vertical="bottom"/>
    </xf>
    <xf borderId="49" fillId="0" fontId="9" numFmtId="0" xfId="0" applyAlignment="1" applyBorder="1" applyFont="1">
      <alignment vertical="bottom"/>
    </xf>
    <xf borderId="20" fillId="0" fontId="9" numFmtId="0" xfId="0" applyAlignment="1" applyBorder="1" applyFont="1">
      <alignment shrinkToFit="0" vertical="bottom" wrapText="0"/>
    </xf>
    <xf borderId="20" fillId="0" fontId="9" numFmtId="0" xfId="0" applyAlignment="1" applyBorder="1" applyFont="1">
      <alignment horizontal="right" vertical="bottom"/>
    </xf>
    <xf borderId="50" fillId="0" fontId="9" numFmtId="0" xfId="0" applyAlignment="1" applyBorder="1" applyFont="1">
      <alignment vertical="bottom"/>
    </xf>
    <xf borderId="49" fillId="0" fontId="9" numFmtId="0" xfId="0" applyAlignment="1" applyBorder="1" applyFont="1">
      <alignment horizontal="right" readingOrder="0" vertical="bottom"/>
    </xf>
    <xf borderId="49" fillId="0" fontId="9" numFmtId="0" xfId="0" applyAlignment="1" applyBorder="1" applyFont="1">
      <alignment readingOrder="0" vertical="bottom"/>
    </xf>
    <xf borderId="32" fillId="0" fontId="9" numFmtId="0" xfId="0" applyAlignment="1" applyBorder="1" applyFont="1">
      <alignment readingOrder="0" vertical="bottom"/>
    </xf>
    <xf borderId="0" fillId="12" fontId="9" numFmtId="49" xfId="0" applyAlignment="1" applyFont="1" applyNumberFormat="1">
      <alignment vertical="bottom"/>
    </xf>
    <xf borderId="0" fillId="14" fontId="9" numFmtId="49" xfId="0" applyAlignment="1" applyFont="1" applyNumberFormat="1">
      <alignment vertical="bottom"/>
    </xf>
    <xf borderId="0" fillId="15" fontId="9" numFmtId="0" xfId="0" applyAlignment="1" applyFont="1">
      <alignment readingOrder="0" shrinkToFit="0" vertical="bottom" wrapText="1"/>
    </xf>
    <xf borderId="0" fillId="14" fontId="9" numFmtId="49" xfId="0" applyAlignment="1" applyFont="1" applyNumberFormat="1">
      <alignment readingOrder="0" shrinkToFit="0" vertical="bottom" wrapText="1"/>
    </xf>
    <xf borderId="0" fillId="10" fontId="9" numFmtId="49" xfId="0" applyAlignment="1" applyFont="1" applyNumberFormat="1">
      <alignment readingOrder="0" shrinkToFit="0" vertical="bottom" wrapText="1"/>
    </xf>
    <xf quotePrefix="1" borderId="0" fillId="0" fontId="9" numFmtId="0" xfId="0" applyAlignment="1" applyFont="1">
      <alignment vertical="bottom"/>
    </xf>
    <xf borderId="0" fillId="17" fontId="9" numFmtId="0" xfId="0" applyAlignment="1" applyFont="1">
      <alignment readingOrder="0" shrinkToFit="0" vertical="bottom" wrapText="1"/>
    </xf>
    <xf borderId="0" fillId="15" fontId="9" numFmtId="49" xfId="0" applyAlignment="1" applyFont="1" applyNumberFormat="1">
      <alignment readingOrder="0" shrinkToFit="0" vertical="bottom" wrapText="1"/>
    </xf>
    <xf borderId="0" fillId="4" fontId="25" numFmtId="0" xfId="0" applyAlignment="1" applyFont="1">
      <alignment vertical="bottom"/>
    </xf>
    <xf borderId="49" fillId="0" fontId="9" numFmtId="0" xfId="0" applyAlignment="1" applyBorder="1" applyFont="1">
      <alignment vertical="bottom"/>
    </xf>
    <xf borderId="0" fillId="4" fontId="9" numFmtId="0" xfId="0" applyAlignment="1" applyFont="1">
      <alignment vertical="bottom"/>
    </xf>
    <xf borderId="0" fillId="13" fontId="9" numFmtId="0" xfId="0" applyAlignment="1" applyFont="1">
      <alignment vertical="bottom"/>
    </xf>
    <xf borderId="0" fillId="13" fontId="25" numFmtId="0" xfId="0" applyAlignment="1" applyFont="1">
      <alignment vertical="bottom"/>
    </xf>
    <xf borderId="0" fillId="8" fontId="25" numFmtId="0" xfId="0" applyAlignment="1" applyFont="1">
      <alignment vertical="bottom"/>
    </xf>
    <xf borderId="0" fillId="15" fontId="25" numFmtId="0" xfId="0" applyAlignment="1" applyFont="1">
      <alignment vertical="bottom"/>
    </xf>
    <xf borderId="0" fillId="0" fontId="9" numFmtId="49" xfId="0" applyAlignment="1" applyFont="1" applyNumberFormat="1">
      <alignment readingOrder="0" shrinkToFit="0" vertical="bottom" wrapText="1"/>
    </xf>
    <xf borderId="0" fillId="12" fontId="9" numFmtId="49" xfId="0" applyAlignment="1" applyFont="1" applyNumberFormat="1">
      <alignment readingOrder="0" shrinkToFit="0" vertical="bottom" wrapText="1"/>
    </xf>
    <xf borderId="0" fillId="17" fontId="9" numFmtId="0" xfId="0" applyAlignment="1" applyFont="1">
      <alignment vertical="bottom"/>
    </xf>
    <xf borderId="0" fillId="17" fontId="25" numFmtId="0" xfId="0" applyAlignment="1" applyFont="1">
      <alignment vertical="bottom"/>
    </xf>
    <xf borderId="0" fillId="16" fontId="25" numFmtId="0" xfId="0" applyAlignment="1" applyFont="1">
      <alignment vertical="bottom"/>
    </xf>
    <xf borderId="0" fillId="16" fontId="9" numFmtId="0" xfId="0" applyAlignment="1" applyFont="1">
      <alignment vertical="bottom"/>
    </xf>
    <xf borderId="0" fillId="5" fontId="9" numFmtId="0" xfId="0" applyAlignment="1" applyFont="1">
      <alignment shrinkToFit="0" vertical="bottom" wrapText="1"/>
    </xf>
    <xf borderId="20" fillId="0" fontId="39" numFmtId="0" xfId="0" applyAlignment="1" applyBorder="1" applyFont="1">
      <alignment vertical="bottom"/>
    </xf>
    <xf borderId="0" fillId="14" fontId="9" numFmtId="0" xfId="0" applyAlignment="1" applyFont="1">
      <alignment shrinkToFit="0" vertical="bottom" wrapText="1"/>
    </xf>
    <xf borderId="8" fillId="0" fontId="9" numFmtId="0" xfId="0" applyAlignment="1" applyBorder="1" applyFont="1">
      <alignment readingOrder="0" vertical="bottom"/>
    </xf>
    <xf borderId="0" fillId="20" fontId="9" numFmtId="0" xfId="0" applyAlignment="1" applyFill="1" applyFont="1">
      <alignment shrinkToFit="0" vertical="bottom" wrapText="1"/>
    </xf>
    <xf borderId="0" fillId="20" fontId="9" numFmtId="49" xfId="0" applyAlignment="1" applyFont="1" applyNumberFormat="1">
      <alignment shrinkToFit="0" vertical="bottom" wrapText="1"/>
    </xf>
    <xf borderId="0" fillId="4" fontId="9" numFmtId="49" xfId="0" applyAlignment="1" applyFont="1" applyNumberFormat="1">
      <alignment shrinkToFit="0" vertical="bottom" wrapText="1"/>
    </xf>
    <xf borderId="8" fillId="0" fontId="28" numFmtId="0" xfId="0" applyAlignment="1" applyBorder="1" applyFont="1">
      <alignment vertical="bottom"/>
    </xf>
    <xf borderId="0" fillId="0" fontId="10" numFmtId="0" xfId="0" applyAlignment="1" applyFont="1">
      <alignment readingOrder="0" shrinkToFit="0" vertical="bottom" wrapText="0"/>
    </xf>
    <xf borderId="0" fillId="11" fontId="9" numFmtId="0" xfId="0" applyAlignment="1" applyFont="1">
      <alignment shrinkToFit="0" vertical="bottom" wrapText="1"/>
    </xf>
    <xf borderId="0" fillId="12" fontId="9" numFmtId="0" xfId="0" applyAlignment="1" applyFont="1">
      <alignment shrinkToFit="0" vertical="bottom" wrapText="1"/>
    </xf>
    <xf borderId="0" fillId="0" fontId="10" numFmtId="49" xfId="0" applyAlignment="1" applyFont="1" applyNumberFormat="1">
      <alignment readingOrder="0" vertical="bottom"/>
    </xf>
    <xf borderId="18" fillId="0" fontId="9" numFmtId="0" xfId="0" applyAlignment="1" applyBorder="1" applyFont="1">
      <alignment horizontal="right" vertical="bottom"/>
    </xf>
    <xf borderId="0" fillId="9" fontId="25" numFmtId="0" xfId="0" applyAlignment="1" applyFont="1">
      <alignment vertical="bottom"/>
    </xf>
    <xf borderId="0" fillId="16" fontId="9" numFmtId="0" xfId="0" applyAlignment="1" applyFont="1">
      <alignment vertical="bottom"/>
    </xf>
    <xf borderId="0" fillId="0" fontId="10" numFmtId="0" xfId="0" applyAlignment="1" applyFont="1">
      <alignment shrinkToFit="0" vertical="bottom" wrapText="0"/>
    </xf>
    <xf borderId="0" fillId="7" fontId="25" numFmtId="0" xfId="0" applyAlignment="1" applyFont="1">
      <alignment vertical="bottom"/>
    </xf>
    <xf borderId="0" fillId="8" fontId="9" numFmtId="0" xfId="0" applyAlignment="1" applyFont="1">
      <alignment shrinkToFit="0" vertical="bottom" wrapText="1"/>
    </xf>
    <xf borderId="0" fillId="0" fontId="25" numFmtId="0" xfId="0" applyAlignment="1" applyFont="1">
      <alignment vertical="bottom"/>
    </xf>
    <xf borderId="0" fillId="0" fontId="40" numFmtId="0" xfId="0" applyAlignment="1" applyFont="1">
      <alignment horizontal="left" readingOrder="0"/>
    </xf>
    <xf borderId="0" fillId="0" fontId="24" numFmtId="0" xfId="0" applyFont="1"/>
    <xf borderId="0" fillId="0" fontId="41" numFmtId="0" xfId="0" applyAlignment="1" applyFont="1">
      <alignment horizontal="left" readingOrder="0"/>
    </xf>
    <xf borderId="20" fillId="0" fontId="29" numFmtId="0" xfId="0" applyAlignment="1" applyBorder="1" applyFont="1">
      <alignment vertical="bottom"/>
    </xf>
    <xf borderId="20" fillId="0" fontId="29" numFmtId="0" xfId="0" applyAlignment="1" applyBorder="1" applyFont="1">
      <alignment horizontal="right" vertical="bottom"/>
    </xf>
    <xf borderId="20" fillId="0" fontId="25" numFmtId="0" xfId="0" applyAlignment="1" applyBorder="1" applyFont="1">
      <alignment vertical="bottom"/>
    </xf>
    <xf borderId="20" fillId="0" fontId="29" numFmtId="0" xfId="0" applyAlignment="1" applyBorder="1" applyFont="1">
      <alignment horizontal="right" vertical="bottom"/>
    </xf>
    <xf borderId="0" fillId="0" fontId="29" numFmtId="0" xfId="0" applyAlignment="1" applyFont="1">
      <alignment vertical="bottom"/>
    </xf>
    <xf borderId="0" fillId="0" fontId="29" numFmtId="0" xfId="0" applyAlignment="1" applyFont="1">
      <alignment horizontal="right" vertical="bottom"/>
    </xf>
    <xf borderId="0" fillId="0" fontId="29" numFmtId="0" xfId="0" applyAlignment="1" applyFont="1">
      <alignment horizontal="right" vertical="bottom"/>
    </xf>
    <xf borderId="0" fillId="21" fontId="9" numFmtId="0" xfId="0" applyAlignment="1" applyFill="1" applyFont="1">
      <alignment shrinkToFit="0" vertical="bottom" wrapText="1"/>
    </xf>
    <xf borderId="0" fillId="22" fontId="9" numFmtId="49" xfId="0" applyAlignment="1" applyFill="1" applyFont="1" applyNumberFormat="1">
      <alignment shrinkToFit="0" vertical="bottom" wrapText="1"/>
    </xf>
    <xf borderId="8" fillId="0" fontId="29" numFmtId="0" xfId="0" applyAlignment="1" applyBorder="1" applyFont="1">
      <alignment vertical="bottom"/>
    </xf>
    <xf borderId="8" fillId="0" fontId="29" numFmtId="0" xfId="0" applyAlignment="1" applyBorder="1" applyFont="1">
      <alignment horizontal="right" vertical="bottom"/>
    </xf>
    <xf borderId="8" fillId="0" fontId="25" numFmtId="0" xfId="0" applyAlignment="1" applyBorder="1" applyFont="1">
      <alignment vertical="bottom"/>
    </xf>
    <xf borderId="8" fillId="0" fontId="29" numFmtId="0" xfId="0" applyAlignment="1" applyBorder="1" applyFont="1">
      <alignment horizontal="right" vertical="bottom"/>
    </xf>
    <xf borderId="8" fillId="0" fontId="29" numFmtId="0" xfId="0" applyAlignment="1" applyBorder="1" applyFont="1">
      <alignment readingOrder="0" vertical="bottom"/>
    </xf>
    <xf borderId="0" fillId="0" fontId="37" numFmtId="0" xfId="0" applyAlignment="1" applyFont="1">
      <alignment readingOrder="0" vertical="bottom"/>
    </xf>
    <xf borderId="0" fillId="0" fontId="42" numFmtId="0" xfId="0" applyAlignment="1" applyFont="1">
      <alignment readingOrder="0" vertical="bottom"/>
    </xf>
    <xf borderId="17" fillId="0" fontId="9" numFmtId="0" xfId="0" applyAlignment="1" applyBorder="1" applyFont="1">
      <alignment horizontal="right" vertical="bottom"/>
    </xf>
    <xf borderId="2" fillId="0" fontId="9" numFmtId="0" xfId="0" applyAlignment="1" applyBorder="1" applyFont="1">
      <alignment horizontal="right" vertical="bottom"/>
    </xf>
    <xf borderId="2" fillId="0" fontId="9" numFmtId="0" xfId="0" applyAlignment="1" applyBorder="1" applyFont="1">
      <alignment vertical="bottom"/>
    </xf>
    <xf borderId="0" fillId="12" fontId="9" numFmtId="0" xfId="0" applyAlignment="1" applyFont="1">
      <alignment shrinkToFit="0" vertical="bottom" wrapText="1"/>
    </xf>
    <xf borderId="0" fillId="18" fontId="9" numFmtId="0" xfId="0" applyAlignment="1" applyFont="1">
      <alignment shrinkToFit="0" vertical="bottom" wrapText="1"/>
    </xf>
    <xf borderId="0" fillId="14" fontId="9" numFmtId="0" xfId="0" applyAlignment="1" applyFont="1">
      <alignment shrinkToFit="0" vertical="bottom" wrapText="1"/>
    </xf>
    <xf borderId="0" fillId="23" fontId="9" numFmtId="0" xfId="0" applyAlignment="1" applyFill="1" applyFont="1">
      <alignment shrinkToFit="0" vertical="bottom" wrapText="1"/>
    </xf>
    <xf borderId="0" fillId="24" fontId="9" numFmtId="0" xfId="0" applyAlignment="1" applyFill="1" applyFont="1">
      <alignment shrinkToFit="0" vertical="bottom" wrapText="1"/>
    </xf>
    <xf borderId="0" fillId="10" fontId="29" numFmtId="0" xfId="0" applyAlignment="1" applyFont="1">
      <alignment readingOrder="0" vertical="bottom"/>
    </xf>
    <xf borderId="0" fillId="4" fontId="29" numFmtId="0" xfId="0" applyAlignment="1" applyFont="1">
      <alignment shrinkToFit="0" vertical="bottom" wrapText="1"/>
    </xf>
    <xf borderId="0" fillId="17" fontId="29" numFmtId="49" xfId="0" applyAlignment="1" applyFont="1" applyNumberFormat="1">
      <alignment shrinkToFit="0" vertical="bottom" wrapText="1"/>
    </xf>
    <xf borderId="0" fillId="7" fontId="22" numFmtId="0" xfId="0" applyAlignment="1" applyFont="1">
      <alignment shrinkToFit="0" vertical="bottom" wrapText="1"/>
    </xf>
    <xf borderId="0" fillId="8" fontId="22" numFmtId="49" xfId="0" applyAlignment="1" applyFont="1" applyNumberFormat="1">
      <alignment shrinkToFit="0" vertical="bottom" wrapText="1"/>
    </xf>
    <xf borderId="0" fillId="7" fontId="22" numFmtId="49" xfId="0" applyAlignment="1" applyFont="1" applyNumberFormat="1">
      <alignment shrinkToFit="0" vertical="bottom" wrapText="1"/>
    </xf>
    <xf borderId="0" fillId="7" fontId="8" numFmtId="49" xfId="0" applyAlignment="1" applyFont="1" applyNumberFormat="1">
      <alignment vertical="bottom"/>
    </xf>
    <xf borderId="0" fillId="9" fontId="22" numFmtId="0" xfId="0" applyAlignment="1" applyFont="1">
      <alignment shrinkToFit="0" vertical="bottom" wrapText="1"/>
    </xf>
    <xf borderId="0" fillId="12" fontId="22" numFmtId="49" xfId="0" applyAlignment="1" applyFont="1" applyNumberFormat="1">
      <alignment shrinkToFit="0" vertical="bottom" wrapText="1"/>
    </xf>
    <xf borderId="0" fillId="4" fontId="22" numFmtId="0" xfId="0" applyAlignment="1" applyFont="1">
      <alignment shrinkToFit="0" vertical="bottom" wrapText="1"/>
    </xf>
    <xf borderId="0" fillId="5" fontId="22" numFmtId="49" xfId="0" applyAlignment="1" applyFont="1" applyNumberFormat="1">
      <alignment shrinkToFit="0" vertical="bottom" wrapText="1"/>
    </xf>
    <xf borderId="0" fillId="17" fontId="22" numFmtId="0" xfId="0" applyAlignment="1" applyFont="1">
      <alignment shrinkToFit="0" vertical="bottom" wrapText="1"/>
    </xf>
    <xf borderId="0" fillId="18" fontId="22" numFmtId="49" xfId="0" applyAlignment="1" applyFont="1" applyNumberFormat="1">
      <alignment shrinkToFit="0" vertical="bottom" wrapText="1"/>
    </xf>
    <xf borderId="0" fillId="10" fontId="22" numFmtId="0" xfId="0" applyAlignment="1" applyFont="1">
      <alignment shrinkToFit="0" vertical="bottom" wrapText="1"/>
    </xf>
    <xf borderId="0" fillId="11" fontId="22" numFmtId="49" xfId="0" applyAlignment="1" applyFont="1" applyNumberFormat="1">
      <alignment shrinkToFit="0" vertical="bottom" wrapText="1"/>
    </xf>
    <xf borderId="0" fillId="11" fontId="8" numFmtId="49" xfId="0" applyAlignment="1" applyFont="1" applyNumberFormat="1">
      <alignment vertical="bottom"/>
    </xf>
    <xf borderId="0" fillId="13" fontId="22" numFmtId="0" xfId="0" applyAlignment="1" applyFont="1">
      <alignment shrinkToFit="0" vertical="bottom" wrapText="1"/>
    </xf>
    <xf borderId="0" fillId="14" fontId="22" numFmtId="49" xfId="0" applyAlignment="1" applyFont="1" applyNumberFormat="1">
      <alignment shrinkToFit="0" vertical="bottom" wrapText="1"/>
    </xf>
    <xf borderId="0" fillId="10" fontId="22" numFmtId="49" xfId="0" applyAlignment="1" applyFont="1" applyNumberFormat="1">
      <alignment shrinkToFit="0" vertical="bottom" wrapText="1"/>
    </xf>
    <xf borderId="0" fillId="10" fontId="8" numFmtId="49" xfId="0" applyAlignment="1" applyFont="1" applyNumberFormat="1">
      <alignment vertical="bottom"/>
    </xf>
    <xf borderId="0" fillId="0" fontId="8" numFmtId="49" xfId="0" applyAlignment="1" applyFont="1" applyNumberFormat="1">
      <alignment vertical="bottom"/>
    </xf>
    <xf borderId="0" fillId="15" fontId="22" numFmtId="0" xfId="0" applyAlignment="1" applyFont="1">
      <alignment shrinkToFit="0" vertical="bottom" wrapText="1"/>
    </xf>
    <xf borderId="0" fillId="16" fontId="22" numFmtId="49" xfId="0" applyAlignment="1" applyFont="1" applyNumberFormat="1">
      <alignment shrinkToFit="0" vertical="bottom" wrapText="1"/>
    </xf>
    <xf borderId="0" fillId="16" fontId="8" numFmtId="49" xfId="0" applyAlignment="1" applyFont="1" applyNumberFormat="1">
      <alignment vertical="bottom"/>
    </xf>
    <xf borderId="0" fillId="15" fontId="22" numFmtId="49" xfId="0" applyAlignment="1" applyFont="1" applyNumberFormat="1">
      <alignment shrinkToFit="0" vertical="bottom" wrapText="1"/>
    </xf>
    <xf borderId="0" fillId="15" fontId="8" numFmtId="49" xfId="0" applyAlignment="1" applyFont="1" applyNumberFormat="1">
      <alignment vertical="bottom"/>
    </xf>
    <xf borderId="0" fillId="8" fontId="22" numFmtId="0" xfId="0" applyAlignment="1" applyFont="1">
      <alignment shrinkToFit="0" vertical="bottom" wrapText="1"/>
    </xf>
    <xf borderId="0" fillId="21" fontId="22" numFmtId="0" xfId="0" applyAlignment="1" applyFont="1">
      <alignment shrinkToFit="0" vertical="bottom" wrapText="1"/>
    </xf>
    <xf borderId="0" fillId="22" fontId="22" numFmtId="49" xfId="0" applyAlignment="1" applyFont="1" applyNumberFormat="1">
      <alignment shrinkToFit="0" vertical="bottom" wrapText="1"/>
    </xf>
    <xf borderId="0" fillId="14" fontId="8" numFmtId="49" xfId="0" applyAlignment="1" applyFont="1" applyNumberFormat="1">
      <alignment vertical="bottom"/>
    </xf>
    <xf borderId="0" fillId="9" fontId="8" numFmtId="0" xfId="0" applyAlignment="1" applyFont="1">
      <alignment vertical="bottom"/>
    </xf>
    <xf borderId="0" fillId="12" fontId="8" numFmtId="49" xfId="0" applyAlignment="1" applyFont="1" applyNumberFormat="1">
      <alignment vertical="bottom"/>
    </xf>
    <xf borderId="0" fillId="20" fontId="9" numFmtId="0" xfId="0" applyAlignment="1" applyFont="1">
      <alignment readingOrder="0" shrinkToFit="0" vertical="bottom" wrapText="1"/>
    </xf>
    <xf borderId="0" fillId="20" fontId="9" numFmtId="0" xfId="0" applyAlignment="1" applyFont="1">
      <alignment shrinkToFit="0" vertical="bottom" wrapText="1"/>
    </xf>
    <xf borderId="0" fillId="8" fontId="8" numFmtId="49" xfId="0" applyAlignment="1" applyFont="1" applyNumberFormat="1">
      <alignment vertical="bottom"/>
    </xf>
    <xf borderId="0" fillId="19" fontId="9" numFmtId="0" xfId="0" applyAlignment="1" applyFont="1">
      <alignment shrinkToFit="0" vertical="bottom" wrapText="1"/>
    </xf>
    <xf borderId="0" fillId="19" fontId="9" numFmtId="0" xfId="0" applyAlignment="1" applyFont="1">
      <alignment readingOrder="0" shrinkToFit="0" vertical="bottom" wrapText="1"/>
    </xf>
    <xf borderId="0" fillId="4" fontId="8" numFmtId="0" xfId="0" applyAlignment="1" applyFont="1">
      <alignment vertical="bottom"/>
    </xf>
    <xf borderId="0" fillId="5" fontId="8" numFmtId="49" xfId="0" applyAlignment="1" applyFont="1" applyNumberFormat="1">
      <alignment vertical="bottom"/>
    </xf>
    <xf borderId="0" fillId="10" fontId="8" numFmtId="0" xfId="0" applyAlignment="1" applyFont="1">
      <alignment vertical="bottom"/>
    </xf>
    <xf borderId="0" fillId="11" fontId="22" numFmtId="0" xfId="0" applyAlignment="1" applyFont="1">
      <alignment shrinkToFit="0" vertical="bottom" wrapText="1"/>
    </xf>
    <xf borderId="0" fillId="12" fontId="22" numFmtId="0" xfId="0" applyAlignment="1" applyFont="1">
      <alignment shrinkToFit="0" vertical="bottom" wrapText="1"/>
    </xf>
    <xf borderId="0" fillId="18" fontId="22" numFmtId="0" xfId="0" applyAlignment="1" applyFont="1">
      <alignment shrinkToFit="0" vertical="bottom" wrapText="1"/>
    </xf>
    <xf borderId="0" fillId="5" fontId="22" numFmtId="0" xfId="0" applyAlignment="1" applyFont="1">
      <alignment shrinkToFit="0" vertical="bottom" wrapText="1"/>
    </xf>
    <xf borderId="0" fillId="11" fontId="25" numFmtId="0" xfId="0" applyAlignment="1" applyFont="1">
      <alignment vertical="bottom"/>
    </xf>
    <xf borderId="0" fillId="14" fontId="22" numFmtId="0" xfId="0" applyAlignment="1" applyFont="1">
      <alignment shrinkToFit="0" vertical="bottom" wrapText="1"/>
    </xf>
    <xf borderId="0" fillId="16" fontId="22" numFmtId="0" xfId="0" applyAlignment="1" applyFont="1">
      <alignment shrinkToFit="0" vertical="bottom" wrapText="1"/>
    </xf>
    <xf borderId="0" fillId="16" fontId="8" numFmtId="0" xfId="0" applyAlignment="1" applyFont="1">
      <alignment vertical="bottom"/>
    </xf>
    <xf borderId="0" fillId="15" fontId="8" numFmtId="0" xfId="0" applyAlignment="1" applyFont="1">
      <alignment vertical="bottom"/>
    </xf>
    <xf borderId="0" fillId="11" fontId="8" numFmtId="0" xfId="0" applyAlignment="1" applyFont="1">
      <alignment vertical="bottom"/>
    </xf>
    <xf borderId="0" fillId="7" fontId="8" numFmtId="0" xfId="0" applyAlignment="1" applyFont="1">
      <alignment vertical="bottom"/>
    </xf>
    <xf borderId="0" fillId="18" fontId="8" numFmtId="49" xfId="0" applyAlignment="1" applyFont="1" applyNumberFormat="1">
      <alignment vertical="bottom"/>
    </xf>
    <xf borderId="0" fillId="23" fontId="22" numFmtId="0" xfId="0" applyAlignment="1" applyFont="1">
      <alignment shrinkToFit="0" vertical="bottom" wrapText="1"/>
    </xf>
    <xf borderId="0" fillId="24" fontId="22" numFmtId="0" xfId="0" applyAlignment="1" applyFont="1">
      <alignment shrinkToFit="0" vertical="bottom" wrapText="1"/>
    </xf>
    <xf borderId="0" fillId="24" fontId="22" numFmtId="49" xfId="0" applyAlignment="1" applyFont="1" applyNumberFormat="1">
      <alignment shrinkToFit="0" vertical="bottom" wrapText="1"/>
    </xf>
    <xf borderId="0" fillId="10" fontId="22" numFmtId="0" xfId="0" applyAlignment="1" applyFont="1">
      <alignment vertical="bottom"/>
    </xf>
    <xf borderId="0" fillId="9" fontId="10" numFmtId="0" xfId="0" applyAlignment="1" applyFont="1">
      <alignment horizontal="left" readingOrder="0" shrinkToFit="0" wrapText="1"/>
    </xf>
    <xf borderId="0" fillId="7" fontId="9" numFmtId="49" xfId="0" applyAlignment="1" applyFont="1" applyNumberFormat="1">
      <alignment shrinkToFit="0" vertical="bottom" wrapText="1"/>
    </xf>
    <xf borderId="0" fillId="17" fontId="9" numFmtId="49" xfId="0" applyAlignment="1" applyFont="1" applyNumberFormat="1">
      <alignment shrinkToFit="0" vertical="bottom" wrapText="1"/>
    </xf>
    <xf borderId="0" fillId="13" fontId="9" numFmtId="49" xfId="0" applyAlignment="1" applyFont="1" applyNumberFormat="1">
      <alignment shrinkToFit="0" vertical="bottom" wrapText="1"/>
    </xf>
    <xf borderId="0" fillId="21" fontId="9" numFmtId="0" xfId="0" applyAlignment="1" applyFont="1">
      <alignment shrinkToFit="0" vertical="bottom" wrapText="1"/>
    </xf>
    <xf borderId="0" fillId="8" fontId="43" numFmtId="0" xfId="0" applyAlignment="1" applyFont="1">
      <alignment shrinkToFit="0" vertical="bottom" wrapText="1"/>
    </xf>
    <xf borderId="0" fillId="12" fontId="22" numFmtId="49" xfId="0" applyAlignment="1" applyFont="1" applyNumberFormat="1">
      <alignment readingOrder="0" shrinkToFit="0" vertical="bottom" wrapText="1"/>
    </xf>
  </cellXfs>
  <cellStyles count="1">
    <cellStyle xfId="0" name="Normal" builtinId="0"/>
  </cellStyles>
  <dxfs count="38">
    <dxf>
      <font/>
      <fill>
        <patternFill patternType="solid">
          <fgColor rgb="FFFFD44B"/>
          <bgColor rgb="FFFFD44B"/>
        </patternFill>
      </fill>
      <border/>
    </dxf>
    <dxf>
      <font/>
      <fill>
        <patternFill patternType="solid">
          <fgColor rgb="FFFFBB57"/>
          <bgColor rgb="FFFFBB57"/>
        </patternFill>
      </fill>
      <border/>
    </dxf>
    <dxf>
      <font/>
      <fill>
        <patternFill patternType="solid">
          <fgColor rgb="FFFBD4B4"/>
          <bgColor rgb="FFFBD4B4"/>
        </patternFill>
      </fill>
      <border/>
    </dxf>
    <dxf>
      <font/>
      <fill>
        <patternFill patternType="solid">
          <fgColor rgb="FFDBE5F1"/>
          <bgColor rgb="FFDBE5F1"/>
        </patternFill>
      </fill>
      <border/>
    </dxf>
    <dxf>
      <font/>
      <fill>
        <patternFill patternType="solid">
          <fgColor rgb="FF99BCE7"/>
          <bgColor rgb="FF99BCE7"/>
        </patternFill>
      </fill>
      <border/>
    </dxf>
    <dxf>
      <font/>
      <fill>
        <patternFill patternType="solid">
          <fgColor rgb="FFEAF1DD"/>
          <bgColor rgb="FFEAF1DD"/>
        </patternFill>
      </fill>
      <border/>
    </dxf>
    <dxf>
      <font/>
      <fill>
        <patternFill patternType="solid">
          <fgColor rgb="FFFF6969"/>
          <bgColor rgb="FFFF6969"/>
        </patternFill>
      </fill>
      <border/>
    </dxf>
    <dxf>
      <font/>
      <fill>
        <patternFill patternType="solid">
          <fgColor rgb="FFE7D480"/>
          <bgColor rgb="FFE7D480"/>
        </patternFill>
      </fill>
      <border/>
    </dxf>
    <dxf>
      <font/>
      <fill>
        <patternFill patternType="solid">
          <fgColor rgb="FFDDE8C6"/>
          <bgColor rgb="FFDDE8C6"/>
        </patternFill>
      </fill>
      <border/>
    </dxf>
    <dxf>
      <font/>
      <fill>
        <patternFill patternType="solid">
          <fgColor rgb="FFE3E0CF"/>
          <bgColor rgb="FFE3E0CF"/>
        </patternFill>
      </fill>
      <border/>
    </dxf>
    <dxf>
      <font/>
      <fill>
        <patternFill patternType="solid">
          <fgColor rgb="FFFBFB00"/>
          <bgColor rgb="FFFBFB00"/>
        </patternFill>
      </fill>
      <border/>
    </dxf>
    <dxf>
      <font/>
      <fill>
        <patternFill patternType="solid">
          <fgColor rgb="FFCCC0D9"/>
          <bgColor rgb="FFCCC0D9"/>
        </patternFill>
      </fill>
      <border/>
    </dxf>
    <dxf>
      <font/>
      <fill>
        <patternFill patternType="solid">
          <fgColor rgb="FFF2DBDA"/>
          <bgColor rgb="FFF2DBDA"/>
        </patternFill>
      </fill>
      <border/>
    </dxf>
    <dxf>
      <font/>
      <fill>
        <patternFill patternType="solid">
          <fgColor rgb="FFBA005D"/>
          <bgColor rgb="FFBA005D"/>
        </patternFill>
      </fill>
      <border/>
    </dxf>
    <dxf>
      <font/>
      <fill>
        <patternFill patternType="solid">
          <fgColor rgb="FFBFBFBF"/>
          <bgColor rgb="FFBFBFBF"/>
        </patternFill>
      </fill>
      <border/>
    </dxf>
    <dxf>
      <font/>
      <fill>
        <patternFill patternType="solid">
          <fgColor rgb="FF9E004F"/>
          <bgColor rgb="FF9E004F"/>
        </patternFill>
      </fill>
      <border/>
    </dxf>
    <dxf>
      <font/>
      <fill>
        <patternFill patternType="solid">
          <fgColor rgb="FFE1AAA9"/>
          <bgColor rgb="FFE1AAA9"/>
        </patternFill>
      </fill>
      <border/>
    </dxf>
    <dxf>
      <font/>
      <fill>
        <patternFill patternType="solid">
          <fgColor rgb="FFB2A1C7"/>
          <bgColor rgb="FFB2A1C7"/>
        </patternFill>
      </fill>
      <border/>
    </dxf>
    <dxf>
      <font/>
      <fill>
        <patternFill patternType="solid">
          <fgColor rgb="FFE4E300"/>
          <bgColor rgb="FFE4E300"/>
        </patternFill>
      </fill>
      <border/>
    </dxf>
    <dxf>
      <font/>
      <fill>
        <patternFill patternType="solid">
          <fgColor rgb="FFDCC97A"/>
          <bgColor rgb="FFDCC97A"/>
        </patternFill>
      </fill>
      <border/>
    </dxf>
    <dxf>
      <font/>
      <fill>
        <patternFill patternType="solid">
          <fgColor rgb="FFC2D69B"/>
          <bgColor rgb="FFC2D69B"/>
        </patternFill>
      </fill>
      <border/>
    </dxf>
    <dxf>
      <font/>
      <fill>
        <patternFill patternType="solid">
          <fgColor rgb="FFC4BD97"/>
          <bgColor rgb="FFC4BD97"/>
        </patternFill>
      </fill>
      <border/>
    </dxf>
    <dxf>
      <font/>
      <fill>
        <patternFill patternType="solid">
          <fgColor rgb="FFFF0000"/>
          <bgColor rgb="FFFF0000"/>
        </patternFill>
      </fill>
      <border/>
    </dxf>
    <dxf>
      <font/>
      <fill>
        <patternFill patternType="solid">
          <fgColor rgb="FFF2F2F2"/>
          <bgColor rgb="FFF2F2F2"/>
        </patternFill>
      </fill>
      <border/>
    </dxf>
    <dxf>
      <font/>
      <fill>
        <patternFill patternType="solid">
          <fgColor rgb="FFD6E3BC"/>
          <bgColor rgb="FFD6E3BC"/>
        </patternFill>
      </fill>
      <border/>
    </dxf>
    <dxf>
      <font/>
      <fill>
        <patternFill patternType="solid">
          <fgColor rgb="FF4685D2"/>
          <bgColor rgb="FF4685D2"/>
        </patternFill>
      </fill>
      <border/>
    </dxf>
    <dxf>
      <font/>
      <fill>
        <patternFill patternType="solid">
          <fgColor rgb="FFB8CCE4"/>
          <bgColor rgb="FFB8CCE4"/>
        </patternFill>
      </fill>
      <border/>
    </dxf>
    <dxf>
      <font/>
      <fill>
        <patternFill patternType="solid">
          <fgColor rgb="FFFABF8F"/>
          <bgColor rgb="FFFABF8F"/>
        </patternFill>
      </fill>
      <border/>
    </dxf>
    <dxf>
      <font/>
      <fill>
        <patternFill patternType="solid">
          <fgColor rgb="FFFF9900"/>
          <bgColor rgb="FFFF9900"/>
        </patternFill>
      </fill>
      <border/>
    </dxf>
    <dxf>
      <font/>
      <fill>
        <patternFill patternType="solid">
          <fgColor rgb="FFEEB400"/>
          <bgColor rgb="FFEEB400"/>
        </patternFill>
      </fill>
      <border/>
    </dxf>
    <dxf>
      <font/>
      <fill>
        <patternFill patternType="solid">
          <fgColor rgb="FFD8D8D8"/>
          <bgColor rgb="FFD8D8D8"/>
        </patternFill>
      </fill>
      <border/>
    </dxf>
    <dxf>
      <font/>
      <fill>
        <patternFill patternType="solid">
          <fgColor rgb="FF92CDDC"/>
          <bgColor rgb="FF92CDDC"/>
        </patternFill>
      </fill>
      <border/>
    </dxf>
    <dxf>
      <font/>
      <fill>
        <patternFill patternType="solid">
          <fgColor rgb="FFEAEB74"/>
          <bgColor rgb="FFEAEB74"/>
        </patternFill>
      </fill>
      <border/>
    </dxf>
    <dxf>
      <font/>
      <fill>
        <patternFill patternType="solid">
          <fgColor rgb="FFBBBB59"/>
          <bgColor rgb="FFBBBB59"/>
        </patternFill>
      </fill>
      <border/>
    </dxf>
    <dxf>
      <font/>
      <fill>
        <patternFill patternType="solid">
          <fgColor theme="8"/>
          <bgColor theme="8"/>
        </patternFill>
      </fill>
      <border/>
    </dxf>
    <dxf>
      <font/>
      <fill>
        <patternFill patternType="solid">
          <fgColor rgb="FFFF6D9E"/>
          <bgColor rgb="FFFF6D9E"/>
        </patternFill>
      </fill>
      <border/>
    </dxf>
    <dxf>
      <font/>
      <fill>
        <patternFill patternType="none"/>
      </fill>
      <border>
        <top style="thin">
          <color rgb="FF000000"/>
        </top>
      </border>
    </dxf>
    <dxf>
      <font/>
      <fill>
        <patternFill patternType="solid">
          <fgColor rgb="FFFFC7CE"/>
          <bgColor rgb="FFFFC7CE"/>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40" Type="http://schemas.openxmlformats.org/officeDocument/2006/relationships/hyperlink" Target="https://docs.surveycto.com/02-designing-forms/01-core-concepts/03s.field-types-deviceid.html" TargetMode="External"/><Relationship Id="rId42" Type="http://schemas.openxmlformats.org/officeDocument/2006/relationships/hyperlink" Target="https://docs.surveycto.com/02-designing-forms/01-core-concepts/03v.field-types-simserial.html" TargetMode="External"/><Relationship Id="rId41" Type="http://schemas.openxmlformats.org/officeDocument/2006/relationships/hyperlink" Target="https://docs.surveycto.com/02-designing-forms/01-core-concepts/03u.field-types-subscriberid.html" TargetMode="External"/><Relationship Id="rId44" Type="http://schemas.openxmlformats.org/officeDocument/2006/relationships/hyperlink" Target="https://docs.surveycto.com/02-designing-forms/01-core-concepts/03w.field-types-phonenumber.html" TargetMode="External"/><Relationship Id="rId43" Type="http://schemas.openxmlformats.org/officeDocument/2006/relationships/hyperlink" Target="https://docs.surveycto.com/02-designing-forms/01-core-concepts/03y.field-types-caseid.html" TargetMode="External"/><Relationship Id="rId46" Type="http://schemas.openxmlformats.org/officeDocument/2006/relationships/hyperlink" Target="https://docs.surveycto.com/02-designing-forms/01-core-concepts/03zd.field-types-text-audit.html" TargetMode="External"/><Relationship Id="rId45" Type="http://schemas.openxmlformats.org/officeDocument/2006/relationships/hyperlink" Target="https://docs.surveycto.com/02-designing-forms/01-core-concepts/03za.field-types-comments.html" TargetMode="External"/><Relationship Id="rId1" Type="http://schemas.openxmlformats.org/officeDocument/2006/relationships/hyperlink" Target="https://docs.surveycto.com/02-designing-forms/02-additional-topics/07.translating.html" TargetMode="External"/><Relationship Id="rId2" Type="http://schemas.openxmlformats.org/officeDocument/2006/relationships/hyperlink" Target="https://docs.surveycto.com/02-designing-forms/02-additional-topics/07.translating.html" TargetMode="External"/><Relationship Id="rId3" Type="http://schemas.openxmlformats.org/officeDocument/2006/relationships/hyperlink" Target="https://docs.surveycto.com/02-designing-forms/03-advanced-topics/03.preloading.html" TargetMode="External"/><Relationship Id="rId4" Type="http://schemas.openxmlformats.org/officeDocument/2006/relationships/hyperlink" Target="https://docs.surveycto.com/02-designing-forms/01-core-concepts/07.constraints.html" TargetMode="External"/><Relationship Id="rId9" Type="http://schemas.openxmlformats.org/officeDocument/2006/relationships/hyperlink" Target="https://docs.surveycto.com/02-designing-forms/01-core-concepts/05.other-columns.html" TargetMode="External"/><Relationship Id="rId48" Type="http://schemas.openxmlformats.org/officeDocument/2006/relationships/hyperlink" Target="https://docs.surveycto.com/02-designing-forms/01-core-concepts/06.groups.html" TargetMode="External"/><Relationship Id="rId47" Type="http://schemas.openxmlformats.org/officeDocument/2006/relationships/hyperlink" Target="https://docs.surveycto.com/02-designing-forms/01-core-concepts/06.groups.html" TargetMode="External"/><Relationship Id="rId49" Type="http://schemas.openxmlformats.org/officeDocument/2006/relationships/hyperlink" Target="https://docs.surveycto.com/02-designing-forms/01-core-concepts/06.groups.html" TargetMode="External"/><Relationship Id="rId5" Type="http://schemas.openxmlformats.org/officeDocument/2006/relationships/hyperlink" Target="https://docs.surveycto.com/02-designing-forms/01-core-concepts/07.constraints.html" TargetMode="External"/><Relationship Id="rId6" Type="http://schemas.openxmlformats.org/officeDocument/2006/relationships/hyperlink" Target="https://docs.surveycto.com/02-designing-forms/01-core-concepts/08.relevance.html" TargetMode="External"/><Relationship Id="rId7" Type="http://schemas.openxmlformats.org/officeDocument/2006/relationships/hyperlink" Target="https://docs.surveycto.com/02-designing-forms/01-core-concepts/05.other-columns.html" TargetMode="External"/><Relationship Id="rId8" Type="http://schemas.openxmlformats.org/officeDocument/2006/relationships/hyperlink" Target="https://docs.surveycto.com/02-designing-forms/01-core-concepts/05.other-columns.html" TargetMode="External"/><Relationship Id="rId31" Type="http://schemas.openxmlformats.org/officeDocument/2006/relationships/hyperlink" Target="https://docs.surveycto.com/02-designing-forms/01-core-concepts/03j2.field-types-geoshape.html" TargetMode="External"/><Relationship Id="rId30" Type="http://schemas.openxmlformats.org/officeDocument/2006/relationships/hyperlink" Target="https://docs.surveycto.com/02-designing-forms/01-core-concepts/03j.field-types-geopoint.html" TargetMode="External"/><Relationship Id="rId33" Type="http://schemas.openxmlformats.org/officeDocument/2006/relationships/hyperlink" Target="https://docs.surveycto.com/02-designing-forms/01-core-concepts/03k.field-types-barcode.html" TargetMode="External"/><Relationship Id="rId32" Type="http://schemas.openxmlformats.org/officeDocument/2006/relationships/hyperlink" Target="https://docs.surveycto.com/02-designing-forms/01-core-concepts/03j3.field-types-geotrace.html" TargetMode="External"/><Relationship Id="rId35" Type="http://schemas.openxmlformats.org/officeDocument/2006/relationships/hyperlink" Target="https://docs.surveycto.com/02-designing-forms/01-core-concepts/03o.field-types-video.html" TargetMode="External"/><Relationship Id="rId34" Type="http://schemas.openxmlformats.org/officeDocument/2006/relationships/hyperlink" Target="https://docs.surveycto.com/02-designing-forms/01-core-concepts/03n.field-types-audio.html" TargetMode="External"/><Relationship Id="rId37" Type="http://schemas.openxmlformats.org/officeDocument/2006/relationships/hyperlink" Target="https://docs.surveycto.com/02-designing-forms/01-core-concepts/03p.field-types-note.html" TargetMode="External"/><Relationship Id="rId36" Type="http://schemas.openxmlformats.org/officeDocument/2006/relationships/hyperlink" Target="https://docs.surveycto.com/02-designing-forms/01-core-concepts/03o2.field-types-file.html" TargetMode="External"/><Relationship Id="rId39" Type="http://schemas.openxmlformats.org/officeDocument/2006/relationships/hyperlink" Target="https://docs.surveycto.com/02-designing-forms/01-core-concepts/03r.field-types-end.html" TargetMode="External"/><Relationship Id="rId38" Type="http://schemas.openxmlformats.org/officeDocument/2006/relationships/hyperlink" Target="https://docs.surveycto.com/02-designing-forms/01-core-concepts/03q.field-types-start.html" TargetMode="External"/><Relationship Id="rId20" Type="http://schemas.openxmlformats.org/officeDocument/2006/relationships/hyperlink" Target="https://docs.surveycto.com/02-designing-forms/02-additional-topics/04.printable-copies.html" TargetMode="External"/><Relationship Id="rId22" Type="http://schemas.openxmlformats.org/officeDocument/2006/relationships/hyperlink" Target="https://docs.surveycto.com/02-designing-forms/02-additional-topics/06.encrypting.html" TargetMode="External"/><Relationship Id="rId21" Type="http://schemas.openxmlformats.org/officeDocument/2006/relationships/hyperlink" Target="https://docs.surveycto.com/02-designing-forms/02-additional-topics/04.printable-copies.html" TargetMode="External"/><Relationship Id="rId24" Type="http://schemas.openxmlformats.org/officeDocument/2006/relationships/hyperlink" Target="https://docs.surveycto.com/02-designing-forms/01-core-concepts/03zh.field-types-enumerator.html" TargetMode="External"/><Relationship Id="rId23" Type="http://schemas.openxmlformats.org/officeDocument/2006/relationships/hyperlink" Target="https://docs.surveycto.com/04-monitoring-and-management/02-managing-for-quality/01.collecting-high-quality-data.html" TargetMode="External"/><Relationship Id="rId26" Type="http://schemas.openxmlformats.org/officeDocument/2006/relationships/hyperlink" Target="https://docs.surveycto.com/02-designing-forms/01-core-concepts/03zh.field-types-enumerator.html" TargetMode="External"/><Relationship Id="rId25" Type="http://schemas.openxmlformats.org/officeDocument/2006/relationships/hyperlink" Target="https://docs.surveycto.com/02-designing-forms/01-core-concepts/03zh.field-types-enumerator.html" TargetMode="External"/><Relationship Id="rId28" Type="http://schemas.openxmlformats.org/officeDocument/2006/relationships/hyperlink" Target="https://docs.surveycto.com/02-designing-forms/01-core-concepts/03f.field-types-integer.html" TargetMode="External"/><Relationship Id="rId27" Type="http://schemas.openxmlformats.org/officeDocument/2006/relationships/hyperlink" Target="https://docs.surveycto.com/02-designing-forms/01-core-concepts/03zh.field-types-enumerator.html" TargetMode="External"/><Relationship Id="rId29" Type="http://schemas.openxmlformats.org/officeDocument/2006/relationships/hyperlink" Target="https://docs.surveycto.com/02-designing-forms/01-core-concepts/03g.field-types-decimal.html" TargetMode="External"/><Relationship Id="rId51" Type="http://schemas.openxmlformats.org/officeDocument/2006/relationships/hyperlink" Target="https://docs.surveycto.com/02-designing-forms/01-core-concepts/03zf.field-types-sensor-statistic.html" TargetMode="External"/><Relationship Id="rId50" Type="http://schemas.openxmlformats.org/officeDocument/2006/relationships/hyperlink" Target="https://docs.surveycto.com/02-designing-forms/01-core-concepts/03zg.field-types-sensor-stream.html" TargetMode="External"/><Relationship Id="rId53" Type="http://schemas.openxmlformats.org/officeDocument/2006/relationships/drawing" Target="../drawings/drawing4.xml"/><Relationship Id="rId52" Type="http://schemas.openxmlformats.org/officeDocument/2006/relationships/hyperlink" Target="https://docs.surveycto.com/02-designing-forms/01-core-concepts/09.expressions.html" TargetMode="External"/><Relationship Id="rId11" Type="http://schemas.openxmlformats.org/officeDocument/2006/relationships/hyperlink" Target="https://docs.surveycto.com/02-designing-forms/01-core-concepts/03zb.field-types-calculate.html" TargetMode="External"/><Relationship Id="rId10" Type="http://schemas.openxmlformats.org/officeDocument/2006/relationships/hyperlink" Target="https://docs.surveycto.com/02-designing-forms/01-core-concepts/05.other-columns.html" TargetMode="External"/><Relationship Id="rId13" Type="http://schemas.openxmlformats.org/officeDocument/2006/relationships/hyperlink" Target="https://docs.surveycto.com/02-designing-forms/04-sample-forms/04.images.html" TargetMode="External"/><Relationship Id="rId12" Type="http://schemas.openxmlformats.org/officeDocument/2006/relationships/hyperlink" Target="https://docs.surveycto.com/02-designing-forms/01-core-concepts/06.groups.html" TargetMode="External"/><Relationship Id="rId15" Type="http://schemas.openxmlformats.org/officeDocument/2006/relationships/hyperlink" Target="https://docs.surveycto.com/02-designing-forms/01-core-concepts/05.other-columns.html" TargetMode="External"/><Relationship Id="rId14" Type="http://schemas.openxmlformats.org/officeDocument/2006/relationships/hyperlink" Target="https://docs.surveycto.com/02-designing-forms/01-core-concepts/05.other-columns.html" TargetMode="External"/><Relationship Id="rId17" Type="http://schemas.openxmlformats.org/officeDocument/2006/relationships/hyperlink" Target="https://docs.surveycto.com/02-designing-forms/02-additional-topics/07.translating.html" TargetMode="External"/><Relationship Id="rId16" Type="http://schemas.openxmlformats.org/officeDocument/2006/relationships/hyperlink" Target="https://docs.surveycto.com/02-designing-forms/02-additional-topics/07.translating.html" TargetMode="External"/><Relationship Id="rId19" Type="http://schemas.openxmlformats.org/officeDocument/2006/relationships/hyperlink" Target="https://docs.surveycto.com/02-designing-forms/03-advanced-topics/02.cascading-selects.html" TargetMode="External"/><Relationship Id="rId18" Type="http://schemas.openxmlformats.org/officeDocument/2006/relationships/hyperlink" Target="https://docs.surveycto.com/02-designing-forms/02-additional-topics/07.translating.html"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docs.surveycto.com/02-designing-forms/02-additional-topics/07.translating.html" TargetMode="External"/><Relationship Id="rId2" Type="http://schemas.openxmlformats.org/officeDocument/2006/relationships/hyperlink" Target="https://docs.surveycto.com/02-designing-forms/04-sample-forms/04.images.html" TargetMode="External"/><Relationship Id="rId3" Type="http://schemas.openxmlformats.org/officeDocument/2006/relationships/hyperlink" Target="https://docs.surveycto.com/02-designing-forms/03-advanced-topics/02.cascading-selects.html" TargetMode="External"/><Relationship Id="rId4"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docs.surveycto.com/02-designing-forms/02-additional-topics/08.hiding-test-forms.html" TargetMode="External"/><Relationship Id="rId2" Type="http://schemas.openxmlformats.org/officeDocument/2006/relationships/hyperlink" Target="https://docs.surveycto.com/02-designing-forms/01-core-concepts/10.updating.html" TargetMode="External"/><Relationship Id="rId3" Type="http://schemas.openxmlformats.org/officeDocument/2006/relationships/hyperlink" Target="https://docs.surveycto.com/02-designing-forms/02-additional-topics/06.encrypting.html" TargetMode="External"/><Relationship Id="rId4" Type="http://schemas.openxmlformats.org/officeDocument/2006/relationships/hyperlink" Target="https://docs.surveycto.com/02-designing-forms/02-additional-topics/06.encrypting.html" TargetMode="External"/><Relationship Id="rId5" Type="http://schemas.openxmlformats.org/officeDocument/2006/relationships/hyperlink" Target="https://docs.surveycto.com/02-designing-forms/02-additional-topics/07.translating.html" TargetMode="External"/><Relationship Id="rId6"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1.22" defaultRowHeight="15.0"/>
  <cols>
    <col customWidth="1" min="1" max="1" width="29.0"/>
    <col customWidth="1" min="2" max="2" width="27.0"/>
    <col customWidth="1" min="3" max="5" width="42.33"/>
    <col customWidth="1" min="6" max="6" width="16.0"/>
    <col customWidth="1" min="7" max="7" width="14.22"/>
    <col customWidth="1" min="8" max="8" width="16.78"/>
    <col customWidth="1" min="9" max="14" width="42.33"/>
    <col customWidth="1" min="15" max="15" width="23.33"/>
    <col customWidth="1" min="16" max="17" width="8.33"/>
    <col customWidth="1" min="18" max="18" width="18.0"/>
    <col customWidth="1" min="19" max="19" width="9.11"/>
    <col customWidth="1" min="20" max="20" width="53.0"/>
    <col customWidth="1" min="21" max="21" width="17.67"/>
    <col customWidth="1" min="22" max="22" width="12.0"/>
    <col customWidth="1" min="23" max="23" width="11.67"/>
    <col customWidth="1" min="24" max="24" width="11.44"/>
    <col customWidth="1" min="25" max="25" width="26.89"/>
    <col customWidth="1" min="26" max="27" width="48.0"/>
    <col customWidth="1" min="28" max="28" width="10.78"/>
    <col customWidth="1" min="29" max="29" width="17.0"/>
    <col customWidth="1" min="30" max="50" width="11.0"/>
  </cols>
  <sheetData>
    <row r="1" ht="18.0" customHeight="1">
      <c r="A1" s="4" t="s">
        <v>5</v>
      </c>
      <c r="B1" s="7" t="s">
        <v>6</v>
      </c>
      <c r="C1" s="7" t="s">
        <v>8</v>
      </c>
      <c r="D1" s="7" t="s">
        <v>10</v>
      </c>
      <c r="E1" s="7" t="s">
        <v>12</v>
      </c>
      <c r="F1" s="7" t="s">
        <v>14</v>
      </c>
      <c r="G1" s="7" t="s">
        <v>15</v>
      </c>
      <c r="H1" s="7" t="s">
        <v>16</v>
      </c>
      <c r="I1" s="7" t="s">
        <v>17</v>
      </c>
      <c r="J1" s="7" t="s">
        <v>18</v>
      </c>
      <c r="K1" s="7" t="s">
        <v>19</v>
      </c>
      <c r="L1" s="7" t="s">
        <v>20</v>
      </c>
      <c r="M1" s="7" t="s">
        <v>21</v>
      </c>
      <c r="N1" s="7" t="s">
        <v>22</v>
      </c>
      <c r="O1" s="7" t="s">
        <v>24</v>
      </c>
      <c r="P1" s="7" t="s">
        <v>25</v>
      </c>
      <c r="Q1" s="7" t="s">
        <v>27</v>
      </c>
      <c r="R1" s="7" t="s">
        <v>28</v>
      </c>
      <c r="S1" s="7" t="s">
        <v>30</v>
      </c>
      <c r="T1" s="7" t="s">
        <v>31</v>
      </c>
      <c r="U1" s="7" t="s">
        <v>32</v>
      </c>
      <c r="V1" s="7" t="s">
        <v>34</v>
      </c>
      <c r="W1" s="7" t="s">
        <v>36</v>
      </c>
      <c r="X1" s="7" t="s">
        <v>38</v>
      </c>
      <c r="Y1" s="7" t="s">
        <v>40</v>
      </c>
      <c r="Z1" s="7" t="s">
        <v>41</v>
      </c>
      <c r="AA1" s="7" t="s">
        <v>42</v>
      </c>
      <c r="AB1" s="7" t="s">
        <v>43</v>
      </c>
      <c r="AC1" s="7" t="s">
        <v>44</v>
      </c>
      <c r="AD1" s="7"/>
      <c r="AE1" s="7"/>
      <c r="AF1" s="7"/>
      <c r="AG1" s="7"/>
      <c r="AH1" s="7"/>
      <c r="AI1" s="7"/>
      <c r="AJ1" s="7"/>
      <c r="AK1" s="7"/>
      <c r="AL1" s="7"/>
      <c r="AM1" s="7"/>
      <c r="AN1" s="7"/>
      <c r="AO1" s="7"/>
      <c r="AP1" s="7"/>
      <c r="AQ1" s="7"/>
      <c r="AR1" s="7"/>
      <c r="AS1" s="7"/>
      <c r="AT1" s="7"/>
      <c r="AU1" s="7"/>
      <c r="AV1" s="7"/>
      <c r="AW1" s="7"/>
      <c r="AX1" s="7"/>
    </row>
    <row r="2" ht="15.75" customHeight="1">
      <c r="A2" s="24" t="s">
        <v>46</v>
      </c>
      <c r="B2" s="24" t="s">
        <v>48</v>
      </c>
      <c r="C2" s="28"/>
      <c r="D2" s="28"/>
      <c r="E2" s="28"/>
      <c r="F2" s="28"/>
      <c r="G2" s="28"/>
      <c r="H2" s="28"/>
      <c r="I2" s="28"/>
      <c r="J2" s="28"/>
      <c r="K2" s="28"/>
      <c r="L2" s="28"/>
      <c r="M2" s="28"/>
      <c r="N2" s="28"/>
      <c r="O2" s="24"/>
      <c r="P2" s="24"/>
      <c r="Q2" s="24"/>
      <c r="R2" s="24"/>
      <c r="S2" s="24"/>
      <c r="T2" s="24"/>
      <c r="U2" s="24"/>
      <c r="V2" s="24"/>
      <c r="W2" s="24"/>
      <c r="X2" s="24"/>
      <c r="Y2" s="24"/>
      <c r="Z2" s="24"/>
      <c r="AA2" s="24"/>
      <c r="AB2" s="24"/>
      <c r="AC2" s="24"/>
      <c r="AD2" s="24"/>
      <c r="AE2" s="24"/>
      <c r="AF2" s="24"/>
      <c r="AG2" s="24"/>
      <c r="AH2" s="24"/>
      <c r="AI2" s="24"/>
      <c r="AJ2" s="24"/>
      <c r="AK2" s="24"/>
      <c r="AL2" s="24"/>
      <c r="AM2" s="24"/>
      <c r="AN2" s="24"/>
      <c r="AO2" s="24"/>
      <c r="AP2" s="24"/>
      <c r="AQ2" s="24"/>
      <c r="AR2" s="24"/>
      <c r="AS2" s="24"/>
      <c r="AT2" s="24"/>
      <c r="AU2" s="24"/>
      <c r="AV2" s="24"/>
      <c r="AW2" s="24"/>
      <c r="AX2" s="24"/>
    </row>
    <row r="3" ht="15.75" customHeight="1">
      <c r="A3" s="24" t="s">
        <v>54</v>
      </c>
      <c r="B3" s="24" t="s">
        <v>56</v>
      </c>
      <c r="C3" s="28"/>
      <c r="D3" s="28"/>
      <c r="E3" s="28"/>
      <c r="F3" s="28"/>
      <c r="G3" s="28"/>
      <c r="H3" s="28"/>
      <c r="I3" s="28"/>
      <c r="J3" s="28"/>
      <c r="K3" s="28"/>
      <c r="L3" s="28"/>
      <c r="M3" s="28"/>
      <c r="N3" s="28"/>
      <c r="O3" s="24"/>
      <c r="P3" s="24"/>
      <c r="Q3" s="24"/>
      <c r="R3" s="24"/>
      <c r="S3" s="24"/>
      <c r="T3" s="24"/>
      <c r="U3" s="24"/>
      <c r="V3" s="24"/>
      <c r="W3" s="24"/>
      <c r="X3" s="24"/>
      <c r="Y3" s="24"/>
      <c r="Z3" s="24"/>
      <c r="AA3" s="24"/>
      <c r="AB3" s="24"/>
      <c r="AC3" s="24"/>
      <c r="AD3" s="24"/>
      <c r="AE3" s="24"/>
      <c r="AF3" s="24"/>
      <c r="AG3" s="24"/>
      <c r="AH3" s="24"/>
      <c r="AI3" s="24"/>
      <c r="AJ3" s="24"/>
      <c r="AK3" s="24"/>
      <c r="AL3" s="24"/>
      <c r="AM3" s="24"/>
      <c r="AN3" s="24"/>
      <c r="AO3" s="24"/>
      <c r="AP3" s="24"/>
      <c r="AQ3" s="24"/>
      <c r="AR3" s="24"/>
      <c r="AS3" s="24"/>
      <c r="AT3" s="24"/>
      <c r="AU3" s="24"/>
      <c r="AV3" s="24"/>
      <c r="AW3" s="24"/>
      <c r="AX3" s="24"/>
    </row>
    <row r="4" ht="15.75" customHeight="1">
      <c r="A4" s="24" t="s">
        <v>59</v>
      </c>
      <c r="B4" s="24" t="s">
        <v>59</v>
      </c>
      <c r="C4" s="28"/>
      <c r="D4" s="28"/>
      <c r="E4" s="28"/>
      <c r="F4" s="28"/>
      <c r="G4" s="28"/>
      <c r="H4" s="28"/>
      <c r="I4" s="28"/>
      <c r="J4" s="28"/>
      <c r="K4" s="28"/>
      <c r="L4" s="28"/>
      <c r="M4" s="28"/>
      <c r="N4" s="28"/>
      <c r="O4" s="24"/>
      <c r="P4" s="24"/>
      <c r="Q4" s="24"/>
      <c r="R4" s="24"/>
      <c r="S4" s="24"/>
      <c r="T4" s="24"/>
      <c r="U4" s="24"/>
      <c r="V4" s="24"/>
      <c r="W4" s="24"/>
      <c r="X4" s="24"/>
      <c r="Y4" s="24"/>
      <c r="Z4" s="24"/>
      <c r="AA4" s="24"/>
      <c r="AB4" s="24"/>
      <c r="AC4" s="24"/>
      <c r="AD4" s="24"/>
      <c r="AE4" s="24"/>
      <c r="AF4" s="24"/>
      <c r="AG4" s="24"/>
      <c r="AH4" s="24"/>
      <c r="AI4" s="24"/>
      <c r="AJ4" s="24"/>
      <c r="AK4" s="24"/>
      <c r="AL4" s="24"/>
      <c r="AM4" s="24"/>
      <c r="AN4" s="24"/>
      <c r="AO4" s="24"/>
      <c r="AP4" s="24"/>
      <c r="AQ4" s="24"/>
      <c r="AR4" s="24"/>
      <c r="AS4" s="24"/>
      <c r="AT4" s="24"/>
      <c r="AU4" s="24"/>
      <c r="AV4" s="24"/>
      <c r="AW4" s="24"/>
      <c r="AX4" s="24"/>
    </row>
    <row r="5" ht="15.75" customHeight="1">
      <c r="A5" s="24" t="s">
        <v>62</v>
      </c>
      <c r="B5" s="24" t="s">
        <v>63</v>
      </c>
      <c r="C5" s="28"/>
      <c r="D5" s="28"/>
      <c r="E5" s="28"/>
      <c r="F5" s="28"/>
      <c r="G5" s="28"/>
      <c r="H5" s="28"/>
      <c r="I5" s="28"/>
      <c r="J5" s="28"/>
      <c r="K5" s="28"/>
      <c r="L5" s="28"/>
      <c r="M5" s="28"/>
      <c r="N5" s="28"/>
      <c r="O5" s="24"/>
      <c r="P5" s="24"/>
      <c r="Q5" s="24"/>
      <c r="R5" s="24"/>
      <c r="S5" s="24"/>
      <c r="T5" s="24"/>
      <c r="U5" s="24"/>
      <c r="V5" s="24"/>
      <c r="W5" s="24"/>
      <c r="X5" s="24"/>
      <c r="Y5" s="24"/>
      <c r="Z5" s="24"/>
      <c r="AA5" s="24"/>
      <c r="AB5" s="24"/>
      <c r="AC5" s="24"/>
      <c r="AD5" s="24"/>
      <c r="AE5" s="24"/>
      <c r="AF5" s="24"/>
      <c r="AG5" s="24"/>
      <c r="AH5" s="24"/>
      <c r="AI5" s="24"/>
      <c r="AJ5" s="24"/>
      <c r="AK5" s="24"/>
      <c r="AL5" s="24"/>
      <c r="AM5" s="24"/>
      <c r="AN5" s="24"/>
      <c r="AO5" s="24"/>
      <c r="AP5" s="24"/>
      <c r="AQ5" s="24"/>
      <c r="AR5" s="24"/>
      <c r="AS5" s="24"/>
      <c r="AT5" s="24"/>
      <c r="AU5" s="24"/>
      <c r="AV5" s="24"/>
      <c r="AW5" s="24"/>
      <c r="AX5" s="24"/>
    </row>
    <row r="6" ht="15.75" customHeight="1">
      <c r="A6" s="24" t="s">
        <v>69</v>
      </c>
      <c r="B6" s="24" t="s">
        <v>69</v>
      </c>
      <c r="C6" s="28"/>
      <c r="D6" s="28"/>
      <c r="E6" s="28"/>
      <c r="F6" s="28"/>
      <c r="G6" s="28"/>
      <c r="H6" s="28"/>
      <c r="I6" s="28"/>
      <c r="J6" s="28"/>
      <c r="K6" s="28"/>
      <c r="L6" s="28"/>
      <c r="M6" s="28"/>
      <c r="N6" s="28"/>
      <c r="O6" s="24"/>
      <c r="P6" s="24"/>
      <c r="Q6" s="24"/>
      <c r="R6" s="24"/>
      <c r="S6" s="24"/>
      <c r="T6" s="24"/>
      <c r="U6" s="24"/>
      <c r="V6" s="24"/>
      <c r="W6" s="24"/>
      <c r="X6" s="24"/>
      <c r="Y6" s="24"/>
      <c r="Z6" s="24"/>
      <c r="AA6" s="24"/>
      <c r="AB6" s="24"/>
      <c r="AC6" s="24"/>
      <c r="AD6" s="24"/>
      <c r="AE6" s="24"/>
      <c r="AF6" s="24"/>
      <c r="AG6" s="24"/>
      <c r="AH6" s="24"/>
      <c r="AI6" s="24"/>
      <c r="AJ6" s="24"/>
      <c r="AK6" s="24"/>
      <c r="AL6" s="24"/>
      <c r="AM6" s="24"/>
      <c r="AN6" s="24"/>
      <c r="AO6" s="24"/>
      <c r="AP6" s="24"/>
      <c r="AQ6" s="24"/>
      <c r="AR6" s="24"/>
      <c r="AS6" s="24"/>
      <c r="AT6" s="24"/>
      <c r="AU6" s="24"/>
      <c r="AV6" s="24"/>
      <c r="AW6" s="24"/>
      <c r="AX6" s="24"/>
    </row>
    <row r="7" ht="15.75" customHeight="1">
      <c r="A7" s="24" t="s">
        <v>78</v>
      </c>
      <c r="B7" s="24" t="s">
        <v>80</v>
      </c>
      <c r="C7" s="28"/>
      <c r="D7" s="28"/>
      <c r="E7" s="28"/>
      <c r="F7" s="28"/>
      <c r="G7" s="28"/>
      <c r="H7" s="28"/>
      <c r="I7" s="28"/>
      <c r="J7" s="28"/>
      <c r="K7" s="28"/>
      <c r="L7" s="28"/>
      <c r="M7" s="28"/>
      <c r="N7" s="28"/>
      <c r="O7" s="24"/>
      <c r="P7" s="24"/>
      <c r="Q7" s="24"/>
      <c r="R7" s="24"/>
      <c r="S7" s="24"/>
      <c r="T7" s="24" t="s">
        <v>84</v>
      </c>
      <c r="U7" s="24"/>
      <c r="V7" s="24"/>
      <c r="W7" s="24"/>
      <c r="X7" s="24"/>
      <c r="Y7" s="24"/>
      <c r="Z7" s="24"/>
      <c r="AA7" s="24"/>
      <c r="AB7" s="24"/>
      <c r="AC7" s="24"/>
      <c r="AD7" s="24"/>
      <c r="AE7" s="24"/>
      <c r="AF7" s="24"/>
      <c r="AG7" s="24"/>
      <c r="AH7" s="24"/>
      <c r="AI7" s="24"/>
      <c r="AJ7" s="24"/>
      <c r="AK7" s="24"/>
      <c r="AL7" s="24"/>
      <c r="AM7" s="24"/>
      <c r="AN7" s="24"/>
      <c r="AO7" s="24"/>
      <c r="AP7" s="24"/>
      <c r="AQ7" s="24"/>
      <c r="AR7" s="24"/>
      <c r="AS7" s="24"/>
      <c r="AT7" s="24"/>
      <c r="AU7" s="24"/>
      <c r="AV7" s="24"/>
      <c r="AW7" s="24"/>
      <c r="AX7" s="24"/>
    </row>
    <row r="8" ht="15.75" customHeight="1">
      <c r="A8" s="24" t="s">
        <v>78</v>
      </c>
      <c r="B8" s="24" t="s">
        <v>85</v>
      </c>
      <c r="C8" s="28"/>
      <c r="D8" s="28"/>
      <c r="E8" s="28"/>
      <c r="F8" s="28"/>
      <c r="G8" s="28"/>
      <c r="H8" s="28"/>
      <c r="I8" s="28"/>
      <c r="J8" s="28"/>
      <c r="K8" s="28"/>
      <c r="L8" s="28"/>
      <c r="M8" s="28"/>
      <c r="N8" s="28"/>
      <c r="O8" s="24"/>
      <c r="P8" s="24"/>
      <c r="Q8" s="24"/>
      <c r="R8" s="24"/>
      <c r="S8" s="24"/>
      <c r="T8" s="24" t="s">
        <v>87</v>
      </c>
      <c r="U8" s="24"/>
      <c r="V8" s="24"/>
      <c r="W8" s="24"/>
      <c r="X8" s="24"/>
      <c r="Y8" s="24"/>
      <c r="Z8" s="24"/>
      <c r="AA8" s="24"/>
      <c r="AB8" s="24"/>
      <c r="AC8" s="24"/>
      <c r="AD8" s="24"/>
      <c r="AE8" s="24"/>
      <c r="AF8" s="24"/>
      <c r="AG8" s="24"/>
      <c r="AH8" s="24"/>
      <c r="AI8" s="24"/>
      <c r="AJ8" s="24"/>
      <c r="AK8" s="24"/>
      <c r="AL8" s="24"/>
      <c r="AM8" s="24"/>
      <c r="AN8" s="24"/>
      <c r="AO8" s="24"/>
      <c r="AP8" s="24"/>
      <c r="AQ8" s="24"/>
      <c r="AR8" s="24"/>
      <c r="AS8" s="24"/>
      <c r="AT8" s="24"/>
      <c r="AU8" s="24"/>
      <c r="AV8" s="24"/>
      <c r="AW8" s="24"/>
      <c r="AX8" s="24"/>
    </row>
    <row r="9" ht="15.75" customHeight="1">
      <c r="A9" s="58" t="s">
        <v>98</v>
      </c>
      <c r="B9" s="58" t="s">
        <v>100</v>
      </c>
      <c r="C9" s="28" t="s">
        <v>102</v>
      </c>
      <c r="D9" s="28"/>
      <c r="E9" s="28"/>
      <c r="F9" s="28"/>
      <c r="G9" s="28"/>
      <c r="H9" s="28"/>
      <c r="I9" s="28"/>
      <c r="J9" s="28"/>
      <c r="K9" s="28"/>
      <c r="L9" s="28"/>
      <c r="M9" s="28"/>
      <c r="N9" s="28"/>
      <c r="O9" s="24"/>
      <c r="P9" s="24"/>
      <c r="Q9" s="24"/>
      <c r="R9" s="24"/>
      <c r="S9" s="24"/>
      <c r="T9" s="24"/>
      <c r="U9" s="24"/>
      <c r="V9" s="24"/>
      <c r="W9" s="24"/>
      <c r="X9" s="24"/>
      <c r="Y9" s="24"/>
      <c r="Z9" s="24"/>
      <c r="AA9" s="24"/>
      <c r="AB9" s="24"/>
      <c r="AC9" s="24"/>
      <c r="AD9" s="24"/>
      <c r="AE9" s="24"/>
      <c r="AF9" s="24"/>
      <c r="AG9" s="24"/>
      <c r="AH9" s="24"/>
      <c r="AI9" s="24"/>
      <c r="AJ9" s="24"/>
      <c r="AK9" s="24"/>
      <c r="AL9" s="24"/>
      <c r="AM9" s="24"/>
      <c r="AN9" s="24"/>
      <c r="AO9" s="24"/>
      <c r="AP9" s="24"/>
      <c r="AQ9" s="24"/>
      <c r="AR9" s="24"/>
      <c r="AS9" s="24"/>
      <c r="AT9" s="24"/>
      <c r="AU9" s="24"/>
      <c r="AV9" s="24"/>
      <c r="AW9" s="24"/>
      <c r="AX9" s="24"/>
    </row>
    <row r="10" ht="15.75" customHeight="1">
      <c r="A10" s="58" t="s">
        <v>41</v>
      </c>
      <c r="B10" s="58" t="s">
        <v>121</v>
      </c>
      <c r="C10" s="28" t="s">
        <v>122</v>
      </c>
      <c r="D10" s="28" t="s">
        <v>123</v>
      </c>
      <c r="E10" s="28" t="s">
        <v>123</v>
      </c>
      <c r="F10" s="28"/>
      <c r="G10" s="28"/>
      <c r="H10" s="28"/>
      <c r="I10" s="28"/>
      <c r="J10" s="28" t="s">
        <v>124</v>
      </c>
      <c r="K10" s="28"/>
      <c r="L10" s="28"/>
      <c r="M10" s="28"/>
      <c r="N10" s="28"/>
      <c r="O10" s="24"/>
      <c r="P10" s="24"/>
      <c r="Q10" s="24"/>
      <c r="R10" s="24"/>
      <c r="S10" s="24"/>
      <c r="T10" s="24"/>
      <c r="U10" s="24"/>
      <c r="V10" s="24"/>
      <c r="W10" s="24"/>
      <c r="X10" s="24"/>
      <c r="Y10" s="24"/>
      <c r="Z10" s="24"/>
      <c r="AA10" s="24"/>
      <c r="AB10" s="24"/>
      <c r="AC10" s="24"/>
      <c r="AD10" s="24"/>
      <c r="AE10" s="24"/>
      <c r="AF10" s="24"/>
      <c r="AG10" s="24"/>
      <c r="AH10" s="24"/>
      <c r="AI10" s="24"/>
      <c r="AJ10" s="24"/>
      <c r="AK10" s="24"/>
      <c r="AL10" s="24"/>
      <c r="AM10" s="24"/>
      <c r="AN10" s="24"/>
      <c r="AO10" s="24"/>
      <c r="AP10" s="24"/>
      <c r="AQ10" s="24"/>
      <c r="AR10" s="24"/>
      <c r="AS10" s="24"/>
      <c r="AT10" s="24"/>
      <c r="AU10" s="24"/>
      <c r="AV10" s="24"/>
      <c r="AW10" s="24"/>
      <c r="AX10" s="24"/>
    </row>
    <row r="11" ht="15.75" customHeight="1">
      <c r="A11" s="24"/>
      <c r="B11" s="24"/>
      <c r="C11" s="28"/>
      <c r="D11" s="28"/>
      <c r="E11" s="28"/>
      <c r="F11" s="28"/>
      <c r="G11" s="28"/>
      <c r="H11" s="28"/>
      <c r="I11" s="28"/>
      <c r="J11" s="28"/>
      <c r="K11" s="28"/>
      <c r="L11" s="28"/>
      <c r="M11" s="28"/>
      <c r="N11" s="28"/>
      <c r="O11" s="24"/>
      <c r="P11" s="24"/>
      <c r="Q11" s="24"/>
      <c r="R11" s="24"/>
      <c r="S11" s="24"/>
      <c r="T11" s="24"/>
      <c r="U11" s="24"/>
      <c r="V11" s="24"/>
      <c r="W11" s="24"/>
      <c r="X11" s="24"/>
      <c r="Y11" s="24"/>
      <c r="Z11" s="24"/>
      <c r="AA11" s="24"/>
      <c r="AB11" s="24"/>
      <c r="AC11" s="24"/>
      <c r="AD11" s="24"/>
      <c r="AE11" s="24"/>
      <c r="AF11" s="24"/>
      <c r="AG11" s="24"/>
      <c r="AH11" s="24"/>
      <c r="AI11" s="24"/>
      <c r="AJ11" s="24"/>
      <c r="AK11" s="24"/>
      <c r="AL11" s="24"/>
      <c r="AM11" s="24"/>
      <c r="AN11" s="24"/>
      <c r="AO11" s="24"/>
      <c r="AP11" s="24"/>
      <c r="AQ11" s="24"/>
      <c r="AR11" s="24"/>
      <c r="AS11" s="24"/>
      <c r="AT11" s="24"/>
      <c r="AU11" s="24"/>
      <c r="AV11" s="24"/>
      <c r="AW11" s="24"/>
      <c r="AX11" s="24"/>
    </row>
    <row r="12" ht="15.75" customHeight="1">
      <c r="A12" s="58" t="s">
        <v>131</v>
      </c>
      <c r="B12" s="58" t="s">
        <v>132</v>
      </c>
      <c r="C12" s="28" t="s">
        <v>133</v>
      </c>
      <c r="D12" s="28"/>
      <c r="E12" s="28"/>
      <c r="F12" s="28"/>
      <c r="G12" s="28"/>
      <c r="H12" s="28"/>
      <c r="I12" s="28"/>
      <c r="J12" s="28"/>
      <c r="K12" s="28"/>
      <c r="L12" s="28"/>
      <c r="M12" s="28"/>
      <c r="N12" s="28"/>
      <c r="O12" s="24"/>
      <c r="P12" s="24"/>
      <c r="Q12" s="24"/>
      <c r="R12" s="24"/>
      <c r="S12" s="24"/>
      <c r="T12" s="24"/>
      <c r="U12" s="24"/>
      <c r="V12" s="24"/>
      <c r="W12" s="24"/>
      <c r="X12" s="24"/>
      <c r="Y12" s="24"/>
      <c r="Z12" s="24"/>
      <c r="AA12" s="24"/>
      <c r="AB12" s="24"/>
      <c r="AC12" s="24"/>
      <c r="AD12" s="24"/>
      <c r="AE12" s="24"/>
      <c r="AF12" s="24"/>
      <c r="AG12" s="24"/>
      <c r="AH12" s="24"/>
      <c r="AI12" s="24"/>
      <c r="AJ12" s="24"/>
      <c r="AK12" s="24"/>
      <c r="AL12" s="24"/>
      <c r="AM12" s="24"/>
      <c r="AN12" s="24"/>
      <c r="AO12" s="24"/>
      <c r="AP12" s="24"/>
      <c r="AQ12" s="24"/>
      <c r="AR12" s="24"/>
      <c r="AS12" s="24"/>
      <c r="AT12" s="24"/>
      <c r="AU12" s="24"/>
      <c r="AV12" s="24"/>
      <c r="AW12" s="24"/>
      <c r="AX12" s="24"/>
    </row>
    <row r="13" ht="15.75" customHeight="1">
      <c r="A13" s="65" t="s">
        <v>134</v>
      </c>
      <c r="B13" s="66" t="s">
        <v>135</v>
      </c>
      <c r="C13" s="28"/>
      <c r="D13" s="28"/>
      <c r="E13" s="28"/>
      <c r="F13" s="28"/>
      <c r="G13" s="28"/>
      <c r="H13" s="28"/>
      <c r="I13" s="28"/>
      <c r="J13" s="28"/>
      <c r="K13" s="28"/>
      <c r="L13" s="28"/>
      <c r="M13" s="28"/>
      <c r="N13" s="28"/>
      <c r="O13" s="67"/>
      <c r="P13" s="68"/>
      <c r="Q13" s="68"/>
      <c r="R13" s="67"/>
      <c r="S13" s="67"/>
      <c r="T13" s="65" t="s">
        <v>139</v>
      </c>
      <c r="U13" s="67"/>
      <c r="V13" s="67"/>
      <c r="W13" s="67"/>
      <c r="X13" s="67"/>
      <c r="Y13" s="67"/>
      <c r="Z13" s="67"/>
      <c r="AA13" s="67"/>
      <c r="AB13" s="67"/>
      <c r="AC13" s="67"/>
      <c r="AD13" s="67"/>
      <c r="AE13" s="67"/>
      <c r="AF13" s="67"/>
      <c r="AG13" s="67"/>
      <c r="AH13" s="67"/>
      <c r="AI13" s="67"/>
      <c r="AJ13" s="67"/>
      <c r="AK13" s="67"/>
      <c r="AL13" s="67"/>
      <c r="AM13" s="67"/>
      <c r="AN13" s="67"/>
      <c r="AO13" s="67"/>
      <c r="AP13" s="67"/>
      <c r="AQ13" s="67"/>
      <c r="AR13" s="67"/>
      <c r="AS13" s="67"/>
      <c r="AT13" s="67"/>
      <c r="AU13" s="67"/>
      <c r="AV13" s="67"/>
      <c r="AW13" s="67"/>
      <c r="AX13" s="67"/>
    </row>
    <row r="14" ht="15.75" customHeight="1">
      <c r="A14" s="68" t="s">
        <v>140</v>
      </c>
      <c r="B14" s="69" t="s">
        <v>129</v>
      </c>
      <c r="C14" s="28" t="s">
        <v>141</v>
      </c>
      <c r="D14" s="28" t="s">
        <v>142</v>
      </c>
      <c r="E14" s="28" t="s">
        <v>143</v>
      </c>
      <c r="F14" s="28"/>
      <c r="G14" s="28"/>
      <c r="H14" s="28"/>
      <c r="I14" s="28"/>
      <c r="J14" s="28" t="s">
        <v>144</v>
      </c>
      <c r="K14" s="28"/>
      <c r="L14" s="28"/>
      <c r="M14" s="28"/>
      <c r="N14" s="28"/>
      <c r="O14" s="67"/>
      <c r="P14" s="68"/>
      <c r="Q14" s="68" t="s">
        <v>145</v>
      </c>
      <c r="R14" s="67"/>
      <c r="S14" s="67"/>
      <c r="T14" s="67"/>
      <c r="U14" s="67"/>
      <c r="V14" s="67"/>
      <c r="W14" s="67"/>
      <c r="X14" s="67"/>
      <c r="Y14" s="67"/>
      <c r="Z14" s="67"/>
      <c r="AA14" s="67"/>
      <c r="AB14" s="67"/>
      <c r="AC14" s="67"/>
      <c r="AD14" s="70"/>
      <c r="AE14" s="70"/>
      <c r="AF14" s="70"/>
      <c r="AG14" s="70"/>
      <c r="AH14" s="70"/>
      <c r="AI14" s="70"/>
      <c r="AJ14" s="70"/>
      <c r="AK14" s="70"/>
      <c r="AL14" s="70"/>
      <c r="AM14" s="70"/>
      <c r="AN14" s="70"/>
      <c r="AO14" s="70"/>
      <c r="AP14" s="70"/>
      <c r="AQ14" s="70"/>
      <c r="AR14" s="70"/>
      <c r="AS14" s="70"/>
      <c r="AT14" s="70"/>
      <c r="AU14" s="70"/>
      <c r="AV14" s="70"/>
      <c r="AW14" s="70"/>
      <c r="AX14" s="70"/>
    </row>
    <row r="15" ht="15.75" customHeight="1">
      <c r="A15" s="58" t="s">
        <v>147</v>
      </c>
      <c r="B15" s="58" t="s">
        <v>148</v>
      </c>
      <c r="C15" s="28" t="s">
        <v>150</v>
      </c>
      <c r="D15" s="28" t="s">
        <v>151</v>
      </c>
      <c r="E15" s="28" t="s">
        <v>153</v>
      </c>
      <c r="F15" s="28"/>
      <c r="G15" s="28"/>
      <c r="H15" s="28"/>
      <c r="I15" s="28"/>
      <c r="J15" s="28" t="s">
        <v>156</v>
      </c>
      <c r="K15" s="28"/>
      <c r="L15" s="28"/>
      <c r="M15" s="28"/>
      <c r="N15" s="28"/>
      <c r="O15" s="24"/>
      <c r="P15" s="58"/>
      <c r="Q15" s="58" t="s">
        <v>145</v>
      </c>
      <c r="R15" s="24"/>
      <c r="S15" s="24"/>
      <c r="T15" s="24"/>
      <c r="U15" s="24"/>
      <c r="V15" s="24"/>
      <c r="W15" s="24"/>
      <c r="X15" s="24"/>
      <c r="Y15" s="24"/>
      <c r="Z15" s="24"/>
      <c r="AA15" s="24"/>
      <c r="AB15" s="24"/>
      <c r="AC15" s="24"/>
      <c r="AD15" s="24"/>
      <c r="AE15" s="24"/>
      <c r="AF15" s="24"/>
      <c r="AG15" s="24"/>
      <c r="AH15" s="24"/>
      <c r="AI15" s="24"/>
      <c r="AJ15" s="24"/>
      <c r="AK15" s="24"/>
      <c r="AL15" s="24"/>
      <c r="AM15" s="24"/>
      <c r="AN15" s="24"/>
      <c r="AO15" s="24"/>
      <c r="AP15" s="24"/>
      <c r="AQ15" s="24"/>
      <c r="AR15" s="24"/>
      <c r="AS15" s="24"/>
      <c r="AT15" s="24"/>
      <c r="AU15" s="24"/>
      <c r="AV15" s="24"/>
      <c r="AW15" s="24"/>
      <c r="AX15" s="24"/>
    </row>
    <row r="16" ht="15.75" customHeight="1">
      <c r="A16" s="58" t="s">
        <v>78</v>
      </c>
      <c r="B16" s="58" t="s">
        <v>158</v>
      </c>
      <c r="C16" s="28" t="s">
        <v>159</v>
      </c>
      <c r="D16" s="28"/>
      <c r="E16" s="28"/>
      <c r="F16" s="28"/>
      <c r="G16" s="28"/>
      <c r="H16" s="28"/>
      <c r="I16" s="28"/>
      <c r="J16" s="28"/>
      <c r="K16" s="28"/>
      <c r="L16" s="28"/>
      <c r="M16" s="28"/>
      <c r="N16" s="28"/>
      <c r="O16" s="24"/>
      <c r="P16" s="24"/>
      <c r="Q16" s="24"/>
      <c r="R16" s="24"/>
      <c r="S16" s="24"/>
      <c r="T16" s="58" t="s">
        <v>161</v>
      </c>
      <c r="U16" s="24"/>
      <c r="V16" s="24"/>
      <c r="W16" s="24"/>
      <c r="X16" s="24"/>
      <c r="Y16" s="24"/>
      <c r="Z16" s="24"/>
      <c r="AA16" s="24"/>
      <c r="AB16" s="24"/>
      <c r="AC16" s="24"/>
      <c r="AD16" s="24"/>
      <c r="AE16" s="24"/>
      <c r="AF16" s="24"/>
      <c r="AG16" s="24"/>
      <c r="AH16" s="24"/>
      <c r="AI16" s="24"/>
      <c r="AJ16" s="24"/>
      <c r="AK16" s="24"/>
      <c r="AL16" s="24"/>
      <c r="AM16" s="24"/>
      <c r="AN16" s="24"/>
      <c r="AO16" s="24"/>
      <c r="AP16" s="24"/>
      <c r="AQ16" s="24"/>
      <c r="AR16" s="24"/>
      <c r="AS16" s="24"/>
      <c r="AT16" s="24"/>
      <c r="AU16" s="24"/>
      <c r="AV16" s="24"/>
      <c r="AW16" s="24"/>
      <c r="AX16" s="24"/>
    </row>
    <row r="17" ht="15.75" customHeight="1">
      <c r="A17" s="58" t="s">
        <v>147</v>
      </c>
      <c r="B17" s="58" t="s">
        <v>167</v>
      </c>
      <c r="C17" s="28" t="s">
        <v>168</v>
      </c>
      <c r="D17" s="28" t="s">
        <v>169</v>
      </c>
      <c r="E17" s="28" t="s">
        <v>170</v>
      </c>
      <c r="F17" s="28"/>
      <c r="G17" s="28"/>
      <c r="H17" s="28"/>
      <c r="I17" s="28"/>
      <c r="J17" s="28" t="s">
        <v>156</v>
      </c>
      <c r="K17" s="28"/>
      <c r="L17" s="28"/>
      <c r="M17" s="28"/>
      <c r="N17" s="28"/>
      <c r="O17" s="24"/>
      <c r="P17" s="58"/>
      <c r="Q17" s="58" t="s">
        <v>145</v>
      </c>
      <c r="R17" s="24"/>
      <c r="S17" s="24"/>
      <c r="T17" s="24"/>
      <c r="U17" s="24"/>
      <c r="V17" s="24"/>
      <c r="W17" s="24"/>
      <c r="X17" s="24"/>
      <c r="Y17" s="58"/>
      <c r="Z17" s="24"/>
      <c r="AA17" s="24"/>
      <c r="AB17" s="24"/>
      <c r="AC17" s="24"/>
      <c r="AD17" s="24"/>
      <c r="AE17" s="24"/>
      <c r="AF17" s="24"/>
      <c r="AG17" s="24"/>
      <c r="AH17" s="24"/>
      <c r="AI17" s="24"/>
      <c r="AJ17" s="24"/>
      <c r="AK17" s="24"/>
      <c r="AL17" s="24"/>
      <c r="AM17" s="24"/>
      <c r="AN17" s="24"/>
      <c r="AO17" s="24"/>
      <c r="AP17" s="24"/>
      <c r="AQ17" s="24"/>
      <c r="AR17" s="24"/>
      <c r="AS17" s="24"/>
      <c r="AT17" s="24"/>
      <c r="AU17" s="24"/>
      <c r="AV17" s="24"/>
      <c r="AW17" s="24"/>
      <c r="AX17" s="24"/>
    </row>
    <row r="18" ht="15.75" customHeight="1">
      <c r="A18" s="58" t="s">
        <v>78</v>
      </c>
      <c r="B18" s="58" t="s">
        <v>173</v>
      </c>
      <c r="C18" s="28" t="s">
        <v>159</v>
      </c>
      <c r="D18" s="28"/>
      <c r="E18" s="28"/>
      <c r="F18" s="28"/>
      <c r="G18" s="28"/>
      <c r="H18" s="28"/>
      <c r="I18" s="28"/>
      <c r="J18" s="28"/>
      <c r="K18" s="28"/>
      <c r="L18" s="28"/>
      <c r="M18" s="28"/>
      <c r="N18" s="28"/>
      <c r="O18" s="24"/>
      <c r="P18" s="24"/>
      <c r="Q18" s="24"/>
      <c r="R18" s="24"/>
      <c r="S18" s="24"/>
      <c r="T18" s="58" t="s">
        <v>175</v>
      </c>
      <c r="U18" s="24"/>
      <c r="V18" s="24"/>
      <c r="W18" s="24"/>
      <c r="X18" s="24"/>
      <c r="Y18" s="24"/>
      <c r="Z18" s="24"/>
      <c r="AA18" s="24"/>
      <c r="AB18" s="24"/>
      <c r="AC18" s="24"/>
      <c r="AD18" s="24"/>
      <c r="AE18" s="24"/>
      <c r="AF18" s="24"/>
      <c r="AG18" s="24"/>
      <c r="AH18" s="24"/>
      <c r="AI18" s="24"/>
      <c r="AJ18" s="24"/>
      <c r="AK18" s="24"/>
      <c r="AL18" s="24"/>
      <c r="AM18" s="24"/>
      <c r="AN18" s="24"/>
      <c r="AO18" s="24"/>
      <c r="AP18" s="24"/>
      <c r="AQ18" s="24"/>
      <c r="AR18" s="24"/>
      <c r="AS18" s="24"/>
      <c r="AT18" s="24"/>
      <c r="AU18" s="24"/>
      <c r="AV18" s="24"/>
      <c r="AW18" s="24"/>
      <c r="AX18" s="24"/>
    </row>
    <row r="19" ht="15.75" customHeight="1">
      <c r="A19" s="58" t="s">
        <v>183</v>
      </c>
      <c r="B19" s="58" t="s">
        <v>149</v>
      </c>
      <c r="C19" s="28" t="s">
        <v>184</v>
      </c>
      <c r="D19" s="28" t="s">
        <v>185</v>
      </c>
      <c r="E19" s="28" t="s">
        <v>186</v>
      </c>
      <c r="F19" s="28"/>
      <c r="G19" s="28"/>
      <c r="H19" s="28"/>
      <c r="I19" s="28"/>
      <c r="J19" s="28" t="s">
        <v>187</v>
      </c>
      <c r="K19" s="28"/>
      <c r="L19" s="28"/>
      <c r="M19" s="28"/>
      <c r="N19" s="28"/>
      <c r="O19" s="24"/>
      <c r="P19" s="58"/>
      <c r="Q19" s="58" t="s">
        <v>145</v>
      </c>
      <c r="R19" s="24"/>
      <c r="S19" s="24"/>
      <c r="T19" s="24"/>
      <c r="U19" s="24"/>
      <c r="V19" s="24"/>
      <c r="W19" s="24"/>
      <c r="X19" s="24"/>
      <c r="Y19" s="24"/>
      <c r="Z19" s="24"/>
      <c r="AA19" s="24"/>
      <c r="AB19" s="24"/>
      <c r="AC19" s="24"/>
      <c r="AD19" s="24"/>
      <c r="AE19" s="24"/>
      <c r="AF19" s="24"/>
      <c r="AG19" s="24"/>
      <c r="AH19" s="24"/>
      <c r="AI19" s="24"/>
      <c r="AJ19" s="24"/>
      <c r="AK19" s="24"/>
      <c r="AL19" s="24"/>
      <c r="AM19" s="24"/>
      <c r="AN19" s="24"/>
      <c r="AO19" s="24"/>
      <c r="AP19" s="24"/>
      <c r="AQ19" s="24"/>
      <c r="AR19" s="24"/>
      <c r="AS19" s="24"/>
      <c r="AT19" s="24"/>
      <c r="AU19" s="24"/>
      <c r="AV19" s="24"/>
      <c r="AW19" s="24"/>
      <c r="AX19" s="24"/>
    </row>
    <row r="20" ht="15.75" customHeight="1">
      <c r="A20" s="58" t="s">
        <v>78</v>
      </c>
      <c r="B20" s="58" t="s">
        <v>154</v>
      </c>
      <c r="C20" s="28" t="s">
        <v>192</v>
      </c>
      <c r="D20" s="28"/>
      <c r="E20" s="28"/>
      <c r="F20" s="28"/>
      <c r="G20" s="28"/>
      <c r="H20" s="28"/>
      <c r="I20" s="28"/>
      <c r="J20" s="28"/>
      <c r="K20" s="28"/>
      <c r="L20" s="28"/>
      <c r="M20" s="28"/>
      <c r="N20" s="28"/>
      <c r="O20" s="24"/>
      <c r="P20" s="24"/>
      <c r="Q20" s="24"/>
      <c r="R20" s="24"/>
      <c r="S20" s="24"/>
      <c r="T20" s="58" t="s">
        <v>194</v>
      </c>
      <c r="U20" s="24"/>
      <c r="V20" s="24"/>
      <c r="W20" s="24"/>
      <c r="X20" s="24"/>
      <c r="Y20" s="24"/>
      <c r="Z20" s="24"/>
      <c r="AA20" s="24"/>
      <c r="AB20" s="24"/>
      <c r="AC20" s="24"/>
      <c r="AD20" s="24"/>
      <c r="AE20" s="24"/>
      <c r="AF20" s="24"/>
      <c r="AG20" s="24"/>
      <c r="AH20" s="24"/>
      <c r="AI20" s="24"/>
      <c r="AJ20" s="24"/>
      <c r="AK20" s="24"/>
      <c r="AL20" s="24"/>
      <c r="AM20" s="24"/>
      <c r="AN20" s="24"/>
      <c r="AO20" s="24"/>
      <c r="AP20" s="24"/>
      <c r="AQ20" s="24"/>
      <c r="AR20" s="24"/>
      <c r="AS20" s="24"/>
      <c r="AT20" s="24"/>
      <c r="AU20" s="24"/>
      <c r="AV20" s="24"/>
      <c r="AW20" s="24"/>
      <c r="AX20" s="24"/>
    </row>
    <row r="21" ht="15.75" customHeight="1">
      <c r="A21" s="90" t="s">
        <v>78</v>
      </c>
      <c r="B21" s="92" t="s">
        <v>196</v>
      </c>
      <c r="C21" s="28"/>
      <c r="D21" s="28"/>
      <c r="E21" s="28"/>
      <c r="F21" s="28"/>
      <c r="G21" s="28"/>
      <c r="H21" s="28"/>
      <c r="I21" s="28"/>
      <c r="J21" s="28"/>
      <c r="K21" s="28"/>
      <c r="L21" s="28"/>
      <c r="M21" s="28"/>
      <c r="N21" s="28"/>
      <c r="O21" s="96"/>
      <c r="P21" s="96"/>
      <c r="Q21" s="96"/>
      <c r="R21" s="96"/>
      <c r="S21" s="96"/>
      <c r="T21" s="58" t="s">
        <v>206</v>
      </c>
      <c r="U21" s="96"/>
      <c r="V21" s="96"/>
      <c r="W21" s="96"/>
      <c r="X21" s="96"/>
      <c r="Y21" s="96"/>
      <c r="Z21" s="96"/>
      <c r="AA21" s="96"/>
      <c r="AB21" s="96"/>
      <c r="AC21" s="96"/>
      <c r="AD21" s="96"/>
      <c r="AE21" s="96"/>
      <c r="AF21" s="96"/>
      <c r="AG21" s="96"/>
      <c r="AH21" s="96"/>
      <c r="AI21" s="96"/>
      <c r="AJ21" s="96"/>
      <c r="AK21" s="96"/>
      <c r="AL21" s="96"/>
      <c r="AM21" s="96"/>
      <c r="AN21" s="96"/>
      <c r="AO21" s="96"/>
      <c r="AP21" s="96"/>
      <c r="AQ21" s="96"/>
      <c r="AR21" s="96"/>
      <c r="AS21" s="96"/>
      <c r="AT21" s="96"/>
      <c r="AU21" s="96"/>
      <c r="AV21" s="96"/>
      <c r="AW21" s="96"/>
      <c r="AX21" s="96"/>
    </row>
    <row r="22" ht="15.75" customHeight="1">
      <c r="A22" s="58" t="s">
        <v>78</v>
      </c>
      <c r="B22" s="58" t="s">
        <v>152</v>
      </c>
      <c r="C22" s="28"/>
      <c r="D22" s="28"/>
      <c r="E22" s="28"/>
      <c r="F22" s="28"/>
      <c r="G22" s="28"/>
      <c r="H22" s="28"/>
      <c r="I22" s="28"/>
      <c r="J22" s="28"/>
      <c r="K22" s="28"/>
      <c r="L22" s="28"/>
      <c r="M22" s="28"/>
      <c r="N22" s="28"/>
      <c r="O22" s="24"/>
      <c r="P22" s="58"/>
      <c r="Q22" s="58"/>
      <c r="R22" s="24"/>
      <c r="S22" s="24"/>
      <c r="T22" s="58" t="s">
        <v>209</v>
      </c>
      <c r="U22" s="24"/>
      <c r="V22" s="24"/>
      <c r="W22" s="24"/>
      <c r="X22" s="24"/>
      <c r="Y22" s="24"/>
      <c r="Z22" s="24"/>
      <c r="AA22" s="24"/>
      <c r="AB22" s="24"/>
      <c r="AC22" s="24"/>
      <c r="AD22" s="24"/>
      <c r="AE22" s="24"/>
      <c r="AF22" s="24"/>
      <c r="AG22" s="24"/>
      <c r="AH22" s="24"/>
      <c r="AI22" s="24"/>
      <c r="AJ22" s="24"/>
      <c r="AK22" s="24"/>
      <c r="AL22" s="24"/>
      <c r="AM22" s="24"/>
      <c r="AN22" s="24"/>
      <c r="AO22" s="24"/>
      <c r="AP22" s="24"/>
      <c r="AQ22" s="24"/>
      <c r="AR22" s="24"/>
      <c r="AS22" s="24"/>
      <c r="AT22" s="24"/>
      <c r="AU22" s="24"/>
      <c r="AV22" s="24"/>
      <c r="AW22" s="24"/>
      <c r="AX22" s="24"/>
    </row>
    <row r="23" ht="15.75" customHeight="1">
      <c r="A23" s="58" t="s">
        <v>214</v>
      </c>
      <c r="B23" s="58" t="s">
        <v>164</v>
      </c>
      <c r="C23" s="28" t="s">
        <v>215</v>
      </c>
      <c r="D23" s="28" t="s">
        <v>216</v>
      </c>
      <c r="E23" s="28" t="s">
        <v>217</v>
      </c>
      <c r="F23" s="28"/>
      <c r="G23" s="28"/>
      <c r="H23" s="28"/>
      <c r="I23" s="28"/>
      <c r="J23" s="28" t="s">
        <v>218</v>
      </c>
      <c r="K23" s="28"/>
      <c r="L23" s="28"/>
      <c r="M23" s="28"/>
      <c r="N23" s="28"/>
      <c r="O23" s="24"/>
      <c r="P23" s="58"/>
      <c r="Q23" s="58" t="s">
        <v>145</v>
      </c>
      <c r="R23" s="24"/>
      <c r="S23" s="24"/>
      <c r="T23" s="24"/>
      <c r="U23" s="24"/>
      <c r="V23" s="24"/>
      <c r="W23" s="24"/>
      <c r="X23" s="24"/>
      <c r="Y23" s="24"/>
      <c r="Z23" s="24"/>
      <c r="AA23" s="24"/>
      <c r="AB23" s="24"/>
      <c r="AC23" s="24"/>
      <c r="AD23" s="24"/>
      <c r="AE23" s="24"/>
      <c r="AF23" s="24"/>
      <c r="AG23" s="24"/>
      <c r="AH23" s="24"/>
      <c r="AI23" s="24"/>
      <c r="AJ23" s="24"/>
      <c r="AK23" s="24"/>
      <c r="AL23" s="24"/>
      <c r="AM23" s="24"/>
      <c r="AN23" s="24"/>
      <c r="AO23" s="24"/>
      <c r="AP23" s="24"/>
      <c r="AQ23" s="24"/>
      <c r="AR23" s="24"/>
      <c r="AS23" s="24"/>
      <c r="AT23" s="24"/>
      <c r="AU23" s="24"/>
      <c r="AV23" s="24"/>
      <c r="AW23" s="24"/>
      <c r="AX23" s="24"/>
    </row>
    <row r="24" ht="15.75" customHeight="1">
      <c r="A24" s="58" t="s">
        <v>78</v>
      </c>
      <c r="B24" s="58" t="s">
        <v>166</v>
      </c>
      <c r="C24" s="28" t="s">
        <v>220</v>
      </c>
      <c r="D24" s="28"/>
      <c r="E24" s="28"/>
      <c r="F24" s="28"/>
      <c r="G24" s="28"/>
      <c r="H24" s="28"/>
      <c r="I24" s="28"/>
      <c r="J24" s="28"/>
      <c r="K24" s="28"/>
      <c r="L24" s="28"/>
      <c r="M24" s="28"/>
      <c r="N24" s="28"/>
      <c r="O24" s="24"/>
      <c r="P24" s="24"/>
      <c r="Q24" s="24"/>
      <c r="R24" s="24"/>
      <c r="S24" s="24"/>
      <c r="T24" s="58" t="s">
        <v>223</v>
      </c>
      <c r="U24" s="24"/>
      <c r="V24" s="24"/>
      <c r="W24" s="24"/>
      <c r="X24" s="24"/>
      <c r="Y24" s="24"/>
      <c r="Z24" s="24"/>
      <c r="AA24" s="24"/>
      <c r="AB24" s="24"/>
      <c r="AC24" s="24"/>
      <c r="AD24" s="24"/>
      <c r="AE24" s="24"/>
      <c r="AF24" s="24"/>
      <c r="AG24" s="24"/>
      <c r="AH24" s="24"/>
      <c r="AI24" s="24"/>
      <c r="AJ24" s="24"/>
      <c r="AK24" s="24"/>
      <c r="AL24" s="24"/>
      <c r="AM24" s="24"/>
      <c r="AN24" s="24"/>
      <c r="AO24" s="24"/>
      <c r="AP24" s="24"/>
      <c r="AQ24" s="24"/>
      <c r="AR24" s="24"/>
      <c r="AS24" s="24"/>
      <c r="AT24" s="24"/>
      <c r="AU24" s="24"/>
      <c r="AV24" s="24"/>
      <c r="AW24" s="24"/>
      <c r="AX24" s="24"/>
    </row>
    <row r="25" ht="15.75" customHeight="1">
      <c r="A25" s="58" t="s">
        <v>78</v>
      </c>
      <c r="B25" s="58" t="s">
        <v>227</v>
      </c>
      <c r="C25" s="28"/>
      <c r="D25" s="28"/>
      <c r="E25" s="28"/>
      <c r="F25" s="28"/>
      <c r="G25" s="28"/>
      <c r="H25" s="28"/>
      <c r="I25" s="28"/>
      <c r="J25" s="28"/>
      <c r="K25" s="28"/>
      <c r="L25" s="28"/>
      <c r="M25" s="28"/>
      <c r="N25" s="28"/>
      <c r="O25" s="24"/>
      <c r="P25" s="24"/>
      <c r="Q25" s="24"/>
      <c r="R25" s="24"/>
      <c r="S25" s="24"/>
      <c r="T25" s="58" t="s">
        <v>228</v>
      </c>
      <c r="U25" s="24"/>
      <c r="V25" s="24"/>
      <c r="W25" s="24"/>
      <c r="X25" s="24"/>
      <c r="Y25" s="24"/>
      <c r="Z25" s="24"/>
      <c r="AA25" s="24"/>
      <c r="AB25" s="24"/>
      <c r="AC25" s="24"/>
      <c r="AD25" s="24"/>
      <c r="AE25" s="24"/>
      <c r="AF25" s="24"/>
      <c r="AG25" s="24"/>
      <c r="AH25" s="24"/>
      <c r="AI25" s="24"/>
      <c r="AJ25" s="24"/>
      <c r="AK25" s="24"/>
      <c r="AL25" s="24"/>
      <c r="AM25" s="24"/>
      <c r="AN25" s="24"/>
      <c r="AO25" s="24"/>
      <c r="AP25" s="24"/>
      <c r="AQ25" s="24"/>
      <c r="AR25" s="24"/>
      <c r="AS25" s="24"/>
      <c r="AT25" s="24"/>
      <c r="AU25" s="24"/>
      <c r="AV25" s="24"/>
      <c r="AW25" s="24"/>
      <c r="AX25" s="24"/>
    </row>
    <row r="26" ht="15.75" customHeight="1">
      <c r="A26" s="58" t="s">
        <v>78</v>
      </c>
      <c r="B26" s="58" t="s">
        <v>230</v>
      </c>
      <c r="C26" s="28"/>
      <c r="D26" s="28"/>
      <c r="E26" s="28"/>
      <c r="F26" s="28"/>
      <c r="G26" s="28"/>
      <c r="H26" s="28"/>
      <c r="I26" s="28"/>
      <c r="J26" s="28"/>
      <c r="K26" s="28"/>
      <c r="L26" s="28"/>
      <c r="M26" s="28"/>
      <c r="N26" s="28"/>
      <c r="O26" s="24"/>
      <c r="P26" s="24"/>
      <c r="Q26" s="24"/>
      <c r="R26" s="24"/>
      <c r="S26" s="24"/>
      <c r="T26" s="58" t="s">
        <v>235</v>
      </c>
      <c r="U26" s="24"/>
      <c r="V26" s="24"/>
      <c r="W26" s="24"/>
      <c r="X26" s="24"/>
      <c r="Y26" s="24"/>
      <c r="Z26" s="24"/>
      <c r="AA26" s="24"/>
      <c r="AB26" s="24"/>
      <c r="AC26" s="24"/>
      <c r="AD26" s="24"/>
      <c r="AE26" s="24"/>
      <c r="AF26" s="24"/>
      <c r="AG26" s="24"/>
      <c r="AH26" s="24"/>
      <c r="AI26" s="24"/>
      <c r="AJ26" s="24"/>
      <c r="AK26" s="24"/>
      <c r="AL26" s="24"/>
      <c r="AM26" s="24"/>
      <c r="AN26" s="24"/>
      <c r="AO26" s="24"/>
      <c r="AP26" s="24"/>
      <c r="AQ26" s="24"/>
      <c r="AR26" s="24"/>
      <c r="AS26" s="24"/>
      <c r="AT26" s="24"/>
      <c r="AU26" s="24"/>
      <c r="AV26" s="24"/>
      <c r="AW26" s="24"/>
      <c r="AX26" s="24"/>
    </row>
    <row r="27" ht="15.75" customHeight="1">
      <c r="A27" s="58" t="s">
        <v>237</v>
      </c>
      <c r="B27" s="58" t="s">
        <v>132</v>
      </c>
      <c r="C27" s="28" t="s">
        <v>133</v>
      </c>
      <c r="D27" s="28"/>
      <c r="E27" s="28"/>
      <c r="F27" s="28"/>
      <c r="G27" s="28"/>
      <c r="H27" s="28"/>
      <c r="I27" s="28"/>
      <c r="J27" s="28"/>
      <c r="K27" s="28"/>
      <c r="L27" s="28"/>
      <c r="M27" s="28"/>
      <c r="N27" s="28"/>
      <c r="O27" s="24"/>
      <c r="P27" s="24"/>
      <c r="Q27" s="24"/>
      <c r="R27" s="24"/>
      <c r="S27" s="24"/>
      <c r="T27" s="24"/>
      <c r="U27" s="24"/>
      <c r="V27" s="24"/>
      <c r="W27" s="24"/>
      <c r="X27" s="24"/>
      <c r="Y27" s="24"/>
      <c r="Z27" s="24"/>
      <c r="AA27" s="24"/>
      <c r="AB27" s="24"/>
      <c r="AC27" s="24"/>
      <c r="AD27" s="24"/>
      <c r="AE27" s="24"/>
      <c r="AF27" s="24"/>
      <c r="AG27" s="24"/>
      <c r="AH27" s="24"/>
      <c r="AI27" s="24"/>
      <c r="AJ27" s="24"/>
      <c r="AK27" s="24"/>
      <c r="AL27" s="24"/>
      <c r="AM27" s="24"/>
      <c r="AN27" s="24"/>
      <c r="AO27" s="24"/>
      <c r="AP27" s="24"/>
      <c r="AQ27" s="24"/>
      <c r="AR27" s="24"/>
      <c r="AS27" s="24"/>
      <c r="AT27" s="24"/>
      <c r="AU27" s="24"/>
      <c r="AV27" s="24"/>
      <c r="AW27" s="24"/>
      <c r="AX27" s="24"/>
    </row>
    <row r="28" ht="15.75" customHeight="1">
      <c r="A28" s="24"/>
      <c r="B28" s="24"/>
      <c r="C28" s="28"/>
      <c r="D28" s="28"/>
      <c r="E28" s="28"/>
      <c r="F28" s="28"/>
      <c r="G28" s="28"/>
      <c r="H28" s="28"/>
      <c r="I28" s="28"/>
      <c r="J28" s="28"/>
      <c r="K28" s="28"/>
      <c r="L28" s="28"/>
      <c r="M28" s="28"/>
      <c r="N28" s="28"/>
      <c r="O28" s="24"/>
      <c r="P28" s="24"/>
      <c r="Q28" s="24"/>
      <c r="R28" s="24"/>
      <c r="S28" s="24"/>
      <c r="T28" s="24"/>
      <c r="U28" s="24"/>
      <c r="V28" s="24"/>
      <c r="W28" s="24"/>
      <c r="X28" s="24"/>
      <c r="Y28" s="24"/>
      <c r="Z28" s="24"/>
      <c r="AA28" s="24"/>
      <c r="AB28" s="24"/>
      <c r="AC28" s="24"/>
      <c r="AD28" s="24"/>
      <c r="AE28" s="24"/>
      <c r="AF28" s="24"/>
      <c r="AG28" s="24"/>
      <c r="AH28" s="24"/>
      <c r="AI28" s="24"/>
      <c r="AJ28" s="24"/>
      <c r="AK28" s="24"/>
      <c r="AL28" s="24"/>
      <c r="AM28" s="24"/>
      <c r="AN28" s="24"/>
      <c r="AO28" s="24"/>
      <c r="AP28" s="24"/>
      <c r="AQ28" s="24"/>
      <c r="AR28" s="24"/>
      <c r="AS28" s="24"/>
      <c r="AT28" s="24"/>
      <c r="AU28" s="24"/>
      <c r="AV28" s="24"/>
      <c r="AW28" s="24"/>
      <c r="AX28" s="24"/>
    </row>
    <row r="29" ht="15.75" customHeight="1">
      <c r="A29" s="58" t="s">
        <v>131</v>
      </c>
      <c r="B29" s="58" t="s">
        <v>124</v>
      </c>
      <c r="C29" s="28"/>
      <c r="D29" s="28"/>
      <c r="E29" s="28"/>
      <c r="F29" s="28"/>
      <c r="G29" s="28"/>
      <c r="H29" s="28"/>
      <c r="I29" s="28"/>
      <c r="J29" s="28"/>
      <c r="K29" s="28"/>
      <c r="L29" s="28"/>
      <c r="M29" s="28"/>
      <c r="N29" s="28"/>
      <c r="O29" s="24"/>
      <c r="P29" s="24"/>
      <c r="Q29" s="24"/>
      <c r="R29" s="24"/>
      <c r="S29" s="24"/>
      <c r="T29" s="24"/>
      <c r="U29" s="24"/>
      <c r="V29" s="24"/>
      <c r="W29" s="24"/>
      <c r="X29" s="24"/>
      <c r="Y29" s="24"/>
      <c r="Z29" s="24"/>
      <c r="AA29" s="24"/>
      <c r="AB29" s="24"/>
      <c r="AC29" s="24"/>
      <c r="AD29" s="24"/>
      <c r="AE29" s="24"/>
      <c r="AF29" s="24"/>
      <c r="AG29" s="24"/>
      <c r="AH29" s="24"/>
      <c r="AI29" s="24"/>
      <c r="AJ29" s="24"/>
      <c r="AK29" s="24"/>
      <c r="AL29" s="24"/>
      <c r="AM29" s="24"/>
      <c r="AN29" s="24"/>
      <c r="AO29" s="24"/>
      <c r="AP29" s="24"/>
      <c r="AQ29" s="24"/>
      <c r="AR29" s="24"/>
      <c r="AS29" s="24"/>
      <c r="AT29" s="24"/>
      <c r="AU29" s="24"/>
      <c r="AV29" s="24"/>
      <c r="AW29" s="24"/>
      <c r="AX29" s="24"/>
    </row>
    <row r="30" ht="15.75" customHeight="1">
      <c r="A30" s="58" t="s">
        <v>78</v>
      </c>
      <c r="B30" s="58" t="s">
        <v>248</v>
      </c>
      <c r="C30" s="28"/>
      <c r="D30" s="28"/>
      <c r="E30" s="28"/>
      <c r="F30" s="28"/>
      <c r="G30" s="28"/>
      <c r="H30" s="28"/>
      <c r="I30" s="28"/>
      <c r="J30" s="28"/>
      <c r="K30" s="28"/>
      <c r="L30" s="28"/>
      <c r="M30" s="28"/>
      <c r="N30" s="28"/>
      <c r="O30" s="24"/>
      <c r="P30" s="24"/>
      <c r="Q30" s="24"/>
      <c r="R30" s="24"/>
      <c r="S30" s="24"/>
      <c r="T30" s="117" t="s">
        <v>252</v>
      </c>
      <c r="U30" s="118"/>
      <c r="V30" s="118"/>
      <c r="W30" s="24"/>
      <c r="X30" s="24"/>
      <c r="Y30" s="24"/>
      <c r="Z30" s="24"/>
      <c r="AA30" s="24"/>
      <c r="AB30" s="24"/>
      <c r="AC30" s="24"/>
      <c r="AD30" s="24"/>
      <c r="AE30" s="24"/>
      <c r="AF30" s="24"/>
      <c r="AG30" s="24"/>
      <c r="AH30" s="24"/>
      <c r="AI30" s="24"/>
      <c r="AJ30" s="24"/>
      <c r="AK30" s="24"/>
      <c r="AL30" s="24"/>
      <c r="AM30" s="24"/>
      <c r="AN30" s="24"/>
      <c r="AO30" s="24"/>
      <c r="AP30" s="24"/>
      <c r="AQ30" s="24"/>
      <c r="AR30" s="24"/>
      <c r="AS30" s="24"/>
      <c r="AT30" s="24"/>
      <c r="AU30" s="24"/>
      <c r="AV30" s="24"/>
      <c r="AW30" s="24"/>
      <c r="AX30" s="24"/>
    </row>
    <row r="31" ht="15.75" customHeight="1">
      <c r="A31" s="58" t="s">
        <v>78</v>
      </c>
      <c r="B31" s="58" t="s">
        <v>257</v>
      </c>
      <c r="C31" s="28"/>
      <c r="D31" s="28"/>
      <c r="E31" s="28"/>
      <c r="F31" s="28"/>
      <c r="G31" s="28"/>
      <c r="H31" s="28"/>
      <c r="I31" s="28"/>
      <c r="J31" s="28"/>
      <c r="K31" s="28"/>
      <c r="L31" s="28"/>
      <c r="M31" s="28"/>
      <c r="N31" s="28"/>
      <c r="O31" s="24"/>
      <c r="P31" s="24"/>
      <c r="Q31" s="24"/>
      <c r="R31" s="24"/>
      <c r="S31" s="24"/>
      <c r="T31" s="117" t="s">
        <v>259</v>
      </c>
      <c r="U31" s="24"/>
      <c r="V31" s="24"/>
      <c r="W31" s="24"/>
      <c r="X31" s="24"/>
      <c r="Y31" s="24"/>
      <c r="Z31" s="24"/>
      <c r="AA31" s="24"/>
      <c r="AB31" s="24"/>
      <c r="AC31" s="24"/>
      <c r="AD31" s="24"/>
      <c r="AE31" s="24"/>
      <c r="AF31" s="24"/>
      <c r="AG31" s="24"/>
      <c r="AH31" s="24"/>
      <c r="AI31" s="24"/>
      <c r="AJ31" s="24"/>
      <c r="AK31" s="24"/>
      <c r="AL31" s="24"/>
      <c r="AM31" s="24"/>
      <c r="AN31" s="24"/>
      <c r="AO31" s="24"/>
      <c r="AP31" s="24"/>
      <c r="AQ31" s="24"/>
      <c r="AR31" s="24"/>
      <c r="AS31" s="24"/>
      <c r="AT31" s="24"/>
      <c r="AU31" s="24"/>
      <c r="AV31" s="24"/>
      <c r="AW31" s="24"/>
      <c r="AX31" s="24"/>
    </row>
    <row r="32" ht="15.75" customHeight="1">
      <c r="A32" s="58" t="s">
        <v>78</v>
      </c>
      <c r="B32" s="58" t="s">
        <v>264</v>
      </c>
      <c r="C32" s="28"/>
      <c r="D32" s="28"/>
      <c r="E32" s="28"/>
      <c r="F32" s="28"/>
      <c r="G32" s="28"/>
      <c r="H32" s="28"/>
      <c r="I32" s="28"/>
      <c r="J32" s="28"/>
      <c r="K32" s="28"/>
      <c r="L32" s="28"/>
      <c r="M32" s="28"/>
      <c r="N32" s="28"/>
      <c r="O32" s="24"/>
      <c r="P32" s="24"/>
      <c r="Q32" s="24"/>
      <c r="R32" s="24"/>
      <c r="S32" s="24"/>
      <c r="T32" s="117" t="s">
        <v>265</v>
      </c>
      <c r="U32" s="24"/>
      <c r="V32" s="24"/>
      <c r="W32" s="24"/>
      <c r="X32" s="24"/>
      <c r="Y32" s="24"/>
      <c r="Z32" s="24"/>
      <c r="AA32" s="24"/>
      <c r="AB32" s="24"/>
      <c r="AC32" s="24"/>
      <c r="AD32" s="24"/>
      <c r="AE32" s="24"/>
      <c r="AF32" s="24"/>
      <c r="AG32" s="24"/>
      <c r="AH32" s="24"/>
      <c r="AI32" s="24"/>
      <c r="AJ32" s="24"/>
      <c r="AK32" s="24"/>
      <c r="AL32" s="24"/>
      <c r="AM32" s="24"/>
      <c r="AN32" s="24"/>
      <c r="AO32" s="24"/>
      <c r="AP32" s="24"/>
      <c r="AQ32" s="24"/>
      <c r="AR32" s="24"/>
      <c r="AS32" s="24"/>
      <c r="AT32" s="24"/>
      <c r="AU32" s="24"/>
      <c r="AV32" s="24"/>
      <c r="AW32" s="24"/>
      <c r="AX32" s="24"/>
    </row>
    <row r="33" ht="15.75" customHeight="1">
      <c r="A33" s="90" t="s">
        <v>78</v>
      </c>
      <c r="B33" s="119" t="s">
        <v>270</v>
      </c>
      <c r="C33" s="28"/>
      <c r="D33" s="28"/>
      <c r="E33" s="28"/>
      <c r="F33" s="28"/>
      <c r="G33" s="28"/>
      <c r="H33" s="28"/>
      <c r="I33" s="28"/>
      <c r="J33" s="28"/>
      <c r="K33" s="28"/>
      <c r="L33" s="28"/>
      <c r="M33" s="28"/>
      <c r="N33" s="28"/>
      <c r="O33" s="120"/>
      <c r="P33" s="120"/>
      <c r="Q33" s="120"/>
      <c r="R33" s="120"/>
      <c r="S33" s="120"/>
      <c r="T33" s="117" t="s">
        <v>271</v>
      </c>
      <c r="U33" s="118"/>
      <c r="V33" s="118"/>
      <c r="W33" s="120"/>
      <c r="X33" s="120"/>
      <c r="Y33" s="120"/>
      <c r="Z33" s="120"/>
      <c r="AA33" s="120"/>
      <c r="AB33" s="120"/>
      <c r="AC33" s="120"/>
      <c r="AD33" s="121"/>
      <c r="AE33" s="121"/>
      <c r="AF33" s="121"/>
      <c r="AG33" s="121"/>
      <c r="AH33" s="121"/>
      <c r="AI33" s="121"/>
      <c r="AJ33" s="121"/>
      <c r="AK33" s="121"/>
      <c r="AL33" s="121"/>
      <c r="AM33" s="121"/>
      <c r="AN33" s="121"/>
      <c r="AO33" s="121"/>
      <c r="AP33" s="121"/>
      <c r="AQ33" s="121"/>
      <c r="AR33" s="121"/>
      <c r="AS33" s="121"/>
      <c r="AT33" s="121"/>
      <c r="AU33" s="121"/>
      <c r="AV33" s="121"/>
      <c r="AW33" s="121"/>
      <c r="AX33" s="121"/>
    </row>
    <row r="34" ht="15.75" customHeight="1">
      <c r="A34" s="90" t="s">
        <v>78</v>
      </c>
      <c r="B34" s="119" t="s">
        <v>276</v>
      </c>
      <c r="C34" s="28"/>
      <c r="D34" s="28"/>
      <c r="E34" s="28"/>
      <c r="F34" s="28"/>
      <c r="G34" s="28"/>
      <c r="H34" s="28"/>
      <c r="I34" s="28"/>
      <c r="J34" s="28"/>
      <c r="K34" s="28"/>
      <c r="L34" s="28"/>
      <c r="M34" s="28"/>
      <c r="N34" s="28"/>
      <c r="O34" s="120"/>
      <c r="P34" s="120"/>
      <c r="Q34" s="120"/>
      <c r="R34" s="120"/>
      <c r="S34" s="120"/>
      <c r="T34" s="117" t="s">
        <v>280</v>
      </c>
      <c r="U34" s="120"/>
      <c r="V34" s="120"/>
      <c r="W34" s="120"/>
      <c r="X34" s="120"/>
      <c r="Y34" s="120"/>
      <c r="Z34" s="120"/>
      <c r="AA34" s="120"/>
      <c r="AB34" s="120"/>
      <c r="AC34" s="120"/>
      <c r="AD34" s="121"/>
      <c r="AE34" s="121"/>
      <c r="AF34" s="121"/>
      <c r="AG34" s="121"/>
      <c r="AH34" s="121"/>
      <c r="AI34" s="121"/>
      <c r="AJ34" s="121"/>
      <c r="AK34" s="121"/>
      <c r="AL34" s="121"/>
      <c r="AM34" s="121"/>
      <c r="AN34" s="121"/>
      <c r="AO34" s="121"/>
      <c r="AP34" s="121"/>
      <c r="AQ34" s="121"/>
      <c r="AR34" s="121"/>
      <c r="AS34" s="121"/>
      <c r="AT34" s="121"/>
      <c r="AU34" s="121"/>
      <c r="AV34" s="121"/>
      <c r="AW34" s="121"/>
      <c r="AX34" s="121"/>
    </row>
    <row r="35" ht="15.75" customHeight="1">
      <c r="A35" s="90" t="s">
        <v>78</v>
      </c>
      <c r="B35" s="119" t="s">
        <v>282</v>
      </c>
      <c r="C35" s="28"/>
      <c r="D35" s="28"/>
      <c r="E35" s="28"/>
      <c r="F35" s="28"/>
      <c r="G35" s="28"/>
      <c r="H35" s="28"/>
      <c r="I35" s="28"/>
      <c r="J35" s="28"/>
      <c r="K35" s="28"/>
      <c r="L35" s="28"/>
      <c r="M35" s="28"/>
      <c r="N35" s="28"/>
      <c r="O35" s="120"/>
      <c r="P35" s="120"/>
      <c r="Q35" s="120"/>
      <c r="R35" s="120"/>
      <c r="S35" s="120"/>
      <c r="T35" s="117" t="s">
        <v>287</v>
      </c>
      <c r="U35" s="120"/>
      <c r="V35" s="120"/>
      <c r="W35" s="120"/>
      <c r="X35" s="120"/>
      <c r="Y35" s="120"/>
      <c r="Z35" s="120"/>
      <c r="AA35" s="120"/>
      <c r="AB35" s="120"/>
      <c r="AC35" s="120"/>
      <c r="AD35" s="121"/>
      <c r="AE35" s="121"/>
      <c r="AF35" s="121"/>
      <c r="AG35" s="121"/>
      <c r="AH35" s="121"/>
      <c r="AI35" s="121"/>
      <c r="AJ35" s="121"/>
      <c r="AK35" s="121"/>
      <c r="AL35" s="121"/>
      <c r="AM35" s="121"/>
      <c r="AN35" s="121"/>
      <c r="AO35" s="121"/>
      <c r="AP35" s="121"/>
      <c r="AQ35" s="121"/>
      <c r="AR35" s="121"/>
      <c r="AS35" s="121"/>
      <c r="AT35" s="121"/>
      <c r="AU35" s="121"/>
      <c r="AV35" s="121"/>
      <c r="AW35" s="121"/>
      <c r="AX35" s="121"/>
    </row>
    <row r="36" ht="15.75" customHeight="1">
      <c r="A36" s="58" t="s">
        <v>78</v>
      </c>
      <c r="B36" s="58" t="s">
        <v>290</v>
      </c>
      <c r="C36" s="28"/>
      <c r="D36" s="28"/>
      <c r="E36" s="28"/>
      <c r="F36" s="28"/>
      <c r="G36" s="28"/>
      <c r="H36" s="28"/>
      <c r="I36" s="28"/>
      <c r="J36" s="28"/>
      <c r="K36" s="28"/>
      <c r="L36" s="28"/>
      <c r="M36" s="28"/>
      <c r="N36" s="28"/>
      <c r="O36" s="24"/>
      <c r="P36" s="24"/>
      <c r="Q36" s="24"/>
      <c r="R36" s="24"/>
      <c r="S36" s="24"/>
      <c r="T36" s="117" t="s">
        <v>293</v>
      </c>
      <c r="U36" s="118"/>
      <c r="V36" s="118"/>
      <c r="W36" s="24"/>
      <c r="X36" s="24"/>
      <c r="Y36" s="24"/>
      <c r="Z36" s="24"/>
      <c r="AA36" s="24"/>
      <c r="AB36" s="24"/>
      <c r="AC36" s="24"/>
      <c r="AD36" s="24"/>
      <c r="AE36" s="24"/>
      <c r="AF36" s="24"/>
      <c r="AG36" s="24"/>
      <c r="AH36" s="24"/>
      <c r="AI36" s="24"/>
      <c r="AJ36" s="24"/>
      <c r="AK36" s="24"/>
      <c r="AL36" s="24"/>
      <c r="AM36" s="24"/>
      <c r="AN36" s="24"/>
      <c r="AO36" s="24"/>
      <c r="AP36" s="24"/>
      <c r="AQ36" s="24"/>
      <c r="AR36" s="24"/>
      <c r="AS36" s="24"/>
      <c r="AT36" s="24"/>
      <c r="AU36" s="24"/>
      <c r="AV36" s="24"/>
      <c r="AW36" s="24"/>
      <c r="AX36" s="24"/>
    </row>
    <row r="37" ht="18.0" customHeight="1">
      <c r="A37" s="58" t="s">
        <v>78</v>
      </c>
      <c r="B37" s="58" t="s">
        <v>298</v>
      </c>
      <c r="C37" s="28"/>
      <c r="D37" s="28"/>
      <c r="E37" s="28"/>
      <c r="F37" s="28"/>
      <c r="G37" s="28"/>
      <c r="H37" s="28"/>
      <c r="I37" s="28"/>
      <c r="J37" s="28"/>
      <c r="K37" s="28"/>
      <c r="L37" s="28"/>
      <c r="M37" s="28"/>
      <c r="N37" s="28"/>
      <c r="O37" s="24"/>
      <c r="P37" s="24"/>
      <c r="Q37" s="24"/>
      <c r="R37" s="24"/>
      <c r="S37" s="24"/>
      <c r="T37" s="117" t="s">
        <v>299</v>
      </c>
      <c r="U37" s="24"/>
      <c r="V37" s="24"/>
      <c r="W37" s="24"/>
      <c r="X37" s="24"/>
      <c r="Y37" s="24"/>
      <c r="Z37" s="24"/>
      <c r="AA37" s="24"/>
      <c r="AB37" s="24"/>
      <c r="AC37" s="24"/>
      <c r="AD37" s="24"/>
      <c r="AE37" s="24"/>
      <c r="AF37" s="24"/>
      <c r="AG37" s="24"/>
      <c r="AH37" s="24"/>
      <c r="AI37" s="24"/>
      <c r="AJ37" s="24"/>
      <c r="AK37" s="24"/>
      <c r="AL37" s="24"/>
      <c r="AM37" s="24"/>
      <c r="AN37" s="24"/>
      <c r="AO37" s="24"/>
      <c r="AP37" s="24"/>
      <c r="AQ37" s="24"/>
      <c r="AR37" s="24"/>
      <c r="AS37" s="24"/>
      <c r="AT37" s="24"/>
      <c r="AU37" s="24"/>
      <c r="AV37" s="24"/>
      <c r="AW37" s="24"/>
      <c r="AX37" s="24"/>
    </row>
    <row r="38" ht="15.75" customHeight="1">
      <c r="A38" s="58" t="s">
        <v>78</v>
      </c>
      <c r="B38" s="58" t="s">
        <v>305</v>
      </c>
      <c r="C38" s="28"/>
      <c r="D38" s="28"/>
      <c r="E38" s="28"/>
      <c r="F38" s="28"/>
      <c r="G38" s="28"/>
      <c r="H38" s="28"/>
      <c r="I38" s="28"/>
      <c r="J38" s="28"/>
      <c r="K38" s="28"/>
      <c r="L38" s="28"/>
      <c r="M38" s="28"/>
      <c r="N38" s="28"/>
      <c r="O38" s="24"/>
      <c r="P38" s="24"/>
      <c r="Q38" s="24"/>
      <c r="R38" s="24"/>
      <c r="S38" s="24"/>
      <c r="T38" s="117" t="s">
        <v>309</v>
      </c>
      <c r="U38" s="24"/>
      <c r="V38" s="24"/>
      <c r="W38" s="24"/>
      <c r="X38" s="24"/>
      <c r="Y38" s="24"/>
      <c r="Z38" s="24"/>
      <c r="AA38" s="24"/>
      <c r="AB38" s="24"/>
      <c r="AC38" s="24"/>
      <c r="AD38" s="24"/>
      <c r="AE38" s="24"/>
      <c r="AF38" s="24"/>
      <c r="AG38" s="24"/>
      <c r="AH38" s="24"/>
      <c r="AI38" s="24"/>
      <c r="AJ38" s="24"/>
      <c r="AK38" s="24"/>
      <c r="AL38" s="24"/>
      <c r="AM38" s="24"/>
      <c r="AN38" s="24"/>
      <c r="AO38" s="24"/>
      <c r="AP38" s="24"/>
      <c r="AQ38" s="24"/>
      <c r="AR38" s="24"/>
      <c r="AS38" s="24"/>
      <c r="AT38" s="24"/>
      <c r="AU38" s="24"/>
      <c r="AV38" s="24"/>
      <c r="AW38" s="24"/>
      <c r="AX38" s="24"/>
    </row>
    <row r="39" ht="15.75" customHeight="1">
      <c r="A39" s="123" t="s">
        <v>78</v>
      </c>
      <c r="B39" s="123" t="s">
        <v>316</v>
      </c>
      <c r="C39" s="28"/>
      <c r="D39" s="28"/>
      <c r="E39" s="28"/>
      <c r="F39" s="28"/>
      <c r="G39" s="28"/>
      <c r="H39" s="28"/>
      <c r="I39" s="28"/>
      <c r="J39" s="28"/>
      <c r="K39" s="28"/>
      <c r="L39" s="28"/>
      <c r="M39" s="28"/>
      <c r="N39" s="28"/>
      <c r="O39" s="126"/>
      <c r="P39" s="126"/>
      <c r="Q39" s="126"/>
      <c r="R39" s="126"/>
      <c r="S39" s="126"/>
      <c r="T39" s="117" t="s">
        <v>317</v>
      </c>
      <c r="U39" s="127"/>
      <c r="V39" s="118"/>
      <c r="W39" s="126"/>
      <c r="X39" s="126"/>
      <c r="Y39" s="126"/>
      <c r="Z39" s="126"/>
      <c r="AA39" s="126"/>
      <c r="AB39" s="126"/>
      <c r="AC39" s="126"/>
      <c r="AD39" s="126"/>
      <c r="AE39" s="126"/>
      <c r="AF39" s="126"/>
      <c r="AG39" s="126"/>
      <c r="AH39" s="126"/>
      <c r="AI39" s="126"/>
      <c r="AJ39" s="126"/>
      <c r="AK39" s="126"/>
      <c r="AL39" s="126"/>
      <c r="AM39" s="126"/>
      <c r="AN39" s="126"/>
      <c r="AO39" s="70"/>
      <c r="AP39" s="70"/>
      <c r="AQ39" s="70"/>
      <c r="AR39" s="70"/>
      <c r="AS39" s="70"/>
      <c r="AT39" s="70"/>
      <c r="AU39" s="70"/>
      <c r="AV39" s="70"/>
      <c r="AW39" s="70"/>
      <c r="AX39" s="70"/>
    </row>
    <row r="40" ht="15.75" customHeight="1">
      <c r="A40" s="123" t="s">
        <v>78</v>
      </c>
      <c r="B40" s="123" t="s">
        <v>323</v>
      </c>
      <c r="C40" s="28"/>
      <c r="D40" s="28"/>
      <c r="E40" s="28"/>
      <c r="F40" s="28"/>
      <c r="G40" s="28"/>
      <c r="H40" s="28"/>
      <c r="I40" s="28"/>
      <c r="J40" s="28"/>
      <c r="K40" s="28"/>
      <c r="L40" s="28"/>
      <c r="M40" s="28"/>
      <c r="N40" s="28"/>
      <c r="O40" s="126"/>
      <c r="P40" s="126"/>
      <c r="Q40" s="126"/>
      <c r="R40" s="126"/>
      <c r="S40" s="126"/>
      <c r="T40" s="117" t="s">
        <v>325</v>
      </c>
      <c r="U40" s="126"/>
      <c r="V40" s="126"/>
      <c r="W40" s="126"/>
      <c r="X40" s="126"/>
      <c r="Y40" s="126"/>
      <c r="Z40" s="126"/>
      <c r="AA40" s="126"/>
      <c r="AB40" s="126"/>
      <c r="AC40" s="126"/>
      <c r="AD40" s="126"/>
      <c r="AE40" s="126"/>
      <c r="AF40" s="126"/>
      <c r="AG40" s="126"/>
      <c r="AH40" s="126"/>
      <c r="AI40" s="126"/>
      <c r="AJ40" s="126"/>
      <c r="AK40" s="126"/>
      <c r="AL40" s="126"/>
      <c r="AM40" s="126"/>
      <c r="AN40" s="126"/>
      <c r="AO40" s="70"/>
      <c r="AP40" s="70"/>
      <c r="AQ40" s="70"/>
      <c r="AR40" s="70"/>
      <c r="AS40" s="70"/>
      <c r="AT40" s="70"/>
      <c r="AU40" s="70"/>
      <c r="AV40" s="70"/>
      <c r="AW40" s="70"/>
      <c r="AX40" s="70"/>
    </row>
    <row r="41" ht="15.75" customHeight="1">
      <c r="A41" s="123" t="s">
        <v>78</v>
      </c>
      <c r="B41" s="123" t="s">
        <v>327</v>
      </c>
      <c r="C41" s="28"/>
      <c r="D41" s="28"/>
      <c r="E41" s="28"/>
      <c r="F41" s="28"/>
      <c r="G41" s="28"/>
      <c r="H41" s="28"/>
      <c r="I41" s="28"/>
      <c r="J41" s="28"/>
      <c r="K41" s="28"/>
      <c r="L41" s="28"/>
      <c r="M41" s="28"/>
      <c r="N41" s="28"/>
      <c r="O41" s="126"/>
      <c r="P41" s="126"/>
      <c r="Q41" s="126"/>
      <c r="R41" s="126"/>
      <c r="S41" s="126"/>
      <c r="T41" s="117" t="s">
        <v>330</v>
      </c>
      <c r="U41" s="126"/>
      <c r="V41" s="126"/>
      <c r="W41" s="126"/>
      <c r="X41" s="126"/>
      <c r="Y41" s="126"/>
      <c r="Z41" s="126"/>
      <c r="AA41" s="126"/>
      <c r="AB41" s="126"/>
      <c r="AC41" s="126"/>
      <c r="AD41" s="126"/>
      <c r="AE41" s="126"/>
      <c r="AF41" s="126"/>
      <c r="AG41" s="126"/>
      <c r="AH41" s="126"/>
      <c r="AI41" s="126"/>
      <c r="AJ41" s="126"/>
      <c r="AK41" s="126"/>
      <c r="AL41" s="126"/>
      <c r="AM41" s="126"/>
      <c r="AN41" s="126"/>
      <c r="AO41" s="70"/>
      <c r="AP41" s="70"/>
      <c r="AQ41" s="70"/>
      <c r="AR41" s="70"/>
      <c r="AS41" s="70"/>
      <c r="AT41" s="70"/>
      <c r="AU41" s="70"/>
      <c r="AV41" s="70"/>
      <c r="AW41" s="70"/>
      <c r="AX41" s="70"/>
    </row>
    <row r="42" ht="15.75" customHeight="1">
      <c r="A42" s="58" t="s">
        <v>334</v>
      </c>
      <c r="B42" s="58" t="s">
        <v>224</v>
      </c>
      <c r="C42" s="28" t="s">
        <v>336</v>
      </c>
      <c r="D42" s="28" t="s">
        <v>337</v>
      </c>
      <c r="E42" s="28" t="s">
        <v>338</v>
      </c>
      <c r="F42" s="28" t="s">
        <v>340</v>
      </c>
      <c r="G42" s="28" t="s">
        <v>342</v>
      </c>
      <c r="H42" s="28" t="s">
        <v>345</v>
      </c>
      <c r="I42" s="28"/>
      <c r="J42" s="28" t="s">
        <v>346</v>
      </c>
      <c r="K42" s="28"/>
      <c r="L42" s="28"/>
      <c r="M42" s="28"/>
      <c r="N42" s="28"/>
      <c r="O42" s="24"/>
      <c r="P42" s="58"/>
      <c r="Q42" s="58" t="s">
        <v>145</v>
      </c>
      <c r="R42" s="136"/>
      <c r="S42" s="24"/>
      <c r="T42" s="24"/>
      <c r="U42" s="24"/>
      <c r="V42" s="24"/>
      <c r="W42" s="24"/>
      <c r="X42" s="24"/>
      <c r="Y42" s="24"/>
      <c r="Z42" s="24"/>
      <c r="AA42" s="24"/>
      <c r="AB42" s="24"/>
      <c r="AC42" s="24"/>
      <c r="AD42" s="24"/>
      <c r="AE42" s="24"/>
      <c r="AF42" s="24"/>
      <c r="AG42" s="24"/>
      <c r="AH42" s="24"/>
      <c r="AI42" s="24"/>
      <c r="AJ42" s="24"/>
      <c r="AK42" s="24"/>
      <c r="AL42" s="24"/>
      <c r="AM42" s="24"/>
      <c r="AN42" s="24"/>
      <c r="AO42" s="24"/>
      <c r="AP42" s="24"/>
      <c r="AQ42" s="24"/>
      <c r="AR42" s="24"/>
      <c r="AS42" s="24"/>
      <c r="AT42" s="24"/>
      <c r="AU42" s="24"/>
      <c r="AV42" s="24"/>
      <c r="AW42" s="24"/>
      <c r="AX42" s="24"/>
    </row>
    <row r="43" ht="15.75" customHeight="1">
      <c r="A43" s="137" t="s">
        <v>78</v>
      </c>
      <c r="B43" s="138" t="s">
        <v>226</v>
      </c>
      <c r="C43" s="28"/>
      <c r="D43" s="28"/>
      <c r="E43" s="28"/>
      <c r="F43" s="28"/>
      <c r="G43" s="28"/>
      <c r="H43" s="28"/>
      <c r="I43" s="28"/>
      <c r="J43" s="28"/>
      <c r="K43" s="28"/>
      <c r="L43" s="28"/>
      <c r="M43" s="28"/>
      <c r="N43" s="28"/>
      <c r="O43" s="139"/>
      <c r="P43" s="140"/>
      <c r="Q43" s="140"/>
      <c r="R43" s="139"/>
      <c r="S43" s="139"/>
      <c r="T43" s="119" t="s">
        <v>358</v>
      </c>
      <c r="U43" s="139"/>
      <c r="V43" s="139"/>
      <c r="W43" s="139"/>
      <c r="X43" s="139"/>
      <c r="Y43" s="139"/>
      <c r="Z43" s="139"/>
      <c r="AA43" s="139"/>
      <c r="AB43" s="70"/>
      <c r="AC43" s="70"/>
      <c r="AD43" s="70"/>
      <c r="AE43" s="70"/>
      <c r="AF43" s="70"/>
      <c r="AG43" s="70"/>
      <c r="AH43" s="70"/>
      <c r="AI43" s="70"/>
      <c r="AJ43" s="70"/>
      <c r="AK43" s="70"/>
      <c r="AL43" s="70"/>
      <c r="AM43" s="70"/>
      <c r="AN43" s="70"/>
      <c r="AO43" s="70"/>
      <c r="AP43" s="70"/>
      <c r="AQ43" s="70"/>
      <c r="AR43" s="70"/>
      <c r="AS43" s="70"/>
      <c r="AT43" s="70"/>
      <c r="AU43" s="70"/>
      <c r="AV43" s="70"/>
      <c r="AW43" s="70"/>
      <c r="AX43" s="70"/>
    </row>
    <row r="44" ht="15.75" customHeight="1">
      <c r="A44" s="137" t="s">
        <v>78</v>
      </c>
      <c r="B44" s="138" t="s">
        <v>361</v>
      </c>
      <c r="C44" s="28"/>
      <c r="D44" s="28"/>
      <c r="E44" s="28"/>
      <c r="F44" s="28"/>
      <c r="G44" s="28"/>
      <c r="H44" s="28"/>
      <c r="I44" s="28"/>
      <c r="J44" s="28"/>
      <c r="K44" s="28"/>
      <c r="L44" s="28"/>
      <c r="M44" s="28"/>
      <c r="N44" s="28"/>
      <c r="O44" s="139"/>
      <c r="P44" s="140"/>
      <c r="Q44" s="140"/>
      <c r="R44" s="139"/>
      <c r="S44" s="139"/>
      <c r="T44" s="119" t="s">
        <v>363</v>
      </c>
      <c r="U44" s="139"/>
      <c r="V44" s="139"/>
      <c r="W44" s="139"/>
      <c r="X44" s="139"/>
      <c r="Y44" s="139"/>
      <c r="Z44" s="139"/>
      <c r="AA44" s="139"/>
      <c r="AB44" s="70"/>
      <c r="AC44" s="70"/>
      <c r="AD44" s="70"/>
      <c r="AE44" s="70"/>
      <c r="AF44" s="70"/>
      <c r="AG44" s="70"/>
      <c r="AH44" s="70"/>
      <c r="AI44" s="70"/>
      <c r="AJ44" s="70"/>
      <c r="AK44" s="70"/>
      <c r="AL44" s="70"/>
      <c r="AM44" s="70"/>
      <c r="AN44" s="70"/>
      <c r="AO44" s="70"/>
      <c r="AP44" s="70"/>
      <c r="AQ44" s="70"/>
      <c r="AR44" s="70"/>
      <c r="AS44" s="70"/>
      <c r="AT44" s="70"/>
      <c r="AU44" s="70"/>
      <c r="AV44" s="70"/>
      <c r="AW44" s="70"/>
      <c r="AX44" s="70"/>
    </row>
    <row r="45" ht="15.75" customHeight="1">
      <c r="A45" s="137" t="s">
        <v>78</v>
      </c>
      <c r="B45" s="138" t="s">
        <v>369</v>
      </c>
      <c r="C45" s="28"/>
      <c r="D45" s="28"/>
      <c r="E45" s="28"/>
      <c r="F45" s="28"/>
      <c r="G45" s="28"/>
      <c r="H45" s="28"/>
      <c r="I45" s="28"/>
      <c r="J45" s="28"/>
      <c r="K45" s="28"/>
      <c r="L45" s="28"/>
      <c r="M45" s="28"/>
      <c r="N45" s="28"/>
      <c r="O45" s="139"/>
      <c r="P45" s="140"/>
      <c r="Q45" s="140"/>
      <c r="R45" s="139"/>
      <c r="S45" s="139"/>
      <c r="T45" s="119" t="s">
        <v>372</v>
      </c>
      <c r="U45" s="139"/>
      <c r="V45" s="139"/>
      <c r="W45" s="139"/>
      <c r="X45" s="139"/>
      <c r="Y45" s="139"/>
      <c r="Z45" s="139"/>
      <c r="AA45" s="139"/>
      <c r="AB45" s="70"/>
      <c r="AC45" s="70"/>
      <c r="AD45" s="70"/>
      <c r="AE45" s="70"/>
      <c r="AF45" s="70"/>
      <c r="AG45" s="70"/>
      <c r="AH45" s="70"/>
      <c r="AI45" s="70"/>
      <c r="AJ45" s="70"/>
      <c r="AK45" s="70"/>
      <c r="AL45" s="70"/>
      <c r="AM45" s="70"/>
      <c r="AN45" s="70"/>
      <c r="AO45" s="70"/>
      <c r="AP45" s="70"/>
      <c r="AQ45" s="70"/>
      <c r="AR45" s="70"/>
      <c r="AS45" s="70"/>
      <c r="AT45" s="70"/>
      <c r="AU45" s="70"/>
      <c r="AV45" s="70"/>
      <c r="AW45" s="70"/>
      <c r="AX45" s="70"/>
    </row>
    <row r="46" ht="15.75" customHeight="1">
      <c r="A46" s="137" t="s">
        <v>78</v>
      </c>
      <c r="B46" s="138" t="s">
        <v>376</v>
      </c>
      <c r="C46" s="28"/>
      <c r="D46" s="28"/>
      <c r="E46" s="28"/>
      <c r="F46" s="28"/>
      <c r="G46" s="28"/>
      <c r="H46" s="28"/>
      <c r="I46" s="28"/>
      <c r="J46" s="28"/>
      <c r="K46" s="28"/>
      <c r="L46" s="28"/>
      <c r="M46" s="28"/>
      <c r="N46" s="28"/>
      <c r="O46" s="139"/>
      <c r="P46" s="140"/>
      <c r="Q46" s="140"/>
      <c r="R46" s="139"/>
      <c r="S46" s="139"/>
      <c r="T46" s="119" t="s">
        <v>378</v>
      </c>
      <c r="U46" s="139"/>
      <c r="V46" s="139"/>
      <c r="W46" s="139"/>
      <c r="X46" s="139"/>
      <c r="Y46" s="139"/>
      <c r="Z46" s="139"/>
      <c r="AA46" s="139"/>
      <c r="AB46" s="70"/>
      <c r="AC46" s="70"/>
      <c r="AD46" s="70"/>
      <c r="AE46" s="70"/>
      <c r="AF46" s="70"/>
      <c r="AG46" s="70"/>
      <c r="AH46" s="70"/>
      <c r="AI46" s="70"/>
      <c r="AJ46" s="70"/>
      <c r="AK46" s="70"/>
      <c r="AL46" s="70"/>
      <c r="AM46" s="70"/>
      <c r="AN46" s="70"/>
      <c r="AO46" s="70"/>
      <c r="AP46" s="70"/>
      <c r="AQ46" s="70"/>
      <c r="AR46" s="70"/>
      <c r="AS46" s="70"/>
      <c r="AT46" s="70"/>
      <c r="AU46" s="70"/>
      <c r="AV46" s="70"/>
      <c r="AW46" s="70"/>
      <c r="AX46" s="70"/>
    </row>
    <row r="47" ht="15.75" customHeight="1">
      <c r="A47" s="137" t="s">
        <v>78</v>
      </c>
      <c r="B47" s="138" t="s">
        <v>383</v>
      </c>
      <c r="C47" s="28"/>
      <c r="D47" s="28"/>
      <c r="E47" s="28"/>
      <c r="F47" s="28"/>
      <c r="G47" s="28"/>
      <c r="H47" s="28"/>
      <c r="I47" s="28"/>
      <c r="J47" s="28"/>
      <c r="K47" s="28"/>
      <c r="L47" s="28"/>
      <c r="M47" s="28"/>
      <c r="N47" s="28"/>
      <c r="O47" s="139"/>
      <c r="P47" s="140"/>
      <c r="Q47" s="140"/>
      <c r="R47" s="139"/>
      <c r="S47" s="139"/>
      <c r="T47" s="119" t="s">
        <v>385</v>
      </c>
      <c r="U47" s="139"/>
      <c r="V47" s="139"/>
      <c r="W47" s="139"/>
      <c r="X47" s="139"/>
      <c r="Y47" s="137"/>
      <c r="Z47" s="139"/>
      <c r="AA47" s="139"/>
      <c r="AB47" s="70"/>
      <c r="AC47" s="70"/>
      <c r="AD47" s="70"/>
      <c r="AE47" s="70"/>
      <c r="AF47" s="70"/>
      <c r="AG47" s="70"/>
      <c r="AH47" s="70"/>
      <c r="AI47" s="70"/>
      <c r="AJ47" s="70"/>
      <c r="AK47" s="70"/>
      <c r="AL47" s="70"/>
      <c r="AM47" s="70"/>
      <c r="AN47" s="70"/>
      <c r="AO47" s="70"/>
      <c r="AP47" s="70"/>
      <c r="AQ47" s="70"/>
      <c r="AR47" s="70"/>
      <c r="AS47" s="70"/>
      <c r="AT47" s="70"/>
      <c r="AU47" s="70"/>
      <c r="AV47" s="70"/>
      <c r="AW47" s="70"/>
      <c r="AX47" s="70"/>
    </row>
    <row r="48" ht="15.75" customHeight="1">
      <c r="A48" s="137" t="s">
        <v>78</v>
      </c>
      <c r="B48" s="138" t="s">
        <v>389</v>
      </c>
      <c r="C48" s="28"/>
      <c r="D48" s="28"/>
      <c r="E48" s="28"/>
      <c r="F48" s="28"/>
      <c r="G48" s="28"/>
      <c r="H48" s="28"/>
      <c r="I48" s="28"/>
      <c r="J48" s="28"/>
      <c r="K48" s="28"/>
      <c r="L48" s="28"/>
      <c r="M48" s="28"/>
      <c r="N48" s="28"/>
      <c r="O48" s="139"/>
      <c r="P48" s="140"/>
      <c r="Q48" s="140"/>
      <c r="R48" s="139"/>
      <c r="S48" s="139"/>
      <c r="T48" s="119" t="s">
        <v>394</v>
      </c>
      <c r="U48" s="139"/>
      <c r="V48" s="139"/>
      <c r="W48" s="139"/>
      <c r="X48" s="139"/>
      <c r="Y48" s="137"/>
      <c r="Z48" s="139"/>
      <c r="AA48" s="139"/>
      <c r="AB48" s="70"/>
      <c r="AC48" s="70"/>
      <c r="AD48" s="70"/>
      <c r="AE48" s="70"/>
      <c r="AF48" s="70"/>
      <c r="AG48" s="70"/>
      <c r="AH48" s="70"/>
      <c r="AI48" s="70"/>
      <c r="AJ48" s="70"/>
      <c r="AK48" s="70"/>
      <c r="AL48" s="70"/>
      <c r="AM48" s="70"/>
      <c r="AN48" s="70"/>
      <c r="AO48" s="70"/>
      <c r="AP48" s="70"/>
      <c r="AQ48" s="70"/>
      <c r="AR48" s="70"/>
      <c r="AS48" s="70"/>
      <c r="AT48" s="70"/>
      <c r="AU48" s="70"/>
      <c r="AV48" s="70"/>
      <c r="AW48" s="70"/>
      <c r="AX48" s="70"/>
    </row>
    <row r="49" ht="15.75" customHeight="1">
      <c r="A49" s="137" t="s">
        <v>78</v>
      </c>
      <c r="B49" s="138" t="s">
        <v>399</v>
      </c>
      <c r="C49" s="28"/>
      <c r="D49" s="28"/>
      <c r="E49" s="28"/>
      <c r="F49" s="28"/>
      <c r="G49" s="28"/>
      <c r="H49" s="28"/>
      <c r="I49" s="28"/>
      <c r="J49" s="28"/>
      <c r="K49" s="28"/>
      <c r="L49" s="28"/>
      <c r="M49" s="28"/>
      <c r="N49" s="28"/>
      <c r="O49" s="139"/>
      <c r="P49" s="140"/>
      <c r="Q49" s="140"/>
      <c r="R49" s="139"/>
      <c r="S49" s="139"/>
      <c r="T49" s="119" t="s">
        <v>403</v>
      </c>
      <c r="U49" s="139"/>
      <c r="V49" s="139"/>
      <c r="W49" s="139"/>
      <c r="X49" s="139"/>
      <c r="Y49" s="137"/>
      <c r="Z49" s="139"/>
      <c r="AA49" s="139"/>
      <c r="AB49" s="70"/>
      <c r="AC49" s="70"/>
      <c r="AD49" s="70"/>
      <c r="AE49" s="70"/>
      <c r="AF49" s="70"/>
      <c r="AG49" s="70"/>
      <c r="AH49" s="70"/>
      <c r="AI49" s="70"/>
      <c r="AJ49" s="70"/>
      <c r="AK49" s="70"/>
      <c r="AL49" s="70"/>
      <c r="AM49" s="70"/>
      <c r="AN49" s="70"/>
      <c r="AO49" s="70"/>
      <c r="AP49" s="70"/>
      <c r="AQ49" s="70"/>
      <c r="AR49" s="70"/>
      <c r="AS49" s="70"/>
      <c r="AT49" s="70"/>
      <c r="AU49" s="70"/>
      <c r="AV49" s="70"/>
      <c r="AW49" s="70"/>
      <c r="AX49" s="70"/>
    </row>
    <row r="50" ht="15.75" customHeight="1">
      <c r="A50" s="137" t="s">
        <v>78</v>
      </c>
      <c r="B50" s="138" t="s">
        <v>406</v>
      </c>
      <c r="C50" s="28"/>
      <c r="D50" s="28"/>
      <c r="E50" s="28"/>
      <c r="F50" s="28"/>
      <c r="G50" s="28"/>
      <c r="H50" s="28"/>
      <c r="I50" s="28"/>
      <c r="J50" s="28"/>
      <c r="K50" s="28"/>
      <c r="L50" s="28"/>
      <c r="M50" s="28"/>
      <c r="N50" s="28"/>
      <c r="O50" s="139"/>
      <c r="P50" s="140"/>
      <c r="Q50" s="140"/>
      <c r="R50" s="139"/>
      <c r="S50" s="139"/>
      <c r="T50" s="119" t="s">
        <v>410</v>
      </c>
      <c r="U50" s="139"/>
      <c r="V50" s="139"/>
      <c r="W50" s="139"/>
      <c r="X50" s="139"/>
      <c r="Y50" s="137"/>
      <c r="Z50" s="139"/>
      <c r="AA50" s="139"/>
      <c r="AB50" s="70"/>
      <c r="AC50" s="70"/>
      <c r="AD50" s="70"/>
      <c r="AE50" s="70"/>
      <c r="AF50" s="70"/>
      <c r="AG50" s="70"/>
      <c r="AH50" s="70"/>
      <c r="AI50" s="70"/>
      <c r="AJ50" s="70"/>
      <c r="AK50" s="70"/>
      <c r="AL50" s="70"/>
      <c r="AM50" s="70"/>
      <c r="AN50" s="70"/>
      <c r="AO50" s="70"/>
      <c r="AP50" s="70"/>
      <c r="AQ50" s="70"/>
      <c r="AR50" s="70"/>
      <c r="AS50" s="70"/>
      <c r="AT50" s="70"/>
      <c r="AU50" s="70"/>
      <c r="AV50" s="70"/>
      <c r="AW50" s="70"/>
      <c r="AX50" s="70"/>
    </row>
    <row r="51" ht="15.75" customHeight="1">
      <c r="A51" s="137" t="s">
        <v>78</v>
      </c>
      <c r="B51" s="138" t="s">
        <v>416</v>
      </c>
      <c r="C51" s="28"/>
      <c r="D51" s="28"/>
      <c r="E51" s="28"/>
      <c r="F51" s="28"/>
      <c r="G51" s="28"/>
      <c r="H51" s="28"/>
      <c r="I51" s="28"/>
      <c r="J51" s="28"/>
      <c r="K51" s="28"/>
      <c r="L51" s="28"/>
      <c r="M51" s="28"/>
      <c r="N51" s="28"/>
      <c r="O51" s="139"/>
      <c r="P51" s="140"/>
      <c r="Q51" s="140"/>
      <c r="R51" s="139"/>
      <c r="S51" s="139"/>
      <c r="T51" s="119" t="s">
        <v>420</v>
      </c>
      <c r="U51" s="139"/>
      <c r="V51" s="139"/>
      <c r="W51" s="139"/>
      <c r="X51" s="139"/>
      <c r="Y51" s="137"/>
      <c r="Z51" s="139"/>
      <c r="AA51" s="139"/>
      <c r="AB51" s="70"/>
      <c r="AC51" s="70"/>
      <c r="AD51" s="70"/>
      <c r="AE51" s="70"/>
      <c r="AF51" s="70"/>
      <c r="AG51" s="70"/>
      <c r="AH51" s="70"/>
      <c r="AI51" s="70"/>
      <c r="AJ51" s="70"/>
      <c r="AK51" s="70"/>
      <c r="AL51" s="70"/>
      <c r="AM51" s="70"/>
      <c r="AN51" s="70"/>
      <c r="AO51" s="70"/>
      <c r="AP51" s="70"/>
      <c r="AQ51" s="70"/>
      <c r="AR51" s="70"/>
      <c r="AS51" s="70"/>
      <c r="AT51" s="70"/>
      <c r="AU51" s="70"/>
      <c r="AV51" s="70"/>
      <c r="AW51" s="70"/>
      <c r="AX51" s="70"/>
    </row>
    <row r="52" ht="15.75" customHeight="1">
      <c r="A52" s="137" t="s">
        <v>78</v>
      </c>
      <c r="B52" s="138" t="s">
        <v>423</v>
      </c>
      <c r="C52" s="28"/>
      <c r="D52" s="28"/>
      <c r="E52" s="28"/>
      <c r="F52" s="28"/>
      <c r="G52" s="28"/>
      <c r="H52" s="28"/>
      <c r="I52" s="28"/>
      <c r="J52" s="28"/>
      <c r="K52" s="28"/>
      <c r="L52" s="28"/>
      <c r="M52" s="28"/>
      <c r="N52" s="28"/>
      <c r="O52" s="139"/>
      <c r="P52" s="140"/>
      <c r="Q52" s="140"/>
      <c r="R52" s="139"/>
      <c r="S52" s="139"/>
      <c r="T52" s="119" t="s">
        <v>424</v>
      </c>
      <c r="U52" s="139"/>
      <c r="V52" s="139"/>
      <c r="W52" s="139"/>
      <c r="X52" s="139"/>
      <c r="Y52" s="137"/>
      <c r="Z52" s="139"/>
      <c r="AA52" s="139"/>
      <c r="AB52" s="70"/>
      <c r="AC52" s="70"/>
      <c r="AD52" s="70"/>
      <c r="AE52" s="70"/>
      <c r="AF52" s="70"/>
      <c r="AG52" s="70"/>
      <c r="AH52" s="70"/>
      <c r="AI52" s="70"/>
      <c r="AJ52" s="70"/>
      <c r="AK52" s="70"/>
      <c r="AL52" s="70"/>
      <c r="AM52" s="70"/>
      <c r="AN52" s="70"/>
      <c r="AO52" s="70"/>
      <c r="AP52" s="70"/>
      <c r="AQ52" s="70"/>
      <c r="AR52" s="70"/>
      <c r="AS52" s="70"/>
      <c r="AT52" s="70"/>
      <c r="AU52" s="70"/>
      <c r="AV52" s="70"/>
      <c r="AW52" s="70"/>
      <c r="AX52" s="70"/>
    </row>
    <row r="53" ht="15.75" customHeight="1">
      <c r="A53" s="137" t="s">
        <v>78</v>
      </c>
      <c r="B53" s="138" t="s">
        <v>429</v>
      </c>
      <c r="C53" s="28"/>
      <c r="D53" s="28"/>
      <c r="E53" s="28"/>
      <c r="F53" s="28"/>
      <c r="G53" s="28"/>
      <c r="H53" s="28"/>
      <c r="I53" s="28"/>
      <c r="J53" s="28"/>
      <c r="K53" s="28"/>
      <c r="L53" s="28"/>
      <c r="M53" s="28"/>
      <c r="N53" s="28"/>
      <c r="O53" s="139"/>
      <c r="P53" s="137"/>
      <c r="Q53" s="137"/>
      <c r="R53" s="139"/>
      <c r="S53" s="139"/>
      <c r="T53" s="119" t="s">
        <v>431</v>
      </c>
      <c r="U53" s="139"/>
      <c r="V53" s="139"/>
      <c r="W53" s="139"/>
      <c r="X53" s="139"/>
      <c r="Y53" s="137"/>
      <c r="Z53" s="139"/>
      <c r="AA53" s="139"/>
      <c r="AB53" s="70"/>
      <c r="AC53" s="70"/>
      <c r="AD53" s="70"/>
      <c r="AE53" s="70"/>
      <c r="AF53" s="70"/>
      <c r="AG53" s="70"/>
      <c r="AH53" s="70"/>
      <c r="AI53" s="70"/>
      <c r="AJ53" s="70"/>
      <c r="AK53" s="70"/>
      <c r="AL53" s="70"/>
      <c r="AM53" s="70"/>
      <c r="AN53" s="70"/>
      <c r="AO53" s="70"/>
      <c r="AP53" s="70"/>
      <c r="AQ53" s="70"/>
      <c r="AR53" s="70"/>
      <c r="AS53" s="70"/>
      <c r="AT53" s="70"/>
      <c r="AU53" s="70"/>
      <c r="AV53" s="70"/>
      <c r="AW53" s="70"/>
      <c r="AX53" s="70"/>
    </row>
    <row r="54" ht="15.75" customHeight="1">
      <c r="A54" s="137" t="s">
        <v>78</v>
      </c>
      <c r="B54" s="138" t="s">
        <v>435</v>
      </c>
      <c r="C54" s="28"/>
      <c r="D54" s="28"/>
      <c r="E54" s="28"/>
      <c r="F54" s="28"/>
      <c r="G54" s="28"/>
      <c r="H54" s="28"/>
      <c r="I54" s="28"/>
      <c r="J54" s="28"/>
      <c r="K54" s="28"/>
      <c r="L54" s="28"/>
      <c r="M54" s="28"/>
      <c r="N54" s="28"/>
      <c r="O54" s="139"/>
      <c r="P54" s="137"/>
      <c r="Q54" s="137"/>
      <c r="R54" s="139"/>
      <c r="S54" s="139"/>
      <c r="T54" s="119" t="s">
        <v>440</v>
      </c>
      <c r="U54" s="139"/>
      <c r="V54" s="139"/>
      <c r="W54" s="139"/>
      <c r="X54" s="139"/>
      <c r="Y54" s="137"/>
      <c r="Z54" s="139"/>
      <c r="AA54" s="139"/>
      <c r="AB54" s="70"/>
      <c r="AC54" s="70"/>
      <c r="AD54" s="70"/>
      <c r="AE54" s="70"/>
      <c r="AF54" s="70"/>
      <c r="AG54" s="70"/>
      <c r="AH54" s="70"/>
      <c r="AI54" s="70"/>
      <c r="AJ54" s="70"/>
      <c r="AK54" s="70"/>
      <c r="AL54" s="70"/>
      <c r="AM54" s="70"/>
      <c r="AN54" s="70"/>
      <c r="AO54" s="70"/>
      <c r="AP54" s="70"/>
      <c r="AQ54" s="70"/>
      <c r="AR54" s="70"/>
      <c r="AS54" s="70"/>
      <c r="AT54" s="70"/>
      <c r="AU54" s="70"/>
      <c r="AV54" s="70"/>
      <c r="AW54" s="70"/>
      <c r="AX54" s="70"/>
    </row>
    <row r="55" ht="15.75" customHeight="1">
      <c r="A55" s="137" t="s">
        <v>78</v>
      </c>
      <c r="B55" s="138" t="s">
        <v>441</v>
      </c>
      <c r="C55" s="28"/>
      <c r="D55" s="28"/>
      <c r="E55" s="28"/>
      <c r="F55" s="28"/>
      <c r="G55" s="28"/>
      <c r="H55" s="28"/>
      <c r="I55" s="28"/>
      <c r="J55" s="28"/>
      <c r="K55" s="28"/>
      <c r="L55" s="28"/>
      <c r="M55" s="28"/>
      <c r="N55" s="28"/>
      <c r="O55" s="139"/>
      <c r="P55" s="137"/>
      <c r="Q55" s="137"/>
      <c r="R55" s="139"/>
      <c r="S55" s="139"/>
      <c r="T55" s="137" t="s">
        <v>442</v>
      </c>
      <c r="U55" s="139"/>
      <c r="V55" s="139"/>
      <c r="W55" s="139"/>
      <c r="X55" s="139"/>
      <c r="Y55" s="137"/>
      <c r="Z55" s="139"/>
      <c r="AA55" s="139"/>
      <c r="AB55" s="70"/>
      <c r="AC55" s="70"/>
      <c r="AD55" s="70"/>
      <c r="AE55" s="70"/>
      <c r="AF55" s="70"/>
      <c r="AG55" s="70"/>
      <c r="AH55" s="70"/>
      <c r="AI55" s="70"/>
      <c r="AJ55" s="70"/>
      <c r="AK55" s="70"/>
      <c r="AL55" s="70"/>
      <c r="AM55" s="70"/>
      <c r="AN55" s="70"/>
      <c r="AO55" s="70"/>
      <c r="AP55" s="70"/>
      <c r="AQ55" s="70"/>
      <c r="AR55" s="70"/>
      <c r="AS55" s="70"/>
      <c r="AT55" s="70"/>
      <c r="AU55" s="70"/>
      <c r="AV55" s="70"/>
      <c r="AW55" s="70"/>
      <c r="AX55" s="70"/>
    </row>
    <row r="56" ht="15.75" customHeight="1">
      <c r="A56" s="150" t="s">
        <v>78</v>
      </c>
      <c r="B56" s="119" t="s">
        <v>446</v>
      </c>
      <c r="C56" s="28"/>
      <c r="D56" s="28"/>
      <c r="E56" s="28"/>
      <c r="F56" s="28"/>
      <c r="G56" s="28"/>
      <c r="H56" s="28"/>
      <c r="I56" s="28"/>
      <c r="J56" s="28"/>
      <c r="K56" s="28"/>
      <c r="L56" s="28"/>
      <c r="M56" s="28"/>
      <c r="N56" s="28"/>
      <c r="O56" s="96"/>
      <c r="P56" s="90"/>
      <c r="Q56" s="90"/>
      <c r="R56" s="96"/>
      <c r="S56" s="96"/>
      <c r="T56" s="119" t="s">
        <v>450</v>
      </c>
      <c r="U56" s="96"/>
      <c r="V56" s="96"/>
      <c r="W56" s="96"/>
      <c r="X56" s="96"/>
      <c r="Y56" s="96"/>
      <c r="Z56" s="96"/>
      <c r="AA56" s="96"/>
      <c r="AB56" s="96"/>
      <c r="AC56" s="96"/>
      <c r="AD56" s="70"/>
      <c r="AE56" s="70"/>
      <c r="AF56" s="70"/>
      <c r="AG56" s="70"/>
      <c r="AH56" s="70"/>
      <c r="AI56" s="70"/>
      <c r="AJ56" s="70"/>
      <c r="AK56" s="70"/>
      <c r="AL56" s="70"/>
      <c r="AM56" s="70"/>
      <c r="AN56" s="70"/>
      <c r="AO56" s="70"/>
      <c r="AP56" s="70"/>
      <c r="AQ56" s="70"/>
      <c r="AR56" s="70"/>
      <c r="AS56" s="70"/>
      <c r="AT56" s="70"/>
      <c r="AU56" s="70"/>
      <c r="AV56" s="70"/>
      <c r="AW56" s="70"/>
      <c r="AX56" s="70"/>
    </row>
    <row r="57" ht="15.75" customHeight="1">
      <c r="A57" s="90" t="s">
        <v>78</v>
      </c>
      <c r="B57" s="154" t="s">
        <v>451</v>
      </c>
      <c r="C57" s="28"/>
      <c r="D57" s="28"/>
      <c r="E57" s="28"/>
      <c r="F57" s="28"/>
      <c r="G57" s="28"/>
      <c r="H57" s="28"/>
      <c r="I57" s="28"/>
      <c r="J57" s="28"/>
      <c r="K57" s="28"/>
      <c r="L57" s="28"/>
      <c r="M57" s="28"/>
      <c r="N57" s="28"/>
      <c r="O57" s="96"/>
      <c r="P57" s="90"/>
      <c r="Q57" s="90"/>
      <c r="R57" s="96"/>
      <c r="S57" s="96"/>
      <c r="T57" s="119" t="s">
        <v>456</v>
      </c>
      <c r="U57" s="96"/>
      <c r="V57" s="96"/>
      <c r="W57" s="96"/>
      <c r="X57" s="96"/>
      <c r="Y57" s="96"/>
      <c r="Z57" s="96"/>
      <c r="AA57" s="96"/>
      <c r="AB57" s="96"/>
      <c r="AC57" s="96"/>
      <c r="AD57" s="70"/>
      <c r="AE57" s="70"/>
      <c r="AF57" s="70"/>
      <c r="AG57" s="70"/>
      <c r="AH57" s="70"/>
      <c r="AI57" s="70"/>
      <c r="AJ57" s="70"/>
      <c r="AK57" s="70"/>
      <c r="AL57" s="70"/>
      <c r="AM57" s="70"/>
      <c r="AN57" s="70"/>
      <c r="AO57" s="70"/>
      <c r="AP57" s="70"/>
      <c r="AQ57" s="70"/>
      <c r="AR57" s="70"/>
      <c r="AS57" s="70"/>
      <c r="AT57" s="70"/>
      <c r="AU57" s="70"/>
      <c r="AV57" s="70"/>
      <c r="AW57" s="70"/>
      <c r="AX57" s="70"/>
    </row>
    <row r="58" ht="15.75" customHeight="1">
      <c r="A58" s="156" t="s">
        <v>131</v>
      </c>
      <c r="B58" s="157" t="s">
        <v>458</v>
      </c>
      <c r="C58" s="28"/>
      <c r="D58" s="28"/>
      <c r="E58" s="28"/>
      <c r="F58" s="28"/>
      <c r="G58" s="28"/>
      <c r="H58" s="28"/>
      <c r="I58" s="28"/>
      <c r="J58" s="28"/>
      <c r="K58" s="28"/>
      <c r="L58" s="28"/>
      <c r="M58" s="28"/>
      <c r="N58" s="28"/>
      <c r="O58" s="158"/>
      <c r="P58" s="159"/>
      <c r="Q58" s="159"/>
      <c r="R58" s="160"/>
      <c r="S58" s="160"/>
      <c r="T58" s="139"/>
      <c r="U58" s="160"/>
      <c r="V58" s="160"/>
      <c r="W58" s="160"/>
      <c r="X58" s="160"/>
      <c r="Y58" s="160"/>
      <c r="Z58" s="160"/>
      <c r="AA58" s="160"/>
      <c r="AB58" s="160"/>
      <c r="AC58" s="160"/>
      <c r="AD58" s="121"/>
      <c r="AE58" s="121"/>
      <c r="AF58" s="121"/>
      <c r="AG58" s="121"/>
      <c r="AH58" s="121"/>
      <c r="AI58" s="121"/>
      <c r="AJ58" s="121"/>
      <c r="AK58" s="121"/>
      <c r="AL58" s="121"/>
      <c r="AM58" s="121"/>
      <c r="AN58" s="121"/>
      <c r="AO58" s="121"/>
      <c r="AP58" s="121"/>
      <c r="AQ58" s="121"/>
      <c r="AR58" s="121"/>
      <c r="AS58" s="121"/>
      <c r="AT58" s="121"/>
      <c r="AU58" s="121"/>
      <c r="AV58" s="121"/>
      <c r="AW58" s="121"/>
      <c r="AX58" s="121"/>
    </row>
    <row r="59" ht="15.75" customHeight="1">
      <c r="A59" s="58" t="s">
        <v>463</v>
      </c>
      <c r="B59" s="58" t="s">
        <v>464</v>
      </c>
      <c r="C59" s="28" t="s">
        <v>465</v>
      </c>
      <c r="D59" s="28" t="s">
        <v>466</v>
      </c>
      <c r="E59" s="28" t="s">
        <v>467</v>
      </c>
      <c r="F59" s="28"/>
      <c r="G59" s="28"/>
      <c r="H59" s="28"/>
      <c r="I59" s="28"/>
      <c r="J59" s="28"/>
      <c r="K59" s="28"/>
      <c r="L59" s="28"/>
      <c r="M59" s="28"/>
      <c r="N59" s="28"/>
      <c r="O59" s="24"/>
      <c r="P59" s="58"/>
      <c r="Q59" s="58" t="s">
        <v>145</v>
      </c>
      <c r="R59" s="24"/>
      <c r="S59" s="24"/>
      <c r="T59" s="24"/>
      <c r="U59" s="24"/>
      <c r="V59" s="24"/>
      <c r="W59" s="24"/>
      <c r="X59" s="24"/>
      <c r="Y59" s="24"/>
      <c r="Z59" s="24"/>
      <c r="AA59" s="24"/>
      <c r="AB59" s="24"/>
      <c r="AC59" s="24"/>
      <c r="AD59" s="24"/>
      <c r="AE59" s="24"/>
      <c r="AF59" s="24"/>
      <c r="AG59" s="24"/>
      <c r="AH59" s="24"/>
      <c r="AI59" s="24"/>
      <c r="AJ59" s="24"/>
      <c r="AK59" s="24"/>
      <c r="AL59" s="24"/>
      <c r="AM59" s="24"/>
      <c r="AN59" s="24"/>
      <c r="AO59" s="24"/>
      <c r="AP59" s="24"/>
      <c r="AQ59" s="24"/>
      <c r="AR59" s="24"/>
      <c r="AS59" s="24"/>
      <c r="AT59" s="24"/>
      <c r="AU59" s="24"/>
      <c r="AV59" s="24"/>
      <c r="AW59" s="24"/>
      <c r="AX59" s="24"/>
    </row>
    <row r="60" ht="15.75" customHeight="1">
      <c r="A60" s="58" t="s">
        <v>471</v>
      </c>
      <c r="B60" s="58" t="s">
        <v>472</v>
      </c>
      <c r="C60" s="28" t="s">
        <v>473</v>
      </c>
      <c r="D60" s="28" t="s">
        <v>474</v>
      </c>
      <c r="E60" s="28" t="s">
        <v>475</v>
      </c>
      <c r="F60" s="28"/>
      <c r="G60" s="28"/>
      <c r="H60" s="28"/>
      <c r="I60" s="28"/>
      <c r="J60" s="28"/>
      <c r="K60" s="28"/>
      <c r="L60" s="28"/>
      <c r="M60" s="28"/>
      <c r="N60" s="28"/>
      <c r="O60" s="58" t="s">
        <v>479</v>
      </c>
      <c r="P60" s="58"/>
      <c r="Q60" s="58" t="s">
        <v>145</v>
      </c>
      <c r="R60" s="24"/>
      <c r="S60" s="24"/>
      <c r="T60" s="24"/>
      <c r="U60" s="24"/>
      <c r="V60" s="24"/>
      <c r="W60" s="24"/>
      <c r="X60" s="24"/>
      <c r="Y60" s="58" t="s">
        <v>481</v>
      </c>
      <c r="Z60" s="24"/>
      <c r="AA60" s="24"/>
      <c r="AB60" s="24"/>
      <c r="AC60" s="24"/>
      <c r="AD60" s="24"/>
      <c r="AE60" s="24"/>
      <c r="AF60" s="24"/>
      <c r="AG60" s="24"/>
      <c r="AH60" s="24"/>
      <c r="AI60" s="24"/>
      <c r="AJ60" s="24"/>
      <c r="AK60" s="24"/>
      <c r="AL60" s="24"/>
      <c r="AM60" s="24"/>
      <c r="AN60" s="24"/>
      <c r="AO60" s="24"/>
      <c r="AP60" s="24"/>
      <c r="AQ60" s="24"/>
      <c r="AR60" s="24"/>
      <c r="AS60" s="24"/>
      <c r="AT60" s="24"/>
      <c r="AU60" s="24"/>
      <c r="AV60" s="24"/>
      <c r="AW60" s="24"/>
      <c r="AX60" s="24"/>
    </row>
    <row r="61" ht="15.75" customHeight="1">
      <c r="A61" s="58" t="s">
        <v>41</v>
      </c>
      <c r="B61" s="58" t="s">
        <v>485</v>
      </c>
      <c r="C61" s="28" t="s">
        <v>487</v>
      </c>
      <c r="D61" s="28" t="s">
        <v>488</v>
      </c>
      <c r="E61" s="28" t="s">
        <v>490</v>
      </c>
      <c r="F61" s="28"/>
      <c r="G61" s="28"/>
      <c r="H61" s="28"/>
      <c r="I61" s="28"/>
      <c r="J61" s="28"/>
      <c r="K61" s="28"/>
      <c r="L61" s="28"/>
      <c r="M61" s="28"/>
      <c r="N61" s="28"/>
      <c r="O61" s="58" t="s">
        <v>491</v>
      </c>
      <c r="P61" s="58"/>
      <c r="Q61" s="58" t="s">
        <v>145</v>
      </c>
      <c r="R61" s="24"/>
      <c r="S61" s="24"/>
      <c r="T61" s="24"/>
      <c r="U61" s="24"/>
      <c r="V61" s="24"/>
      <c r="W61" s="24"/>
      <c r="X61" s="24"/>
      <c r="Y61" s="24"/>
      <c r="Z61" s="24"/>
      <c r="AA61" s="24"/>
      <c r="AB61" s="24"/>
      <c r="AC61" s="24"/>
      <c r="AD61" s="24"/>
      <c r="AE61" s="24"/>
      <c r="AF61" s="24"/>
      <c r="AG61" s="24"/>
      <c r="AH61" s="24"/>
      <c r="AI61" s="24"/>
      <c r="AJ61" s="24"/>
      <c r="AK61" s="24"/>
      <c r="AL61" s="24"/>
      <c r="AM61" s="24"/>
      <c r="AN61" s="24"/>
      <c r="AO61" s="24"/>
      <c r="AP61" s="24"/>
      <c r="AQ61" s="24"/>
      <c r="AR61" s="24"/>
      <c r="AS61" s="24"/>
      <c r="AT61" s="24"/>
      <c r="AU61" s="24"/>
      <c r="AV61" s="24"/>
      <c r="AW61" s="24"/>
      <c r="AX61" s="24"/>
    </row>
    <row r="62" ht="15.75" customHeight="1">
      <c r="A62" s="58" t="s">
        <v>41</v>
      </c>
      <c r="B62" s="58" t="s">
        <v>495</v>
      </c>
      <c r="C62" s="28" t="s">
        <v>498</v>
      </c>
      <c r="D62" s="28" t="s">
        <v>499</v>
      </c>
      <c r="E62" s="28" t="s">
        <v>500</v>
      </c>
      <c r="F62" s="28"/>
      <c r="G62" s="28"/>
      <c r="H62" s="28"/>
      <c r="I62" s="28"/>
      <c r="J62" s="28"/>
      <c r="K62" s="28"/>
      <c r="L62" s="28"/>
      <c r="M62" s="28"/>
      <c r="N62" s="28"/>
      <c r="O62" s="58" t="s">
        <v>501</v>
      </c>
      <c r="P62" s="58"/>
      <c r="Q62" s="58" t="s">
        <v>145</v>
      </c>
      <c r="R62" s="24"/>
      <c r="S62" s="24"/>
      <c r="T62" s="24"/>
      <c r="U62" s="24"/>
      <c r="V62" s="24"/>
      <c r="W62" s="24"/>
      <c r="X62" s="24"/>
      <c r="Y62" s="24"/>
      <c r="Z62" s="24"/>
      <c r="AA62" s="24"/>
      <c r="AB62" s="24"/>
      <c r="AC62" s="24"/>
      <c r="AD62" s="24"/>
      <c r="AE62" s="24"/>
      <c r="AF62" s="24"/>
      <c r="AG62" s="24"/>
      <c r="AH62" s="24"/>
      <c r="AI62" s="24"/>
      <c r="AJ62" s="24"/>
      <c r="AK62" s="24"/>
      <c r="AL62" s="24"/>
      <c r="AM62" s="24"/>
      <c r="AN62" s="24"/>
      <c r="AO62" s="24"/>
      <c r="AP62" s="24"/>
      <c r="AQ62" s="24"/>
      <c r="AR62" s="24"/>
      <c r="AS62" s="24"/>
      <c r="AT62" s="24"/>
      <c r="AU62" s="24"/>
      <c r="AV62" s="24"/>
      <c r="AW62" s="24"/>
      <c r="AX62" s="24"/>
    </row>
    <row r="63" ht="15.75" customHeight="1">
      <c r="A63" s="58" t="s">
        <v>463</v>
      </c>
      <c r="B63" s="58" t="s">
        <v>505</v>
      </c>
      <c r="C63" s="28" t="s">
        <v>506</v>
      </c>
      <c r="D63" s="28" t="s">
        <v>507</v>
      </c>
      <c r="E63" s="28" t="s">
        <v>508</v>
      </c>
      <c r="F63" s="28"/>
      <c r="G63" s="28"/>
      <c r="H63" s="28"/>
      <c r="I63" s="28"/>
      <c r="J63" s="28"/>
      <c r="K63" s="28"/>
      <c r="L63" s="28"/>
      <c r="M63" s="28"/>
      <c r="N63" s="28"/>
      <c r="O63" s="58" t="s">
        <v>509</v>
      </c>
      <c r="P63" s="58"/>
      <c r="Q63" s="58" t="s">
        <v>145</v>
      </c>
      <c r="R63" s="24"/>
      <c r="S63" s="24"/>
      <c r="T63" s="24"/>
      <c r="U63" s="24"/>
      <c r="V63" s="24"/>
      <c r="W63" s="24"/>
      <c r="X63" s="24"/>
      <c r="Y63" s="24"/>
      <c r="Z63" s="24"/>
      <c r="AA63" s="24"/>
      <c r="AB63" s="24"/>
      <c r="AC63" s="24"/>
      <c r="AD63" s="24"/>
      <c r="AE63" s="24"/>
      <c r="AF63" s="24"/>
      <c r="AG63" s="24"/>
      <c r="AH63" s="24"/>
      <c r="AI63" s="24"/>
      <c r="AJ63" s="24"/>
      <c r="AK63" s="24"/>
      <c r="AL63" s="24"/>
      <c r="AM63" s="24"/>
      <c r="AN63" s="24"/>
      <c r="AO63" s="24"/>
      <c r="AP63" s="24"/>
      <c r="AQ63" s="24"/>
      <c r="AR63" s="24"/>
      <c r="AS63" s="24"/>
      <c r="AT63" s="24"/>
      <c r="AU63" s="24"/>
      <c r="AV63" s="24"/>
      <c r="AW63" s="24"/>
      <c r="AX63" s="24"/>
    </row>
    <row r="64" ht="15.75" customHeight="1">
      <c r="A64" s="58" t="s">
        <v>516</v>
      </c>
      <c r="B64" s="58" t="s">
        <v>517</v>
      </c>
      <c r="C64" s="28" t="s">
        <v>518</v>
      </c>
      <c r="D64" s="28" t="s">
        <v>519</v>
      </c>
      <c r="E64" s="28" t="s">
        <v>520</v>
      </c>
      <c r="F64" s="28"/>
      <c r="G64" s="28"/>
      <c r="H64" s="28"/>
      <c r="I64" s="28"/>
      <c r="J64" s="28"/>
      <c r="K64" s="28"/>
      <c r="L64" s="28"/>
      <c r="M64" s="28"/>
      <c r="N64" s="28"/>
      <c r="O64" s="58" t="s">
        <v>521</v>
      </c>
      <c r="P64" s="58"/>
      <c r="Q64" s="58" t="s">
        <v>145</v>
      </c>
      <c r="R64" s="58"/>
      <c r="S64" s="58"/>
      <c r="T64" s="58"/>
      <c r="U64" s="58"/>
      <c r="V64" s="58"/>
      <c r="W64" s="58"/>
      <c r="X64" s="58"/>
      <c r="Y64" s="58"/>
      <c r="Z64" s="58"/>
      <c r="AA64" s="58"/>
      <c r="AB64" s="58"/>
      <c r="AC64" s="58"/>
      <c r="AD64" s="58"/>
      <c r="AE64" s="58"/>
      <c r="AF64" s="58"/>
      <c r="AG64" s="58"/>
      <c r="AH64" s="58"/>
      <c r="AI64" s="58"/>
      <c r="AJ64" s="58"/>
      <c r="AK64" s="58"/>
      <c r="AL64" s="58"/>
      <c r="AM64" s="58"/>
      <c r="AN64" s="58"/>
      <c r="AO64" s="58"/>
      <c r="AP64" s="58"/>
      <c r="AQ64" s="58"/>
      <c r="AR64" s="58"/>
      <c r="AS64" s="58"/>
      <c r="AT64" s="58"/>
      <c r="AU64" s="58"/>
      <c r="AV64" s="58"/>
      <c r="AW64" s="58"/>
      <c r="AX64" s="58"/>
    </row>
    <row r="65" ht="15.75" customHeight="1">
      <c r="A65" s="58" t="s">
        <v>246</v>
      </c>
      <c r="B65" s="58" t="s">
        <v>527</v>
      </c>
      <c r="C65" s="28" t="s">
        <v>529</v>
      </c>
      <c r="D65" s="28" t="s">
        <v>531</v>
      </c>
      <c r="E65" s="28" t="s">
        <v>532</v>
      </c>
      <c r="F65" s="28"/>
      <c r="G65" s="28"/>
      <c r="H65" s="28"/>
      <c r="I65" s="28"/>
      <c r="J65" s="28"/>
      <c r="K65" s="28"/>
      <c r="L65" s="28"/>
      <c r="M65" s="28"/>
      <c r="N65" s="28"/>
      <c r="O65" s="58" t="s">
        <v>533</v>
      </c>
      <c r="P65" s="58"/>
      <c r="Q65" s="58" t="s">
        <v>145</v>
      </c>
      <c r="R65" s="58"/>
      <c r="S65" s="58"/>
      <c r="T65" s="58"/>
      <c r="U65" s="58"/>
      <c r="V65" s="58"/>
      <c r="W65" s="58"/>
      <c r="X65" s="58"/>
      <c r="Y65" s="58"/>
      <c r="Z65" s="58"/>
      <c r="AA65" s="58"/>
      <c r="AB65" s="58"/>
      <c r="AC65" s="58"/>
      <c r="AD65" s="58"/>
      <c r="AE65" s="58"/>
      <c r="AF65" s="58"/>
      <c r="AG65" s="58"/>
      <c r="AH65" s="58"/>
      <c r="AI65" s="58"/>
      <c r="AJ65" s="58"/>
      <c r="AK65" s="58"/>
      <c r="AL65" s="58"/>
      <c r="AM65" s="58"/>
      <c r="AN65" s="58"/>
      <c r="AO65" s="58"/>
      <c r="AP65" s="58"/>
      <c r="AQ65" s="58"/>
      <c r="AR65" s="58"/>
      <c r="AS65" s="58"/>
      <c r="AT65" s="58"/>
      <c r="AU65" s="58"/>
      <c r="AV65" s="58"/>
      <c r="AW65" s="58"/>
      <c r="AX65" s="58"/>
    </row>
    <row r="66" ht="15.75" customHeight="1">
      <c r="A66" s="58" t="s">
        <v>237</v>
      </c>
      <c r="B66" s="58" t="s">
        <v>124</v>
      </c>
      <c r="C66" s="28"/>
      <c r="D66" s="28"/>
      <c r="E66" s="28"/>
      <c r="F66" s="28"/>
      <c r="G66" s="28"/>
      <c r="H66" s="28"/>
      <c r="I66" s="28"/>
      <c r="J66" s="28"/>
      <c r="K66" s="28"/>
      <c r="L66" s="28"/>
      <c r="M66" s="28"/>
      <c r="N66" s="28"/>
      <c r="O66" s="24"/>
      <c r="P66" s="24"/>
      <c r="Q66" s="24"/>
      <c r="R66" s="24"/>
      <c r="S66" s="24"/>
      <c r="T66" s="24"/>
      <c r="U66" s="24"/>
      <c r="V66" s="24"/>
      <c r="W66" s="24"/>
      <c r="X66" s="24"/>
      <c r="Y66" s="24"/>
      <c r="Z66" s="24"/>
      <c r="AA66" s="24"/>
      <c r="AB66" s="24"/>
      <c r="AC66" s="24"/>
      <c r="AD66" s="24"/>
      <c r="AE66" s="24"/>
      <c r="AF66" s="24"/>
      <c r="AG66" s="24"/>
      <c r="AH66" s="24"/>
      <c r="AI66" s="24"/>
      <c r="AJ66" s="24"/>
      <c r="AK66" s="24"/>
      <c r="AL66" s="24"/>
      <c r="AM66" s="24"/>
      <c r="AN66" s="24"/>
      <c r="AO66" s="24"/>
      <c r="AP66" s="24"/>
      <c r="AQ66" s="24"/>
      <c r="AR66" s="24"/>
      <c r="AS66" s="24"/>
      <c r="AT66" s="24"/>
      <c r="AU66" s="24"/>
      <c r="AV66" s="24"/>
      <c r="AW66" s="24"/>
      <c r="AX66" s="24"/>
    </row>
    <row r="67" ht="15.75" customHeight="1">
      <c r="A67" s="58" t="s">
        <v>463</v>
      </c>
      <c r="B67" s="58" t="s">
        <v>552</v>
      </c>
      <c r="C67" s="28" t="s">
        <v>553</v>
      </c>
      <c r="D67" s="28" t="s">
        <v>554</v>
      </c>
      <c r="E67" s="28" t="s">
        <v>555</v>
      </c>
      <c r="F67" s="28"/>
      <c r="G67" s="28"/>
      <c r="H67" s="28"/>
      <c r="I67" s="28"/>
      <c r="J67" s="28"/>
      <c r="K67" s="28"/>
      <c r="L67" s="28"/>
      <c r="M67" s="28"/>
      <c r="N67" s="28"/>
      <c r="O67" s="58" t="s">
        <v>559</v>
      </c>
      <c r="P67" s="58"/>
      <c r="Q67" s="58" t="s">
        <v>145</v>
      </c>
      <c r="R67" s="24"/>
      <c r="S67" s="24"/>
      <c r="T67" s="24"/>
      <c r="U67" s="24"/>
      <c r="V67" s="24"/>
      <c r="W67" s="24"/>
      <c r="X67" s="24"/>
      <c r="Y67" s="24"/>
      <c r="Z67" s="24"/>
      <c r="AA67" s="24"/>
      <c r="AB67" s="24"/>
      <c r="AC67" s="24"/>
      <c r="AD67" s="24"/>
      <c r="AE67" s="24"/>
      <c r="AF67" s="24"/>
      <c r="AG67" s="24"/>
      <c r="AH67" s="24"/>
      <c r="AI67" s="24"/>
      <c r="AJ67" s="24"/>
      <c r="AK67" s="24"/>
      <c r="AL67" s="24"/>
      <c r="AM67" s="24"/>
      <c r="AN67" s="24"/>
      <c r="AO67" s="24"/>
      <c r="AP67" s="24"/>
      <c r="AQ67" s="24"/>
      <c r="AR67" s="24"/>
      <c r="AS67" s="24"/>
      <c r="AT67" s="24"/>
      <c r="AU67" s="24"/>
      <c r="AV67" s="24"/>
      <c r="AW67" s="24"/>
      <c r="AX67" s="24"/>
    </row>
    <row r="68" ht="15.75" customHeight="1">
      <c r="A68" s="65" t="s">
        <v>134</v>
      </c>
      <c r="B68" s="66" t="s">
        <v>564</v>
      </c>
      <c r="C68" s="28"/>
      <c r="D68" s="28"/>
      <c r="E68" s="28"/>
      <c r="F68" s="28"/>
      <c r="G68" s="28"/>
      <c r="H68" s="28"/>
      <c r="I68" s="28"/>
      <c r="J68" s="28"/>
      <c r="K68" s="28"/>
      <c r="L68" s="28"/>
      <c r="M68" s="28"/>
      <c r="N68" s="28"/>
      <c r="O68" s="67"/>
      <c r="P68" s="68"/>
      <c r="Q68" s="68"/>
      <c r="R68" s="67"/>
      <c r="S68" s="67"/>
      <c r="T68" s="65" t="s">
        <v>139</v>
      </c>
      <c r="U68" s="67"/>
      <c r="V68" s="67"/>
      <c r="W68" s="67"/>
      <c r="X68" s="67"/>
      <c r="Y68" s="67"/>
      <c r="Z68" s="67"/>
      <c r="AA68" s="67"/>
      <c r="AB68" s="67"/>
      <c r="AC68" s="67"/>
      <c r="AD68" s="67"/>
      <c r="AE68" s="67"/>
      <c r="AF68" s="67"/>
      <c r="AG68" s="67"/>
      <c r="AH68" s="67"/>
      <c r="AI68" s="67"/>
      <c r="AJ68" s="67"/>
      <c r="AK68" s="67"/>
      <c r="AL68" s="67"/>
      <c r="AM68" s="67"/>
      <c r="AN68" s="67"/>
      <c r="AO68" s="67"/>
      <c r="AP68" s="67"/>
      <c r="AQ68" s="67"/>
      <c r="AR68" s="67"/>
      <c r="AS68" s="67"/>
      <c r="AT68" s="67"/>
      <c r="AU68" s="67"/>
      <c r="AV68" s="67"/>
      <c r="AW68" s="67"/>
      <c r="AX68" s="67"/>
    </row>
    <row r="69" ht="15.75" customHeight="1">
      <c r="A69" s="58" t="s">
        <v>78</v>
      </c>
      <c r="B69" s="58" t="s">
        <v>569</v>
      </c>
      <c r="C69" s="28"/>
      <c r="D69" s="28"/>
      <c r="E69" s="28"/>
      <c r="F69" s="28"/>
      <c r="G69" s="28"/>
      <c r="H69" s="28"/>
      <c r="I69" s="28"/>
      <c r="J69" s="28"/>
      <c r="K69" s="28"/>
      <c r="L69" s="28"/>
      <c r="M69" s="28"/>
      <c r="N69" s="28"/>
      <c r="O69" s="58"/>
      <c r="P69" s="24"/>
      <c r="Q69" s="24"/>
      <c r="R69" s="24"/>
      <c r="S69" s="24"/>
      <c r="T69" s="58" t="s">
        <v>572</v>
      </c>
      <c r="U69" s="24"/>
      <c r="V69" s="24"/>
      <c r="W69" s="24"/>
      <c r="X69" s="24"/>
      <c r="Y69" s="24"/>
      <c r="Z69" s="24"/>
      <c r="AA69" s="24"/>
      <c r="AB69" s="24"/>
      <c r="AC69" s="24"/>
      <c r="AD69" s="24"/>
      <c r="AE69" s="24"/>
      <c r="AF69" s="24"/>
      <c r="AG69" s="24"/>
      <c r="AH69" s="24"/>
      <c r="AI69" s="24"/>
      <c r="AJ69" s="24"/>
      <c r="AK69" s="24"/>
      <c r="AL69" s="24"/>
      <c r="AM69" s="24"/>
      <c r="AN69" s="24"/>
      <c r="AO69" s="24"/>
      <c r="AP69" s="24"/>
      <c r="AQ69" s="24"/>
      <c r="AR69" s="24"/>
      <c r="AS69" s="24"/>
      <c r="AT69" s="24"/>
      <c r="AU69" s="24"/>
      <c r="AV69" s="24"/>
      <c r="AW69" s="24"/>
      <c r="AX69" s="24"/>
    </row>
    <row r="70" ht="15.75" customHeight="1">
      <c r="A70" s="58" t="s">
        <v>131</v>
      </c>
      <c r="B70" s="58" t="s">
        <v>577</v>
      </c>
      <c r="C70" s="28" t="s">
        <v>579</v>
      </c>
      <c r="D70" s="28"/>
      <c r="E70" s="28"/>
      <c r="F70" s="28"/>
      <c r="G70" s="28"/>
      <c r="H70" s="28"/>
      <c r="I70" s="28"/>
      <c r="J70" s="28"/>
      <c r="K70" s="28"/>
      <c r="L70" s="28"/>
      <c r="M70" s="28"/>
      <c r="N70" s="28"/>
      <c r="O70" s="58" t="s">
        <v>581</v>
      </c>
      <c r="P70" s="24"/>
      <c r="Q70" s="24"/>
      <c r="R70" s="24"/>
      <c r="S70" s="24"/>
      <c r="T70" s="24"/>
      <c r="U70" s="24"/>
      <c r="V70" s="24"/>
      <c r="W70" s="24"/>
      <c r="X70" s="24"/>
      <c r="Y70" s="24"/>
      <c r="Z70" s="24"/>
      <c r="AA70" s="24"/>
      <c r="AB70" s="24"/>
      <c r="AC70" s="24"/>
      <c r="AD70" s="24"/>
      <c r="AE70" s="24"/>
      <c r="AF70" s="24"/>
      <c r="AG70" s="24"/>
      <c r="AH70" s="24"/>
      <c r="AI70" s="24"/>
      <c r="AJ70" s="24"/>
      <c r="AK70" s="24"/>
      <c r="AL70" s="24"/>
      <c r="AM70" s="24"/>
      <c r="AN70" s="24"/>
      <c r="AO70" s="24"/>
      <c r="AP70" s="24"/>
      <c r="AQ70" s="24"/>
      <c r="AR70" s="24"/>
      <c r="AS70" s="24"/>
      <c r="AT70" s="24"/>
      <c r="AU70" s="24"/>
      <c r="AV70" s="24"/>
      <c r="AW70" s="24"/>
      <c r="AX70" s="24"/>
    </row>
    <row r="71" ht="15.75" customHeight="1">
      <c r="A71" s="58" t="s">
        <v>131</v>
      </c>
      <c r="B71" s="58" t="s">
        <v>585</v>
      </c>
      <c r="C71" s="28"/>
      <c r="D71" s="28"/>
      <c r="E71" s="28"/>
      <c r="F71" s="28"/>
      <c r="G71" s="28"/>
      <c r="H71" s="28"/>
      <c r="I71" s="28"/>
      <c r="J71" s="28"/>
      <c r="K71" s="28"/>
      <c r="L71" s="28"/>
      <c r="M71" s="28"/>
      <c r="N71" s="28"/>
      <c r="O71" s="24"/>
      <c r="P71" s="24"/>
      <c r="Q71" s="24"/>
      <c r="R71" s="24"/>
      <c r="S71" s="24"/>
      <c r="T71" s="24"/>
      <c r="U71" s="24"/>
      <c r="V71" s="24"/>
      <c r="W71" s="24"/>
      <c r="X71" s="24"/>
      <c r="Y71" s="24"/>
      <c r="Z71" s="24"/>
      <c r="AA71" s="24"/>
      <c r="AB71" s="24"/>
      <c r="AC71" s="24"/>
      <c r="AD71" s="24"/>
      <c r="AE71" s="24"/>
      <c r="AF71" s="24"/>
      <c r="AG71" s="24"/>
      <c r="AH71" s="24"/>
      <c r="AI71" s="24"/>
      <c r="AJ71" s="24"/>
      <c r="AK71" s="24"/>
      <c r="AL71" s="24"/>
      <c r="AM71" s="24"/>
      <c r="AN71" s="24"/>
      <c r="AO71" s="24"/>
      <c r="AP71" s="24"/>
      <c r="AQ71" s="24"/>
      <c r="AR71" s="24"/>
      <c r="AS71" s="24"/>
      <c r="AT71" s="24"/>
      <c r="AU71" s="24"/>
      <c r="AV71" s="24"/>
      <c r="AW71" s="24"/>
      <c r="AX71" s="24"/>
    </row>
    <row r="72" ht="15.75" customHeight="1">
      <c r="A72" s="58"/>
      <c r="B72" s="58"/>
      <c r="C72" s="28"/>
      <c r="D72" s="28"/>
      <c r="E72" s="28"/>
      <c r="F72" s="28"/>
      <c r="G72" s="28"/>
      <c r="H72" s="28"/>
      <c r="I72" s="28"/>
      <c r="J72" s="28"/>
      <c r="K72" s="28"/>
      <c r="L72" s="28"/>
      <c r="M72" s="28"/>
      <c r="N72" s="28"/>
      <c r="O72" s="24"/>
      <c r="P72" s="24"/>
      <c r="Q72" s="24"/>
      <c r="R72" s="24"/>
      <c r="S72" s="24"/>
      <c r="T72" s="24"/>
      <c r="U72" s="24"/>
      <c r="V72" s="24"/>
      <c r="W72" s="24"/>
      <c r="X72" s="24"/>
      <c r="Y72" s="24"/>
      <c r="Z72" s="24"/>
      <c r="AA72" s="24"/>
      <c r="AB72" s="24"/>
      <c r="AC72" s="24"/>
      <c r="AD72" s="24"/>
      <c r="AE72" s="24"/>
      <c r="AF72" s="24"/>
      <c r="AG72" s="24"/>
      <c r="AH72" s="24"/>
      <c r="AI72" s="24"/>
      <c r="AJ72" s="24"/>
      <c r="AK72" s="24"/>
      <c r="AL72" s="24"/>
      <c r="AM72" s="24"/>
      <c r="AN72" s="24"/>
      <c r="AO72" s="24"/>
      <c r="AP72" s="24"/>
      <c r="AQ72" s="24"/>
      <c r="AR72" s="24"/>
      <c r="AS72" s="24"/>
      <c r="AT72" s="24"/>
      <c r="AU72" s="24"/>
      <c r="AV72" s="24"/>
      <c r="AW72" s="24"/>
      <c r="AX72" s="24"/>
    </row>
    <row r="73" ht="15.75" customHeight="1">
      <c r="A73" s="65" t="s">
        <v>134</v>
      </c>
      <c r="B73" s="66" t="s">
        <v>601</v>
      </c>
      <c r="C73" s="28"/>
      <c r="D73" s="28"/>
      <c r="E73" s="28"/>
      <c r="F73" s="28"/>
      <c r="G73" s="28"/>
      <c r="H73" s="28"/>
      <c r="I73" s="28"/>
      <c r="J73" s="28"/>
      <c r="K73" s="28"/>
      <c r="L73" s="28"/>
      <c r="M73" s="28"/>
      <c r="N73" s="28"/>
      <c r="O73" s="67"/>
      <c r="P73" s="68"/>
      <c r="Q73" s="68"/>
      <c r="R73" s="67"/>
      <c r="S73" s="67"/>
      <c r="T73" s="65" t="s">
        <v>139</v>
      </c>
      <c r="U73" s="67"/>
      <c r="V73" s="67"/>
      <c r="W73" s="67"/>
      <c r="X73" s="67"/>
      <c r="Y73" s="67"/>
      <c r="Z73" s="67"/>
      <c r="AA73" s="67"/>
      <c r="AB73" s="67"/>
      <c r="AC73" s="67"/>
      <c r="AD73" s="67"/>
      <c r="AE73" s="67"/>
      <c r="AF73" s="67"/>
      <c r="AG73" s="67"/>
      <c r="AH73" s="67"/>
      <c r="AI73" s="67"/>
      <c r="AJ73" s="67"/>
      <c r="AK73" s="67"/>
      <c r="AL73" s="67"/>
      <c r="AM73" s="67"/>
      <c r="AN73" s="67"/>
      <c r="AO73" s="67"/>
      <c r="AP73" s="67"/>
      <c r="AQ73" s="67"/>
      <c r="AR73" s="67"/>
      <c r="AS73" s="67"/>
      <c r="AT73" s="67"/>
      <c r="AU73" s="67"/>
      <c r="AV73" s="67"/>
      <c r="AW73" s="67"/>
      <c r="AX73" s="67"/>
    </row>
    <row r="74" ht="15.75" customHeight="1">
      <c r="A74" s="58" t="s">
        <v>131</v>
      </c>
      <c r="B74" s="58" t="s">
        <v>608</v>
      </c>
      <c r="C74" s="28" t="s">
        <v>609</v>
      </c>
      <c r="D74" s="28"/>
      <c r="E74" s="28"/>
      <c r="F74" s="28"/>
      <c r="G74" s="28"/>
      <c r="H74" s="28"/>
      <c r="I74" s="28"/>
      <c r="J74" s="28"/>
      <c r="K74" s="28"/>
      <c r="L74" s="28"/>
      <c r="M74" s="28"/>
      <c r="N74" s="28"/>
      <c r="O74" s="58"/>
      <c r="P74" s="24"/>
      <c r="Q74" s="24"/>
      <c r="R74" s="24"/>
      <c r="S74" s="24"/>
      <c r="T74" s="24"/>
      <c r="U74" s="24"/>
      <c r="V74" s="24"/>
      <c r="W74" s="24"/>
      <c r="X74" s="24"/>
      <c r="Y74" s="24"/>
      <c r="Z74" s="24"/>
      <c r="AA74" s="24"/>
      <c r="AB74" s="24"/>
      <c r="AC74" s="24"/>
      <c r="AD74" s="24"/>
      <c r="AE74" s="24"/>
      <c r="AF74" s="24"/>
      <c r="AG74" s="24"/>
      <c r="AH74" s="24"/>
      <c r="AI74" s="24"/>
      <c r="AJ74" s="24"/>
      <c r="AK74" s="24"/>
      <c r="AL74" s="24"/>
      <c r="AM74" s="24"/>
      <c r="AN74" s="24"/>
      <c r="AO74" s="24"/>
      <c r="AP74" s="24"/>
      <c r="AQ74" s="24"/>
      <c r="AR74" s="24"/>
      <c r="AS74" s="24"/>
      <c r="AT74" s="24"/>
      <c r="AU74" s="24"/>
      <c r="AV74" s="24"/>
      <c r="AW74" s="24"/>
      <c r="AX74" s="24"/>
    </row>
    <row r="75" ht="15.75" customHeight="1">
      <c r="A75" s="58" t="s">
        <v>41</v>
      </c>
      <c r="B75" s="58" t="s">
        <v>613</v>
      </c>
      <c r="C75" s="28" t="s">
        <v>614</v>
      </c>
      <c r="D75" s="28" t="s">
        <v>615</v>
      </c>
      <c r="E75" s="28" t="s">
        <v>616</v>
      </c>
      <c r="F75" s="28"/>
      <c r="G75" s="28"/>
      <c r="H75" s="28"/>
      <c r="I75" s="28"/>
      <c r="J75" s="28"/>
      <c r="K75" s="28"/>
      <c r="L75" s="28"/>
      <c r="M75" s="28"/>
      <c r="N75" s="28"/>
      <c r="O75" s="24"/>
      <c r="P75" s="24"/>
      <c r="Q75" s="24"/>
      <c r="R75" s="24"/>
      <c r="S75" s="24"/>
      <c r="T75" s="24"/>
      <c r="U75" s="24"/>
      <c r="V75" s="24"/>
      <c r="W75" s="24"/>
      <c r="X75" s="24"/>
      <c r="Y75" s="24"/>
      <c r="Z75" s="24"/>
      <c r="AA75" s="24"/>
      <c r="AB75" s="24"/>
      <c r="AC75" s="24"/>
      <c r="AD75" s="24"/>
      <c r="AE75" s="24"/>
      <c r="AF75" s="24"/>
      <c r="AG75" s="24"/>
      <c r="AH75" s="24"/>
      <c r="AI75" s="24"/>
      <c r="AJ75" s="24"/>
      <c r="AK75" s="24"/>
      <c r="AL75" s="24"/>
      <c r="AM75" s="24"/>
      <c r="AN75" s="24"/>
      <c r="AO75" s="24"/>
      <c r="AP75" s="24"/>
      <c r="AQ75" s="24"/>
      <c r="AR75" s="24"/>
      <c r="AS75" s="24"/>
      <c r="AT75" s="24"/>
      <c r="AU75" s="24"/>
      <c r="AV75" s="24"/>
      <c r="AW75" s="24"/>
      <c r="AX75" s="24"/>
    </row>
    <row r="76" ht="15.75" customHeight="1">
      <c r="A76" s="140" t="s">
        <v>131</v>
      </c>
      <c r="B76" s="164" t="s">
        <v>623</v>
      </c>
      <c r="C76" s="28" t="s">
        <v>625</v>
      </c>
      <c r="D76" s="28"/>
      <c r="E76" s="28"/>
      <c r="F76" s="28"/>
      <c r="G76" s="28"/>
      <c r="H76" s="28"/>
      <c r="I76" s="28"/>
      <c r="J76" s="28"/>
      <c r="K76" s="28"/>
      <c r="L76" s="28"/>
      <c r="M76" s="28"/>
      <c r="N76" s="28"/>
      <c r="O76" s="138" t="s">
        <v>629</v>
      </c>
      <c r="P76" s="139"/>
      <c r="Q76" s="139"/>
      <c r="R76" s="139"/>
      <c r="S76" s="139"/>
      <c r="T76" s="139"/>
      <c r="U76" s="139"/>
      <c r="V76" s="139"/>
      <c r="W76" s="139"/>
      <c r="X76" s="139"/>
      <c r="Y76" s="139"/>
      <c r="Z76" s="139"/>
      <c r="AA76" s="139"/>
      <c r="AB76" s="139"/>
      <c r="AC76" s="139"/>
      <c r="AD76" s="139"/>
      <c r="AE76" s="139"/>
      <c r="AF76" s="139"/>
      <c r="AG76" s="139"/>
      <c r="AH76" s="139"/>
      <c r="AI76" s="139"/>
      <c r="AJ76" s="139"/>
      <c r="AK76" s="139"/>
      <c r="AL76" s="139"/>
      <c r="AM76" s="139"/>
      <c r="AN76" s="139"/>
      <c r="AO76" s="70"/>
      <c r="AP76" s="70"/>
      <c r="AQ76" s="70"/>
      <c r="AR76" s="70"/>
      <c r="AS76" s="70"/>
      <c r="AT76" s="70"/>
      <c r="AU76" s="70"/>
      <c r="AV76" s="70"/>
      <c r="AW76" s="70"/>
      <c r="AX76" s="70"/>
    </row>
    <row r="77" ht="15.75" customHeight="1">
      <c r="A77" s="65" t="s">
        <v>134</v>
      </c>
      <c r="B77" s="66" t="s">
        <v>632</v>
      </c>
      <c r="C77" s="28"/>
      <c r="D77" s="28"/>
      <c r="E77" s="28"/>
      <c r="F77" s="28"/>
      <c r="G77" s="28"/>
      <c r="H77" s="28"/>
      <c r="I77" s="28"/>
      <c r="J77" s="28"/>
      <c r="K77" s="28"/>
      <c r="L77" s="28"/>
      <c r="M77" s="28"/>
      <c r="N77" s="28"/>
      <c r="O77" s="67"/>
      <c r="P77" s="68"/>
      <c r="Q77" s="68"/>
      <c r="R77" s="67"/>
      <c r="S77" s="67"/>
      <c r="T77" s="65" t="s">
        <v>139</v>
      </c>
      <c r="U77" s="67"/>
      <c r="V77" s="67"/>
      <c r="W77" s="67"/>
      <c r="X77" s="67"/>
      <c r="Y77" s="67"/>
      <c r="Z77" s="67"/>
      <c r="AA77" s="67"/>
      <c r="AB77" s="67"/>
      <c r="AC77" s="67"/>
      <c r="AD77" s="67"/>
      <c r="AE77" s="67"/>
      <c r="AF77" s="67"/>
      <c r="AG77" s="67"/>
      <c r="AH77" s="67"/>
      <c r="AI77" s="67"/>
      <c r="AJ77" s="67"/>
      <c r="AK77" s="67"/>
      <c r="AL77" s="67"/>
      <c r="AM77" s="67"/>
      <c r="AN77" s="67"/>
      <c r="AO77" s="67"/>
      <c r="AP77" s="67"/>
      <c r="AQ77" s="67"/>
      <c r="AR77" s="67"/>
      <c r="AS77" s="67"/>
      <c r="AT77" s="67"/>
      <c r="AU77" s="67"/>
      <c r="AV77" s="67"/>
      <c r="AW77" s="67"/>
      <c r="AX77" s="67"/>
    </row>
    <row r="78" ht="15.75" customHeight="1">
      <c r="A78" s="166" t="s">
        <v>41</v>
      </c>
      <c r="B78" s="167" t="s">
        <v>639</v>
      </c>
      <c r="C78" s="28" t="s">
        <v>643</v>
      </c>
      <c r="D78" s="28" t="s">
        <v>644</v>
      </c>
      <c r="E78" s="28" t="s">
        <v>646</v>
      </c>
      <c r="F78" s="28"/>
      <c r="G78" s="28"/>
      <c r="H78" s="28"/>
      <c r="I78" s="28"/>
      <c r="J78" s="28"/>
      <c r="K78" s="28"/>
      <c r="L78" s="28"/>
      <c r="M78" s="28"/>
      <c r="N78" s="28"/>
      <c r="O78" s="126"/>
      <c r="P78" s="126"/>
      <c r="Q78" s="126"/>
      <c r="R78" s="126"/>
      <c r="S78" s="126"/>
      <c r="T78" s="126"/>
      <c r="U78" s="126"/>
      <c r="V78" s="126"/>
      <c r="W78" s="126"/>
      <c r="X78" s="126"/>
      <c r="Y78" s="126"/>
      <c r="Z78" s="126"/>
      <c r="AA78" s="126"/>
      <c r="AB78" s="126"/>
      <c r="AC78" s="126"/>
      <c r="AD78" s="126"/>
      <c r="AE78" s="126"/>
      <c r="AF78" s="126"/>
      <c r="AG78" s="126"/>
      <c r="AH78" s="126"/>
      <c r="AI78" s="126"/>
      <c r="AJ78" s="126"/>
      <c r="AK78" s="126"/>
      <c r="AL78" s="126"/>
      <c r="AM78" s="126"/>
      <c r="AN78" s="126"/>
      <c r="AO78" s="70"/>
      <c r="AP78" s="70"/>
      <c r="AQ78" s="70"/>
      <c r="AR78" s="70"/>
      <c r="AS78" s="70"/>
      <c r="AT78" s="70"/>
      <c r="AU78" s="70"/>
      <c r="AV78" s="70"/>
      <c r="AW78" s="70"/>
      <c r="AX78" s="70"/>
    </row>
    <row r="79" ht="15.75" customHeight="1">
      <c r="A79" s="68" t="s">
        <v>463</v>
      </c>
      <c r="B79" s="169" t="s">
        <v>656</v>
      </c>
      <c r="C79" s="28" t="s">
        <v>657</v>
      </c>
      <c r="D79" s="28" t="s">
        <v>659</v>
      </c>
      <c r="E79" s="28" t="s">
        <v>661</v>
      </c>
      <c r="F79" s="28"/>
      <c r="G79" s="28"/>
      <c r="H79" s="28"/>
      <c r="I79" s="28"/>
      <c r="J79" s="28"/>
      <c r="K79" s="28"/>
      <c r="L79" s="28"/>
      <c r="M79" s="28"/>
      <c r="N79" s="28"/>
      <c r="O79" s="67"/>
      <c r="P79" s="67"/>
      <c r="Q79" s="67" t="s">
        <v>145</v>
      </c>
      <c r="R79" s="67"/>
      <c r="S79" s="67"/>
      <c r="T79" s="67"/>
      <c r="U79" s="67"/>
      <c r="V79" s="67"/>
      <c r="W79" s="67"/>
      <c r="X79" s="67"/>
      <c r="Y79" s="67"/>
      <c r="Z79" s="67"/>
      <c r="AA79" s="67"/>
      <c r="AB79" s="67"/>
      <c r="AC79" s="67"/>
      <c r="AD79" s="67"/>
      <c r="AE79" s="67"/>
      <c r="AF79" s="67"/>
      <c r="AG79" s="67"/>
      <c r="AH79" s="67"/>
      <c r="AI79" s="67"/>
      <c r="AJ79" s="67"/>
      <c r="AK79" s="67"/>
      <c r="AL79" s="67"/>
      <c r="AM79" s="67"/>
      <c r="AN79" s="67"/>
      <c r="AO79" s="70"/>
      <c r="AP79" s="70"/>
      <c r="AQ79" s="70"/>
      <c r="AR79" s="70"/>
      <c r="AS79" s="70"/>
      <c r="AT79" s="70"/>
      <c r="AU79" s="70"/>
      <c r="AV79" s="70"/>
      <c r="AW79" s="70"/>
      <c r="AX79" s="70"/>
    </row>
    <row r="80" ht="15.75" customHeight="1">
      <c r="A80" s="170" t="s">
        <v>263</v>
      </c>
      <c r="B80" s="171" t="s">
        <v>677</v>
      </c>
      <c r="C80" s="28" t="s">
        <v>678</v>
      </c>
      <c r="D80" s="28" t="s">
        <v>679</v>
      </c>
      <c r="E80" s="28" t="s">
        <v>680</v>
      </c>
      <c r="F80" s="28" t="s">
        <v>682</v>
      </c>
      <c r="G80" s="28" t="s">
        <v>684</v>
      </c>
      <c r="H80" s="28" t="s">
        <v>686</v>
      </c>
      <c r="I80" s="28"/>
      <c r="J80" s="28"/>
      <c r="K80" s="28" t="s">
        <v>687</v>
      </c>
      <c r="L80" s="28"/>
      <c r="M80" s="28"/>
      <c r="N80" s="28"/>
      <c r="O80" s="172" t="s">
        <v>688</v>
      </c>
      <c r="P80" s="173"/>
      <c r="Q80" s="173" t="s">
        <v>145</v>
      </c>
      <c r="R80" s="173"/>
      <c r="S80" s="173"/>
      <c r="T80" s="173"/>
      <c r="U80" s="173"/>
      <c r="V80" s="173"/>
      <c r="W80" s="173"/>
      <c r="X80" s="173"/>
      <c r="Y80" s="173"/>
      <c r="Z80" s="173"/>
      <c r="AA80" s="173"/>
      <c r="AB80" s="173"/>
      <c r="AC80" s="173"/>
      <c r="AD80" s="173"/>
      <c r="AE80" s="173"/>
      <c r="AF80" s="173"/>
      <c r="AG80" s="173"/>
      <c r="AH80" s="173"/>
      <c r="AI80" s="173"/>
      <c r="AJ80" s="173"/>
      <c r="AK80" s="173"/>
      <c r="AL80" s="173"/>
      <c r="AM80" s="173"/>
      <c r="AN80" s="173"/>
      <c r="AO80" s="70"/>
      <c r="AP80" s="70"/>
      <c r="AQ80" s="70"/>
      <c r="AR80" s="70"/>
      <c r="AS80" s="70"/>
      <c r="AT80" s="70"/>
      <c r="AU80" s="70"/>
      <c r="AV80" s="70"/>
      <c r="AW80" s="70"/>
      <c r="AX80" s="70"/>
    </row>
    <row r="81" ht="15.75" customHeight="1">
      <c r="A81" s="174" t="s">
        <v>698</v>
      </c>
      <c r="B81" s="175" t="s">
        <v>702</v>
      </c>
      <c r="C81" s="28" t="s">
        <v>705</v>
      </c>
      <c r="D81" s="28"/>
      <c r="E81" s="28"/>
      <c r="F81" s="28"/>
      <c r="G81" s="28"/>
      <c r="H81" s="28"/>
      <c r="I81" s="28"/>
      <c r="J81" s="28"/>
      <c r="K81" s="28"/>
      <c r="L81" s="28"/>
      <c r="M81" s="28"/>
      <c r="N81" s="28"/>
      <c r="O81" s="172" t="s">
        <v>688</v>
      </c>
      <c r="P81" s="176"/>
      <c r="Q81" s="176"/>
      <c r="R81" s="176"/>
      <c r="S81" s="176"/>
      <c r="T81" s="176"/>
      <c r="U81" s="177" t="s">
        <v>708</v>
      </c>
      <c r="V81" s="176"/>
      <c r="W81" s="176"/>
      <c r="X81" s="176"/>
      <c r="Y81" s="176"/>
      <c r="Z81" s="176"/>
      <c r="AA81" s="176"/>
      <c r="AB81" s="176"/>
      <c r="AC81" s="176"/>
      <c r="AD81" s="176"/>
      <c r="AE81" s="176"/>
      <c r="AF81" s="176"/>
      <c r="AG81" s="176"/>
      <c r="AH81" s="176"/>
      <c r="AI81" s="176"/>
      <c r="AJ81" s="176"/>
      <c r="AK81" s="176"/>
      <c r="AL81" s="176"/>
      <c r="AM81" s="176"/>
      <c r="AN81" s="176"/>
      <c r="AO81" s="70"/>
      <c r="AP81" s="70"/>
      <c r="AQ81" s="70"/>
      <c r="AR81" s="70"/>
      <c r="AS81" s="70"/>
      <c r="AT81" s="70"/>
      <c r="AU81" s="70"/>
      <c r="AV81" s="70"/>
      <c r="AW81" s="70"/>
      <c r="AX81" s="70"/>
    </row>
    <row r="82" ht="15.75" customHeight="1">
      <c r="A82" s="90" t="s">
        <v>78</v>
      </c>
      <c r="B82" s="92" t="s">
        <v>716</v>
      </c>
      <c r="C82" s="28"/>
      <c r="D82" s="28"/>
      <c r="E82" s="28"/>
      <c r="F82" s="28"/>
      <c r="G82" s="28"/>
      <c r="H82" s="28"/>
      <c r="I82" s="28"/>
      <c r="J82" s="28"/>
      <c r="K82" s="28"/>
      <c r="L82" s="28"/>
      <c r="M82" s="28"/>
      <c r="N82" s="28"/>
      <c r="O82" s="96"/>
      <c r="P82" s="96"/>
      <c r="Q82" s="96"/>
      <c r="R82" s="96"/>
      <c r="S82" s="96"/>
      <c r="T82" s="178" t="s">
        <v>719</v>
      </c>
      <c r="U82" s="96"/>
      <c r="V82" s="96"/>
      <c r="W82" s="96"/>
      <c r="X82" s="96"/>
      <c r="Y82" s="96"/>
      <c r="Z82" s="96"/>
      <c r="AA82" s="96"/>
      <c r="AB82" s="96"/>
      <c r="AC82" s="96"/>
      <c r="AD82" s="96"/>
      <c r="AE82" s="96"/>
      <c r="AF82" s="96"/>
      <c r="AG82" s="96"/>
      <c r="AH82" s="96"/>
      <c r="AI82" s="96"/>
      <c r="AJ82" s="96"/>
      <c r="AK82" s="96"/>
      <c r="AL82" s="96"/>
      <c r="AM82" s="96"/>
      <c r="AN82" s="96"/>
      <c r="AO82" s="70"/>
      <c r="AP82" s="70"/>
      <c r="AQ82" s="70"/>
      <c r="AR82" s="70"/>
      <c r="AS82" s="70"/>
      <c r="AT82" s="70"/>
      <c r="AU82" s="70"/>
      <c r="AV82" s="70"/>
      <c r="AW82" s="70"/>
      <c r="AX82" s="70"/>
    </row>
    <row r="83" ht="15.75" customHeight="1">
      <c r="A83" s="90" t="s">
        <v>78</v>
      </c>
      <c r="B83" s="92" t="s">
        <v>724</v>
      </c>
      <c r="C83" s="28"/>
      <c r="D83" s="28"/>
      <c r="E83" s="28"/>
      <c r="F83" s="28"/>
      <c r="G83" s="28"/>
      <c r="H83" s="28"/>
      <c r="I83" s="28"/>
      <c r="J83" s="28"/>
      <c r="K83" s="28"/>
      <c r="L83" s="28"/>
      <c r="M83" s="28"/>
      <c r="N83" s="28"/>
      <c r="O83" s="96"/>
      <c r="P83" s="96"/>
      <c r="Q83" s="96"/>
      <c r="R83" s="96"/>
      <c r="S83" s="96"/>
      <c r="T83" s="178" t="s">
        <v>728</v>
      </c>
      <c r="U83" s="96"/>
      <c r="V83" s="96"/>
      <c r="W83" s="96"/>
      <c r="X83" s="96"/>
      <c r="Y83" s="96"/>
      <c r="Z83" s="96"/>
      <c r="AA83" s="96"/>
      <c r="AB83" s="96"/>
      <c r="AC83" s="96"/>
      <c r="AD83" s="96"/>
      <c r="AE83" s="96"/>
      <c r="AF83" s="96"/>
      <c r="AG83" s="96"/>
      <c r="AH83" s="96"/>
      <c r="AI83" s="96"/>
      <c r="AJ83" s="96"/>
      <c r="AK83" s="96"/>
      <c r="AL83" s="96"/>
      <c r="AM83" s="96"/>
      <c r="AN83" s="96"/>
      <c r="AO83" s="70"/>
      <c r="AP83" s="70"/>
      <c r="AQ83" s="70"/>
      <c r="AR83" s="70"/>
      <c r="AS83" s="70"/>
      <c r="AT83" s="70"/>
      <c r="AU83" s="70"/>
      <c r="AV83" s="70"/>
      <c r="AW83" s="70"/>
      <c r="AX83" s="70"/>
    </row>
    <row r="84" ht="15.75" customHeight="1">
      <c r="A84" s="68" t="s">
        <v>463</v>
      </c>
      <c r="B84" s="169" t="s">
        <v>732</v>
      </c>
      <c r="C84" s="28" t="s">
        <v>733</v>
      </c>
      <c r="D84" s="28" t="s">
        <v>734</v>
      </c>
      <c r="E84" s="28" t="s">
        <v>735</v>
      </c>
      <c r="F84" s="28"/>
      <c r="G84" s="28"/>
      <c r="H84" s="28"/>
      <c r="I84" s="28"/>
      <c r="J84" s="28"/>
      <c r="K84" s="28"/>
      <c r="L84" s="28"/>
      <c r="M84" s="28"/>
      <c r="N84" s="28"/>
      <c r="O84" s="67"/>
      <c r="P84" s="67"/>
      <c r="Q84" s="67" t="s">
        <v>145</v>
      </c>
      <c r="R84" s="67"/>
      <c r="S84" s="67"/>
      <c r="T84" s="67"/>
      <c r="U84" s="67"/>
      <c r="V84" s="67"/>
      <c r="W84" s="67"/>
      <c r="X84" s="67"/>
      <c r="Y84" s="67"/>
      <c r="Z84" s="67"/>
      <c r="AA84" s="67"/>
      <c r="AB84" s="67"/>
      <c r="AC84" s="67"/>
      <c r="AD84" s="67"/>
      <c r="AE84" s="67"/>
      <c r="AF84" s="67"/>
      <c r="AG84" s="67"/>
      <c r="AH84" s="67"/>
      <c r="AI84" s="67"/>
      <c r="AJ84" s="67"/>
      <c r="AK84" s="67"/>
      <c r="AL84" s="67"/>
      <c r="AM84" s="67"/>
      <c r="AN84" s="67"/>
      <c r="AO84" s="70"/>
      <c r="AP84" s="70"/>
      <c r="AQ84" s="70"/>
      <c r="AR84" s="70"/>
      <c r="AS84" s="70"/>
      <c r="AT84" s="70"/>
      <c r="AU84" s="70"/>
      <c r="AV84" s="70"/>
      <c r="AW84" s="70"/>
      <c r="AX84" s="70"/>
    </row>
    <row r="85" ht="15.75" customHeight="1">
      <c r="A85" s="68" t="s">
        <v>738</v>
      </c>
      <c r="B85" s="169" t="s">
        <v>739</v>
      </c>
      <c r="C85" s="28" t="s">
        <v>740</v>
      </c>
      <c r="D85" s="28" t="s">
        <v>741</v>
      </c>
      <c r="E85" s="28" t="s">
        <v>742</v>
      </c>
      <c r="F85" s="28"/>
      <c r="G85" s="28"/>
      <c r="H85" s="28"/>
      <c r="I85" s="28"/>
      <c r="J85" s="28"/>
      <c r="K85" s="28"/>
      <c r="L85" s="28"/>
      <c r="M85" s="28"/>
      <c r="N85" s="28"/>
      <c r="O85" s="67" t="s">
        <v>745</v>
      </c>
      <c r="P85" s="67"/>
      <c r="Q85" s="67" t="s">
        <v>145</v>
      </c>
      <c r="R85" s="67"/>
      <c r="S85" s="67"/>
      <c r="T85" s="67"/>
      <c r="U85" s="67"/>
      <c r="V85" s="67"/>
      <c r="W85" s="67"/>
      <c r="X85" s="67"/>
      <c r="Y85" s="67"/>
      <c r="Z85" s="67"/>
      <c r="AA85" s="67"/>
      <c r="AB85" s="67"/>
      <c r="AC85" s="67"/>
      <c r="AD85" s="67"/>
      <c r="AE85" s="67"/>
      <c r="AF85" s="67"/>
      <c r="AG85" s="67"/>
      <c r="AH85" s="67"/>
      <c r="AI85" s="67"/>
      <c r="AJ85" s="67"/>
      <c r="AK85" s="67"/>
      <c r="AL85" s="67"/>
      <c r="AM85" s="67"/>
      <c r="AN85" s="67"/>
      <c r="AO85" s="70"/>
      <c r="AP85" s="70"/>
      <c r="AQ85" s="70"/>
      <c r="AR85" s="70"/>
      <c r="AS85" s="70"/>
      <c r="AT85" s="70"/>
      <c r="AU85" s="70"/>
      <c r="AV85" s="70"/>
      <c r="AW85" s="70"/>
      <c r="AX85" s="70"/>
    </row>
    <row r="86" ht="15.75" customHeight="1">
      <c r="A86" s="68" t="s">
        <v>749</v>
      </c>
      <c r="B86" s="169" t="s">
        <v>750</v>
      </c>
      <c r="C86" s="28" t="s">
        <v>751</v>
      </c>
      <c r="D86" s="28" t="s">
        <v>752</v>
      </c>
      <c r="E86" s="28" t="s">
        <v>753</v>
      </c>
      <c r="F86" s="28"/>
      <c r="G86" s="28"/>
      <c r="H86" s="28"/>
      <c r="I86" s="28"/>
      <c r="J86" s="28"/>
      <c r="K86" s="28"/>
      <c r="L86" s="28"/>
      <c r="M86" s="28"/>
      <c r="N86" s="28"/>
      <c r="O86" s="67" t="s">
        <v>755</v>
      </c>
      <c r="P86" s="67"/>
      <c r="Q86" s="67" t="s">
        <v>145</v>
      </c>
      <c r="R86" s="67"/>
      <c r="S86" s="67"/>
      <c r="T86" s="67"/>
      <c r="U86" s="67"/>
      <c r="V86" s="67"/>
      <c r="W86" s="67"/>
      <c r="X86" s="67"/>
      <c r="Y86" s="67"/>
      <c r="Z86" s="67"/>
      <c r="AA86" s="67"/>
      <c r="AB86" s="67"/>
      <c r="AC86" s="67"/>
      <c r="AD86" s="67"/>
      <c r="AE86" s="67"/>
      <c r="AF86" s="67"/>
      <c r="AG86" s="67"/>
      <c r="AH86" s="67"/>
      <c r="AI86" s="67"/>
      <c r="AJ86" s="67"/>
      <c r="AK86" s="67"/>
      <c r="AL86" s="67"/>
      <c r="AM86" s="67"/>
      <c r="AN86" s="67"/>
      <c r="AO86" s="70"/>
      <c r="AP86" s="70"/>
      <c r="AQ86" s="70"/>
      <c r="AR86" s="70"/>
      <c r="AS86" s="70"/>
      <c r="AT86" s="70"/>
      <c r="AU86" s="70"/>
      <c r="AV86" s="70"/>
      <c r="AW86" s="70"/>
      <c r="AX86" s="70"/>
    </row>
    <row r="87" ht="15.75" customHeight="1">
      <c r="A87" s="179" t="s">
        <v>246</v>
      </c>
      <c r="B87" s="180" t="s">
        <v>763</v>
      </c>
      <c r="C87" s="28" t="s">
        <v>764</v>
      </c>
      <c r="D87" s="28" t="s">
        <v>765</v>
      </c>
      <c r="E87" s="28" t="s">
        <v>766</v>
      </c>
      <c r="F87" s="28"/>
      <c r="G87" s="28"/>
      <c r="H87" s="28"/>
      <c r="I87" s="28"/>
      <c r="J87" s="28"/>
      <c r="K87" s="28"/>
      <c r="L87" s="28"/>
      <c r="M87" s="28"/>
      <c r="N87" s="28"/>
      <c r="O87" s="181" t="s">
        <v>771</v>
      </c>
      <c r="P87" s="181"/>
      <c r="Q87" s="181" t="s">
        <v>145</v>
      </c>
      <c r="R87" s="181"/>
      <c r="S87" s="181"/>
      <c r="T87" s="181"/>
      <c r="U87" s="181"/>
      <c r="V87" s="181"/>
      <c r="W87" s="181"/>
      <c r="X87" s="181"/>
      <c r="Y87" s="181"/>
      <c r="Z87" s="181"/>
      <c r="AA87" s="181"/>
      <c r="AB87" s="181"/>
      <c r="AC87" s="181"/>
      <c r="AD87" s="181"/>
      <c r="AE87" s="181"/>
      <c r="AF87" s="181"/>
      <c r="AG87" s="181"/>
      <c r="AH87" s="181"/>
      <c r="AI87" s="181"/>
      <c r="AJ87" s="181"/>
      <c r="AK87" s="181"/>
      <c r="AL87" s="181"/>
      <c r="AM87" s="181"/>
      <c r="AN87" s="181"/>
      <c r="AO87" s="70"/>
      <c r="AP87" s="70"/>
      <c r="AQ87" s="70"/>
      <c r="AR87" s="70"/>
      <c r="AS87" s="70"/>
      <c r="AT87" s="70"/>
      <c r="AU87" s="70"/>
      <c r="AV87" s="70"/>
      <c r="AW87" s="70"/>
      <c r="AX87" s="70"/>
    </row>
    <row r="88" ht="15.75" customHeight="1">
      <c r="A88" s="90" t="s">
        <v>78</v>
      </c>
      <c r="B88" s="92" t="s">
        <v>777</v>
      </c>
      <c r="C88" s="28"/>
      <c r="D88" s="28"/>
      <c r="E88" s="28"/>
      <c r="F88" s="28"/>
      <c r="G88" s="28"/>
      <c r="H88" s="28"/>
      <c r="I88" s="28"/>
      <c r="J88" s="28"/>
      <c r="K88" s="28"/>
      <c r="L88" s="28"/>
      <c r="M88" s="28"/>
      <c r="N88" s="28"/>
      <c r="O88" s="96"/>
      <c r="P88" s="96"/>
      <c r="Q88" s="96"/>
      <c r="R88" s="96"/>
      <c r="S88" s="96"/>
      <c r="T88" s="178" t="s">
        <v>781</v>
      </c>
      <c r="U88" s="96"/>
      <c r="V88" s="96"/>
      <c r="W88" s="96"/>
      <c r="X88" s="96"/>
      <c r="Y88" s="96"/>
      <c r="Z88" s="96"/>
      <c r="AA88" s="96"/>
      <c r="AB88" s="96"/>
      <c r="AC88" s="96"/>
      <c r="AD88" s="96"/>
      <c r="AE88" s="96"/>
      <c r="AF88" s="96"/>
      <c r="AG88" s="96"/>
      <c r="AH88" s="96"/>
      <c r="AI88" s="96"/>
      <c r="AJ88" s="96"/>
      <c r="AK88" s="96"/>
      <c r="AL88" s="96"/>
      <c r="AM88" s="96"/>
      <c r="AN88" s="96"/>
      <c r="AO88" s="70"/>
      <c r="AP88" s="70"/>
      <c r="AQ88" s="70"/>
      <c r="AR88" s="70"/>
      <c r="AS88" s="70"/>
      <c r="AT88" s="70"/>
      <c r="AU88" s="70"/>
      <c r="AV88" s="70"/>
      <c r="AW88" s="70"/>
      <c r="AX88" s="70"/>
    </row>
    <row r="89" ht="15.75" customHeight="1">
      <c r="A89" s="68" t="s">
        <v>785</v>
      </c>
      <c r="B89" s="169" t="s">
        <v>786</v>
      </c>
      <c r="C89" s="28" t="s">
        <v>787</v>
      </c>
      <c r="D89" s="28" t="s">
        <v>789</v>
      </c>
      <c r="E89" s="28" t="s">
        <v>790</v>
      </c>
      <c r="F89" s="28"/>
      <c r="G89" s="28"/>
      <c r="H89" s="28"/>
      <c r="I89" s="182"/>
      <c r="J89" s="183" t="s">
        <v>791</v>
      </c>
      <c r="K89" s="28"/>
      <c r="L89" s="28"/>
      <c r="M89" s="28"/>
      <c r="N89" s="28"/>
      <c r="O89" s="65" t="s">
        <v>755</v>
      </c>
      <c r="P89" s="67"/>
      <c r="Q89" s="67" t="s">
        <v>145</v>
      </c>
      <c r="R89" s="67"/>
      <c r="S89" s="67"/>
      <c r="T89" s="67"/>
      <c r="U89" s="67"/>
      <c r="V89" s="67"/>
      <c r="W89" s="67"/>
      <c r="X89" s="67"/>
      <c r="Y89" s="67"/>
      <c r="Z89" s="67"/>
      <c r="AA89" s="67"/>
      <c r="AB89" s="67"/>
      <c r="AC89" s="67"/>
      <c r="AD89" s="67"/>
      <c r="AE89" s="67"/>
      <c r="AF89" s="67"/>
      <c r="AG89" s="67"/>
      <c r="AH89" s="67"/>
      <c r="AI89" s="67"/>
      <c r="AJ89" s="67"/>
      <c r="AK89" s="67"/>
      <c r="AL89" s="67"/>
      <c r="AM89" s="67"/>
      <c r="AN89" s="67"/>
      <c r="AO89" s="70"/>
      <c r="AP89" s="70"/>
      <c r="AQ89" s="70"/>
      <c r="AR89" s="70"/>
      <c r="AS89" s="70"/>
      <c r="AT89" s="70"/>
      <c r="AU89" s="70"/>
      <c r="AV89" s="70"/>
      <c r="AW89" s="70"/>
      <c r="AX89" s="70"/>
    </row>
    <row r="90" ht="15.75" customHeight="1">
      <c r="A90" s="179" t="s">
        <v>246</v>
      </c>
      <c r="B90" s="180" t="s">
        <v>795</v>
      </c>
      <c r="C90" s="28" t="s">
        <v>796</v>
      </c>
      <c r="D90" s="28" t="s">
        <v>797</v>
      </c>
      <c r="E90" s="28" t="s">
        <v>798</v>
      </c>
      <c r="F90" s="28"/>
      <c r="G90" s="28"/>
      <c r="H90" s="28"/>
      <c r="I90" s="28"/>
      <c r="J90" s="182"/>
      <c r="K90" s="28"/>
      <c r="L90" s="28"/>
      <c r="M90" s="28"/>
      <c r="N90" s="28"/>
      <c r="O90" s="28" t="s">
        <v>771</v>
      </c>
      <c r="P90" s="181"/>
      <c r="Q90" s="181" t="s">
        <v>145</v>
      </c>
      <c r="R90" s="181"/>
      <c r="S90" s="181"/>
      <c r="T90" s="181"/>
      <c r="U90" s="181"/>
      <c r="V90" s="181"/>
      <c r="W90" s="181"/>
      <c r="X90" s="181"/>
      <c r="Y90" s="181"/>
      <c r="Z90" s="181"/>
      <c r="AA90" s="181"/>
      <c r="AB90" s="181"/>
      <c r="AC90" s="181"/>
      <c r="AD90" s="181"/>
      <c r="AE90" s="181"/>
      <c r="AF90" s="181"/>
      <c r="AG90" s="181"/>
      <c r="AH90" s="181"/>
      <c r="AI90" s="181"/>
      <c r="AJ90" s="181"/>
      <c r="AK90" s="181"/>
      <c r="AL90" s="181"/>
      <c r="AM90" s="181"/>
      <c r="AN90" s="181"/>
      <c r="AO90" s="70"/>
      <c r="AP90" s="70"/>
      <c r="AQ90" s="70"/>
      <c r="AR90" s="70"/>
      <c r="AS90" s="70"/>
      <c r="AT90" s="70"/>
      <c r="AU90" s="70"/>
      <c r="AV90" s="70"/>
      <c r="AW90" s="70"/>
      <c r="AX90" s="70"/>
    </row>
    <row r="91" ht="15.75" customHeight="1">
      <c r="A91" s="90" t="s">
        <v>78</v>
      </c>
      <c r="B91" s="92" t="s">
        <v>806</v>
      </c>
      <c r="C91" s="28"/>
      <c r="D91" s="28"/>
      <c r="E91" s="28"/>
      <c r="F91" s="28"/>
      <c r="G91" s="28"/>
      <c r="H91" s="28"/>
      <c r="I91" s="28"/>
      <c r="J91" s="28"/>
      <c r="K91" s="28"/>
      <c r="L91" s="28"/>
      <c r="M91" s="28"/>
      <c r="N91" s="28"/>
      <c r="O91" s="96"/>
      <c r="P91" s="96"/>
      <c r="Q91" s="96"/>
      <c r="R91" s="96"/>
      <c r="S91" s="96"/>
      <c r="T91" s="178" t="s">
        <v>809</v>
      </c>
      <c r="U91" s="96"/>
      <c r="V91" s="96"/>
      <c r="W91" s="96"/>
      <c r="X91" s="96"/>
      <c r="Y91" s="96"/>
      <c r="Z91" s="96"/>
      <c r="AA91" s="96"/>
      <c r="AB91" s="96"/>
      <c r="AC91" s="96"/>
      <c r="AD91" s="96"/>
      <c r="AE91" s="96"/>
      <c r="AF91" s="96"/>
      <c r="AG91" s="96"/>
      <c r="AH91" s="96"/>
      <c r="AI91" s="96"/>
      <c r="AJ91" s="96"/>
      <c r="AK91" s="96"/>
      <c r="AL91" s="96"/>
      <c r="AM91" s="96"/>
      <c r="AN91" s="96"/>
      <c r="AO91" s="70"/>
      <c r="AP91" s="70"/>
      <c r="AQ91" s="70"/>
      <c r="AR91" s="70"/>
      <c r="AS91" s="70"/>
      <c r="AT91" s="70"/>
      <c r="AU91" s="70"/>
      <c r="AV91" s="70"/>
      <c r="AW91" s="70"/>
      <c r="AX91" s="70"/>
    </row>
    <row r="92" ht="15.75" customHeight="1">
      <c r="A92" s="90" t="s">
        <v>78</v>
      </c>
      <c r="B92" s="92" t="s">
        <v>813</v>
      </c>
      <c r="C92" s="28"/>
      <c r="D92" s="28"/>
      <c r="E92" s="28"/>
      <c r="F92" s="28"/>
      <c r="G92" s="28"/>
      <c r="H92" s="28"/>
      <c r="I92" s="28"/>
      <c r="J92" s="28"/>
      <c r="K92" s="28"/>
      <c r="L92" s="28"/>
      <c r="M92" s="28"/>
      <c r="N92" s="28"/>
      <c r="O92" s="96"/>
      <c r="P92" s="96"/>
      <c r="Q92" s="96"/>
      <c r="R92" s="96"/>
      <c r="S92" s="96"/>
      <c r="T92" s="178" t="s">
        <v>818</v>
      </c>
      <c r="U92" s="96"/>
      <c r="V92" s="96"/>
      <c r="W92" s="96"/>
      <c r="X92" s="96"/>
      <c r="Y92" s="96"/>
      <c r="Z92" s="96"/>
      <c r="AA92" s="96"/>
      <c r="AB92" s="96"/>
      <c r="AC92" s="96"/>
      <c r="AD92" s="96"/>
      <c r="AE92" s="96"/>
      <c r="AF92" s="96"/>
      <c r="AG92" s="96"/>
      <c r="AH92" s="96"/>
      <c r="AI92" s="96"/>
      <c r="AJ92" s="96"/>
      <c r="AK92" s="96"/>
      <c r="AL92" s="96"/>
      <c r="AM92" s="96"/>
      <c r="AN92" s="96"/>
      <c r="AO92" s="70"/>
      <c r="AP92" s="70"/>
      <c r="AQ92" s="70"/>
      <c r="AR92" s="70"/>
      <c r="AS92" s="70"/>
      <c r="AT92" s="70"/>
      <c r="AU92" s="70"/>
      <c r="AV92" s="70"/>
      <c r="AW92" s="70"/>
      <c r="AX92" s="70"/>
    </row>
    <row r="93" ht="15.75" customHeight="1">
      <c r="A93" s="90" t="s">
        <v>78</v>
      </c>
      <c r="B93" s="92" t="s">
        <v>820</v>
      </c>
      <c r="C93" s="28"/>
      <c r="D93" s="28"/>
      <c r="E93" s="28"/>
      <c r="F93" s="28"/>
      <c r="G93" s="28"/>
      <c r="H93" s="28"/>
      <c r="I93" s="28"/>
      <c r="J93" s="28"/>
      <c r="K93" s="28"/>
      <c r="L93" s="28"/>
      <c r="M93" s="28"/>
      <c r="N93" s="28"/>
      <c r="O93" s="96"/>
      <c r="P93" s="96"/>
      <c r="Q93" s="96"/>
      <c r="R93" s="96"/>
      <c r="S93" s="96"/>
      <c r="T93" s="178" t="s">
        <v>834</v>
      </c>
      <c r="U93" s="96"/>
      <c r="V93" s="96"/>
      <c r="W93" s="96"/>
      <c r="X93" s="96"/>
      <c r="Y93" s="96"/>
      <c r="Z93" s="96"/>
      <c r="AA93" s="96"/>
      <c r="AB93" s="96"/>
      <c r="AC93" s="96"/>
      <c r="AD93" s="96"/>
      <c r="AE93" s="96"/>
      <c r="AF93" s="96"/>
      <c r="AG93" s="96"/>
      <c r="AH93" s="96"/>
      <c r="AI93" s="96"/>
      <c r="AJ93" s="96"/>
      <c r="AK93" s="96"/>
      <c r="AL93" s="96"/>
      <c r="AM93" s="96"/>
      <c r="AN93" s="96"/>
      <c r="AO93" s="70"/>
      <c r="AP93" s="70"/>
      <c r="AQ93" s="70"/>
      <c r="AR93" s="70"/>
      <c r="AS93" s="70"/>
      <c r="AT93" s="70"/>
      <c r="AU93" s="70"/>
      <c r="AV93" s="70"/>
      <c r="AW93" s="70"/>
      <c r="AX93" s="70"/>
    </row>
    <row r="94" ht="15.75" customHeight="1">
      <c r="A94" s="170" t="s">
        <v>263</v>
      </c>
      <c r="B94" s="171" t="s">
        <v>837</v>
      </c>
      <c r="C94" s="28" t="s">
        <v>838</v>
      </c>
      <c r="D94" s="28" t="s">
        <v>839</v>
      </c>
      <c r="E94" s="28" t="s">
        <v>840</v>
      </c>
      <c r="F94" s="28"/>
      <c r="G94" s="28"/>
      <c r="H94" s="28"/>
      <c r="I94" s="28"/>
      <c r="J94" s="28"/>
      <c r="K94" s="183" t="s">
        <v>844</v>
      </c>
      <c r="L94" s="28"/>
      <c r="M94" s="28"/>
      <c r="N94" s="28"/>
      <c r="O94" s="173"/>
      <c r="P94" s="173"/>
      <c r="Q94" s="173" t="s">
        <v>145</v>
      </c>
      <c r="R94" s="173"/>
      <c r="S94" s="173"/>
      <c r="T94" s="173"/>
      <c r="U94" s="173"/>
      <c r="V94" s="173"/>
      <c r="W94" s="173"/>
      <c r="X94" s="173"/>
      <c r="Y94" s="173"/>
      <c r="Z94" s="173"/>
      <c r="AA94" s="173"/>
      <c r="AB94" s="173"/>
      <c r="AC94" s="173"/>
      <c r="AD94" s="173"/>
      <c r="AE94" s="173"/>
      <c r="AF94" s="173"/>
      <c r="AG94" s="173"/>
      <c r="AH94" s="173"/>
      <c r="AI94" s="173"/>
      <c r="AJ94" s="173"/>
      <c r="AK94" s="173"/>
      <c r="AL94" s="173"/>
      <c r="AM94" s="173"/>
      <c r="AN94" s="173"/>
      <c r="AO94" s="70"/>
      <c r="AP94" s="70"/>
      <c r="AQ94" s="70"/>
      <c r="AR94" s="70"/>
      <c r="AS94" s="70"/>
      <c r="AT94" s="70"/>
      <c r="AU94" s="70"/>
      <c r="AV94" s="70"/>
      <c r="AW94" s="70"/>
      <c r="AX94" s="70"/>
    </row>
    <row r="95" ht="15.75" customHeight="1">
      <c r="A95" s="68" t="s">
        <v>463</v>
      </c>
      <c r="B95" s="169" t="s">
        <v>849</v>
      </c>
      <c r="C95" s="28" t="s">
        <v>850</v>
      </c>
      <c r="D95" s="28" t="s">
        <v>851</v>
      </c>
      <c r="E95" s="28" t="s">
        <v>852</v>
      </c>
      <c r="F95" s="28"/>
      <c r="G95" s="28"/>
      <c r="H95" s="28"/>
      <c r="I95" s="28"/>
      <c r="J95" s="28"/>
      <c r="K95" s="28"/>
      <c r="L95" s="28"/>
      <c r="M95" s="28"/>
      <c r="N95" s="28"/>
      <c r="O95" s="67"/>
      <c r="P95" s="67"/>
      <c r="Q95" s="67" t="s">
        <v>145</v>
      </c>
      <c r="R95" s="67"/>
      <c r="S95" s="67"/>
      <c r="T95" s="67"/>
      <c r="U95" s="67"/>
      <c r="V95" s="67"/>
      <c r="W95" s="67"/>
      <c r="X95" s="67"/>
      <c r="Y95" s="67"/>
      <c r="Z95" s="67"/>
      <c r="AA95" s="67"/>
      <c r="AB95" s="67"/>
      <c r="AC95" s="67"/>
      <c r="AD95" s="67"/>
      <c r="AE95" s="67"/>
      <c r="AF95" s="67"/>
      <c r="AG95" s="67"/>
      <c r="AH95" s="67"/>
      <c r="AI95" s="67"/>
      <c r="AJ95" s="67"/>
      <c r="AK95" s="67"/>
      <c r="AL95" s="67"/>
      <c r="AM95" s="67"/>
      <c r="AN95" s="67"/>
      <c r="AO95" s="70"/>
      <c r="AP95" s="70"/>
      <c r="AQ95" s="70"/>
      <c r="AR95" s="70"/>
      <c r="AS95" s="70"/>
      <c r="AT95" s="70"/>
      <c r="AU95" s="70"/>
      <c r="AV95" s="70"/>
      <c r="AW95" s="70"/>
      <c r="AX95" s="70"/>
    </row>
    <row r="96" ht="15.75" customHeight="1">
      <c r="A96" s="170" t="s">
        <v>263</v>
      </c>
      <c r="B96" s="171" t="s">
        <v>859</v>
      </c>
      <c r="C96" s="28" t="s">
        <v>860</v>
      </c>
      <c r="D96" s="28" t="s">
        <v>861</v>
      </c>
      <c r="E96" s="28" t="s">
        <v>862</v>
      </c>
      <c r="F96" s="28"/>
      <c r="G96" s="28"/>
      <c r="H96" s="28"/>
      <c r="I96" s="28"/>
      <c r="J96" s="28"/>
      <c r="K96" s="28" t="s">
        <v>864</v>
      </c>
      <c r="L96" s="28"/>
      <c r="M96" s="28"/>
      <c r="N96" s="28"/>
      <c r="O96" s="173" t="s">
        <v>867</v>
      </c>
      <c r="P96" s="173"/>
      <c r="Q96" s="173" t="s">
        <v>145</v>
      </c>
      <c r="R96" s="173"/>
      <c r="S96" s="173"/>
      <c r="T96" s="173"/>
      <c r="U96" s="173"/>
      <c r="V96" s="173"/>
      <c r="W96" s="173"/>
      <c r="X96" s="173"/>
      <c r="Y96" s="173"/>
      <c r="Z96" s="173"/>
      <c r="AA96" s="173"/>
      <c r="AB96" s="173"/>
      <c r="AC96" s="173"/>
      <c r="AD96" s="173"/>
      <c r="AE96" s="173"/>
      <c r="AF96" s="173"/>
      <c r="AG96" s="173"/>
      <c r="AH96" s="173"/>
      <c r="AI96" s="173"/>
      <c r="AJ96" s="173"/>
      <c r="AK96" s="173"/>
      <c r="AL96" s="173"/>
      <c r="AM96" s="173"/>
      <c r="AN96" s="173"/>
      <c r="AO96" s="70"/>
      <c r="AP96" s="70"/>
      <c r="AQ96" s="70"/>
      <c r="AR96" s="70"/>
      <c r="AS96" s="70"/>
      <c r="AT96" s="70"/>
      <c r="AU96" s="70"/>
      <c r="AV96" s="70"/>
      <c r="AW96" s="70"/>
      <c r="AX96" s="70"/>
    </row>
    <row r="97" ht="15.75" customHeight="1">
      <c r="A97" s="170" t="s">
        <v>263</v>
      </c>
      <c r="B97" s="171" t="s">
        <v>871</v>
      </c>
      <c r="C97" s="28" t="s">
        <v>872</v>
      </c>
      <c r="D97" s="28" t="s">
        <v>873</v>
      </c>
      <c r="E97" s="28" t="s">
        <v>874</v>
      </c>
      <c r="F97" s="28"/>
      <c r="G97" s="28"/>
      <c r="H97" s="28"/>
      <c r="I97" s="28"/>
      <c r="J97" s="28"/>
      <c r="K97" s="183" t="s">
        <v>876</v>
      </c>
      <c r="L97" s="28"/>
      <c r="M97" s="28"/>
      <c r="N97" s="28"/>
      <c r="O97" s="173" t="s">
        <v>867</v>
      </c>
      <c r="P97" s="173"/>
      <c r="Q97" s="173" t="s">
        <v>145</v>
      </c>
      <c r="R97" s="173"/>
      <c r="S97" s="173"/>
      <c r="T97" s="173"/>
      <c r="U97" s="173"/>
      <c r="V97" s="173"/>
      <c r="W97" s="173"/>
      <c r="X97" s="173"/>
      <c r="Y97" s="173"/>
      <c r="Z97" s="173"/>
      <c r="AA97" s="173"/>
      <c r="AB97" s="173"/>
      <c r="AC97" s="173"/>
      <c r="AD97" s="173"/>
      <c r="AE97" s="173"/>
      <c r="AF97" s="173"/>
      <c r="AG97" s="173"/>
      <c r="AH97" s="173"/>
      <c r="AI97" s="173"/>
      <c r="AJ97" s="173"/>
      <c r="AK97" s="173"/>
      <c r="AL97" s="173"/>
      <c r="AM97" s="173"/>
      <c r="AN97" s="173"/>
      <c r="AO97" s="70"/>
      <c r="AP97" s="70"/>
      <c r="AQ97" s="70"/>
      <c r="AR97" s="70"/>
      <c r="AS97" s="70"/>
      <c r="AT97" s="70"/>
      <c r="AU97" s="70"/>
      <c r="AV97" s="70"/>
      <c r="AW97" s="70"/>
      <c r="AX97" s="70"/>
    </row>
    <row r="98" ht="15.75" customHeight="1">
      <c r="A98" s="90" t="s">
        <v>78</v>
      </c>
      <c r="B98" s="92" t="s">
        <v>883</v>
      </c>
      <c r="C98" s="28" t="s">
        <v>884</v>
      </c>
      <c r="D98" s="28"/>
      <c r="E98" s="28"/>
      <c r="F98" s="28"/>
      <c r="G98" s="28"/>
      <c r="H98" s="28"/>
      <c r="I98" s="28"/>
      <c r="J98" s="28"/>
      <c r="K98" s="28"/>
      <c r="L98" s="28"/>
      <c r="M98" s="28"/>
      <c r="N98" s="28"/>
      <c r="O98" s="96"/>
      <c r="P98" s="96"/>
      <c r="Q98" s="96"/>
      <c r="R98" s="96"/>
      <c r="S98" s="96"/>
      <c r="T98" s="178" t="s">
        <v>886</v>
      </c>
      <c r="U98" s="96"/>
      <c r="V98" s="96"/>
      <c r="W98" s="96"/>
      <c r="X98" s="96"/>
      <c r="Y98" s="96"/>
      <c r="Z98" s="96"/>
      <c r="AA98" s="96"/>
      <c r="AB98" s="96"/>
      <c r="AC98" s="96"/>
      <c r="AD98" s="96"/>
      <c r="AE98" s="96"/>
      <c r="AF98" s="96"/>
      <c r="AG98" s="96"/>
      <c r="AH98" s="96"/>
      <c r="AI98" s="96"/>
      <c r="AJ98" s="96"/>
      <c r="AK98" s="96"/>
      <c r="AL98" s="96"/>
      <c r="AM98" s="96"/>
      <c r="AN98" s="96"/>
      <c r="AO98" s="70"/>
      <c r="AP98" s="70"/>
      <c r="AQ98" s="70"/>
      <c r="AR98" s="70"/>
      <c r="AS98" s="70"/>
      <c r="AT98" s="70"/>
      <c r="AU98" s="70"/>
      <c r="AV98" s="70"/>
      <c r="AW98" s="70"/>
      <c r="AX98" s="70"/>
    </row>
    <row r="99" ht="15.75" customHeight="1">
      <c r="A99" s="68" t="s">
        <v>463</v>
      </c>
      <c r="B99" s="169" t="s">
        <v>891</v>
      </c>
      <c r="C99" s="28" t="s">
        <v>892</v>
      </c>
      <c r="D99" s="28" t="s">
        <v>893</v>
      </c>
      <c r="E99" s="28" t="s">
        <v>895</v>
      </c>
      <c r="F99" s="28"/>
      <c r="G99" s="28"/>
      <c r="H99" s="28"/>
      <c r="I99" s="28"/>
      <c r="J99" s="28"/>
      <c r="K99" s="28"/>
      <c r="L99" s="28"/>
      <c r="M99" s="28"/>
      <c r="N99" s="28"/>
      <c r="O99" s="67"/>
      <c r="P99" s="67"/>
      <c r="Q99" s="67" t="s">
        <v>145</v>
      </c>
      <c r="R99" s="67"/>
      <c r="S99" s="67"/>
      <c r="T99" s="67"/>
      <c r="U99" s="67"/>
      <c r="V99" s="67"/>
      <c r="W99" s="67"/>
      <c r="X99" s="67"/>
      <c r="Y99" s="67"/>
      <c r="Z99" s="67"/>
      <c r="AA99" s="67"/>
      <c r="AB99" s="67"/>
      <c r="AC99" s="67"/>
      <c r="AD99" s="67"/>
      <c r="AE99" s="67"/>
      <c r="AF99" s="67"/>
      <c r="AG99" s="67"/>
      <c r="AH99" s="67"/>
      <c r="AI99" s="67"/>
      <c r="AJ99" s="67"/>
      <c r="AK99" s="67"/>
      <c r="AL99" s="67"/>
      <c r="AM99" s="67"/>
      <c r="AN99" s="67"/>
      <c r="AO99" s="70"/>
      <c r="AP99" s="70"/>
      <c r="AQ99" s="70"/>
      <c r="AR99" s="70"/>
      <c r="AS99" s="70"/>
      <c r="AT99" s="70"/>
      <c r="AU99" s="70"/>
      <c r="AV99" s="70"/>
      <c r="AW99" s="70"/>
      <c r="AX99" s="70"/>
    </row>
    <row r="100" ht="15.75" customHeight="1">
      <c r="A100" s="170" t="s">
        <v>263</v>
      </c>
      <c r="B100" s="171" t="s">
        <v>902</v>
      </c>
      <c r="C100" s="28" t="s">
        <v>904</v>
      </c>
      <c r="D100" s="28" t="s">
        <v>905</v>
      </c>
      <c r="E100" s="28" t="s">
        <v>906</v>
      </c>
      <c r="F100" s="28"/>
      <c r="G100" s="28"/>
      <c r="H100" s="28"/>
      <c r="I100" s="28"/>
      <c r="J100" s="28"/>
      <c r="K100" s="28" t="s">
        <v>907</v>
      </c>
      <c r="L100" s="28"/>
      <c r="M100" s="28"/>
      <c r="N100" s="28"/>
      <c r="O100" s="173" t="s">
        <v>908</v>
      </c>
      <c r="P100" s="173"/>
      <c r="Q100" s="173" t="s">
        <v>145</v>
      </c>
      <c r="R100" s="173"/>
      <c r="S100" s="173"/>
      <c r="T100" s="173"/>
      <c r="U100" s="173"/>
      <c r="V100" s="173"/>
      <c r="W100" s="173"/>
      <c r="X100" s="173"/>
      <c r="Y100" s="173"/>
      <c r="Z100" s="173"/>
      <c r="AA100" s="173"/>
      <c r="AB100" s="173"/>
      <c r="AC100" s="173"/>
      <c r="AD100" s="173"/>
      <c r="AE100" s="173"/>
      <c r="AF100" s="173"/>
      <c r="AG100" s="173"/>
      <c r="AH100" s="173"/>
      <c r="AI100" s="173"/>
      <c r="AJ100" s="173"/>
      <c r="AK100" s="173"/>
      <c r="AL100" s="173"/>
      <c r="AM100" s="173"/>
      <c r="AN100" s="173"/>
      <c r="AO100" s="70"/>
      <c r="AP100" s="70"/>
      <c r="AQ100" s="70"/>
      <c r="AR100" s="70"/>
      <c r="AS100" s="70"/>
      <c r="AT100" s="70"/>
      <c r="AU100" s="70"/>
      <c r="AV100" s="70"/>
      <c r="AW100" s="70"/>
      <c r="AX100" s="70"/>
    </row>
    <row r="101" ht="15.75" customHeight="1">
      <c r="A101" s="166" t="s">
        <v>41</v>
      </c>
      <c r="B101" s="167" t="s">
        <v>915</v>
      </c>
      <c r="C101" s="28" t="s">
        <v>916</v>
      </c>
      <c r="D101" s="28" t="s">
        <v>918</v>
      </c>
      <c r="E101" s="28" t="s">
        <v>919</v>
      </c>
      <c r="F101" s="28"/>
      <c r="G101" s="28"/>
      <c r="H101" s="28"/>
      <c r="I101" s="28"/>
      <c r="J101" s="28"/>
      <c r="K101" s="28"/>
      <c r="L101" s="28"/>
      <c r="M101" s="28"/>
      <c r="N101" s="28"/>
      <c r="O101" s="126"/>
      <c r="P101" s="126"/>
      <c r="Q101" s="126"/>
      <c r="R101" s="126"/>
      <c r="S101" s="126"/>
      <c r="T101" s="126"/>
      <c r="U101" s="126"/>
      <c r="V101" s="126"/>
      <c r="W101" s="126"/>
      <c r="X101" s="126"/>
      <c r="Y101" s="126"/>
      <c r="Z101" s="126"/>
      <c r="AA101" s="126"/>
      <c r="AB101" s="126"/>
      <c r="AC101" s="126"/>
      <c r="AD101" s="126"/>
      <c r="AE101" s="126"/>
      <c r="AF101" s="126"/>
      <c r="AG101" s="126"/>
      <c r="AH101" s="126"/>
      <c r="AI101" s="126"/>
      <c r="AJ101" s="126"/>
      <c r="AK101" s="126"/>
      <c r="AL101" s="126"/>
      <c r="AM101" s="126"/>
      <c r="AN101" s="126"/>
      <c r="AO101" s="70"/>
      <c r="AP101" s="70"/>
      <c r="AQ101" s="70"/>
      <c r="AR101" s="70"/>
      <c r="AS101" s="70"/>
      <c r="AT101" s="70"/>
      <c r="AU101" s="70"/>
      <c r="AV101" s="70"/>
      <c r="AW101" s="70"/>
      <c r="AX101" s="70"/>
    </row>
    <row r="103" ht="15.75" customHeight="1">
      <c r="A103" s="140" t="s">
        <v>131</v>
      </c>
      <c r="B103" s="164" t="s">
        <v>930</v>
      </c>
      <c r="C103" s="28"/>
      <c r="D103" s="28"/>
      <c r="E103" s="28"/>
      <c r="F103" s="28" t="s">
        <v>931</v>
      </c>
      <c r="G103" s="28"/>
      <c r="H103" s="28"/>
      <c r="I103" s="28"/>
      <c r="J103" s="28" t="s">
        <v>931</v>
      </c>
      <c r="K103" s="28"/>
      <c r="L103" s="28"/>
      <c r="M103" s="28"/>
      <c r="N103" s="28"/>
      <c r="O103" s="190"/>
      <c r="P103" s="139"/>
      <c r="Q103" s="139"/>
      <c r="R103" s="139"/>
      <c r="S103" s="139"/>
      <c r="T103" s="139"/>
      <c r="U103" s="139"/>
      <c r="V103" s="139"/>
      <c r="W103" s="139"/>
      <c r="X103" s="139"/>
      <c r="Y103" s="139"/>
      <c r="Z103" s="139"/>
      <c r="AA103" s="139"/>
      <c r="AB103" s="139"/>
      <c r="AC103" s="139"/>
      <c r="AD103" s="126"/>
      <c r="AE103" s="126"/>
      <c r="AF103" s="126"/>
      <c r="AG103" s="126"/>
      <c r="AH103" s="126"/>
      <c r="AI103" s="126"/>
      <c r="AJ103" s="126"/>
      <c r="AK103" s="126"/>
      <c r="AL103" s="126"/>
      <c r="AM103" s="126"/>
      <c r="AN103" s="126"/>
      <c r="AO103" s="70"/>
      <c r="AP103" s="70"/>
      <c r="AQ103" s="70"/>
      <c r="AR103" s="70"/>
      <c r="AS103" s="70"/>
      <c r="AT103" s="70"/>
      <c r="AU103" s="70"/>
      <c r="AV103" s="70"/>
      <c r="AW103" s="70"/>
      <c r="AX103" s="70"/>
    </row>
    <row r="104" ht="15.75" customHeight="1">
      <c r="A104" s="68" t="s">
        <v>463</v>
      </c>
      <c r="B104" s="169" t="s">
        <v>939</v>
      </c>
      <c r="C104" s="28" t="s">
        <v>940</v>
      </c>
      <c r="D104" s="28" t="s">
        <v>942</v>
      </c>
      <c r="E104" s="28" t="s">
        <v>944</v>
      </c>
      <c r="F104" s="28"/>
      <c r="G104" s="28"/>
      <c r="H104" s="28"/>
      <c r="I104" s="28"/>
      <c r="J104" s="28" t="s">
        <v>8</v>
      </c>
      <c r="K104" s="28"/>
      <c r="L104" s="28"/>
      <c r="M104" s="28"/>
      <c r="N104" s="28"/>
      <c r="O104" s="67"/>
      <c r="P104" s="67"/>
      <c r="Q104" s="67"/>
      <c r="R104" s="67"/>
      <c r="S104" s="67"/>
      <c r="T104" s="67"/>
      <c r="U104" s="67"/>
      <c r="V104" s="67"/>
      <c r="W104" s="67"/>
      <c r="X104" s="67"/>
      <c r="Y104" s="67"/>
      <c r="Z104" s="67"/>
      <c r="AA104" s="67"/>
      <c r="AB104" s="67"/>
      <c r="AC104" s="67"/>
      <c r="AD104" s="126"/>
      <c r="AE104" s="126"/>
      <c r="AF104" s="126"/>
      <c r="AG104" s="126"/>
      <c r="AH104" s="126"/>
      <c r="AI104" s="126"/>
      <c r="AJ104" s="126"/>
      <c r="AK104" s="126"/>
      <c r="AL104" s="126"/>
      <c r="AM104" s="126"/>
      <c r="AN104" s="126"/>
      <c r="AO104" s="70"/>
      <c r="AP104" s="70"/>
      <c r="AQ104" s="70"/>
      <c r="AR104" s="70"/>
      <c r="AS104" s="70"/>
      <c r="AT104" s="70"/>
      <c r="AU104" s="70"/>
      <c r="AV104" s="70"/>
      <c r="AW104" s="70"/>
      <c r="AX104" s="70"/>
    </row>
    <row r="105" ht="15.75" customHeight="1">
      <c r="A105" s="68" t="s">
        <v>463</v>
      </c>
      <c r="B105" s="169" t="s">
        <v>949</v>
      </c>
      <c r="C105" s="28" t="s">
        <v>950</v>
      </c>
      <c r="D105" s="28" t="s">
        <v>952</v>
      </c>
      <c r="E105" s="28" t="s">
        <v>955</v>
      </c>
      <c r="F105" s="28"/>
      <c r="G105" s="28"/>
      <c r="H105" s="28"/>
      <c r="I105" s="28"/>
      <c r="J105" s="28" t="s">
        <v>958</v>
      </c>
      <c r="K105" s="28"/>
      <c r="L105" s="28"/>
      <c r="M105" s="28"/>
      <c r="N105" s="28"/>
      <c r="O105" s="67"/>
      <c r="P105" s="67"/>
      <c r="Q105" s="67" t="s">
        <v>145</v>
      </c>
      <c r="R105" s="67"/>
      <c r="S105" s="67"/>
      <c r="T105" s="67"/>
      <c r="U105" s="67"/>
      <c r="V105" s="67"/>
      <c r="W105" s="67"/>
      <c r="X105" s="67"/>
      <c r="Y105" s="67"/>
      <c r="Z105" s="67"/>
      <c r="AA105" s="67"/>
      <c r="AB105" s="67"/>
      <c r="AC105" s="67"/>
      <c r="AD105" s="67"/>
      <c r="AE105" s="67"/>
      <c r="AF105" s="67"/>
      <c r="AG105" s="67"/>
      <c r="AH105" s="67"/>
      <c r="AI105" s="67"/>
      <c r="AJ105" s="67"/>
      <c r="AK105" s="67"/>
      <c r="AL105" s="67"/>
      <c r="AM105" s="67"/>
      <c r="AN105" s="67"/>
      <c r="AO105" s="70"/>
      <c r="AP105" s="70"/>
      <c r="AQ105" s="70"/>
      <c r="AR105" s="70"/>
      <c r="AS105" s="70"/>
      <c r="AT105" s="70"/>
      <c r="AU105" s="70"/>
      <c r="AV105" s="70"/>
      <c r="AW105" s="70"/>
      <c r="AX105" s="70"/>
    </row>
    <row r="106" ht="15.75" customHeight="1">
      <c r="A106" s="68" t="s">
        <v>463</v>
      </c>
      <c r="B106" s="169" t="s">
        <v>965</v>
      </c>
      <c r="C106" s="28" t="s">
        <v>966</v>
      </c>
      <c r="D106" s="28" t="s">
        <v>967</v>
      </c>
      <c r="E106" s="28" t="s">
        <v>968</v>
      </c>
      <c r="F106" s="28"/>
      <c r="G106" s="28"/>
      <c r="H106" s="28"/>
      <c r="I106" s="28"/>
      <c r="J106" s="28" t="s">
        <v>958</v>
      </c>
      <c r="K106" s="28"/>
      <c r="L106" s="28"/>
      <c r="M106" s="28"/>
      <c r="N106" s="28"/>
      <c r="O106" s="67"/>
      <c r="P106" s="67"/>
      <c r="Q106" s="67" t="s">
        <v>145</v>
      </c>
      <c r="R106" s="67"/>
      <c r="S106" s="67"/>
      <c r="T106" s="67"/>
      <c r="U106" s="67"/>
      <c r="V106" s="67"/>
      <c r="W106" s="67"/>
      <c r="X106" s="67"/>
      <c r="Y106" s="67"/>
      <c r="Z106" s="67"/>
      <c r="AA106" s="67"/>
      <c r="AB106" s="67"/>
      <c r="AC106" s="67"/>
      <c r="AD106" s="67"/>
      <c r="AE106" s="67"/>
      <c r="AF106" s="67"/>
      <c r="AG106" s="67"/>
      <c r="AH106" s="67"/>
      <c r="AI106" s="67"/>
      <c r="AJ106" s="67"/>
      <c r="AK106" s="67"/>
      <c r="AL106" s="67"/>
      <c r="AM106" s="67"/>
      <c r="AN106" s="67"/>
      <c r="AO106" s="70"/>
      <c r="AP106" s="70"/>
      <c r="AQ106" s="70"/>
      <c r="AR106" s="70"/>
      <c r="AS106" s="70"/>
      <c r="AT106" s="70"/>
      <c r="AU106" s="70"/>
      <c r="AV106" s="70"/>
      <c r="AW106" s="70"/>
      <c r="AX106" s="70"/>
    </row>
    <row r="107" ht="15.75" customHeight="1">
      <c r="A107" s="68" t="s">
        <v>463</v>
      </c>
      <c r="B107" s="169" t="s">
        <v>974</v>
      </c>
      <c r="C107" s="28" t="s">
        <v>975</v>
      </c>
      <c r="D107" s="28" t="s">
        <v>977</v>
      </c>
      <c r="E107" s="28" t="s">
        <v>978</v>
      </c>
      <c r="F107" s="28"/>
      <c r="G107" s="28"/>
      <c r="H107" s="28"/>
      <c r="I107" s="28"/>
      <c r="J107" s="28" t="s">
        <v>958</v>
      </c>
      <c r="K107" s="28"/>
      <c r="L107" s="28"/>
      <c r="M107" s="28"/>
      <c r="N107" s="28"/>
      <c r="O107" s="67"/>
      <c r="P107" s="67"/>
      <c r="Q107" s="67" t="s">
        <v>145</v>
      </c>
      <c r="R107" s="67"/>
      <c r="S107" s="67"/>
      <c r="T107" s="67"/>
      <c r="U107" s="67"/>
      <c r="V107" s="67"/>
      <c r="W107" s="67"/>
      <c r="X107" s="67"/>
      <c r="Y107" s="67"/>
      <c r="Z107" s="67"/>
      <c r="AA107" s="67"/>
      <c r="AB107" s="67"/>
      <c r="AC107" s="67"/>
      <c r="AD107" s="67"/>
      <c r="AE107" s="67"/>
      <c r="AF107" s="67"/>
      <c r="AG107" s="67"/>
      <c r="AH107" s="67"/>
      <c r="AI107" s="67"/>
      <c r="AJ107" s="67"/>
      <c r="AK107" s="67"/>
      <c r="AL107" s="67"/>
      <c r="AM107" s="67"/>
      <c r="AN107" s="67"/>
      <c r="AO107" s="70"/>
      <c r="AP107" s="70"/>
      <c r="AQ107" s="70"/>
      <c r="AR107" s="70"/>
      <c r="AS107" s="70"/>
      <c r="AT107" s="70"/>
      <c r="AU107" s="70"/>
      <c r="AV107" s="70"/>
      <c r="AW107" s="70"/>
      <c r="AX107" s="70"/>
    </row>
    <row r="108" ht="15.75" customHeight="1">
      <c r="A108" s="68" t="s">
        <v>463</v>
      </c>
      <c r="B108" s="169" t="s">
        <v>981</v>
      </c>
      <c r="C108" s="28" t="s">
        <v>982</v>
      </c>
      <c r="D108" s="28" t="s">
        <v>983</v>
      </c>
      <c r="E108" s="28" t="s">
        <v>984</v>
      </c>
      <c r="F108" s="28"/>
      <c r="G108" s="28"/>
      <c r="H108" s="28"/>
      <c r="I108" s="28"/>
      <c r="J108" s="28" t="s">
        <v>958</v>
      </c>
      <c r="K108" s="28"/>
      <c r="L108" s="28"/>
      <c r="M108" s="28"/>
      <c r="N108" s="28"/>
      <c r="O108" s="67"/>
      <c r="P108" s="67"/>
      <c r="Q108" s="67" t="s">
        <v>145</v>
      </c>
      <c r="R108" s="67"/>
      <c r="S108" s="67"/>
      <c r="T108" s="67"/>
      <c r="U108" s="67"/>
      <c r="V108" s="67"/>
      <c r="W108" s="67"/>
      <c r="X108" s="67"/>
      <c r="Y108" s="67"/>
      <c r="Z108" s="67"/>
      <c r="AA108" s="67"/>
      <c r="AB108" s="67"/>
      <c r="AC108" s="67"/>
      <c r="AD108" s="67"/>
      <c r="AE108" s="67"/>
      <c r="AF108" s="67"/>
      <c r="AG108" s="67"/>
      <c r="AH108" s="67"/>
      <c r="AI108" s="67"/>
      <c r="AJ108" s="67"/>
      <c r="AK108" s="67"/>
      <c r="AL108" s="67"/>
      <c r="AM108" s="67"/>
      <c r="AN108" s="67"/>
      <c r="AO108" s="70"/>
      <c r="AP108" s="70"/>
      <c r="AQ108" s="70"/>
      <c r="AR108" s="70"/>
      <c r="AS108" s="70"/>
      <c r="AT108" s="70"/>
      <c r="AU108" s="70"/>
      <c r="AV108" s="70"/>
      <c r="AW108" s="70"/>
      <c r="AX108" s="70"/>
    </row>
    <row r="109" ht="15.75" customHeight="1">
      <c r="A109" s="68" t="s">
        <v>463</v>
      </c>
      <c r="B109" s="169" t="s">
        <v>991</v>
      </c>
      <c r="C109" s="28" t="s">
        <v>992</v>
      </c>
      <c r="D109" s="28" t="s">
        <v>993</v>
      </c>
      <c r="E109" s="28" t="s">
        <v>995</v>
      </c>
      <c r="F109" s="28"/>
      <c r="G109" s="28"/>
      <c r="H109" s="28"/>
      <c r="I109" s="28"/>
      <c r="J109" s="28" t="s">
        <v>958</v>
      </c>
      <c r="K109" s="28"/>
      <c r="L109" s="28"/>
      <c r="M109" s="28"/>
      <c r="N109" s="28"/>
      <c r="O109" s="67"/>
      <c r="P109" s="67"/>
      <c r="Q109" s="67" t="s">
        <v>145</v>
      </c>
      <c r="R109" s="67"/>
      <c r="S109" s="67"/>
      <c r="T109" s="67"/>
      <c r="U109" s="67"/>
      <c r="V109" s="67"/>
      <c r="W109" s="67"/>
      <c r="X109" s="67"/>
      <c r="Y109" s="67"/>
      <c r="Z109" s="67"/>
      <c r="AA109" s="67"/>
      <c r="AB109" s="67"/>
      <c r="AC109" s="67"/>
      <c r="AD109" s="67"/>
      <c r="AE109" s="67"/>
      <c r="AF109" s="67"/>
      <c r="AG109" s="67"/>
      <c r="AH109" s="67"/>
      <c r="AI109" s="67"/>
      <c r="AJ109" s="67"/>
      <c r="AK109" s="67"/>
      <c r="AL109" s="67"/>
      <c r="AM109" s="67"/>
      <c r="AN109" s="67"/>
      <c r="AO109" s="70"/>
      <c r="AP109" s="70"/>
      <c r="AQ109" s="70"/>
      <c r="AR109" s="70"/>
      <c r="AS109" s="70"/>
      <c r="AT109" s="70"/>
      <c r="AU109" s="70"/>
      <c r="AV109" s="70"/>
      <c r="AW109" s="70"/>
      <c r="AX109" s="70"/>
    </row>
    <row r="110" ht="15.75" customHeight="1">
      <c r="A110" s="140" t="s">
        <v>237</v>
      </c>
      <c r="B110" s="191" t="s">
        <v>930</v>
      </c>
      <c r="C110" s="28"/>
      <c r="D110" s="28"/>
      <c r="E110" s="28"/>
      <c r="F110" s="28"/>
      <c r="G110" s="28"/>
      <c r="H110" s="28"/>
      <c r="I110" s="28"/>
      <c r="J110" s="28"/>
      <c r="K110" s="28"/>
      <c r="L110" s="28"/>
      <c r="M110" s="28"/>
      <c r="N110" s="28"/>
      <c r="O110" s="139"/>
      <c r="P110" s="139"/>
      <c r="Q110" s="139"/>
      <c r="R110" s="139"/>
      <c r="S110" s="139"/>
      <c r="T110" s="139"/>
      <c r="U110" s="139"/>
      <c r="V110" s="139"/>
      <c r="W110" s="139"/>
      <c r="X110" s="139"/>
      <c r="Y110" s="139"/>
      <c r="Z110" s="139"/>
      <c r="AA110" s="139"/>
      <c r="AB110" s="139"/>
      <c r="AC110" s="139"/>
      <c r="AD110" s="67"/>
      <c r="AE110" s="67"/>
      <c r="AF110" s="67"/>
      <c r="AG110" s="67"/>
      <c r="AH110" s="67"/>
      <c r="AI110" s="67"/>
      <c r="AJ110" s="67"/>
      <c r="AK110" s="67"/>
      <c r="AL110" s="67"/>
      <c r="AM110" s="67"/>
      <c r="AN110" s="67"/>
      <c r="AO110" s="70"/>
      <c r="AP110" s="70"/>
      <c r="AQ110" s="70"/>
      <c r="AR110" s="70"/>
      <c r="AS110" s="70"/>
      <c r="AT110" s="70"/>
      <c r="AU110" s="70"/>
      <c r="AV110" s="70"/>
      <c r="AW110" s="70"/>
      <c r="AX110" s="70"/>
    </row>
    <row r="111" ht="15.75" customHeight="1">
      <c r="A111" s="140" t="s">
        <v>131</v>
      </c>
      <c r="B111" s="164" t="s">
        <v>1009</v>
      </c>
      <c r="C111" s="28" t="s">
        <v>1010</v>
      </c>
      <c r="D111" s="28"/>
      <c r="E111" s="28"/>
      <c r="F111" s="28"/>
      <c r="G111" s="28"/>
      <c r="H111" s="28"/>
      <c r="I111" s="28"/>
      <c r="J111" s="28"/>
      <c r="K111" s="28"/>
      <c r="L111" s="28"/>
      <c r="M111" s="28"/>
      <c r="N111" s="28"/>
      <c r="O111" s="190" t="s">
        <v>1013</v>
      </c>
      <c r="P111" s="139"/>
      <c r="Q111" s="139"/>
      <c r="R111" s="139"/>
      <c r="S111" s="139"/>
      <c r="T111" s="139"/>
      <c r="U111" s="139"/>
      <c r="V111" s="139"/>
      <c r="W111" s="139"/>
      <c r="X111" s="139"/>
      <c r="Y111" s="139"/>
      <c r="Z111" s="139"/>
      <c r="AA111" s="139"/>
      <c r="AB111" s="139"/>
      <c r="AC111" s="139"/>
      <c r="AD111" s="139"/>
      <c r="AE111" s="139"/>
      <c r="AF111" s="139"/>
      <c r="AG111" s="139"/>
      <c r="AH111" s="139"/>
      <c r="AI111" s="139"/>
      <c r="AJ111" s="139"/>
      <c r="AK111" s="139"/>
      <c r="AL111" s="139"/>
      <c r="AM111" s="139"/>
      <c r="AN111" s="139"/>
      <c r="AO111" s="70"/>
      <c r="AP111" s="70"/>
      <c r="AQ111" s="70"/>
      <c r="AR111" s="70"/>
      <c r="AS111" s="70"/>
      <c r="AT111" s="70"/>
      <c r="AU111" s="70"/>
      <c r="AV111" s="70"/>
      <c r="AW111" s="70"/>
      <c r="AX111" s="70"/>
    </row>
    <row r="112" ht="15.75" customHeight="1">
      <c r="A112" s="68" t="s">
        <v>1016</v>
      </c>
      <c r="B112" s="169" t="s">
        <v>1017</v>
      </c>
      <c r="C112" s="28" t="s">
        <v>1018</v>
      </c>
      <c r="D112" s="28" t="s">
        <v>1020</v>
      </c>
      <c r="E112" s="28" t="s">
        <v>1022</v>
      </c>
      <c r="F112" s="28"/>
      <c r="G112" s="28"/>
      <c r="H112" s="28"/>
      <c r="I112" s="28"/>
      <c r="J112" s="28"/>
      <c r="K112" s="28"/>
      <c r="L112" s="28"/>
      <c r="M112" s="28"/>
      <c r="N112" s="28"/>
      <c r="O112" s="67"/>
      <c r="P112" s="67"/>
      <c r="Q112" s="67" t="s">
        <v>145</v>
      </c>
      <c r="R112" s="67"/>
      <c r="S112" s="67"/>
      <c r="T112" s="67"/>
      <c r="U112" s="67"/>
      <c r="V112" s="67"/>
      <c r="W112" s="67"/>
      <c r="X112" s="67"/>
      <c r="Y112" s="67"/>
      <c r="Z112" s="67"/>
      <c r="AA112" s="67"/>
      <c r="AB112" s="67"/>
      <c r="AC112" s="67"/>
      <c r="AD112" s="67"/>
      <c r="AE112" s="67"/>
      <c r="AF112" s="67"/>
      <c r="AG112" s="67"/>
      <c r="AH112" s="67"/>
      <c r="AI112" s="67"/>
      <c r="AJ112" s="67"/>
      <c r="AK112" s="67"/>
      <c r="AL112" s="67"/>
      <c r="AM112" s="67"/>
      <c r="AN112" s="67"/>
      <c r="AO112" s="70"/>
      <c r="AP112" s="70"/>
      <c r="AQ112" s="70"/>
      <c r="AR112" s="70"/>
      <c r="AS112" s="70"/>
      <c r="AT112" s="70"/>
      <c r="AU112" s="70"/>
      <c r="AV112" s="70"/>
      <c r="AW112" s="70"/>
      <c r="AX112" s="70"/>
    </row>
    <row r="113" ht="15.75" customHeight="1">
      <c r="A113" s="68" t="s">
        <v>463</v>
      </c>
      <c r="B113" s="169" t="s">
        <v>1032</v>
      </c>
      <c r="C113" s="28" t="s">
        <v>1033</v>
      </c>
      <c r="D113" s="28" t="s">
        <v>1034</v>
      </c>
      <c r="E113" s="28" t="s">
        <v>1036</v>
      </c>
      <c r="F113" s="28"/>
      <c r="G113" s="28"/>
      <c r="H113" s="28"/>
      <c r="I113" s="28"/>
      <c r="J113" s="28"/>
      <c r="K113" s="28"/>
      <c r="L113" s="28"/>
      <c r="M113" s="28"/>
      <c r="N113" s="28"/>
      <c r="O113" s="67"/>
      <c r="P113" s="67"/>
      <c r="Q113" s="67" t="s">
        <v>145</v>
      </c>
      <c r="R113" s="67"/>
      <c r="S113" s="67"/>
      <c r="T113" s="67"/>
      <c r="U113" s="67"/>
      <c r="V113" s="67"/>
      <c r="W113" s="67"/>
      <c r="X113" s="67"/>
      <c r="Y113" s="67"/>
      <c r="Z113" s="67"/>
      <c r="AA113" s="67"/>
      <c r="AB113" s="67"/>
      <c r="AC113" s="67"/>
      <c r="AD113" s="67"/>
      <c r="AE113" s="67"/>
      <c r="AF113" s="67"/>
      <c r="AG113" s="67"/>
      <c r="AH113" s="67"/>
      <c r="AI113" s="67"/>
      <c r="AJ113" s="67"/>
      <c r="AK113" s="67"/>
      <c r="AL113" s="67"/>
      <c r="AM113" s="67"/>
      <c r="AN113" s="67"/>
      <c r="AO113" s="70"/>
      <c r="AP113" s="70"/>
      <c r="AQ113" s="70"/>
      <c r="AR113" s="70"/>
      <c r="AS113" s="70"/>
      <c r="AT113" s="70"/>
      <c r="AU113" s="70"/>
      <c r="AV113" s="70"/>
      <c r="AW113" s="70"/>
      <c r="AX113" s="70"/>
    </row>
    <row r="114" ht="15.75" customHeight="1">
      <c r="A114" s="140" t="s">
        <v>131</v>
      </c>
      <c r="B114" s="193" t="s">
        <v>1045</v>
      </c>
      <c r="C114" s="183"/>
      <c r="D114" s="183"/>
      <c r="E114" s="183"/>
      <c r="F114" s="183"/>
      <c r="G114" s="183"/>
      <c r="H114" s="183"/>
      <c r="I114" s="183"/>
      <c r="J114" s="28" t="s">
        <v>931</v>
      </c>
      <c r="K114" s="183"/>
      <c r="L114" s="183"/>
      <c r="M114" s="183"/>
      <c r="N114" s="183"/>
      <c r="O114" s="126"/>
      <c r="P114" s="126"/>
      <c r="Q114" s="126"/>
      <c r="R114" s="126"/>
      <c r="S114" s="126"/>
      <c r="T114" s="126"/>
      <c r="U114" s="126"/>
      <c r="V114" s="126"/>
      <c r="W114" s="126"/>
      <c r="X114" s="126"/>
      <c r="Y114" s="126"/>
      <c r="Z114" s="126"/>
      <c r="AA114" s="126"/>
      <c r="AB114" s="126"/>
      <c r="AC114" s="126"/>
      <c r="AD114" s="126"/>
      <c r="AE114" s="126"/>
      <c r="AF114" s="126"/>
      <c r="AG114" s="126"/>
      <c r="AH114" s="126"/>
      <c r="AI114" s="126"/>
      <c r="AJ114" s="126"/>
      <c r="AK114" s="126"/>
      <c r="AL114" s="126"/>
      <c r="AM114" s="126"/>
      <c r="AN114" s="126"/>
      <c r="AO114" s="70"/>
      <c r="AP114" s="70"/>
      <c r="AQ114" s="70"/>
      <c r="AR114" s="70"/>
      <c r="AS114" s="70"/>
      <c r="AT114" s="70"/>
      <c r="AU114" s="70"/>
      <c r="AV114" s="70"/>
      <c r="AW114" s="70"/>
      <c r="AX114" s="70"/>
    </row>
    <row r="115" ht="15.75" customHeight="1">
      <c r="A115" s="68" t="s">
        <v>1055</v>
      </c>
      <c r="B115" s="167" t="s">
        <v>1056</v>
      </c>
      <c r="C115" s="28" t="s">
        <v>1057</v>
      </c>
      <c r="D115" s="28" t="s">
        <v>1058</v>
      </c>
      <c r="E115" s="28" t="s">
        <v>1059</v>
      </c>
      <c r="F115" s="183"/>
      <c r="G115" s="183"/>
      <c r="H115" s="183"/>
      <c r="I115" s="183"/>
      <c r="J115" s="28" t="s">
        <v>8</v>
      </c>
      <c r="K115" s="183"/>
      <c r="L115" s="183"/>
      <c r="M115" s="183"/>
      <c r="N115" s="183"/>
      <c r="O115" s="126"/>
      <c r="P115" s="126"/>
      <c r="Q115" s="126"/>
      <c r="R115" s="126"/>
      <c r="S115" s="126"/>
      <c r="T115" s="126"/>
      <c r="U115" s="126"/>
      <c r="V115" s="126"/>
      <c r="W115" s="126"/>
      <c r="X115" s="126"/>
      <c r="Y115" s="126"/>
      <c r="Z115" s="126"/>
      <c r="AA115" s="126"/>
      <c r="AB115" s="126"/>
      <c r="AC115" s="126"/>
      <c r="AD115" s="126"/>
      <c r="AE115" s="126"/>
      <c r="AF115" s="126"/>
      <c r="AG115" s="126"/>
      <c r="AH115" s="126"/>
      <c r="AI115" s="126"/>
      <c r="AJ115" s="126"/>
      <c r="AK115" s="126"/>
      <c r="AL115" s="126"/>
      <c r="AM115" s="126"/>
      <c r="AN115" s="126"/>
      <c r="AO115" s="70"/>
      <c r="AP115" s="70"/>
      <c r="AQ115" s="70"/>
      <c r="AR115" s="70"/>
      <c r="AS115" s="70"/>
      <c r="AT115" s="70"/>
      <c r="AU115" s="70"/>
      <c r="AV115" s="70"/>
      <c r="AW115" s="70"/>
      <c r="AX115" s="70"/>
    </row>
    <row r="116" ht="15.75" customHeight="1">
      <c r="A116" s="68" t="s">
        <v>1055</v>
      </c>
      <c r="B116" s="169" t="s">
        <v>1066</v>
      </c>
      <c r="C116" s="28" t="s">
        <v>1067</v>
      </c>
      <c r="D116" s="28" t="s">
        <v>1069</v>
      </c>
      <c r="E116" s="28" t="s">
        <v>1070</v>
      </c>
      <c r="F116" s="28"/>
      <c r="G116" s="28"/>
      <c r="H116" s="28"/>
      <c r="I116" s="28"/>
      <c r="J116" s="28" t="s">
        <v>958</v>
      </c>
      <c r="K116" s="28"/>
      <c r="L116" s="28"/>
      <c r="M116" s="28"/>
      <c r="N116" s="28"/>
      <c r="O116" s="67"/>
      <c r="P116" s="67"/>
      <c r="Q116" s="67" t="s">
        <v>145</v>
      </c>
      <c r="R116" s="67"/>
      <c r="S116" s="67"/>
      <c r="T116" s="67"/>
      <c r="U116" s="67"/>
      <c r="V116" s="67"/>
      <c r="W116" s="67"/>
      <c r="X116" s="67"/>
      <c r="Y116" s="67"/>
      <c r="Z116" s="67"/>
      <c r="AA116" s="67"/>
      <c r="AB116" s="67"/>
      <c r="AC116" s="67"/>
      <c r="AD116" s="67"/>
      <c r="AE116" s="67"/>
      <c r="AF116" s="67"/>
      <c r="AG116" s="67"/>
      <c r="AH116" s="67"/>
      <c r="AI116" s="67"/>
      <c r="AJ116" s="67"/>
      <c r="AK116" s="67"/>
      <c r="AL116" s="67"/>
      <c r="AM116" s="67"/>
      <c r="AN116" s="67"/>
      <c r="AO116" s="70"/>
      <c r="AP116" s="70"/>
      <c r="AQ116" s="70"/>
      <c r="AR116" s="70"/>
      <c r="AS116" s="70"/>
      <c r="AT116" s="70"/>
      <c r="AU116" s="70"/>
      <c r="AV116" s="70"/>
      <c r="AW116" s="70"/>
      <c r="AX116" s="70"/>
    </row>
    <row r="117" ht="15.75" customHeight="1">
      <c r="A117" s="68" t="s">
        <v>1055</v>
      </c>
      <c r="B117" s="169" t="s">
        <v>1084</v>
      </c>
      <c r="C117" s="28" t="s">
        <v>1085</v>
      </c>
      <c r="D117" s="28" t="s">
        <v>1087</v>
      </c>
      <c r="E117" s="28" t="s">
        <v>1088</v>
      </c>
      <c r="F117" s="28"/>
      <c r="G117" s="28"/>
      <c r="H117" s="28"/>
      <c r="I117" s="28"/>
      <c r="J117" s="28" t="s">
        <v>958</v>
      </c>
      <c r="K117" s="28"/>
      <c r="L117" s="28"/>
      <c r="M117" s="28"/>
      <c r="N117" s="28"/>
      <c r="O117" s="67"/>
      <c r="P117" s="67"/>
      <c r="Q117" s="67" t="s">
        <v>145</v>
      </c>
      <c r="R117" s="67"/>
      <c r="S117" s="67"/>
      <c r="T117" s="67"/>
      <c r="U117" s="67"/>
      <c r="V117" s="67"/>
      <c r="W117" s="67"/>
      <c r="X117" s="67"/>
      <c r="Y117" s="67"/>
      <c r="Z117" s="67"/>
      <c r="AA117" s="67"/>
      <c r="AB117" s="67"/>
      <c r="AC117" s="67"/>
      <c r="AD117" s="67"/>
      <c r="AE117" s="67"/>
      <c r="AF117" s="67"/>
      <c r="AG117" s="67"/>
      <c r="AH117" s="67"/>
      <c r="AI117" s="67"/>
      <c r="AJ117" s="67"/>
      <c r="AK117" s="67"/>
      <c r="AL117" s="67"/>
      <c r="AM117" s="67"/>
      <c r="AN117" s="67"/>
      <c r="AO117" s="70"/>
      <c r="AP117" s="70"/>
      <c r="AQ117" s="70"/>
      <c r="AR117" s="70"/>
      <c r="AS117" s="70"/>
      <c r="AT117" s="70"/>
      <c r="AU117" s="70"/>
      <c r="AV117" s="70"/>
      <c r="AW117" s="70"/>
      <c r="AX117" s="70"/>
    </row>
    <row r="118" ht="15.75" customHeight="1">
      <c r="A118" s="68" t="s">
        <v>1055</v>
      </c>
      <c r="B118" s="169" t="s">
        <v>1105</v>
      </c>
      <c r="C118" s="28" t="s">
        <v>1106</v>
      </c>
      <c r="D118" s="28" t="s">
        <v>1107</v>
      </c>
      <c r="E118" s="28" t="s">
        <v>1108</v>
      </c>
      <c r="F118" s="28"/>
      <c r="G118" s="28"/>
      <c r="H118" s="28"/>
      <c r="I118" s="28"/>
      <c r="J118" s="28" t="s">
        <v>958</v>
      </c>
      <c r="K118" s="28"/>
      <c r="L118" s="28"/>
      <c r="M118" s="28"/>
      <c r="N118" s="28"/>
      <c r="O118" s="67"/>
      <c r="P118" s="67"/>
      <c r="Q118" s="67" t="s">
        <v>145</v>
      </c>
      <c r="R118" s="67"/>
      <c r="S118" s="67"/>
      <c r="T118" s="67"/>
      <c r="U118" s="67"/>
      <c r="V118" s="67"/>
      <c r="W118" s="67"/>
      <c r="X118" s="67"/>
      <c r="Y118" s="67"/>
      <c r="Z118" s="67"/>
      <c r="AA118" s="67"/>
      <c r="AB118" s="67"/>
      <c r="AC118" s="67"/>
      <c r="AD118" s="67"/>
      <c r="AE118" s="67"/>
      <c r="AF118" s="67"/>
      <c r="AG118" s="67"/>
      <c r="AH118" s="67"/>
      <c r="AI118" s="67"/>
      <c r="AJ118" s="67"/>
      <c r="AK118" s="67"/>
      <c r="AL118" s="67"/>
      <c r="AM118" s="67"/>
      <c r="AN118" s="67"/>
      <c r="AO118" s="70"/>
      <c r="AP118" s="70"/>
      <c r="AQ118" s="70"/>
      <c r="AR118" s="70"/>
      <c r="AS118" s="70"/>
      <c r="AT118" s="70"/>
      <c r="AU118" s="70"/>
      <c r="AV118" s="70"/>
      <c r="AW118" s="70"/>
      <c r="AX118" s="70"/>
    </row>
    <row r="119" ht="15.75" customHeight="1">
      <c r="A119" s="68" t="s">
        <v>1055</v>
      </c>
      <c r="B119" s="169" t="s">
        <v>1123</v>
      </c>
      <c r="C119" s="28" t="s">
        <v>1120</v>
      </c>
      <c r="D119" s="28" t="s">
        <v>1121</v>
      </c>
      <c r="E119" s="28" t="s">
        <v>1124</v>
      </c>
      <c r="F119" s="28"/>
      <c r="G119" s="28"/>
      <c r="H119" s="28"/>
      <c r="I119" s="28"/>
      <c r="J119" s="28" t="s">
        <v>958</v>
      </c>
      <c r="K119" s="28"/>
      <c r="L119" s="28"/>
      <c r="M119" s="28"/>
      <c r="N119" s="28"/>
      <c r="O119" s="67"/>
      <c r="P119" s="67"/>
      <c r="Q119" s="67" t="s">
        <v>145</v>
      </c>
      <c r="R119" s="67"/>
      <c r="S119" s="67"/>
      <c r="T119" s="67"/>
      <c r="U119" s="67"/>
      <c r="V119" s="67"/>
      <c r="W119" s="67"/>
      <c r="X119" s="67"/>
      <c r="Y119" s="67"/>
      <c r="Z119" s="67"/>
      <c r="AA119" s="67"/>
      <c r="AB119" s="67"/>
      <c r="AC119" s="67"/>
      <c r="AD119" s="67"/>
      <c r="AE119" s="67"/>
      <c r="AF119" s="67"/>
      <c r="AG119" s="67"/>
      <c r="AH119" s="67"/>
      <c r="AI119" s="67"/>
      <c r="AJ119" s="67"/>
      <c r="AK119" s="67"/>
      <c r="AL119" s="67"/>
      <c r="AM119" s="67"/>
      <c r="AN119" s="67"/>
      <c r="AO119" s="70"/>
      <c r="AP119" s="70"/>
      <c r="AQ119" s="70"/>
      <c r="AR119" s="70"/>
      <c r="AS119" s="70"/>
      <c r="AT119" s="70"/>
      <c r="AU119" s="70"/>
      <c r="AV119" s="70"/>
      <c r="AW119" s="70"/>
      <c r="AX119" s="70"/>
    </row>
    <row r="120" ht="15.75" customHeight="1">
      <c r="A120" s="68" t="s">
        <v>1055</v>
      </c>
      <c r="B120" s="169" t="s">
        <v>1139</v>
      </c>
      <c r="C120" s="28" t="s">
        <v>1126</v>
      </c>
      <c r="D120" s="28" t="s">
        <v>1140</v>
      </c>
      <c r="E120" s="28" t="s">
        <v>1142</v>
      </c>
      <c r="F120" s="28"/>
      <c r="G120" s="28"/>
      <c r="H120" s="28"/>
      <c r="I120" s="28"/>
      <c r="J120" s="28" t="s">
        <v>958</v>
      </c>
      <c r="K120" s="28"/>
      <c r="L120" s="28"/>
      <c r="M120" s="28"/>
      <c r="N120" s="28"/>
      <c r="O120" s="67"/>
      <c r="P120" s="67"/>
      <c r="Q120" s="67" t="s">
        <v>145</v>
      </c>
      <c r="R120" s="67"/>
      <c r="S120" s="67"/>
      <c r="T120" s="67"/>
      <c r="U120" s="67"/>
      <c r="V120" s="67"/>
      <c r="W120" s="67"/>
      <c r="X120" s="67"/>
      <c r="Y120" s="67"/>
      <c r="Z120" s="67"/>
      <c r="AA120" s="67"/>
      <c r="AB120" s="67"/>
      <c r="AC120" s="67"/>
      <c r="AD120" s="67"/>
      <c r="AE120" s="67"/>
      <c r="AF120" s="67"/>
      <c r="AG120" s="67"/>
      <c r="AH120" s="67"/>
      <c r="AI120" s="67"/>
      <c r="AJ120" s="67"/>
      <c r="AK120" s="67"/>
      <c r="AL120" s="67"/>
      <c r="AM120" s="67"/>
      <c r="AN120" s="67"/>
      <c r="AO120" s="70"/>
      <c r="AP120" s="70"/>
      <c r="AQ120" s="70"/>
      <c r="AR120" s="70"/>
      <c r="AS120" s="70"/>
      <c r="AT120" s="70"/>
      <c r="AU120" s="70"/>
      <c r="AV120" s="70"/>
      <c r="AW120" s="70"/>
      <c r="AX120" s="70"/>
    </row>
    <row r="121" ht="15.75" customHeight="1">
      <c r="A121" s="68" t="s">
        <v>1055</v>
      </c>
      <c r="B121" s="169" t="s">
        <v>1149</v>
      </c>
      <c r="C121" s="28" t="s">
        <v>1150</v>
      </c>
      <c r="D121" s="28" t="s">
        <v>1151</v>
      </c>
      <c r="E121" s="28" t="s">
        <v>1152</v>
      </c>
      <c r="F121" s="28"/>
      <c r="G121" s="28"/>
      <c r="H121" s="28"/>
      <c r="I121" s="28"/>
      <c r="J121" s="28" t="s">
        <v>958</v>
      </c>
      <c r="K121" s="28"/>
      <c r="L121" s="28"/>
      <c r="M121" s="28"/>
      <c r="N121" s="28"/>
      <c r="O121" s="67"/>
      <c r="P121" s="67"/>
      <c r="Q121" s="67" t="s">
        <v>145</v>
      </c>
      <c r="R121" s="67"/>
      <c r="S121" s="67"/>
      <c r="T121" s="67"/>
      <c r="U121" s="67"/>
      <c r="V121" s="67"/>
      <c r="W121" s="67"/>
      <c r="X121" s="67"/>
      <c r="Y121" s="67"/>
      <c r="Z121" s="67"/>
      <c r="AA121" s="67"/>
      <c r="AB121" s="67"/>
      <c r="AC121" s="67"/>
      <c r="AD121" s="67"/>
      <c r="AE121" s="67"/>
      <c r="AF121" s="67"/>
      <c r="AG121" s="67"/>
      <c r="AH121" s="67"/>
      <c r="AI121" s="67"/>
      <c r="AJ121" s="67"/>
      <c r="AK121" s="67"/>
      <c r="AL121" s="67"/>
      <c r="AM121" s="67"/>
      <c r="AN121" s="67"/>
      <c r="AO121" s="70"/>
      <c r="AP121" s="70"/>
      <c r="AQ121" s="70"/>
      <c r="AR121" s="70"/>
      <c r="AS121" s="70"/>
      <c r="AT121" s="70"/>
      <c r="AU121" s="70"/>
      <c r="AV121" s="70"/>
      <c r="AW121" s="70"/>
      <c r="AX121" s="70"/>
    </row>
    <row r="122" ht="15.75" customHeight="1">
      <c r="A122" s="140" t="s">
        <v>237</v>
      </c>
      <c r="B122" s="193" t="s">
        <v>1045</v>
      </c>
      <c r="C122" s="28"/>
      <c r="D122" s="28"/>
      <c r="E122" s="28"/>
      <c r="F122" s="28"/>
      <c r="G122" s="28"/>
      <c r="H122" s="28"/>
      <c r="I122" s="28"/>
      <c r="J122" s="28"/>
      <c r="K122" s="28"/>
      <c r="L122" s="28"/>
      <c r="M122" s="28"/>
      <c r="N122" s="28"/>
      <c r="O122" s="67"/>
      <c r="P122" s="67"/>
      <c r="Q122" s="67"/>
      <c r="R122" s="67"/>
      <c r="S122" s="67"/>
      <c r="T122" s="67"/>
      <c r="U122" s="67"/>
      <c r="V122" s="67"/>
      <c r="W122" s="67"/>
      <c r="X122" s="67"/>
      <c r="Y122" s="67"/>
      <c r="Z122" s="67"/>
      <c r="AA122" s="67"/>
      <c r="AB122" s="67"/>
      <c r="AC122" s="67"/>
      <c r="AD122" s="67"/>
      <c r="AE122" s="67"/>
      <c r="AF122" s="67"/>
      <c r="AG122" s="67"/>
      <c r="AH122" s="67"/>
      <c r="AI122" s="67"/>
      <c r="AJ122" s="67"/>
      <c r="AK122" s="67"/>
      <c r="AL122" s="67"/>
      <c r="AM122" s="67"/>
      <c r="AN122" s="67"/>
      <c r="AO122" s="70"/>
      <c r="AP122" s="70"/>
      <c r="AQ122" s="70"/>
      <c r="AR122" s="70"/>
      <c r="AS122" s="70"/>
      <c r="AT122" s="70"/>
      <c r="AU122" s="70"/>
      <c r="AV122" s="70"/>
      <c r="AW122" s="70"/>
      <c r="AX122" s="70"/>
    </row>
    <row r="123" ht="15.75" customHeight="1">
      <c r="A123" s="140" t="s">
        <v>237</v>
      </c>
      <c r="B123" s="191" t="s">
        <v>1009</v>
      </c>
      <c r="C123" s="28" t="s">
        <v>1010</v>
      </c>
      <c r="D123" s="28"/>
      <c r="E123" s="28"/>
      <c r="F123" s="28"/>
      <c r="G123" s="28"/>
      <c r="H123" s="28"/>
      <c r="I123" s="28"/>
      <c r="J123" s="28"/>
      <c r="K123" s="28"/>
      <c r="L123" s="28"/>
      <c r="M123" s="28"/>
      <c r="N123" s="28"/>
      <c r="O123" s="139"/>
      <c r="P123" s="139"/>
      <c r="Q123" s="139"/>
      <c r="R123" s="139"/>
      <c r="S123" s="139"/>
      <c r="T123" s="139"/>
      <c r="U123" s="139"/>
      <c r="V123" s="139"/>
      <c r="W123" s="139"/>
      <c r="X123" s="139"/>
      <c r="Y123" s="139"/>
      <c r="Z123" s="139"/>
      <c r="AA123" s="139"/>
      <c r="AB123" s="139"/>
      <c r="AC123" s="139"/>
      <c r="AD123" s="139"/>
      <c r="AE123" s="139"/>
      <c r="AF123" s="139"/>
      <c r="AG123" s="139"/>
      <c r="AH123" s="139"/>
      <c r="AI123" s="139"/>
      <c r="AJ123" s="139"/>
      <c r="AK123" s="139"/>
      <c r="AL123" s="139"/>
      <c r="AM123" s="139"/>
      <c r="AN123" s="139"/>
      <c r="AO123" s="70"/>
      <c r="AP123" s="70"/>
      <c r="AQ123" s="70"/>
      <c r="AR123" s="70"/>
      <c r="AS123" s="70"/>
      <c r="AT123" s="70"/>
      <c r="AU123" s="70"/>
      <c r="AV123" s="70"/>
      <c r="AW123" s="70"/>
      <c r="AX123" s="70"/>
    </row>
    <row r="124" ht="15.75" customHeight="1">
      <c r="A124" s="174" t="s">
        <v>1015</v>
      </c>
      <c r="B124" s="204" t="s">
        <v>702</v>
      </c>
      <c r="C124" s="28" t="s">
        <v>705</v>
      </c>
      <c r="D124" s="28"/>
      <c r="E124" s="28"/>
      <c r="F124" s="28"/>
      <c r="G124" s="28"/>
      <c r="H124" s="28"/>
      <c r="I124" s="28"/>
      <c r="J124" s="28"/>
      <c r="K124" s="28"/>
      <c r="L124" s="28"/>
      <c r="M124" s="28"/>
      <c r="N124" s="28"/>
      <c r="O124" s="176"/>
      <c r="P124" s="176"/>
      <c r="Q124" s="176"/>
      <c r="R124" s="176"/>
      <c r="S124" s="176"/>
      <c r="T124" s="176"/>
      <c r="U124" s="176"/>
      <c r="V124" s="176"/>
      <c r="W124" s="176"/>
      <c r="X124" s="176"/>
      <c r="Y124" s="176"/>
      <c r="Z124" s="176"/>
      <c r="AA124" s="176"/>
      <c r="AB124" s="176"/>
      <c r="AC124" s="176"/>
      <c r="AD124" s="176"/>
      <c r="AE124" s="176"/>
      <c r="AF124" s="176"/>
      <c r="AG124" s="176"/>
      <c r="AH124" s="176"/>
      <c r="AI124" s="176"/>
      <c r="AJ124" s="176"/>
      <c r="AK124" s="176"/>
      <c r="AL124" s="176"/>
      <c r="AM124" s="176"/>
      <c r="AN124" s="176"/>
      <c r="AO124" s="70"/>
      <c r="AP124" s="70"/>
      <c r="AQ124" s="70"/>
      <c r="AR124" s="70"/>
      <c r="AS124" s="70"/>
      <c r="AT124" s="70"/>
      <c r="AU124" s="70"/>
      <c r="AV124" s="70"/>
      <c r="AW124" s="70"/>
      <c r="AX124" s="70"/>
    </row>
    <row r="125" ht="15.75" customHeight="1">
      <c r="A125" s="68" t="s">
        <v>463</v>
      </c>
      <c r="B125" s="169" t="s">
        <v>1233</v>
      </c>
      <c r="C125" s="28" t="s">
        <v>1234</v>
      </c>
      <c r="D125" s="28" t="s">
        <v>1235</v>
      </c>
      <c r="E125" s="28" t="s">
        <v>1236</v>
      </c>
      <c r="F125" s="28"/>
      <c r="G125" s="28"/>
      <c r="H125" s="28"/>
      <c r="I125" s="28"/>
      <c r="J125" s="28"/>
      <c r="K125" s="28"/>
      <c r="L125" s="28"/>
      <c r="M125" s="28"/>
      <c r="N125" s="28"/>
      <c r="O125" s="67"/>
      <c r="P125" s="67"/>
      <c r="Q125" s="67" t="s">
        <v>145</v>
      </c>
      <c r="R125" s="67"/>
      <c r="S125" s="67"/>
      <c r="T125" s="67"/>
      <c r="U125" s="67"/>
      <c r="V125" s="67"/>
      <c r="W125" s="67"/>
      <c r="X125" s="67"/>
      <c r="Y125" s="67"/>
      <c r="Z125" s="67"/>
      <c r="AA125" s="67"/>
      <c r="AB125" s="67"/>
      <c r="AC125" s="67"/>
      <c r="AD125" s="67"/>
      <c r="AE125" s="67"/>
      <c r="AF125" s="67"/>
      <c r="AG125" s="67"/>
      <c r="AH125" s="67"/>
      <c r="AI125" s="67"/>
      <c r="AJ125" s="67"/>
      <c r="AK125" s="67"/>
      <c r="AL125" s="67"/>
      <c r="AM125" s="67"/>
      <c r="AN125" s="67"/>
      <c r="AO125" s="70"/>
      <c r="AP125" s="70"/>
      <c r="AQ125" s="70"/>
      <c r="AR125" s="70"/>
      <c r="AS125" s="70"/>
      <c r="AT125" s="70"/>
      <c r="AU125" s="70"/>
      <c r="AV125" s="70"/>
      <c r="AW125" s="70"/>
      <c r="AX125" s="70"/>
    </row>
    <row r="126" ht="15.75" customHeight="1">
      <c r="A126" s="68" t="s">
        <v>1250</v>
      </c>
      <c r="B126" s="169" t="s">
        <v>1251</v>
      </c>
      <c r="C126" s="28" t="s">
        <v>1252</v>
      </c>
      <c r="D126" s="28" t="s">
        <v>1253</v>
      </c>
      <c r="E126" s="28" t="s">
        <v>1254</v>
      </c>
      <c r="F126" s="28"/>
      <c r="G126" s="28"/>
      <c r="H126" s="28"/>
      <c r="I126" s="28"/>
      <c r="J126" s="28"/>
      <c r="K126" s="28" t="s">
        <v>1257</v>
      </c>
      <c r="L126" s="28"/>
      <c r="M126" s="28"/>
      <c r="N126" s="28"/>
      <c r="O126" s="67"/>
      <c r="P126" s="67"/>
      <c r="Q126" s="67" t="s">
        <v>145</v>
      </c>
      <c r="R126" s="67"/>
      <c r="S126" s="67"/>
      <c r="T126" s="67"/>
      <c r="U126" s="67"/>
      <c r="V126" s="67"/>
      <c r="W126" s="67"/>
      <c r="X126" s="67"/>
      <c r="Y126" s="67"/>
      <c r="Z126" s="67"/>
      <c r="AA126" s="67"/>
      <c r="AB126" s="67"/>
      <c r="AC126" s="67"/>
      <c r="AD126" s="67"/>
      <c r="AE126" s="67"/>
      <c r="AF126" s="67"/>
      <c r="AG126" s="67"/>
      <c r="AH126" s="67"/>
      <c r="AI126" s="67"/>
      <c r="AJ126" s="67"/>
      <c r="AK126" s="67"/>
      <c r="AL126" s="67"/>
      <c r="AM126" s="67"/>
      <c r="AN126" s="67"/>
      <c r="AO126" s="70"/>
      <c r="AP126" s="70"/>
      <c r="AQ126" s="70"/>
      <c r="AR126" s="70"/>
      <c r="AS126" s="70"/>
      <c r="AT126" s="70"/>
      <c r="AU126" s="70"/>
      <c r="AV126" s="70"/>
      <c r="AW126" s="70"/>
      <c r="AX126" s="70"/>
    </row>
    <row r="127" ht="15.75" customHeight="1">
      <c r="A127" s="179" t="s">
        <v>246</v>
      </c>
      <c r="B127" s="180" t="s">
        <v>1268</v>
      </c>
      <c r="C127" s="28" t="s">
        <v>1269</v>
      </c>
      <c r="D127" s="28" t="s">
        <v>1270</v>
      </c>
      <c r="E127" s="28" t="s">
        <v>1272</v>
      </c>
      <c r="F127" s="28"/>
      <c r="G127" s="28"/>
      <c r="H127" s="28"/>
      <c r="I127" s="28"/>
      <c r="J127" s="28"/>
      <c r="K127" s="28"/>
      <c r="L127" s="28"/>
      <c r="M127" s="28"/>
      <c r="N127" s="28"/>
      <c r="O127" s="181" t="s">
        <v>1281</v>
      </c>
      <c r="P127" s="181"/>
      <c r="Q127" s="181" t="s">
        <v>145</v>
      </c>
      <c r="R127" s="181"/>
      <c r="S127" s="181"/>
      <c r="T127" s="181"/>
      <c r="U127" s="181"/>
      <c r="V127" s="181"/>
      <c r="W127" s="181"/>
      <c r="X127" s="181"/>
      <c r="Y127" s="181"/>
      <c r="Z127" s="181"/>
      <c r="AA127" s="181"/>
      <c r="AB127" s="181"/>
      <c r="AC127" s="181"/>
      <c r="AD127" s="181"/>
      <c r="AE127" s="181"/>
      <c r="AF127" s="181"/>
      <c r="AG127" s="181"/>
      <c r="AH127" s="181"/>
      <c r="AI127" s="181"/>
      <c r="AJ127" s="181"/>
      <c r="AK127" s="181"/>
      <c r="AL127" s="181"/>
      <c r="AM127" s="181"/>
      <c r="AN127" s="181"/>
      <c r="AO127" s="70"/>
      <c r="AP127" s="70"/>
      <c r="AQ127" s="70"/>
      <c r="AR127" s="70"/>
      <c r="AS127" s="70"/>
      <c r="AT127" s="70"/>
      <c r="AU127" s="70"/>
      <c r="AV127" s="70"/>
      <c r="AW127" s="70"/>
      <c r="AX127" s="70"/>
    </row>
    <row r="128" ht="15.75" customHeight="1">
      <c r="A128" s="65" t="s">
        <v>134</v>
      </c>
      <c r="B128" s="66" t="s">
        <v>1294</v>
      </c>
      <c r="C128" s="28"/>
      <c r="D128" s="28"/>
      <c r="E128" s="28"/>
      <c r="F128" s="28"/>
      <c r="G128" s="28"/>
      <c r="H128" s="28"/>
      <c r="I128" s="28"/>
      <c r="J128" s="28"/>
      <c r="K128" s="28"/>
      <c r="L128" s="28"/>
      <c r="M128" s="28"/>
      <c r="N128" s="28"/>
      <c r="O128" s="67"/>
      <c r="P128" s="68"/>
      <c r="Q128" s="68"/>
      <c r="R128" s="67"/>
      <c r="S128" s="67"/>
      <c r="T128" s="65" t="s">
        <v>139</v>
      </c>
      <c r="U128" s="67"/>
      <c r="V128" s="67"/>
      <c r="W128" s="67"/>
      <c r="X128" s="67"/>
      <c r="Y128" s="67"/>
      <c r="Z128" s="67"/>
      <c r="AA128" s="67"/>
      <c r="AB128" s="67"/>
      <c r="AC128" s="67"/>
      <c r="AD128" s="67"/>
      <c r="AE128" s="67"/>
      <c r="AF128" s="67"/>
      <c r="AG128" s="67"/>
      <c r="AH128" s="67"/>
      <c r="AI128" s="67"/>
      <c r="AJ128" s="67"/>
      <c r="AK128" s="67"/>
      <c r="AL128" s="67"/>
      <c r="AM128" s="67"/>
      <c r="AN128" s="67"/>
      <c r="AO128" s="67"/>
      <c r="AP128" s="67"/>
      <c r="AQ128" s="67"/>
      <c r="AR128" s="67"/>
      <c r="AS128" s="67"/>
      <c r="AT128" s="67"/>
      <c r="AU128" s="67"/>
      <c r="AV128" s="67"/>
      <c r="AW128" s="67"/>
      <c r="AX128" s="67"/>
    </row>
    <row r="129" ht="15.75" customHeight="1">
      <c r="A129" s="58" t="s">
        <v>78</v>
      </c>
      <c r="B129" s="58" t="s">
        <v>1313</v>
      </c>
      <c r="C129" s="28"/>
      <c r="D129" s="28"/>
      <c r="E129" s="28"/>
      <c r="F129" s="28"/>
      <c r="G129" s="28"/>
      <c r="H129" s="28"/>
      <c r="I129" s="28"/>
      <c r="J129" s="28"/>
      <c r="K129" s="28"/>
      <c r="L129" s="28"/>
      <c r="M129" s="28"/>
      <c r="N129" s="28"/>
      <c r="O129" s="58"/>
      <c r="P129" s="24"/>
      <c r="Q129" s="24"/>
      <c r="R129" s="24"/>
      <c r="S129" s="24"/>
      <c r="T129" s="58" t="s">
        <v>1320</v>
      </c>
      <c r="U129" s="24"/>
      <c r="V129" s="24"/>
      <c r="W129" s="24"/>
      <c r="X129" s="24"/>
      <c r="Y129" s="24"/>
      <c r="Z129" s="24"/>
      <c r="AA129" s="24"/>
      <c r="AB129" s="24"/>
      <c r="AC129" s="24"/>
      <c r="AD129" s="24"/>
      <c r="AE129" s="24"/>
      <c r="AF129" s="24"/>
      <c r="AG129" s="24"/>
      <c r="AH129" s="24"/>
      <c r="AI129" s="24"/>
      <c r="AJ129" s="24"/>
      <c r="AK129" s="24"/>
      <c r="AL129" s="24"/>
      <c r="AM129" s="24"/>
      <c r="AN129" s="24"/>
      <c r="AO129" s="24"/>
      <c r="AP129" s="24"/>
      <c r="AQ129" s="24"/>
      <c r="AR129" s="24"/>
      <c r="AS129" s="24"/>
      <c r="AT129" s="24"/>
      <c r="AU129" s="24"/>
      <c r="AV129" s="24"/>
      <c r="AW129" s="24"/>
      <c r="AX129" s="24"/>
    </row>
    <row r="130" ht="15.75" customHeight="1">
      <c r="A130" s="140" t="s">
        <v>237</v>
      </c>
      <c r="B130" s="191" t="s">
        <v>623</v>
      </c>
      <c r="C130" s="28" t="s">
        <v>625</v>
      </c>
      <c r="D130" s="28"/>
      <c r="E130" s="28"/>
      <c r="F130" s="28"/>
      <c r="G130" s="28"/>
      <c r="H130" s="28"/>
      <c r="I130" s="28"/>
      <c r="J130" s="28"/>
      <c r="K130" s="28"/>
      <c r="L130" s="28"/>
      <c r="M130" s="28"/>
      <c r="N130" s="28"/>
      <c r="O130" s="139"/>
      <c r="P130" s="139"/>
      <c r="Q130" s="139"/>
      <c r="R130" s="139"/>
      <c r="S130" s="139"/>
      <c r="T130" s="139"/>
      <c r="U130" s="139"/>
      <c r="V130" s="139"/>
      <c r="W130" s="139"/>
      <c r="X130" s="139"/>
      <c r="Y130" s="139"/>
      <c r="Z130" s="139"/>
      <c r="AA130" s="139"/>
      <c r="AB130" s="139"/>
      <c r="AC130" s="139"/>
      <c r="AD130" s="139"/>
      <c r="AE130" s="139"/>
      <c r="AF130" s="139"/>
      <c r="AG130" s="139"/>
      <c r="AH130" s="139"/>
      <c r="AI130" s="139"/>
      <c r="AJ130" s="139"/>
      <c r="AK130" s="139"/>
      <c r="AL130" s="139"/>
      <c r="AM130" s="139"/>
      <c r="AN130" s="139"/>
      <c r="AO130" s="70"/>
      <c r="AP130" s="70"/>
      <c r="AQ130" s="70"/>
      <c r="AR130" s="70"/>
      <c r="AS130" s="70"/>
      <c r="AT130" s="70"/>
      <c r="AU130" s="70"/>
      <c r="AV130" s="70"/>
      <c r="AW130" s="70"/>
      <c r="AX130" s="70"/>
    </row>
    <row r="131" ht="15.75" customHeight="1">
      <c r="A131" s="140"/>
      <c r="B131" s="164"/>
      <c r="C131" s="28"/>
      <c r="D131" s="28"/>
      <c r="E131" s="28"/>
      <c r="F131" s="28"/>
      <c r="G131" s="28"/>
      <c r="H131" s="28"/>
      <c r="I131" s="28"/>
      <c r="J131" s="28"/>
      <c r="K131" s="28"/>
      <c r="L131" s="28"/>
      <c r="M131" s="28"/>
      <c r="N131" s="28"/>
      <c r="O131" s="190"/>
      <c r="P131" s="139"/>
      <c r="Q131" s="139"/>
      <c r="R131" s="139"/>
      <c r="S131" s="139"/>
      <c r="T131" s="139"/>
      <c r="U131" s="139"/>
      <c r="V131" s="139"/>
      <c r="W131" s="139"/>
      <c r="X131" s="139"/>
      <c r="Y131" s="139"/>
      <c r="Z131" s="139"/>
      <c r="AA131" s="139"/>
      <c r="AB131" s="139"/>
      <c r="AC131" s="139"/>
      <c r="AD131" s="139"/>
      <c r="AE131" s="139"/>
      <c r="AF131" s="139"/>
      <c r="AG131" s="139"/>
      <c r="AH131" s="139"/>
      <c r="AI131" s="139"/>
      <c r="AJ131" s="139"/>
      <c r="AK131" s="139"/>
      <c r="AL131" s="139"/>
      <c r="AM131" s="139"/>
      <c r="AN131" s="139"/>
      <c r="AO131" s="70"/>
      <c r="AP131" s="70"/>
      <c r="AQ131" s="70"/>
      <c r="AR131" s="70"/>
      <c r="AS131" s="70"/>
      <c r="AT131" s="70"/>
      <c r="AU131" s="70"/>
      <c r="AV131" s="70"/>
      <c r="AW131" s="70"/>
      <c r="AX131" s="70"/>
    </row>
    <row r="132" ht="15.75" customHeight="1">
      <c r="A132" s="140" t="s">
        <v>131</v>
      </c>
      <c r="B132" s="164" t="s">
        <v>1362</v>
      </c>
      <c r="C132" s="28" t="s">
        <v>1364</v>
      </c>
      <c r="D132" s="28" t="s">
        <v>1366</v>
      </c>
      <c r="E132" s="28" t="s">
        <v>1368</v>
      </c>
      <c r="F132" s="28"/>
      <c r="G132" s="28"/>
      <c r="H132" s="28"/>
      <c r="I132" s="28"/>
      <c r="J132" s="28"/>
      <c r="K132" s="28"/>
      <c r="L132" s="28"/>
      <c r="M132" s="28"/>
      <c r="N132" s="28"/>
      <c r="O132" s="190"/>
      <c r="P132" s="139"/>
      <c r="Q132" s="139"/>
      <c r="R132" s="139"/>
      <c r="S132" s="139"/>
      <c r="T132" s="139"/>
      <c r="U132" s="139"/>
      <c r="V132" s="139"/>
      <c r="W132" s="139"/>
      <c r="X132" s="139"/>
      <c r="Y132" s="139"/>
      <c r="Z132" s="139"/>
      <c r="AA132" s="139"/>
      <c r="AB132" s="139"/>
      <c r="AC132" s="139"/>
      <c r="AD132" s="139"/>
      <c r="AE132" s="139"/>
      <c r="AF132" s="139"/>
      <c r="AG132" s="139"/>
      <c r="AH132" s="139"/>
      <c r="AI132" s="139"/>
      <c r="AJ132" s="139"/>
      <c r="AK132" s="139"/>
      <c r="AL132" s="139"/>
      <c r="AM132" s="139"/>
      <c r="AN132" s="139"/>
      <c r="AO132" s="70"/>
      <c r="AP132" s="70"/>
      <c r="AQ132" s="70"/>
      <c r="AR132" s="70"/>
      <c r="AS132" s="70"/>
      <c r="AT132" s="70"/>
      <c r="AU132" s="70"/>
      <c r="AV132" s="70"/>
      <c r="AW132" s="70"/>
      <c r="AX132" s="70"/>
    </row>
    <row r="133" ht="15.75" customHeight="1">
      <c r="A133" s="65" t="s">
        <v>134</v>
      </c>
      <c r="B133" s="66" t="s">
        <v>1380</v>
      </c>
      <c r="C133" s="28"/>
      <c r="D133" s="28"/>
      <c r="E133" s="28"/>
      <c r="F133" s="28"/>
      <c r="G133" s="28"/>
      <c r="H133" s="28"/>
      <c r="I133" s="28"/>
      <c r="J133" s="28"/>
      <c r="K133" s="28"/>
      <c r="L133" s="28"/>
      <c r="M133" s="28"/>
      <c r="N133" s="28"/>
      <c r="O133" s="190"/>
      <c r="P133" s="139"/>
      <c r="Q133" s="139"/>
      <c r="R133" s="139"/>
      <c r="S133" s="139"/>
      <c r="T133" s="65" t="s">
        <v>139</v>
      </c>
      <c r="U133" s="139"/>
      <c r="V133" s="139"/>
      <c r="W133" s="139"/>
      <c r="X133" s="139"/>
      <c r="Y133" s="139"/>
      <c r="Z133" s="139"/>
      <c r="AA133" s="139"/>
      <c r="AB133" s="139"/>
      <c r="AC133" s="139"/>
      <c r="AD133" s="139"/>
      <c r="AE133" s="139"/>
      <c r="AF133" s="139"/>
      <c r="AG133" s="139"/>
      <c r="AH133" s="139"/>
      <c r="AI133" s="139"/>
      <c r="AJ133" s="139"/>
      <c r="AK133" s="139"/>
      <c r="AL133" s="139"/>
      <c r="AM133" s="139"/>
      <c r="AN133" s="139"/>
      <c r="AO133" s="70"/>
      <c r="AP133" s="70"/>
      <c r="AQ133" s="70"/>
      <c r="AR133" s="70"/>
      <c r="AS133" s="70"/>
      <c r="AT133" s="70"/>
      <c r="AU133" s="70"/>
      <c r="AV133" s="70"/>
      <c r="AW133" s="70"/>
      <c r="AX133" s="70"/>
    </row>
    <row r="134">
      <c r="A134" s="214" t="s">
        <v>134</v>
      </c>
      <c r="B134" s="66" t="s">
        <v>1381</v>
      </c>
      <c r="C134" s="28"/>
      <c r="D134" s="28"/>
      <c r="E134" s="28"/>
      <c r="F134" s="28"/>
      <c r="G134" s="28"/>
      <c r="H134" s="28"/>
      <c r="I134" s="28"/>
      <c r="J134" s="28"/>
      <c r="K134" s="28"/>
      <c r="L134" s="28"/>
      <c r="M134" s="28"/>
      <c r="N134" s="28"/>
      <c r="O134" s="136"/>
      <c r="P134" s="136"/>
      <c r="Q134" s="136"/>
      <c r="R134" s="136"/>
      <c r="S134" s="136"/>
      <c r="T134" s="65" t="s">
        <v>139</v>
      </c>
      <c r="U134" s="136"/>
      <c r="V134" s="136"/>
      <c r="W134" s="136"/>
      <c r="X134" s="136"/>
      <c r="Y134" s="136"/>
      <c r="Z134" s="136"/>
      <c r="AA134" s="136"/>
      <c r="AB134" s="136"/>
      <c r="AC134" s="136"/>
      <c r="AD134" s="136"/>
      <c r="AE134" s="136"/>
      <c r="AF134" s="136"/>
      <c r="AG134" s="136"/>
      <c r="AH134" s="136"/>
      <c r="AI134" s="136"/>
      <c r="AJ134" s="136"/>
      <c r="AK134" s="136"/>
      <c r="AL134" s="136"/>
      <c r="AM134" s="136"/>
      <c r="AN134" s="136"/>
      <c r="AO134" s="136"/>
      <c r="AP134" s="136"/>
      <c r="AQ134" s="136"/>
      <c r="AR134" s="136"/>
      <c r="AS134" s="136"/>
      <c r="AT134" s="136"/>
      <c r="AU134" s="136"/>
      <c r="AV134" s="136"/>
      <c r="AW134" s="136"/>
      <c r="AX134" s="136"/>
    </row>
    <row r="135" ht="15.75" customHeight="1">
      <c r="A135" s="90" t="s">
        <v>78</v>
      </c>
      <c r="B135" s="154" t="s">
        <v>1383</v>
      </c>
      <c r="C135" s="28"/>
      <c r="D135" s="28"/>
      <c r="E135" s="28"/>
      <c r="F135" s="28"/>
      <c r="G135" s="28"/>
      <c r="H135" s="28"/>
      <c r="I135" s="28"/>
      <c r="J135" s="28"/>
      <c r="K135" s="28"/>
      <c r="L135" s="28"/>
      <c r="M135" s="28"/>
      <c r="N135" s="28"/>
      <c r="O135" s="96"/>
      <c r="P135" s="96"/>
      <c r="Q135" s="96"/>
      <c r="R135" s="96"/>
      <c r="S135" s="96"/>
      <c r="T135" s="119" t="s">
        <v>1387</v>
      </c>
      <c r="U135" s="96"/>
      <c r="V135" s="96"/>
      <c r="W135" s="96"/>
      <c r="X135" s="96"/>
      <c r="Y135" s="96"/>
      <c r="Z135" s="96"/>
      <c r="AA135" s="96"/>
      <c r="AB135" s="96"/>
      <c r="AC135" s="96"/>
      <c r="AD135" s="96"/>
      <c r="AE135" s="96"/>
      <c r="AF135" s="96"/>
      <c r="AG135" s="96"/>
      <c r="AH135" s="96"/>
      <c r="AI135" s="96"/>
      <c r="AJ135" s="96"/>
      <c r="AK135" s="96"/>
      <c r="AL135" s="96"/>
      <c r="AM135" s="96"/>
      <c r="AN135" s="96"/>
      <c r="AO135" s="70"/>
      <c r="AP135" s="70"/>
      <c r="AQ135" s="70"/>
      <c r="AR135" s="70"/>
      <c r="AS135" s="70"/>
      <c r="AT135" s="70"/>
      <c r="AU135" s="70"/>
      <c r="AV135" s="70"/>
      <c r="AW135" s="70"/>
      <c r="AX135" s="70"/>
    </row>
    <row r="136" ht="15.75" customHeight="1">
      <c r="A136" s="174" t="s">
        <v>698</v>
      </c>
      <c r="B136" s="215" t="s">
        <v>1388</v>
      </c>
      <c r="C136" s="28" t="s">
        <v>1389</v>
      </c>
      <c r="D136" s="28"/>
      <c r="E136" s="28"/>
      <c r="F136" s="28"/>
      <c r="G136" s="28"/>
      <c r="H136" s="28"/>
      <c r="I136" s="28"/>
      <c r="J136" s="28"/>
      <c r="K136" s="28"/>
      <c r="L136" s="28"/>
      <c r="M136" s="28"/>
      <c r="N136" s="28"/>
      <c r="O136" s="177"/>
      <c r="P136" s="176"/>
      <c r="Q136" s="176"/>
      <c r="R136" s="176"/>
      <c r="S136" s="176"/>
      <c r="T136" s="176"/>
      <c r="U136" s="217" t="s">
        <v>1401</v>
      </c>
      <c r="V136" s="176"/>
      <c r="W136" s="176"/>
      <c r="X136" s="176"/>
      <c r="Y136" s="176"/>
      <c r="Z136" s="176"/>
      <c r="AA136" s="176"/>
      <c r="AB136" s="176"/>
      <c r="AC136" s="176"/>
      <c r="AD136" s="176"/>
      <c r="AE136" s="176"/>
      <c r="AF136" s="176"/>
      <c r="AG136" s="176"/>
      <c r="AH136" s="176"/>
      <c r="AI136" s="176"/>
      <c r="AJ136" s="176"/>
      <c r="AK136" s="176"/>
      <c r="AL136" s="176"/>
      <c r="AM136" s="176"/>
      <c r="AN136" s="176"/>
      <c r="AO136" s="70"/>
      <c r="AP136" s="70"/>
      <c r="AQ136" s="70"/>
      <c r="AR136" s="70"/>
      <c r="AS136" s="70"/>
      <c r="AT136" s="70"/>
      <c r="AU136" s="70"/>
      <c r="AV136" s="70"/>
      <c r="AW136" s="70"/>
      <c r="AX136" s="70"/>
    </row>
    <row r="137" ht="15.75" customHeight="1">
      <c r="A137" s="90" t="s">
        <v>78</v>
      </c>
      <c r="B137" s="216" t="s">
        <v>1396</v>
      </c>
      <c r="C137" s="28"/>
      <c r="D137" s="28"/>
      <c r="E137" s="28"/>
      <c r="F137" s="28"/>
      <c r="G137" s="28"/>
      <c r="H137" s="28"/>
      <c r="I137" s="28"/>
      <c r="J137" s="28"/>
      <c r="K137" s="28"/>
      <c r="L137" s="28"/>
      <c r="M137" s="28"/>
      <c r="N137" s="28"/>
      <c r="O137" s="96"/>
      <c r="P137" s="96"/>
      <c r="Q137" s="96"/>
      <c r="R137" s="96"/>
      <c r="S137" s="96"/>
      <c r="T137" s="178" t="s">
        <v>719</v>
      </c>
      <c r="U137" s="96"/>
      <c r="V137" s="96"/>
      <c r="W137" s="96"/>
      <c r="X137" s="96"/>
      <c r="Y137" s="96"/>
      <c r="Z137" s="96"/>
      <c r="AA137" s="96"/>
      <c r="AB137" s="96"/>
      <c r="AC137" s="96"/>
      <c r="AD137" s="96"/>
      <c r="AE137" s="96"/>
      <c r="AF137" s="96"/>
      <c r="AG137" s="96"/>
      <c r="AH137" s="96"/>
      <c r="AI137" s="96"/>
      <c r="AJ137" s="96"/>
      <c r="AK137" s="96"/>
      <c r="AL137" s="96"/>
      <c r="AM137" s="96"/>
      <c r="AN137" s="96"/>
      <c r="AO137" s="70"/>
      <c r="AP137" s="70"/>
      <c r="AQ137" s="70"/>
      <c r="AR137" s="70"/>
      <c r="AS137" s="70"/>
      <c r="AT137" s="70"/>
      <c r="AU137" s="70"/>
      <c r="AV137" s="70"/>
      <c r="AW137" s="70"/>
      <c r="AX137" s="70"/>
    </row>
    <row r="138" ht="15.75" customHeight="1">
      <c r="A138" s="90" t="s">
        <v>78</v>
      </c>
      <c r="B138" s="216" t="s">
        <v>1404</v>
      </c>
      <c r="C138" s="28" t="s">
        <v>1405</v>
      </c>
      <c r="D138" s="28"/>
      <c r="E138" s="28"/>
      <c r="F138" s="28"/>
      <c r="G138" s="28"/>
      <c r="H138" s="28"/>
      <c r="I138" s="28"/>
      <c r="J138" s="28"/>
      <c r="K138" s="28"/>
      <c r="L138" s="28"/>
      <c r="M138" s="28"/>
      <c r="N138" s="28"/>
      <c r="O138" s="96"/>
      <c r="P138" s="96"/>
      <c r="Q138" s="96"/>
      <c r="R138" s="96"/>
      <c r="S138" s="96"/>
      <c r="T138" s="119" t="s">
        <v>1425</v>
      </c>
      <c r="U138" s="96"/>
      <c r="V138" s="96"/>
      <c r="W138" s="96"/>
      <c r="X138" s="96"/>
      <c r="Y138" s="96"/>
      <c r="Z138" s="96"/>
      <c r="AA138" s="96"/>
      <c r="AB138" s="96"/>
      <c r="AC138" s="96"/>
      <c r="AD138" s="96"/>
      <c r="AE138" s="96"/>
      <c r="AF138" s="96"/>
      <c r="AG138" s="96"/>
      <c r="AH138" s="96"/>
      <c r="AI138" s="96"/>
      <c r="AJ138" s="96"/>
      <c r="AK138" s="96"/>
      <c r="AL138" s="96"/>
      <c r="AM138" s="96"/>
      <c r="AN138" s="96"/>
      <c r="AO138" s="70"/>
      <c r="AP138" s="70"/>
      <c r="AQ138" s="70"/>
      <c r="AR138" s="70"/>
      <c r="AS138" s="70"/>
      <c r="AT138" s="70"/>
      <c r="AU138" s="70"/>
      <c r="AV138" s="70"/>
      <c r="AW138" s="70"/>
      <c r="AX138" s="70"/>
    </row>
    <row r="139" ht="15.75" customHeight="1">
      <c r="A139" s="90" t="s">
        <v>78</v>
      </c>
      <c r="B139" s="216" t="s">
        <v>1412</v>
      </c>
      <c r="C139" s="28" t="s">
        <v>1413</v>
      </c>
      <c r="D139" s="28"/>
      <c r="E139" s="28"/>
      <c r="F139" s="28"/>
      <c r="G139" s="28"/>
      <c r="H139" s="28"/>
      <c r="I139" s="28"/>
      <c r="J139" s="28"/>
      <c r="K139" s="28"/>
      <c r="L139" s="28"/>
      <c r="M139" s="28"/>
      <c r="N139" s="28"/>
      <c r="O139" s="96"/>
      <c r="P139" s="96"/>
      <c r="Q139" s="96"/>
      <c r="R139" s="96"/>
      <c r="S139" s="96"/>
      <c r="T139" s="119" t="s">
        <v>1433</v>
      </c>
      <c r="U139" s="96"/>
      <c r="V139" s="96"/>
      <c r="W139" s="96"/>
      <c r="X139" s="96"/>
      <c r="Y139" s="96"/>
      <c r="Z139" s="96"/>
      <c r="AA139" s="96"/>
      <c r="AB139" s="96"/>
      <c r="AC139" s="96"/>
      <c r="AD139" s="96"/>
      <c r="AE139" s="96"/>
      <c r="AF139" s="96"/>
      <c r="AG139" s="96"/>
      <c r="AH139" s="96"/>
      <c r="AI139" s="96"/>
      <c r="AJ139" s="96"/>
      <c r="AK139" s="96"/>
      <c r="AL139" s="96"/>
      <c r="AM139" s="96"/>
      <c r="AN139" s="96"/>
      <c r="AO139" s="70"/>
      <c r="AP139" s="70"/>
      <c r="AQ139" s="70"/>
      <c r="AR139" s="70"/>
      <c r="AS139" s="70"/>
      <c r="AT139" s="70"/>
      <c r="AU139" s="70"/>
      <c r="AV139" s="70"/>
      <c r="AW139" s="70"/>
      <c r="AX139" s="70"/>
    </row>
    <row r="140" ht="15.75" customHeight="1">
      <c r="A140" s="90" t="s">
        <v>78</v>
      </c>
      <c r="B140" s="216" t="s">
        <v>1418</v>
      </c>
      <c r="C140" s="28" t="s">
        <v>1420</v>
      </c>
      <c r="D140" s="28"/>
      <c r="E140" s="28"/>
      <c r="F140" s="28"/>
      <c r="G140" s="28"/>
      <c r="H140" s="28"/>
      <c r="I140" s="28"/>
      <c r="J140" s="28"/>
      <c r="K140" s="28"/>
      <c r="L140" s="28"/>
      <c r="M140" s="28"/>
      <c r="N140" s="28"/>
      <c r="O140" s="96"/>
      <c r="P140" s="96"/>
      <c r="Q140" s="96"/>
      <c r="R140" s="96"/>
      <c r="S140" s="96"/>
      <c r="T140" s="119" t="s">
        <v>1437</v>
      </c>
      <c r="U140" s="96"/>
      <c r="V140" s="96"/>
      <c r="W140" s="96"/>
      <c r="X140" s="96"/>
      <c r="Y140" s="96"/>
      <c r="Z140" s="96"/>
      <c r="AA140" s="96"/>
      <c r="AB140" s="96"/>
      <c r="AC140" s="96"/>
      <c r="AD140" s="96"/>
      <c r="AE140" s="96"/>
      <c r="AF140" s="96"/>
      <c r="AG140" s="96"/>
      <c r="AH140" s="96"/>
      <c r="AI140" s="96"/>
      <c r="AJ140" s="96"/>
      <c r="AK140" s="96"/>
      <c r="AL140" s="96"/>
      <c r="AM140" s="96"/>
      <c r="AN140" s="96"/>
      <c r="AO140" s="70"/>
      <c r="AP140" s="70"/>
      <c r="AQ140" s="70"/>
      <c r="AR140" s="70"/>
      <c r="AS140" s="70"/>
      <c r="AT140" s="70"/>
      <c r="AU140" s="70"/>
      <c r="AV140" s="70"/>
      <c r="AW140" s="70"/>
      <c r="AX140" s="70"/>
    </row>
    <row r="141" ht="15.75" customHeight="1">
      <c r="A141" s="65" t="s">
        <v>1015</v>
      </c>
      <c r="B141" s="218" t="s">
        <v>1388</v>
      </c>
      <c r="C141" s="28"/>
      <c r="D141" s="28"/>
      <c r="E141" s="28"/>
      <c r="F141" s="28"/>
      <c r="G141" s="28"/>
      <c r="H141" s="28"/>
      <c r="I141" s="28"/>
      <c r="J141" s="28"/>
      <c r="K141" s="28"/>
      <c r="L141" s="28"/>
      <c r="M141" s="28"/>
      <c r="N141" s="28"/>
      <c r="O141" s="67"/>
      <c r="P141" s="67"/>
      <c r="Q141" s="67"/>
      <c r="R141" s="67"/>
      <c r="S141" s="67"/>
      <c r="T141" s="67"/>
      <c r="U141" s="67"/>
      <c r="V141" s="67"/>
      <c r="W141" s="67"/>
      <c r="X141" s="67"/>
      <c r="Y141" s="67"/>
      <c r="Z141" s="67"/>
      <c r="AA141" s="67"/>
      <c r="AB141" s="67"/>
      <c r="AC141" s="67"/>
      <c r="AD141" s="67"/>
      <c r="AE141" s="67"/>
      <c r="AF141" s="67"/>
      <c r="AG141" s="67"/>
      <c r="AH141" s="67"/>
      <c r="AI141" s="67"/>
      <c r="AJ141" s="67"/>
      <c r="AK141" s="67"/>
      <c r="AL141" s="67"/>
      <c r="AM141" s="67"/>
      <c r="AN141" s="67"/>
      <c r="AO141" s="70"/>
      <c r="AP141" s="70"/>
      <c r="AQ141" s="70"/>
      <c r="AR141" s="70"/>
      <c r="AS141" s="70"/>
      <c r="AT141" s="70"/>
      <c r="AU141" s="70"/>
      <c r="AV141" s="70"/>
      <c r="AW141" s="70"/>
      <c r="AX141" s="70"/>
    </row>
    <row r="142" ht="15.75" customHeight="1">
      <c r="A142" s="90" t="s">
        <v>78</v>
      </c>
      <c r="B142" s="218" t="s">
        <v>1432</v>
      </c>
      <c r="C142" s="28"/>
      <c r="D142" s="28"/>
      <c r="E142" s="28"/>
      <c r="F142" s="28"/>
      <c r="G142" s="28"/>
      <c r="H142" s="28"/>
      <c r="I142" s="28"/>
      <c r="J142" s="28"/>
      <c r="K142" s="28"/>
      <c r="L142" s="28"/>
      <c r="M142" s="28"/>
      <c r="N142" s="28"/>
      <c r="O142" s="67"/>
      <c r="P142" s="67"/>
      <c r="Q142" s="67"/>
      <c r="R142" s="67"/>
      <c r="S142" s="67"/>
      <c r="T142" s="119" t="s">
        <v>1455</v>
      </c>
      <c r="U142" s="67"/>
      <c r="V142" s="67"/>
      <c r="W142" s="67"/>
      <c r="X142" s="67"/>
      <c r="Y142" s="67"/>
      <c r="Z142" s="67"/>
      <c r="AA142" s="67"/>
      <c r="AB142" s="67"/>
      <c r="AC142" s="67"/>
      <c r="AD142" s="67"/>
      <c r="AE142" s="67"/>
      <c r="AF142" s="67"/>
      <c r="AG142" s="67"/>
      <c r="AH142" s="67"/>
      <c r="AI142" s="67"/>
      <c r="AJ142" s="67"/>
      <c r="AK142" s="67"/>
      <c r="AL142" s="67"/>
      <c r="AM142" s="67"/>
      <c r="AN142" s="67"/>
      <c r="AO142" s="70"/>
      <c r="AP142" s="70"/>
      <c r="AQ142" s="70"/>
      <c r="AR142" s="70"/>
      <c r="AS142" s="70"/>
      <c r="AT142" s="70"/>
      <c r="AU142" s="70"/>
      <c r="AV142" s="70"/>
      <c r="AW142" s="70"/>
      <c r="AX142" s="70"/>
    </row>
    <row r="143" ht="15.75" customHeight="1">
      <c r="A143" s="90" t="s">
        <v>78</v>
      </c>
      <c r="B143" s="218" t="s">
        <v>1435</v>
      </c>
      <c r="C143" s="28"/>
      <c r="D143" s="28"/>
      <c r="E143" s="28"/>
      <c r="F143" s="28"/>
      <c r="G143" s="28"/>
      <c r="H143" s="28"/>
      <c r="I143" s="28"/>
      <c r="J143" s="28"/>
      <c r="K143" s="28"/>
      <c r="L143" s="28"/>
      <c r="M143" s="28"/>
      <c r="N143" s="28"/>
      <c r="O143" s="67"/>
      <c r="P143" s="67"/>
      <c r="Q143" s="67"/>
      <c r="R143" s="67"/>
      <c r="S143" s="67"/>
      <c r="T143" s="119" t="s">
        <v>1465</v>
      </c>
      <c r="U143" s="67"/>
      <c r="V143" s="67"/>
      <c r="W143" s="67"/>
      <c r="X143" s="67"/>
      <c r="Y143" s="67"/>
      <c r="Z143" s="67"/>
      <c r="AA143" s="67"/>
      <c r="AB143" s="67"/>
      <c r="AC143" s="67"/>
      <c r="AD143" s="67"/>
      <c r="AE143" s="67"/>
      <c r="AF143" s="67"/>
      <c r="AG143" s="67"/>
      <c r="AH143" s="67"/>
      <c r="AI143" s="67"/>
      <c r="AJ143" s="67"/>
      <c r="AK143" s="67"/>
      <c r="AL143" s="67"/>
      <c r="AM143" s="67"/>
      <c r="AN143" s="67"/>
      <c r="AO143" s="70"/>
      <c r="AP143" s="70"/>
      <c r="AQ143" s="70"/>
      <c r="AR143" s="70"/>
      <c r="AS143" s="70"/>
      <c r="AT143" s="70"/>
      <c r="AU143" s="70"/>
      <c r="AV143" s="70"/>
      <c r="AW143" s="70"/>
      <c r="AX143" s="70"/>
    </row>
    <row r="144" ht="15.75" customHeight="1">
      <c r="A144" s="90" t="s">
        <v>78</v>
      </c>
      <c r="B144" s="218" t="s">
        <v>1440</v>
      </c>
      <c r="C144" s="28"/>
      <c r="D144" s="28"/>
      <c r="E144" s="28"/>
      <c r="F144" s="28"/>
      <c r="G144" s="28"/>
      <c r="H144" s="28"/>
      <c r="I144" s="28"/>
      <c r="J144" s="28"/>
      <c r="K144" s="28"/>
      <c r="L144" s="28"/>
      <c r="M144" s="28"/>
      <c r="N144" s="28"/>
      <c r="O144" s="67"/>
      <c r="P144" s="67"/>
      <c r="Q144" s="67"/>
      <c r="R144" s="67"/>
      <c r="S144" s="67"/>
      <c r="T144" s="119" t="s">
        <v>1477</v>
      </c>
      <c r="U144" s="67"/>
      <c r="V144" s="67"/>
      <c r="W144" s="67"/>
      <c r="X144" s="67"/>
      <c r="Y144" s="67"/>
      <c r="Z144" s="67"/>
      <c r="AA144" s="67"/>
      <c r="AB144" s="67"/>
      <c r="AC144" s="67"/>
      <c r="AD144" s="67"/>
      <c r="AE144" s="67"/>
      <c r="AF144" s="67"/>
      <c r="AG144" s="67"/>
      <c r="AH144" s="67"/>
      <c r="AI144" s="67"/>
      <c r="AJ144" s="67"/>
      <c r="AK144" s="67"/>
      <c r="AL144" s="67"/>
      <c r="AM144" s="67"/>
      <c r="AN144" s="67"/>
      <c r="AO144" s="70"/>
      <c r="AP144" s="70"/>
      <c r="AQ144" s="70"/>
      <c r="AR144" s="70"/>
      <c r="AS144" s="70"/>
      <c r="AT144" s="70"/>
      <c r="AU144" s="70"/>
      <c r="AV144" s="70"/>
      <c r="AW144" s="70"/>
      <c r="AX144" s="70"/>
    </row>
    <row r="145" ht="15.75" customHeight="1">
      <c r="A145" s="90" t="s">
        <v>78</v>
      </c>
      <c r="B145" s="218" t="s">
        <v>1444</v>
      </c>
      <c r="C145" s="28"/>
      <c r="D145" s="28"/>
      <c r="E145" s="28"/>
      <c r="F145" s="28"/>
      <c r="G145" s="28"/>
      <c r="H145" s="28"/>
      <c r="I145" s="28"/>
      <c r="J145" s="28"/>
      <c r="K145" s="28"/>
      <c r="L145" s="28"/>
      <c r="M145" s="28"/>
      <c r="N145" s="28"/>
      <c r="O145" s="67"/>
      <c r="P145" s="67"/>
      <c r="Q145" s="67"/>
      <c r="R145" s="67"/>
      <c r="S145" s="67"/>
      <c r="T145" s="217" t="s">
        <v>1491</v>
      </c>
      <c r="U145" s="67"/>
      <c r="V145" s="67"/>
      <c r="W145" s="67"/>
      <c r="X145" s="67"/>
      <c r="Y145" s="67"/>
      <c r="Z145" s="67"/>
      <c r="AA145" s="67"/>
      <c r="AB145" s="67"/>
      <c r="AC145" s="67"/>
      <c r="AD145" s="67"/>
      <c r="AE145" s="67"/>
      <c r="AF145" s="67"/>
      <c r="AG145" s="67"/>
      <c r="AH145" s="67"/>
      <c r="AI145" s="67"/>
      <c r="AJ145" s="67"/>
      <c r="AK145" s="67"/>
      <c r="AL145" s="67"/>
      <c r="AM145" s="67"/>
      <c r="AN145" s="67"/>
      <c r="AO145" s="70"/>
      <c r="AP145" s="70"/>
      <c r="AQ145" s="70"/>
      <c r="AR145" s="70"/>
      <c r="AS145" s="70"/>
      <c r="AT145" s="70"/>
      <c r="AU145" s="70"/>
      <c r="AV145" s="70"/>
      <c r="AW145" s="70"/>
      <c r="AX145" s="70"/>
    </row>
    <row r="146" ht="15.75" customHeight="1">
      <c r="A146" s="90" t="s">
        <v>78</v>
      </c>
      <c r="B146" s="218" t="s">
        <v>1447</v>
      </c>
      <c r="C146" s="28"/>
      <c r="D146" s="28"/>
      <c r="E146" s="28"/>
      <c r="F146" s="28"/>
      <c r="G146" s="28"/>
      <c r="H146" s="28"/>
      <c r="I146" s="28"/>
      <c r="J146" s="28"/>
      <c r="K146" s="28"/>
      <c r="L146" s="28"/>
      <c r="M146" s="28"/>
      <c r="N146" s="28"/>
      <c r="O146" s="67"/>
      <c r="P146" s="67"/>
      <c r="Q146" s="67"/>
      <c r="R146" s="67"/>
      <c r="S146" s="67"/>
      <c r="T146" s="119" t="s">
        <v>1503</v>
      </c>
      <c r="U146" s="67"/>
      <c r="V146" s="67"/>
      <c r="W146" s="67"/>
      <c r="X146" s="67"/>
      <c r="Y146" s="67"/>
      <c r="Z146" s="67"/>
      <c r="AA146" s="67"/>
      <c r="AB146" s="67"/>
      <c r="AC146" s="67"/>
      <c r="AD146" s="67"/>
      <c r="AE146" s="67"/>
      <c r="AF146" s="67"/>
      <c r="AG146" s="67"/>
      <c r="AH146" s="67"/>
      <c r="AI146" s="67"/>
      <c r="AJ146" s="67"/>
      <c r="AK146" s="67"/>
      <c r="AL146" s="67"/>
      <c r="AM146" s="67"/>
      <c r="AN146" s="67"/>
      <c r="AO146" s="70"/>
      <c r="AP146" s="70"/>
      <c r="AQ146" s="70"/>
      <c r="AR146" s="70"/>
      <c r="AS146" s="70"/>
      <c r="AT146" s="70"/>
      <c r="AU146" s="70"/>
      <c r="AV146" s="70"/>
      <c r="AW146" s="70"/>
      <c r="AX146" s="70"/>
    </row>
    <row r="147" ht="15.75" customHeight="1">
      <c r="A147" s="90" t="s">
        <v>78</v>
      </c>
      <c r="B147" s="218" t="s">
        <v>1451</v>
      </c>
      <c r="C147" s="28"/>
      <c r="D147" s="28"/>
      <c r="E147" s="28"/>
      <c r="F147" s="28"/>
      <c r="G147" s="28"/>
      <c r="H147" s="28"/>
      <c r="I147" s="28"/>
      <c r="J147" s="28"/>
      <c r="K147" s="28"/>
      <c r="L147" s="28"/>
      <c r="M147" s="28"/>
      <c r="N147" s="28"/>
      <c r="O147" s="67"/>
      <c r="P147" s="67"/>
      <c r="Q147" s="67"/>
      <c r="R147" s="67"/>
      <c r="S147" s="67"/>
      <c r="T147" s="119" t="s">
        <v>1515</v>
      </c>
      <c r="U147" s="67"/>
      <c r="V147" s="67"/>
      <c r="W147" s="67"/>
      <c r="X147" s="67"/>
      <c r="Y147" s="67"/>
      <c r="Z147" s="67"/>
      <c r="AA147" s="67"/>
      <c r="AB147" s="67"/>
      <c r="AC147" s="67"/>
      <c r="AD147" s="67"/>
      <c r="AE147" s="67"/>
      <c r="AF147" s="67"/>
      <c r="AG147" s="67"/>
      <c r="AH147" s="67"/>
      <c r="AI147" s="67"/>
      <c r="AJ147" s="67"/>
      <c r="AK147" s="67"/>
      <c r="AL147" s="67"/>
      <c r="AM147" s="67"/>
      <c r="AN147" s="67"/>
      <c r="AO147" s="70"/>
      <c r="AP147" s="70"/>
      <c r="AQ147" s="70"/>
      <c r="AR147" s="70"/>
      <c r="AS147" s="70"/>
      <c r="AT147" s="70"/>
      <c r="AU147" s="70"/>
      <c r="AV147" s="70"/>
      <c r="AW147" s="70"/>
      <c r="AX147" s="70"/>
    </row>
    <row r="148" ht="15.75" customHeight="1">
      <c r="A148" s="90" t="s">
        <v>78</v>
      </c>
      <c r="B148" s="218" t="s">
        <v>1456</v>
      </c>
      <c r="C148" s="28"/>
      <c r="D148" s="28"/>
      <c r="E148" s="28"/>
      <c r="F148" s="28"/>
      <c r="G148" s="28"/>
      <c r="H148" s="28"/>
      <c r="I148" s="28"/>
      <c r="J148" s="28"/>
      <c r="K148" s="28"/>
      <c r="L148" s="28"/>
      <c r="M148" s="28"/>
      <c r="N148" s="28"/>
      <c r="O148" s="67"/>
      <c r="P148" s="67"/>
      <c r="Q148" s="67"/>
      <c r="R148" s="67"/>
      <c r="S148" s="67"/>
      <c r="T148" s="119" t="s">
        <v>1520</v>
      </c>
      <c r="U148" s="67"/>
      <c r="V148" s="67"/>
      <c r="W148" s="67"/>
      <c r="X148" s="67"/>
      <c r="Y148" s="67"/>
      <c r="Z148" s="67"/>
      <c r="AA148" s="67"/>
      <c r="AB148" s="67"/>
      <c r="AC148" s="67"/>
      <c r="AD148" s="67"/>
      <c r="AE148" s="67"/>
      <c r="AF148" s="67"/>
      <c r="AG148" s="67"/>
      <c r="AH148" s="67"/>
      <c r="AI148" s="67"/>
      <c r="AJ148" s="67"/>
      <c r="AK148" s="67"/>
      <c r="AL148" s="67"/>
      <c r="AM148" s="67"/>
      <c r="AN148" s="67"/>
      <c r="AO148" s="70"/>
      <c r="AP148" s="70"/>
      <c r="AQ148" s="70"/>
      <c r="AR148" s="70"/>
      <c r="AS148" s="70"/>
      <c r="AT148" s="70"/>
      <c r="AU148" s="70"/>
      <c r="AV148" s="70"/>
      <c r="AW148" s="70"/>
      <c r="AX148" s="70"/>
    </row>
    <row r="149" ht="15.75" customHeight="1">
      <c r="A149" s="90" t="s">
        <v>78</v>
      </c>
      <c r="B149" s="218" t="s">
        <v>1462</v>
      </c>
      <c r="C149" s="28"/>
      <c r="D149" s="28"/>
      <c r="E149" s="28"/>
      <c r="F149" s="28"/>
      <c r="G149" s="28"/>
      <c r="H149" s="28"/>
      <c r="I149" s="28"/>
      <c r="J149" s="28"/>
      <c r="K149" s="28"/>
      <c r="L149" s="28"/>
      <c r="M149" s="28"/>
      <c r="N149" s="28"/>
      <c r="O149" s="220"/>
      <c r="P149" s="220"/>
      <c r="Q149" s="220"/>
      <c r="R149" s="220"/>
      <c r="S149" s="220"/>
      <c r="T149" s="217" t="s">
        <v>1530</v>
      </c>
      <c r="U149" s="67"/>
      <c r="V149" s="67"/>
      <c r="W149" s="67"/>
      <c r="X149" s="67"/>
      <c r="Y149" s="67"/>
      <c r="Z149" s="67"/>
      <c r="AA149" s="67"/>
      <c r="AB149" s="67"/>
      <c r="AC149" s="67"/>
      <c r="AD149" s="67"/>
      <c r="AE149" s="67"/>
      <c r="AF149" s="67"/>
      <c r="AG149" s="67"/>
      <c r="AH149" s="67"/>
      <c r="AI149" s="67"/>
      <c r="AJ149" s="67"/>
      <c r="AK149" s="67"/>
      <c r="AL149" s="67"/>
      <c r="AM149" s="67"/>
      <c r="AN149" s="67"/>
      <c r="AO149" s="70"/>
      <c r="AP149" s="70"/>
      <c r="AQ149" s="70"/>
      <c r="AR149" s="70"/>
      <c r="AS149" s="70"/>
      <c r="AT149" s="70"/>
      <c r="AU149" s="70"/>
      <c r="AV149" s="70"/>
      <c r="AW149" s="70"/>
      <c r="AX149" s="70"/>
    </row>
    <row r="150" ht="15.75" customHeight="1">
      <c r="A150" s="90" t="s">
        <v>78</v>
      </c>
      <c r="B150" s="219" t="s">
        <v>1470</v>
      </c>
      <c r="C150" s="28"/>
      <c r="D150" s="28"/>
      <c r="E150" s="28"/>
      <c r="F150" s="28"/>
      <c r="G150" s="28"/>
      <c r="H150" s="28"/>
      <c r="I150" s="28"/>
      <c r="J150" s="28"/>
      <c r="K150" s="28"/>
      <c r="L150" s="28"/>
      <c r="M150" s="28"/>
      <c r="N150" s="28"/>
      <c r="O150" s="220"/>
      <c r="P150" s="220"/>
      <c r="Q150" s="220"/>
      <c r="R150" s="220"/>
      <c r="S150" s="220"/>
      <c r="T150" s="119" t="s">
        <v>1535</v>
      </c>
      <c r="U150" s="67"/>
      <c r="V150" s="67"/>
      <c r="W150" s="67"/>
      <c r="X150" s="67"/>
      <c r="Y150" s="67"/>
      <c r="Z150" s="67"/>
      <c r="AA150" s="67"/>
      <c r="AB150" s="67"/>
      <c r="AC150" s="67"/>
      <c r="AD150" s="67"/>
      <c r="AE150" s="67"/>
      <c r="AF150" s="67"/>
      <c r="AG150" s="67"/>
      <c r="AH150" s="67"/>
      <c r="AI150" s="67"/>
      <c r="AJ150" s="67"/>
      <c r="AK150" s="67"/>
      <c r="AL150" s="67"/>
      <c r="AM150" s="67"/>
      <c r="AN150" s="67"/>
      <c r="AO150" s="70"/>
      <c r="AP150" s="70"/>
      <c r="AQ150" s="70"/>
      <c r="AR150" s="70"/>
      <c r="AS150" s="70"/>
      <c r="AT150" s="70"/>
      <c r="AU150" s="70"/>
      <c r="AV150" s="70"/>
      <c r="AW150" s="70"/>
      <c r="AX150" s="70"/>
    </row>
    <row r="151" ht="15.75" customHeight="1">
      <c r="A151" s="90" t="s">
        <v>78</v>
      </c>
      <c r="B151" s="219" t="s">
        <v>1478</v>
      </c>
      <c r="C151" s="28"/>
      <c r="D151" s="28"/>
      <c r="E151" s="28"/>
      <c r="F151" s="28"/>
      <c r="G151" s="28"/>
      <c r="H151" s="28"/>
      <c r="I151" s="28"/>
      <c r="J151" s="28"/>
      <c r="K151" s="28"/>
      <c r="L151" s="28"/>
      <c r="M151" s="28"/>
      <c r="N151" s="28"/>
      <c r="O151" s="67"/>
      <c r="P151" s="67"/>
      <c r="Q151" s="67"/>
      <c r="R151" s="67"/>
      <c r="S151" s="67"/>
      <c r="T151" s="119" t="s">
        <v>1547</v>
      </c>
      <c r="U151" s="67"/>
      <c r="V151" s="67"/>
      <c r="W151" s="67"/>
      <c r="X151" s="67"/>
      <c r="Y151" s="67"/>
      <c r="Z151" s="67"/>
      <c r="AA151" s="67"/>
      <c r="AB151" s="67"/>
      <c r="AC151" s="67"/>
      <c r="AD151" s="67"/>
      <c r="AE151" s="67"/>
      <c r="AF151" s="67"/>
      <c r="AG151" s="67"/>
      <c r="AH151" s="67"/>
      <c r="AI151" s="67"/>
      <c r="AJ151" s="67"/>
      <c r="AK151" s="67"/>
      <c r="AL151" s="67"/>
      <c r="AM151" s="67"/>
      <c r="AN151" s="67"/>
      <c r="AO151" s="70"/>
      <c r="AP151" s="70"/>
      <c r="AQ151" s="70"/>
      <c r="AR151" s="70"/>
      <c r="AS151" s="70"/>
      <c r="AT151" s="70"/>
      <c r="AU151" s="70"/>
      <c r="AV151" s="70"/>
      <c r="AW151" s="70"/>
      <c r="AX151" s="70"/>
    </row>
    <row r="152" ht="15.75" customHeight="1">
      <c r="A152" s="90" t="s">
        <v>78</v>
      </c>
      <c r="B152" s="219" t="s">
        <v>1484</v>
      </c>
      <c r="C152" s="28"/>
      <c r="D152" s="28"/>
      <c r="E152" s="28"/>
      <c r="F152" s="28"/>
      <c r="G152" s="28"/>
      <c r="H152" s="28"/>
      <c r="I152" s="28"/>
      <c r="J152" s="28"/>
      <c r="K152" s="28"/>
      <c r="L152" s="28"/>
      <c r="M152" s="28"/>
      <c r="N152" s="28"/>
      <c r="O152" s="67"/>
      <c r="P152" s="67"/>
      <c r="Q152" s="67"/>
      <c r="R152" s="67"/>
      <c r="S152" s="67"/>
      <c r="T152" s="119" t="s">
        <v>1554</v>
      </c>
      <c r="U152" s="67"/>
      <c r="V152" s="67"/>
      <c r="W152" s="67"/>
      <c r="X152" s="67"/>
      <c r="Y152" s="67"/>
      <c r="Z152" s="67"/>
      <c r="AA152" s="67"/>
      <c r="AB152" s="67"/>
      <c r="AC152" s="67"/>
      <c r="AD152" s="67"/>
      <c r="AE152" s="67"/>
      <c r="AF152" s="67"/>
      <c r="AG152" s="67"/>
      <c r="AH152" s="67"/>
      <c r="AI152" s="67"/>
      <c r="AJ152" s="67"/>
      <c r="AK152" s="67"/>
      <c r="AL152" s="67"/>
      <c r="AM152" s="67"/>
      <c r="AN152" s="67"/>
      <c r="AO152" s="70"/>
      <c r="AP152" s="70"/>
      <c r="AQ152" s="70"/>
      <c r="AR152" s="70"/>
      <c r="AS152" s="70"/>
      <c r="AT152" s="70"/>
      <c r="AU152" s="70"/>
      <c r="AV152" s="70"/>
      <c r="AW152" s="70"/>
      <c r="AX152" s="70"/>
    </row>
    <row r="153" ht="15.75" customHeight="1">
      <c r="A153" s="90" t="s">
        <v>78</v>
      </c>
      <c r="B153" s="219" t="s">
        <v>1492</v>
      </c>
      <c r="C153" s="28"/>
      <c r="D153" s="28"/>
      <c r="E153" s="28"/>
      <c r="F153" s="28"/>
      <c r="G153" s="28"/>
      <c r="H153" s="28"/>
      <c r="I153" s="28"/>
      <c r="J153" s="28"/>
      <c r="K153" s="28"/>
      <c r="L153" s="28"/>
      <c r="M153" s="28"/>
      <c r="N153" s="28"/>
      <c r="O153" s="67"/>
      <c r="P153" s="67"/>
      <c r="Q153" s="67"/>
      <c r="R153" s="67"/>
      <c r="S153" s="67"/>
      <c r="T153" s="119" t="s">
        <v>1560</v>
      </c>
      <c r="U153" s="67"/>
      <c r="V153" s="67"/>
      <c r="W153" s="67"/>
      <c r="X153" s="67"/>
      <c r="Y153" s="67"/>
      <c r="Z153" s="67"/>
      <c r="AA153" s="67"/>
      <c r="AB153" s="67"/>
      <c r="AC153" s="67"/>
      <c r="AD153" s="67"/>
      <c r="AE153" s="67"/>
      <c r="AF153" s="67"/>
      <c r="AG153" s="67"/>
      <c r="AH153" s="67"/>
      <c r="AI153" s="67"/>
      <c r="AJ153" s="67"/>
      <c r="AK153" s="67"/>
      <c r="AL153" s="67"/>
      <c r="AM153" s="67"/>
      <c r="AN153" s="67"/>
      <c r="AO153" s="70"/>
      <c r="AP153" s="70"/>
      <c r="AQ153" s="70"/>
      <c r="AR153" s="70"/>
      <c r="AS153" s="70"/>
      <c r="AT153" s="70"/>
      <c r="AU153" s="70"/>
      <c r="AV153" s="70"/>
      <c r="AW153" s="70"/>
      <c r="AX153" s="70"/>
    </row>
    <row r="154" ht="15.75" customHeight="1">
      <c r="A154" s="90" t="s">
        <v>78</v>
      </c>
      <c r="B154" s="219" t="s">
        <v>1499</v>
      </c>
      <c r="C154" s="28"/>
      <c r="D154" s="28"/>
      <c r="E154" s="28"/>
      <c r="F154" s="28"/>
      <c r="G154" s="28"/>
      <c r="H154" s="28"/>
      <c r="I154" s="28"/>
      <c r="J154" s="28"/>
      <c r="K154" s="28"/>
      <c r="L154" s="28"/>
      <c r="M154" s="28"/>
      <c r="N154" s="28"/>
      <c r="O154" s="67"/>
      <c r="P154" s="67"/>
      <c r="Q154" s="67"/>
      <c r="R154" s="67"/>
      <c r="S154" s="67"/>
      <c r="T154" s="119" t="s">
        <v>1571</v>
      </c>
      <c r="U154" s="67"/>
      <c r="V154" s="67"/>
      <c r="W154" s="67"/>
      <c r="X154" s="67"/>
      <c r="Y154" s="67"/>
      <c r="Z154" s="67"/>
      <c r="AA154" s="67"/>
      <c r="AB154" s="67"/>
      <c r="AC154" s="67"/>
      <c r="AD154" s="67"/>
      <c r="AE154" s="67"/>
      <c r="AF154" s="67"/>
      <c r="AG154" s="67"/>
      <c r="AH154" s="67"/>
      <c r="AI154" s="67"/>
      <c r="AJ154" s="67"/>
      <c r="AK154" s="67"/>
      <c r="AL154" s="67"/>
      <c r="AM154" s="67"/>
      <c r="AN154" s="67"/>
      <c r="AO154" s="70"/>
      <c r="AP154" s="70"/>
      <c r="AQ154" s="70"/>
      <c r="AR154" s="70"/>
      <c r="AS154" s="70"/>
      <c r="AT154" s="70"/>
      <c r="AU154" s="70"/>
      <c r="AV154" s="70"/>
      <c r="AW154" s="70"/>
      <c r="AX154" s="70"/>
    </row>
    <row r="155" ht="15.75" customHeight="1">
      <c r="A155" s="90" t="s">
        <v>78</v>
      </c>
      <c r="B155" s="219" t="s">
        <v>1504</v>
      </c>
      <c r="C155" s="28"/>
      <c r="D155" s="28"/>
      <c r="E155" s="28"/>
      <c r="F155" s="28"/>
      <c r="G155" s="28"/>
      <c r="H155" s="28"/>
      <c r="I155" s="28"/>
      <c r="J155" s="28"/>
      <c r="K155" s="28"/>
      <c r="L155" s="28"/>
      <c r="M155" s="28"/>
      <c r="N155" s="28"/>
      <c r="O155" s="67"/>
      <c r="P155" s="67"/>
      <c r="Q155" s="67"/>
      <c r="R155" s="67"/>
      <c r="S155" s="67"/>
      <c r="T155" s="119" t="s">
        <v>1581</v>
      </c>
      <c r="U155" s="67"/>
      <c r="V155" s="67"/>
      <c r="W155" s="67"/>
      <c r="X155" s="67"/>
      <c r="Y155" s="67"/>
      <c r="Z155" s="67"/>
      <c r="AA155" s="67"/>
      <c r="AB155" s="67"/>
      <c r="AC155" s="67"/>
      <c r="AD155" s="67"/>
      <c r="AE155" s="67"/>
      <c r="AF155" s="67"/>
      <c r="AG155" s="67"/>
      <c r="AH155" s="67"/>
      <c r="AI155" s="67"/>
      <c r="AJ155" s="67"/>
      <c r="AK155" s="67"/>
      <c r="AL155" s="67"/>
      <c r="AM155" s="67"/>
      <c r="AN155" s="67"/>
      <c r="AO155" s="70"/>
      <c r="AP155" s="70"/>
      <c r="AQ155" s="70"/>
      <c r="AR155" s="70"/>
      <c r="AS155" s="70"/>
      <c r="AT155" s="70"/>
      <c r="AU155" s="70"/>
      <c r="AV155" s="70"/>
      <c r="AW155" s="70"/>
      <c r="AX155" s="70"/>
    </row>
    <row r="156" ht="15.75" customHeight="1">
      <c r="A156" s="90" t="s">
        <v>78</v>
      </c>
      <c r="B156" s="219" t="s">
        <v>1511</v>
      </c>
      <c r="C156" s="28"/>
      <c r="D156" s="28"/>
      <c r="E156" s="28"/>
      <c r="F156" s="28"/>
      <c r="G156" s="28"/>
      <c r="H156" s="28"/>
      <c r="I156" s="28"/>
      <c r="J156" s="28"/>
      <c r="K156" s="28"/>
      <c r="L156" s="28"/>
      <c r="M156" s="28"/>
      <c r="N156" s="28"/>
      <c r="O156" s="67"/>
      <c r="P156" s="67"/>
      <c r="Q156" s="67"/>
      <c r="R156" s="67"/>
      <c r="S156" s="67"/>
      <c r="T156" s="119" t="s">
        <v>1595</v>
      </c>
      <c r="U156" s="67"/>
      <c r="V156" s="67"/>
      <c r="W156" s="67"/>
      <c r="X156" s="67"/>
      <c r="Y156" s="67"/>
      <c r="Z156" s="67"/>
      <c r="AA156" s="67"/>
      <c r="AB156" s="67"/>
      <c r="AC156" s="67"/>
      <c r="AD156" s="67"/>
      <c r="AE156" s="67"/>
      <c r="AF156" s="67"/>
      <c r="AG156" s="67"/>
      <c r="AH156" s="67"/>
      <c r="AI156" s="67"/>
      <c r="AJ156" s="67"/>
      <c r="AK156" s="67"/>
      <c r="AL156" s="67"/>
      <c r="AM156" s="67"/>
      <c r="AN156" s="67"/>
      <c r="AO156" s="70"/>
      <c r="AP156" s="70"/>
      <c r="AQ156" s="70"/>
      <c r="AR156" s="70"/>
      <c r="AS156" s="70"/>
      <c r="AT156" s="70"/>
      <c r="AU156" s="70"/>
      <c r="AV156" s="70"/>
      <c r="AW156" s="70"/>
      <c r="AX156" s="70"/>
    </row>
    <row r="157" ht="15.75" customHeight="1">
      <c r="A157" s="90" t="s">
        <v>78</v>
      </c>
      <c r="B157" s="219" t="s">
        <v>1519</v>
      </c>
      <c r="C157" s="28"/>
      <c r="D157" s="28"/>
      <c r="E157" s="28"/>
      <c r="F157" s="28"/>
      <c r="G157" s="28"/>
      <c r="H157" s="28"/>
      <c r="I157" s="28"/>
      <c r="J157" s="28"/>
      <c r="K157" s="28"/>
      <c r="L157" s="28"/>
      <c r="M157" s="28"/>
      <c r="N157" s="28"/>
      <c r="O157" s="67"/>
      <c r="P157" s="67"/>
      <c r="Q157" s="67"/>
      <c r="R157" s="67"/>
      <c r="S157" s="67"/>
      <c r="T157" s="119" t="s">
        <v>1611</v>
      </c>
      <c r="U157" s="67"/>
      <c r="V157" s="67"/>
      <c r="W157" s="67"/>
      <c r="X157" s="67"/>
      <c r="Y157" s="67"/>
      <c r="Z157" s="67"/>
      <c r="AA157" s="67"/>
      <c r="AB157" s="67"/>
      <c r="AC157" s="67"/>
      <c r="AD157" s="67"/>
      <c r="AE157" s="67"/>
      <c r="AF157" s="67"/>
      <c r="AG157" s="67"/>
      <c r="AH157" s="67"/>
      <c r="AI157" s="67"/>
      <c r="AJ157" s="67"/>
      <c r="AK157" s="67"/>
      <c r="AL157" s="67"/>
      <c r="AM157" s="67"/>
      <c r="AN157" s="67"/>
      <c r="AO157" s="70"/>
      <c r="AP157" s="70"/>
      <c r="AQ157" s="70"/>
      <c r="AR157" s="70"/>
      <c r="AS157" s="70"/>
      <c r="AT157" s="70"/>
      <c r="AU157" s="70"/>
      <c r="AV157" s="70"/>
      <c r="AW157" s="70"/>
      <c r="AX157" s="70"/>
    </row>
    <row r="158" ht="15.75" customHeight="1">
      <c r="A158" s="90" t="s">
        <v>78</v>
      </c>
      <c r="B158" s="219" t="s">
        <v>1525</v>
      </c>
      <c r="C158" s="28"/>
      <c r="D158" s="28"/>
      <c r="E158" s="28"/>
      <c r="F158" s="28"/>
      <c r="G158" s="28"/>
      <c r="H158" s="28"/>
      <c r="I158" s="28"/>
      <c r="J158" s="28"/>
      <c r="K158" s="28"/>
      <c r="L158" s="28"/>
      <c r="M158" s="28"/>
      <c r="N158" s="28"/>
      <c r="O158" s="67"/>
      <c r="P158" s="67"/>
      <c r="Q158" s="67"/>
      <c r="R158" s="67"/>
      <c r="S158" s="67"/>
      <c r="T158" s="119" t="s">
        <v>1617</v>
      </c>
      <c r="U158" s="67"/>
      <c r="V158" s="67"/>
      <c r="W158" s="67"/>
      <c r="X158" s="67"/>
      <c r="Y158" s="67"/>
      <c r="Z158" s="67"/>
      <c r="AA158" s="67"/>
      <c r="AB158" s="67"/>
      <c r="AC158" s="67"/>
      <c r="AD158" s="67"/>
      <c r="AE158" s="67"/>
      <c r="AF158" s="67"/>
      <c r="AG158" s="67"/>
      <c r="AH158" s="67"/>
      <c r="AI158" s="67"/>
      <c r="AJ158" s="67"/>
      <c r="AK158" s="67"/>
      <c r="AL158" s="67"/>
      <c r="AM158" s="67"/>
      <c r="AN158" s="67"/>
      <c r="AO158" s="70"/>
      <c r="AP158" s="70"/>
      <c r="AQ158" s="70"/>
      <c r="AR158" s="70"/>
      <c r="AS158" s="70"/>
      <c r="AT158" s="70"/>
      <c r="AU158" s="70"/>
      <c r="AV158" s="70"/>
      <c r="AW158" s="70"/>
      <c r="AX158" s="70"/>
    </row>
    <row r="159" ht="15.75" customHeight="1">
      <c r="A159" s="90" t="s">
        <v>78</v>
      </c>
      <c r="B159" s="219" t="s">
        <v>1528</v>
      </c>
      <c r="C159" s="28"/>
      <c r="D159" s="28"/>
      <c r="E159" s="28"/>
      <c r="F159" s="28"/>
      <c r="G159" s="28"/>
      <c r="H159" s="28"/>
      <c r="I159" s="28"/>
      <c r="J159" s="28"/>
      <c r="K159" s="28"/>
      <c r="L159" s="28"/>
      <c r="M159" s="28"/>
      <c r="N159" s="28"/>
      <c r="O159" s="67"/>
      <c r="P159" s="67"/>
      <c r="Q159" s="67"/>
      <c r="R159" s="67"/>
      <c r="S159" s="67"/>
      <c r="T159" s="119" t="s">
        <v>1628</v>
      </c>
      <c r="U159" s="67"/>
      <c r="V159" s="67"/>
      <c r="W159" s="67"/>
      <c r="X159" s="67"/>
      <c r="Y159" s="67"/>
      <c r="Z159" s="67"/>
      <c r="AA159" s="67"/>
      <c r="AB159" s="67"/>
      <c r="AC159" s="67"/>
      <c r="AD159" s="67"/>
      <c r="AE159" s="67"/>
      <c r="AF159" s="67"/>
      <c r="AG159" s="67"/>
      <c r="AH159" s="67"/>
      <c r="AI159" s="67"/>
      <c r="AJ159" s="67"/>
      <c r="AK159" s="67"/>
      <c r="AL159" s="67"/>
      <c r="AM159" s="67"/>
      <c r="AN159" s="67"/>
      <c r="AO159" s="70"/>
      <c r="AP159" s="70"/>
      <c r="AQ159" s="70"/>
      <c r="AR159" s="70"/>
      <c r="AS159" s="70"/>
      <c r="AT159" s="70"/>
      <c r="AU159" s="70"/>
      <c r="AV159" s="70"/>
      <c r="AW159" s="70"/>
      <c r="AX159" s="70"/>
    </row>
    <row r="160" ht="15.75" customHeight="1">
      <c r="A160" s="90" t="s">
        <v>78</v>
      </c>
      <c r="B160" s="219" t="s">
        <v>1534</v>
      </c>
      <c r="C160" s="28"/>
      <c r="D160" s="28"/>
      <c r="E160" s="28"/>
      <c r="F160" s="28"/>
      <c r="G160" s="28"/>
      <c r="H160" s="28"/>
      <c r="I160" s="28"/>
      <c r="J160" s="28"/>
      <c r="K160" s="28"/>
      <c r="L160" s="28"/>
      <c r="M160" s="28"/>
      <c r="N160" s="28"/>
      <c r="O160" s="67"/>
      <c r="P160" s="67"/>
      <c r="Q160" s="67"/>
      <c r="R160" s="67"/>
      <c r="S160" s="67"/>
      <c r="T160" s="119" t="s">
        <v>1642</v>
      </c>
      <c r="U160" s="67"/>
      <c r="V160" s="67"/>
      <c r="W160" s="67"/>
      <c r="X160" s="67"/>
      <c r="Y160" s="67"/>
      <c r="Z160" s="67"/>
      <c r="AA160" s="67"/>
      <c r="AB160" s="67"/>
      <c r="AC160" s="67"/>
      <c r="AD160" s="67"/>
      <c r="AE160" s="67"/>
      <c r="AF160" s="67"/>
      <c r="AG160" s="67"/>
      <c r="AH160" s="67"/>
      <c r="AI160" s="67"/>
      <c r="AJ160" s="67"/>
      <c r="AK160" s="67"/>
      <c r="AL160" s="67"/>
      <c r="AM160" s="67"/>
      <c r="AN160" s="67"/>
      <c r="AO160" s="70"/>
      <c r="AP160" s="70"/>
      <c r="AQ160" s="70"/>
      <c r="AR160" s="70"/>
      <c r="AS160" s="70"/>
      <c r="AT160" s="70"/>
      <c r="AU160" s="70"/>
      <c r="AV160" s="70"/>
      <c r="AW160" s="70"/>
      <c r="AX160" s="70"/>
    </row>
    <row r="161" ht="15.75" customHeight="1">
      <c r="A161" s="90" t="s">
        <v>78</v>
      </c>
      <c r="B161" s="219" t="s">
        <v>1536</v>
      </c>
      <c r="C161" s="28"/>
      <c r="D161" s="28"/>
      <c r="E161" s="28"/>
      <c r="F161" s="28"/>
      <c r="G161" s="28"/>
      <c r="H161" s="28"/>
      <c r="I161" s="28"/>
      <c r="J161" s="28"/>
      <c r="K161" s="28"/>
      <c r="L161" s="28"/>
      <c r="M161" s="28"/>
      <c r="N161" s="28"/>
      <c r="O161" s="67"/>
      <c r="P161" s="67"/>
      <c r="Q161" s="67"/>
      <c r="R161" s="67"/>
      <c r="S161" s="67"/>
      <c r="T161" s="119" t="s">
        <v>1653</v>
      </c>
      <c r="U161" s="67"/>
      <c r="V161" s="67"/>
      <c r="W161" s="67"/>
      <c r="X161" s="67"/>
      <c r="Y161" s="67"/>
      <c r="Z161" s="67"/>
      <c r="AA161" s="67"/>
      <c r="AB161" s="67"/>
      <c r="AC161" s="67"/>
      <c r="AD161" s="67"/>
      <c r="AE161" s="67"/>
      <c r="AF161" s="67"/>
      <c r="AG161" s="67"/>
      <c r="AH161" s="67"/>
      <c r="AI161" s="67"/>
      <c r="AJ161" s="67"/>
      <c r="AK161" s="67"/>
      <c r="AL161" s="67"/>
      <c r="AM161" s="67"/>
      <c r="AN161" s="67"/>
      <c r="AO161" s="70"/>
      <c r="AP161" s="70"/>
      <c r="AQ161" s="70"/>
      <c r="AR161" s="70"/>
      <c r="AS161" s="70"/>
      <c r="AT161" s="70"/>
      <c r="AU161" s="70"/>
      <c r="AV161" s="70"/>
      <c r="AW161" s="70"/>
      <c r="AX161" s="70"/>
    </row>
    <row r="162" ht="15.75" customHeight="1">
      <c r="A162" s="90" t="s">
        <v>78</v>
      </c>
      <c r="B162" s="219" t="s">
        <v>1543</v>
      </c>
      <c r="C162" s="28"/>
      <c r="D162" s="28"/>
      <c r="E162" s="28"/>
      <c r="F162" s="28"/>
      <c r="G162" s="28"/>
      <c r="H162" s="28"/>
      <c r="I162" s="28"/>
      <c r="J162" s="28"/>
      <c r="K162" s="28"/>
      <c r="L162" s="28"/>
      <c r="M162" s="28"/>
      <c r="N162" s="28"/>
      <c r="O162" s="67"/>
      <c r="P162" s="67"/>
      <c r="Q162" s="67"/>
      <c r="R162" s="67"/>
      <c r="S162" s="67"/>
      <c r="T162" s="119" t="s">
        <v>1656</v>
      </c>
      <c r="U162" s="67"/>
      <c r="V162" s="67"/>
      <c r="W162" s="67"/>
      <c r="X162" s="67"/>
      <c r="Y162" s="67"/>
      <c r="Z162" s="67"/>
      <c r="AA162" s="67"/>
      <c r="AB162" s="67"/>
      <c r="AC162" s="67"/>
      <c r="AD162" s="67"/>
      <c r="AE162" s="67"/>
      <c r="AF162" s="67"/>
      <c r="AG162" s="67"/>
      <c r="AH162" s="67"/>
      <c r="AI162" s="67"/>
      <c r="AJ162" s="67"/>
      <c r="AK162" s="67"/>
      <c r="AL162" s="67"/>
      <c r="AM162" s="67"/>
      <c r="AN162" s="67"/>
      <c r="AO162" s="70"/>
      <c r="AP162" s="70"/>
      <c r="AQ162" s="70"/>
      <c r="AR162" s="70"/>
      <c r="AS162" s="70"/>
      <c r="AT162" s="70"/>
      <c r="AU162" s="70"/>
      <c r="AV162" s="70"/>
      <c r="AW162" s="70"/>
      <c r="AX162" s="70"/>
    </row>
    <row r="163" ht="15.75" customHeight="1">
      <c r="A163" s="90" t="s">
        <v>78</v>
      </c>
      <c r="B163" s="219" t="s">
        <v>1548</v>
      </c>
      <c r="C163" s="28"/>
      <c r="D163" s="28"/>
      <c r="E163" s="28"/>
      <c r="F163" s="28"/>
      <c r="G163" s="28"/>
      <c r="H163" s="28"/>
      <c r="I163" s="28"/>
      <c r="J163" s="28"/>
      <c r="K163" s="28"/>
      <c r="L163" s="28"/>
      <c r="M163" s="28"/>
      <c r="N163" s="28"/>
      <c r="O163" s="67"/>
      <c r="P163" s="67"/>
      <c r="Q163" s="67"/>
      <c r="R163" s="67"/>
      <c r="S163" s="67"/>
      <c r="T163" s="119" t="s">
        <v>1665</v>
      </c>
      <c r="U163" s="67"/>
      <c r="V163" s="67"/>
      <c r="W163" s="67"/>
      <c r="X163" s="67"/>
      <c r="Y163" s="67"/>
      <c r="Z163" s="67"/>
      <c r="AA163" s="67"/>
      <c r="AB163" s="67"/>
      <c r="AC163" s="67"/>
      <c r="AD163" s="67"/>
      <c r="AE163" s="67"/>
      <c r="AF163" s="67"/>
      <c r="AG163" s="67"/>
      <c r="AH163" s="67"/>
      <c r="AI163" s="67"/>
      <c r="AJ163" s="67"/>
      <c r="AK163" s="67"/>
      <c r="AL163" s="67"/>
      <c r="AM163" s="67"/>
      <c r="AN163" s="67"/>
      <c r="AO163" s="70"/>
      <c r="AP163" s="70"/>
      <c r="AQ163" s="70"/>
      <c r="AR163" s="70"/>
      <c r="AS163" s="70"/>
      <c r="AT163" s="70"/>
      <c r="AU163" s="70"/>
      <c r="AV163" s="70"/>
      <c r="AW163" s="70"/>
      <c r="AX163" s="70"/>
    </row>
    <row r="164" ht="15.75" customHeight="1">
      <c r="A164" s="90" t="s">
        <v>78</v>
      </c>
      <c r="B164" s="219" t="s">
        <v>1551</v>
      </c>
      <c r="C164" s="28"/>
      <c r="D164" s="28"/>
      <c r="E164" s="28"/>
      <c r="F164" s="28"/>
      <c r="G164" s="28"/>
      <c r="H164" s="28"/>
      <c r="I164" s="28"/>
      <c r="J164" s="28"/>
      <c r="K164" s="28"/>
      <c r="L164" s="28"/>
      <c r="M164" s="28"/>
      <c r="N164" s="28"/>
      <c r="O164" s="67"/>
      <c r="P164" s="67"/>
      <c r="Q164" s="67"/>
      <c r="R164" s="67"/>
      <c r="S164" s="67"/>
      <c r="T164" s="119" t="s">
        <v>1676</v>
      </c>
      <c r="U164" s="67"/>
      <c r="V164" s="67"/>
      <c r="W164" s="67"/>
      <c r="X164" s="67"/>
      <c r="Y164" s="67"/>
      <c r="Z164" s="67"/>
      <c r="AA164" s="67"/>
      <c r="AB164" s="67"/>
      <c r="AC164" s="67"/>
      <c r="AD164" s="67"/>
      <c r="AE164" s="67"/>
      <c r="AF164" s="67"/>
      <c r="AG164" s="67"/>
      <c r="AH164" s="67"/>
      <c r="AI164" s="67"/>
      <c r="AJ164" s="67"/>
      <c r="AK164" s="67"/>
      <c r="AL164" s="67"/>
      <c r="AM164" s="67"/>
      <c r="AN164" s="67"/>
      <c r="AO164" s="70"/>
      <c r="AP164" s="70"/>
      <c r="AQ164" s="70"/>
      <c r="AR164" s="70"/>
      <c r="AS164" s="70"/>
      <c r="AT164" s="70"/>
      <c r="AU164" s="70"/>
      <c r="AV164" s="70"/>
      <c r="AW164" s="70"/>
      <c r="AX164" s="70"/>
    </row>
    <row r="165" ht="15.75" customHeight="1">
      <c r="A165" s="90" t="s">
        <v>78</v>
      </c>
      <c r="B165" s="219" t="s">
        <v>1556</v>
      </c>
      <c r="C165" s="28"/>
      <c r="D165" s="28"/>
      <c r="E165" s="28"/>
      <c r="F165" s="28"/>
      <c r="G165" s="28"/>
      <c r="H165" s="28"/>
      <c r="I165" s="28"/>
      <c r="J165" s="28"/>
      <c r="K165" s="28"/>
      <c r="L165" s="28"/>
      <c r="M165" s="28"/>
      <c r="N165" s="28"/>
      <c r="O165" s="67"/>
      <c r="P165" s="67"/>
      <c r="Q165" s="67"/>
      <c r="R165" s="67"/>
      <c r="S165" s="67"/>
      <c r="T165" s="119" t="s">
        <v>1686</v>
      </c>
      <c r="U165" s="67"/>
      <c r="V165" s="67"/>
      <c r="W165" s="67"/>
      <c r="X165" s="67"/>
      <c r="Y165" s="67"/>
      <c r="Z165" s="67"/>
      <c r="AA165" s="67"/>
      <c r="AB165" s="67"/>
      <c r="AC165" s="67"/>
      <c r="AD165" s="67"/>
      <c r="AE165" s="67"/>
      <c r="AF165" s="67"/>
      <c r="AG165" s="67"/>
      <c r="AH165" s="67"/>
      <c r="AI165" s="67"/>
      <c r="AJ165" s="67"/>
      <c r="AK165" s="67"/>
      <c r="AL165" s="67"/>
      <c r="AM165" s="67"/>
      <c r="AN165" s="67"/>
      <c r="AO165" s="70"/>
      <c r="AP165" s="70"/>
      <c r="AQ165" s="70"/>
      <c r="AR165" s="70"/>
      <c r="AS165" s="70"/>
      <c r="AT165" s="70"/>
      <c r="AU165" s="70"/>
      <c r="AV165" s="70"/>
      <c r="AW165" s="70"/>
      <c r="AX165" s="70"/>
    </row>
    <row r="166" ht="15.75" customHeight="1">
      <c r="A166" s="90" t="s">
        <v>78</v>
      </c>
      <c r="B166" s="219" t="s">
        <v>1559</v>
      </c>
      <c r="C166" s="28"/>
      <c r="D166" s="28"/>
      <c r="E166" s="28"/>
      <c r="F166" s="28"/>
      <c r="G166" s="28"/>
      <c r="H166" s="28"/>
      <c r="I166" s="28"/>
      <c r="J166" s="28"/>
      <c r="K166" s="28"/>
      <c r="L166" s="28"/>
      <c r="M166" s="28"/>
      <c r="N166" s="28"/>
      <c r="O166" s="67"/>
      <c r="P166" s="67"/>
      <c r="Q166" s="67"/>
      <c r="R166" s="67"/>
      <c r="S166" s="67"/>
      <c r="T166" s="119" t="s">
        <v>1701</v>
      </c>
      <c r="U166" s="67"/>
      <c r="V166" s="67"/>
      <c r="W166" s="67"/>
      <c r="X166" s="67"/>
      <c r="Y166" s="67"/>
      <c r="Z166" s="67"/>
      <c r="AA166" s="67"/>
      <c r="AB166" s="67"/>
      <c r="AC166" s="67"/>
      <c r="AD166" s="67"/>
      <c r="AE166" s="67"/>
      <c r="AF166" s="67"/>
      <c r="AG166" s="67"/>
      <c r="AH166" s="67"/>
      <c r="AI166" s="67"/>
      <c r="AJ166" s="67"/>
      <c r="AK166" s="67"/>
      <c r="AL166" s="67"/>
      <c r="AM166" s="67"/>
      <c r="AN166" s="67"/>
      <c r="AO166" s="70"/>
      <c r="AP166" s="70"/>
      <c r="AQ166" s="70"/>
      <c r="AR166" s="70"/>
      <c r="AS166" s="70"/>
      <c r="AT166" s="70"/>
      <c r="AU166" s="70"/>
      <c r="AV166" s="70"/>
      <c r="AW166" s="70"/>
      <c r="AX166" s="70"/>
    </row>
    <row r="167" ht="15.75" customHeight="1">
      <c r="A167" s="90" t="s">
        <v>78</v>
      </c>
      <c r="B167" s="219" t="s">
        <v>1567</v>
      </c>
      <c r="C167" s="28"/>
      <c r="D167" s="28"/>
      <c r="E167" s="28"/>
      <c r="F167" s="28"/>
      <c r="G167" s="28"/>
      <c r="H167" s="28"/>
      <c r="I167" s="28"/>
      <c r="J167" s="28"/>
      <c r="K167" s="28"/>
      <c r="L167" s="28"/>
      <c r="M167" s="28"/>
      <c r="N167" s="28"/>
      <c r="O167" s="67"/>
      <c r="P167" s="67"/>
      <c r="Q167" s="67"/>
      <c r="R167" s="67"/>
      <c r="S167" s="67"/>
      <c r="T167" s="119" t="s">
        <v>1709</v>
      </c>
      <c r="U167" s="67"/>
      <c r="V167" s="67"/>
      <c r="W167" s="67"/>
      <c r="X167" s="67"/>
      <c r="Y167" s="67"/>
      <c r="Z167" s="67"/>
      <c r="AA167" s="67"/>
      <c r="AB167" s="67"/>
      <c r="AC167" s="67"/>
      <c r="AD167" s="67"/>
      <c r="AE167" s="67"/>
      <c r="AF167" s="67"/>
      <c r="AG167" s="67"/>
      <c r="AH167" s="67"/>
      <c r="AI167" s="67"/>
      <c r="AJ167" s="67"/>
      <c r="AK167" s="67"/>
      <c r="AL167" s="67"/>
      <c r="AM167" s="67"/>
      <c r="AN167" s="67"/>
      <c r="AO167" s="70"/>
      <c r="AP167" s="70"/>
      <c r="AQ167" s="70"/>
      <c r="AR167" s="70"/>
      <c r="AS167" s="70"/>
      <c r="AT167" s="70"/>
      <c r="AU167" s="70"/>
      <c r="AV167" s="70"/>
      <c r="AW167" s="70"/>
      <c r="AX167" s="70"/>
    </row>
    <row r="168" ht="15.75" customHeight="1">
      <c r="A168" s="90" t="s">
        <v>78</v>
      </c>
      <c r="B168" s="219" t="s">
        <v>1570</v>
      </c>
      <c r="C168" s="28"/>
      <c r="D168" s="28"/>
      <c r="E168" s="28"/>
      <c r="F168" s="28"/>
      <c r="G168" s="28"/>
      <c r="H168" s="28"/>
      <c r="I168" s="28"/>
      <c r="J168" s="28"/>
      <c r="K168" s="28"/>
      <c r="L168" s="28"/>
      <c r="M168" s="28"/>
      <c r="N168" s="28"/>
      <c r="O168" s="67"/>
      <c r="P168" s="67"/>
      <c r="Q168" s="67"/>
      <c r="R168" s="67"/>
      <c r="S168" s="67"/>
      <c r="T168" s="119" t="s">
        <v>1718</v>
      </c>
      <c r="U168" s="67"/>
      <c r="V168" s="67"/>
      <c r="W168" s="67"/>
      <c r="X168" s="67"/>
      <c r="Y168" s="67"/>
      <c r="Z168" s="67"/>
      <c r="AA168" s="67"/>
      <c r="AB168" s="67"/>
      <c r="AC168" s="67"/>
      <c r="AD168" s="67"/>
      <c r="AE168" s="67"/>
      <c r="AF168" s="67"/>
      <c r="AG168" s="67"/>
      <c r="AH168" s="67"/>
      <c r="AI168" s="67"/>
      <c r="AJ168" s="67"/>
      <c r="AK168" s="67"/>
      <c r="AL168" s="67"/>
      <c r="AM168" s="67"/>
      <c r="AN168" s="67"/>
      <c r="AO168" s="70"/>
      <c r="AP168" s="70"/>
      <c r="AQ168" s="70"/>
      <c r="AR168" s="70"/>
      <c r="AS168" s="70"/>
      <c r="AT168" s="70"/>
      <c r="AU168" s="70"/>
      <c r="AV168" s="70"/>
      <c r="AW168" s="70"/>
      <c r="AX168" s="70"/>
    </row>
    <row r="169" ht="15.75" customHeight="1">
      <c r="A169" s="90" t="s">
        <v>78</v>
      </c>
      <c r="B169" s="219" t="s">
        <v>1577</v>
      </c>
      <c r="C169" s="28"/>
      <c r="D169" s="28"/>
      <c r="E169" s="28"/>
      <c r="F169" s="28"/>
      <c r="G169" s="28"/>
      <c r="H169" s="28"/>
      <c r="I169" s="28"/>
      <c r="J169" s="28"/>
      <c r="K169" s="28"/>
      <c r="L169" s="28"/>
      <c r="M169" s="28"/>
      <c r="N169" s="28"/>
      <c r="O169" s="67"/>
      <c r="P169" s="67"/>
      <c r="Q169" s="67"/>
      <c r="R169" s="67"/>
      <c r="S169" s="67"/>
      <c r="T169" s="119" t="s">
        <v>1731</v>
      </c>
      <c r="U169" s="67"/>
      <c r="V169" s="67"/>
      <c r="W169" s="67"/>
      <c r="X169" s="67"/>
      <c r="Y169" s="67"/>
      <c r="Z169" s="67"/>
      <c r="AA169" s="67"/>
      <c r="AB169" s="67"/>
      <c r="AC169" s="67"/>
      <c r="AD169" s="67"/>
      <c r="AE169" s="67"/>
      <c r="AF169" s="67"/>
      <c r="AG169" s="67"/>
      <c r="AH169" s="67"/>
      <c r="AI169" s="67"/>
      <c r="AJ169" s="67"/>
      <c r="AK169" s="67"/>
      <c r="AL169" s="67"/>
      <c r="AM169" s="67"/>
      <c r="AN169" s="67"/>
      <c r="AO169" s="70"/>
      <c r="AP169" s="70"/>
      <c r="AQ169" s="70"/>
      <c r="AR169" s="70"/>
      <c r="AS169" s="70"/>
      <c r="AT169" s="70"/>
      <c r="AU169" s="70"/>
      <c r="AV169" s="70"/>
      <c r="AW169" s="70"/>
      <c r="AX169" s="70"/>
    </row>
    <row r="170" ht="15.75" customHeight="1">
      <c r="A170" s="90" t="s">
        <v>78</v>
      </c>
      <c r="B170" s="219" t="s">
        <v>1580</v>
      </c>
      <c r="C170" s="28"/>
      <c r="D170" s="28"/>
      <c r="E170" s="28"/>
      <c r="F170" s="28"/>
      <c r="G170" s="28"/>
      <c r="H170" s="28"/>
      <c r="I170" s="28"/>
      <c r="J170" s="28"/>
      <c r="K170" s="28"/>
      <c r="L170" s="28"/>
      <c r="M170" s="28"/>
      <c r="N170" s="28"/>
      <c r="O170" s="67"/>
      <c r="P170" s="67"/>
      <c r="Q170" s="67"/>
      <c r="R170" s="67"/>
      <c r="S170" s="67"/>
      <c r="T170" s="119" t="s">
        <v>1742</v>
      </c>
      <c r="U170" s="67"/>
      <c r="V170" s="67"/>
      <c r="W170" s="67"/>
      <c r="X170" s="67"/>
      <c r="Y170" s="67"/>
      <c r="Z170" s="67"/>
      <c r="AA170" s="67"/>
      <c r="AB170" s="67"/>
      <c r="AC170" s="67"/>
      <c r="AD170" s="67"/>
      <c r="AE170" s="67"/>
      <c r="AF170" s="67"/>
      <c r="AG170" s="67"/>
      <c r="AH170" s="67"/>
      <c r="AI170" s="67"/>
      <c r="AJ170" s="67"/>
      <c r="AK170" s="67"/>
      <c r="AL170" s="67"/>
      <c r="AM170" s="67"/>
      <c r="AN170" s="67"/>
      <c r="AO170" s="70"/>
      <c r="AP170" s="70"/>
      <c r="AQ170" s="70"/>
      <c r="AR170" s="70"/>
      <c r="AS170" s="70"/>
      <c r="AT170" s="70"/>
      <c r="AU170" s="70"/>
      <c r="AV170" s="70"/>
      <c r="AW170" s="70"/>
      <c r="AX170" s="70"/>
    </row>
    <row r="171" ht="15.75" customHeight="1">
      <c r="A171" s="90" t="s">
        <v>78</v>
      </c>
      <c r="B171" s="219" t="s">
        <v>1587</v>
      </c>
      <c r="C171" s="28"/>
      <c r="D171" s="28"/>
      <c r="E171" s="28"/>
      <c r="F171" s="28"/>
      <c r="G171" s="28"/>
      <c r="H171" s="28"/>
      <c r="I171" s="28"/>
      <c r="J171" s="28"/>
      <c r="K171" s="28"/>
      <c r="L171" s="28"/>
      <c r="M171" s="28"/>
      <c r="N171" s="28"/>
      <c r="O171" s="67"/>
      <c r="P171" s="67"/>
      <c r="Q171" s="67"/>
      <c r="R171" s="67"/>
      <c r="S171" s="67"/>
      <c r="T171" s="119" t="s">
        <v>1751</v>
      </c>
      <c r="U171" s="67"/>
      <c r="V171" s="67"/>
      <c r="W171" s="67"/>
      <c r="X171" s="67"/>
      <c r="Y171" s="67"/>
      <c r="Z171" s="67"/>
      <c r="AA171" s="67"/>
      <c r="AB171" s="67"/>
      <c r="AC171" s="67"/>
      <c r="AD171" s="67"/>
      <c r="AE171" s="67"/>
      <c r="AF171" s="67"/>
      <c r="AG171" s="67"/>
      <c r="AH171" s="67"/>
      <c r="AI171" s="67"/>
      <c r="AJ171" s="67"/>
      <c r="AK171" s="67"/>
      <c r="AL171" s="67"/>
      <c r="AM171" s="67"/>
      <c r="AN171" s="67"/>
      <c r="AO171" s="70"/>
      <c r="AP171" s="70"/>
      <c r="AQ171" s="70"/>
      <c r="AR171" s="70"/>
      <c r="AS171" s="70"/>
      <c r="AT171" s="70"/>
      <c r="AU171" s="70"/>
      <c r="AV171" s="70"/>
      <c r="AW171" s="70"/>
      <c r="AX171" s="70"/>
    </row>
    <row r="172" ht="15.75" customHeight="1">
      <c r="A172" s="90" t="s">
        <v>78</v>
      </c>
      <c r="B172" s="219" t="s">
        <v>1592</v>
      </c>
      <c r="C172" s="28"/>
      <c r="D172" s="28"/>
      <c r="E172" s="28"/>
      <c r="F172" s="28"/>
      <c r="G172" s="28"/>
      <c r="H172" s="28"/>
      <c r="I172" s="28"/>
      <c r="J172" s="28"/>
      <c r="K172" s="28"/>
      <c r="L172" s="28"/>
      <c r="M172" s="28"/>
      <c r="N172" s="28"/>
      <c r="O172" s="67"/>
      <c r="P172" s="67"/>
      <c r="Q172" s="67"/>
      <c r="R172" s="67"/>
      <c r="S172" s="67"/>
      <c r="T172" s="119" t="s">
        <v>1759</v>
      </c>
      <c r="U172" s="67"/>
      <c r="V172" s="67"/>
      <c r="W172" s="67"/>
      <c r="X172" s="67"/>
      <c r="Y172" s="67"/>
      <c r="Z172" s="67"/>
      <c r="AA172" s="67"/>
      <c r="AB172" s="67"/>
      <c r="AC172" s="67"/>
      <c r="AD172" s="67"/>
      <c r="AE172" s="67"/>
      <c r="AF172" s="67"/>
      <c r="AG172" s="67"/>
      <c r="AH172" s="67"/>
      <c r="AI172" s="67"/>
      <c r="AJ172" s="67"/>
      <c r="AK172" s="67"/>
      <c r="AL172" s="67"/>
      <c r="AM172" s="67"/>
      <c r="AN172" s="67"/>
      <c r="AO172" s="70"/>
      <c r="AP172" s="70"/>
      <c r="AQ172" s="70"/>
      <c r="AR172" s="70"/>
      <c r="AS172" s="70"/>
      <c r="AT172" s="70"/>
      <c r="AU172" s="70"/>
      <c r="AV172" s="70"/>
      <c r="AW172" s="70"/>
      <c r="AX172" s="70"/>
    </row>
    <row r="173" ht="15.75" customHeight="1">
      <c r="A173" s="90" t="s">
        <v>78</v>
      </c>
      <c r="B173" s="219" t="s">
        <v>1598</v>
      </c>
      <c r="C173" s="28"/>
      <c r="D173" s="28"/>
      <c r="E173" s="28"/>
      <c r="F173" s="28"/>
      <c r="G173" s="28"/>
      <c r="H173" s="28"/>
      <c r="I173" s="28"/>
      <c r="J173" s="28"/>
      <c r="K173" s="28"/>
      <c r="L173" s="28"/>
      <c r="M173" s="28"/>
      <c r="N173" s="28"/>
      <c r="O173" s="67"/>
      <c r="P173" s="67"/>
      <c r="Q173" s="67"/>
      <c r="R173" s="67"/>
      <c r="S173" s="67"/>
      <c r="T173" s="119" t="s">
        <v>1773</v>
      </c>
      <c r="U173" s="67"/>
      <c r="V173" s="67"/>
      <c r="W173" s="67"/>
      <c r="X173" s="67"/>
      <c r="Y173" s="67"/>
      <c r="Z173" s="67"/>
      <c r="AA173" s="67"/>
      <c r="AB173" s="67"/>
      <c r="AC173" s="67"/>
      <c r="AD173" s="67"/>
      <c r="AE173" s="67"/>
      <c r="AF173" s="67"/>
      <c r="AG173" s="67"/>
      <c r="AH173" s="67"/>
      <c r="AI173" s="67"/>
      <c r="AJ173" s="67"/>
      <c r="AK173" s="67"/>
      <c r="AL173" s="67"/>
      <c r="AM173" s="67"/>
      <c r="AN173" s="67"/>
      <c r="AO173" s="70"/>
      <c r="AP173" s="70"/>
      <c r="AQ173" s="70"/>
      <c r="AR173" s="70"/>
      <c r="AS173" s="70"/>
      <c r="AT173" s="70"/>
      <c r="AU173" s="70"/>
      <c r="AV173" s="70"/>
      <c r="AW173" s="70"/>
      <c r="AX173" s="70"/>
    </row>
    <row r="174" ht="15.75" customHeight="1">
      <c r="A174" s="90" t="s">
        <v>78</v>
      </c>
      <c r="B174" s="219" t="s">
        <v>1603</v>
      </c>
      <c r="C174" s="28"/>
      <c r="D174" s="28"/>
      <c r="E174" s="28"/>
      <c r="F174" s="28"/>
      <c r="G174" s="28"/>
      <c r="H174" s="28"/>
      <c r="I174" s="28"/>
      <c r="J174" s="28"/>
      <c r="K174" s="28"/>
      <c r="L174" s="28"/>
      <c r="M174" s="28"/>
      <c r="N174" s="28"/>
      <c r="O174" s="67"/>
      <c r="P174" s="67"/>
      <c r="Q174" s="67"/>
      <c r="R174" s="67"/>
      <c r="S174" s="67"/>
      <c r="T174" s="119" t="s">
        <v>1786</v>
      </c>
      <c r="U174" s="67"/>
      <c r="V174" s="67"/>
      <c r="W174" s="67"/>
      <c r="X174" s="67"/>
      <c r="Y174" s="67"/>
      <c r="Z174" s="67"/>
      <c r="AA174" s="67"/>
      <c r="AB174" s="67"/>
      <c r="AC174" s="67"/>
      <c r="AD174" s="67"/>
      <c r="AE174" s="67"/>
      <c r="AF174" s="67"/>
      <c r="AG174" s="67"/>
      <c r="AH174" s="67"/>
      <c r="AI174" s="67"/>
      <c r="AJ174" s="67"/>
      <c r="AK174" s="67"/>
      <c r="AL174" s="67"/>
      <c r="AM174" s="67"/>
      <c r="AN174" s="67"/>
      <c r="AO174" s="70"/>
      <c r="AP174" s="70"/>
      <c r="AQ174" s="70"/>
      <c r="AR174" s="70"/>
      <c r="AS174" s="70"/>
      <c r="AT174" s="70"/>
      <c r="AU174" s="70"/>
      <c r="AV174" s="70"/>
      <c r="AW174" s="70"/>
      <c r="AX174" s="70"/>
    </row>
    <row r="175" ht="15.75" customHeight="1">
      <c r="A175" s="90" t="s">
        <v>78</v>
      </c>
      <c r="B175" s="219" t="s">
        <v>1610</v>
      </c>
      <c r="C175" s="28"/>
      <c r="D175" s="28"/>
      <c r="E175" s="28"/>
      <c r="F175" s="28"/>
      <c r="G175" s="28"/>
      <c r="H175" s="28"/>
      <c r="I175" s="28"/>
      <c r="J175" s="28"/>
      <c r="K175" s="28"/>
      <c r="L175" s="28"/>
      <c r="M175" s="28"/>
      <c r="N175" s="28"/>
      <c r="O175" s="67"/>
      <c r="P175" s="67"/>
      <c r="Q175" s="67"/>
      <c r="R175" s="67"/>
      <c r="S175" s="67"/>
      <c r="T175" s="119" t="s">
        <v>1796</v>
      </c>
      <c r="U175" s="67"/>
      <c r="V175" s="67"/>
      <c r="W175" s="67"/>
      <c r="X175" s="67"/>
      <c r="Y175" s="67"/>
      <c r="Z175" s="67"/>
      <c r="AA175" s="67"/>
      <c r="AB175" s="67"/>
      <c r="AC175" s="67"/>
      <c r="AD175" s="67"/>
      <c r="AE175" s="67"/>
      <c r="AF175" s="67"/>
      <c r="AG175" s="67"/>
      <c r="AH175" s="67"/>
      <c r="AI175" s="67"/>
      <c r="AJ175" s="67"/>
      <c r="AK175" s="67"/>
      <c r="AL175" s="67"/>
      <c r="AM175" s="67"/>
      <c r="AN175" s="67"/>
      <c r="AO175" s="70"/>
      <c r="AP175" s="70"/>
      <c r="AQ175" s="70"/>
      <c r="AR175" s="70"/>
      <c r="AS175" s="70"/>
      <c r="AT175" s="70"/>
      <c r="AU175" s="70"/>
      <c r="AV175" s="70"/>
      <c r="AW175" s="70"/>
      <c r="AX175" s="70"/>
    </row>
    <row r="176" ht="15.75" customHeight="1">
      <c r="A176" s="90" t="s">
        <v>78</v>
      </c>
      <c r="B176" s="219" t="s">
        <v>1615</v>
      </c>
      <c r="C176" s="28"/>
      <c r="D176" s="28"/>
      <c r="E176" s="28"/>
      <c r="F176" s="28"/>
      <c r="G176" s="28"/>
      <c r="H176" s="28"/>
      <c r="I176" s="28"/>
      <c r="J176" s="28"/>
      <c r="K176" s="28"/>
      <c r="L176" s="28"/>
      <c r="M176" s="28"/>
      <c r="N176" s="28"/>
      <c r="O176" s="67"/>
      <c r="P176" s="67"/>
      <c r="Q176" s="67"/>
      <c r="R176" s="67"/>
      <c r="S176" s="67"/>
      <c r="T176" s="119" t="s">
        <v>1801</v>
      </c>
      <c r="U176" s="67"/>
      <c r="V176" s="67"/>
      <c r="W176" s="67"/>
      <c r="X176" s="67"/>
      <c r="Y176" s="67"/>
      <c r="Z176" s="67"/>
      <c r="AA176" s="67"/>
      <c r="AB176" s="67"/>
      <c r="AC176" s="67"/>
      <c r="AD176" s="67"/>
      <c r="AE176" s="67"/>
      <c r="AF176" s="67"/>
      <c r="AG176" s="67"/>
      <c r="AH176" s="67"/>
      <c r="AI176" s="67"/>
      <c r="AJ176" s="67"/>
      <c r="AK176" s="67"/>
      <c r="AL176" s="67"/>
      <c r="AM176" s="67"/>
      <c r="AN176" s="67"/>
      <c r="AO176" s="70"/>
      <c r="AP176" s="70"/>
      <c r="AQ176" s="70"/>
      <c r="AR176" s="70"/>
      <c r="AS176" s="70"/>
      <c r="AT176" s="70"/>
      <c r="AU176" s="70"/>
      <c r="AV176" s="70"/>
      <c r="AW176" s="70"/>
      <c r="AX176" s="70"/>
    </row>
    <row r="177" ht="15.75" customHeight="1">
      <c r="A177" s="90" t="s">
        <v>78</v>
      </c>
      <c r="B177" s="219" t="s">
        <v>1619</v>
      </c>
      <c r="C177" s="28"/>
      <c r="D177" s="28"/>
      <c r="E177" s="28"/>
      <c r="F177" s="28"/>
      <c r="G177" s="28"/>
      <c r="H177" s="28"/>
      <c r="I177" s="28"/>
      <c r="J177" s="28"/>
      <c r="K177" s="28"/>
      <c r="L177" s="28"/>
      <c r="M177" s="28"/>
      <c r="N177" s="28"/>
      <c r="O177" s="67"/>
      <c r="P177" s="67"/>
      <c r="Q177" s="67"/>
      <c r="R177" s="67"/>
      <c r="S177" s="67"/>
      <c r="T177" s="119" t="s">
        <v>1806</v>
      </c>
      <c r="U177" s="67"/>
      <c r="V177" s="67"/>
      <c r="W177" s="67"/>
      <c r="X177" s="67"/>
      <c r="Y177" s="67"/>
      <c r="Z177" s="67"/>
      <c r="AA177" s="67"/>
      <c r="AB177" s="67"/>
      <c r="AC177" s="67"/>
      <c r="AD177" s="67"/>
      <c r="AE177" s="67"/>
      <c r="AF177" s="67"/>
      <c r="AG177" s="67"/>
      <c r="AH177" s="67"/>
      <c r="AI177" s="67"/>
      <c r="AJ177" s="67"/>
      <c r="AK177" s="67"/>
      <c r="AL177" s="67"/>
      <c r="AM177" s="67"/>
      <c r="AN177" s="67"/>
      <c r="AO177" s="70"/>
      <c r="AP177" s="70"/>
      <c r="AQ177" s="70"/>
      <c r="AR177" s="70"/>
      <c r="AS177" s="70"/>
      <c r="AT177" s="70"/>
      <c r="AU177" s="70"/>
      <c r="AV177" s="70"/>
      <c r="AW177" s="70"/>
      <c r="AX177" s="70"/>
    </row>
    <row r="178" ht="15.75" customHeight="1">
      <c r="A178" s="90" t="s">
        <v>78</v>
      </c>
      <c r="B178" s="219" t="s">
        <v>1622</v>
      </c>
      <c r="C178" s="28"/>
      <c r="D178" s="28"/>
      <c r="E178" s="28"/>
      <c r="F178" s="28"/>
      <c r="G178" s="28"/>
      <c r="H178" s="28"/>
      <c r="I178" s="28"/>
      <c r="J178" s="28"/>
      <c r="K178" s="28"/>
      <c r="L178" s="28"/>
      <c r="M178" s="28"/>
      <c r="N178" s="28"/>
      <c r="O178" s="67"/>
      <c r="P178" s="67"/>
      <c r="Q178" s="67"/>
      <c r="R178" s="67"/>
      <c r="S178" s="67"/>
      <c r="T178" s="119" t="s">
        <v>1814</v>
      </c>
      <c r="U178" s="67"/>
      <c r="V178" s="67"/>
      <c r="W178" s="67"/>
      <c r="X178" s="67"/>
      <c r="Y178" s="67"/>
      <c r="Z178" s="67"/>
      <c r="AA178" s="67"/>
      <c r="AB178" s="67"/>
      <c r="AC178" s="67"/>
      <c r="AD178" s="67"/>
      <c r="AE178" s="67"/>
      <c r="AF178" s="67"/>
      <c r="AG178" s="67"/>
      <c r="AH178" s="67"/>
      <c r="AI178" s="67"/>
      <c r="AJ178" s="67"/>
      <c r="AK178" s="67"/>
      <c r="AL178" s="67"/>
      <c r="AM178" s="67"/>
      <c r="AN178" s="67"/>
      <c r="AO178" s="70"/>
      <c r="AP178" s="70"/>
      <c r="AQ178" s="70"/>
      <c r="AR178" s="70"/>
      <c r="AS178" s="70"/>
      <c r="AT178" s="70"/>
      <c r="AU178" s="70"/>
      <c r="AV178" s="70"/>
      <c r="AW178" s="70"/>
      <c r="AX178" s="70"/>
    </row>
    <row r="179" ht="15.75" customHeight="1">
      <c r="A179" s="90" t="s">
        <v>78</v>
      </c>
      <c r="B179" s="219" t="s">
        <v>1629</v>
      </c>
      <c r="C179" s="28"/>
      <c r="D179" s="28"/>
      <c r="E179" s="28"/>
      <c r="F179" s="28"/>
      <c r="G179" s="28"/>
      <c r="H179" s="28"/>
      <c r="I179" s="28"/>
      <c r="J179" s="28"/>
      <c r="K179" s="28"/>
      <c r="L179" s="28"/>
      <c r="M179" s="28"/>
      <c r="N179" s="28"/>
      <c r="O179" s="67"/>
      <c r="P179" s="67"/>
      <c r="Q179" s="67"/>
      <c r="R179" s="67"/>
      <c r="S179" s="67"/>
      <c r="T179" s="119" t="s">
        <v>1821</v>
      </c>
      <c r="U179" s="67"/>
      <c r="V179" s="67"/>
      <c r="W179" s="67"/>
      <c r="X179" s="67"/>
      <c r="Y179" s="67"/>
      <c r="Z179" s="67"/>
      <c r="AA179" s="67"/>
      <c r="AB179" s="67"/>
      <c r="AC179" s="67"/>
      <c r="AD179" s="67"/>
      <c r="AE179" s="67"/>
      <c r="AF179" s="67"/>
      <c r="AG179" s="67"/>
      <c r="AH179" s="67"/>
      <c r="AI179" s="67"/>
      <c r="AJ179" s="67"/>
      <c r="AK179" s="67"/>
      <c r="AL179" s="67"/>
      <c r="AM179" s="67"/>
      <c r="AN179" s="67"/>
      <c r="AO179" s="70"/>
      <c r="AP179" s="70"/>
      <c r="AQ179" s="70"/>
      <c r="AR179" s="70"/>
      <c r="AS179" s="70"/>
      <c r="AT179" s="70"/>
      <c r="AU179" s="70"/>
      <c r="AV179" s="70"/>
      <c r="AW179" s="70"/>
      <c r="AX179" s="70"/>
    </row>
    <row r="180" ht="15.75" customHeight="1">
      <c r="A180" s="90" t="s">
        <v>78</v>
      </c>
      <c r="B180" s="219" t="s">
        <v>1636</v>
      </c>
      <c r="C180" s="28"/>
      <c r="D180" s="28"/>
      <c r="E180" s="28"/>
      <c r="F180" s="28"/>
      <c r="G180" s="28"/>
      <c r="H180" s="28"/>
      <c r="I180" s="28"/>
      <c r="J180" s="28"/>
      <c r="K180" s="28"/>
      <c r="L180" s="28"/>
      <c r="M180" s="28"/>
      <c r="N180" s="28"/>
      <c r="O180" s="67"/>
      <c r="P180" s="67"/>
      <c r="Q180" s="67"/>
      <c r="R180" s="67"/>
      <c r="S180" s="67"/>
      <c r="T180" s="119" t="s">
        <v>1835</v>
      </c>
      <c r="U180" s="67"/>
      <c r="V180" s="67"/>
      <c r="W180" s="67"/>
      <c r="X180" s="67"/>
      <c r="Y180" s="67"/>
      <c r="Z180" s="67"/>
      <c r="AA180" s="67"/>
      <c r="AB180" s="67"/>
      <c r="AC180" s="67"/>
      <c r="AD180" s="67"/>
      <c r="AE180" s="67"/>
      <c r="AF180" s="67"/>
      <c r="AG180" s="67"/>
      <c r="AH180" s="67"/>
      <c r="AI180" s="67"/>
      <c r="AJ180" s="67"/>
      <c r="AK180" s="67"/>
      <c r="AL180" s="67"/>
      <c r="AM180" s="67"/>
      <c r="AN180" s="67"/>
      <c r="AO180" s="70"/>
      <c r="AP180" s="70"/>
      <c r="AQ180" s="70"/>
      <c r="AR180" s="70"/>
      <c r="AS180" s="70"/>
      <c r="AT180" s="70"/>
      <c r="AU180" s="70"/>
      <c r="AV180" s="70"/>
      <c r="AW180" s="70"/>
      <c r="AX180" s="70"/>
    </row>
    <row r="181" ht="15.75" customHeight="1">
      <c r="A181" s="90" t="s">
        <v>78</v>
      </c>
      <c r="B181" s="219" t="s">
        <v>1644</v>
      </c>
      <c r="C181" s="28"/>
      <c r="D181" s="28"/>
      <c r="E181" s="28"/>
      <c r="F181" s="28"/>
      <c r="G181" s="28"/>
      <c r="H181" s="28"/>
      <c r="I181" s="28"/>
      <c r="J181" s="28"/>
      <c r="K181" s="28"/>
      <c r="L181" s="28"/>
      <c r="M181" s="28"/>
      <c r="N181" s="28"/>
      <c r="O181" s="67"/>
      <c r="P181" s="67"/>
      <c r="Q181" s="67"/>
      <c r="R181" s="67"/>
      <c r="S181" s="67"/>
      <c r="T181" s="119" t="s">
        <v>1850</v>
      </c>
      <c r="U181" s="67"/>
      <c r="V181" s="67"/>
      <c r="W181" s="67"/>
      <c r="X181" s="67"/>
      <c r="Y181" s="67"/>
      <c r="Z181" s="67"/>
      <c r="AA181" s="67"/>
      <c r="AB181" s="67"/>
      <c r="AC181" s="67"/>
      <c r="AD181" s="67"/>
      <c r="AE181" s="67"/>
      <c r="AF181" s="67"/>
      <c r="AG181" s="67"/>
      <c r="AH181" s="67"/>
      <c r="AI181" s="67"/>
      <c r="AJ181" s="67"/>
      <c r="AK181" s="67"/>
      <c r="AL181" s="67"/>
      <c r="AM181" s="67"/>
      <c r="AN181" s="67"/>
      <c r="AO181" s="70"/>
      <c r="AP181" s="70"/>
      <c r="AQ181" s="70"/>
      <c r="AR181" s="70"/>
      <c r="AS181" s="70"/>
      <c r="AT181" s="70"/>
      <c r="AU181" s="70"/>
      <c r="AV181" s="70"/>
      <c r="AW181" s="70"/>
      <c r="AX181" s="70"/>
    </row>
    <row r="182" ht="15.75" customHeight="1">
      <c r="A182" s="90" t="s">
        <v>78</v>
      </c>
      <c r="B182" s="219" t="s">
        <v>1651</v>
      </c>
      <c r="C182" s="28"/>
      <c r="D182" s="28"/>
      <c r="E182" s="28"/>
      <c r="F182" s="28"/>
      <c r="G182" s="28"/>
      <c r="H182" s="28"/>
      <c r="I182" s="28"/>
      <c r="J182" s="28"/>
      <c r="K182" s="28"/>
      <c r="L182" s="28"/>
      <c r="M182" s="28"/>
      <c r="N182" s="28"/>
      <c r="O182" s="67"/>
      <c r="P182" s="67"/>
      <c r="Q182" s="67"/>
      <c r="R182" s="67"/>
      <c r="S182" s="67"/>
      <c r="T182" s="119" t="s">
        <v>1864</v>
      </c>
      <c r="U182" s="67"/>
      <c r="V182" s="67"/>
      <c r="W182" s="67"/>
      <c r="X182" s="67"/>
      <c r="Y182" s="67"/>
      <c r="Z182" s="67"/>
      <c r="AA182" s="67"/>
      <c r="AB182" s="67"/>
      <c r="AC182" s="67"/>
      <c r="AD182" s="67"/>
      <c r="AE182" s="67"/>
      <c r="AF182" s="67"/>
      <c r="AG182" s="67"/>
      <c r="AH182" s="67"/>
      <c r="AI182" s="67"/>
      <c r="AJ182" s="67"/>
      <c r="AK182" s="67"/>
      <c r="AL182" s="67"/>
      <c r="AM182" s="67"/>
      <c r="AN182" s="67"/>
      <c r="AO182" s="70"/>
      <c r="AP182" s="70"/>
      <c r="AQ182" s="70"/>
      <c r="AR182" s="70"/>
      <c r="AS182" s="70"/>
      <c r="AT182" s="70"/>
      <c r="AU182" s="70"/>
      <c r="AV182" s="70"/>
      <c r="AW182" s="70"/>
      <c r="AX182" s="70"/>
    </row>
    <row r="183" ht="15.75" customHeight="1">
      <c r="A183" s="90" t="s">
        <v>78</v>
      </c>
      <c r="B183" s="219" t="s">
        <v>1652</v>
      </c>
      <c r="C183" s="28"/>
      <c r="D183" s="28"/>
      <c r="E183" s="28"/>
      <c r="F183" s="28"/>
      <c r="G183" s="28"/>
      <c r="H183" s="28"/>
      <c r="I183" s="28"/>
      <c r="J183" s="28"/>
      <c r="K183" s="28"/>
      <c r="L183" s="28"/>
      <c r="M183" s="28"/>
      <c r="N183" s="28"/>
      <c r="O183" s="67"/>
      <c r="P183" s="67"/>
      <c r="Q183" s="67"/>
      <c r="R183" s="67"/>
      <c r="S183" s="67"/>
      <c r="T183" s="119" t="s">
        <v>1875</v>
      </c>
      <c r="U183" s="67"/>
      <c r="V183" s="67"/>
      <c r="W183" s="67"/>
      <c r="X183" s="67"/>
      <c r="Y183" s="67"/>
      <c r="Z183" s="67"/>
      <c r="AA183" s="67"/>
      <c r="AB183" s="67"/>
      <c r="AC183" s="67"/>
      <c r="AD183" s="67"/>
      <c r="AE183" s="67"/>
      <c r="AF183" s="67"/>
      <c r="AG183" s="67"/>
      <c r="AH183" s="67"/>
      <c r="AI183" s="67"/>
      <c r="AJ183" s="67"/>
      <c r="AK183" s="67"/>
      <c r="AL183" s="67"/>
      <c r="AM183" s="67"/>
      <c r="AN183" s="67"/>
      <c r="AO183" s="70"/>
      <c r="AP183" s="70"/>
      <c r="AQ183" s="70"/>
      <c r="AR183" s="70"/>
      <c r="AS183" s="70"/>
      <c r="AT183" s="70"/>
      <c r="AU183" s="70"/>
      <c r="AV183" s="70"/>
      <c r="AW183" s="70"/>
      <c r="AX183" s="70"/>
    </row>
    <row r="184" ht="15.75" customHeight="1">
      <c r="A184" s="90" t="s">
        <v>78</v>
      </c>
      <c r="B184" s="219" t="s">
        <v>1654</v>
      </c>
      <c r="C184" s="28"/>
      <c r="D184" s="28"/>
      <c r="E184" s="28"/>
      <c r="F184" s="28"/>
      <c r="G184" s="28"/>
      <c r="H184" s="28"/>
      <c r="I184" s="28"/>
      <c r="J184" s="28"/>
      <c r="K184" s="28"/>
      <c r="L184" s="28"/>
      <c r="M184" s="28"/>
      <c r="N184" s="28"/>
      <c r="O184" s="67"/>
      <c r="P184" s="67"/>
      <c r="Q184" s="67"/>
      <c r="R184" s="67"/>
      <c r="S184" s="67"/>
      <c r="T184" s="119" t="s">
        <v>1883</v>
      </c>
      <c r="U184" s="67"/>
      <c r="V184" s="67"/>
      <c r="W184" s="67"/>
      <c r="X184" s="67"/>
      <c r="Y184" s="67"/>
      <c r="Z184" s="67"/>
      <c r="AA184" s="67"/>
      <c r="AB184" s="67"/>
      <c r="AC184" s="67"/>
      <c r="AD184" s="67"/>
      <c r="AE184" s="67"/>
      <c r="AF184" s="67"/>
      <c r="AG184" s="67"/>
      <c r="AH184" s="67"/>
      <c r="AI184" s="67"/>
      <c r="AJ184" s="67"/>
      <c r="AK184" s="67"/>
      <c r="AL184" s="67"/>
      <c r="AM184" s="67"/>
      <c r="AN184" s="67"/>
      <c r="AO184" s="70"/>
      <c r="AP184" s="70"/>
      <c r="AQ184" s="70"/>
      <c r="AR184" s="70"/>
      <c r="AS184" s="70"/>
      <c r="AT184" s="70"/>
      <c r="AU184" s="70"/>
      <c r="AV184" s="70"/>
      <c r="AW184" s="70"/>
      <c r="AX184" s="70"/>
    </row>
    <row r="185" ht="15.75" customHeight="1">
      <c r="A185" s="90" t="s">
        <v>78</v>
      </c>
      <c r="B185" s="219" t="s">
        <v>1655</v>
      </c>
      <c r="C185" s="28"/>
      <c r="D185" s="28"/>
      <c r="E185" s="28"/>
      <c r="F185" s="28"/>
      <c r="G185" s="28"/>
      <c r="H185" s="28"/>
      <c r="I185" s="28"/>
      <c r="J185" s="28"/>
      <c r="K185" s="28"/>
      <c r="L185" s="28"/>
      <c r="M185" s="28"/>
      <c r="N185" s="28"/>
      <c r="O185" s="67"/>
      <c r="P185" s="67"/>
      <c r="Q185" s="67"/>
      <c r="R185" s="67"/>
      <c r="S185" s="67"/>
      <c r="T185" s="119" t="s">
        <v>1897</v>
      </c>
      <c r="U185" s="67"/>
      <c r="V185" s="67"/>
      <c r="W185" s="67"/>
      <c r="X185" s="67"/>
      <c r="Y185" s="67"/>
      <c r="Z185" s="67"/>
      <c r="AA185" s="67"/>
      <c r="AB185" s="67"/>
      <c r="AC185" s="67"/>
      <c r="AD185" s="67"/>
      <c r="AE185" s="67"/>
      <c r="AF185" s="67"/>
      <c r="AG185" s="67"/>
      <c r="AH185" s="67"/>
      <c r="AI185" s="67"/>
      <c r="AJ185" s="67"/>
      <c r="AK185" s="67"/>
      <c r="AL185" s="67"/>
      <c r="AM185" s="67"/>
      <c r="AN185" s="67"/>
      <c r="AO185" s="70"/>
      <c r="AP185" s="70"/>
      <c r="AQ185" s="70"/>
      <c r="AR185" s="70"/>
      <c r="AS185" s="70"/>
      <c r="AT185" s="70"/>
      <c r="AU185" s="70"/>
      <c r="AV185" s="70"/>
      <c r="AW185" s="70"/>
      <c r="AX185" s="70"/>
    </row>
    <row r="186" ht="15.75" customHeight="1">
      <c r="A186" s="90" t="s">
        <v>78</v>
      </c>
      <c r="B186" s="219" t="s">
        <v>1661</v>
      </c>
      <c r="C186" s="28"/>
      <c r="D186" s="28"/>
      <c r="E186" s="28"/>
      <c r="F186" s="28"/>
      <c r="G186" s="28"/>
      <c r="H186" s="28"/>
      <c r="I186" s="28"/>
      <c r="J186" s="28"/>
      <c r="K186" s="28"/>
      <c r="L186" s="28"/>
      <c r="M186" s="28"/>
      <c r="N186" s="28"/>
      <c r="O186" s="67"/>
      <c r="P186" s="67"/>
      <c r="Q186" s="67"/>
      <c r="R186" s="67"/>
      <c r="S186" s="67"/>
      <c r="T186" s="119" t="s">
        <v>1911</v>
      </c>
      <c r="U186" s="67"/>
      <c r="V186" s="67"/>
      <c r="W186" s="67"/>
      <c r="X186" s="67"/>
      <c r="Y186" s="67"/>
      <c r="Z186" s="67"/>
      <c r="AA186" s="67"/>
      <c r="AB186" s="67"/>
      <c r="AC186" s="67"/>
      <c r="AD186" s="67"/>
      <c r="AE186" s="67"/>
      <c r="AF186" s="67"/>
      <c r="AG186" s="67"/>
      <c r="AH186" s="67"/>
      <c r="AI186" s="67"/>
      <c r="AJ186" s="67"/>
      <c r="AK186" s="67"/>
      <c r="AL186" s="67"/>
      <c r="AM186" s="67"/>
      <c r="AN186" s="67"/>
      <c r="AO186" s="70"/>
      <c r="AP186" s="70"/>
      <c r="AQ186" s="70"/>
      <c r="AR186" s="70"/>
      <c r="AS186" s="70"/>
      <c r="AT186" s="70"/>
      <c r="AU186" s="70"/>
      <c r="AV186" s="70"/>
      <c r="AW186" s="70"/>
      <c r="AX186" s="70"/>
    </row>
    <row r="187" ht="15.75" customHeight="1">
      <c r="A187" s="90" t="s">
        <v>78</v>
      </c>
      <c r="B187" s="219" t="s">
        <v>1668</v>
      </c>
      <c r="C187" s="28"/>
      <c r="D187" s="28"/>
      <c r="E187" s="28"/>
      <c r="F187" s="28"/>
      <c r="G187" s="28"/>
      <c r="H187" s="28"/>
      <c r="I187" s="28"/>
      <c r="J187" s="28"/>
      <c r="K187" s="28"/>
      <c r="L187" s="28"/>
      <c r="M187" s="28"/>
      <c r="N187" s="28"/>
      <c r="O187" s="67"/>
      <c r="P187" s="67"/>
      <c r="Q187" s="67"/>
      <c r="R187" s="67"/>
      <c r="S187" s="67"/>
      <c r="T187" s="119" t="s">
        <v>1926</v>
      </c>
      <c r="U187" s="67"/>
      <c r="V187" s="67"/>
      <c r="W187" s="67"/>
      <c r="X187" s="67"/>
      <c r="Y187" s="67"/>
      <c r="Z187" s="67"/>
      <c r="AA187" s="67"/>
      <c r="AB187" s="67"/>
      <c r="AC187" s="67"/>
      <c r="AD187" s="67"/>
      <c r="AE187" s="67"/>
      <c r="AF187" s="67"/>
      <c r="AG187" s="67"/>
      <c r="AH187" s="67"/>
      <c r="AI187" s="67"/>
      <c r="AJ187" s="67"/>
      <c r="AK187" s="67"/>
      <c r="AL187" s="67"/>
      <c r="AM187" s="67"/>
      <c r="AN187" s="67"/>
      <c r="AO187" s="70"/>
      <c r="AP187" s="70"/>
      <c r="AQ187" s="70"/>
      <c r="AR187" s="70"/>
      <c r="AS187" s="70"/>
      <c r="AT187" s="70"/>
      <c r="AU187" s="70"/>
      <c r="AV187" s="70"/>
      <c r="AW187" s="70"/>
      <c r="AX187" s="70"/>
    </row>
    <row r="188" ht="15.75" customHeight="1">
      <c r="A188" s="90" t="s">
        <v>78</v>
      </c>
      <c r="B188" s="219" t="s">
        <v>1670</v>
      </c>
      <c r="C188" s="28"/>
      <c r="D188" s="28"/>
      <c r="E188" s="28"/>
      <c r="F188" s="28"/>
      <c r="G188" s="28"/>
      <c r="H188" s="28"/>
      <c r="I188" s="28"/>
      <c r="J188" s="28"/>
      <c r="K188" s="28"/>
      <c r="L188" s="28"/>
      <c r="M188" s="28"/>
      <c r="N188" s="28"/>
      <c r="O188" s="67"/>
      <c r="P188" s="67"/>
      <c r="Q188" s="67"/>
      <c r="R188" s="67"/>
      <c r="S188" s="67"/>
      <c r="T188" s="119" t="s">
        <v>1938</v>
      </c>
      <c r="U188" s="67"/>
      <c r="V188" s="67"/>
      <c r="W188" s="67"/>
      <c r="X188" s="67"/>
      <c r="Y188" s="67"/>
      <c r="Z188" s="67"/>
      <c r="AA188" s="67"/>
      <c r="AB188" s="67"/>
      <c r="AC188" s="67"/>
      <c r="AD188" s="67"/>
      <c r="AE188" s="67"/>
      <c r="AF188" s="67"/>
      <c r="AG188" s="67"/>
      <c r="AH188" s="67"/>
      <c r="AI188" s="67"/>
      <c r="AJ188" s="67"/>
      <c r="AK188" s="67"/>
      <c r="AL188" s="67"/>
      <c r="AM188" s="67"/>
      <c r="AN188" s="67"/>
      <c r="AO188" s="70"/>
      <c r="AP188" s="70"/>
      <c r="AQ188" s="70"/>
      <c r="AR188" s="70"/>
      <c r="AS188" s="70"/>
      <c r="AT188" s="70"/>
      <c r="AU188" s="70"/>
      <c r="AV188" s="70"/>
      <c r="AW188" s="70"/>
      <c r="AX188" s="70"/>
    </row>
    <row r="189" ht="15.75" customHeight="1">
      <c r="A189" s="90" t="s">
        <v>78</v>
      </c>
      <c r="B189" s="219" t="s">
        <v>1678</v>
      </c>
      <c r="C189" s="28"/>
      <c r="D189" s="28"/>
      <c r="E189" s="28"/>
      <c r="F189" s="28"/>
      <c r="G189" s="28"/>
      <c r="H189" s="28"/>
      <c r="I189" s="28"/>
      <c r="J189" s="28"/>
      <c r="K189" s="28"/>
      <c r="L189" s="28"/>
      <c r="M189" s="28"/>
      <c r="N189" s="28"/>
      <c r="O189" s="67"/>
      <c r="P189" s="67"/>
      <c r="Q189" s="67"/>
      <c r="R189" s="67"/>
      <c r="S189" s="67"/>
      <c r="T189" s="119" t="s">
        <v>1958</v>
      </c>
      <c r="U189" s="67"/>
      <c r="V189" s="67"/>
      <c r="W189" s="67"/>
      <c r="X189" s="67"/>
      <c r="Y189" s="67"/>
      <c r="Z189" s="67"/>
      <c r="AA189" s="67"/>
      <c r="AB189" s="67"/>
      <c r="AC189" s="67"/>
      <c r="AD189" s="67"/>
      <c r="AE189" s="67"/>
      <c r="AF189" s="67"/>
      <c r="AG189" s="67"/>
      <c r="AH189" s="67"/>
      <c r="AI189" s="67"/>
      <c r="AJ189" s="67"/>
      <c r="AK189" s="67"/>
      <c r="AL189" s="67"/>
      <c r="AM189" s="67"/>
      <c r="AN189" s="67"/>
      <c r="AO189" s="70"/>
      <c r="AP189" s="70"/>
      <c r="AQ189" s="70"/>
      <c r="AR189" s="70"/>
      <c r="AS189" s="70"/>
      <c r="AT189" s="70"/>
      <c r="AU189" s="70"/>
      <c r="AV189" s="70"/>
      <c r="AW189" s="70"/>
      <c r="AX189" s="70"/>
    </row>
    <row r="190" ht="15.75" customHeight="1">
      <c r="A190" s="90" t="s">
        <v>78</v>
      </c>
      <c r="B190" s="219" t="s">
        <v>1685</v>
      </c>
      <c r="C190" s="28"/>
      <c r="D190" s="28"/>
      <c r="E190" s="28"/>
      <c r="F190" s="28"/>
      <c r="G190" s="28"/>
      <c r="H190" s="28"/>
      <c r="I190" s="28"/>
      <c r="J190" s="28"/>
      <c r="K190" s="28"/>
      <c r="L190" s="28"/>
      <c r="M190" s="28"/>
      <c r="N190" s="28"/>
      <c r="O190" s="67"/>
      <c r="P190" s="67"/>
      <c r="Q190" s="67"/>
      <c r="R190" s="67"/>
      <c r="S190" s="67"/>
      <c r="T190" s="119" t="s">
        <v>1970</v>
      </c>
      <c r="U190" s="67"/>
      <c r="V190" s="67"/>
      <c r="W190" s="67"/>
      <c r="X190" s="67"/>
      <c r="Y190" s="67"/>
      <c r="Z190" s="67"/>
      <c r="AA190" s="67"/>
      <c r="AB190" s="67"/>
      <c r="AC190" s="67"/>
      <c r="AD190" s="67"/>
      <c r="AE190" s="67"/>
      <c r="AF190" s="67"/>
      <c r="AG190" s="67"/>
      <c r="AH190" s="67"/>
      <c r="AI190" s="67"/>
      <c r="AJ190" s="67"/>
      <c r="AK190" s="67"/>
      <c r="AL190" s="67"/>
      <c r="AM190" s="67"/>
      <c r="AN190" s="67"/>
      <c r="AO190" s="70"/>
      <c r="AP190" s="70"/>
      <c r="AQ190" s="70"/>
      <c r="AR190" s="70"/>
      <c r="AS190" s="70"/>
      <c r="AT190" s="70"/>
      <c r="AU190" s="70"/>
      <c r="AV190" s="70"/>
      <c r="AW190" s="70"/>
      <c r="AX190" s="70"/>
    </row>
    <row r="191" ht="15.75" customHeight="1">
      <c r="A191" s="90" t="s">
        <v>78</v>
      </c>
      <c r="B191" s="219" t="s">
        <v>1693</v>
      </c>
      <c r="C191" s="28"/>
      <c r="D191" s="28"/>
      <c r="E191" s="28"/>
      <c r="F191" s="28"/>
      <c r="G191" s="28"/>
      <c r="H191" s="28"/>
      <c r="I191" s="28"/>
      <c r="J191" s="28"/>
      <c r="K191" s="28"/>
      <c r="L191" s="28"/>
      <c r="M191" s="28"/>
      <c r="N191" s="28"/>
      <c r="O191" s="67"/>
      <c r="P191" s="67"/>
      <c r="Q191" s="67"/>
      <c r="R191" s="67"/>
      <c r="S191" s="67"/>
      <c r="T191" s="119" t="s">
        <v>1976</v>
      </c>
      <c r="U191" s="67"/>
      <c r="V191" s="67"/>
      <c r="W191" s="67"/>
      <c r="X191" s="67"/>
      <c r="Y191" s="67"/>
      <c r="Z191" s="67"/>
      <c r="AA191" s="67"/>
      <c r="AB191" s="67"/>
      <c r="AC191" s="67"/>
      <c r="AD191" s="67"/>
      <c r="AE191" s="67"/>
      <c r="AF191" s="67"/>
      <c r="AG191" s="67"/>
      <c r="AH191" s="67"/>
      <c r="AI191" s="67"/>
      <c r="AJ191" s="67"/>
      <c r="AK191" s="67"/>
      <c r="AL191" s="67"/>
      <c r="AM191" s="67"/>
      <c r="AN191" s="67"/>
      <c r="AO191" s="70"/>
      <c r="AP191" s="70"/>
      <c r="AQ191" s="70"/>
      <c r="AR191" s="70"/>
      <c r="AS191" s="70"/>
      <c r="AT191" s="70"/>
      <c r="AU191" s="70"/>
      <c r="AV191" s="70"/>
      <c r="AW191" s="70"/>
      <c r="AX191" s="70"/>
    </row>
    <row r="192" ht="15.75" customHeight="1">
      <c r="A192" s="90" t="s">
        <v>78</v>
      </c>
      <c r="B192" s="219" t="s">
        <v>1700</v>
      </c>
      <c r="C192" s="28"/>
      <c r="D192" s="28"/>
      <c r="E192" s="28"/>
      <c r="F192" s="28"/>
      <c r="G192" s="28"/>
      <c r="H192" s="28"/>
      <c r="I192" s="28"/>
      <c r="J192" s="28"/>
      <c r="K192" s="28"/>
      <c r="L192" s="28"/>
      <c r="M192" s="28"/>
      <c r="N192" s="28"/>
      <c r="O192" s="67"/>
      <c r="P192" s="67"/>
      <c r="Q192" s="67"/>
      <c r="R192" s="67"/>
      <c r="S192" s="67"/>
      <c r="T192" s="119" t="s">
        <v>1991</v>
      </c>
      <c r="U192" s="67"/>
      <c r="V192" s="67"/>
      <c r="W192" s="67"/>
      <c r="X192" s="67"/>
      <c r="Y192" s="67"/>
      <c r="Z192" s="67"/>
      <c r="AA192" s="67"/>
      <c r="AB192" s="67"/>
      <c r="AC192" s="67"/>
      <c r="AD192" s="67"/>
      <c r="AE192" s="67"/>
      <c r="AF192" s="67"/>
      <c r="AG192" s="67"/>
      <c r="AH192" s="67"/>
      <c r="AI192" s="67"/>
      <c r="AJ192" s="67"/>
      <c r="AK192" s="67"/>
      <c r="AL192" s="67"/>
      <c r="AM192" s="67"/>
      <c r="AN192" s="67"/>
      <c r="AO192" s="70"/>
      <c r="AP192" s="70"/>
      <c r="AQ192" s="70"/>
      <c r="AR192" s="70"/>
      <c r="AS192" s="70"/>
      <c r="AT192" s="70"/>
      <c r="AU192" s="70"/>
      <c r="AV192" s="70"/>
      <c r="AW192" s="70"/>
      <c r="AX192" s="70"/>
    </row>
    <row r="193" ht="15.75" customHeight="1">
      <c r="A193" s="90" t="s">
        <v>78</v>
      </c>
      <c r="B193" s="219" t="s">
        <v>1705</v>
      </c>
      <c r="C193" s="28"/>
      <c r="D193" s="28"/>
      <c r="E193" s="28"/>
      <c r="F193" s="28"/>
      <c r="G193" s="28"/>
      <c r="H193" s="28"/>
      <c r="I193" s="28"/>
      <c r="J193" s="28"/>
      <c r="K193" s="28"/>
      <c r="L193" s="28"/>
      <c r="M193" s="28"/>
      <c r="N193" s="28"/>
      <c r="O193" s="67"/>
      <c r="P193" s="67"/>
      <c r="Q193" s="67"/>
      <c r="R193" s="67"/>
      <c r="S193" s="67"/>
      <c r="T193" s="119" t="s">
        <v>2006</v>
      </c>
      <c r="U193" s="67"/>
      <c r="V193" s="67"/>
      <c r="W193" s="67"/>
      <c r="X193" s="67"/>
      <c r="Y193" s="67"/>
      <c r="Z193" s="67"/>
      <c r="AA193" s="67"/>
      <c r="AB193" s="67"/>
      <c r="AC193" s="67"/>
      <c r="AD193" s="67"/>
      <c r="AE193" s="67"/>
      <c r="AF193" s="67"/>
      <c r="AG193" s="67"/>
      <c r="AH193" s="67"/>
      <c r="AI193" s="67"/>
      <c r="AJ193" s="67"/>
      <c r="AK193" s="67"/>
      <c r="AL193" s="67"/>
      <c r="AM193" s="67"/>
      <c r="AN193" s="67"/>
      <c r="AO193" s="70"/>
      <c r="AP193" s="70"/>
      <c r="AQ193" s="70"/>
      <c r="AR193" s="70"/>
      <c r="AS193" s="70"/>
      <c r="AT193" s="70"/>
      <c r="AU193" s="70"/>
      <c r="AV193" s="70"/>
      <c r="AW193" s="70"/>
      <c r="AX193" s="70"/>
    </row>
    <row r="194" ht="15.75" customHeight="1">
      <c r="A194" s="90" t="s">
        <v>78</v>
      </c>
      <c r="B194" s="219" t="s">
        <v>1710</v>
      </c>
      <c r="C194" s="28"/>
      <c r="D194" s="28"/>
      <c r="E194" s="28"/>
      <c r="F194" s="28"/>
      <c r="G194" s="28"/>
      <c r="H194" s="28"/>
      <c r="I194" s="28"/>
      <c r="J194" s="28"/>
      <c r="K194" s="28"/>
      <c r="L194" s="28"/>
      <c r="M194" s="28"/>
      <c r="N194" s="28"/>
      <c r="O194" s="67"/>
      <c r="P194" s="67"/>
      <c r="Q194" s="67"/>
      <c r="R194" s="67"/>
      <c r="S194" s="67"/>
      <c r="T194" s="119" t="s">
        <v>2021</v>
      </c>
      <c r="U194" s="67"/>
      <c r="V194" s="67"/>
      <c r="W194" s="67"/>
      <c r="X194" s="67"/>
      <c r="Y194" s="67"/>
      <c r="Z194" s="67"/>
      <c r="AA194" s="67"/>
      <c r="AB194" s="67"/>
      <c r="AC194" s="67"/>
      <c r="AD194" s="67"/>
      <c r="AE194" s="67"/>
      <c r="AF194" s="67"/>
      <c r="AG194" s="67"/>
      <c r="AH194" s="67"/>
      <c r="AI194" s="67"/>
      <c r="AJ194" s="67"/>
      <c r="AK194" s="67"/>
      <c r="AL194" s="67"/>
      <c r="AM194" s="67"/>
      <c r="AN194" s="67"/>
      <c r="AO194" s="70"/>
      <c r="AP194" s="70"/>
      <c r="AQ194" s="70"/>
      <c r="AR194" s="70"/>
      <c r="AS194" s="70"/>
      <c r="AT194" s="70"/>
      <c r="AU194" s="70"/>
      <c r="AV194" s="70"/>
      <c r="AW194" s="70"/>
      <c r="AX194" s="70"/>
    </row>
    <row r="195" ht="15.75" customHeight="1">
      <c r="A195" s="90" t="s">
        <v>78</v>
      </c>
      <c r="B195" s="219" t="s">
        <v>1714</v>
      </c>
      <c r="C195" s="28"/>
      <c r="D195" s="28"/>
      <c r="E195" s="28"/>
      <c r="F195" s="28"/>
      <c r="G195" s="28"/>
      <c r="H195" s="28"/>
      <c r="I195" s="28"/>
      <c r="J195" s="28"/>
      <c r="K195" s="28"/>
      <c r="L195" s="28"/>
      <c r="M195" s="28"/>
      <c r="N195" s="28"/>
      <c r="O195" s="67"/>
      <c r="P195" s="67"/>
      <c r="Q195" s="67"/>
      <c r="R195" s="67"/>
      <c r="S195" s="67"/>
      <c r="T195" s="119" t="s">
        <v>2028</v>
      </c>
      <c r="U195" s="67"/>
      <c r="V195" s="67"/>
      <c r="W195" s="67"/>
      <c r="X195" s="67"/>
      <c r="Y195" s="67"/>
      <c r="Z195" s="67"/>
      <c r="AA195" s="67"/>
      <c r="AB195" s="67"/>
      <c r="AC195" s="67"/>
      <c r="AD195" s="67"/>
      <c r="AE195" s="67"/>
      <c r="AF195" s="67"/>
      <c r="AG195" s="67"/>
      <c r="AH195" s="67"/>
      <c r="AI195" s="67"/>
      <c r="AJ195" s="67"/>
      <c r="AK195" s="67"/>
      <c r="AL195" s="67"/>
      <c r="AM195" s="67"/>
      <c r="AN195" s="67"/>
      <c r="AO195" s="70"/>
      <c r="AP195" s="70"/>
      <c r="AQ195" s="70"/>
      <c r="AR195" s="70"/>
      <c r="AS195" s="70"/>
      <c r="AT195" s="70"/>
      <c r="AU195" s="70"/>
      <c r="AV195" s="70"/>
      <c r="AW195" s="70"/>
      <c r="AX195" s="70"/>
    </row>
    <row r="196" ht="15.75" customHeight="1">
      <c r="A196" s="90" t="s">
        <v>78</v>
      </c>
      <c r="B196" s="219" t="s">
        <v>1720</v>
      </c>
      <c r="C196" s="28"/>
      <c r="D196" s="28"/>
      <c r="E196" s="28"/>
      <c r="F196" s="28"/>
      <c r="G196" s="28"/>
      <c r="H196" s="28"/>
      <c r="I196" s="28"/>
      <c r="J196" s="28"/>
      <c r="K196" s="28"/>
      <c r="L196" s="28"/>
      <c r="M196" s="28"/>
      <c r="N196" s="28"/>
      <c r="O196" s="67"/>
      <c r="P196" s="67"/>
      <c r="Q196" s="67"/>
      <c r="R196" s="67"/>
      <c r="S196" s="67"/>
      <c r="T196" s="119" t="s">
        <v>2035</v>
      </c>
      <c r="U196" s="67"/>
      <c r="V196" s="67"/>
      <c r="W196" s="67"/>
      <c r="X196" s="67"/>
      <c r="Y196" s="67"/>
      <c r="Z196" s="67"/>
      <c r="AA196" s="67"/>
      <c r="AB196" s="67"/>
      <c r="AC196" s="67"/>
      <c r="AD196" s="67"/>
      <c r="AE196" s="67"/>
      <c r="AF196" s="67"/>
      <c r="AG196" s="67"/>
      <c r="AH196" s="67"/>
      <c r="AI196" s="67"/>
      <c r="AJ196" s="67"/>
      <c r="AK196" s="67"/>
      <c r="AL196" s="67"/>
      <c r="AM196" s="67"/>
      <c r="AN196" s="67"/>
      <c r="AO196" s="70"/>
      <c r="AP196" s="70"/>
      <c r="AQ196" s="70"/>
      <c r="AR196" s="70"/>
      <c r="AS196" s="70"/>
      <c r="AT196" s="70"/>
      <c r="AU196" s="70"/>
      <c r="AV196" s="70"/>
      <c r="AW196" s="70"/>
      <c r="AX196" s="70"/>
    </row>
    <row r="197" ht="15.75" customHeight="1">
      <c r="A197" s="90" t="s">
        <v>78</v>
      </c>
      <c r="B197" s="219" t="s">
        <v>1727</v>
      </c>
      <c r="C197" s="28"/>
      <c r="D197" s="28"/>
      <c r="E197" s="28"/>
      <c r="F197" s="28"/>
      <c r="G197" s="28"/>
      <c r="H197" s="28"/>
      <c r="I197" s="28"/>
      <c r="J197" s="28"/>
      <c r="K197" s="28"/>
      <c r="L197" s="28"/>
      <c r="M197" s="28"/>
      <c r="N197" s="28"/>
      <c r="O197" s="67"/>
      <c r="P197" s="67"/>
      <c r="Q197" s="67"/>
      <c r="R197" s="67"/>
      <c r="S197" s="67"/>
      <c r="T197" s="119" t="s">
        <v>2044</v>
      </c>
      <c r="U197" s="67"/>
      <c r="V197" s="67"/>
      <c r="W197" s="67"/>
      <c r="X197" s="67"/>
      <c r="Y197" s="67"/>
      <c r="Z197" s="67"/>
      <c r="AA197" s="67"/>
      <c r="AB197" s="67"/>
      <c r="AC197" s="67"/>
      <c r="AD197" s="67"/>
      <c r="AE197" s="67"/>
      <c r="AF197" s="67"/>
      <c r="AG197" s="67"/>
      <c r="AH197" s="67"/>
      <c r="AI197" s="67"/>
      <c r="AJ197" s="67"/>
      <c r="AK197" s="67"/>
      <c r="AL197" s="67"/>
      <c r="AM197" s="67"/>
      <c r="AN197" s="67"/>
      <c r="AO197" s="70"/>
      <c r="AP197" s="70"/>
      <c r="AQ197" s="70"/>
      <c r="AR197" s="70"/>
      <c r="AS197" s="70"/>
      <c r="AT197" s="70"/>
      <c r="AU197" s="70"/>
      <c r="AV197" s="70"/>
      <c r="AW197" s="70"/>
      <c r="AX197" s="70"/>
    </row>
    <row r="198" ht="15.75" customHeight="1">
      <c r="A198" s="90" t="s">
        <v>78</v>
      </c>
      <c r="B198" s="219" t="s">
        <v>1732</v>
      </c>
      <c r="C198" s="28"/>
      <c r="D198" s="28"/>
      <c r="E198" s="28"/>
      <c r="F198" s="28"/>
      <c r="G198" s="28"/>
      <c r="H198" s="28"/>
      <c r="I198" s="28"/>
      <c r="J198" s="28"/>
      <c r="K198" s="28"/>
      <c r="L198" s="28"/>
      <c r="M198" s="28"/>
      <c r="N198" s="28"/>
      <c r="O198" s="67"/>
      <c r="P198" s="67"/>
      <c r="Q198" s="67"/>
      <c r="R198" s="67"/>
      <c r="S198" s="67"/>
      <c r="T198" s="119" t="s">
        <v>2060</v>
      </c>
      <c r="U198" s="67"/>
      <c r="V198" s="67"/>
      <c r="W198" s="67"/>
      <c r="X198" s="67"/>
      <c r="Y198" s="67"/>
      <c r="Z198" s="67"/>
      <c r="AA198" s="67"/>
      <c r="AB198" s="67"/>
      <c r="AC198" s="67"/>
      <c r="AD198" s="67"/>
      <c r="AE198" s="67"/>
      <c r="AF198" s="67"/>
      <c r="AG198" s="67"/>
      <c r="AH198" s="67"/>
      <c r="AI198" s="67"/>
      <c r="AJ198" s="67"/>
      <c r="AK198" s="67"/>
      <c r="AL198" s="67"/>
      <c r="AM198" s="67"/>
      <c r="AN198" s="67"/>
      <c r="AO198" s="70"/>
      <c r="AP198" s="70"/>
      <c r="AQ198" s="70"/>
      <c r="AR198" s="70"/>
      <c r="AS198" s="70"/>
      <c r="AT198" s="70"/>
      <c r="AU198" s="70"/>
      <c r="AV198" s="70"/>
      <c r="AW198" s="70"/>
      <c r="AX198" s="70"/>
    </row>
    <row r="199" ht="15.75" customHeight="1">
      <c r="A199" s="90" t="s">
        <v>78</v>
      </c>
      <c r="B199" s="219" t="s">
        <v>1738</v>
      </c>
      <c r="C199" s="28"/>
      <c r="D199" s="28"/>
      <c r="E199" s="28"/>
      <c r="F199" s="28"/>
      <c r="G199" s="28"/>
      <c r="H199" s="28"/>
      <c r="I199" s="28"/>
      <c r="J199" s="28"/>
      <c r="K199" s="28"/>
      <c r="L199" s="28"/>
      <c r="M199" s="28"/>
      <c r="N199" s="28"/>
      <c r="O199" s="67"/>
      <c r="P199" s="67"/>
      <c r="Q199" s="67"/>
      <c r="R199" s="67"/>
      <c r="S199" s="67"/>
      <c r="T199" s="119" t="s">
        <v>2066</v>
      </c>
      <c r="U199" s="67"/>
      <c r="V199" s="67"/>
      <c r="W199" s="67"/>
      <c r="X199" s="67"/>
      <c r="Y199" s="67"/>
      <c r="Z199" s="67"/>
      <c r="AA199" s="67"/>
      <c r="AB199" s="67"/>
      <c r="AC199" s="67"/>
      <c r="AD199" s="67"/>
      <c r="AE199" s="67"/>
      <c r="AF199" s="67"/>
      <c r="AG199" s="67"/>
      <c r="AH199" s="67"/>
      <c r="AI199" s="67"/>
      <c r="AJ199" s="67"/>
      <c r="AK199" s="67"/>
      <c r="AL199" s="67"/>
      <c r="AM199" s="67"/>
      <c r="AN199" s="67"/>
      <c r="AO199" s="70"/>
      <c r="AP199" s="70"/>
      <c r="AQ199" s="70"/>
      <c r="AR199" s="70"/>
      <c r="AS199" s="70"/>
      <c r="AT199" s="70"/>
      <c r="AU199" s="70"/>
      <c r="AV199" s="70"/>
      <c r="AW199" s="70"/>
      <c r="AX199" s="70"/>
    </row>
    <row r="200" ht="15.75" customHeight="1">
      <c r="A200" s="90" t="s">
        <v>78</v>
      </c>
      <c r="B200" s="219" t="s">
        <v>1744</v>
      </c>
      <c r="C200" s="28"/>
      <c r="D200" s="28"/>
      <c r="E200" s="28"/>
      <c r="F200" s="28"/>
      <c r="G200" s="28"/>
      <c r="H200" s="28"/>
      <c r="I200" s="28"/>
      <c r="J200" s="28"/>
      <c r="K200" s="28"/>
      <c r="L200" s="28"/>
      <c r="M200" s="28"/>
      <c r="N200" s="28"/>
      <c r="O200" s="67"/>
      <c r="P200" s="67"/>
      <c r="Q200" s="67"/>
      <c r="R200" s="67"/>
      <c r="S200" s="67"/>
      <c r="T200" s="119" t="s">
        <v>2073</v>
      </c>
      <c r="U200" s="67"/>
      <c r="V200" s="67"/>
      <c r="W200" s="67"/>
      <c r="X200" s="67"/>
      <c r="Y200" s="67"/>
      <c r="Z200" s="67"/>
      <c r="AA200" s="67"/>
      <c r="AB200" s="67"/>
      <c r="AC200" s="67"/>
      <c r="AD200" s="67"/>
      <c r="AE200" s="67"/>
      <c r="AF200" s="67"/>
      <c r="AG200" s="67"/>
      <c r="AH200" s="67"/>
      <c r="AI200" s="67"/>
      <c r="AJ200" s="67"/>
      <c r="AK200" s="67"/>
      <c r="AL200" s="67"/>
      <c r="AM200" s="67"/>
      <c r="AN200" s="67"/>
      <c r="AO200" s="70"/>
      <c r="AP200" s="70"/>
      <c r="AQ200" s="70"/>
      <c r="AR200" s="70"/>
      <c r="AS200" s="70"/>
      <c r="AT200" s="70"/>
      <c r="AU200" s="70"/>
      <c r="AV200" s="70"/>
      <c r="AW200" s="70"/>
      <c r="AX200" s="70"/>
    </row>
    <row r="201" ht="15.75" customHeight="1">
      <c r="A201" s="90" t="s">
        <v>78</v>
      </c>
      <c r="B201" s="219" t="s">
        <v>1750</v>
      </c>
      <c r="C201" s="28"/>
      <c r="D201" s="28"/>
      <c r="E201" s="28"/>
      <c r="F201" s="28"/>
      <c r="G201" s="28"/>
      <c r="H201" s="28"/>
      <c r="I201" s="28"/>
      <c r="J201" s="28"/>
      <c r="K201" s="28"/>
      <c r="L201" s="28"/>
      <c r="M201" s="28"/>
      <c r="N201" s="28"/>
      <c r="O201" s="67"/>
      <c r="P201" s="67"/>
      <c r="Q201" s="67"/>
      <c r="R201" s="67"/>
      <c r="S201" s="67"/>
      <c r="T201" s="119" t="s">
        <v>2083</v>
      </c>
      <c r="U201" s="67"/>
      <c r="V201" s="67"/>
      <c r="W201" s="67"/>
      <c r="X201" s="67"/>
      <c r="Y201" s="67"/>
      <c r="Z201" s="67"/>
      <c r="AA201" s="67"/>
      <c r="AB201" s="67"/>
      <c r="AC201" s="67"/>
      <c r="AD201" s="67"/>
      <c r="AE201" s="67"/>
      <c r="AF201" s="67"/>
      <c r="AG201" s="67"/>
      <c r="AH201" s="67"/>
      <c r="AI201" s="67"/>
      <c r="AJ201" s="67"/>
      <c r="AK201" s="67"/>
      <c r="AL201" s="67"/>
      <c r="AM201" s="67"/>
      <c r="AN201" s="67"/>
      <c r="AO201" s="70"/>
      <c r="AP201" s="70"/>
      <c r="AQ201" s="70"/>
      <c r="AR201" s="70"/>
      <c r="AS201" s="70"/>
      <c r="AT201" s="70"/>
      <c r="AU201" s="70"/>
      <c r="AV201" s="70"/>
      <c r="AW201" s="70"/>
      <c r="AX201" s="70"/>
    </row>
    <row r="202" ht="15.75" customHeight="1">
      <c r="A202" s="90" t="s">
        <v>78</v>
      </c>
      <c r="B202" s="219" t="s">
        <v>1758</v>
      </c>
      <c r="C202" s="28"/>
      <c r="D202" s="28"/>
      <c r="E202" s="28"/>
      <c r="F202" s="28"/>
      <c r="G202" s="28"/>
      <c r="H202" s="28"/>
      <c r="I202" s="28"/>
      <c r="J202" s="28"/>
      <c r="K202" s="28"/>
      <c r="L202" s="28"/>
      <c r="M202" s="28"/>
      <c r="N202" s="28"/>
      <c r="O202" s="67"/>
      <c r="P202" s="67"/>
      <c r="Q202" s="67"/>
      <c r="R202" s="67"/>
      <c r="S202" s="67"/>
      <c r="T202" s="119" t="s">
        <v>2095</v>
      </c>
      <c r="U202" s="67"/>
      <c r="V202" s="67"/>
      <c r="W202" s="67"/>
      <c r="X202" s="67"/>
      <c r="Y202" s="67"/>
      <c r="Z202" s="67"/>
      <c r="AA202" s="67"/>
      <c r="AB202" s="67"/>
      <c r="AC202" s="67"/>
      <c r="AD202" s="67"/>
      <c r="AE202" s="67"/>
      <c r="AF202" s="67"/>
      <c r="AG202" s="67"/>
      <c r="AH202" s="67"/>
      <c r="AI202" s="67"/>
      <c r="AJ202" s="67"/>
      <c r="AK202" s="67"/>
      <c r="AL202" s="67"/>
      <c r="AM202" s="67"/>
      <c r="AN202" s="67"/>
      <c r="AO202" s="70"/>
      <c r="AP202" s="70"/>
      <c r="AQ202" s="70"/>
      <c r="AR202" s="70"/>
      <c r="AS202" s="70"/>
      <c r="AT202" s="70"/>
      <c r="AU202" s="70"/>
      <c r="AV202" s="70"/>
      <c r="AW202" s="70"/>
      <c r="AX202" s="70"/>
    </row>
    <row r="203" ht="15.75" customHeight="1">
      <c r="A203" s="90" t="s">
        <v>78</v>
      </c>
      <c r="B203" s="219" t="s">
        <v>1766</v>
      </c>
      <c r="C203" s="28"/>
      <c r="D203" s="28"/>
      <c r="E203" s="28"/>
      <c r="F203" s="28"/>
      <c r="G203" s="28"/>
      <c r="H203" s="28"/>
      <c r="I203" s="28"/>
      <c r="J203" s="28"/>
      <c r="K203" s="28"/>
      <c r="L203" s="28"/>
      <c r="M203" s="28"/>
      <c r="N203" s="28"/>
      <c r="O203" s="67"/>
      <c r="P203" s="67"/>
      <c r="Q203" s="67"/>
      <c r="R203" s="67"/>
      <c r="S203" s="67"/>
      <c r="T203" s="119" t="s">
        <v>2112</v>
      </c>
      <c r="U203" s="67"/>
      <c r="V203" s="67"/>
      <c r="W203" s="67"/>
      <c r="X203" s="67"/>
      <c r="Y203" s="67"/>
      <c r="Z203" s="67"/>
      <c r="AA203" s="67"/>
      <c r="AB203" s="67"/>
      <c r="AC203" s="67"/>
      <c r="AD203" s="67"/>
      <c r="AE203" s="67"/>
      <c r="AF203" s="67"/>
      <c r="AG203" s="67"/>
      <c r="AH203" s="67"/>
      <c r="AI203" s="67"/>
      <c r="AJ203" s="67"/>
      <c r="AK203" s="67"/>
      <c r="AL203" s="67"/>
      <c r="AM203" s="67"/>
      <c r="AN203" s="67"/>
      <c r="AO203" s="70"/>
      <c r="AP203" s="70"/>
      <c r="AQ203" s="70"/>
      <c r="AR203" s="70"/>
      <c r="AS203" s="70"/>
      <c r="AT203" s="70"/>
      <c r="AU203" s="70"/>
      <c r="AV203" s="70"/>
      <c r="AW203" s="70"/>
      <c r="AX203" s="70"/>
    </row>
    <row r="204" ht="15.75" customHeight="1">
      <c r="A204" s="90" t="s">
        <v>78</v>
      </c>
      <c r="B204" s="219" t="s">
        <v>1774</v>
      </c>
      <c r="C204" s="28"/>
      <c r="D204" s="28"/>
      <c r="E204" s="28"/>
      <c r="F204" s="28"/>
      <c r="G204" s="28"/>
      <c r="H204" s="28"/>
      <c r="I204" s="28"/>
      <c r="J204" s="28"/>
      <c r="K204" s="28"/>
      <c r="L204" s="28"/>
      <c r="M204" s="28"/>
      <c r="N204" s="28"/>
      <c r="O204" s="67"/>
      <c r="P204" s="67"/>
      <c r="Q204" s="67"/>
      <c r="R204" s="67"/>
      <c r="S204" s="67"/>
      <c r="T204" s="119" t="s">
        <v>2119</v>
      </c>
      <c r="U204" s="67"/>
      <c r="V204" s="67"/>
      <c r="W204" s="67"/>
      <c r="X204" s="67"/>
      <c r="Y204" s="67"/>
      <c r="Z204" s="67"/>
      <c r="AA204" s="67"/>
      <c r="AB204" s="67"/>
      <c r="AC204" s="67"/>
      <c r="AD204" s="67"/>
      <c r="AE204" s="67"/>
      <c r="AF204" s="67"/>
      <c r="AG204" s="67"/>
      <c r="AH204" s="67"/>
      <c r="AI204" s="67"/>
      <c r="AJ204" s="67"/>
      <c r="AK204" s="67"/>
      <c r="AL204" s="67"/>
      <c r="AM204" s="67"/>
      <c r="AN204" s="67"/>
      <c r="AO204" s="70"/>
      <c r="AP204" s="70"/>
      <c r="AQ204" s="70"/>
      <c r="AR204" s="70"/>
      <c r="AS204" s="70"/>
      <c r="AT204" s="70"/>
      <c r="AU204" s="70"/>
      <c r="AV204" s="70"/>
      <c r="AW204" s="70"/>
      <c r="AX204" s="70"/>
    </row>
    <row r="205" ht="15.75" customHeight="1">
      <c r="A205" s="90" t="s">
        <v>78</v>
      </c>
      <c r="B205" s="219" t="s">
        <v>1781</v>
      </c>
      <c r="C205" s="28"/>
      <c r="D205" s="28"/>
      <c r="E205" s="28"/>
      <c r="F205" s="28"/>
      <c r="G205" s="28"/>
      <c r="H205" s="28"/>
      <c r="I205" s="28"/>
      <c r="J205" s="28"/>
      <c r="K205" s="28"/>
      <c r="L205" s="28"/>
      <c r="M205" s="28"/>
      <c r="N205" s="28"/>
      <c r="O205" s="67"/>
      <c r="P205" s="67"/>
      <c r="Q205" s="67"/>
      <c r="R205" s="67"/>
      <c r="S205" s="67"/>
      <c r="T205" s="119" t="s">
        <v>2130</v>
      </c>
      <c r="U205" s="67"/>
      <c r="V205" s="67"/>
      <c r="W205" s="67"/>
      <c r="X205" s="67"/>
      <c r="Y205" s="67"/>
      <c r="Z205" s="67"/>
      <c r="AA205" s="67"/>
      <c r="AB205" s="67"/>
      <c r="AC205" s="67"/>
      <c r="AD205" s="67"/>
      <c r="AE205" s="67"/>
      <c r="AF205" s="67"/>
      <c r="AG205" s="67"/>
      <c r="AH205" s="67"/>
      <c r="AI205" s="67"/>
      <c r="AJ205" s="67"/>
      <c r="AK205" s="67"/>
      <c r="AL205" s="67"/>
      <c r="AM205" s="67"/>
      <c r="AN205" s="67"/>
      <c r="AO205" s="70"/>
      <c r="AP205" s="70"/>
      <c r="AQ205" s="70"/>
      <c r="AR205" s="70"/>
      <c r="AS205" s="70"/>
      <c r="AT205" s="70"/>
      <c r="AU205" s="70"/>
      <c r="AV205" s="70"/>
      <c r="AW205" s="70"/>
      <c r="AX205" s="70"/>
    </row>
    <row r="206" ht="15.75" customHeight="1">
      <c r="A206" s="90" t="s">
        <v>78</v>
      </c>
      <c r="B206" s="219" t="s">
        <v>1785</v>
      </c>
      <c r="C206" s="28"/>
      <c r="D206" s="28"/>
      <c r="E206" s="28"/>
      <c r="F206" s="28"/>
      <c r="G206" s="28"/>
      <c r="H206" s="28"/>
      <c r="I206" s="28"/>
      <c r="J206" s="28"/>
      <c r="K206" s="28"/>
      <c r="L206" s="28"/>
      <c r="M206" s="28"/>
      <c r="N206" s="28"/>
      <c r="O206" s="67"/>
      <c r="P206" s="67"/>
      <c r="Q206" s="67"/>
      <c r="R206" s="67"/>
      <c r="S206" s="67"/>
      <c r="T206" s="119" t="s">
        <v>2145</v>
      </c>
      <c r="U206" s="67"/>
      <c r="V206" s="67"/>
      <c r="W206" s="67"/>
      <c r="X206" s="67"/>
      <c r="Y206" s="67"/>
      <c r="Z206" s="67"/>
      <c r="AA206" s="67"/>
      <c r="AB206" s="67"/>
      <c r="AC206" s="67"/>
      <c r="AD206" s="67"/>
      <c r="AE206" s="67"/>
      <c r="AF206" s="67"/>
      <c r="AG206" s="67"/>
      <c r="AH206" s="67"/>
      <c r="AI206" s="67"/>
      <c r="AJ206" s="67"/>
      <c r="AK206" s="67"/>
      <c r="AL206" s="67"/>
      <c r="AM206" s="67"/>
      <c r="AN206" s="67"/>
      <c r="AO206" s="70"/>
      <c r="AP206" s="70"/>
      <c r="AQ206" s="70"/>
      <c r="AR206" s="70"/>
      <c r="AS206" s="70"/>
      <c r="AT206" s="70"/>
      <c r="AU206" s="70"/>
      <c r="AV206" s="70"/>
      <c r="AW206" s="70"/>
      <c r="AX206" s="70"/>
    </row>
    <row r="207" ht="15.75" customHeight="1">
      <c r="A207" s="90" t="s">
        <v>78</v>
      </c>
      <c r="B207" s="219" t="s">
        <v>1792</v>
      </c>
      <c r="C207" s="28"/>
      <c r="D207" s="28"/>
      <c r="E207" s="28"/>
      <c r="F207" s="28"/>
      <c r="G207" s="28"/>
      <c r="H207" s="28"/>
      <c r="I207" s="28"/>
      <c r="J207" s="28"/>
      <c r="K207" s="28"/>
      <c r="L207" s="28"/>
      <c r="M207" s="28"/>
      <c r="N207" s="28"/>
      <c r="O207" s="67"/>
      <c r="P207" s="67"/>
      <c r="Q207" s="67"/>
      <c r="R207" s="67"/>
      <c r="S207" s="67"/>
      <c r="T207" s="119" t="s">
        <v>2161</v>
      </c>
      <c r="U207" s="67"/>
      <c r="V207" s="67"/>
      <c r="W207" s="67"/>
      <c r="X207" s="67"/>
      <c r="Y207" s="67"/>
      <c r="Z207" s="67"/>
      <c r="AA207" s="67"/>
      <c r="AB207" s="67"/>
      <c r="AC207" s="67"/>
      <c r="AD207" s="67"/>
      <c r="AE207" s="67"/>
      <c r="AF207" s="67"/>
      <c r="AG207" s="67"/>
      <c r="AH207" s="67"/>
      <c r="AI207" s="67"/>
      <c r="AJ207" s="67"/>
      <c r="AK207" s="67"/>
      <c r="AL207" s="67"/>
      <c r="AM207" s="67"/>
      <c r="AN207" s="67"/>
      <c r="AO207" s="70"/>
      <c r="AP207" s="70"/>
      <c r="AQ207" s="70"/>
      <c r="AR207" s="70"/>
      <c r="AS207" s="70"/>
      <c r="AT207" s="70"/>
      <c r="AU207" s="70"/>
      <c r="AV207" s="70"/>
      <c r="AW207" s="70"/>
      <c r="AX207" s="70"/>
    </row>
    <row r="208" ht="15.75" customHeight="1">
      <c r="A208" s="90" t="s">
        <v>78</v>
      </c>
      <c r="B208" s="219" t="s">
        <v>1800</v>
      </c>
      <c r="C208" s="28"/>
      <c r="D208" s="28"/>
      <c r="E208" s="28"/>
      <c r="F208" s="28"/>
      <c r="G208" s="28"/>
      <c r="H208" s="28"/>
      <c r="I208" s="28"/>
      <c r="J208" s="28"/>
      <c r="K208" s="28"/>
      <c r="L208" s="28"/>
      <c r="M208" s="28"/>
      <c r="N208" s="28"/>
      <c r="O208" s="67"/>
      <c r="P208" s="67"/>
      <c r="Q208" s="67"/>
      <c r="R208" s="67"/>
      <c r="S208" s="67"/>
      <c r="T208" s="119" t="s">
        <v>2161</v>
      </c>
      <c r="U208" s="67"/>
      <c r="V208" s="67"/>
      <c r="W208" s="67"/>
      <c r="X208" s="67"/>
      <c r="Y208" s="67"/>
      <c r="Z208" s="67"/>
      <c r="AA208" s="67"/>
      <c r="AB208" s="67"/>
      <c r="AC208" s="67"/>
      <c r="AD208" s="67"/>
      <c r="AE208" s="67"/>
      <c r="AF208" s="67"/>
      <c r="AG208" s="67"/>
      <c r="AH208" s="67"/>
      <c r="AI208" s="67"/>
      <c r="AJ208" s="67"/>
      <c r="AK208" s="67"/>
      <c r="AL208" s="67"/>
      <c r="AM208" s="67"/>
      <c r="AN208" s="67"/>
      <c r="AO208" s="70"/>
      <c r="AP208" s="70"/>
      <c r="AQ208" s="70"/>
      <c r="AR208" s="70"/>
      <c r="AS208" s="70"/>
      <c r="AT208" s="70"/>
      <c r="AU208" s="70"/>
      <c r="AV208" s="70"/>
      <c r="AW208" s="70"/>
      <c r="AX208" s="70"/>
    </row>
    <row r="209" ht="15.75" customHeight="1">
      <c r="A209" s="90" t="s">
        <v>78</v>
      </c>
      <c r="B209" s="219" t="s">
        <v>1802</v>
      </c>
      <c r="C209" s="28"/>
      <c r="D209" s="28"/>
      <c r="E209" s="28"/>
      <c r="F209" s="28"/>
      <c r="G209" s="28"/>
      <c r="H209" s="28"/>
      <c r="I209" s="28"/>
      <c r="J209" s="28"/>
      <c r="K209" s="28"/>
      <c r="L209" s="28"/>
      <c r="M209" s="28"/>
      <c r="N209" s="28"/>
      <c r="O209" s="67"/>
      <c r="P209" s="67"/>
      <c r="Q209" s="67"/>
      <c r="R209" s="67"/>
      <c r="S209" s="67"/>
      <c r="T209" s="119" t="s">
        <v>2190</v>
      </c>
      <c r="U209" s="67"/>
      <c r="V209" s="67"/>
      <c r="W209" s="67"/>
      <c r="X209" s="67"/>
      <c r="Y209" s="67"/>
      <c r="Z209" s="67"/>
      <c r="AA209" s="67"/>
      <c r="AB209" s="67"/>
      <c r="AC209" s="67"/>
      <c r="AD209" s="67"/>
      <c r="AE209" s="67"/>
      <c r="AF209" s="67"/>
      <c r="AG209" s="67"/>
      <c r="AH209" s="67"/>
      <c r="AI209" s="67"/>
      <c r="AJ209" s="67"/>
      <c r="AK209" s="67"/>
      <c r="AL209" s="67"/>
      <c r="AM209" s="67"/>
      <c r="AN209" s="67"/>
      <c r="AO209" s="70"/>
      <c r="AP209" s="70"/>
      <c r="AQ209" s="70"/>
      <c r="AR209" s="70"/>
      <c r="AS209" s="70"/>
      <c r="AT209" s="70"/>
      <c r="AU209" s="70"/>
      <c r="AV209" s="70"/>
      <c r="AW209" s="70"/>
      <c r="AX209" s="70"/>
    </row>
    <row r="210" ht="15.75" customHeight="1">
      <c r="A210" s="221"/>
      <c r="B210" s="222"/>
      <c r="C210" s="28"/>
      <c r="D210" s="28"/>
      <c r="E210" s="28"/>
      <c r="F210" s="28"/>
      <c r="G210" s="28"/>
      <c r="H210" s="28"/>
      <c r="I210" s="28"/>
      <c r="J210" s="28"/>
      <c r="K210" s="28"/>
      <c r="L210" s="28"/>
      <c r="M210" s="28"/>
      <c r="N210" s="28"/>
      <c r="O210" s="70"/>
      <c r="P210" s="70"/>
      <c r="Q210" s="70"/>
      <c r="R210" s="70"/>
      <c r="S210" s="70"/>
      <c r="T210" s="70"/>
      <c r="U210" s="70"/>
      <c r="V210" s="70"/>
      <c r="W210" s="70"/>
      <c r="X210" s="70"/>
      <c r="Y210" s="70"/>
      <c r="Z210" s="70"/>
      <c r="AA210" s="70"/>
      <c r="AB210" s="70"/>
      <c r="AC210" s="70"/>
      <c r="AD210" s="70"/>
      <c r="AE210" s="70"/>
      <c r="AF210" s="70"/>
      <c r="AG210" s="70"/>
      <c r="AH210" s="70"/>
      <c r="AI210" s="70"/>
      <c r="AJ210" s="70"/>
      <c r="AK210" s="70"/>
      <c r="AL210" s="70"/>
      <c r="AM210" s="70"/>
      <c r="AN210" s="70"/>
      <c r="AO210" s="70"/>
      <c r="AP210" s="70"/>
      <c r="AQ210" s="70"/>
      <c r="AR210" s="70"/>
      <c r="AS210" s="70"/>
      <c r="AT210" s="70"/>
      <c r="AU210" s="70"/>
      <c r="AV210" s="70"/>
      <c r="AW210" s="70"/>
      <c r="AX210" s="70"/>
    </row>
    <row r="211" ht="15.75" customHeight="1">
      <c r="A211" s="90" t="s">
        <v>78</v>
      </c>
      <c r="B211" s="219" t="s">
        <v>1813</v>
      </c>
      <c r="C211" s="28"/>
      <c r="D211" s="28"/>
      <c r="E211" s="28"/>
      <c r="F211" s="28"/>
      <c r="G211" s="28"/>
      <c r="H211" s="28"/>
      <c r="I211" s="28"/>
      <c r="J211" s="28"/>
      <c r="K211" s="28"/>
      <c r="L211" s="28"/>
      <c r="M211" s="28"/>
      <c r="N211" s="28"/>
      <c r="O211" s="220"/>
      <c r="P211" s="220"/>
      <c r="Q211" s="220"/>
      <c r="R211" s="220"/>
      <c r="S211" s="220"/>
      <c r="T211" s="119" t="s">
        <v>2210</v>
      </c>
      <c r="U211" s="67"/>
      <c r="V211" s="67"/>
      <c r="W211" s="67"/>
      <c r="X211" s="67"/>
      <c r="Y211" s="67"/>
      <c r="Z211" s="67"/>
      <c r="AA211" s="67"/>
      <c r="AB211" s="67"/>
      <c r="AC211" s="67"/>
      <c r="AD211" s="67"/>
      <c r="AE211" s="67"/>
      <c r="AF211" s="67"/>
      <c r="AG211" s="67"/>
      <c r="AH211" s="67"/>
      <c r="AI211" s="67"/>
      <c r="AJ211" s="67"/>
      <c r="AK211" s="67"/>
      <c r="AL211" s="67"/>
      <c r="AM211" s="67"/>
      <c r="AN211" s="67"/>
      <c r="AO211" s="70"/>
      <c r="AP211" s="70"/>
      <c r="AQ211" s="70"/>
      <c r="AR211" s="70"/>
      <c r="AS211" s="70"/>
      <c r="AT211" s="70"/>
      <c r="AU211" s="70"/>
      <c r="AV211" s="70"/>
      <c r="AW211" s="70"/>
      <c r="AX211" s="70"/>
    </row>
    <row r="212" ht="15.75" customHeight="1">
      <c r="A212" s="90" t="s">
        <v>78</v>
      </c>
      <c r="B212" s="219" t="s">
        <v>1816</v>
      </c>
      <c r="C212" s="28"/>
      <c r="D212" s="28"/>
      <c r="E212" s="28"/>
      <c r="F212" s="28"/>
      <c r="G212" s="28"/>
      <c r="H212" s="28"/>
      <c r="I212" s="28"/>
      <c r="J212" s="28"/>
      <c r="K212" s="28"/>
      <c r="L212" s="28"/>
      <c r="M212" s="28"/>
      <c r="N212" s="28"/>
      <c r="O212" s="67"/>
      <c r="P212" s="67"/>
      <c r="Q212" s="67"/>
      <c r="R212" s="67"/>
      <c r="S212" s="67"/>
      <c r="T212" s="119" t="s">
        <v>2226</v>
      </c>
      <c r="U212" s="67"/>
      <c r="V212" s="67"/>
      <c r="W212" s="67"/>
      <c r="X212" s="67"/>
      <c r="Y212" s="67"/>
      <c r="Z212" s="67"/>
      <c r="AA212" s="67"/>
      <c r="AB212" s="67"/>
      <c r="AC212" s="67"/>
      <c r="AD212" s="67"/>
      <c r="AE212" s="67"/>
      <c r="AF212" s="67"/>
      <c r="AG212" s="67"/>
      <c r="AH212" s="67"/>
      <c r="AI212" s="67"/>
      <c r="AJ212" s="67"/>
      <c r="AK212" s="67"/>
      <c r="AL212" s="67"/>
      <c r="AM212" s="67"/>
      <c r="AN212" s="67"/>
      <c r="AO212" s="70"/>
      <c r="AP212" s="70"/>
      <c r="AQ212" s="70"/>
      <c r="AR212" s="70"/>
      <c r="AS212" s="70"/>
      <c r="AT212" s="70"/>
      <c r="AU212" s="70"/>
      <c r="AV212" s="70"/>
      <c r="AW212" s="70"/>
      <c r="AX212" s="70"/>
    </row>
    <row r="213" ht="15.75" customHeight="1">
      <c r="A213" s="90" t="s">
        <v>78</v>
      </c>
      <c r="B213" s="219" t="s">
        <v>1820</v>
      </c>
      <c r="C213" s="28"/>
      <c r="D213" s="28"/>
      <c r="E213" s="28"/>
      <c r="F213" s="28"/>
      <c r="G213" s="28"/>
      <c r="H213" s="28"/>
      <c r="I213" s="28"/>
      <c r="J213" s="28"/>
      <c r="K213" s="28"/>
      <c r="L213" s="28"/>
      <c r="M213" s="28"/>
      <c r="N213" s="28"/>
      <c r="O213" s="67"/>
      <c r="P213" s="67"/>
      <c r="Q213" s="67"/>
      <c r="R213" s="67"/>
      <c r="S213" s="67"/>
      <c r="T213" s="119" t="s">
        <v>2243</v>
      </c>
      <c r="U213" s="67"/>
      <c r="V213" s="67"/>
      <c r="W213" s="67"/>
      <c r="X213" s="67"/>
      <c r="Y213" s="67"/>
      <c r="Z213" s="67"/>
      <c r="AA213" s="67"/>
      <c r="AB213" s="67"/>
      <c r="AC213" s="67"/>
      <c r="AD213" s="67"/>
      <c r="AE213" s="67"/>
      <c r="AF213" s="67"/>
      <c r="AG213" s="67"/>
      <c r="AH213" s="67"/>
      <c r="AI213" s="67"/>
      <c r="AJ213" s="67"/>
      <c r="AK213" s="67"/>
      <c r="AL213" s="67"/>
      <c r="AM213" s="67"/>
      <c r="AN213" s="67"/>
      <c r="AO213" s="70"/>
      <c r="AP213" s="70"/>
      <c r="AQ213" s="70"/>
      <c r="AR213" s="70"/>
      <c r="AS213" s="70"/>
      <c r="AT213" s="70"/>
      <c r="AU213" s="70"/>
      <c r="AV213" s="70"/>
      <c r="AW213" s="70"/>
      <c r="AX213" s="70"/>
    </row>
    <row r="214" ht="15.75" customHeight="1">
      <c r="A214" s="90" t="s">
        <v>78</v>
      </c>
      <c r="B214" s="219" t="s">
        <v>1828</v>
      </c>
      <c r="C214" s="28"/>
      <c r="D214" s="28"/>
      <c r="E214" s="28"/>
      <c r="F214" s="28"/>
      <c r="G214" s="28"/>
      <c r="H214" s="28"/>
      <c r="I214" s="28"/>
      <c r="J214" s="28"/>
      <c r="K214" s="28"/>
      <c r="L214" s="28"/>
      <c r="M214" s="28"/>
      <c r="N214" s="28"/>
      <c r="O214" s="67"/>
      <c r="P214" s="67"/>
      <c r="Q214" s="67"/>
      <c r="R214" s="67"/>
      <c r="S214" s="67"/>
      <c r="T214" s="119" t="s">
        <v>2253</v>
      </c>
      <c r="U214" s="67"/>
      <c r="V214" s="67"/>
      <c r="W214" s="67"/>
      <c r="X214" s="67"/>
      <c r="Y214" s="67"/>
      <c r="Z214" s="67"/>
      <c r="AA214" s="67"/>
      <c r="AB214" s="67"/>
      <c r="AC214" s="67"/>
      <c r="AD214" s="67"/>
      <c r="AE214" s="67"/>
      <c r="AF214" s="67"/>
      <c r="AG214" s="67"/>
      <c r="AH214" s="67"/>
      <c r="AI214" s="67"/>
      <c r="AJ214" s="67"/>
      <c r="AK214" s="67"/>
      <c r="AL214" s="67"/>
      <c r="AM214" s="67"/>
      <c r="AN214" s="67"/>
      <c r="AO214" s="70"/>
      <c r="AP214" s="70"/>
      <c r="AQ214" s="70"/>
      <c r="AR214" s="70"/>
      <c r="AS214" s="70"/>
      <c r="AT214" s="70"/>
      <c r="AU214" s="70"/>
      <c r="AV214" s="70"/>
      <c r="AW214" s="70"/>
      <c r="AX214" s="70"/>
    </row>
    <row r="215" ht="15.75" customHeight="1">
      <c r="A215" s="90" t="s">
        <v>78</v>
      </c>
      <c r="B215" s="219" t="s">
        <v>1837</v>
      </c>
      <c r="C215" s="28"/>
      <c r="D215" s="28"/>
      <c r="E215" s="28"/>
      <c r="F215" s="28"/>
      <c r="G215" s="28"/>
      <c r="H215" s="28"/>
      <c r="I215" s="28"/>
      <c r="J215" s="28"/>
      <c r="K215" s="28"/>
      <c r="L215" s="28"/>
      <c r="M215" s="28"/>
      <c r="N215" s="28"/>
      <c r="O215" s="67"/>
      <c r="P215" s="67"/>
      <c r="Q215" s="67"/>
      <c r="R215" s="67"/>
      <c r="S215" s="67"/>
      <c r="T215" s="119" t="s">
        <v>2264</v>
      </c>
      <c r="U215" s="67"/>
      <c r="V215" s="67"/>
      <c r="W215" s="67"/>
      <c r="X215" s="67"/>
      <c r="Y215" s="67"/>
      <c r="Z215" s="67"/>
      <c r="AA215" s="67"/>
      <c r="AB215" s="67"/>
      <c r="AC215" s="67"/>
      <c r="AD215" s="67"/>
      <c r="AE215" s="67"/>
      <c r="AF215" s="67"/>
      <c r="AG215" s="67"/>
      <c r="AH215" s="67"/>
      <c r="AI215" s="67"/>
      <c r="AJ215" s="67"/>
      <c r="AK215" s="67"/>
      <c r="AL215" s="67"/>
      <c r="AM215" s="67"/>
      <c r="AN215" s="67"/>
      <c r="AO215" s="70"/>
      <c r="AP215" s="70"/>
      <c r="AQ215" s="70"/>
      <c r="AR215" s="70"/>
      <c r="AS215" s="70"/>
      <c r="AT215" s="70"/>
      <c r="AU215" s="70"/>
      <c r="AV215" s="70"/>
      <c r="AW215" s="70"/>
      <c r="AX215" s="70"/>
    </row>
    <row r="216" ht="15.75" customHeight="1">
      <c r="A216" s="90" t="s">
        <v>78</v>
      </c>
      <c r="B216" s="219" t="s">
        <v>1841</v>
      </c>
      <c r="C216" s="28"/>
      <c r="D216" s="28"/>
      <c r="E216" s="28"/>
      <c r="F216" s="28"/>
      <c r="G216" s="28"/>
      <c r="H216" s="28"/>
      <c r="I216" s="28"/>
      <c r="J216" s="28"/>
      <c r="K216" s="28"/>
      <c r="L216" s="28"/>
      <c r="M216" s="28"/>
      <c r="N216" s="28"/>
      <c r="O216" s="67"/>
      <c r="P216" s="67"/>
      <c r="Q216" s="67"/>
      <c r="R216" s="67"/>
      <c r="S216" s="67"/>
      <c r="T216" s="119" t="s">
        <v>2275</v>
      </c>
      <c r="U216" s="67"/>
      <c r="V216" s="67"/>
      <c r="W216" s="67"/>
      <c r="X216" s="67"/>
      <c r="Y216" s="67"/>
      <c r="Z216" s="67"/>
      <c r="AA216" s="67"/>
      <c r="AB216" s="67"/>
      <c r="AC216" s="67"/>
      <c r="AD216" s="67"/>
      <c r="AE216" s="67"/>
      <c r="AF216" s="67"/>
      <c r="AG216" s="67"/>
      <c r="AH216" s="67"/>
      <c r="AI216" s="67"/>
      <c r="AJ216" s="67"/>
      <c r="AK216" s="67"/>
      <c r="AL216" s="67"/>
      <c r="AM216" s="67"/>
      <c r="AN216" s="67"/>
      <c r="AO216" s="70"/>
      <c r="AP216" s="70"/>
      <c r="AQ216" s="70"/>
      <c r="AR216" s="70"/>
      <c r="AS216" s="70"/>
      <c r="AT216" s="70"/>
      <c r="AU216" s="70"/>
      <c r="AV216" s="70"/>
      <c r="AW216" s="70"/>
      <c r="AX216" s="70"/>
    </row>
    <row r="217" ht="15.75" customHeight="1">
      <c r="A217" s="90" t="s">
        <v>78</v>
      </c>
      <c r="B217" s="219" t="s">
        <v>1848</v>
      </c>
      <c r="C217" s="28"/>
      <c r="D217" s="28"/>
      <c r="E217" s="28"/>
      <c r="F217" s="28"/>
      <c r="G217" s="28"/>
      <c r="H217" s="28"/>
      <c r="I217" s="28"/>
      <c r="J217" s="28"/>
      <c r="K217" s="28"/>
      <c r="L217" s="28"/>
      <c r="M217" s="28"/>
      <c r="N217" s="28"/>
      <c r="O217" s="67"/>
      <c r="P217" s="67"/>
      <c r="Q217" s="67"/>
      <c r="R217" s="67"/>
      <c r="S217" s="67"/>
      <c r="T217" s="119" t="s">
        <v>2288</v>
      </c>
      <c r="U217" s="67"/>
      <c r="V217" s="67"/>
      <c r="W217" s="67"/>
      <c r="X217" s="67"/>
      <c r="Y217" s="67"/>
      <c r="Z217" s="67"/>
      <c r="AA217" s="67"/>
      <c r="AB217" s="67"/>
      <c r="AC217" s="67"/>
      <c r="AD217" s="67"/>
      <c r="AE217" s="67"/>
      <c r="AF217" s="67"/>
      <c r="AG217" s="67"/>
      <c r="AH217" s="67"/>
      <c r="AI217" s="67"/>
      <c r="AJ217" s="67"/>
      <c r="AK217" s="67"/>
      <c r="AL217" s="67"/>
      <c r="AM217" s="67"/>
      <c r="AN217" s="67"/>
      <c r="AO217" s="70"/>
      <c r="AP217" s="70"/>
      <c r="AQ217" s="70"/>
      <c r="AR217" s="70"/>
      <c r="AS217" s="70"/>
      <c r="AT217" s="70"/>
      <c r="AU217" s="70"/>
      <c r="AV217" s="70"/>
      <c r="AW217" s="70"/>
      <c r="AX217" s="70"/>
    </row>
    <row r="218" ht="15.75" customHeight="1">
      <c r="A218" s="90" t="s">
        <v>78</v>
      </c>
      <c r="B218" s="219" t="s">
        <v>1856</v>
      </c>
      <c r="C218" s="28"/>
      <c r="D218" s="28"/>
      <c r="E218" s="28"/>
      <c r="F218" s="28"/>
      <c r="G218" s="28"/>
      <c r="H218" s="28"/>
      <c r="I218" s="28"/>
      <c r="J218" s="28"/>
      <c r="K218" s="28"/>
      <c r="L218" s="28"/>
      <c r="M218" s="28"/>
      <c r="N218" s="28"/>
      <c r="O218" s="67"/>
      <c r="P218" s="67"/>
      <c r="Q218" s="67"/>
      <c r="R218" s="67"/>
      <c r="S218" s="67"/>
      <c r="T218" s="119" t="s">
        <v>2304</v>
      </c>
      <c r="U218" s="67"/>
      <c r="V218" s="67"/>
      <c r="W218" s="67"/>
      <c r="X218" s="67"/>
      <c r="Y218" s="67"/>
      <c r="Z218" s="67"/>
      <c r="AA218" s="67"/>
      <c r="AB218" s="67"/>
      <c r="AC218" s="67"/>
      <c r="AD218" s="67"/>
      <c r="AE218" s="67"/>
      <c r="AF218" s="67"/>
      <c r="AG218" s="67"/>
      <c r="AH218" s="67"/>
      <c r="AI218" s="67"/>
      <c r="AJ218" s="67"/>
      <c r="AK218" s="67"/>
      <c r="AL218" s="67"/>
      <c r="AM218" s="67"/>
      <c r="AN218" s="67"/>
      <c r="AO218" s="70"/>
      <c r="AP218" s="70"/>
      <c r="AQ218" s="70"/>
      <c r="AR218" s="70"/>
      <c r="AS218" s="70"/>
      <c r="AT218" s="70"/>
      <c r="AU218" s="70"/>
      <c r="AV218" s="70"/>
      <c r="AW218" s="70"/>
      <c r="AX218" s="70"/>
    </row>
    <row r="219" ht="15.75" customHeight="1">
      <c r="A219" s="90" t="s">
        <v>78</v>
      </c>
      <c r="B219" s="219" t="s">
        <v>1863</v>
      </c>
      <c r="C219" s="28"/>
      <c r="D219" s="28"/>
      <c r="E219" s="28"/>
      <c r="F219" s="28"/>
      <c r="G219" s="28"/>
      <c r="H219" s="28"/>
      <c r="I219" s="28"/>
      <c r="J219" s="28"/>
      <c r="K219" s="28"/>
      <c r="L219" s="28"/>
      <c r="M219" s="28"/>
      <c r="N219" s="28"/>
      <c r="O219" s="67"/>
      <c r="P219" s="67"/>
      <c r="Q219" s="67"/>
      <c r="R219" s="67"/>
      <c r="S219" s="67"/>
      <c r="T219" s="119" t="s">
        <v>2327</v>
      </c>
      <c r="U219" s="67"/>
      <c r="V219" s="67"/>
      <c r="W219" s="67"/>
      <c r="X219" s="67"/>
      <c r="Y219" s="67"/>
      <c r="Z219" s="67"/>
      <c r="AA219" s="67"/>
      <c r="AB219" s="67"/>
      <c r="AC219" s="67"/>
      <c r="AD219" s="67"/>
      <c r="AE219" s="67"/>
      <c r="AF219" s="67"/>
      <c r="AG219" s="67"/>
      <c r="AH219" s="67"/>
      <c r="AI219" s="67"/>
      <c r="AJ219" s="67"/>
      <c r="AK219" s="67"/>
      <c r="AL219" s="67"/>
      <c r="AM219" s="67"/>
      <c r="AN219" s="67"/>
      <c r="AO219" s="70"/>
      <c r="AP219" s="70"/>
      <c r="AQ219" s="70"/>
      <c r="AR219" s="70"/>
      <c r="AS219" s="70"/>
      <c r="AT219" s="70"/>
      <c r="AU219" s="70"/>
      <c r="AV219" s="70"/>
      <c r="AW219" s="70"/>
      <c r="AX219" s="70"/>
    </row>
    <row r="220" ht="15.75" customHeight="1">
      <c r="A220" s="90" t="s">
        <v>78</v>
      </c>
      <c r="B220" s="219" t="s">
        <v>1870</v>
      </c>
      <c r="C220" s="28"/>
      <c r="D220" s="28"/>
      <c r="E220" s="28"/>
      <c r="F220" s="28"/>
      <c r="G220" s="28"/>
      <c r="H220" s="28"/>
      <c r="I220" s="28"/>
      <c r="J220" s="28"/>
      <c r="K220" s="28"/>
      <c r="L220" s="28"/>
      <c r="M220" s="28"/>
      <c r="N220" s="28"/>
      <c r="O220" s="67"/>
      <c r="P220" s="67"/>
      <c r="Q220" s="67"/>
      <c r="R220" s="67"/>
      <c r="S220" s="67"/>
      <c r="T220" s="119" t="s">
        <v>2341</v>
      </c>
      <c r="U220" s="67"/>
      <c r="V220" s="67"/>
      <c r="W220" s="67"/>
      <c r="X220" s="67"/>
      <c r="Y220" s="67"/>
      <c r="Z220" s="67"/>
      <c r="AA220" s="67"/>
      <c r="AB220" s="67"/>
      <c r="AC220" s="67"/>
      <c r="AD220" s="67"/>
      <c r="AE220" s="67"/>
      <c r="AF220" s="67"/>
      <c r="AG220" s="67"/>
      <c r="AH220" s="67"/>
      <c r="AI220" s="67"/>
      <c r="AJ220" s="67"/>
      <c r="AK220" s="67"/>
      <c r="AL220" s="67"/>
      <c r="AM220" s="67"/>
      <c r="AN220" s="67"/>
      <c r="AO220" s="70"/>
      <c r="AP220" s="70"/>
      <c r="AQ220" s="70"/>
      <c r="AR220" s="70"/>
      <c r="AS220" s="70"/>
      <c r="AT220" s="70"/>
      <c r="AU220" s="70"/>
      <c r="AV220" s="70"/>
      <c r="AW220" s="70"/>
      <c r="AX220" s="70"/>
    </row>
    <row r="221" ht="15.75" customHeight="1">
      <c r="A221" s="90" t="s">
        <v>78</v>
      </c>
      <c r="B221" s="219" t="s">
        <v>1877</v>
      </c>
      <c r="C221" s="28"/>
      <c r="D221" s="28"/>
      <c r="E221" s="28"/>
      <c r="F221" s="28"/>
      <c r="G221" s="28"/>
      <c r="H221" s="28"/>
      <c r="I221" s="28"/>
      <c r="J221" s="28"/>
      <c r="K221" s="28"/>
      <c r="L221" s="28"/>
      <c r="M221" s="28"/>
      <c r="N221" s="28"/>
      <c r="O221" s="67"/>
      <c r="P221" s="67"/>
      <c r="Q221" s="67"/>
      <c r="R221" s="67"/>
      <c r="S221" s="67"/>
      <c r="T221" s="119" t="s">
        <v>2360</v>
      </c>
      <c r="U221" s="67"/>
      <c r="V221" s="67"/>
      <c r="W221" s="67"/>
      <c r="X221" s="67"/>
      <c r="Y221" s="67"/>
      <c r="Z221" s="67"/>
      <c r="AA221" s="67"/>
      <c r="AB221" s="67"/>
      <c r="AC221" s="67"/>
      <c r="AD221" s="67"/>
      <c r="AE221" s="67"/>
      <c r="AF221" s="67"/>
      <c r="AG221" s="67"/>
      <c r="AH221" s="67"/>
      <c r="AI221" s="67"/>
      <c r="AJ221" s="67"/>
      <c r="AK221" s="67"/>
      <c r="AL221" s="67"/>
      <c r="AM221" s="67"/>
      <c r="AN221" s="67"/>
      <c r="AO221" s="70"/>
      <c r="AP221" s="70"/>
      <c r="AQ221" s="70"/>
      <c r="AR221" s="70"/>
      <c r="AS221" s="70"/>
      <c r="AT221" s="70"/>
      <c r="AU221" s="70"/>
      <c r="AV221" s="70"/>
      <c r="AW221" s="70"/>
      <c r="AX221" s="70"/>
    </row>
    <row r="222" ht="15.75" customHeight="1">
      <c r="A222" s="90" t="s">
        <v>78</v>
      </c>
      <c r="B222" s="219" t="s">
        <v>1882</v>
      </c>
      <c r="C222" s="28"/>
      <c r="D222" s="28"/>
      <c r="E222" s="28"/>
      <c r="F222" s="28"/>
      <c r="G222" s="28"/>
      <c r="H222" s="28"/>
      <c r="I222" s="28"/>
      <c r="J222" s="28"/>
      <c r="K222" s="28"/>
      <c r="L222" s="28"/>
      <c r="M222" s="28"/>
      <c r="N222" s="28"/>
      <c r="O222" s="67"/>
      <c r="P222" s="67"/>
      <c r="Q222" s="67"/>
      <c r="R222" s="67"/>
      <c r="S222" s="67"/>
      <c r="T222" s="119" t="s">
        <v>2378</v>
      </c>
      <c r="U222" s="67"/>
      <c r="V222" s="67"/>
      <c r="W222" s="67"/>
      <c r="X222" s="67"/>
      <c r="Y222" s="67"/>
      <c r="Z222" s="67"/>
      <c r="AA222" s="67"/>
      <c r="AB222" s="67"/>
      <c r="AC222" s="67"/>
      <c r="AD222" s="67"/>
      <c r="AE222" s="67"/>
      <c r="AF222" s="67"/>
      <c r="AG222" s="67"/>
      <c r="AH222" s="67"/>
      <c r="AI222" s="67"/>
      <c r="AJ222" s="67"/>
      <c r="AK222" s="67"/>
      <c r="AL222" s="67"/>
      <c r="AM222" s="67"/>
      <c r="AN222" s="67"/>
      <c r="AO222" s="70"/>
      <c r="AP222" s="70"/>
      <c r="AQ222" s="70"/>
      <c r="AR222" s="70"/>
      <c r="AS222" s="70"/>
      <c r="AT222" s="70"/>
      <c r="AU222" s="70"/>
      <c r="AV222" s="70"/>
      <c r="AW222" s="70"/>
      <c r="AX222" s="70"/>
    </row>
    <row r="223" ht="15.75" customHeight="1">
      <c r="A223" s="90" t="s">
        <v>78</v>
      </c>
      <c r="B223" s="219" t="s">
        <v>1889</v>
      </c>
      <c r="C223" s="28"/>
      <c r="D223" s="28"/>
      <c r="E223" s="28"/>
      <c r="F223" s="28"/>
      <c r="G223" s="28"/>
      <c r="H223" s="28"/>
      <c r="I223" s="28"/>
      <c r="J223" s="28"/>
      <c r="K223" s="28"/>
      <c r="L223" s="28"/>
      <c r="M223" s="28"/>
      <c r="N223" s="28"/>
      <c r="O223" s="67"/>
      <c r="P223" s="67"/>
      <c r="Q223" s="67"/>
      <c r="R223" s="67"/>
      <c r="S223" s="67"/>
      <c r="T223" s="119" t="s">
        <v>2395</v>
      </c>
      <c r="U223" s="67"/>
      <c r="V223" s="67"/>
      <c r="W223" s="67"/>
      <c r="X223" s="67"/>
      <c r="Y223" s="67"/>
      <c r="Z223" s="67"/>
      <c r="AA223" s="67"/>
      <c r="AB223" s="67"/>
      <c r="AC223" s="67"/>
      <c r="AD223" s="67"/>
      <c r="AE223" s="67"/>
      <c r="AF223" s="67"/>
      <c r="AG223" s="67"/>
      <c r="AH223" s="67"/>
      <c r="AI223" s="67"/>
      <c r="AJ223" s="67"/>
      <c r="AK223" s="67"/>
      <c r="AL223" s="67"/>
      <c r="AM223" s="67"/>
      <c r="AN223" s="67"/>
      <c r="AO223" s="70"/>
      <c r="AP223" s="70"/>
      <c r="AQ223" s="70"/>
      <c r="AR223" s="70"/>
      <c r="AS223" s="70"/>
      <c r="AT223" s="70"/>
      <c r="AU223" s="70"/>
      <c r="AV223" s="70"/>
      <c r="AW223" s="70"/>
      <c r="AX223" s="70"/>
    </row>
    <row r="224" ht="15.75" customHeight="1">
      <c r="A224" s="90" t="s">
        <v>78</v>
      </c>
      <c r="B224" s="219" t="s">
        <v>1893</v>
      </c>
      <c r="C224" s="28"/>
      <c r="D224" s="28"/>
      <c r="E224" s="28"/>
      <c r="F224" s="28"/>
      <c r="G224" s="28"/>
      <c r="H224" s="28"/>
      <c r="I224" s="28"/>
      <c r="J224" s="28"/>
      <c r="K224" s="28"/>
      <c r="L224" s="28"/>
      <c r="M224" s="28"/>
      <c r="N224" s="28"/>
      <c r="O224" s="67"/>
      <c r="P224" s="67"/>
      <c r="Q224" s="67"/>
      <c r="R224" s="67"/>
      <c r="S224" s="67"/>
      <c r="T224" s="119" t="s">
        <v>2410</v>
      </c>
      <c r="U224" s="67"/>
      <c r="V224" s="67"/>
      <c r="W224" s="67"/>
      <c r="X224" s="67"/>
      <c r="Y224" s="67"/>
      <c r="Z224" s="67"/>
      <c r="AA224" s="67"/>
      <c r="AB224" s="67"/>
      <c r="AC224" s="67"/>
      <c r="AD224" s="67"/>
      <c r="AE224" s="67"/>
      <c r="AF224" s="67"/>
      <c r="AG224" s="67"/>
      <c r="AH224" s="67"/>
      <c r="AI224" s="67"/>
      <c r="AJ224" s="67"/>
      <c r="AK224" s="67"/>
      <c r="AL224" s="67"/>
      <c r="AM224" s="67"/>
      <c r="AN224" s="67"/>
      <c r="AO224" s="70"/>
      <c r="AP224" s="70"/>
      <c r="AQ224" s="70"/>
      <c r="AR224" s="70"/>
      <c r="AS224" s="70"/>
      <c r="AT224" s="70"/>
      <c r="AU224" s="70"/>
      <c r="AV224" s="70"/>
      <c r="AW224" s="70"/>
      <c r="AX224" s="70"/>
    </row>
    <row r="225" ht="15.75" customHeight="1">
      <c r="A225" s="90" t="s">
        <v>78</v>
      </c>
      <c r="B225" s="219" t="s">
        <v>1898</v>
      </c>
      <c r="C225" s="28"/>
      <c r="D225" s="28"/>
      <c r="E225" s="28"/>
      <c r="F225" s="28"/>
      <c r="G225" s="28"/>
      <c r="H225" s="28"/>
      <c r="I225" s="28"/>
      <c r="J225" s="28"/>
      <c r="K225" s="28"/>
      <c r="L225" s="28"/>
      <c r="M225" s="28"/>
      <c r="N225" s="28"/>
      <c r="O225" s="67"/>
      <c r="P225" s="67"/>
      <c r="Q225" s="67"/>
      <c r="R225" s="67"/>
      <c r="S225" s="67"/>
      <c r="T225" s="119" t="s">
        <v>2422</v>
      </c>
      <c r="U225" s="67"/>
      <c r="V225" s="67"/>
      <c r="W225" s="67"/>
      <c r="X225" s="67"/>
      <c r="Y225" s="67"/>
      <c r="Z225" s="67"/>
      <c r="AA225" s="67"/>
      <c r="AB225" s="67"/>
      <c r="AC225" s="67"/>
      <c r="AD225" s="67"/>
      <c r="AE225" s="67"/>
      <c r="AF225" s="67"/>
      <c r="AG225" s="67"/>
      <c r="AH225" s="67"/>
      <c r="AI225" s="67"/>
      <c r="AJ225" s="67"/>
      <c r="AK225" s="67"/>
      <c r="AL225" s="67"/>
      <c r="AM225" s="67"/>
      <c r="AN225" s="67"/>
      <c r="AO225" s="70"/>
      <c r="AP225" s="70"/>
      <c r="AQ225" s="70"/>
      <c r="AR225" s="70"/>
      <c r="AS225" s="70"/>
      <c r="AT225" s="70"/>
      <c r="AU225" s="70"/>
      <c r="AV225" s="70"/>
      <c r="AW225" s="70"/>
      <c r="AX225" s="70"/>
    </row>
    <row r="226" ht="15.75" customHeight="1">
      <c r="A226" s="90" t="s">
        <v>78</v>
      </c>
      <c r="B226" s="219" t="s">
        <v>1905</v>
      </c>
      <c r="C226" s="28"/>
      <c r="D226" s="28"/>
      <c r="E226" s="28"/>
      <c r="F226" s="28"/>
      <c r="G226" s="28"/>
      <c r="H226" s="28"/>
      <c r="I226" s="28"/>
      <c r="J226" s="28"/>
      <c r="K226" s="28"/>
      <c r="L226" s="28"/>
      <c r="M226" s="28"/>
      <c r="N226" s="28"/>
      <c r="O226" s="67"/>
      <c r="P226" s="67"/>
      <c r="Q226" s="67"/>
      <c r="R226" s="67"/>
      <c r="S226" s="67"/>
      <c r="T226" s="119" t="s">
        <v>2434</v>
      </c>
      <c r="U226" s="67"/>
      <c r="V226" s="67"/>
      <c r="W226" s="67"/>
      <c r="X226" s="67"/>
      <c r="Y226" s="67"/>
      <c r="Z226" s="67"/>
      <c r="AA226" s="67"/>
      <c r="AB226" s="67"/>
      <c r="AC226" s="67"/>
      <c r="AD226" s="67"/>
      <c r="AE226" s="67"/>
      <c r="AF226" s="67"/>
      <c r="AG226" s="67"/>
      <c r="AH226" s="67"/>
      <c r="AI226" s="67"/>
      <c r="AJ226" s="67"/>
      <c r="AK226" s="67"/>
      <c r="AL226" s="67"/>
      <c r="AM226" s="67"/>
      <c r="AN226" s="67"/>
      <c r="AO226" s="70"/>
      <c r="AP226" s="70"/>
      <c r="AQ226" s="70"/>
      <c r="AR226" s="70"/>
      <c r="AS226" s="70"/>
      <c r="AT226" s="70"/>
      <c r="AU226" s="70"/>
      <c r="AV226" s="70"/>
      <c r="AW226" s="70"/>
      <c r="AX226" s="70"/>
    </row>
    <row r="227" ht="15.75" customHeight="1">
      <c r="A227" s="90" t="s">
        <v>78</v>
      </c>
      <c r="B227" s="219" t="s">
        <v>1910</v>
      </c>
      <c r="C227" s="28"/>
      <c r="D227" s="28"/>
      <c r="E227" s="28"/>
      <c r="F227" s="28"/>
      <c r="G227" s="28"/>
      <c r="H227" s="28"/>
      <c r="I227" s="28"/>
      <c r="J227" s="28"/>
      <c r="K227" s="28"/>
      <c r="L227" s="28"/>
      <c r="M227" s="28"/>
      <c r="N227" s="28"/>
      <c r="O227" s="67"/>
      <c r="P227" s="67"/>
      <c r="Q227" s="67"/>
      <c r="R227" s="67"/>
      <c r="S227" s="67"/>
      <c r="T227" s="119" t="s">
        <v>2449</v>
      </c>
      <c r="U227" s="67"/>
      <c r="V227" s="67"/>
      <c r="W227" s="67"/>
      <c r="X227" s="67"/>
      <c r="Y227" s="67"/>
      <c r="Z227" s="67"/>
      <c r="AA227" s="67"/>
      <c r="AB227" s="67"/>
      <c r="AC227" s="67"/>
      <c r="AD227" s="67"/>
      <c r="AE227" s="67"/>
      <c r="AF227" s="67"/>
      <c r="AG227" s="67"/>
      <c r="AH227" s="67"/>
      <c r="AI227" s="67"/>
      <c r="AJ227" s="67"/>
      <c r="AK227" s="67"/>
      <c r="AL227" s="67"/>
      <c r="AM227" s="67"/>
      <c r="AN227" s="67"/>
      <c r="AO227" s="70"/>
      <c r="AP227" s="70"/>
      <c r="AQ227" s="70"/>
      <c r="AR227" s="70"/>
      <c r="AS227" s="70"/>
      <c r="AT227" s="70"/>
      <c r="AU227" s="70"/>
      <c r="AV227" s="70"/>
      <c r="AW227" s="70"/>
      <c r="AX227" s="70"/>
    </row>
    <row r="228" ht="15.75" customHeight="1">
      <c r="A228" s="90" t="s">
        <v>78</v>
      </c>
      <c r="B228" s="219" t="s">
        <v>1916</v>
      </c>
      <c r="C228" s="28"/>
      <c r="D228" s="28"/>
      <c r="E228" s="28"/>
      <c r="F228" s="28"/>
      <c r="G228" s="28"/>
      <c r="H228" s="28"/>
      <c r="I228" s="28"/>
      <c r="J228" s="28"/>
      <c r="K228" s="28"/>
      <c r="L228" s="28"/>
      <c r="M228" s="28"/>
      <c r="N228" s="28"/>
      <c r="O228" s="67"/>
      <c r="P228" s="67"/>
      <c r="Q228" s="67"/>
      <c r="R228" s="67"/>
      <c r="S228" s="67"/>
      <c r="T228" s="119" t="s">
        <v>2468</v>
      </c>
      <c r="U228" s="67"/>
      <c r="V228" s="67"/>
      <c r="W228" s="67"/>
      <c r="X228" s="67"/>
      <c r="Y228" s="67"/>
      <c r="Z228" s="67"/>
      <c r="AA228" s="67"/>
      <c r="AB228" s="67"/>
      <c r="AC228" s="67"/>
      <c r="AD228" s="67"/>
      <c r="AE228" s="67"/>
      <c r="AF228" s="67"/>
      <c r="AG228" s="67"/>
      <c r="AH228" s="67"/>
      <c r="AI228" s="67"/>
      <c r="AJ228" s="67"/>
      <c r="AK228" s="67"/>
      <c r="AL228" s="67"/>
      <c r="AM228" s="67"/>
      <c r="AN228" s="67"/>
      <c r="AO228" s="70"/>
      <c r="AP228" s="70"/>
      <c r="AQ228" s="70"/>
      <c r="AR228" s="70"/>
      <c r="AS228" s="70"/>
      <c r="AT228" s="70"/>
      <c r="AU228" s="70"/>
      <c r="AV228" s="70"/>
      <c r="AW228" s="70"/>
      <c r="AX228" s="70"/>
    </row>
    <row r="229" ht="15.75" customHeight="1">
      <c r="A229" s="90" t="s">
        <v>78</v>
      </c>
      <c r="B229" s="219" t="s">
        <v>1921</v>
      </c>
      <c r="C229" s="28"/>
      <c r="D229" s="28"/>
      <c r="E229" s="28"/>
      <c r="F229" s="28"/>
      <c r="G229" s="28"/>
      <c r="H229" s="28"/>
      <c r="I229" s="28"/>
      <c r="J229" s="28"/>
      <c r="K229" s="28"/>
      <c r="L229" s="28"/>
      <c r="M229" s="28"/>
      <c r="N229" s="28"/>
      <c r="O229" s="67"/>
      <c r="P229" s="67"/>
      <c r="Q229" s="67"/>
      <c r="R229" s="67"/>
      <c r="S229" s="67"/>
      <c r="T229" s="119" t="s">
        <v>2487</v>
      </c>
      <c r="U229" s="67"/>
      <c r="V229" s="67"/>
      <c r="W229" s="67"/>
      <c r="X229" s="67"/>
      <c r="Y229" s="67"/>
      <c r="Z229" s="67"/>
      <c r="AA229" s="67"/>
      <c r="AB229" s="67"/>
      <c r="AC229" s="67"/>
      <c r="AD229" s="67"/>
      <c r="AE229" s="67"/>
      <c r="AF229" s="67"/>
      <c r="AG229" s="67"/>
      <c r="AH229" s="67"/>
      <c r="AI229" s="67"/>
      <c r="AJ229" s="67"/>
      <c r="AK229" s="67"/>
      <c r="AL229" s="67"/>
      <c r="AM229" s="67"/>
      <c r="AN229" s="67"/>
      <c r="AO229" s="70"/>
      <c r="AP229" s="70"/>
      <c r="AQ229" s="70"/>
      <c r="AR229" s="70"/>
      <c r="AS229" s="70"/>
      <c r="AT229" s="70"/>
      <c r="AU229" s="70"/>
      <c r="AV229" s="70"/>
      <c r="AW229" s="70"/>
      <c r="AX229" s="70"/>
    </row>
    <row r="230" ht="15.75" customHeight="1">
      <c r="A230" s="90" t="s">
        <v>78</v>
      </c>
      <c r="B230" s="219" t="s">
        <v>1925</v>
      </c>
      <c r="C230" s="28"/>
      <c r="D230" s="28"/>
      <c r="E230" s="28"/>
      <c r="F230" s="28"/>
      <c r="G230" s="28"/>
      <c r="H230" s="28"/>
      <c r="I230" s="28"/>
      <c r="J230" s="28"/>
      <c r="K230" s="28"/>
      <c r="L230" s="28"/>
      <c r="M230" s="28"/>
      <c r="N230" s="28"/>
      <c r="O230" s="67"/>
      <c r="P230" s="67"/>
      <c r="Q230" s="67"/>
      <c r="R230" s="67"/>
      <c r="S230" s="67"/>
      <c r="T230" s="119" t="s">
        <v>2513</v>
      </c>
      <c r="U230" s="67"/>
      <c r="V230" s="67"/>
      <c r="W230" s="67"/>
      <c r="X230" s="67"/>
      <c r="Y230" s="67"/>
      <c r="Z230" s="67"/>
      <c r="AA230" s="67"/>
      <c r="AB230" s="67"/>
      <c r="AC230" s="67"/>
      <c r="AD230" s="67"/>
      <c r="AE230" s="67"/>
      <c r="AF230" s="67"/>
      <c r="AG230" s="67"/>
      <c r="AH230" s="67"/>
      <c r="AI230" s="67"/>
      <c r="AJ230" s="67"/>
      <c r="AK230" s="67"/>
      <c r="AL230" s="67"/>
      <c r="AM230" s="67"/>
      <c r="AN230" s="67"/>
      <c r="AO230" s="70"/>
      <c r="AP230" s="70"/>
      <c r="AQ230" s="70"/>
      <c r="AR230" s="70"/>
      <c r="AS230" s="70"/>
      <c r="AT230" s="70"/>
      <c r="AU230" s="70"/>
      <c r="AV230" s="70"/>
      <c r="AW230" s="70"/>
      <c r="AX230" s="70"/>
    </row>
    <row r="231" ht="15.75" customHeight="1">
      <c r="A231" s="90" t="s">
        <v>78</v>
      </c>
      <c r="B231" s="219" t="s">
        <v>1930</v>
      </c>
      <c r="C231" s="28"/>
      <c r="D231" s="28"/>
      <c r="E231" s="28"/>
      <c r="F231" s="28"/>
      <c r="G231" s="28"/>
      <c r="H231" s="28"/>
      <c r="I231" s="28"/>
      <c r="J231" s="28"/>
      <c r="K231" s="28"/>
      <c r="L231" s="28"/>
      <c r="M231" s="28"/>
      <c r="N231" s="28"/>
      <c r="O231" s="67"/>
      <c r="P231" s="67"/>
      <c r="Q231" s="67"/>
      <c r="R231" s="67"/>
      <c r="S231" s="67"/>
      <c r="T231" s="119" t="s">
        <v>2541</v>
      </c>
      <c r="U231" s="67"/>
      <c r="V231" s="67"/>
      <c r="W231" s="67"/>
      <c r="X231" s="67"/>
      <c r="Y231" s="67"/>
      <c r="Z231" s="67"/>
      <c r="AA231" s="67"/>
      <c r="AB231" s="67"/>
      <c r="AC231" s="67"/>
      <c r="AD231" s="67"/>
      <c r="AE231" s="67"/>
      <c r="AF231" s="67"/>
      <c r="AG231" s="67"/>
      <c r="AH231" s="67"/>
      <c r="AI231" s="67"/>
      <c r="AJ231" s="67"/>
      <c r="AK231" s="67"/>
      <c r="AL231" s="67"/>
      <c r="AM231" s="67"/>
      <c r="AN231" s="67"/>
      <c r="AO231" s="70"/>
      <c r="AP231" s="70"/>
      <c r="AQ231" s="70"/>
      <c r="AR231" s="70"/>
      <c r="AS231" s="70"/>
      <c r="AT231" s="70"/>
      <c r="AU231" s="70"/>
      <c r="AV231" s="70"/>
      <c r="AW231" s="70"/>
      <c r="AX231" s="70"/>
    </row>
    <row r="232" ht="15.75" customHeight="1">
      <c r="A232" s="90" t="s">
        <v>78</v>
      </c>
      <c r="B232" s="219" t="s">
        <v>1934</v>
      </c>
      <c r="C232" s="28"/>
      <c r="D232" s="28"/>
      <c r="E232" s="28"/>
      <c r="F232" s="28"/>
      <c r="G232" s="28"/>
      <c r="H232" s="28"/>
      <c r="I232" s="28"/>
      <c r="J232" s="28"/>
      <c r="K232" s="28"/>
      <c r="L232" s="28"/>
      <c r="M232" s="28"/>
      <c r="N232" s="28"/>
      <c r="O232" s="67"/>
      <c r="P232" s="67"/>
      <c r="Q232" s="67"/>
      <c r="R232" s="67"/>
      <c r="S232" s="67"/>
      <c r="T232" s="119" t="s">
        <v>2572</v>
      </c>
      <c r="U232" s="67"/>
      <c r="V232" s="67"/>
      <c r="W232" s="67"/>
      <c r="X232" s="67"/>
      <c r="Y232" s="67"/>
      <c r="Z232" s="67"/>
      <c r="AA232" s="67"/>
      <c r="AB232" s="67"/>
      <c r="AC232" s="67"/>
      <c r="AD232" s="67"/>
      <c r="AE232" s="67"/>
      <c r="AF232" s="67"/>
      <c r="AG232" s="67"/>
      <c r="AH232" s="67"/>
      <c r="AI232" s="67"/>
      <c r="AJ232" s="67"/>
      <c r="AK232" s="67"/>
      <c r="AL232" s="67"/>
      <c r="AM232" s="67"/>
      <c r="AN232" s="67"/>
      <c r="AO232" s="70"/>
      <c r="AP232" s="70"/>
      <c r="AQ232" s="70"/>
      <c r="AR232" s="70"/>
      <c r="AS232" s="70"/>
      <c r="AT232" s="70"/>
      <c r="AU232" s="70"/>
      <c r="AV232" s="70"/>
      <c r="AW232" s="70"/>
      <c r="AX232" s="70"/>
    </row>
    <row r="233" ht="15.75" customHeight="1">
      <c r="A233" s="90" t="s">
        <v>78</v>
      </c>
      <c r="B233" s="219" t="s">
        <v>1940</v>
      </c>
      <c r="C233" s="28"/>
      <c r="D233" s="28"/>
      <c r="E233" s="28"/>
      <c r="F233" s="28"/>
      <c r="G233" s="28"/>
      <c r="H233" s="28"/>
      <c r="I233" s="28"/>
      <c r="J233" s="28"/>
      <c r="K233" s="28"/>
      <c r="L233" s="28"/>
      <c r="M233" s="28"/>
      <c r="N233" s="28"/>
      <c r="O233" s="67"/>
      <c r="P233" s="67"/>
      <c r="Q233" s="67"/>
      <c r="R233" s="67"/>
      <c r="S233" s="67"/>
      <c r="T233" s="119" t="s">
        <v>2588</v>
      </c>
      <c r="U233" s="67"/>
      <c r="V233" s="67"/>
      <c r="W233" s="67"/>
      <c r="X233" s="67"/>
      <c r="Y233" s="67"/>
      <c r="Z233" s="67"/>
      <c r="AA233" s="67"/>
      <c r="AB233" s="67"/>
      <c r="AC233" s="67"/>
      <c r="AD233" s="67"/>
      <c r="AE233" s="67"/>
      <c r="AF233" s="67"/>
      <c r="AG233" s="67"/>
      <c r="AH233" s="67"/>
      <c r="AI233" s="67"/>
      <c r="AJ233" s="67"/>
      <c r="AK233" s="67"/>
      <c r="AL233" s="67"/>
      <c r="AM233" s="67"/>
      <c r="AN233" s="67"/>
      <c r="AO233" s="70"/>
      <c r="AP233" s="70"/>
      <c r="AQ233" s="70"/>
      <c r="AR233" s="70"/>
      <c r="AS233" s="70"/>
      <c r="AT233" s="70"/>
      <c r="AU233" s="70"/>
      <c r="AV233" s="70"/>
      <c r="AW233" s="70"/>
      <c r="AX233" s="70"/>
    </row>
    <row r="234" ht="15.75" customHeight="1">
      <c r="A234" s="90" t="s">
        <v>78</v>
      </c>
      <c r="B234" s="219" t="s">
        <v>1944</v>
      </c>
      <c r="C234" s="28"/>
      <c r="D234" s="28"/>
      <c r="E234" s="28"/>
      <c r="F234" s="28"/>
      <c r="G234" s="28"/>
      <c r="H234" s="28"/>
      <c r="I234" s="28"/>
      <c r="J234" s="28"/>
      <c r="K234" s="28"/>
      <c r="L234" s="28"/>
      <c r="M234" s="28"/>
      <c r="N234" s="28"/>
      <c r="O234" s="67"/>
      <c r="P234" s="67"/>
      <c r="Q234" s="67"/>
      <c r="R234" s="67"/>
      <c r="S234" s="67"/>
      <c r="T234" s="119" t="s">
        <v>2602</v>
      </c>
      <c r="U234" s="67"/>
      <c r="V234" s="67"/>
      <c r="W234" s="67"/>
      <c r="X234" s="67"/>
      <c r="Y234" s="67"/>
      <c r="Z234" s="67"/>
      <c r="AA234" s="67"/>
      <c r="AB234" s="67"/>
      <c r="AC234" s="67"/>
      <c r="AD234" s="67"/>
      <c r="AE234" s="67"/>
      <c r="AF234" s="67"/>
      <c r="AG234" s="67"/>
      <c r="AH234" s="67"/>
      <c r="AI234" s="67"/>
      <c r="AJ234" s="67"/>
      <c r="AK234" s="67"/>
      <c r="AL234" s="67"/>
      <c r="AM234" s="67"/>
      <c r="AN234" s="67"/>
      <c r="AO234" s="70"/>
      <c r="AP234" s="70"/>
      <c r="AQ234" s="70"/>
      <c r="AR234" s="70"/>
      <c r="AS234" s="70"/>
      <c r="AT234" s="70"/>
      <c r="AU234" s="70"/>
      <c r="AV234" s="70"/>
      <c r="AW234" s="70"/>
      <c r="AX234" s="70"/>
    </row>
    <row r="235" ht="15.75" customHeight="1">
      <c r="A235" s="90" t="s">
        <v>78</v>
      </c>
      <c r="B235" s="219" t="s">
        <v>1951</v>
      </c>
      <c r="C235" s="28"/>
      <c r="D235" s="28"/>
      <c r="E235" s="28"/>
      <c r="F235" s="28"/>
      <c r="G235" s="28"/>
      <c r="H235" s="28"/>
      <c r="I235" s="28"/>
      <c r="J235" s="28"/>
      <c r="K235" s="28"/>
      <c r="L235" s="28"/>
      <c r="M235" s="28"/>
      <c r="N235" s="28"/>
      <c r="O235" s="67"/>
      <c r="P235" s="67"/>
      <c r="Q235" s="67"/>
      <c r="R235" s="67"/>
      <c r="S235" s="67"/>
      <c r="T235" s="119" t="s">
        <v>2613</v>
      </c>
      <c r="U235" s="67"/>
      <c r="V235" s="67"/>
      <c r="W235" s="67"/>
      <c r="X235" s="67"/>
      <c r="Y235" s="67"/>
      <c r="Z235" s="67"/>
      <c r="AA235" s="67"/>
      <c r="AB235" s="67"/>
      <c r="AC235" s="67"/>
      <c r="AD235" s="67"/>
      <c r="AE235" s="67"/>
      <c r="AF235" s="67"/>
      <c r="AG235" s="67"/>
      <c r="AH235" s="67"/>
      <c r="AI235" s="67"/>
      <c r="AJ235" s="67"/>
      <c r="AK235" s="67"/>
      <c r="AL235" s="67"/>
      <c r="AM235" s="67"/>
      <c r="AN235" s="67"/>
      <c r="AO235" s="70"/>
      <c r="AP235" s="70"/>
      <c r="AQ235" s="70"/>
      <c r="AR235" s="70"/>
      <c r="AS235" s="70"/>
      <c r="AT235" s="70"/>
      <c r="AU235" s="70"/>
      <c r="AV235" s="70"/>
      <c r="AW235" s="70"/>
      <c r="AX235" s="70"/>
    </row>
    <row r="236" ht="15.75" customHeight="1">
      <c r="A236" s="90" t="s">
        <v>78</v>
      </c>
      <c r="B236" s="219" t="s">
        <v>1957</v>
      </c>
      <c r="C236" s="28"/>
      <c r="D236" s="28"/>
      <c r="E236" s="28"/>
      <c r="F236" s="28"/>
      <c r="G236" s="28"/>
      <c r="H236" s="28"/>
      <c r="I236" s="28"/>
      <c r="J236" s="28"/>
      <c r="K236" s="28"/>
      <c r="L236" s="28"/>
      <c r="M236" s="28"/>
      <c r="N236" s="28"/>
      <c r="O236" s="67"/>
      <c r="P236" s="67"/>
      <c r="Q236" s="67"/>
      <c r="R236" s="67"/>
      <c r="S236" s="67"/>
      <c r="T236" s="119" t="s">
        <v>2624</v>
      </c>
      <c r="U236" s="67"/>
      <c r="V236" s="67"/>
      <c r="W236" s="67"/>
      <c r="X236" s="67"/>
      <c r="Y236" s="67"/>
      <c r="Z236" s="67"/>
      <c r="AA236" s="67"/>
      <c r="AB236" s="67"/>
      <c r="AC236" s="67"/>
      <c r="AD236" s="67"/>
      <c r="AE236" s="67"/>
      <c r="AF236" s="67"/>
      <c r="AG236" s="67"/>
      <c r="AH236" s="67"/>
      <c r="AI236" s="67"/>
      <c r="AJ236" s="67"/>
      <c r="AK236" s="67"/>
      <c r="AL236" s="67"/>
      <c r="AM236" s="67"/>
      <c r="AN236" s="67"/>
      <c r="AO236" s="70"/>
      <c r="AP236" s="70"/>
      <c r="AQ236" s="70"/>
      <c r="AR236" s="70"/>
      <c r="AS236" s="70"/>
      <c r="AT236" s="70"/>
      <c r="AU236" s="70"/>
      <c r="AV236" s="70"/>
      <c r="AW236" s="70"/>
      <c r="AX236" s="70"/>
    </row>
    <row r="237" ht="15.75" customHeight="1">
      <c r="A237" s="90" t="s">
        <v>78</v>
      </c>
      <c r="B237" s="219" t="s">
        <v>1965</v>
      </c>
      <c r="C237" s="28"/>
      <c r="D237" s="28"/>
      <c r="E237" s="28"/>
      <c r="F237" s="28"/>
      <c r="G237" s="28"/>
      <c r="H237" s="28"/>
      <c r="I237" s="28"/>
      <c r="J237" s="28"/>
      <c r="K237" s="28"/>
      <c r="L237" s="28"/>
      <c r="M237" s="28"/>
      <c r="N237" s="28"/>
      <c r="O237" s="67"/>
      <c r="P237" s="67"/>
      <c r="Q237" s="67"/>
      <c r="R237" s="67"/>
      <c r="S237" s="67"/>
      <c r="T237" s="119" t="s">
        <v>2649</v>
      </c>
      <c r="U237" s="67"/>
      <c r="V237" s="67"/>
      <c r="W237" s="67"/>
      <c r="X237" s="67"/>
      <c r="Y237" s="67"/>
      <c r="Z237" s="67"/>
      <c r="AA237" s="67"/>
      <c r="AB237" s="67"/>
      <c r="AC237" s="67"/>
      <c r="AD237" s="67"/>
      <c r="AE237" s="67"/>
      <c r="AF237" s="67"/>
      <c r="AG237" s="67"/>
      <c r="AH237" s="67"/>
      <c r="AI237" s="67"/>
      <c r="AJ237" s="67"/>
      <c r="AK237" s="67"/>
      <c r="AL237" s="67"/>
      <c r="AM237" s="67"/>
      <c r="AN237" s="67"/>
      <c r="AO237" s="70"/>
      <c r="AP237" s="70"/>
      <c r="AQ237" s="70"/>
      <c r="AR237" s="70"/>
      <c r="AS237" s="70"/>
      <c r="AT237" s="70"/>
      <c r="AU237" s="70"/>
      <c r="AV237" s="70"/>
      <c r="AW237" s="70"/>
      <c r="AX237" s="70"/>
    </row>
    <row r="238" ht="15.75" customHeight="1">
      <c r="A238" s="90" t="s">
        <v>78</v>
      </c>
      <c r="B238" s="219" t="s">
        <v>1967</v>
      </c>
      <c r="C238" s="28"/>
      <c r="D238" s="28"/>
      <c r="E238" s="28"/>
      <c r="F238" s="28"/>
      <c r="G238" s="28"/>
      <c r="H238" s="28"/>
      <c r="I238" s="28"/>
      <c r="J238" s="28"/>
      <c r="K238" s="28"/>
      <c r="L238" s="28"/>
      <c r="M238" s="28"/>
      <c r="N238" s="28"/>
      <c r="O238" s="67"/>
      <c r="P238" s="67"/>
      <c r="Q238" s="67"/>
      <c r="R238" s="67"/>
      <c r="S238" s="67"/>
      <c r="T238" s="119" t="s">
        <v>2665</v>
      </c>
      <c r="U238" s="67"/>
      <c r="V238" s="67"/>
      <c r="W238" s="67"/>
      <c r="X238" s="67"/>
      <c r="Y238" s="67"/>
      <c r="Z238" s="67"/>
      <c r="AA238" s="67"/>
      <c r="AB238" s="67"/>
      <c r="AC238" s="67"/>
      <c r="AD238" s="67"/>
      <c r="AE238" s="67"/>
      <c r="AF238" s="67"/>
      <c r="AG238" s="67"/>
      <c r="AH238" s="67"/>
      <c r="AI238" s="67"/>
      <c r="AJ238" s="67"/>
      <c r="AK238" s="67"/>
      <c r="AL238" s="67"/>
      <c r="AM238" s="67"/>
      <c r="AN238" s="67"/>
      <c r="AO238" s="70"/>
      <c r="AP238" s="70"/>
      <c r="AQ238" s="70"/>
      <c r="AR238" s="70"/>
      <c r="AS238" s="70"/>
      <c r="AT238" s="70"/>
      <c r="AU238" s="70"/>
      <c r="AV238" s="70"/>
      <c r="AW238" s="70"/>
      <c r="AX238" s="70"/>
    </row>
    <row r="239" ht="15.75" customHeight="1">
      <c r="A239" s="90" t="s">
        <v>78</v>
      </c>
      <c r="B239" s="219" t="s">
        <v>1971</v>
      </c>
      <c r="C239" s="28"/>
      <c r="D239" s="28"/>
      <c r="E239" s="28"/>
      <c r="F239" s="28"/>
      <c r="G239" s="28"/>
      <c r="H239" s="28"/>
      <c r="I239" s="28"/>
      <c r="J239" s="28"/>
      <c r="K239" s="28"/>
      <c r="L239" s="28"/>
      <c r="M239" s="28"/>
      <c r="N239" s="28"/>
      <c r="O239" s="67"/>
      <c r="P239" s="67"/>
      <c r="Q239" s="67"/>
      <c r="R239" s="67"/>
      <c r="S239" s="67"/>
      <c r="T239" s="119" t="s">
        <v>2681</v>
      </c>
      <c r="U239" s="67"/>
      <c r="V239" s="67"/>
      <c r="W239" s="67"/>
      <c r="X239" s="67"/>
      <c r="Y239" s="67"/>
      <c r="Z239" s="67"/>
      <c r="AA239" s="67"/>
      <c r="AB239" s="67"/>
      <c r="AC239" s="67"/>
      <c r="AD239" s="67"/>
      <c r="AE239" s="67"/>
      <c r="AF239" s="67"/>
      <c r="AG239" s="67"/>
      <c r="AH239" s="67"/>
      <c r="AI239" s="67"/>
      <c r="AJ239" s="67"/>
      <c r="AK239" s="67"/>
      <c r="AL239" s="67"/>
      <c r="AM239" s="67"/>
      <c r="AN239" s="67"/>
      <c r="AO239" s="70"/>
      <c r="AP239" s="70"/>
      <c r="AQ239" s="70"/>
      <c r="AR239" s="70"/>
      <c r="AS239" s="70"/>
      <c r="AT239" s="70"/>
      <c r="AU239" s="70"/>
      <c r="AV239" s="70"/>
      <c r="AW239" s="70"/>
      <c r="AX239" s="70"/>
    </row>
    <row r="240" ht="15.75" customHeight="1">
      <c r="A240" s="90" t="s">
        <v>78</v>
      </c>
      <c r="B240" s="219" t="s">
        <v>1975</v>
      </c>
      <c r="C240" s="28"/>
      <c r="D240" s="28"/>
      <c r="E240" s="28"/>
      <c r="F240" s="28"/>
      <c r="G240" s="28"/>
      <c r="H240" s="28"/>
      <c r="I240" s="28"/>
      <c r="J240" s="28"/>
      <c r="K240" s="28"/>
      <c r="L240" s="28"/>
      <c r="M240" s="28"/>
      <c r="N240" s="28"/>
      <c r="O240" s="67"/>
      <c r="P240" s="67"/>
      <c r="Q240" s="67"/>
      <c r="R240" s="67"/>
      <c r="S240" s="67"/>
      <c r="T240" s="119" t="s">
        <v>2697</v>
      </c>
      <c r="U240" s="67"/>
      <c r="V240" s="67"/>
      <c r="W240" s="67"/>
      <c r="X240" s="67"/>
      <c r="Y240" s="67"/>
      <c r="Z240" s="67"/>
      <c r="AA240" s="67"/>
      <c r="AB240" s="67"/>
      <c r="AC240" s="67"/>
      <c r="AD240" s="67"/>
      <c r="AE240" s="67"/>
      <c r="AF240" s="67"/>
      <c r="AG240" s="67"/>
      <c r="AH240" s="67"/>
      <c r="AI240" s="67"/>
      <c r="AJ240" s="67"/>
      <c r="AK240" s="67"/>
      <c r="AL240" s="67"/>
      <c r="AM240" s="67"/>
      <c r="AN240" s="67"/>
      <c r="AO240" s="70"/>
      <c r="AP240" s="70"/>
      <c r="AQ240" s="70"/>
      <c r="AR240" s="70"/>
      <c r="AS240" s="70"/>
      <c r="AT240" s="70"/>
      <c r="AU240" s="70"/>
      <c r="AV240" s="70"/>
      <c r="AW240" s="70"/>
      <c r="AX240" s="70"/>
    </row>
    <row r="241" ht="15.75" customHeight="1">
      <c r="A241" s="90" t="s">
        <v>78</v>
      </c>
      <c r="B241" s="219" t="s">
        <v>1977</v>
      </c>
      <c r="C241" s="28"/>
      <c r="D241" s="28"/>
      <c r="E241" s="28"/>
      <c r="F241" s="28"/>
      <c r="G241" s="28"/>
      <c r="H241" s="28"/>
      <c r="I241" s="28"/>
      <c r="J241" s="28"/>
      <c r="K241" s="28"/>
      <c r="L241" s="28"/>
      <c r="M241" s="28"/>
      <c r="N241" s="28"/>
      <c r="O241" s="67"/>
      <c r="P241" s="67"/>
      <c r="Q241" s="67"/>
      <c r="R241" s="67"/>
      <c r="S241" s="67"/>
      <c r="T241" s="119" t="s">
        <v>2706</v>
      </c>
      <c r="U241" s="67"/>
      <c r="V241" s="67"/>
      <c r="W241" s="67"/>
      <c r="X241" s="67"/>
      <c r="Y241" s="67"/>
      <c r="Z241" s="67"/>
      <c r="AA241" s="67"/>
      <c r="AB241" s="67"/>
      <c r="AC241" s="67"/>
      <c r="AD241" s="67"/>
      <c r="AE241" s="67"/>
      <c r="AF241" s="67"/>
      <c r="AG241" s="67"/>
      <c r="AH241" s="67"/>
      <c r="AI241" s="67"/>
      <c r="AJ241" s="67"/>
      <c r="AK241" s="67"/>
      <c r="AL241" s="67"/>
      <c r="AM241" s="67"/>
      <c r="AN241" s="67"/>
      <c r="AO241" s="70"/>
      <c r="AP241" s="70"/>
      <c r="AQ241" s="70"/>
      <c r="AR241" s="70"/>
      <c r="AS241" s="70"/>
      <c r="AT241" s="70"/>
      <c r="AU241" s="70"/>
      <c r="AV241" s="70"/>
      <c r="AW241" s="70"/>
      <c r="AX241" s="70"/>
    </row>
    <row r="242" ht="15.75" customHeight="1">
      <c r="A242" s="90" t="s">
        <v>78</v>
      </c>
      <c r="B242" s="219" t="s">
        <v>1984</v>
      </c>
      <c r="C242" s="28"/>
      <c r="D242" s="28"/>
      <c r="E242" s="28"/>
      <c r="F242" s="28"/>
      <c r="G242" s="28"/>
      <c r="H242" s="28"/>
      <c r="I242" s="28"/>
      <c r="J242" s="28"/>
      <c r="K242" s="28"/>
      <c r="L242" s="28"/>
      <c r="M242" s="28"/>
      <c r="N242" s="28"/>
      <c r="O242" s="67"/>
      <c r="P242" s="67"/>
      <c r="Q242" s="67"/>
      <c r="R242" s="67"/>
      <c r="S242" s="67"/>
      <c r="T242" s="119" t="s">
        <v>2725</v>
      </c>
      <c r="U242" s="67"/>
      <c r="V242" s="67"/>
      <c r="W242" s="67"/>
      <c r="X242" s="67"/>
      <c r="Y242" s="67"/>
      <c r="Z242" s="67"/>
      <c r="AA242" s="67"/>
      <c r="AB242" s="67"/>
      <c r="AC242" s="67"/>
      <c r="AD242" s="67"/>
      <c r="AE242" s="67"/>
      <c r="AF242" s="67"/>
      <c r="AG242" s="67"/>
      <c r="AH242" s="67"/>
      <c r="AI242" s="67"/>
      <c r="AJ242" s="67"/>
      <c r="AK242" s="67"/>
      <c r="AL242" s="67"/>
      <c r="AM242" s="67"/>
      <c r="AN242" s="67"/>
      <c r="AO242" s="70"/>
      <c r="AP242" s="70"/>
      <c r="AQ242" s="70"/>
      <c r="AR242" s="70"/>
      <c r="AS242" s="70"/>
      <c r="AT242" s="70"/>
      <c r="AU242" s="70"/>
      <c r="AV242" s="70"/>
      <c r="AW242" s="70"/>
      <c r="AX242" s="70"/>
    </row>
    <row r="243" ht="15.75" customHeight="1">
      <c r="A243" s="90" t="s">
        <v>78</v>
      </c>
      <c r="B243" s="219" t="s">
        <v>1992</v>
      </c>
      <c r="C243" s="28"/>
      <c r="D243" s="28"/>
      <c r="E243" s="28"/>
      <c r="F243" s="28"/>
      <c r="G243" s="28"/>
      <c r="H243" s="28"/>
      <c r="I243" s="28"/>
      <c r="J243" s="28"/>
      <c r="K243" s="28"/>
      <c r="L243" s="28"/>
      <c r="M243" s="28"/>
      <c r="N243" s="28"/>
      <c r="O243" s="67"/>
      <c r="P243" s="67"/>
      <c r="Q243" s="67"/>
      <c r="R243" s="67"/>
      <c r="S243" s="67"/>
      <c r="T243" s="119" t="s">
        <v>2740</v>
      </c>
      <c r="U243" s="67"/>
      <c r="V243" s="67"/>
      <c r="W243" s="67"/>
      <c r="X243" s="67"/>
      <c r="Y243" s="67"/>
      <c r="Z243" s="67"/>
      <c r="AA243" s="67"/>
      <c r="AB243" s="67"/>
      <c r="AC243" s="67"/>
      <c r="AD243" s="67"/>
      <c r="AE243" s="67"/>
      <c r="AF243" s="67"/>
      <c r="AG243" s="67"/>
      <c r="AH243" s="67"/>
      <c r="AI243" s="67"/>
      <c r="AJ243" s="67"/>
      <c r="AK243" s="67"/>
      <c r="AL243" s="67"/>
      <c r="AM243" s="67"/>
      <c r="AN243" s="67"/>
      <c r="AO243" s="70"/>
      <c r="AP243" s="70"/>
      <c r="AQ243" s="70"/>
      <c r="AR243" s="70"/>
      <c r="AS243" s="70"/>
      <c r="AT243" s="70"/>
      <c r="AU243" s="70"/>
      <c r="AV243" s="70"/>
      <c r="AW243" s="70"/>
      <c r="AX243" s="70"/>
    </row>
    <row r="244" ht="15.75" customHeight="1">
      <c r="A244" s="90" t="s">
        <v>78</v>
      </c>
      <c r="B244" s="219" t="s">
        <v>1999</v>
      </c>
      <c r="C244" s="28"/>
      <c r="D244" s="28"/>
      <c r="E244" s="28"/>
      <c r="F244" s="28"/>
      <c r="G244" s="28"/>
      <c r="H244" s="28"/>
      <c r="I244" s="28"/>
      <c r="J244" s="28"/>
      <c r="K244" s="28"/>
      <c r="L244" s="28"/>
      <c r="M244" s="28"/>
      <c r="N244" s="28"/>
      <c r="O244" s="67"/>
      <c r="P244" s="67"/>
      <c r="Q244" s="67"/>
      <c r="R244" s="67"/>
      <c r="S244" s="67"/>
      <c r="T244" s="119" t="s">
        <v>2757</v>
      </c>
      <c r="U244" s="67"/>
      <c r="V244" s="67"/>
      <c r="W244" s="67"/>
      <c r="X244" s="67"/>
      <c r="Y244" s="67"/>
      <c r="Z244" s="67"/>
      <c r="AA244" s="67"/>
      <c r="AB244" s="67"/>
      <c r="AC244" s="67"/>
      <c r="AD244" s="67"/>
      <c r="AE244" s="67"/>
      <c r="AF244" s="67"/>
      <c r="AG244" s="67"/>
      <c r="AH244" s="67"/>
      <c r="AI244" s="67"/>
      <c r="AJ244" s="67"/>
      <c r="AK244" s="67"/>
      <c r="AL244" s="67"/>
      <c r="AM244" s="67"/>
      <c r="AN244" s="67"/>
      <c r="AO244" s="70"/>
      <c r="AP244" s="70"/>
      <c r="AQ244" s="70"/>
      <c r="AR244" s="70"/>
      <c r="AS244" s="70"/>
      <c r="AT244" s="70"/>
      <c r="AU244" s="70"/>
      <c r="AV244" s="70"/>
      <c r="AW244" s="70"/>
      <c r="AX244" s="70"/>
    </row>
    <row r="245" ht="15.75" customHeight="1">
      <c r="A245" s="90" t="s">
        <v>78</v>
      </c>
      <c r="B245" s="219" t="s">
        <v>2004</v>
      </c>
      <c r="C245" s="28"/>
      <c r="D245" s="28"/>
      <c r="E245" s="28"/>
      <c r="F245" s="28"/>
      <c r="G245" s="28"/>
      <c r="H245" s="28"/>
      <c r="I245" s="28"/>
      <c r="J245" s="28"/>
      <c r="K245" s="28"/>
      <c r="L245" s="28"/>
      <c r="M245" s="28"/>
      <c r="N245" s="28"/>
      <c r="O245" s="67"/>
      <c r="P245" s="67"/>
      <c r="Q245" s="67"/>
      <c r="R245" s="67"/>
      <c r="S245" s="67"/>
      <c r="T245" s="119" t="s">
        <v>2773</v>
      </c>
      <c r="U245" s="67"/>
      <c r="V245" s="67"/>
      <c r="W245" s="67"/>
      <c r="X245" s="67"/>
      <c r="Y245" s="67"/>
      <c r="Z245" s="67"/>
      <c r="AA245" s="67"/>
      <c r="AB245" s="67"/>
      <c r="AC245" s="67"/>
      <c r="AD245" s="67"/>
      <c r="AE245" s="67"/>
      <c r="AF245" s="67"/>
      <c r="AG245" s="67"/>
      <c r="AH245" s="67"/>
      <c r="AI245" s="67"/>
      <c r="AJ245" s="67"/>
      <c r="AK245" s="67"/>
      <c r="AL245" s="67"/>
      <c r="AM245" s="67"/>
      <c r="AN245" s="67"/>
      <c r="AO245" s="70"/>
      <c r="AP245" s="70"/>
      <c r="AQ245" s="70"/>
      <c r="AR245" s="70"/>
      <c r="AS245" s="70"/>
      <c r="AT245" s="70"/>
      <c r="AU245" s="70"/>
      <c r="AV245" s="70"/>
      <c r="AW245" s="70"/>
      <c r="AX245" s="70"/>
    </row>
    <row r="246" ht="15.75" customHeight="1">
      <c r="A246" s="90" t="s">
        <v>78</v>
      </c>
      <c r="B246" s="219" t="s">
        <v>2011</v>
      </c>
      <c r="C246" s="28"/>
      <c r="D246" s="28"/>
      <c r="E246" s="28"/>
      <c r="F246" s="28"/>
      <c r="G246" s="28"/>
      <c r="H246" s="28"/>
      <c r="I246" s="28"/>
      <c r="J246" s="28"/>
      <c r="K246" s="28"/>
      <c r="L246" s="28"/>
      <c r="M246" s="28"/>
      <c r="N246" s="28"/>
      <c r="O246" s="67"/>
      <c r="P246" s="67"/>
      <c r="Q246" s="67"/>
      <c r="R246" s="67"/>
      <c r="S246" s="67"/>
      <c r="T246" s="119" t="s">
        <v>2792</v>
      </c>
      <c r="U246" s="67"/>
      <c r="V246" s="67"/>
      <c r="W246" s="67"/>
      <c r="X246" s="67"/>
      <c r="Y246" s="67"/>
      <c r="Z246" s="67"/>
      <c r="AA246" s="67"/>
      <c r="AB246" s="67"/>
      <c r="AC246" s="67"/>
      <c r="AD246" s="67"/>
      <c r="AE246" s="67"/>
      <c r="AF246" s="67"/>
      <c r="AG246" s="67"/>
      <c r="AH246" s="67"/>
      <c r="AI246" s="67"/>
      <c r="AJ246" s="67"/>
      <c r="AK246" s="67"/>
      <c r="AL246" s="67"/>
      <c r="AM246" s="67"/>
      <c r="AN246" s="67"/>
      <c r="AO246" s="70"/>
      <c r="AP246" s="70"/>
      <c r="AQ246" s="70"/>
      <c r="AR246" s="70"/>
      <c r="AS246" s="70"/>
      <c r="AT246" s="70"/>
      <c r="AU246" s="70"/>
      <c r="AV246" s="70"/>
      <c r="AW246" s="70"/>
      <c r="AX246" s="70"/>
    </row>
    <row r="247" ht="15.75" customHeight="1">
      <c r="A247" s="90" t="s">
        <v>78</v>
      </c>
      <c r="B247" s="219" t="s">
        <v>2018</v>
      </c>
      <c r="C247" s="28"/>
      <c r="D247" s="28"/>
      <c r="E247" s="28"/>
      <c r="F247" s="28"/>
      <c r="G247" s="28"/>
      <c r="H247" s="28"/>
      <c r="I247" s="28"/>
      <c r="J247" s="28"/>
      <c r="K247" s="28"/>
      <c r="L247" s="28"/>
      <c r="M247" s="28"/>
      <c r="N247" s="28"/>
      <c r="O247" s="67"/>
      <c r="P247" s="67"/>
      <c r="Q247" s="67"/>
      <c r="R247" s="67"/>
      <c r="S247" s="67"/>
      <c r="T247" s="119" t="s">
        <v>2803</v>
      </c>
      <c r="U247" s="67"/>
      <c r="V247" s="67"/>
      <c r="W247" s="67"/>
      <c r="X247" s="67"/>
      <c r="Y247" s="67"/>
      <c r="Z247" s="67"/>
      <c r="AA247" s="67"/>
      <c r="AB247" s="67"/>
      <c r="AC247" s="67"/>
      <c r="AD247" s="67"/>
      <c r="AE247" s="67"/>
      <c r="AF247" s="67"/>
      <c r="AG247" s="67"/>
      <c r="AH247" s="67"/>
      <c r="AI247" s="67"/>
      <c r="AJ247" s="67"/>
      <c r="AK247" s="67"/>
      <c r="AL247" s="67"/>
      <c r="AM247" s="67"/>
      <c r="AN247" s="67"/>
      <c r="AO247" s="70"/>
      <c r="AP247" s="70"/>
      <c r="AQ247" s="70"/>
      <c r="AR247" s="70"/>
      <c r="AS247" s="70"/>
      <c r="AT247" s="70"/>
      <c r="AU247" s="70"/>
      <c r="AV247" s="70"/>
      <c r="AW247" s="70"/>
      <c r="AX247" s="70"/>
    </row>
    <row r="248" ht="15.75" customHeight="1">
      <c r="A248" s="90" t="s">
        <v>78</v>
      </c>
      <c r="B248" s="219" t="s">
        <v>2023</v>
      </c>
      <c r="C248" s="28"/>
      <c r="D248" s="28"/>
      <c r="E248" s="28"/>
      <c r="F248" s="28"/>
      <c r="G248" s="28"/>
      <c r="H248" s="28"/>
      <c r="I248" s="28"/>
      <c r="J248" s="28"/>
      <c r="K248" s="28"/>
      <c r="L248" s="28"/>
      <c r="M248" s="28"/>
      <c r="N248" s="28"/>
      <c r="O248" s="67"/>
      <c r="P248" s="67"/>
      <c r="Q248" s="67"/>
      <c r="R248" s="67"/>
      <c r="S248" s="67"/>
      <c r="T248" s="119" t="s">
        <v>2814</v>
      </c>
      <c r="U248" s="67"/>
      <c r="V248" s="67"/>
      <c r="W248" s="67"/>
      <c r="X248" s="67"/>
      <c r="Y248" s="67"/>
      <c r="Z248" s="67"/>
      <c r="AA248" s="67"/>
      <c r="AB248" s="67"/>
      <c r="AC248" s="67"/>
      <c r="AD248" s="67"/>
      <c r="AE248" s="67"/>
      <c r="AF248" s="67"/>
      <c r="AG248" s="67"/>
      <c r="AH248" s="67"/>
      <c r="AI248" s="67"/>
      <c r="AJ248" s="67"/>
      <c r="AK248" s="67"/>
      <c r="AL248" s="67"/>
      <c r="AM248" s="67"/>
      <c r="AN248" s="67"/>
      <c r="AO248" s="70"/>
      <c r="AP248" s="70"/>
      <c r="AQ248" s="70"/>
      <c r="AR248" s="70"/>
      <c r="AS248" s="70"/>
      <c r="AT248" s="70"/>
      <c r="AU248" s="70"/>
      <c r="AV248" s="70"/>
      <c r="AW248" s="70"/>
      <c r="AX248" s="70"/>
    </row>
    <row r="249" ht="15.75" customHeight="1">
      <c r="A249" s="90" t="s">
        <v>78</v>
      </c>
      <c r="B249" s="219" t="s">
        <v>2027</v>
      </c>
      <c r="C249" s="28"/>
      <c r="D249" s="28"/>
      <c r="E249" s="28"/>
      <c r="F249" s="28"/>
      <c r="G249" s="28"/>
      <c r="H249" s="28"/>
      <c r="I249" s="28"/>
      <c r="J249" s="28"/>
      <c r="K249" s="28"/>
      <c r="L249" s="28"/>
      <c r="M249" s="28"/>
      <c r="N249" s="28"/>
      <c r="O249" s="67"/>
      <c r="P249" s="67"/>
      <c r="Q249" s="67"/>
      <c r="R249" s="67"/>
      <c r="S249" s="67"/>
      <c r="T249" s="119" t="s">
        <v>2833</v>
      </c>
      <c r="U249" s="67"/>
      <c r="V249" s="67"/>
      <c r="W249" s="67"/>
      <c r="X249" s="67"/>
      <c r="Y249" s="67"/>
      <c r="Z249" s="67"/>
      <c r="AA249" s="67"/>
      <c r="AB249" s="67"/>
      <c r="AC249" s="67"/>
      <c r="AD249" s="67"/>
      <c r="AE249" s="67"/>
      <c r="AF249" s="67"/>
      <c r="AG249" s="67"/>
      <c r="AH249" s="67"/>
      <c r="AI249" s="67"/>
      <c r="AJ249" s="67"/>
      <c r="AK249" s="67"/>
      <c r="AL249" s="67"/>
      <c r="AM249" s="67"/>
      <c r="AN249" s="67"/>
      <c r="AO249" s="70"/>
      <c r="AP249" s="70"/>
      <c r="AQ249" s="70"/>
      <c r="AR249" s="70"/>
      <c r="AS249" s="70"/>
      <c r="AT249" s="70"/>
      <c r="AU249" s="70"/>
      <c r="AV249" s="70"/>
      <c r="AW249" s="70"/>
      <c r="AX249" s="70"/>
    </row>
    <row r="250" ht="15.75" customHeight="1">
      <c r="A250" s="90" t="s">
        <v>78</v>
      </c>
      <c r="B250" s="219" t="s">
        <v>2029</v>
      </c>
      <c r="C250" s="28"/>
      <c r="D250" s="28"/>
      <c r="E250" s="28"/>
      <c r="F250" s="28"/>
      <c r="G250" s="28"/>
      <c r="H250" s="28"/>
      <c r="I250" s="28"/>
      <c r="J250" s="28"/>
      <c r="K250" s="28"/>
      <c r="L250" s="28"/>
      <c r="M250" s="28"/>
      <c r="N250" s="28"/>
      <c r="O250" s="67"/>
      <c r="P250" s="67"/>
      <c r="Q250" s="67"/>
      <c r="R250" s="67"/>
      <c r="S250" s="67"/>
      <c r="T250" s="119" t="s">
        <v>2851</v>
      </c>
      <c r="U250" s="67"/>
      <c r="V250" s="67"/>
      <c r="W250" s="67"/>
      <c r="X250" s="67"/>
      <c r="Y250" s="67"/>
      <c r="Z250" s="67"/>
      <c r="AA250" s="67"/>
      <c r="AB250" s="67"/>
      <c r="AC250" s="67"/>
      <c r="AD250" s="67"/>
      <c r="AE250" s="67"/>
      <c r="AF250" s="67"/>
      <c r="AG250" s="67"/>
      <c r="AH250" s="67"/>
      <c r="AI250" s="67"/>
      <c r="AJ250" s="67"/>
      <c r="AK250" s="67"/>
      <c r="AL250" s="67"/>
      <c r="AM250" s="67"/>
      <c r="AN250" s="67"/>
      <c r="AO250" s="70"/>
      <c r="AP250" s="70"/>
      <c r="AQ250" s="70"/>
      <c r="AR250" s="70"/>
      <c r="AS250" s="70"/>
      <c r="AT250" s="70"/>
      <c r="AU250" s="70"/>
      <c r="AV250" s="70"/>
      <c r="AW250" s="70"/>
      <c r="AX250" s="70"/>
    </row>
    <row r="251" ht="15.75" customHeight="1">
      <c r="A251" s="90" t="s">
        <v>78</v>
      </c>
      <c r="B251" s="219" t="s">
        <v>2030</v>
      </c>
      <c r="C251" s="28"/>
      <c r="D251" s="28"/>
      <c r="E251" s="28"/>
      <c r="F251" s="28"/>
      <c r="G251" s="28"/>
      <c r="H251" s="28"/>
      <c r="I251" s="28"/>
      <c r="J251" s="28"/>
      <c r="K251" s="28"/>
      <c r="L251" s="28"/>
      <c r="M251" s="28"/>
      <c r="N251" s="28"/>
      <c r="O251" s="67"/>
      <c r="P251" s="67"/>
      <c r="Q251" s="67"/>
      <c r="R251" s="67"/>
      <c r="S251" s="67"/>
      <c r="T251" s="119" t="s">
        <v>2863</v>
      </c>
      <c r="U251" s="67"/>
      <c r="V251" s="67"/>
      <c r="W251" s="67"/>
      <c r="X251" s="67"/>
      <c r="Y251" s="67"/>
      <c r="Z251" s="67"/>
      <c r="AA251" s="67"/>
      <c r="AB251" s="67"/>
      <c r="AC251" s="67"/>
      <c r="AD251" s="67"/>
      <c r="AE251" s="67"/>
      <c r="AF251" s="67"/>
      <c r="AG251" s="67"/>
      <c r="AH251" s="67"/>
      <c r="AI251" s="67"/>
      <c r="AJ251" s="67"/>
      <c r="AK251" s="67"/>
      <c r="AL251" s="67"/>
      <c r="AM251" s="67"/>
      <c r="AN251" s="67"/>
      <c r="AO251" s="70"/>
      <c r="AP251" s="70"/>
      <c r="AQ251" s="70"/>
      <c r="AR251" s="70"/>
      <c r="AS251" s="70"/>
      <c r="AT251" s="70"/>
      <c r="AU251" s="70"/>
      <c r="AV251" s="70"/>
      <c r="AW251" s="70"/>
      <c r="AX251" s="70"/>
    </row>
    <row r="252" ht="15.75" customHeight="1">
      <c r="A252" s="90" t="s">
        <v>78</v>
      </c>
      <c r="B252" s="219" t="s">
        <v>2039</v>
      </c>
      <c r="C252" s="28"/>
      <c r="D252" s="28"/>
      <c r="E252" s="28"/>
      <c r="F252" s="28"/>
      <c r="G252" s="28"/>
      <c r="H252" s="28"/>
      <c r="I252" s="28"/>
      <c r="J252" s="28"/>
      <c r="K252" s="28"/>
      <c r="L252" s="28"/>
      <c r="M252" s="28"/>
      <c r="N252" s="28"/>
      <c r="O252" s="67"/>
      <c r="P252" s="67"/>
      <c r="Q252" s="67"/>
      <c r="R252" s="67"/>
      <c r="S252" s="67"/>
      <c r="T252" s="119" t="s">
        <v>2881</v>
      </c>
      <c r="U252" s="67"/>
      <c r="V252" s="67"/>
      <c r="W252" s="67"/>
      <c r="X252" s="67"/>
      <c r="Y252" s="67"/>
      <c r="Z252" s="67"/>
      <c r="AA252" s="67"/>
      <c r="AB252" s="67"/>
      <c r="AC252" s="67"/>
      <c r="AD252" s="67"/>
      <c r="AE252" s="67"/>
      <c r="AF252" s="67"/>
      <c r="AG252" s="67"/>
      <c r="AH252" s="67"/>
      <c r="AI252" s="67"/>
      <c r="AJ252" s="67"/>
      <c r="AK252" s="67"/>
      <c r="AL252" s="67"/>
      <c r="AM252" s="67"/>
      <c r="AN252" s="67"/>
      <c r="AO252" s="70"/>
      <c r="AP252" s="70"/>
      <c r="AQ252" s="70"/>
      <c r="AR252" s="70"/>
      <c r="AS252" s="70"/>
      <c r="AT252" s="70"/>
      <c r="AU252" s="70"/>
      <c r="AV252" s="70"/>
      <c r="AW252" s="70"/>
      <c r="AX252" s="70"/>
    </row>
    <row r="253" ht="15.75" customHeight="1">
      <c r="A253" s="90" t="s">
        <v>78</v>
      </c>
      <c r="B253" s="219" t="s">
        <v>2042</v>
      </c>
      <c r="C253" s="28"/>
      <c r="D253" s="28"/>
      <c r="E253" s="28"/>
      <c r="F253" s="28"/>
      <c r="G253" s="28"/>
      <c r="H253" s="28"/>
      <c r="I253" s="28"/>
      <c r="J253" s="28"/>
      <c r="K253" s="28"/>
      <c r="L253" s="28"/>
      <c r="M253" s="28"/>
      <c r="N253" s="28"/>
      <c r="O253" s="67"/>
      <c r="P253" s="67"/>
      <c r="Q253" s="67"/>
      <c r="R253" s="67"/>
      <c r="S253" s="67"/>
      <c r="T253" s="119" t="s">
        <v>2896</v>
      </c>
      <c r="U253" s="67"/>
      <c r="V253" s="67"/>
      <c r="W253" s="67"/>
      <c r="X253" s="67"/>
      <c r="Y253" s="67"/>
      <c r="Z253" s="67"/>
      <c r="AA253" s="67"/>
      <c r="AB253" s="67"/>
      <c r="AC253" s="67"/>
      <c r="AD253" s="67"/>
      <c r="AE253" s="67"/>
      <c r="AF253" s="67"/>
      <c r="AG253" s="67"/>
      <c r="AH253" s="67"/>
      <c r="AI253" s="67"/>
      <c r="AJ253" s="67"/>
      <c r="AK253" s="67"/>
      <c r="AL253" s="67"/>
      <c r="AM253" s="67"/>
      <c r="AN253" s="67"/>
      <c r="AO253" s="70"/>
      <c r="AP253" s="70"/>
      <c r="AQ253" s="70"/>
      <c r="AR253" s="70"/>
      <c r="AS253" s="70"/>
      <c r="AT253" s="70"/>
      <c r="AU253" s="70"/>
      <c r="AV253" s="70"/>
      <c r="AW253" s="70"/>
      <c r="AX253" s="70"/>
    </row>
    <row r="254" ht="15.75" customHeight="1">
      <c r="A254" s="90" t="s">
        <v>78</v>
      </c>
      <c r="B254" s="219" t="s">
        <v>2045</v>
      </c>
      <c r="C254" s="28"/>
      <c r="D254" s="28"/>
      <c r="E254" s="28"/>
      <c r="F254" s="28"/>
      <c r="G254" s="28"/>
      <c r="H254" s="28"/>
      <c r="I254" s="28"/>
      <c r="J254" s="28"/>
      <c r="K254" s="28"/>
      <c r="L254" s="28"/>
      <c r="M254" s="28"/>
      <c r="N254" s="28"/>
      <c r="O254" s="67"/>
      <c r="P254" s="67"/>
      <c r="Q254" s="67"/>
      <c r="R254" s="67"/>
      <c r="S254" s="67"/>
      <c r="T254" s="119" t="s">
        <v>2907</v>
      </c>
      <c r="U254" s="67"/>
      <c r="V254" s="67"/>
      <c r="W254" s="67"/>
      <c r="X254" s="67"/>
      <c r="Y254" s="67"/>
      <c r="Z254" s="67"/>
      <c r="AA254" s="67"/>
      <c r="AB254" s="67"/>
      <c r="AC254" s="67"/>
      <c r="AD254" s="67"/>
      <c r="AE254" s="67"/>
      <c r="AF254" s="67"/>
      <c r="AG254" s="67"/>
      <c r="AH254" s="67"/>
      <c r="AI254" s="67"/>
      <c r="AJ254" s="67"/>
      <c r="AK254" s="67"/>
      <c r="AL254" s="67"/>
      <c r="AM254" s="67"/>
      <c r="AN254" s="67"/>
      <c r="AO254" s="70"/>
      <c r="AP254" s="70"/>
      <c r="AQ254" s="70"/>
      <c r="AR254" s="70"/>
      <c r="AS254" s="70"/>
      <c r="AT254" s="70"/>
      <c r="AU254" s="70"/>
      <c r="AV254" s="70"/>
      <c r="AW254" s="70"/>
      <c r="AX254" s="70"/>
    </row>
    <row r="255" ht="15.75" customHeight="1">
      <c r="A255" s="90" t="s">
        <v>78</v>
      </c>
      <c r="B255" s="219" t="s">
        <v>2052</v>
      </c>
      <c r="C255" s="28"/>
      <c r="D255" s="28"/>
      <c r="E255" s="28"/>
      <c r="F255" s="28"/>
      <c r="G255" s="28"/>
      <c r="H255" s="28"/>
      <c r="I255" s="28"/>
      <c r="J255" s="28"/>
      <c r="K255" s="28"/>
      <c r="L255" s="28"/>
      <c r="M255" s="28"/>
      <c r="N255" s="28"/>
      <c r="O255" s="67"/>
      <c r="P255" s="67"/>
      <c r="Q255" s="67"/>
      <c r="R255" s="67"/>
      <c r="S255" s="67"/>
      <c r="T255" s="119" t="s">
        <v>2921</v>
      </c>
      <c r="U255" s="67"/>
      <c r="V255" s="67"/>
      <c r="W255" s="67"/>
      <c r="X255" s="67"/>
      <c r="Y255" s="67"/>
      <c r="Z255" s="67"/>
      <c r="AA255" s="67"/>
      <c r="AB255" s="67"/>
      <c r="AC255" s="67"/>
      <c r="AD255" s="67"/>
      <c r="AE255" s="67"/>
      <c r="AF255" s="67"/>
      <c r="AG255" s="67"/>
      <c r="AH255" s="67"/>
      <c r="AI255" s="67"/>
      <c r="AJ255" s="67"/>
      <c r="AK255" s="67"/>
      <c r="AL255" s="67"/>
      <c r="AM255" s="67"/>
      <c r="AN255" s="67"/>
      <c r="AO255" s="70"/>
      <c r="AP255" s="70"/>
      <c r="AQ255" s="70"/>
      <c r="AR255" s="70"/>
      <c r="AS255" s="70"/>
      <c r="AT255" s="70"/>
      <c r="AU255" s="70"/>
      <c r="AV255" s="70"/>
      <c r="AW255" s="70"/>
      <c r="AX255" s="70"/>
    </row>
    <row r="256" ht="15.75" customHeight="1">
      <c r="A256" s="90" t="s">
        <v>78</v>
      </c>
      <c r="B256" s="219" t="s">
        <v>2059</v>
      </c>
      <c r="C256" s="28"/>
      <c r="D256" s="28"/>
      <c r="E256" s="28"/>
      <c r="F256" s="28"/>
      <c r="G256" s="28"/>
      <c r="H256" s="28"/>
      <c r="I256" s="28"/>
      <c r="J256" s="28"/>
      <c r="K256" s="28"/>
      <c r="L256" s="28"/>
      <c r="M256" s="28"/>
      <c r="N256" s="28"/>
      <c r="O256" s="67"/>
      <c r="P256" s="67"/>
      <c r="Q256" s="67"/>
      <c r="R256" s="67"/>
      <c r="S256" s="67"/>
      <c r="T256" s="119" t="s">
        <v>2937</v>
      </c>
      <c r="U256" s="67"/>
      <c r="V256" s="67"/>
      <c r="W256" s="67"/>
      <c r="X256" s="67"/>
      <c r="Y256" s="67"/>
      <c r="Z256" s="67"/>
      <c r="AA256" s="67"/>
      <c r="AB256" s="67"/>
      <c r="AC256" s="67"/>
      <c r="AD256" s="67"/>
      <c r="AE256" s="67"/>
      <c r="AF256" s="67"/>
      <c r="AG256" s="67"/>
      <c r="AH256" s="67"/>
      <c r="AI256" s="67"/>
      <c r="AJ256" s="67"/>
      <c r="AK256" s="67"/>
      <c r="AL256" s="67"/>
      <c r="AM256" s="67"/>
      <c r="AN256" s="67"/>
      <c r="AO256" s="70"/>
      <c r="AP256" s="70"/>
      <c r="AQ256" s="70"/>
      <c r="AR256" s="70"/>
      <c r="AS256" s="70"/>
      <c r="AT256" s="70"/>
      <c r="AU256" s="70"/>
      <c r="AV256" s="70"/>
      <c r="AW256" s="70"/>
      <c r="AX256" s="70"/>
    </row>
    <row r="257" ht="15.75" customHeight="1">
      <c r="A257" s="90" t="s">
        <v>78</v>
      </c>
      <c r="B257" s="219" t="s">
        <v>2064</v>
      </c>
      <c r="C257" s="28"/>
      <c r="D257" s="28"/>
      <c r="E257" s="28"/>
      <c r="F257" s="28"/>
      <c r="G257" s="28"/>
      <c r="H257" s="28"/>
      <c r="I257" s="28"/>
      <c r="J257" s="28"/>
      <c r="K257" s="28"/>
      <c r="L257" s="28"/>
      <c r="M257" s="28"/>
      <c r="N257" s="28"/>
      <c r="O257" s="67"/>
      <c r="P257" s="67"/>
      <c r="Q257" s="67"/>
      <c r="R257" s="67"/>
      <c r="S257" s="67"/>
      <c r="T257" s="119" t="s">
        <v>2958</v>
      </c>
      <c r="U257" s="67"/>
      <c r="V257" s="67"/>
      <c r="W257" s="67"/>
      <c r="X257" s="67"/>
      <c r="Y257" s="67"/>
      <c r="Z257" s="67"/>
      <c r="AA257" s="67"/>
      <c r="AB257" s="67"/>
      <c r="AC257" s="67"/>
      <c r="AD257" s="67"/>
      <c r="AE257" s="67"/>
      <c r="AF257" s="67"/>
      <c r="AG257" s="67"/>
      <c r="AH257" s="67"/>
      <c r="AI257" s="67"/>
      <c r="AJ257" s="67"/>
      <c r="AK257" s="67"/>
      <c r="AL257" s="67"/>
      <c r="AM257" s="67"/>
      <c r="AN257" s="67"/>
      <c r="AO257" s="70"/>
      <c r="AP257" s="70"/>
      <c r="AQ257" s="70"/>
      <c r="AR257" s="70"/>
      <c r="AS257" s="70"/>
      <c r="AT257" s="70"/>
      <c r="AU257" s="70"/>
      <c r="AV257" s="70"/>
      <c r="AW257" s="70"/>
      <c r="AX257" s="70"/>
    </row>
    <row r="258" ht="15.75" customHeight="1">
      <c r="A258" s="90" t="s">
        <v>78</v>
      </c>
      <c r="B258" s="219" t="s">
        <v>2065</v>
      </c>
      <c r="C258" s="28"/>
      <c r="D258" s="28"/>
      <c r="E258" s="28"/>
      <c r="F258" s="28"/>
      <c r="G258" s="28"/>
      <c r="H258" s="28"/>
      <c r="I258" s="28"/>
      <c r="J258" s="28"/>
      <c r="K258" s="28"/>
      <c r="L258" s="28"/>
      <c r="M258" s="28"/>
      <c r="N258" s="28"/>
      <c r="O258" s="67"/>
      <c r="P258" s="67"/>
      <c r="Q258" s="67"/>
      <c r="R258" s="67"/>
      <c r="S258" s="67"/>
      <c r="T258" s="119" t="s">
        <v>2968</v>
      </c>
      <c r="U258" s="67"/>
      <c r="V258" s="67"/>
      <c r="W258" s="67"/>
      <c r="X258" s="67"/>
      <c r="Y258" s="67"/>
      <c r="Z258" s="67"/>
      <c r="AA258" s="67"/>
      <c r="AB258" s="67"/>
      <c r="AC258" s="67"/>
      <c r="AD258" s="67"/>
      <c r="AE258" s="67"/>
      <c r="AF258" s="67"/>
      <c r="AG258" s="67"/>
      <c r="AH258" s="67"/>
      <c r="AI258" s="67"/>
      <c r="AJ258" s="67"/>
      <c r="AK258" s="67"/>
      <c r="AL258" s="67"/>
      <c r="AM258" s="67"/>
      <c r="AN258" s="67"/>
      <c r="AO258" s="70"/>
      <c r="AP258" s="70"/>
      <c r="AQ258" s="70"/>
      <c r="AR258" s="70"/>
      <c r="AS258" s="70"/>
      <c r="AT258" s="70"/>
      <c r="AU258" s="70"/>
      <c r="AV258" s="70"/>
      <c r="AW258" s="70"/>
      <c r="AX258" s="70"/>
    </row>
    <row r="259" ht="15.75" customHeight="1">
      <c r="A259" s="90" t="s">
        <v>78</v>
      </c>
      <c r="B259" s="219" t="s">
        <v>2067</v>
      </c>
      <c r="C259" s="28"/>
      <c r="D259" s="28"/>
      <c r="E259" s="28"/>
      <c r="F259" s="28"/>
      <c r="G259" s="28"/>
      <c r="H259" s="28"/>
      <c r="I259" s="28"/>
      <c r="J259" s="28"/>
      <c r="K259" s="28"/>
      <c r="L259" s="28"/>
      <c r="M259" s="28"/>
      <c r="N259" s="28"/>
      <c r="O259" s="67"/>
      <c r="P259" s="67"/>
      <c r="Q259" s="67"/>
      <c r="R259" s="67"/>
      <c r="S259" s="67"/>
      <c r="T259" s="119" t="s">
        <v>2984</v>
      </c>
      <c r="U259" s="67"/>
      <c r="V259" s="67"/>
      <c r="W259" s="67"/>
      <c r="X259" s="67"/>
      <c r="Y259" s="67"/>
      <c r="Z259" s="67"/>
      <c r="AA259" s="67"/>
      <c r="AB259" s="67"/>
      <c r="AC259" s="67"/>
      <c r="AD259" s="67"/>
      <c r="AE259" s="67"/>
      <c r="AF259" s="67"/>
      <c r="AG259" s="67"/>
      <c r="AH259" s="67"/>
      <c r="AI259" s="67"/>
      <c r="AJ259" s="67"/>
      <c r="AK259" s="67"/>
      <c r="AL259" s="67"/>
      <c r="AM259" s="67"/>
      <c r="AN259" s="67"/>
      <c r="AO259" s="70"/>
      <c r="AP259" s="70"/>
      <c r="AQ259" s="70"/>
      <c r="AR259" s="70"/>
      <c r="AS259" s="70"/>
      <c r="AT259" s="70"/>
      <c r="AU259" s="70"/>
      <c r="AV259" s="70"/>
      <c r="AW259" s="70"/>
      <c r="AX259" s="70"/>
    </row>
    <row r="260" ht="15.75" customHeight="1">
      <c r="A260" s="90" t="s">
        <v>78</v>
      </c>
      <c r="B260" s="219" t="s">
        <v>2068</v>
      </c>
      <c r="C260" s="28"/>
      <c r="D260" s="28"/>
      <c r="E260" s="28"/>
      <c r="F260" s="28"/>
      <c r="G260" s="28"/>
      <c r="H260" s="28"/>
      <c r="I260" s="28"/>
      <c r="J260" s="28"/>
      <c r="K260" s="28"/>
      <c r="L260" s="28"/>
      <c r="M260" s="28"/>
      <c r="N260" s="28"/>
      <c r="O260" s="67"/>
      <c r="P260" s="67"/>
      <c r="Q260" s="67"/>
      <c r="R260" s="67"/>
      <c r="S260" s="67"/>
      <c r="T260" s="119" t="s">
        <v>2999</v>
      </c>
      <c r="U260" s="67"/>
      <c r="V260" s="67"/>
      <c r="W260" s="67"/>
      <c r="X260" s="67"/>
      <c r="Y260" s="67"/>
      <c r="Z260" s="67"/>
      <c r="AA260" s="67"/>
      <c r="AB260" s="67"/>
      <c r="AC260" s="67"/>
      <c r="AD260" s="67"/>
      <c r="AE260" s="67"/>
      <c r="AF260" s="67"/>
      <c r="AG260" s="67"/>
      <c r="AH260" s="67"/>
      <c r="AI260" s="67"/>
      <c r="AJ260" s="67"/>
      <c r="AK260" s="67"/>
      <c r="AL260" s="67"/>
      <c r="AM260" s="67"/>
      <c r="AN260" s="67"/>
      <c r="AO260" s="70"/>
      <c r="AP260" s="70"/>
      <c r="AQ260" s="70"/>
      <c r="AR260" s="70"/>
      <c r="AS260" s="70"/>
      <c r="AT260" s="70"/>
      <c r="AU260" s="70"/>
      <c r="AV260" s="70"/>
      <c r="AW260" s="70"/>
      <c r="AX260" s="70"/>
    </row>
    <row r="261" ht="15.75" customHeight="1">
      <c r="A261" s="90" t="s">
        <v>78</v>
      </c>
      <c r="B261" s="219" t="s">
        <v>2074</v>
      </c>
      <c r="C261" s="28"/>
      <c r="D261" s="28"/>
      <c r="E261" s="28"/>
      <c r="F261" s="28"/>
      <c r="G261" s="28"/>
      <c r="H261" s="28"/>
      <c r="I261" s="28"/>
      <c r="J261" s="28"/>
      <c r="K261" s="28"/>
      <c r="L261" s="28"/>
      <c r="M261" s="28"/>
      <c r="N261" s="28"/>
      <c r="O261" s="67"/>
      <c r="P261" s="67"/>
      <c r="Q261" s="67"/>
      <c r="R261" s="67"/>
      <c r="S261" s="67"/>
      <c r="T261" s="119" t="s">
        <v>3011</v>
      </c>
      <c r="U261" s="67"/>
      <c r="V261" s="67"/>
      <c r="W261" s="67"/>
      <c r="X261" s="67"/>
      <c r="Y261" s="67"/>
      <c r="Z261" s="67"/>
      <c r="AA261" s="67"/>
      <c r="AB261" s="67"/>
      <c r="AC261" s="67"/>
      <c r="AD261" s="67"/>
      <c r="AE261" s="67"/>
      <c r="AF261" s="67"/>
      <c r="AG261" s="67"/>
      <c r="AH261" s="67"/>
      <c r="AI261" s="67"/>
      <c r="AJ261" s="67"/>
      <c r="AK261" s="67"/>
      <c r="AL261" s="67"/>
      <c r="AM261" s="67"/>
      <c r="AN261" s="67"/>
      <c r="AO261" s="70"/>
      <c r="AP261" s="70"/>
      <c r="AQ261" s="70"/>
      <c r="AR261" s="70"/>
      <c r="AS261" s="70"/>
      <c r="AT261" s="70"/>
      <c r="AU261" s="70"/>
      <c r="AV261" s="70"/>
      <c r="AW261" s="70"/>
      <c r="AX261" s="70"/>
    </row>
    <row r="262" ht="15.75" customHeight="1">
      <c r="A262" s="90" t="s">
        <v>78</v>
      </c>
      <c r="B262" s="219" t="s">
        <v>2078</v>
      </c>
      <c r="C262" s="28"/>
      <c r="D262" s="28"/>
      <c r="E262" s="28"/>
      <c r="F262" s="28"/>
      <c r="G262" s="28"/>
      <c r="H262" s="28"/>
      <c r="I262" s="28"/>
      <c r="J262" s="28"/>
      <c r="K262" s="28"/>
      <c r="L262" s="28"/>
      <c r="M262" s="28"/>
      <c r="N262" s="28"/>
      <c r="O262" s="67"/>
      <c r="P262" s="67"/>
      <c r="Q262" s="67"/>
      <c r="R262" s="67"/>
      <c r="S262" s="67"/>
      <c r="T262" s="119" t="s">
        <v>3022</v>
      </c>
      <c r="U262" s="67"/>
      <c r="V262" s="67"/>
      <c r="W262" s="67"/>
      <c r="X262" s="67"/>
      <c r="Y262" s="67"/>
      <c r="Z262" s="67"/>
      <c r="AA262" s="67"/>
      <c r="AB262" s="67"/>
      <c r="AC262" s="67"/>
      <c r="AD262" s="67"/>
      <c r="AE262" s="67"/>
      <c r="AF262" s="67"/>
      <c r="AG262" s="67"/>
      <c r="AH262" s="67"/>
      <c r="AI262" s="67"/>
      <c r="AJ262" s="67"/>
      <c r="AK262" s="67"/>
      <c r="AL262" s="67"/>
      <c r="AM262" s="67"/>
      <c r="AN262" s="67"/>
      <c r="AO262" s="70"/>
      <c r="AP262" s="70"/>
      <c r="AQ262" s="70"/>
      <c r="AR262" s="70"/>
      <c r="AS262" s="70"/>
      <c r="AT262" s="70"/>
      <c r="AU262" s="70"/>
      <c r="AV262" s="70"/>
      <c r="AW262" s="70"/>
      <c r="AX262" s="70"/>
    </row>
    <row r="263" ht="15.75" customHeight="1">
      <c r="A263" s="90" t="s">
        <v>78</v>
      </c>
      <c r="B263" s="219" t="s">
        <v>2080</v>
      </c>
      <c r="C263" s="28"/>
      <c r="D263" s="28"/>
      <c r="E263" s="28"/>
      <c r="F263" s="28"/>
      <c r="G263" s="28"/>
      <c r="H263" s="28"/>
      <c r="I263" s="28"/>
      <c r="J263" s="28"/>
      <c r="K263" s="28"/>
      <c r="L263" s="28"/>
      <c r="M263" s="28"/>
      <c r="N263" s="28"/>
      <c r="O263" s="67"/>
      <c r="P263" s="67"/>
      <c r="Q263" s="67"/>
      <c r="R263" s="67"/>
      <c r="S263" s="67"/>
      <c r="T263" s="119" t="s">
        <v>3037</v>
      </c>
      <c r="U263" s="67"/>
      <c r="V263" s="67"/>
      <c r="W263" s="67"/>
      <c r="X263" s="67"/>
      <c r="Y263" s="67"/>
      <c r="Z263" s="67"/>
      <c r="AA263" s="67"/>
      <c r="AB263" s="67"/>
      <c r="AC263" s="67"/>
      <c r="AD263" s="67"/>
      <c r="AE263" s="67"/>
      <c r="AF263" s="67"/>
      <c r="AG263" s="67"/>
      <c r="AH263" s="67"/>
      <c r="AI263" s="67"/>
      <c r="AJ263" s="67"/>
      <c r="AK263" s="67"/>
      <c r="AL263" s="67"/>
      <c r="AM263" s="67"/>
      <c r="AN263" s="67"/>
      <c r="AO263" s="70"/>
      <c r="AP263" s="70"/>
      <c r="AQ263" s="70"/>
      <c r="AR263" s="70"/>
      <c r="AS263" s="70"/>
      <c r="AT263" s="70"/>
      <c r="AU263" s="70"/>
      <c r="AV263" s="70"/>
      <c r="AW263" s="70"/>
      <c r="AX263" s="70"/>
    </row>
    <row r="264" ht="15.75" customHeight="1">
      <c r="A264" s="90" t="s">
        <v>78</v>
      </c>
      <c r="B264" s="219" t="s">
        <v>2084</v>
      </c>
      <c r="C264" s="28"/>
      <c r="D264" s="28"/>
      <c r="E264" s="28"/>
      <c r="F264" s="28"/>
      <c r="G264" s="28"/>
      <c r="H264" s="28"/>
      <c r="I264" s="28"/>
      <c r="J264" s="28"/>
      <c r="K264" s="28"/>
      <c r="L264" s="28"/>
      <c r="M264" s="28"/>
      <c r="N264" s="28"/>
      <c r="O264" s="67"/>
      <c r="P264" s="67"/>
      <c r="Q264" s="67"/>
      <c r="R264" s="67"/>
      <c r="S264" s="67"/>
      <c r="T264" s="119" t="s">
        <v>3055</v>
      </c>
      <c r="U264" s="67"/>
      <c r="V264" s="67"/>
      <c r="W264" s="67"/>
      <c r="X264" s="67"/>
      <c r="Y264" s="67"/>
      <c r="Z264" s="67"/>
      <c r="AA264" s="67"/>
      <c r="AB264" s="67"/>
      <c r="AC264" s="67"/>
      <c r="AD264" s="67"/>
      <c r="AE264" s="67"/>
      <c r="AF264" s="67"/>
      <c r="AG264" s="67"/>
      <c r="AH264" s="67"/>
      <c r="AI264" s="67"/>
      <c r="AJ264" s="67"/>
      <c r="AK264" s="67"/>
      <c r="AL264" s="67"/>
      <c r="AM264" s="67"/>
      <c r="AN264" s="67"/>
      <c r="AO264" s="70"/>
      <c r="AP264" s="70"/>
      <c r="AQ264" s="70"/>
      <c r="AR264" s="70"/>
      <c r="AS264" s="70"/>
      <c r="AT264" s="70"/>
      <c r="AU264" s="70"/>
      <c r="AV264" s="70"/>
      <c r="AW264" s="70"/>
      <c r="AX264" s="70"/>
    </row>
    <row r="265" ht="15.75" customHeight="1">
      <c r="A265" s="90" t="s">
        <v>78</v>
      </c>
      <c r="B265" s="219" t="s">
        <v>2088</v>
      </c>
      <c r="C265" s="28"/>
      <c r="D265" s="28"/>
      <c r="E265" s="28"/>
      <c r="F265" s="28"/>
      <c r="G265" s="28"/>
      <c r="H265" s="28"/>
      <c r="I265" s="28"/>
      <c r="J265" s="28"/>
      <c r="K265" s="28"/>
      <c r="L265" s="28"/>
      <c r="M265" s="28"/>
      <c r="N265" s="28"/>
      <c r="O265" s="67"/>
      <c r="P265" s="67"/>
      <c r="Q265" s="67"/>
      <c r="R265" s="67"/>
      <c r="S265" s="67"/>
      <c r="T265" s="119" t="s">
        <v>3059</v>
      </c>
      <c r="U265" s="67"/>
      <c r="V265" s="67"/>
      <c r="W265" s="67"/>
      <c r="X265" s="67"/>
      <c r="Y265" s="67"/>
      <c r="Z265" s="67"/>
      <c r="AA265" s="67"/>
      <c r="AB265" s="67"/>
      <c r="AC265" s="67"/>
      <c r="AD265" s="67"/>
      <c r="AE265" s="67"/>
      <c r="AF265" s="67"/>
      <c r="AG265" s="67"/>
      <c r="AH265" s="67"/>
      <c r="AI265" s="67"/>
      <c r="AJ265" s="67"/>
      <c r="AK265" s="67"/>
      <c r="AL265" s="67"/>
      <c r="AM265" s="67"/>
      <c r="AN265" s="67"/>
      <c r="AO265" s="70"/>
      <c r="AP265" s="70"/>
      <c r="AQ265" s="70"/>
      <c r="AR265" s="70"/>
      <c r="AS265" s="70"/>
      <c r="AT265" s="70"/>
      <c r="AU265" s="70"/>
      <c r="AV265" s="70"/>
      <c r="AW265" s="70"/>
      <c r="AX265" s="70"/>
    </row>
    <row r="266" ht="15.75" customHeight="1">
      <c r="A266" s="90" t="s">
        <v>78</v>
      </c>
      <c r="B266" s="219" t="s">
        <v>2096</v>
      </c>
      <c r="C266" s="28"/>
      <c r="D266" s="28"/>
      <c r="E266" s="28"/>
      <c r="F266" s="28"/>
      <c r="G266" s="28"/>
      <c r="H266" s="28"/>
      <c r="I266" s="28"/>
      <c r="J266" s="28"/>
      <c r="K266" s="28"/>
      <c r="L266" s="28"/>
      <c r="M266" s="28"/>
      <c r="N266" s="28"/>
      <c r="O266" s="67"/>
      <c r="P266" s="67"/>
      <c r="Q266" s="67"/>
      <c r="R266" s="67"/>
      <c r="S266" s="67"/>
      <c r="T266" s="119" t="s">
        <v>3069</v>
      </c>
      <c r="U266" s="67"/>
      <c r="V266" s="67"/>
      <c r="W266" s="67"/>
      <c r="X266" s="67"/>
      <c r="Y266" s="67"/>
      <c r="Z266" s="67"/>
      <c r="AA266" s="67"/>
      <c r="AB266" s="67"/>
      <c r="AC266" s="67"/>
      <c r="AD266" s="67"/>
      <c r="AE266" s="67"/>
      <c r="AF266" s="67"/>
      <c r="AG266" s="67"/>
      <c r="AH266" s="67"/>
      <c r="AI266" s="67"/>
      <c r="AJ266" s="67"/>
      <c r="AK266" s="67"/>
      <c r="AL266" s="67"/>
      <c r="AM266" s="67"/>
      <c r="AN266" s="67"/>
      <c r="AO266" s="70"/>
      <c r="AP266" s="70"/>
      <c r="AQ266" s="70"/>
      <c r="AR266" s="70"/>
      <c r="AS266" s="70"/>
      <c r="AT266" s="70"/>
      <c r="AU266" s="70"/>
      <c r="AV266" s="70"/>
      <c r="AW266" s="70"/>
      <c r="AX266" s="70"/>
    </row>
    <row r="267" ht="15.75" customHeight="1">
      <c r="A267" s="90" t="s">
        <v>78</v>
      </c>
      <c r="B267" s="219" t="s">
        <v>2100</v>
      </c>
      <c r="C267" s="28"/>
      <c r="D267" s="28"/>
      <c r="E267" s="28"/>
      <c r="F267" s="28"/>
      <c r="G267" s="28"/>
      <c r="H267" s="28"/>
      <c r="I267" s="28"/>
      <c r="J267" s="28"/>
      <c r="K267" s="28"/>
      <c r="L267" s="28"/>
      <c r="M267" s="28"/>
      <c r="N267" s="28"/>
      <c r="O267" s="67"/>
      <c r="P267" s="67"/>
      <c r="Q267" s="67"/>
      <c r="R267" s="67"/>
      <c r="S267" s="67"/>
      <c r="T267" s="119" t="s">
        <v>3081</v>
      </c>
      <c r="U267" s="67"/>
      <c r="V267" s="67"/>
      <c r="W267" s="67"/>
      <c r="X267" s="67"/>
      <c r="Y267" s="67"/>
      <c r="Z267" s="67"/>
      <c r="AA267" s="67"/>
      <c r="AB267" s="67"/>
      <c r="AC267" s="67"/>
      <c r="AD267" s="67"/>
      <c r="AE267" s="67"/>
      <c r="AF267" s="67"/>
      <c r="AG267" s="67"/>
      <c r="AH267" s="67"/>
      <c r="AI267" s="67"/>
      <c r="AJ267" s="67"/>
      <c r="AK267" s="67"/>
      <c r="AL267" s="67"/>
      <c r="AM267" s="67"/>
      <c r="AN267" s="67"/>
      <c r="AO267" s="70"/>
      <c r="AP267" s="70"/>
      <c r="AQ267" s="70"/>
      <c r="AR267" s="70"/>
      <c r="AS267" s="70"/>
      <c r="AT267" s="70"/>
      <c r="AU267" s="70"/>
      <c r="AV267" s="70"/>
      <c r="AW267" s="70"/>
      <c r="AX267" s="70"/>
    </row>
    <row r="268" ht="15.75" customHeight="1">
      <c r="A268" s="90" t="s">
        <v>78</v>
      </c>
      <c r="B268" s="219" t="s">
        <v>2107</v>
      </c>
      <c r="C268" s="28"/>
      <c r="D268" s="28"/>
      <c r="E268" s="28"/>
      <c r="F268" s="28"/>
      <c r="G268" s="28"/>
      <c r="H268" s="28"/>
      <c r="I268" s="28"/>
      <c r="J268" s="28"/>
      <c r="K268" s="28"/>
      <c r="L268" s="28"/>
      <c r="M268" s="28"/>
      <c r="N268" s="28"/>
      <c r="O268" s="67"/>
      <c r="P268" s="67"/>
      <c r="Q268" s="67"/>
      <c r="R268" s="67"/>
      <c r="S268" s="67"/>
      <c r="T268" s="119" t="s">
        <v>3101</v>
      </c>
      <c r="U268" s="67"/>
      <c r="V268" s="67"/>
      <c r="W268" s="67"/>
      <c r="X268" s="67"/>
      <c r="Y268" s="67"/>
      <c r="Z268" s="67"/>
      <c r="AA268" s="67"/>
      <c r="AB268" s="67"/>
      <c r="AC268" s="67"/>
      <c r="AD268" s="67"/>
      <c r="AE268" s="67"/>
      <c r="AF268" s="67"/>
      <c r="AG268" s="67"/>
      <c r="AH268" s="67"/>
      <c r="AI268" s="67"/>
      <c r="AJ268" s="67"/>
      <c r="AK268" s="67"/>
      <c r="AL268" s="67"/>
      <c r="AM268" s="67"/>
      <c r="AN268" s="67"/>
      <c r="AO268" s="70"/>
      <c r="AP268" s="70"/>
      <c r="AQ268" s="70"/>
      <c r="AR268" s="70"/>
      <c r="AS268" s="70"/>
      <c r="AT268" s="70"/>
      <c r="AU268" s="70"/>
      <c r="AV268" s="70"/>
      <c r="AW268" s="70"/>
      <c r="AX268" s="70"/>
    </row>
    <row r="269" ht="15.75" customHeight="1">
      <c r="A269" s="90" t="s">
        <v>78</v>
      </c>
      <c r="B269" s="219" t="s">
        <v>2111</v>
      </c>
      <c r="C269" s="28"/>
      <c r="D269" s="28"/>
      <c r="E269" s="28"/>
      <c r="F269" s="28"/>
      <c r="G269" s="28"/>
      <c r="H269" s="28"/>
      <c r="I269" s="28"/>
      <c r="J269" s="28"/>
      <c r="K269" s="28"/>
      <c r="L269" s="28"/>
      <c r="M269" s="28"/>
      <c r="N269" s="28"/>
      <c r="O269" s="67"/>
      <c r="P269" s="67"/>
      <c r="Q269" s="67"/>
      <c r="R269" s="67"/>
      <c r="S269" s="67"/>
      <c r="T269" s="119" t="s">
        <v>3122</v>
      </c>
      <c r="U269" s="67"/>
      <c r="V269" s="67"/>
      <c r="W269" s="67"/>
      <c r="X269" s="67"/>
      <c r="Y269" s="67"/>
      <c r="Z269" s="67"/>
      <c r="AA269" s="67"/>
      <c r="AB269" s="67"/>
      <c r="AC269" s="67"/>
      <c r="AD269" s="67"/>
      <c r="AE269" s="67"/>
      <c r="AF269" s="67"/>
      <c r="AG269" s="67"/>
      <c r="AH269" s="67"/>
      <c r="AI269" s="67"/>
      <c r="AJ269" s="67"/>
      <c r="AK269" s="67"/>
      <c r="AL269" s="67"/>
      <c r="AM269" s="67"/>
      <c r="AN269" s="67"/>
      <c r="AO269" s="70"/>
      <c r="AP269" s="70"/>
      <c r="AQ269" s="70"/>
      <c r="AR269" s="70"/>
      <c r="AS269" s="70"/>
      <c r="AT269" s="70"/>
      <c r="AU269" s="70"/>
      <c r="AV269" s="70"/>
      <c r="AW269" s="70"/>
      <c r="AX269" s="70"/>
    </row>
    <row r="270" ht="15.75" customHeight="1">
      <c r="A270" s="90" t="s">
        <v>78</v>
      </c>
      <c r="B270" s="219" t="s">
        <v>2113</v>
      </c>
      <c r="C270" s="28"/>
      <c r="D270" s="28"/>
      <c r="E270" s="28"/>
      <c r="F270" s="28"/>
      <c r="G270" s="28"/>
      <c r="H270" s="28"/>
      <c r="I270" s="28"/>
      <c r="J270" s="28"/>
      <c r="K270" s="28"/>
      <c r="L270" s="28"/>
      <c r="M270" s="28"/>
      <c r="N270" s="28"/>
      <c r="O270" s="67"/>
      <c r="P270" s="67"/>
      <c r="Q270" s="67"/>
      <c r="R270" s="67"/>
      <c r="S270" s="67"/>
      <c r="T270" s="119" t="s">
        <v>3133</v>
      </c>
      <c r="U270" s="67"/>
      <c r="V270" s="67"/>
      <c r="W270" s="67"/>
      <c r="X270" s="67"/>
      <c r="Y270" s="67"/>
      <c r="Z270" s="67"/>
      <c r="AA270" s="67"/>
      <c r="AB270" s="67"/>
      <c r="AC270" s="67"/>
      <c r="AD270" s="67"/>
      <c r="AE270" s="67"/>
      <c r="AF270" s="67"/>
      <c r="AG270" s="67"/>
      <c r="AH270" s="67"/>
      <c r="AI270" s="67"/>
      <c r="AJ270" s="67"/>
      <c r="AK270" s="67"/>
      <c r="AL270" s="67"/>
      <c r="AM270" s="67"/>
      <c r="AN270" s="67"/>
      <c r="AO270" s="70"/>
      <c r="AP270" s="70"/>
      <c r="AQ270" s="70"/>
      <c r="AR270" s="70"/>
      <c r="AS270" s="70"/>
      <c r="AT270" s="70"/>
      <c r="AU270" s="70"/>
      <c r="AV270" s="70"/>
      <c r="AW270" s="70"/>
      <c r="AX270" s="70"/>
    </row>
    <row r="271" ht="15.75" customHeight="1">
      <c r="A271" s="174" t="s">
        <v>698</v>
      </c>
      <c r="B271" s="226" t="s">
        <v>2114</v>
      </c>
      <c r="C271" s="28" t="s">
        <v>2115</v>
      </c>
      <c r="D271" s="28"/>
      <c r="E271" s="28"/>
      <c r="F271" s="28"/>
      <c r="G271" s="28"/>
      <c r="H271" s="28"/>
      <c r="I271" s="28"/>
      <c r="J271" s="28"/>
      <c r="K271" s="28"/>
      <c r="L271" s="28"/>
      <c r="M271" s="28"/>
      <c r="N271" s="28"/>
      <c r="O271" s="177"/>
      <c r="P271" s="176"/>
      <c r="Q271" s="176"/>
      <c r="R271" s="176"/>
      <c r="S271" s="176"/>
      <c r="T271" s="176"/>
      <c r="U271" s="177" t="s">
        <v>1401</v>
      </c>
      <c r="V271" s="176"/>
      <c r="W271" s="176"/>
      <c r="X271" s="176"/>
      <c r="Y271" s="176"/>
      <c r="Z271" s="176"/>
      <c r="AA271" s="176"/>
      <c r="AB271" s="176"/>
      <c r="AC271" s="176"/>
      <c r="AD271" s="96"/>
      <c r="AE271" s="96"/>
      <c r="AF271" s="96"/>
      <c r="AG271" s="96"/>
      <c r="AH271" s="96"/>
      <c r="AI271" s="96"/>
      <c r="AJ271" s="96"/>
      <c r="AK271" s="96"/>
      <c r="AL271" s="96"/>
      <c r="AM271" s="96"/>
      <c r="AN271" s="96"/>
      <c r="AO271" s="70"/>
      <c r="AP271" s="70"/>
      <c r="AQ271" s="70"/>
      <c r="AR271" s="70"/>
      <c r="AS271" s="70"/>
      <c r="AT271" s="70"/>
      <c r="AU271" s="70"/>
      <c r="AV271" s="70"/>
      <c r="AW271" s="70"/>
      <c r="AX271" s="70"/>
    </row>
    <row r="272" ht="15.75" customHeight="1">
      <c r="A272" s="90" t="s">
        <v>78</v>
      </c>
      <c r="B272" s="154" t="s">
        <v>2120</v>
      </c>
      <c r="C272" s="28"/>
      <c r="D272" s="28"/>
      <c r="E272" s="28"/>
      <c r="F272" s="28"/>
      <c r="G272" s="28"/>
      <c r="H272" s="28"/>
      <c r="I272" s="28"/>
      <c r="J272" s="28"/>
      <c r="K272" s="28"/>
      <c r="L272" s="28"/>
      <c r="M272" s="28"/>
      <c r="N272" s="28"/>
      <c r="O272" s="96"/>
      <c r="P272" s="96"/>
      <c r="Q272" s="96"/>
      <c r="R272" s="96"/>
      <c r="S272" s="96"/>
      <c r="T272" s="178" t="s">
        <v>719</v>
      </c>
      <c r="U272" s="96"/>
      <c r="V272" s="96"/>
      <c r="W272" s="96"/>
      <c r="X272" s="96"/>
      <c r="Y272" s="96"/>
      <c r="Z272" s="96"/>
      <c r="AA272" s="96"/>
      <c r="AB272" s="96"/>
      <c r="AC272" s="96"/>
      <c r="AD272" s="96"/>
      <c r="AE272" s="96"/>
      <c r="AF272" s="96"/>
      <c r="AG272" s="96"/>
      <c r="AH272" s="96"/>
      <c r="AI272" s="96"/>
      <c r="AJ272" s="96"/>
      <c r="AK272" s="96"/>
      <c r="AL272" s="96"/>
      <c r="AM272" s="96"/>
      <c r="AN272" s="96"/>
      <c r="AO272" s="70"/>
      <c r="AP272" s="70"/>
      <c r="AQ272" s="70"/>
      <c r="AR272" s="70"/>
      <c r="AS272" s="70"/>
      <c r="AT272" s="70"/>
      <c r="AU272" s="70"/>
      <c r="AV272" s="70"/>
      <c r="AW272" s="70"/>
      <c r="AX272" s="70"/>
    </row>
    <row r="273" ht="15.75" customHeight="1">
      <c r="A273" s="90" t="s">
        <v>78</v>
      </c>
      <c r="B273" s="154" t="s">
        <v>2125</v>
      </c>
      <c r="C273" s="28"/>
      <c r="D273" s="28"/>
      <c r="E273" s="28"/>
      <c r="F273" s="28"/>
      <c r="G273" s="28"/>
      <c r="H273" s="28"/>
      <c r="I273" s="28"/>
      <c r="J273" s="28"/>
      <c r="K273" s="28"/>
      <c r="L273" s="28"/>
      <c r="M273" s="28"/>
      <c r="N273" s="28"/>
      <c r="O273" s="96" t="s">
        <v>3178</v>
      </c>
      <c r="P273" s="96"/>
      <c r="Q273" s="96"/>
      <c r="R273" s="96"/>
      <c r="S273" s="96"/>
      <c r="T273" s="119" t="s">
        <v>3182</v>
      </c>
      <c r="U273" s="96"/>
      <c r="V273" s="96"/>
      <c r="W273" s="96"/>
      <c r="X273" s="96"/>
      <c r="Y273" s="96"/>
      <c r="Z273" s="96"/>
      <c r="AA273" s="96"/>
      <c r="AB273" s="96"/>
      <c r="AC273" s="96"/>
      <c r="AD273" s="96"/>
      <c r="AE273" s="96"/>
      <c r="AF273" s="96"/>
      <c r="AG273" s="96"/>
      <c r="AH273" s="96"/>
      <c r="AI273" s="96"/>
      <c r="AJ273" s="96"/>
      <c r="AK273" s="96"/>
      <c r="AL273" s="96"/>
      <c r="AM273" s="96"/>
      <c r="AN273" s="96"/>
      <c r="AO273" s="70"/>
      <c r="AP273" s="70"/>
      <c r="AQ273" s="70"/>
      <c r="AR273" s="70"/>
      <c r="AS273" s="70"/>
      <c r="AT273" s="70"/>
      <c r="AU273" s="70"/>
      <c r="AV273" s="70"/>
      <c r="AW273" s="70"/>
      <c r="AX273" s="70"/>
    </row>
    <row r="274" ht="15.75" customHeight="1">
      <c r="A274" s="90" t="s">
        <v>78</v>
      </c>
      <c r="B274" s="154" t="s">
        <v>2129</v>
      </c>
      <c r="C274" s="28"/>
      <c r="D274" s="28"/>
      <c r="E274" s="28"/>
      <c r="F274" s="28"/>
      <c r="G274" s="28"/>
      <c r="H274" s="28"/>
      <c r="I274" s="28"/>
      <c r="J274" s="28"/>
      <c r="K274" s="28"/>
      <c r="L274" s="28"/>
      <c r="M274" s="28"/>
      <c r="N274" s="28"/>
      <c r="O274" s="96"/>
      <c r="P274" s="96"/>
      <c r="Q274" s="96"/>
      <c r="R274" s="96"/>
      <c r="S274" s="96"/>
      <c r="T274" s="119" t="s">
        <v>3203</v>
      </c>
      <c r="U274" s="96"/>
      <c r="V274" s="96"/>
      <c r="W274" s="96"/>
      <c r="X274" s="96"/>
      <c r="Y274" s="96"/>
      <c r="Z274" s="96"/>
      <c r="AA274" s="96"/>
      <c r="AB274" s="96"/>
      <c r="AC274" s="96"/>
      <c r="AD274" s="96"/>
      <c r="AE274" s="96"/>
      <c r="AF274" s="96"/>
      <c r="AG274" s="96"/>
      <c r="AH274" s="96"/>
      <c r="AI274" s="96"/>
      <c r="AJ274" s="96"/>
      <c r="AK274" s="96"/>
      <c r="AL274" s="96"/>
      <c r="AM274" s="96"/>
      <c r="AN274" s="96"/>
      <c r="AO274" s="70"/>
      <c r="AP274" s="70"/>
      <c r="AQ274" s="70"/>
      <c r="AR274" s="70"/>
      <c r="AS274" s="70"/>
      <c r="AT274" s="70"/>
      <c r="AU274" s="70"/>
      <c r="AV274" s="70"/>
      <c r="AW274" s="70"/>
      <c r="AX274" s="70"/>
    </row>
    <row r="275" ht="15.75" customHeight="1">
      <c r="A275" s="90" t="s">
        <v>78</v>
      </c>
      <c r="B275" s="154" t="s">
        <v>2135</v>
      </c>
      <c r="C275" s="28"/>
      <c r="D275" s="28"/>
      <c r="E275" s="28"/>
      <c r="F275" s="28"/>
      <c r="G275" s="28"/>
      <c r="H275" s="28"/>
      <c r="I275" s="28"/>
      <c r="J275" s="28"/>
      <c r="K275" s="28"/>
      <c r="L275" s="28"/>
      <c r="M275" s="28"/>
      <c r="N275" s="28"/>
      <c r="O275" s="96"/>
      <c r="P275" s="96"/>
      <c r="Q275" s="96"/>
      <c r="R275" s="96"/>
      <c r="S275" s="96"/>
      <c r="T275" s="119" t="s">
        <v>3214</v>
      </c>
      <c r="U275" s="96"/>
      <c r="V275" s="96"/>
      <c r="W275" s="96"/>
      <c r="X275" s="96"/>
      <c r="Y275" s="96"/>
      <c r="Z275" s="96"/>
      <c r="AA275" s="96"/>
      <c r="AB275" s="96"/>
      <c r="AC275" s="96"/>
      <c r="AD275" s="96"/>
      <c r="AE275" s="96"/>
      <c r="AF275" s="96"/>
      <c r="AG275" s="96"/>
      <c r="AH275" s="96"/>
      <c r="AI275" s="96"/>
      <c r="AJ275" s="96"/>
      <c r="AK275" s="96"/>
      <c r="AL275" s="96"/>
      <c r="AM275" s="96"/>
      <c r="AN275" s="96"/>
      <c r="AO275" s="70"/>
      <c r="AP275" s="70"/>
      <c r="AQ275" s="70"/>
      <c r="AR275" s="70"/>
      <c r="AS275" s="70"/>
      <c r="AT275" s="70"/>
      <c r="AU275" s="70"/>
      <c r="AV275" s="70"/>
      <c r="AW275" s="70"/>
      <c r="AX275" s="70"/>
    </row>
    <row r="276" ht="15.75" customHeight="1">
      <c r="A276" s="90" t="s">
        <v>78</v>
      </c>
      <c r="B276" s="154" t="s">
        <v>2139</v>
      </c>
      <c r="C276" s="28"/>
      <c r="D276" s="28"/>
      <c r="E276" s="28"/>
      <c r="F276" s="28"/>
      <c r="G276" s="28"/>
      <c r="H276" s="28"/>
      <c r="I276" s="28"/>
      <c r="J276" s="28"/>
      <c r="K276" s="28"/>
      <c r="L276" s="28"/>
      <c r="M276" s="28"/>
      <c r="N276" s="28"/>
      <c r="O276" s="96"/>
      <c r="P276" s="96"/>
      <c r="Q276" s="96"/>
      <c r="R276" s="96"/>
      <c r="S276" s="96"/>
      <c r="T276" s="178" t="s">
        <v>3234</v>
      </c>
      <c r="U276" s="96"/>
      <c r="V276" s="96"/>
      <c r="W276" s="96"/>
      <c r="X276" s="96"/>
      <c r="Y276" s="96"/>
      <c r="Z276" s="96"/>
      <c r="AA276" s="96"/>
      <c r="AB276" s="96"/>
      <c r="AC276" s="96"/>
      <c r="AD276" s="96"/>
      <c r="AE276" s="96"/>
      <c r="AF276" s="96"/>
      <c r="AG276" s="96"/>
      <c r="AH276" s="96"/>
      <c r="AI276" s="96"/>
      <c r="AJ276" s="96"/>
      <c r="AK276" s="96"/>
      <c r="AL276" s="96"/>
      <c r="AM276" s="96"/>
      <c r="AN276" s="96"/>
      <c r="AO276" s="70"/>
      <c r="AP276" s="70"/>
      <c r="AQ276" s="70"/>
      <c r="AR276" s="70"/>
      <c r="AS276" s="70"/>
      <c r="AT276" s="70"/>
      <c r="AU276" s="70"/>
      <c r="AV276" s="70"/>
      <c r="AW276" s="70"/>
      <c r="AX276" s="70"/>
    </row>
    <row r="277" ht="15.75" customHeight="1">
      <c r="A277" s="174" t="s">
        <v>1015</v>
      </c>
      <c r="B277" s="174" t="s">
        <v>2114</v>
      </c>
      <c r="C277" s="28"/>
      <c r="D277" s="28"/>
      <c r="E277" s="28"/>
      <c r="F277" s="28"/>
      <c r="G277" s="28"/>
      <c r="H277" s="28"/>
      <c r="I277" s="28"/>
      <c r="J277" s="28"/>
      <c r="K277" s="28"/>
      <c r="L277" s="28"/>
      <c r="M277" s="28"/>
      <c r="N277" s="28"/>
      <c r="O277" s="176"/>
      <c r="P277" s="176"/>
      <c r="Q277" s="176"/>
      <c r="R277" s="176"/>
      <c r="S277" s="176"/>
      <c r="T277" s="176"/>
      <c r="U277" s="176"/>
      <c r="V277" s="176"/>
      <c r="W277" s="176"/>
      <c r="X277" s="176"/>
      <c r="Y277" s="176"/>
      <c r="Z277" s="176"/>
      <c r="AA277" s="176"/>
      <c r="AB277" s="176"/>
      <c r="AC277" s="176"/>
      <c r="AD277" s="96"/>
      <c r="AE277" s="96"/>
      <c r="AF277" s="96"/>
      <c r="AG277" s="96"/>
      <c r="AH277" s="96"/>
      <c r="AI277" s="96"/>
      <c r="AJ277" s="96"/>
      <c r="AK277" s="96"/>
      <c r="AL277" s="96"/>
      <c r="AM277" s="96"/>
      <c r="AN277" s="96"/>
      <c r="AO277" s="70"/>
      <c r="AP277" s="70"/>
      <c r="AQ277" s="70"/>
      <c r="AR277" s="70"/>
      <c r="AS277" s="70"/>
      <c r="AT277" s="70"/>
      <c r="AU277" s="70"/>
      <c r="AV277" s="70"/>
      <c r="AW277" s="70"/>
      <c r="AX277" s="70"/>
    </row>
    <row r="278" ht="15.75" customHeight="1">
      <c r="A278" s="90" t="s">
        <v>78</v>
      </c>
      <c r="B278" s="154" t="s">
        <v>2148</v>
      </c>
      <c r="C278" s="28"/>
      <c r="D278" s="28"/>
      <c r="E278" s="28"/>
      <c r="F278" s="28"/>
      <c r="G278" s="28"/>
      <c r="H278" s="28"/>
      <c r="I278" s="28"/>
      <c r="J278" s="28"/>
      <c r="K278" s="28"/>
      <c r="L278" s="28"/>
      <c r="M278" s="28"/>
      <c r="N278" s="28"/>
      <c r="O278" s="96"/>
      <c r="P278" s="96"/>
      <c r="Q278" s="96"/>
      <c r="R278" s="96"/>
      <c r="S278" s="96"/>
      <c r="T278" s="178" t="s">
        <v>3262</v>
      </c>
      <c r="U278" s="96"/>
      <c r="V278" s="96"/>
      <c r="W278" s="96"/>
      <c r="X278" s="96"/>
      <c r="Y278" s="96"/>
      <c r="Z278" s="96"/>
      <c r="AA278" s="96"/>
      <c r="AB278" s="96"/>
      <c r="AC278" s="96"/>
      <c r="AD278" s="96"/>
      <c r="AE278" s="96"/>
      <c r="AF278" s="96"/>
      <c r="AG278" s="96"/>
      <c r="AH278" s="96"/>
      <c r="AI278" s="96"/>
      <c r="AJ278" s="96"/>
      <c r="AK278" s="96"/>
      <c r="AL278" s="96"/>
      <c r="AM278" s="96"/>
      <c r="AN278" s="96"/>
      <c r="AO278" s="70"/>
      <c r="AP278" s="70"/>
      <c r="AQ278" s="70"/>
      <c r="AR278" s="70"/>
      <c r="AS278" s="70"/>
      <c r="AT278" s="70"/>
      <c r="AU278" s="70"/>
      <c r="AV278" s="70"/>
      <c r="AW278" s="70"/>
      <c r="AX278" s="70"/>
    </row>
    <row r="279" ht="15.75" customHeight="1">
      <c r="A279" s="90" t="s">
        <v>78</v>
      </c>
      <c r="B279" s="119" t="s">
        <v>2152</v>
      </c>
      <c r="C279" s="28"/>
      <c r="D279" s="28"/>
      <c r="E279" s="28"/>
      <c r="F279" s="28"/>
      <c r="G279" s="28"/>
      <c r="H279" s="28"/>
      <c r="I279" s="28"/>
      <c r="J279" s="28"/>
      <c r="K279" s="28"/>
      <c r="L279" s="28"/>
      <c r="M279" s="28"/>
      <c r="N279" s="28"/>
      <c r="O279" s="96"/>
      <c r="P279" s="96"/>
      <c r="Q279" s="96"/>
      <c r="R279" s="96"/>
      <c r="S279" s="96"/>
      <c r="T279" s="119" t="s">
        <v>3271</v>
      </c>
      <c r="U279" s="96"/>
      <c r="V279" s="96"/>
      <c r="W279" s="96"/>
      <c r="X279" s="96"/>
      <c r="Y279" s="96"/>
      <c r="Z279" s="96"/>
      <c r="AA279" s="96"/>
      <c r="AB279" s="96"/>
      <c r="AC279" s="96"/>
      <c r="AD279" s="96"/>
      <c r="AE279" s="96"/>
      <c r="AF279" s="96"/>
      <c r="AG279" s="96"/>
      <c r="AH279" s="96"/>
      <c r="AI279" s="96"/>
      <c r="AJ279" s="96"/>
      <c r="AK279" s="96"/>
      <c r="AL279" s="96"/>
      <c r="AM279" s="96"/>
      <c r="AN279" s="96"/>
      <c r="AO279" s="70"/>
      <c r="AP279" s="70"/>
      <c r="AQ279" s="70"/>
      <c r="AR279" s="70"/>
      <c r="AS279" s="70"/>
      <c r="AT279" s="70"/>
      <c r="AU279" s="70"/>
      <c r="AV279" s="70"/>
      <c r="AW279" s="70"/>
      <c r="AX279" s="70"/>
    </row>
    <row r="280" ht="15.75" customHeight="1">
      <c r="A280" s="65"/>
      <c r="B280" s="218"/>
      <c r="C280" s="28"/>
      <c r="D280" s="28"/>
      <c r="E280" s="28"/>
      <c r="F280" s="28"/>
      <c r="G280" s="28"/>
      <c r="H280" s="28"/>
      <c r="I280" s="28"/>
      <c r="J280" s="28"/>
      <c r="K280" s="28"/>
      <c r="L280" s="28"/>
      <c r="M280" s="28"/>
      <c r="N280" s="28"/>
      <c r="O280" s="67"/>
      <c r="P280" s="67"/>
      <c r="Q280" s="67"/>
      <c r="R280" s="67"/>
      <c r="S280" s="67"/>
      <c r="T280" s="67"/>
      <c r="U280" s="67"/>
      <c r="V280" s="67"/>
      <c r="W280" s="67"/>
      <c r="X280" s="67"/>
      <c r="Y280" s="67"/>
      <c r="Z280" s="67"/>
      <c r="AA280" s="67"/>
      <c r="AB280" s="67"/>
      <c r="AC280" s="67"/>
      <c r="AD280" s="67"/>
      <c r="AE280" s="67"/>
      <c r="AF280" s="67"/>
      <c r="AG280" s="67"/>
      <c r="AH280" s="67"/>
      <c r="AI280" s="67"/>
      <c r="AJ280" s="67"/>
      <c r="AK280" s="67"/>
      <c r="AL280" s="67"/>
      <c r="AM280" s="67"/>
      <c r="AN280" s="67"/>
      <c r="AO280" s="70"/>
      <c r="AP280" s="70"/>
      <c r="AQ280" s="70"/>
      <c r="AR280" s="70"/>
      <c r="AS280" s="70"/>
      <c r="AT280" s="70"/>
      <c r="AU280" s="70"/>
      <c r="AV280" s="70"/>
      <c r="AW280" s="70"/>
      <c r="AX280" s="70"/>
    </row>
    <row r="281" ht="15.75" customHeight="1">
      <c r="A281" s="65" t="s">
        <v>78</v>
      </c>
      <c r="B281" s="218" t="s">
        <v>2160</v>
      </c>
      <c r="C281" s="28"/>
      <c r="D281" s="28"/>
      <c r="E281" s="28"/>
      <c r="F281" s="28"/>
      <c r="G281" s="28"/>
      <c r="H281" s="28"/>
      <c r="I281" s="28"/>
      <c r="J281" s="28"/>
      <c r="K281" s="28"/>
      <c r="L281" s="28"/>
      <c r="M281" s="28"/>
      <c r="N281" s="28"/>
      <c r="O281" s="67"/>
      <c r="P281" s="67"/>
      <c r="Q281" s="67"/>
      <c r="R281" s="67"/>
      <c r="S281" s="65"/>
      <c r="T281" s="67" t="s">
        <v>3294</v>
      </c>
      <c r="U281" s="67"/>
      <c r="V281" s="67"/>
      <c r="W281" s="67"/>
      <c r="X281" s="67"/>
      <c r="Y281" s="67"/>
      <c r="Z281" s="67"/>
      <c r="AA281" s="67"/>
      <c r="AB281" s="67"/>
      <c r="AC281" s="67"/>
      <c r="AD281" s="67"/>
      <c r="AE281" s="67"/>
      <c r="AF281" s="67"/>
      <c r="AG281" s="67"/>
      <c r="AH281" s="67"/>
      <c r="AI281" s="67"/>
      <c r="AJ281" s="67"/>
      <c r="AK281" s="67"/>
      <c r="AL281" s="67"/>
      <c r="AM281" s="67"/>
      <c r="AN281" s="67"/>
      <c r="AO281" s="70"/>
      <c r="AP281" s="70"/>
      <c r="AQ281" s="70"/>
      <c r="AR281" s="70"/>
      <c r="AS281" s="70"/>
      <c r="AT281" s="70"/>
      <c r="AU281" s="70"/>
      <c r="AV281" s="70"/>
      <c r="AW281" s="70"/>
      <c r="AX281" s="70"/>
    </row>
    <row r="282" ht="15.75" customHeight="1">
      <c r="A282" s="65" t="s">
        <v>78</v>
      </c>
      <c r="B282" s="218" t="s">
        <v>2166</v>
      </c>
      <c r="C282" s="28"/>
      <c r="D282" s="28"/>
      <c r="E282" s="28"/>
      <c r="F282" s="28"/>
      <c r="G282" s="28"/>
      <c r="H282" s="28"/>
      <c r="I282" s="28"/>
      <c r="J282" s="28"/>
      <c r="K282" s="28"/>
      <c r="L282" s="28"/>
      <c r="M282" s="28"/>
      <c r="N282" s="28"/>
      <c r="O282" s="67"/>
      <c r="P282" s="67"/>
      <c r="Q282" s="67"/>
      <c r="R282" s="67"/>
      <c r="S282" s="65"/>
      <c r="T282" s="67" t="s">
        <v>3306</v>
      </c>
      <c r="U282" s="67"/>
      <c r="V282" s="67"/>
      <c r="W282" s="67"/>
      <c r="X282" s="67"/>
      <c r="Y282" s="67"/>
      <c r="Z282" s="67"/>
      <c r="AA282" s="67"/>
      <c r="AB282" s="67"/>
      <c r="AC282" s="67"/>
      <c r="AD282" s="67"/>
      <c r="AE282" s="67"/>
      <c r="AF282" s="67"/>
      <c r="AG282" s="67"/>
      <c r="AH282" s="67"/>
      <c r="AI282" s="67"/>
      <c r="AJ282" s="67"/>
      <c r="AK282" s="67"/>
      <c r="AL282" s="67"/>
      <c r="AM282" s="67"/>
      <c r="AN282" s="67"/>
      <c r="AO282" s="70"/>
      <c r="AP282" s="70"/>
      <c r="AQ282" s="70"/>
      <c r="AR282" s="70"/>
      <c r="AS282" s="70"/>
      <c r="AT282" s="70"/>
      <c r="AU282" s="70"/>
      <c r="AV282" s="70"/>
      <c r="AW282" s="70"/>
      <c r="AX282" s="70"/>
    </row>
    <row r="283" ht="15.75" customHeight="1">
      <c r="A283" s="65" t="s">
        <v>78</v>
      </c>
      <c r="B283" s="218" t="s">
        <v>2170</v>
      </c>
      <c r="C283" s="28"/>
      <c r="D283" s="28"/>
      <c r="E283" s="28"/>
      <c r="F283" s="28"/>
      <c r="G283" s="28"/>
      <c r="H283" s="28"/>
      <c r="I283" s="28"/>
      <c r="J283" s="28"/>
      <c r="K283" s="28"/>
      <c r="L283" s="28"/>
      <c r="M283" s="28"/>
      <c r="N283" s="28"/>
      <c r="O283" s="67"/>
      <c r="P283" s="67"/>
      <c r="Q283" s="67"/>
      <c r="R283" s="67"/>
      <c r="S283" s="65"/>
      <c r="T283" s="67" t="s">
        <v>3324</v>
      </c>
      <c r="U283" s="67"/>
      <c r="V283" s="67"/>
      <c r="W283" s="67"/>
      <c r="X283" s="67"/>
      <c r="Y283" s="67"/>
      <c r="Z283" s="67"/>
      <c r="AA283" s="67"/>
      <c r="AB283" s="67"/>
      <c r="AC283" s="67"/>
      <c r="AD283" s="67"/>
      <c r="AE283" s="67"/>
      <c r="AF283" s="67"/>
      <c r="AG283" s="67"/>
      <c r="AH283" s="67"/>
      <c r="AI283" s="67"/>
      <c r="AJ283" s="67"/>
      <c r="AK283" s="67"/>
      <c r="AL283" s="67"/>
      <c r="AM283" s="67"/>
      <c r="AN283" s="67"/>
      <c r="AO283" s="70"/>
      <c r="AP283" s="70"/>
      <c r="AQ283" s="70"/>
      <c r="AR283" s="70"/>
      <c r="AS283" s="70"/>
      <c r="AT283" s="70"/>
      <c r="AU283" s="70"/>
      <c r="AV283" s="70"/>
      <c r="AW283" s="70"/>
      <c r="AX283" s="70"/>
    </row>
    <row r="284" ht="15.75" customHeight="1">
      <c r="A284" s="65" t="s">
        <v>78</v>
      </c>
      <c r="B284" s="218" t="s">
        <v>2175</v>
      </c>
      <c r="C284" s="28"/>
      <c r="D284" s="28"/>
      <c r="E284" s="28"/>
      <c r="F284" s="28"/>
      <c r="G284" s="28"/>
      <c r="H284" s="28"/>
      <c r="I284" s="28"/>
      <c r="J284" s="28"/>
      <c r="K284" s="28"/>
      <c r="L284" s="28"/>
      <c r="M284" s="28"/>
      <c r="N284" s="28"/>
      <c r="O284" s="67"/>
      <c r="P284" s="67"/>
      <c r="Q284" s="67"/>
      <c r="R284" s="67"/>
      <c r="S284" s="65"/>
      <c r="T284" s="67" t="s">
        <v>3342</v>
      </c>
      <c r="U284" s="67"/>
      <c r="V284" s="67"/>
      <c r="W284" s="67"/>
      <c r="X284" s="67"/>
      <c r="Y284" s="67"/>
      <c r="Z284" s="67"/>
      <c r="AA284" s="67"/>
      <c r="AB284" s="67"/>
      <c r="AC284" s="67"/>
      <c r="AD284" s="67"/>
      <c r="AE284" s="67"/>
      <c r="AF284" s="67"/>
      <c r="AG284" s="67"/>
      <c r="AH284" s="67"/>
      <c r="AI284" s="67"/>
      <c r="AJ284" s="67"/>
      <c r="AK284" s="67"/>
      <c r="AL284" s="67"/>
      <c r="AM284" s="67"/>
      <c r="AN284" s="67"/>
      <c r="AO284" s="70"/>
      <c r="AP284" s="70"/>
      <c r="AQ284" s="70"/>
      <c r="AR284" s="70"/>
      <c r="AS284" s="70"/>
      <c r="AT284" s="70"/>
      <c r="AU284" s="70"/>
      <c r="AV284" s="70"/>
      <c r="AW284" s="70"/>
      <c r="AX284" s="70"/>
    </row>
    <row r="285" ht="15.75" customHeight="1">
      <c r="A285" s="65" t="s">
        <v>78</v>
      </c>
      <c r="B285" s="218" t="s">
        <v>2179</v>
      </c>
      <c r="C285" s="28"/>
      <c r="D285" s="28"/>
      <c r="E285" s="28"/>
      <c r="F285" s="28"/>
      <c r="G285" s="28"/>
      <c r="H285" s="28"/>
      <c r="I285" s="28"/>
      <c r="J285" s="28"/>
      <c r="K285" s="28"/>
      <c r="L285" s="28"/>
      <c r="M285" s="28"/>
      <c r="N285" s="28"/>
      <c r="O285" s="67"/>
      <c r="P285" s="67"/>
      <c r="Q285" s="67"/>
      <c r="R285" s="67"/>
      <c r="S285" s="65"/>
      <c r="T285" s="67" t="s">
        <v>3355</v>
      </c>
      <c r="U285" s="67"/>
      <c r="V285" s="67"/>
      <c r="W285" s="67"/>
      <c r="X285" s="67"/>
      <c r="Y285" s="67"/>
      <c r="Z285" s="67"/>
      <c r="AA285" s="67"/>
      <c r="AB285" s="67"/>
      <c r="AC285" s="67"/>
      <c r="AD285" s="67"/>
      <c r="AE285" s="67"/>
      <c r="AF285" s="67"/>
      <c r="AG285" s="67"/>
      <c r="AH285" s="67"/>
      <c r="AI285" s="67"/>
      <c r="AJ285" s="67"/>
      <c r="AK285" s="67"/>
      <c r="AL285" s="67"/>
      <c r="AM285" s="67"/>
      <c r="AN285" s="67"/>
      <c r="AO285" s="70"/>
      <c r="AP285" s="70"/>
      <c r="AQ285" s="70"/>
      <c r="AR285" s="70"/>
      <c r="AS285" s="70"/>
      <c r="AT285" s="70"/>
      <c r="AU285" s="70"/>
      <c r="AV285" s="70"/>
      <c r="AW285" s="70"/>
      <c r="AX285" s="70"/>
    </row>
    <row r="286" ht="15.75" customHeight="1">
      <c r="A286" s="65" t="s">
        <v>78</v>
      </c>
      <c r="B286" s="218" t="s">
        <v>2184</v>
      </c>
      <c r="C286" s="28"/>
      <c r="D286" s="28"/>
      <c r="E286" s="28"/>
      <c r="F286" s="28"/>
      <c r="G286" s="28"/>
      <c r="H286" s="28"/>
      <c r="I286" s="28"/>
      <c r="J286" s="28"/>
      <c r="K286" s="28"/>
      <c r="L286" s="28"/>
      <c r="M286" s="28"/>
      <c r="N286" s="28"/>
      <c r="O286" s="67"/>
      <c r="P286" s="67"/>
      <c r="Q286" s="67"/>
      <c r="R286" s="67"/>
      <c r="S286" s="65"/>
      <c r="T286" s="67" t="s">
        <v>3375</v>
      </c>
      <c r="U286" s="67"/>
      <c r="V286" s="67"/>
      <c r="W286" s="67"/>
      <c r="X286" s="67"/>
      <c r="Y286" s="67"/>
      <c r="Z286" s="67"/>
      <c r="AA286" s="67"/>
      <c r="AB286" s="67"/>
      <c r="AC286" s="67"/>
      <c r="AD286" s="67"/>
      <c r="AE286" s="67"/>
      <c r="AF286" s="67"/>
      <c r="AG286" s="67"/>
      <c r="AH286" s="67"/>
      <c r="AI286" s="67"/>
      <c r="AJ286" s="67"/>
      <c r="AK286" s="67"/>
      <c r="AL286" s="67"/>
      <c r="AM286" s="67"/>
      <c r="AN286" s="67"/>
      <c r="AO286" s="70"/>
      <c r="AP286" s="70"/>
      <c r="AQ286" s="70"/>
      <c r="AR286" s="70"/>
      <c r="AS286" s="70"/>
      <c r="AT286" s="70"/>
      <c r="AU286" s="70"/>
      <c r="AV286" s="70"/>
      <c r="AW286" s="70"/>
      <c r="AX286" s="70"/>
    </row>
    <row r="287" ht="15.75" customHeight="1">
      <c r="A287" s="65" t="s">
        <v>78</v>
      </c>
      <c r="B287" s="218" t="s">
        <v>2185</v>
      </c>
      <c r="C287" s="28"/>
      <c r="D287" s="28"/>
      <c r="E287" s="28"/>
      <c r="F287" s="28"/>
      <c r="G287" s="28"/>
      <c r="H287" s="28"/>
      <c r="I287" s="28"/>
      <c r="J287" s="28"/>
      <c r="K287" s="28"/>
      <c r="L287" s="28"/>
      <c r="M287" s="28"/>
      <c r="N287" s="28"/>
      <c r="O287" s="67"/>
      <c r="P287" s="67"/>
      <c r="Q287" s="67"/>
      <c r="R287" s="67"/>
      <c r="S287" s="65"/>
      <c r="T287" s="67" t="s">
        <v>3402</v>
      </c>
      <c r="U287" s="67"/>
      <c r="V287" s="67"/>
      <c r="W287" s="67"/>
      <c r="X287" s="67"/>
      <c r="Y287" s="67"/>
      <c r="Z287" s="67"/>
      <c r="AA287" s="67"/>
      <c r="AB287" s="67"/>
      <c r="AC287" s="67"/>
      <c r="AD287" s="67"/>
      <c r="AE287" s="67"/>
      <c r="AF287" s="67"/>
      <c r="AG287" s="67"/>
      <c r="AH287" s="67"/>
      <c r="AI287" s="67"/>
      <c r="AJ287" s="67"/>
      <c r="AK287" s="67"/>
      <c r="AL287" s="67"/>
      <c r="AM287" s="67"/>
      <c r="AN287" s="67"/>
      <c r="AO287" s="70"/>
      <c r="AP287" s="70"/>
      <c r="AQ287" s="70"/>
      <c r="AR287" s="70"/>
      <c r="AS287" s="70"/>
      <c r="AT287" s="70"/>
      <c r="AU287" s="70"/>
      <c r="AV287" s="70"/>
      <c r="AW287" s="70"/>
      <c r="AX287" s="70"/>
    </row>
    <row r="288" ht="15.75" customHeight="1">
      <c r="A288" s="65" t="s">
        <v>78</v>
      </c>
      <c r="B288" s="218" t="s">
        <v>2186</v>
      </c>
      <c r="C288" s="28"/>
      <c r="D288" s="28"/>
      <c r="E288" s="28"/>
      <c r="F288" s="28"/>
      <c r="G288" s="28"/>
      <c r="H288" s="28"/>
      <c r="I288" s="28"/>
      <c r="J288" s="28"/>
      <c r="K288" s="28"/>
      <c r="L288" s="28"/>
      <c r="M288" s="28"/>
      <c r="N288" s="28"/>
      <c r="O288" s="67"/>
      <c r="P288" s="67"/>
      <c r="Q288" s="67"/>
      <c r="R288" s="67"/>
      <c r="S288" s="65"/>
      <c r="T288" s="67" t="s">
        <v>3414</v>
      </c>
      <c r="U288" s="67"/>
      <c r="V288" s="67"/>
      <c r="W288" s="67"/>
      <c r="X288" s="67"/>
      <c r="Y288" s="67"/>
      <c r="Z288" s="67"/>
      <c r="AA288" s="67"/>
      <c r="AB288" s="67"/>
      <c r="AC288" s="67"/>
      <c r="AD288" s="67"/>
      <c r="AE288" s="67"/>
      <c r="AF288" s="67"/>
      <c r="AG288" s="67"/>
      <c r="AH288" s="67"/>
      <c r="AI288" s="67"/>
      <c r="AJ288" s="67"/>
      <c r="AK288" s="67"/>
      <c r="AL288" s="67"/>
      <c r="AM288" s="67"/>
      <c r="AN288" s="67"/>
      <c r="AO288" s="70"/>
      <c r="AP288" s="70"/>
      <c r="AQ288" s="70"/>
      <c r="AR288" s="70"/>
      <c r="AS288" s="70"/>
      <c r="AT288" s="70"/>
      <c r="AU288" s="70"/>
      <c r="AV288" s="70"/>
      <c r="AW288" s="70"/>
      <c r="AX288" s="70"/>
    </row>
    <row r="289" ht="15.75" customHeight="1">
      <c r="A289" s="65" t="s">
        <v>78</v>
      </c>
      <c r="B289" s="218" t="s">
        <v>2188</v>
      </c>
      <c r="C289" s="28"/>
      <c r="D289" s="28"/>
      <c r="E289" s="28"/>
      <c r="F289" s="28"/>
      <c r="G289" s="28"/>
      <c r="H289" s="28"/>
      <c r="I289" s="28"/>
      <c r="J289" s="28"/>
      <c r="K289" s="28"/>
      <c r="L289" s="28"/>
      <c r="M289" s="28"/>
      <c r="N289" s="28"/>
      <c r="O289" s="67"/>
      <c r="P289" s="67"/>
      <c r="Q289" s="67"/>
      <c r="R289" s="67"/>
      <c r="S289" s="65"/>
      <c r="T289" s="67" t="s">
        <v>3432</v>
      </c>
      <c r="U289" s="67"/>
      <c r="V289" s="67"/>
      <c r="W289" s="67"/>
      <c r="X289" s="67"/>
      <c r="Y289" s="67"/>
      <c r="Z289" s="67"/>
      <c r="AA289" s="67"/>
      <c r="AB289" s="67"/>
      <c r="AC289" s="67"/>
      <c r="AD289" s="67"/>
      <c r="AE289" s="67"/>
      <c r="AF289" s="67"/>
      <c r="AG289" s="67"/>
      <c r="AH289" s="67"/>
      <c r="AI289" s="67"/>
      <c r="AJ289" s="67"/>
      <c r="AK289" s="67"/>
      <c r="AL289" s="67"/>
      <c r="AM289" s="67"/>
      <c r="AN289" s="67"/>
      <c r="AO289" s="70"/>
      <c r="AP289" s="70"/>
      <c r="AQ289" s="70"/>
      <c r="AR289" s="70"/>
      <c r="AS289" s="70"/>
      <c r="AT289" s="70"/>
      <c r="AU289" s="70"/>
      <c r="AV289" s="70"/>
      <c r="AW289" s="70"/>
      <c r="AX289" s="70"/>
    </row>
    <row r="290" ht="15.75" customHeight="1">
      <c r="A290" s="65" t="s">
        <v>78</v>
      </c>
      <c r="B290" s="218" t="s">
        <v>2189</v>
      </c>
      <c r="C290" s="28"/>
      <c r="D290" s="28"/>
      <c r="E290" s="28"/>
      <c r="F290" s="28"/>
      <c r="G290" s="28"/>
      <c r="H290" s="28"/>
      <c r="I290" s="28"/>
      <c r="J290" s="28"/>
      <c r="K290" s="28"/>
      <c r="L290" s="28"/>
      <c r="M290" s="28"/>
      <c r="N290" s="28"/>
      <c r="O290" s="67"/>
      <c r="P290" s="67"/>
      <c r="Q290" s="67"/>
      <c r="R290" s="67"/>
      <c r="S290" s="65"/>
      <c r="T290" s="67" t="s">
        <v>3445</v>
      </c>
      <c r="U290" s="67"/>
      <c r="V290" s="67"/>
      <c r="W290" s="67"/>
      <c r="X290" s="67"/>
      <c r="Y290" s="67"/>
      <c r="Z290" s="67"/>
      <c r="AA290" s="67"/>
      <c r="AB290" s="67"/>
      <c r="AC290" s="67"/>
      <c r="AD290" s="67"/>
      <c r="AE290" s="67"/>
      <c r="AF290" s="67"/>
      <c r="AG290" s="67"/>
      <c r="AH290" s="67"/>
      <c r="AI290" s="67"/>
      <c r="AJ290" s="67"/>
      <c r="AK290" s="67"/>
      <c r="AL290" s="67"/>
      <c r="AM290" s="67"/>
      <c r="AN290" s="67"/>
      <c r="AO290" s="70"/>
      <c r="AP290" s="70"/>
      <c r="AQ290" s="70"/>
      <c r="AR290" s="70"/>
      <c r="AS290" s="70"/>
      <c r="AT290" s="70"/>
      <c r="AU290" s="70"/>
      <c r="AV290" s="70"/>
      <c r="AW290" s="70"/>
      <c r="AX290" s="70"/>
    </row>
    <row r="291" ht="15.75" customHeight="1">
      <c r="A291" s="65" t="s">
        <v>78</v>
      </c>
      <c r="B291" s="218" t="s">
        <v>2191</v>
      </c>
      <c r="C291" s="28"/>
      <c r="D291" s="28"/>
      <c r="E291" s="28"/>
      <c r="F291" s="28"/>
      <c r="G291" s="28"/>
      <c r="H291" s="28"/>
      <c r="I291" s="28"/>
      <c r="J291" s="28"/>
      <c r="K291" s="28"/>
      <c r="L291" s="28"/>
      <c r="M291" s="28"/>
      <c r="N291" s="28"/>
      <c r="O291" s="67"/>
      <c r="P291" s="67"/>
      <c r="Q291" s="67"/>
      <c r="R291" s="67"/>
      <c r="S291" s="65"/>
      <c r="T291" s="67" t="s">
        <v>3463</v>
      </c>
      <c r="U291" s="67"/>
      <c r="V291" s="67"/>
      <c r="W291" s="67"/>
      <c r="X291" s="67"/>
      <c r="Y291" s="67"/>
      <c r="Z291" s="67"/>
      <c r="AA291" s="67"/>
      <c r="AB291" s="67"/>
      <c r="AC291" s="67"/>
      <c r="AD291" s="67"/>
      <c r="AE291" s="67"/>
      <c r="AF291" s="67"/>
      <c r="AG291" s="67"/>
      <c r="AH291" s="67"/>
      <c r="AI291" s="67"/>
      <c r="AJ291" s="67"/>
      <c r="AK291" s="67"/>
      <c r="AL291" s="67"/>
      <c r="AM291" s="67"/>
      <c r="AN291" s="67"/>
      <c r="AO291" s="70"/>
      <c r="AP291" s="70"/>
      <c r="AQ291" s="70"/>
      <c r="AR291" s="70"/>
      <c r="AS291" s="70"/>
      <c r="AT291" s="70"/>
      <c r="AU291" s="70"/>
      <c r="AV291" s="70"/>
      <c r="AW291" s="70"/>
      <c r="AX291" s="70"/>
    </row>
    <row r="292" ht="15.75" customHeight="1">
      <c r="A292" s="65" t="s">
        <v>78</v>
      </c>
      <c r="B292" s="218" t="s">
        <v>2196</v>
      </c>
      <c r="C292" s="28"/>
      <c r="D292" s="28"/>
      <c r="E292" s="28"/>
      <c r="F292" s="28"/>
      <c r="G292" s="28"/>
      <c r="H292" s="28"/>
      <c r="I292" s="28"/>
      <c r="J292" s="28"/>
      <c r="K292" s="28"/>
      <c r="L292" s="28"/>
      <c r="M292" s="28"/>
      <c r="N292" s="28"/>
      <c r="O292" s="67"/>
      <c r="P292" s="67"/>
      <c r="Q292" s="67"/>
      <c r="R292" s="67"/>
      <c r="S292" s="65"/>
      <c r="T292" s="67" t="s">
        <v>3475</v>
      </c>
      <c r="U292" s="67"/>
      <c r="V292" s="67"/>
      <c r="W292" s="67"/>
      <c r="X292" s="67"/>
      <c r="Y292" s="67"/>
      <c r="Z292" s="67"/>
      <c r="AA292" s="67"/>
      <c r="AB292" s="67"/>
      <c r="AC292" s="67"/>
      <c r="AD292" s="67"/>
      <c r="AE292" s="67"/>
      <c r="AF292" s="67"/>
      <c r="AG292" s="67"/>
      <c r="AH292" s="67"/>
      <c r="AI292" s="67"/>
      <c r="AJ292" s="67"/>
      <c r="AK292" s="67"/>
      <c r="AL292" s="67"/>
      <c r="AM292" s="67"/>
      <c r="AN292" s="67"/>
      <c r="AO292" s="70"/>
      <c r="AP292" s="70"/>
      <c r="AQ292" s="70"/>
      <c r="AR292" s="70"/>
      <c r="AS292" s="70"/>
      <c r="AT292" s="70"/>
      <c r="AU292" s="70"/>
      <c r="AV292" s="70"/>
      <c r="AW292" s="70"/>
      <c r="AX292" s="70"/>
    </row>
    <row r="293" ht="15.75" customHeight="1">
      <c r="A293" s="65" t="s">
        <v>78</v>
      </c>
      <c r="B293" s="218" t="s">
        <v>2200</v>
      </c>
      <c r="C293" s="28"/>
      <c r="D293" s="28"/>
      <c r="E293" s="28"/>
      <c r="F293" s="28"/>
      <c r="G293" s="28"/>
      <c r="H293" s="28"/>
      <c r="I293" s="28"/>
      <c r="J293" s="28"/>
      <c r="K293" s="28"/>
      <c r="L293" s="28"/>
      <c r="M293" s="28"/>
      <c r="N293" s="28"/>
      <c r="O293" s="67"/>
      <c r="P293" s="67"/>
      <c r="Q293" s="67"/>
      <c r="R293" s="67"/>
      <c r="S293" s="65"/>
      <c r="T293" s="67" t="s">
        <v>3483</v>
      </c>
      <c r="U293" s="67"/>
      <c r="V293" s="67"/>
      <c r="W293" s="67"/>
      <c r="X293" s="67"/>
      <c r="Y293" s="67"/>
      <c r="Z293" s="67"/>
      <c r="AA293" s="67"/>
      <c r="AB293" s="67"/>
      <c r="AC293" s="67"/>
      <c r="AD293" s="67"/>
      <c r="AE293" s="67"/>
      <c r="AF293" s="67"/>
      <c r="AG293" s="67"/>
      <c r="AH293" s="67"/>
      <c r="AI293" s="67"/>
      <c r="AJ293" s="67"/>
      <c r="AK293" s="67"/>
      <c r="AL293" s="67"/>
      <c r="AM293" s="67"/>
      <c r="AN293" s="67"/>
      <c r="AO293" s="70"/>
      <c r="AP293" s="70"/>
      <c r="AQ293" s="70"/>
      <c r="AR293" s="70"/>
      <c r="AS293" s="70"/>
      <c r="AT293" s="70"/>
      <c r="AU293" s="70"/>
      <c r="AV293" s="70"/>
      <c r="AW293" s="70"/>
      <c r="AX293" s="70"/>
    </row>
    <row r="294" ht="15.75" customHeight="1">
      <c r="A294" s="65" t="s">
        <v>78</v>
      </c>
      <c r="B294" s="218" t="s">
        <v>2205</v>
      </c>
      <c r="C294" s="28"/>
      <c r="D294" s="28"/>
      <c r="E294" s="28"/>
      <c r="F294" s="28"/>
      <c r="G294" s="28"/>
      <c r="H294" s="28"/>
      <c r="I294" s="28"/>
      <c r="J294" s="28"/>
      <c r="K294" s="28"/>
      <c r="L294" s="28"/>
      <c r="M294" s="28"/>
      <c r="N294" s="28"/>
      <c r="O294" s="67"/>
      <c r="P294" s="67"/>
      <c r="Q294" s="67"/>
      <c r="R294" s="67"/>
      <c r="S294" s="65"/>
      <c r="T294" s="67" t="s">
        <v>3500</v>
      </c>
      <c r="U294" s="67"/>
      <c r="V294" s="67"/>
      <c r="W294" s="67"/>
      <c r="X294" s="67"/>
      <c r="Y294" s="67"/>
      <c r="Z294" s="67"/>
      <c r="AA294" s="67"/>
      <c r="AB294" s="67"/>
      <c r="AC294" s="67"/>
      <c r="AD294" s="67"/>
      <c r="AE294" s="67"/>
      <c r="AF294" s="67"/>
      <c r="AG294" s="67"/>
      <c r="AH294" s="67"/>
      <c r="AI294" s="67"/>
      <c r="AJ294" s="67"/>
      <c r="AK294" s="67"/>
      <c r="AL294" s="67"/>
      <c r="AM294" s="67"/>
      <c r="AN294" s="67"/>
      <c r="AO294" s="70"/>
      <c r="AP294" s="70"/>
      <c r="AQ294" s="70"/>
      <c r="AR294" s="70"/>
      <c r="AS294" s="70"/>
      <c r="AT294" s="70"/>
      <c r="AU294" s="70"/>
      <c r="AV294" s="70"/>
      <c r="AW294" s="70"/>
      <c r="AX294" s="70"/>
    </row>
    <row r="295" ht="15.75" customHeight="1">
      <c r="A295" s="65" t="s">
        <v>78</v>
      </c>
      <c r="B295" s="218" t="s">
        <v>2209</v>
      </c>
      <c r="C295" s="28"/>
      <c r="D295" s="28"/>
      <c r="E295" s="28"/>
      <c r="F295" s="28"/>
      <c r="G295" s="28"/>
      <c r="H295" s="28"/>
      <c r="I295" s="28"/>
      <c r="J295" s="28"/>
      <c r="K295" s="28"/>
      <c r="L295" s="28"/>
      <c r="M295" s="28"/>
      <c r="N295" s="28"/>
      <c r="O295" s="67"/>
      <c r="P295" s="67"/>
      <c r="Q295" s="67"/>
      <c r="R295" s="67"/>
      <c r="S295" s="65"/>
      <c r="T295" s="67" t="s">
        <v>3516</v>
      </c>
      <c r="U295" s="67"/>
      <c r="V295" s="67"/>
      <c r="W295" s="67"/>
      <c r="X295" s="67"/>
      <c r="Y295" s="67"/>
      <c r="Z295" s="67"/>
      <c r="AA295" s="67"/>
      <c r="AB295" s="67"/>
      <c r="AC295" s="67"/>
      <c r="AD295" s="67"/>
      <c r="AE295" s="67"/>
      <c r="AF295" s="67"/>
      <c r="AG295" s="67"/>
      <c r="AH295" s="67"/>
      <c r="AI295" s="67"/>
      <c r="AJ295" s="67"/>
      <c r="AK295" s="67"/>
      <c r="AL295" s="67"/>
      <c r="AM295" s="67"/>
      <c r="AN295" s="67"/>
      <c r="AO295" s="70"/>
      <c r="AP295" s="70"/>
      <c r="AQ295" s="70"/>
      <c r="AR295" s="70"/>
      <c r="AS295" s="70"/>
      <c r="AT295" s="70"/>
      <c r="AU295" s="70"/>
      <c r="AV295" s="70"/>
      <c r="AW295" s="70"/>
      <c r="AX295" s="70"/>
    </row>
    <row r="296" ht="15.75" customHeight="1">
      <c r="A296" s="65" t="s">
        <v>78</v>
      </c>
      <c r="B296" s="218" t="s">
        <v>2215</v>
      </c>
      <c r="C296" s="28"/>
      <c r="D296" s="28"/>
      <c r="E296" s="28"/>
      <c r="F296" s="28"/>
      <c r="G296" s="28"/>
      <c r="H296" s="28"/>
      <c r="I296" s="28"/>
      <c r="J296" s="28"/>
      <c r="K296" s="28"/>
      <c r="L296" s="28"/>
      <c r="M296" s="28"/>
      <c r="N296" s="28"/>
      <c r="O296" s="67"/>
      <c r="P296" s="67"/>
      <c r="Q296" s="67"/>
      <c r="R296" s="67"/>
      <c r="S296" s="65"/>
      <c r="T296" s="67" t="s">
        <v>3536</v>
      </c>
      <c r="U296" s="67"/>
      <c r="V296" s="67"/>
      <c r="W296" s="67"/>
      <c r="X296" s="67"/>
      <c r="Y296" s="67"/>
      <c r="Z296" s="67"/>
      <c r="AA296" s="67"/>
      <c r="AB296" s="67"/>
      <c r="AC296" s="67"/>
      <c r="AD296" s="67"/>
      <c r="AE296" s="67"/>
      <c r="AF296" s="67"/>
      <c r="AG296" s="67"/>
      <c r="AH296" s="67"/>
      <c r="AI296" s="67"/>
      <c r="AJ296" s="67"/>
      <c r="AK296" s="67"/>
      <c r="AL296" s="67"/>
      <c r="AM296" s="67"/>
      <c r="AN296" s="67"/>
      <c r="AO296" s="70"/>
      <c r="AP296" s="70"/>
      <c r="AQ296" s="70"/>
      <c r="AR296" s="70"/>
      <c r="AS296" s="70"/>
      <c r="AT296" s="70"/>
      <c r="AU296" s="70"/>
      <c r="AV296" s="70"/>
      <c r="AW296" s="70"/>
      <c r="AX296" s="70"/>
    </row>
    <row r="297" ht="15.75" customHeight="1">
      <c r="A297" s="65" t="s">
        <v>78</v>
      </c>
      <c r="B297" s="218" t="s">
        <v>2219</v>
      </c>
      <c r="C297" s="28"/>
      <c r="D297" s="28"/>
      <c r="E297" s="28"/>
      <c r="F297" s="28"/>
      <c r="G297" s="28"/>
      <c r="H297" s="28"/>
      <c r="I297" s="28"/>
      <c r="J297" s="28"/>
      <c r="K297" s="28"/>
      <c r="L297" s="28"/>
      <c r="M297" s="28"/>
      <c r="N297" s="28"/>
      <c r="O297" s="67"/>
      <c r="P297" s="67"/>
      <c r="Q297" s="67"/>
      <c r="R297" s="67"/>
      <c r="S297" s="65"/>
      <c r="T297" s="67" t="s">
        <v>3556</v>
      </c>
      <c r="U297" s="67"/>
      <c r="V297" s="67"/>
      <c r="W297" s="67"/>
      <c r="X297" s="67"/>
      <c r="Y297" s="67"/>
      <c r="Z297" s="67"/>
      <c r="AA297" s="67"/>
      <c r="AB297" s="67"/>
      <c r="AC297" s="67"/>
      <c r="AD297" s="67"/>
      <c r="AE297" s="67"/>
      <c r="AF297" s="67"/>
      <c r="AG297" s="67"/>
      <c r="AH297" s="67"/>
      <c r="AI297" s="67"/>
      <c r="AJ297" s="67"/>
      <c r="AK297" s="67"/>
      <c r="AL297" s="67"/>
      <c r="AM297" s="67"/>
      <c r="AN297" s="67"/>
      <c r="AO297" s="70"/>
      <c r="AP297" s="70"/>
      <c r="AQ297" s="70"/>
      <c r="AR297" s="70"/>
      <c r="AS297" s="70"/>
      <c r="AT297" s="70"/>
      <c r="AU297" s="70"/>
      <c r="AV297" s="70"/>
      <c r="AW297" s="70"/>
      <c r="AX297" s="70"/>
    </row>
    <row r="298" ht="15.75" customHeight="1">
      <c r="A298" s="65" t="s">
        <v>78</v>
      </c>
      <c r="B298" s="218" t="s">
        <v>2224</v>
      </c>
      <c r="C298" s="28"/>
      <c r="D298" s="28"/>
      <c r="E298" s="28"/>
      <c r="F298" s="28"/>
      <c r="G298" s="28"/>
      <c r="H298" s="28"/>
      <c r="I298" s="28"/>
      <c r="J298" s="28"/>
      <c r="K298" s="28"/>
      <c r="L298" s="28"/>
      <c r="M298" s="28"/>
      <c r="N298" s="28"/>
      <c r="O298" s="67"/>
      <c r="P298" s="67"/>
      <c r="Q298" s="67"/>
      <c r="R298" s="67"/>
      <c r="S298" s="65"/>
      <c r="T298" s="67" t="s">
        <v>3573</v>
      </c>
      <c r="U298" s="67"/>
      <c r="V298" s="67"/>
      <c r="W298" s="67"/>
      <c r="X298" s="67"/>
      <c r="Y298" s="67"/>
      <c r="Z298" s="67"/>
      <c r="AA298" s="67"/>
      <c r="AB298" s="67"/>
      <c r="AC298" s="67"/>
      <c r="AD298" s="67"/>
      <c r="AE298" s="67"/>
      <c r="AF298" s="67"/>
      <c r="AG298" s="67"/>
      <c r="AH298" s="67"/>
      <c r="AI298" s="67"/>
      <c r="AJ298" s="67"/>
      <c r="AK298" s="67"/>
      <c r="AL298" s="67"/>
      <c r="AM298" s="67"/>
      <c r="AN298" s="67"/>
      <c r="AO298" s="70"/>
      <c r="AP298" s="70"/>
      <c r="AQ298" s="70"/>
      <c r="AR298" s="70"/>
      <c r="AS298" s="70"/>
      <c r="AT298" s="70"/>
      <c r="AU298" s="70"/>
      <c r="AV298" s="70"/>
      <c r="AW298" s="70"/>
      <c r="AX298" s="70"/>
    </row>
    <row r="299" ht="15.75" customHeight="1">
      <c r="A299" s="65" t="s">
        <v>78</v>
      </c>
      <c r="B299" s="218" t="s">
        <v>2229</v>
      </c>
      <c r="C299" s="28"/>
      <c r="D299" s="28"/>
      <c r="E299" s="28"/>
      <c r="F299" s="28"/>
      <c r="G299" s="28"/>
      <c r="H299" s="28"/>
      <c r="I299" s="28"/>
      <c r="J299" s="28"/>
      <c r="K299" s="28"/>
      <c r="L299" s="28"/>
      <c r="M299" s="28"/>
      <c r="N299" s="28"/>
      <c r="O299" s="67"/>
      <c r="P299" s="67"/>
      <c r="Q299" s="67"/>
      <c r="R299" s="67"/>
      <c r="S299" s="65"/>
      <c r="T299" s="67" t="s">
        <v>3585</v>
      </c>
      <c r="U299" s="67"/>
      <c r="V299" s="67"/>
      <c r="W299" s="67"/>
      <c r="X299" s="67"/>
      <c r="Y299" s="67"/>
      <c r="Z299" s="67"/>
      <c r="AA299" s="67"/>
      <c r="AB299" s="67"/>
      <c r="AC299" s="67"/>
      <c r="AD299" s="67"/>
      <c r="AE299" s="67"/>
      <c r="AF299" s="67"/>
      <c r="AG299" s="67"/>
      <c r="AH299" s="67"/>
      <c r="AI299" s="67"/>
      <c r="AJ299" s="67"/>
      <c r="AK299" s="67"/>
      <c r="AL299" s="67"/>
      <c r="AM299" s="67"/>
      <c r="AN299" s="67"/>
      <c r="AO299" s="70"/>
      <c r="AP299" s="70"/>
      <c r="AQ299" s="70"/>
      <c r="AR299" s="70"/>
      <c r="AS299" s="70"/>
      <c r="AT299" s="70"/>
      <c r="AU299" s="70"/>
      <c r="AV299" s="70"/>
      <c r="AW299" s="70"/>
      <c r="AX299" s="70"/>
    </row>
    <row r="300" ht="15.75" customHeight="1">
      <c r="A300" s="65" t="s">
        <v>78</v>
      </c>
      <c r="B300" s="218" t="s">
        <v>2234</v>
      </c>
      <c r="C300" s="28"/>
      <c r="D300" s="28"/>
      <c r="E300" s="28"/>
      <c r="F300" s="28"/>
      <c r="G300" s="28"/>
      <c r="H300" s="28"/>
      <c r="I300" s="28"/>
      <c r="J300" s="28"/>
      <c r="K300" s="28"/>
      <c r="L300" s="28"/>
      <c r="M300" s="28"/>
      <c r="N300" s="28"/>
      <c r="O300" s="67"/>
      <c r="P300" s="67"/>
      <c r="Q300" s="67"/>
      <c r="R300" s="67"/>
      <c r="S300" s="65"/>
      <c r="T300" s="67" t="s">
        <v>3597</v>
      </c>
      <c r="U300" s="67"/>
      <c r="V300" s="67"/>
      <c r="W300" s="67"/>
      <c r="X300" s="67"/>
      <c r="Y300" s="67"/>
      <c r="Z300" s="67"/>
      <c r="AA300" s="67"/>
      <c r="AB300" s="67"/>
      <c r="AC300" s="67"/>
      <c r="AD300" s="67"/>
      <c r="AE300" s="67"/>
      <c r="AF300" s="67"/>
      <c r="AG300" s="67"/>
      <c r="AH300" s="67"/>
      <c r="AI300" s="67"/>
      <c r="AJ300" s="67"/>
      <c r="AK300" s="67"/>
      <c r="AL300" s="67"/>
      <c r="AM300" s="67"/>
      <c r="AN300" s="67"/>
      <c r="AO300" s="70"/>
      <c r="AP300" s="70"/>
      <c r="AQ300" s="70"/>
      <c r="AR300" s="70"/>
      <c r="AS300" s="70"/>
      <c r="AT300" s="70"/>
      <c r="AU300" s="70"/>
      <c r="AV300" s="70"/>
      <c r="AW300" s="70"/>
      <c r="AX300" s="70"/>
    </row>
    <row r="301" ht="15.75" customHeight="1">
      <c r="A301" s="65" t="s">
        <v>78</v>
      </c>
      <c r="B301" s="218" t="s">
        <v>2238</v>
      </c>
      <c r="C301" s="28"/>
      <c r="D301" s="28"/>
      <c r="E301" s="28"/>
      <c r="F301" s="28"/>
      <c r="G301" s="28"/>
      <c r="H301" s="28"/>
      <c r="I301" s="28"/>
      <c r="J301" s="28"/>
      <c r="K301" s="28"/>
      <c r="L301" s="28"/>
      <c r="M301" s="28"/>
      <c r="N301" s="28"/>
      <c r="O301" s="67"/>
      <c r="P301" s="67"/>
      <c r="Q301" s="67"/>
      <c r="R301" s="67"/>
      <c r="S301" s="65"/>
      <c r="T301" s="67" t="s">
        <v>3616</v>
      </c>
      <c r="U301" s="67"/>
      <c r="V301" s="67"/>
      <c r="W301" s="67"/>
      <c r="X301" s="67"/>
      <c r="Y301" s="67"/>
      <c r="Z301" s="67"/>
      <c r="AA301" s="67"/>
      <c r="AB301" s="67"/>
      <c r="AC301" s="67"/>
      <c r="AD301" s="67"/>
      <c r="AE301" s="67"/>
      <c r="AF301" s="67"/>
      <c r="AG301" s="67"/>
      <c r="AH301" s="67"/>
      <c r="AI301" s="67"/>
      <c r="AJ301" s="67"/>
      <c r="AK301" s="67"/>
      <c r="AL301" s="67"/>
      <c r="AM301" s="67"/>
      <c r="AN301" s="67"/>
      <c r="AO301" s="70"/>
      <c r="AP301" s="70"/>
      <c r="AQ301" s="70"/>
      <c r="AR301" s="70"/>
      <c r="AS301" s="70"/>
      <c r="AT301" s="70"/>
      <c r="AU301" s="70"/>
      <c r="AV301" s="70"/>
      <c r="AW301" s="70"/>
      <c r="AX301" s="70"/>
    </row>
    <row r="302" ht="15.75" customHeight="1">
      <c r="A302" s="65" t="s">
        <v>78</v>
      </c>
      <c r="B302" s="218" t="s">
        <v>2244</v>
      </c>
      <c r="C302" s="28"/>
      <c r="D302" s="28"/>
      <c r="E302" s="28"/>
      <c r="F302" s="28"/>
      <c r="G302" s="28"/>
      <c r="H302" s="28"/>
      <c r="I302" s="28"/>
      <c r="J302" s="28"/>
      <c r="K302" s="28"/>
      <c r="L302" s="28"/>
      <c r="M302" s="28"/>
      <c r="N302" s="28"/>
      <c r="O302" s="67"/>
      <c r="P302" s="67"/>
      <c r="Q302" s="67"/>
      <c r="R302" s="67"/>
      <c r="S302" s="65"/>
      <c r="T302" s="67" t="s">
        <v>3633</v>
      </c>
      <c r="U302" s="67"/>
      <c r="V302" s="67"/>
      <c r="W302" s="67"/>
      <c r="X302" s="67"/>
      <c r="Y302" s="67"/>
      <c r="Z302" s="67"/>
      <c r="AA302" s="67"/>
      <c r="AB302" s="67"/>
      <c r="AC302" s="67"/>
      <c r="AD302" s="67"/>
      <c r="AE302" s="67"/>
      <c r="AF302" s="67"/>
      <c r="AG302" s="67"/>
      <c r="AH302" s="67"/>
      <c r="AI302" s="67"/>
      <c r="AJ302" s="67"/>
      <c r="AK302" s="67"/>
      <c r="AL302" s="67"/>
      <c r="AM302" s="67"/>
      <c r="AN302" s="67"/>
      <c r="AO302" s="70"/>
      <c r="AP302" s="70"/>
      <c r="AQ302" s="70"/>
      <c r="AR302" s="70"/>
      <c r="AS302" s="70"/>
      <c r="AT302" s="70"/>
      <c r="AU302" s="70"/>
      <c r="AV302" s="70"/>
      <c r="AW302" s="70"/>
      <c r="AX302" s="70"/>
    </row>
    <row r="303" ht="15.75" customHeight="1">
      <c r="A303" s="65" t="s">
        <v>78</v>
      </c>
      <c r="B303" s="218" t="s">
        <v>2248</v>
      </c>
      <c r="C303" s="28"/>
      <c r="D303" s="28"/>
      <c r="E303" s="28"/>
      <c r="F303" s="28"/>
      <c r="G303" s="28"/>
      <c r="H303" s="28"/>
      <c r="I303" s="28"/>
      <c r="J303" s="28"/>
      <c r="K303" s="28"/>
      <c r="L303" s="28"/>
      <c r="M303" s="28"/>
      <c r="N303" s="28"/>
      <c r="O303" s="67"/>
      <c r="P303" s="67"/>
      <c r="Q303" s="67"/>
      <c r="R303" s="67"/>
      <c r="S303" s="65"/>
      <c r="T303" s="67" t="s">
        <v>3653</v>
      </c>
      <c r="U303" s="67"/>
      <c r="V303" s="67"/>
      <c r="W303" s="67"/>
      <c r="X303" s="67"/>
      <c r="Y303" s="67"/>
      <c r="Z303" s="67"/>
      <c r="AA303" s="67"/>
      <c r="AB303" s="67"/>
      <c r="AC303" s="67"/>
      <c r="AD303" s="67"/>
      <c r="AE303" s="67"/>
      <c r="AF303" s="67"/>
      <c r="AG303" s="67"/>
      <c r="AH303" s="67"/>
      <c r="AI303" s="67"/>
      <c r="AJ303" s="67"/>
      <c r="AK303" s="67"/>
      <c r="AL303" s="67"/>
      <c r="AM303" s="67"/>
      <c r="AN303" s="67"/>
      <c r="AO303" s="70"/>
      <c r="AP303" s="70"/>
      <c r="AQ303" s="70"/>
      <c r="AR303" s="70"/>
      <c r="AS303" s="70"/>
      <c r="AT303" s="70"/>
      <c r="AU303" s="70"/>
      <c r="AV303" s="70"/>
      <c r="AW303" s="70"/>
      <c r="AX303" s="70"/>
    </row>
    <row r="304" ht="15.75" customHeight="1">
      <c r="A304" s="65" t="s">
        <v>78</v>
      </c>
      <c r="B304" s="218" t="s">
        <v>2254</v>
      </c>
      <c r="C304" s="28"/>
      <c r="D304" s="28"/>
      <c r="E304" s="28"/>
      <c r="F304" s="28"/>
      <c r="G304" s="28"/>
      <c r="H304" s="28"/>
      <c r="I304" s="28"/>
      <c r="J304" s="28"/>
      <c r="K304" s="28"/>
      <c r="L304" s="28"/>
      <c r="M304" s="28"/>
      <c r="N304" s="28"/>
      <c r="O304" s="67"/>
      <c r="P304" s="67"/>
      <c r="Q304" s="67"/>
      <c r="R304" s="67"/>
      <c r="S304" s="65"/>
      <c r="T304" s="67" t="s">
        <v>3675</v>
      </c>
      <c r="U304" s="67"/>
      <c r="V304" s="67"/>
      <c r="W304" s="67"/>
      <c r="X304" s="67"/>
      <c r="Y304" s="67"/>
      <c r="Z304" s="67"/>
      <c r="AA304" s="67"/>
      <c r="AB304" s="67"/>
      <c r="AC304" s="67"/>
      <c r="AD304" s="67"/>
      <c r="AE304" s="67"/>
      <c r="AF304" s="67"/>
      <c r="AG304" s="67"/>
      <c r="AH304" s="67"/>
      <c r="AI304" s="67"/>
      <c r="AJ304" s="67"/>
      <c r="AK304" s="67"/>
      <c r="AL304" s="67"/>
      <c r="AM304" s="67"/>
      <c r="AN304" s="67"/>
      <c r="AO304" s="70"/>
      <c r="AP304" s="70"/>
      <c r="AQ304" s="70"/>
      <c r="AR304" s="70"/>
      <c r="AS304" s="70"/>
      <c r="AT304" s="70"/>
      <c r="AU304" s="70"/>
      <c r="AV304" s="70"/>
      <c r="AW304" s="70"/>
      <c r="AX304" s="70"/>
    </row>
    <row r="305" ht="15.75" customHeight="1">
      <c r="A305" s="65" t="s">
        <v>78</v>
      </c>
      <c r="B305" s="218" t="s">
        <v>2258</v>
      </c>
      <c r="C305" s="28"/>
      <c r="D305" s="28"/>
      <c r="E305" s="28"/>
      <c r="F305" s="28"/>
      <c r="G305" s="28"/>
      <c r="H305" s="28"/>
      <c r="I305" s="28"/>
      <c r="J305" s="28"/>
      <c r="K305" s="28"/>
      <c r="L305" s="28"/>
      <c r="M305" s="28"/>
      <c r="N305" s="28"/>
      <c r="O305" s="67"/>
      <c r="P305" s="67"/>
      <c r="Q305" s="67"/>
      <c r="R305" s="67"/>
      <c r="S305" s="65"/>
      <c r="T305" s="67" t="s">
        <v>3689</v>
      </c>
      <c r="U305" s="67"/>
      <c r="V305" s="67"/>
      <c r="W305" s="67"/>
      <c r="X305" s="67"/>
      <c r="Y305" s="67"/>
      <c r="Z305" s="67"/>
      <c r="AA305" s="67"/>
      <c r="AB305" s="67"/>
      <c r="AC305" s="67"/>
      <c r="AD305" s="67"/>
      <c r="AE305" s="67"/>
      <c r="AF305" s="67"/>
      <c r="AG305" s="67"/>
      <c r="AH305" s="67"/>
      <c r="AI305" s="67"/>
      <c r="AJ305" s="67"/>
      <c r="AK305" s="67"/>
      <c r="AL305" s="67"/>
      <c r="AM305" s="67"/>
      <c r="AN305" s="67"/>
      <c r="AO305" s="70"/>
      <c r="AP305" s="70"/>
      <c r="AQ305" s="70"/>
      <c r="AR305" s="70"/>
      <c r="AS305" s="70"/>
      <c r="AT305" s="70"/>
      <c r="AU305" s="70"/>
      <c r="AV305" s="70"/>
      <c r="AW305" s="70"/>
      <c r="AX305" s="70"/>
    </row>
    <row r="306" ht="15.75" customHeight="1">
      <c r="A306" s="65" t="s">
        <v>78</v>
      </c>
      <c r="B306" s="218" t="s">
        <v>2263</v>
      </c>
      <c r="C306" s="28"/>
      <c r="D306" s="28"/>
      <c r="E306" s="28"/>
      <c r="F306" s="28"/>
      <c r="G306" s="28"/>
      <c r="H306" s="28"/>
      <c r="I306" s="28"/>
      <c r="J306" s="28"/>
      <c r="K306" s="28"/>
      <c r="L306" s="28"/>
      <c r="M306" s="28"/>
      <c r="N306" s="28"/>
      <c r="O306" s="67"/>
      <c r="P306" s="67"/>
      <c r="Q306" s="67"/>
      <c r="R306" s="67"/>
      <c r="S306" s="65"/>
      <c r="T306" s="67" t="s">
        <v>3711</v>
      </c>
      <c r="U306" s="67"/>
      <c r="V306" s="67"/>
      <c r="W306" s="67"/>
      <c r="X306" s="67"/>
      <c r="Y306" s="67"/>
      <c r="Z306" s="67"/>
      <c r="AA306" s="67"/>
      <c r="AB306" s="67"/>
      <c r="AC306" s="67"/>
      <c r="AD306" s="67"/>
      <c r="AE306" s="67"/>
      <c r="AF306" s="67"/>
      <c r="AG306" s="67"/>
      <c r="AH306" s="67"/>
      <c r="AI306" s="67"/>
      <c r="AJ306" s="67"/>
      <c r="AK306" s="67"/>
      <c r="AL306" s="67"/>
      <c r="AM306" s="67"/>
      <c r="AN306" s="67"/>
      <c r="AO306" s="70"/>
      <c r="AP306" s="70"/>
      <c r="AQ306" s="70"/>
      <c r="AR306" s="70"/>
      <c r="AS306" s="70"/>
      <c r="AT306" s="70"/>
      <c r="AU306" s="70"/>
      <c r="AV306" s="70"/>
      <c r="AW306" s="70"/>
      <c r="AX306" s="70"/>
    </row>
    <row r="307" ht="15.75" customHeight="1">
      <c r="A307" s="65" t="s">
        <v>78</v>
      </c>
      <c r="B307" s="218" t="s">
        <v>2269</v>
      </c>
      <c r="C307" s="28"/>
      <c r="D307" s="28"/>
      <c r="E307" s="28"/>
      <c r="F307" s="28"/>
      <c r="G307" s="28"/>
      <c r="H307" s="28"/>
      <c r="I307" s="28"/>
      <c r="J307" s="28"/>
      <c r="K307" s="28"/>
      <c r="L307" s="28"/>
      <c r="M307" s="28"/>
      <c r="N307" s="28"/>
      <c r="O307" s="67"/>
      <c r="P307" s="67"/>
      <c r="Q307" s="67"/>
      <c r="R307" s="67"/>
      <c r="S307" s="65"/>
      <c r="T307" s="67" t="s">
        <v>3730</v>
      </c>
      <c r="U307" s="67"/>
      <c r="V307" s="67"/>
      <c r="W307" s="67"/>
      <c r="X307" s="67"/>
      <c r="Y307" s="67"/>
      <c r="Z307" s="67"/>
      <c r="AA307" s="67"/>
      <c r="AB307" s="67"/>
      <c r="AC307" s="67"/>
      <c r="AD307" s="67"/>
      <c r="AE307" s="67"/>
      <c r="AF307" s="67"/>
      <c r="AG307" s="67"/>
      <c r="AH307" s="67"/>
      <c r="AI307" s="67"/>
      <c r="AJ307" s="67"/>
      <c r="AK307" s="67"/>
      <c r="AL307" s="67"/>
      <c r="AM307" s="67"/>
      <c r="AN307" s="67"/>
      <c r="AO307" s="70"/>
      <c r="AP307" s="70"/>
      <c r="AQ307" s="70"/>
      <c r="AR307" s="70"/>
      <c r="AS307" s="70"/>
      <c r="AT307" s="70"/>
      <c r="AU307" s="70"/>
      <c r="AV307" s="70"/>
      <c r="AW307" s="70"/>
      <c r="AX307" s="70"/>
    </row>
    <row r="308" ht="15.75" customHeight="1">
      <c r="A308" s="65" t="s">
        <v>78</v>
      </c>
      <c r="B308" s="218" t="s">
        <v>2273</v>
      </c>
      <c r="C308" s="28"/>
      <c r="D308" s="28"/>
      <c r="E308" s="28"/>
      <c r="F308" s="28"/>
      <c r="G308" s="28"/>
      <c r="H308" s="28"/>
      <c r="I308" s="28"/>
      <c r="J308" s="28"/>
      <c r="K308" s="28"/>
      <c r="L308" s="28"/>
      <c r="M308" s="28"/>
      <c r="N308" s="28"/>
      <c r="O308" s="67"/>
      <c r="P308" s="67"/>
      <c r="Q308" s="67"/>
      <c r="R308" s="67"/>
      <c r="S308" s="65"/>
      <c r="T308" s="67" t="s">
        <v>3740</v>
      </c>
      <c r="U308" s="67"/>
      <c r="V308" s="67"/>
      <c r="W308" s="67"/>
      <c r="X308" s="67"/>
      <c r="Y308" s="67"/>
      <c r="Z308" s="67"/>
      <c r="AA308" s="67"/>
      <c r="AB308" s="67"/>
      <c r="AC308" s="67"/>
      <c r="AD308" s="67"/>
      <c r="AE308" s="67"/>
      <c r="AF308" s="67"/>
      <c r="AG308" s="67"/>
      <c r="AH308" s="67"/>
      <c r="AI308" s="67"/>
      <c r="AJ308" s="67"/>
      <c r="AK308" s="67"/>
      <c r="AL308" s="67"/>
      <c r="AM308" s="67"/>
      <c r="AN308" s="67"/>
      <c r="AO308" s="70"/>
      <c r="AP308" s="70"/>
      <c r="AQ308" s="70"/>
      <c r="AR308" s="70"/>
      <c r="AS308" s="70"/>
      <c r="AT308" s="70"/>
      <c r="AU308" s="70"/>
      <c r="AV308" s="70"/>
      <c r="AW308" s="70"/>
      <c r="AX308" s="70"/>
    </row>
    <row r="309" ht="15.75" customHeight="1">
      <c r="A309" s="65" t="s">
        <v>78</v>
      </c>
      <c r="B309" s="218" t="s">
        <v>2279</v>
      </c>
      <c r="C309" s="28"/>
      <c r="D309" s="28"/>
      <c r="E309" s="28"/>
      <c r="F309" s="28"/>
      <c r="G309" s="28"/>
      <c r="H309" s="28"/>
      <c r="I309" s="28"/>
      <c r="J309" s="28"/>
      <c r="K309" s="28"/>
      <c r="L309" s="28"/>
      <c r="M309" s="28"/>
      <c r="N309" s="28"/>
      <c r="O309" s="67"/>
      <c r="P309" s="67"/>
      <c r="Q309" s="67"/>
      <c r="R309" s="67"/>
      <c r="S309" s="67"/>
      <c r="T309" s="65" t="s">
        <v>3764</v>
      </c>
      <c r="U309" s="67"/>
      <c r="V309" s="67"/>
      <c r="W309" s="67"/>
      <c r="X309" s="67"/>
      <c r="Y309" s="67"/>
      <c r="Z309" s="67"/>
      <c r="AA309" s="67"/>
      <c r="AB309" s="67"/>
      <c r="AC309" s="67"/>
      <c r="AD309" s="67"/>
      <c r="AE309" s="67"/>
      <c r="AF309" s="67"/>
      <c r="AG309" s="67"/>
      <c r="AH309" s="67"/>
      <c r="AI309" s="67"/>
      <c r="AJ309" s="67"/>
      <c r="AK309" s="67"/>
      <c r="AL309" s="67"/>
      <c r="AM309" s="67"/>
      <c r="AN309" s="67"/>
      <c r="AO309" s="70"/>
      <c r="AP309" s="70"/>
      <c r="AQ309" s="70"/>
      <c r="AR309" s="70"/>
      <c r="AS309" s="70"/>
      <c r="AT309" s="70"/>
      <c r="AU309" s="70"/>
      <c r="AV309" s="70"/>
      <c r="AW309" s="70"/>
      <c r="AX309" s="70"/>
    </row>
    <row r="310" ht="15.75" customHeight="1">
      <c r="A310" s="65"/>
      <c r="B310" s="218"/>
      <c r="C310" s="28"/>
      <c r="D310" s="28"/>
      <c r="E310" s="28"/>
      <c r="F310" s="28"/>
      <c r="G310" s="28"/>
      <c r="H310" s="28"/>
      <c r="I310" s="28"/>
      <c r="J310" s="28"/>
      <c r="K310" s="28"/>
      <c r="L310" s="28"/>
      <c r="M310" s="28"/>
      <c r="N310" s="28"/>
      <c r="O310" s="67"/>
      <c r="P310" s="67"/>
      <c r="Q310" s="67"/>
      <c r="R310" s="67"/>
      <c r="S310" s="67"/>
      <c r="T310" s="67"/>
      <c r="U310" s="67"/>
      <c r="V310" s="67"/>
      <c r="W310" s="67"/>
      <c r="X310" s="67"/>
      <c r="Y310" s="67"/>
      <c r="Z310" s="67"/>
      <c r="AA310" s="67"/>
      <c r="AB310" s="67"/>
      <c r="AC310" s="67"/>
      <c r="AD310" s="67"/>
      <c r="AE310" s="67"/>
      <c r="AF310" s="67"/>
      <c r="AG310" s="67"/>
      <c r="AH310" s="67"/>
      <c r="AI310" s="67"/>
      <c r="AJ310" s="67"/>
      <c r="AK310" s="67"/>
      <c r="AL310" s="67"/>
      <c r="AM310" s="67"/>
      <c r="AN310" s="67"/>
      <c r="AO310" s="70"/>
      <c r="AP310" s="70"/>
      <c r="AQ310" s="70"/>
      <c r="AR310" s="70"/>
      <c r="AS310" s="70"/>
      <c r="AT310" s="70"/>
      <c r="AU310" s="70"/>
      <c r="AV310" s="70"/>
      <c r="AW310" s="70"/>
      <c r="AX310" s="70"/>
    </row>
    <row r="311" ht="15.75" customHeight="1">
      <c r="A311" s="65" t="s">
        <v>131</v>
      </c>
      <c r="B311" s="218" t="s">
        <v>2287</v>
      </c>
      <c r="C311" s="28"/>
      <c r="D311" s="28"/>
      <c r="E311" s="28"/>
      <c r="F311" s="28"/>
      <c r="G311" s="28"/>
      <c r="H311" s="28"/>
      <c r="I311" s="28"/>
      <c r="J311" s="28"/>
      <c r="K311" s="28"/>
      <c r="L311" s="28"/>
      <c r="M311" s="28"/>
      <c r="N311" s="28"/>
      <c r="O311" s="67"/>
      <c r="P311" s="67"/>
      <c r="Q311" s="67"/>
      <c r="R311" s="67"/>
      <c r="S311" s="67"/>
      <c r="T311" s="67"/>
      <c r="U311" s="67"/>
      <c r="V311" s="67"/>
      <c r="W311" s="67"/>
      <c r="X311" s="67"/>
      <c r="Y311" s="67"/>
      <c r="Z311" s="67"/>
      <c r="AA311" s="67"/>
      <c r="AB311" s="67"/>
      <c r="AC311" s="67"/>
      <c r="AD311" s="67"/>
      <c r="AE311" s="67"/>
      <c r="AF311" s="67"/>
      <c r="AG311" s="67"/>
      <c r="AH311" s="67"/>
      <c r="AI311" s="67"/>
      <c r="AJ311" s="67"/>
      <c r="AK311" s="67"/>
      <c r="AL311" s="67"/>
      <c r="AM311" s="67"/>
      <c r="AN311" s="67"/>
      <c r="AO311" s="70"/>
      <c r="AP311" s="70"/>
      <c r="AQ311" s="70"/>
      <c r="AR311" s="70"/>
      <c r="AS311" s="70"/>
      <c r="AT311" s="70"/>
      <c r="AU311" s="70"/>
      <c r="AV311" s="70"/>
      <c r="AW311" s="70"/>
      <c r="AX311" s="70"/>
    </row>
    <row r="312" ht="15.75" customHeight="1">
      <c r="A312" s="65" t="s">
        <v>41</v>
      </c>
      <c r="B312" s="218" t="s">
        <v>2293</v>
      </c>
      <c r="C312" s="28" t="s">
        <v>2297</v>
      </c>
      <c r="D312" s="28" t="s">
        <v>2298</v>
      </c>
      <c r="E312" s="28" t="s">
        <v>2299</v>
      </c>
      <c r="F312" s="28"/>
      <c r="G312" s="28"/>
      <c r="H312" s="28"/>
      <c r="I312" s="28"/>
      <c r="J312" s="28"/>
      <c r="K312" s="28"/>
      <c r="L312" s="28"/>
      <c r="M312" s="28"/>
      <c r="N312" s="28"/>
      <c r="O312" s="67"/>
      <c r="P312" s="67"/>
      <c r="Q312" s="67"/>
      <c r="R312" s="67"/>
      <c r="S312" s="67"/>
      <c r="T312" s="67"/>
      <c r="U312" s="67"/>
      <c r="V312" s="67"/>
      <c r="W312" s="67"/>
      <c r="X312" s="67"/>
      <c r="Y312" s="67"/>
      <c r="Z312" s="67"/>
      <c r="AA312" s="67"/>
      <c r="AB312" s="67"/>
      <c r="AC312" s="67"/>
      <c r="AD312" s="67"/>
      <c r="AE312" s="67"/>
      <c r="AF312" s="67"/>
      <c r="AG312" s="67"/>
      <c r="AH312" s="67"/>
      <c r="AI312" s="67"/>
      <c r="AJ312" s="67"/>
      <c r="AK312" s="67"/>
      <c r="AL312" s="67"/>
      <c r="AM312" s="67"/>
      <c r="AN312" s="67"/>
      <c r="AO312" s="70"/>
      <c r="AP312" s="70"/>
      <c r="AQ312" s="70"/>
      <c r="AR312" s="70"/>
      <c r="AS312" s="70"/>
      <c r="AT312" s="70"/>
      <c r="AU312" s="70"/>
      <c r="AV312" s="70"/>
      <c r="AW312" s="70"/>
      <c r="AX312" s="70"/>
    </row>
    <row r="313" ht="15.75" customHeight="1">
      <c r="A313" s="68" t="s">
        <v>463</v>
      </c>
      <c r="B313" s="66" t="s">
        <v>2300</v>
      </c>
      <c r="C313" s="28" t="s">
        <v>2306</v>
      </c>
      <c r="D313" s="28" t="s">
        <v>2307</v>
      </c>
      <c r="E313" s="28" t="s">
        <v>2308</v>
      </c>
      <c r="F313" s="28"/>
      <c r="G313" s="28"/>
      <c r="H313" s="28"/>
      <c r="I313" s="28"/>
      <c r="J313" s="28"/>
      <c r="K313" s="28"/>
      <c r="L313" s="28"/>
      <c r="M313" s="28"/>
      <c r="N313" s="28"/>
      <c r="O313" s="65" t="s">
        <v>3816</v>
      </c>
      <c r="P313" s="67"/>
      <c r="Q313" s="67" t="s">
        <v>145</v>
      </c>
      <c r="R313" s="67"/>
      <c r="S313" s="67"/>
      <c r="T313" s="67"/>
      <c r="U313" s="67"/>
      <c r="V313" s="67"/>
      <c r="W313" s="67"/>
      <c r="X313" s="67"/>
      <c r="Y313" s="67"/>
      <c r="Z313" s="67"/>
      <c r="AA313" s="67"/>
      <c r="AB313" s="67"/>
      <c r="AC313" s="70"/>
      <c r="AD313" s="70"/>
      <c r="AE313" s="70"/>
      <c r="AF313" s="70"/>
      <c r="AG313" s="70"/>
      <c r="AH313" s="70"/>
      <c r="AI313" s="70"/>
      <c r="AJ313" s="70"/>
      <c r="AK313" s="70"/>
      <c r="AL313" s="70"/>
      <c r="AM313" s="70"/>
      <c r="AN313" s="70"/>
      <c r="AO313" s="70"/>
      <c r="AP313" s="70"/>
      <c r="AQ313" s="70"/>
      <c r="AR313" s="70"/>
      <c r="AS313" s="70"/>
      <c r="AT313" s="70"/>
      <c r="AU313" s="70"/>
      <c r="AV313" s="70"/>
      <c r="AW313" s="70"/>
      <c r="AX313" s="70"/>
    </row>
    <row r="314" ht="15.75" customHeight="1">
      <c r="A314" s="65" t="s">
        <v>2309</v>
      </c>
      <c r="B314" s="218" t="s">
        <v>2310</v>
      </c>
      <c r="C314" s="28" t="s">
        <v>2314</v>
      </c>
      <c r="D314" s="28" t="s">
        <v>2315</v>
      </c>
      <c r="E314" s="28" t="s">
        <v>2316</v>
      </c>
      <c r="F314" s="28" t="s">
        <v>3833</v>
      </c>
      <c r="G314" s="28" t="s">
        <v>3836</v>
      </c>
      <c r="H314" s="28" t="s">
        <v>3837</v>
      </c>
      <c r="I314" s="28"/>
      <c r="J314" s="28"/>
      <c r="K314" s="28"/>
      <c r="L314" s="28"/>
      <c r="M314" s="28"/>
      <c r="N314" s="28"/>
      <c r="O314" s="65" t="s">
        <v>3842</v>
      </c>
      <c r="P314" s="65"/>
      <c r="Q314" s="65" t="s">
        <v>145</v>
      </c>
      <c r="R314" s="67"/>
      <c r="S314" s="67"/>
      <c r="T314" s="67"/>
      <c r="U314" s="67"/>
      <c r="V314" s="67"/>
      <c r="W314" s="67"/>
      <c r="X314" s="67"/>
      <c r="Y314" s="65" t="s">
        <v>3844</v>
      </c>
      <c r="Z314" s="67"/>
      <c r="AA314" s="67"/>
      <c r="AB314" s="67"/>
      <c r="AC314" s="67"/>
      <c r="AD314" s="67"/>
      <c r="AE314" s="67"/>
      <c r="AF314" s="67"/>
      <c r="AG314" s="67"/>
      <c r="AH314" s="67"/>
      <c r="AI314" s="67"/>
      <c r="AJ314" s="67"/>
      <c r="AK314" s="67"/>
      <c r="AL314" s="67"/>
      <c r="AM314" s="67"/>
      <c r="AN314" s="67"/>
      <c r="AO314" s="70"/>
      <c r="AP314" s="70"/>
      <c r="AQ314" s="70"/>
      <c r="AR314" s="70"/>
      <c r="AS314" s="70"/>
      <c r="AT314" s="70"/>
      <c r="AU314" s="70"/>
      <c r="AV314" s="70"/>
      <c r="AW314" s="70"/>
      <c r="AX314" s="70"/>
    </row>
    <row r="315" ht="15.75" customHeight="1">
      <c r="A315" s="65" t="s">
        <v>263</v>
      </c>
      <c r="B315" s="219" t="s">
        <v>2317</v>
      </c>
      <c r="C315" s="28" t="s">
        <v>2322</v>
      </c>
      <c r="D315" s="28" t="s">
        <v>2323</v>
      </c>
      <c r="E315" s="28" t="s">
        <v>2324</v>
      </c>
      <c r="F315" s="28"/>
      <c r="G315" s="28"/>
      <c r="H315" s="28"/>
      <c r="I315" s="28"/>
      <c r="J315" s="28"/>
      <c r="K315" s="28"/>
      <c r="L315" s="28"/>
      <c r="M315" s="28"/>
      <c r="N315" s="28"/>
      <c r="O315" s="65" t="s">
        <v>3861</v>
      </c>
      <c r="P315" s="65"/>
      <c r="Q315" s="65" t="s">
        <v>145</v>
      </c>
      <c r="R315" s="67"/>
      <c r="S315" s="67"/>
      <c r="T315" s="67"/>
      <c r="U315" s="67"/>
      <c r="V315" s="67"/>
      <c r="W315" s="67"/>
      <c r="X315" s="67"/>
      <c r="Y315" s="65"/>
      <c r="Z315" s="67"/>
      <c r="AA315" s="67"/>
      <c r="AB315" s="67"/>
      <c r="AC315" s="67"/>
      <c r="AD315" s="67"/>
      <c r="AE315" s="67"/>
      <c r="AF315" s="67"/>
      <c r="AG315" s="67"/>
      <c r="AH315" s="67"/>
      <c r="AI315" s="67"/>
      <c r="AJ315" s="67"/>
      <c r="AK315" s="67"/>
      <c r="AL315" s="67"/>
      <c r="AM315" s="67"/>
      <c r="AN315" s="67"/>
      <c r="AO315" s="70"/>
      <c r="AP315" s="70"/>
      <c r="AQ315" s="70"/>
      <c r="AR315" s="70"/>
      <c r="AS315" s="70"/>
      <c r="AT315" s="70"/>
      <c r="AU315" s="70"/>
      <c r="AV315" s="70"/>
      <c r="AW315" s="70"/>
      <c r="AX315" s="70"/>
    </row>
    <row r="316" ht="15.75" customHeight="1">
      <c r="A316" s="65" t="s">
        <v>698</v>
      </c>
      <c r="B316" s="218" t="s">
        <v>2325</v>
      </c>
      <c r="C316" s="28" t="s">
        <v>2326</v>
      </c>
      <c r="D316" s="28"/>
      <c r="E316" s="28"/>
      <c r="F316" s="28"/>
      <c r="G316" s="28"/>
      <c r="H316" s="28"/>
      <c r="I316" s="28"/>
      <c r="J316" s="28"/>
      <c r="K316" s="28"/>
      <c r="L316" s="28"/>
      <c r="M316" s="28"/>
      <c r="N316" s="28"/>
      <c r="O316" s="65" t="s">
        <v>3861</v>
      </c>
      <c r="P316" s="65"/>
      <c r="Q316" s="65"/>
      <c r="R316" s="67"/>
      <c r="S316" s="67"/>
      <c r="T316" s="67"/>
      <c r="U316" s="65" t="s">
        <v>3869</v>
      </c>
      <c r="V316" s="67"/>
      <c r="W316" s="67"/>
      <c r="X316" s="67"/>
      <c r="Y316" s="65"/>
      <c r="Z316" s="67"/>
      <c r="AA316" s="67"/>
      <c r="AB316" s="67"/>
      <c r="AC316" s="67"/>
      <c r="AD316" s="67"/>
      <c r="AE316" s="67"/>
      <c r="AF316" s="67"/>
      <c r="AG316" s="67"/>
      <c r="AH316" s="67"/>
      <c r="AI316" s="67"/>
      <c r="AJ316" s="67"/>
      <c r="AK316" s="67"/>
      <c r="AL316" s="67"/>
      <c r="AM316" s="67"/>
      <c r="AN316" s="67"/>
      <c r="AO316" s="70"/>
      <c r="AP316" s="70"/>
      <c r="AQ316" s="70"/>
      <c r="AR316" s="70"/>
      <c r="AS316" s="70"/>
      <c r="AT316" s="70"/>
      <c r="AU316" s="70"/>
      <c r="AV316" s="70"/>
      <c r="AW316" s="70"/>
      <c r="AX316" s="70"/>
    </row>
    <row r="317" ht="15.75" customHeight="1">
      <c r="A317" s="65" t="s">
        <v>78</v>
      </c>
      <c r="B317" s="218" t="s">
        <v>2332</v>
      </c>
      <c r="C317" s="28"/>
      <c r="D317" s="28"/>
      <c r="E317" s="28"/>
      <c r="F317" s="28"/>
      <c r="G317" s="28"/>
      <c r="H317" s="28"/>
      <c r="I317" s="28"/>
      <c r="J317" s="28"/>
      <c r="K317" s="28"/>
      <c r="L317" s="28"/>
      <c r="M317" s="28"/>
      <c r="N317" s="28"/>
      <c r="O317" s="118"/>
      <c r="P317" s="65"/>
      <c r="Q317" s="65"/>
      <c r="R317" s="67"/>
      <c r="S317" s="67"/>
      <c r="T317" s="214" t="s">
        <v>719</v>
      </c>
      <c r="U317" s="67"/>
      <c r="V317" s="67"/>
      <c r="W317" s="67"/>
      <c r="X317" s="67"/>
      <c r="Y317" s="65"/>
      <c r="Z317" s="67"/>
      <c r="AA317" s="67"/>
      <c r="AB317" s="67"/>
      <c r="AC317" s="67"/>
      <c r="AD317" s="67"/>
      <c r="AE317" s="67"/>
      <c r="AF317" s="67"/>
      <c r="AG317" s="67"/>
      <c r="AH317" s="67"/>
      <c r="AI317" s="67"/>
      <c r="AJ317" s="67"/>
      <c r="AK317" s="67"/>
      <c r="AL317" s="67"/>
      <c r="AM317" s="67"/>
      <c r="AN317" s="67"/>
      <c r="AO317" s="70"/>
      <c r="AP317" s="70"/>
      <c r="AQ317" s="70"/>
      <c r="AR317" s="70"/>
      <c r="AS317" s="70"/>
      <c r="AT317" s="70"/>
      <c r="AU317" s="70"/>
      <c r="AV317" s="70"/>
      <c r="AW317" s="70"/>
      <c r="AX317" s="70"/>
    </row>
    <row r="318" ht="15.75" customHeight="1">
      <c r="A318" s="65" t="s">
        <v>246</v>
      </c>
      <c r="B318" s="227" t="s">
        <v>2336</v>
      </c>
      <c r="C318" s="28" t="s">
        <v>2342</v>
      </c>
      <c r="D318" s="28" t="s">
        <v>2343</v>
      </c>
      <c r="E318" s="28" t="s">
        <v>2344</v>
      </c>
      <c r="F318" s="28" t="s">
        <v>3886</v>
      </c>
      <c r="G318" s="28"/>
      <c r="H318" s="28"/>
      <c r="I318" s="28"/>
      <c r="J318" s="28"/>
      <c r="K318" s="28"/>
      <c r="L318" s="28"/>
      <c r="M318" s="28"/>
      <c r="N318" s="28"/>
      <c r="O318" s="220"/>
      <c r="P318" s="65"/>
      <c r="Q318" s="65" t="s">
        <v>145</v>
      </c>
      <c r="R318" s="67"/>
      <c r="S318" s="67"/>
      <c r="T318" s="67"/>
      <c r="U318" s="67"/>
      <c r="V318" s="67"/>
      <c r="W318" s="67"/>
      <c r="X318" s="67"/>
      <c r="Y318" s="65"/>
      <c r="Z318" s="67"/>
      <c r="AA318" s="67"/>
      <c r="AB318" s="67"/>
      <c r="AC318" s="67"/>
      <c r="AD318" s="67"/>
      <c r="AE318" s="67"/>
      <c r="AF318" s="67"/>
      <c r="AG318" s="67"/>
      <c r="AH318" s="67"/>
      <c r="AI318" s="67"/>
      <c r="AJ318" s="67"/>
      <c r="AK318" s="67"/>
      <c r="AL318" s="67"/>
      <c r="AM318" s="67"/>
      <c r="AN318" s="67"/>
      <c r="AO318" s="70"/>
      <c r="AP318" s="70"/>
      <c r="AQ318" s="70"/>
      <c r="AR318" s="70"/>
      <c r="AS318" s="70"/>
      <c r="AT318" s="70"/>
      <c r="AU318" s="70"/>
      <c r="AV318" s="70"/>
      <c r="AW318" s="70"/>
      <c r="AX318" s="70"/>
    </row>
    <row r="319" ht="15.75" customHeight="1">
      <c r="A319" s="65" t="s">
        <v>263</v>
      </c>
      <c r="B319" s="227" t="s">
        <v>2345</v>
      </c>
      <c r="C319" s="28" t="s">
        <v>2350</v>
      </c>
      <c r="D319" s="28" t="s">
        <v>2351</v>
      </c>
      <c r="E319" s="28" t="s">
        <v>2352</v>
      </c>
      <c r="F319" s="28"/>
      <c r="G319" s="28"/>
      <c r="H319" s="28"/>
      <c r="I319" s="28"/>
      <c r="J319" s="28"/>
      <c r="K319" s="28" t="s">
        <v>687</v>
      </c>
      <c r="L319" s="28"/>
      <c r="M319" s="28"/>
      <c r="N319" s="28"/>
      <c r="O319" s="65"/>
      <c r="P319" s="65"/>
      <c r="Q319" s="65" t="s">
        <v>145</v>
      </c>
      <c r="R319" s="67"/>
      <c r="S319" s="67"/>
      <c r="T319" s="67"/>
      <c r="U319" s="67"/>
      <c r="V319" s="67"/>
      <c r="W319" s="67"/>
      <c r="X319" s="67"/>
      <c r="Y319" s="65"/>
      <c r="Z319" s="67"/>
      <c r="AA319" s="67"/>
      <c r="AB319" s="67"/>
      <c r="AC319" s="67"/>
      <c r="AD319" s="67"/>
      <c r="AE319" s="67"/>
      <c r="AF319" s="67"/>
      <c r="AG319" s="67"/>
      <c r="AH319" s="67"/>
      <c r="AI319" s="67"/>
      <c r="AJ319" s="67"/>
      <c r="AK319" s="67"/>
      <c r="AL319" s="67"/>
      <c r="AM319" s="67"/>
      <c r="AN319" s="67"/>
      <c r="AO319" s="70"/>
      <c r="AP319" s="70"/>
      <c r="AQ319" s="70"/>
      <c r="AR319" s="70"/>
      <c r="AS319" s="70"/>
      <c r="AT319" s="70"/>
      <c r="AU319" s="70"/>
      <c r="AV319" s="70"/>
      <c r="AW319" s="70"/>
      <c r="AX319" s="70"/>
    </row>
    <row r="320" ht="15.75" customHeight="1">
      <c r="A320" s="65" t="s">
        <v>1015</v>
      </c>
      <c r="B320" s="218" t="s">
        <v>2325</v>
      </c>
      <c r="C320" s="28"/>
      <c r="D320" s="28"/>
      <c r="E320" s="28"/>
      <c r="F320" s="28"/>
      <c r="G320" s="28"/>
      <c r="H320" s="28"/>
      <c r="I320" s="28"/>
      <c r="J320" s="28"/>
      <c r="K320" s="28"/>
      <c r="L320" s="28"/>
      <c r="M320" s="28"/>
      <c r="N320" s="28"/>
      <c r="O320" s="65"/>
      <c r="P320" s="65"/>
      <c r="Q320" s="65"/>
      <c r="R320" s="67"/>
      <c r="S320" s="67"/>
      <c r="T320" s="67"/>
      <c r="U320" s="65"/>
      <c r="V320" s="67"/>
      <c r="W320" s="67"/>
      <c r="X320" s="67"/>
      <c r="Y320" s="65"/>
      <c r="Z320" s="67"/>
      <c r="AA320" s="67"/>
      <c r="AB320" s="67"/>
      <c r="AC320" s="67"/>
      <c r="AD320" s="67"/>
      <c r="AE320" s="67"/>
      <c r="AF320" s="67"/>
      <c r="AG320" s="67"/>
      <c r="AH320" s="67"/>
      <c r="AI320" s="67"/>
      <c r="AJ320" s="67"/>
      <c r="AK320" s="67"/>
      <c r="AL320" s="67"/>
      <c r="AM320" s="67"/>
      <c r="AN320" s="67"/>
      <c r="AO320" s="70"/>
      <c r="AP320" s="70"/>
      <c r="AQ320" s="70"/>
      <c r="AR320" s="70"/>
      <c r="AS320" s="70"/>
      <c r="AT320" s="70"/>
      <c r="AU320" s="70"/>
      <c r="AV320" s="70"/>
      <c r="AW320" s="70"/>
      <c r="AX320" s="70"/>
    </row>
    <row r="321" ht="15.75" customHeight="1">
      <c r="A321" s="68" t="s">
        <v>463</v>
      </c>
      <c r="B321" s="69" t="s">
        <v>2356</v>
      </c>
      <c r="C321" s="28" t="s">
        <v>2362</v>
      </c>
      <c r="D321" s="28" t="s">
        <v>2363</v>
      </c>
      <c r="E321" s="28" t="s">
        <v>2364</v>
      </c>
      <c r="F321" s="28"/>
      <c r="G321" s="28"/>
      <c r="H321" s="28"/>
      <c r="I321" s="28"/>
      <c r="J321" s="28"/>
      <c r="K321" s="28"/>
      <c r="L321" s="28"/>
      <c r="M321" s="28"/>
      <c r="N321" s="28"/>
      <c r="O321" s="67"/>
      <c r="P321" s="67"/>
      <c r="Q321" s="67" t="s">
        <v>145</v>
      </c>
      <c r="R321" s="67"/>
      <c r="S321" s="67"/>
      <c r="T321" s="67"/>
      <c r="U321" s="67"/>
      <c r="V321" s="67"/>
      <c r="W321" s="67"/>
      <c r="X321" s="67"/>
      <c r="Y321" s="67"/>
      <c r="Z321" s="67"/>
      <c r="AA321" s="67"/>
      <c r="AB321" s="67"/>
      <c r="AC321" s="70"/>
      <c r="AD321" s="70"/>
      <c r="AE321" s="70"/>
      <c r="AF321" s="70"/>
      <c r="AG321" s="70"/>
      <c r="AH321" s="70"/>
      <c r="AI321" s="70"/>
      <c r="AJ321" s="70"/>
      <c r="AK321" s="70"/>
      <c r="AL321" s="70"/>
      <c r="AM321" s="70"/>
      <c r="AN321" s="70"/>
      <c r="AO321" s="70"/>
      <c r="AP321" s="70"/>
      <c r="AQ321" s="70"/>
      <c r="AR321" s="70"/>
      <c r="AS321" s="70"/>
      <c r="AT321" s="70"/>
      <c r="AU321" s="70"/>
      <c r="AV321" s="70"/>
      <c r="AW321" s="70"/>
      <c r="AX321" s="70"/>
    </row>
    <row r="322" ht="15.75" customHeight="1">
      <c r="A322" s="65" t="s">
        <v>2365</v>
      </c>
      <c r="B322" s="218" t="s">
        <v>2366</v>
      </c>
      <c r="C322" s="28" t="s">
        <v>2370</v>
      </c>
      <c r="D322" s="28" t="s">
        <v>2371</v>
      </c>
      <c r="E322" s="28" t="s">
        <v>2372</v>
      </c>
      <c r="F322" s="28" t="s">
        <v>3943</v>
      </c>
      <c r="G322" s="28" t="s">
        <v>3945</v>
      </c>
      <c r="H322" s="28" t="s">
        <v>3947</v>
      </c>
      <c r="I322" s="28"/>
      <c r="J322" s="28"/>
      <c r="K322" s="28"/>
      <c r="L322" s="28"/>
      <c r="M322" s="28"/>
      <c r="N322" s="28"/>
      <c r="O322" s="65" t="s">
        <v>3951</v>
      </c>
      <c r="P322" s="65"/>
      <c r="Q322" s="65" t="s">
        <v>145</v>
      </c>
      <c r="R322" s="67"/>
      <c r="S322" s="67"/>
      <c r="T322" s="67"/>
      <c r="U322" s="67"/>
      <c r="V322" s="67"/>
      <c r="W322" s="67"/>
      <c r="X322" s="67"/>
      <c r="Y322" s="65" t="s">
        <v>3954</v>
      </c>
      <c r="Z322" s="67"/>
      <c r="AA322" s="67"/>
      <c r="AB322" s="67"/>
      <c r="AC322" s="67"/>
      <c r="AD322" s="67"/>
      <c r="AE322" s="67"/>
      <c r="AF322" s="67"/>
      <c r="AG322" s="67"/>
      <c r="AH322" s="67"/>
      <c r="AI322" s="67"/>
      <c r="AJ322" s="67"/>
      <c r="AK322" s="67"/>
      <c r="AL322" s="67"/>
      <c r="AM322" s="67"/>
      <c r="AN322" s="67"/>
      <c r="AO322" s="70"/>
      <c r="AP322" s="70"/>
      <c r="AQ322" s="70"/>
      <c r="AR322" s="70"/>
      <c r="AS322" s="70"/>
      <c r="AT322" s="70"/>
      <c r="AU322" s="70"/>
      <c r="AV322" s="70"/>
      <c r="AW322" s="70"/>
      <c r="AX322" s="70"/>
    </row>
    <row r="323" ht="15.75" customHeight="1">
      <c r="A323" s="65" t="s">
        <v>263</v>
      </c>
      <c r="B323" s="219" t="s">
        <v>2373</v>
      </c>
      <c r="C323" s="28" t="s">
        <v>2379</v>
      </c>
      <c r="D323" s="28" t="s">
        <v>2380</v>
      </c>
      <c r="E323" s="28" t="s">
        <v>2381</v>
      </c>
      <c r="F323" s="28"/>
      <c r="G323" s="28"/>
      <c r="H323" s="28"/>
      <c r="I323" s="28"/>
      <c r="J323" s="28"/>
      <c r="K323" s="28"/>
      <c r="L323" s="28"/>
      <c r="M323" s="28"/>
      <c r="N323" s="28"/>
      <c r="O323" s="65" t="s">
        <v>3966</v>
      </c>
      <c r="P323" s="65"/>
      <c r="Q323" s="65" t="s">
        <v>145</v>
      </c>
      <c r="R323" s="67"/>
      <c r="S323" s="67"/>
      <c r="T323" s="67"/>
      <c r="U323" s="67"/>
      <c r="V323" s="67"/>
      <c r="W323" s="67"/>
      <c r="X323" s="67"/>
      <c r="Y323" s="65"/>
      <c r="Z323" s="67"/>
      <c r="AA323" s="67"/>
      <c r="AB323" s="67"/>
      <c r="AC323" s="67"/>
      <c r="AD323" s="67"/>
      <c r="AE323" s="67"/>
      <c r="AF323" s="67"/>
      <c r="AG323" s="67"/>
      <c r="AH323" s="67"/>
      <c r="AI323" s="67"/>
      <c r="AJ323" s="67"/>
      <c r="AK323" s="67"/>
      <c r="AL323" s="67"/>
      <c r="AM323" s="67"/>
      <c r="AN323" s="67"/>
      <c r="AO323" s="70"/>
      <c r="AP323" s="70"/>
      <c r="AQ323" s="70"/>
      <c r="AR323" s="70"/>
      <c r="AS323" s="70"/>
      <c r="AT323" s="70"/>
      <c r="AU323" s="70"/>
      <c r="AV323" s="70"/>
      <c r="AW323" s="70"/>
      <c r="AX323" s="70"/>
    </row>
    <row r="324" ht="15.75" customHeight="1">
      <c r="A324" s="65" t="s">
        <v>698</v>
      </c>
      <c r="B324" s="218" t="s">
        <v>2382</v>
      </c>
      <c r="C324" s="28" t="s">
        <v>2383</v>
      </c>
      <c r="D324" s="28"/>
      <c r="E324" s="28"/>
      <c r="F324" s="28"/>
      <c r="G324" s="28"/>
      <c r="H324" s="28"/>
      <c r="I324" s="28"/>
      <c r="J324" s="28"/>
      <c r="K324" s="28"/>
      <c r="L324" s="28"/>
      <c r="M324" s="28"/>
      <c r="N324" s="28"/>
      <c r="O324" s="65" t="s">
        <v>3966</v>
      </c>
      <c r="P324" s="65"/>
      <c r="Q324" s="65"/>
      <c r="R324" s="67"/>
      <c r="S324" s="67"/>
      <c r="T324" s="67"/>
      <c r="U324" s="65" t="s">
        <v>3981</v>
      </c>
      <c r="V324" s="67"/>
      <c r="W324" s="67"/>
      <c r="X324" s="67"/>
      <c r="Y324" s="65"/>
      <c r="Z324" s="67"/>
      <c r="AA324" s="67"/>
      <c r="AB324" s="67"/>
      <c r="AC324" s="67"/>
      <c r="AD324" s="67"/>
      <c r="AE324" s="67"/>
      <c r="AF324" s="67"/>
      <c r="AG324" s="67"/>
      <c r="AH324" s="67"/>
      <c r="AI324" s="67"/>
      <c r="AJ324" s="67"/>
      <c r="AK324" s="67"/>
      <c r="AL324" s="67"/>
      <c r="AM324" s="67"/>
      <c r="AN324" s="67"/>
      <c r="AO324" s="70"/>
      <c r="AP324" s="70"/>
      <c r="AQ324" s="70"/>
      <c r="AR324" s="70"/>
      <c r="AS324" s="70"/>
      <c r="AT324" s="70"/>
      <c r="AU324" s="70"/>
      <c r="AV324" s="70"/>
      <c r="AW324" s="70"/>
      <c r="AX324" s="70"/>
    </row>
    <row r="325" ht="15.75" customHeight="1">
      <c r="A325" s="65" t="s">
        <v>78</v>
      </c>
      <c r="B325" s="218" t="s">
        <v>2387</v>
      </c>
      <c r="C325" s="28"/>
      <c r="D325" s="28"/>
      <c r="E325" s="28"/>
      <c r="F325" s="28"/>
      <c r="G325" s="28"/>
      <c r="H325" s="28"/>
      <c r="I325" s="28"/>
      <c r="J325" s="28"/>
      <c r="K325" s="28"/>
      <c r="L325" s="28"/>
      <c r="M325" s="28"/>
      <c r="N325" s="28"/>
      <c r="O325" s="118"/>
      <c r="P325" s="65"/>
      <c r="Q325" s="65"/>
      <c r="R325" s="67"/>
      <c r="S325" s="67"/>
      <c r="T325" s="214" t="s">
        <v>719</v>
      </c>
      <c r="U325" s="67"/>
      <c r="V325" s="67"/>
      <c r="W325" s="67"/>
      <c r="X325" s="67"/>
      <c r="Y325" s="65"/>
      <c r="Z325" s="67"/>
      <c r="AA325" s="67"/>
      <c r="AB325" s="67"/>
      <c r="AC325" s="67"/>
      <c r="AD325" s="67"/>
      <c r="AE325" s="67"/>
      <c r="AF325" s="67"/>
      <c r="AG325" s="67"/>
      <c r="AH325" s="67"/>
      <c r="AI325" s="67"/>
      <c r="AJ325" s="67"/>
      <c r="AK325" s="67"/>
      <c r="AL325" s="67"/>
      <c r="AM325" s="67"/>
      <c r="AN325" s="67"/>
      <c r="AO325" s="70"/>
      <c r="AP325" s="70"/>
      <c r="AQ325" s="70"/>
      <c r="AR325" s="70"/>
      <c r="AS325" s="70"/>
      <c r="AT325" s="70"/>
      <c r="AU325" s="70"/>
      <c r="AV325" s="70"/>
      <c r="AW325" s="70"/>
      <c r="AX325" s="70"/>
    </row>
    <row r="326" ht="15.75" customHeight="1">
      <c r="A326" s="65" t="s">
        <v>246</v>
      </c>
      <c r="B326" s="227" t="s">
        <v>2392</v>
      </c>
      <c r="C326" s="28" t="s">
        <v>2397</v>
      </c>
      <c r="D326" s="28" t="s">
        <v>2398</v>
      </c>
      <c r="E326" s="28" t="s">
        <v>2399</v>
      </c>
      <c r="F326" s="28" t="s">
        <v>3886</v>
      </c>
      <c r="G326" s="28"/>
      <c r="H326" s="28"/>
      <c r="I326" s="28"/>
      <c r="J326" s="28"/>
      <c r="K326" s="28"/>
      <c r="L326" s="28"/>
      <c r="M326" s="28"/>
      <c r="N326" s="28"/>
      <c r="O326" s="220"/>
      <c r="P326" s="65"/>
      <c r="Q326" s="65" t="s">
        <v>145</v>
      </c>
      <c r="R326" s="67"/>
      <c r="S326" s="67"/>
      <c r="T326" s="67"/>
      <c r="U326" s="67"/>
      <c r="V326" s="67"/>
      <c r="W326" s="67"/>
      <c r="X326" s="67"/>
      <c r="Y326" s="65"/>
      <c r="Z326" s="67"/>
      <c r="AA326" s="67"/>
      <c r="AB326" s="67"/>
      <c r="AC326" s="67"/>
      <c r="AD326" s="67"/>
      <c r="AE326" s="67"/>
      <c r="AF326" s="67"/>
      <c r="AG326" s="67"/>
      <c r="AH326" s="67"/>
      <c r="AI326" s="67"/>
      <c r="AJ326" s="67"/>
      <c r="AK326" s="67"/>
      <c r="AL326" s="67"/>
      <c r="AM326" s="67"/>
      <c r="AN326" s="67"/>
      <c r="AO326" s="70"/>
      <c r="AP326" s="70"/>
      <c r="AQ326" s="70"/>
      <c r="AR326" s="70"/>
      <c r="AS326" s="70"/>
      <c r="AT326" s="70"/>
      <c r="AU326" s="70"/>
      <c r="AV326" s="70"/>
      <c r="AW326" s="70"/>
      <c r="AX326" s="70"/>
    </row>
    <row r="327" ht="15.75" customHeight="1">
      <c r="A327" s="65" t="s">
        <v>263</v>
      </c>
      <c r="B327" s="227" t="s">
        <v>2401</v>
      </c>
      <c r="C327" s="28" t="s">
        <v>2405</v>
      </c>
      <c r="D327" s="28" t="s">
        <v>2406</v>
      </c>
      <c r="E327" s="28" t="s">
        <v>2407</v>
      </c>
      <c r="F327" s="28"/>
      <c r="G327" s="28"/>
      <c r="H327" s="28"/>
      <c r="I327" s="28"/>
      <c r="J327" s="28"/>
      <c r="K327" s="183" t="s">
        <v>4032</v>
      </c>
      <c r="L327" s="28"/>
      <c r="M327" s="28"/>
      <c r="N327" s="28"/>
      <c r="O327" s="65"/>
      <c r="P327" s="65"/>
      <c r="Q327" s="65" t="s">
        <v>145</v>
      </c>
      <c r="R327" s="67"/>
      <c r="S327" s="67"/>
      <c r="T327" s="67"/>
      <c r="U327" s="67"/>
      <c r="V327" s="67"/>
      <c r="W327" s="67"/>
      <c r="X327" s="67"/>
      <c r="Y327" s="65"/>
      <c r="Z327" s="67"/>
      <c r="AA327" s="67"/>
      <c r="AB327" s="67"/>
      <c r="AC327" s="67"/>
      <c r="AD327" s="67"/>
      <c r="AE327" s="67"/>
      <c r="AF327" s="67"/>
      <c r="AG327" s="67"/>
      <c r="AH327" s="67"/>
      <c r="AI327" s="67"/>
      <c r="AJ327" s="67"/>
      <c r="AK327" s="67"/>
      <c r="AL327" s="67"/>
      <c r="AM327" s="67"/>
      <c r="AN327" s="67"/>
      <c r="AO327" s="70"/>
      <c r="AP327" s="70"/>
      <c r="AQ327" s="70"/>
      <c r="AR327" s="70"/>
      <c r="AS327" s="70"/>
      <c r="AT327" s="70"/>
      <c r="AU327" s="70"/>
      <c r="AV327" s="70"/>
      <c r="AW327" s="70"/>
      <c r="AX327" s="70"/>
    </row>
    <row r="328" ht="15.75" customHeight="1">
      <c r="A328" s="65" t="s">
        <v>1015</v>
      </c>
      <c r="B328" s="218" t="s">
        <v>2382</v>
      </c>
      <c r="C328" s="28"/>
      <c r="D328" s="28"/>
      <c r="E328" s="28"/>
      <c r="F328" s="28"/>
      <c r="G328" s="28"/>
      <c r="H328" s="28"/>
      <c r="I328" s="28"/>
      <c r="J328" s="28"/>
      <c r="K328" s="28"/>
      <c r="L328" s="28"/>
      <c r="M328" s="28"/>
      <c r="N328" s="28"/>
      <c r="O328" s="65"/>
      <c r="P328" s="65"/>
      <c r="Q328" s="65"/>
      <c r="R328" s="67"/>
      <c r="S328" s="67"/>
      <c r="T328" s="67"/>
      <c r="U328" s="65"/>
      <c r="V328" s="67"/>
      <c r="W328" s="67"/>
      <c r="X328" s="67"/>
      <c r="Y328" s="65"/>
      <c r="Z328" s="67"/>
      <c r="AA328" s="67"/>
      <c r="AB328" s="67"/>
      <c r="AC328" s="67"/>
      <c r="AD328" s="67"/>
      <c r="AE328" s="67"/>
      <c r="AF328" s="67"/>
      <c r="AG328" s="67"/>
      <c r="AH328" s="67"/>
      <c r="AI328" s="67"/>
      <c r="AJ328" s="67"/>
      <c r="AK328" s="67"/>
      <c r="AL328" s="67"/>
      <c r="AM328" s="67"/>
      <c r="AN328" s="67"/>
      <c r="AO328" s="70"/>
      <c r="AP328" s="70"/>
      <c r="AQ328" s="70"/>
      <c r="AR328" s="70"/>
      <c r="AS328" s="70"/>
      <c r="AT328" s="70"/>
      <c r="AU328" s="70"/>
      <c r="AV328" s="70"/>
      <c r="AW328" s="70"/>
      <c r="AX328" s="70"/>
    </row>
    <row r="329" ht="15.75" customHeight="1">
      <c r="A329" s="65" t="s">
        <v>237</v>
      </c>
      <c r="B329" s="218" t="s">
        <v>2287</v>
      </c>
      <c r="C329" s="28"/>
      <c r="D329" s="28"/>
      <c r="E329" s="28"/>
      <c r="F329" s="28"/>
      <c r="G329" s="28"/>
      <c r="H329" s="28"/>
      <c r="I329" s="28"/>
      <c r="J329" s="28"/>
      <c r="K329" s="28"/>
      <c r="L329" s="28"/>
      <c r="M329" s="28"/>
      <c r="N329" s="28"/>
      <c r="O329" s="67"/>
      <c r="P329" s="67"/>
      <c r="Q329" s="67"/>
      <c r="R329" s="67"/>
      <c r="S329" s="67"/>
      <c r="T329" s="67"/>
      <c r="U329" s="67"/>
      <c r="V329" s="67"/>
      <c r="W329" s="67"/>
      <c r="X329" s="67"/>
      <c r="Y329" s="67"/>
      <c r="Z329" s="67"/>
      <c r="AA329" s="67"/>
      <c r="AB329" s="67"/>
      <c r="AC329" s="67"/>
      <c r="AD329" s="67"/>
      <c r="AE329" s="67"/>
      <c r="AF329" s="67"/>
      <c r="AG329" s="67"/>
      <c r="AH329" s="67"/>
      <c r="AI329" s="67"/>
      <c r="AJ329" s="67"/>
      <c r="AK329" s="67"/>
      <c r="AL329" s="67"/>
      <c r="AM329" s="67"/>
      <c r="AN329" s="67"/>
      <c r="AO329" s="70"/>
      <c r="AP329" s="70"/>
      <c r="AQ329" s="70"/>
      <c r="AR329" s="70"/>
      <c r="AS329" s="70"/>
      <c r="AT329" s="70"/>
      <c r="AU329" s="70"/>
      <c r="AV329" s="70"/>
      <c r="AW329" s="70"/>
      <c r="AX329" s="70"/>
    </row>
    <row r="330" ht="15.75" customHeight="1">
      <c r="A330" s="65" t="s">
        <v>134</v>
      </c>
      <c r="B330" s="66" t="s">
        <v>2416</v>
      </c>
      <c r="C330" s="28"/>
      <c r="D330" s="28"/>
      <c r="E330" s="28"/>
      <c r="F330" s="28"/>
      <c r="G330" s="28"/>
      <c r="H330" s="28"/>
      <c r="I330" s="28"/>
      <c r="J330" s="28"/>
      <c r="K330" s="28"/>
      <c r="L330" s="28"/>
      <c r="M330" s="28"/>
      <c r="N330" s="28"/>
      <c r="O330" s="67"/>
      <c r="P330" s="68"/>
      <c r="Q330" s="68"/>
      <c r="R330" s="67"/>
      <c r="S330" s="67"/>
      <c r="T330" s="65" t="s">
        <v>139</v>
      </c>
      <c r="U330" s="67"/>
      <c r="V330" s="67"/>
      <c r="W330" s="67"/>
      <c r="X330" s="67"/>
      <c r="Y330" s="67"/>
      <c r="Z330" s="67"/>
      <c r="AA330" s="67"/>
      <c r="AB330" s="67"/>
      <c r="AC330" s="67"/>
      <c r="AD330" s="67"/>
      <c r="AE330" s="67"/>
      <c r="AF330" s="67"/>
      <c r="AG330" s="67"/>
      <c r="AH330" s="67"/>
      <c r="AI330" s="67"/>
      <c r="AJ330" s="67"/>
      <c r="AK330" s="67"/>
      <c r="AL330" s="67"/>
      <c r="AM330" s="67"/>
      <c r="AN330" s="67"/>
      <c r="AO330" s="67"/>
      <c r="AP330" s="67"/>
      <c r="AQ330" s="67"/>
      <c r="AR330" s="67"/>
      <c r="AS330" s="67"/>
      <c r="AT330" s="67"/>
      <c r="AU330" s="67"/>
      <c r="AV330" s="67"/>
      <c r="AW330" s="67"/>
      <c r="AX330" s="67"/>
    </row>
    <row r="331" ht="15.75" customHeight="1">
      <c r="A331" s="58" t="s">
        <v>78</v>
      </c>
      <c r="B331" s="58" t="s">
        <v>2421</v>
      </c>
      <c r="C331" s="28"/>
      <c r="D331" s="28"/>
      <c r="E331" s="28"/>
      <c r="F331" s="28"/>
      <c r="G331" s="28"/>
      <c r="H331" s="28"/>
      <c r="I331" s="28"/>
      <c r="J331" s="28"/>
      <c r="K331" s="28"/>
      <c r="L331" s="28"/>
      <c r="M331" s="28"/>
      <c r="N331" s="28"/>
      <c r="O331" s="58"/>
      <c r="P331" s="24"/>
      <c r="Q331" s="24"/>
      <c r="R331" s="24"/>
      <c r="S331" s="24"/>
      <c r="T331" s="58" t="s">
        <v>4088</v>
      </c>
      <c r="U331" s="24"/>
      <c r="V331" s="24"/>
      <c r="W331" s="24"/>
      <c r="X331" s="24"/>
      <c r="Y331" s="24"/>
      <c r="Z331" s="24"/>
      <c r="AA331" s="24"/>
      <c r="AB331" s="24"/>
      <c r="AC331" s="24"/>
      <c r="AD331" s="24"/>
      <c r="AE331" s="24"/>
      <c r="AF331" s="24"/>
      <c r="AG331" s="24"/>
      <c r="AH331" s="24"/>
      <c r="AI331" s="24"/>
      <c r="AJ331" s="24"/>
      <c r="AK331" s="24"/>
      <c r="AL331" s="24"/>
      <c r="AM331" s="24"/>
      <c r="AN331" s="24"/>
      <c r="AO331" s="24"/>
      <c r="AP331" s="24"/>
      <c r="AQ331" s="24"/>
      <c r="AR331" s="24"/>
      <c r="AS331" s="24"/>
      <c r="AT331" s="24"/>
      <c r="AU331" s="24"/>
      <c r="AV331" s="24"/>
      <c r="AW331" s="24"/>
      <c r="AX331" s="24"/>
    </row>
    <row r="332">
      <c r="A332" s="214"/>
      <c r="B332" s="66"/>
      <c r="C332" s="28"/>
      <c r="D332" s="28"/>
      <c r="E332" s="28"/>
      <c r="F332" s="28"/>
      <c r="G332" s="28"/>
      <c r="H332" s="28"/>
      <c r="I332" s="28"/>
      <c r="J332" s="28"/>
      <c r="K332" s="28"/>
      <c r="L332" s="28"/>
      <c r="M332" s="28"/>
      <c r="N332" s="28"/>
      <c r="O332" s="136"/>
      <c r="P332" s="136"/>
      <c r="Q332" s="136"/>
      <c r="R332" s="136"/>
      <c r="S332" s="136"/>
      <c r="T332" s="65"/>
      <c r="U332" s="136"/>
      <c r="V332" s="136"/>
      <c r="W332" s="136"/>
      <c r="X332" s="136"/>
      <c r="Y332" s="136"/>
      <c r="Z332" s="136"/>
      <c r="AA332" s="136"/>
      <c r="AB332" s="136"/>
      <c r="AC332" s="136"/>
      <c r="AD332" s="136"/>
      <c r="AE332" s="136"/>
      <c r="AF332" s="136"/>
      <c r="AG332" s="136"/>
      <c r="AH332" s="136"/>
      <c r="AI332" s="136"/>
      <c r="AJ332" s="136"/>
      <c r="AK332" s="136"/>
      <c r="AL332" s="136"/>
      <c r="AM332" s="136"/>
      <c r="AN332" s="136"/>
      <c r="AO332" s="136"/>
      <c r="AP332" s="136"/>
      <c r="AQ332" s="136"/>
      <c r="AR332" s="136"/>
      <c r="AS332" s="136"/>
      <c r="AT332" s="136"/>
      <c r="AU332" s="136"/>
      <c r="AV332" s="136"/>
      <c r="AW332" s="136"/>
      <c r="AX332" s="136"/>
    </row>
    <row r="333">
      <c r="A333" s="214" t="s">
        <v>134</v>
      </c>
      <c r="B333" s="66" t="s">
        <v>2430</v>
      </c>
      <c r="C333" s="28"/>
      <c r="D333" s="28"/>
      <c r="E333" s="28"/>
      <c r="F333" s="28"/>
      <c r="G333" s="28"/>
      <c r="H333" s="28"/>
      <c r="I333" s="28"/>
      <c r="J333" s="28"/>
      <c r="K333" s="28"/>
      <c r="L333" s="28"/>
      <c r="M333" s="28"/>
      <c r="N333" s="28"/>
      <c r="O333" s="136"/>
      <c r="P333" s="136"/>
      <c r="Q333" s="136"/>
      <c r="R333" s="136"/>
      <c r="S333" s="136"/>
      <c r="T333" s="65" t="s">
        <v>139</v>
      </c>
      <c r="U333" s="136"/>
      <c r="V333" s="136"/>
      <c r="W333" s="136"/>
      <c r="X333" s="136"/>
      <c r="Y333" s="136"/>
      <c r="Z333" s="136"/>
      <c r="AA333" s="136"/>
      <c r="AB333" s="136"/>
      <c r="AC333" s="136"/>
      <c r="AD333" s="136"/>
      <c r="AE333" s="136"/>
      <c r="AF333" s="136"/>
      <c r="AG333" s="136"/>
      <c r="AH333" s="136"/>
      <c r="AI333" s="136"/>
      <c r="AJ333" s="136"/>
      <c r="AK333" s="136"/>
      <c r="AL333" s="136"/>
      <c r="AM333" s="136"/>
      <c r="AN333" s="136"/>
      <c r="AO333" s="136"/>
      <c r="AP333" s="136"/>
      <c r="AQ333" s="136"/>
      <c r="AR333" s="136"/>
      <c r="AS333" s="136"/>
      <c r="AT333" s="136"/>
      <c r="AU333" s="136"/>
      <c r="AV333" s="136"/>
      <c r="AW333" s="136"/>
      <c r="AX333" s="136"/>
    </row>
    <row r="334" ht="15.75" customHeight="1">
      <c r="A334" s="166" t="s">
        <v>41</v>
      </c>
      <c r="B334" s="167" t="s">
        <v>2435</v>
      </c>
      <c r="C334" s="28" t="s">
        <v>2439</v>
      </c>
      <c r="D334" s="28" t="s">
        <v>2440</v>
      </c>
      <c r="E334" s="28" t="s">
        <v>2441</v>
      </c>
      <c r="F334" s="28"/>
      <c r="G334" s="28"/>
      <c r="H334" s="28"/>
      <c r="I334" s="28"/>
      <c r="J334" s="28"/>
      <c r="K334" s="28"/>
      <c r="L334" s="28"/>
      <c r="M334" s="28"/>
      <c r="N334" s="28"/>
      <c r="O334" s="126"/>
      <c r="P334" s="126"/>
      <c r="Q334" s="126"/>
      <c r="R334" s="126"/>
      <c r="S334" s="126"/>
      <c r="T334" s="126"/>
      <c r="U334" s="126"/>
      <c r="V334" s="126"/>
      <c r="W334" s="126"/>
      <c r="X334" s="126"/>
      <c r="Y334" s="126"/>
      <c r="Z334" s="126"/>
      <c r="AA334" s="126"/>
      <c r="AB334" s="126"/>
      <c r="AC334" s="126"/>
      <c r="AD334" s="126"/>
      <c r="AE334" s="126"/>
      <c r="AF334" s="126"/>
      <c r="AG334" s="126"/>
      <c r="AH334" s="126"/>
      <c r="AI334" s="126"/>
      <c r="AJ334" s="126"/>
      <c r="AK334" s="126"/>
      <c r="AL334" s="126"/>
      <c r="AM334" s="126"/>
      <c r="AN334" s="126"/>
      <c r="AO334" s="70"/>
      <c r="AP334" s="70"/>
      <c r="AQ334" s="70"/>
      <c r="AR334" s="70"/>
      <c r="AS334" s="70"/>
      <c r="AT334" s="70"/>
      <c r="AU334" s="70"/>
      <c r="AV334" s="70"/>
      <c r="AW334" s="70"/>
      <c r="AX334" s="70"/>
    </row>
    <row r="335" ht="15.75" customHeight="1">
      <c r="A335" s="65" t="s">
        <v>41</v>
      </c>
      <c r="B335" s="65" t="s">
        <v>2443</v>
      </c>
      <c r="C335" s="28" t="s">
        <v>2447</v>
      </c>
      <c r="D335" s="28" t="s">
        <v>2448</v>
      </c>
      <c r="E335" s="28" t="s">
        <v>2450</v>
      </c>
      <c r="F335" s="28"/>
      <c r="G335" s="28"/>
      <c r="H335" s="28"/>
      <c r="I335" s="28"/>
      <c r="J335" s="28"/>
      <c r="K335" s="28"/>
      <c r="L335" s="28"/>
      <c r="M335" s="28"/>
      <c r="N335" s="28"/>
      <c r="O335" s="67"/>
      <c r="P335" s="67"/>
      <c r="Q335" s="67"/>
      <c r="R335" s="67"/>
      <c r="S335" s="67"/>
      <c r="T335" s="67"/>
      <c r="U335" s="67"/>
      <c r="V335" s="67"/>
      <c r="W335" s="67"/>
      <c r="X335" s="67"/>
      <c r="Y335" s="67"/>
      <c r="Z335" s="67"/>
      <c r="AA335" s="67"/>
      <c r="AB335" s="67"/>
      <c r="AC335" s="67"/>
      <c r="AD335" s="67"/>
      <c r="AE335" s="67"/>
      <c r="AF335" s="67"/>
      <c r="AG335" s="67"/>
      <c r="AH335" s="67"/>
      <c r="AI335" s="67"/>
      <c r="AJ335" s="67"/>
      <c r="AK335" s="67"/>
      <c r="AL335" s="67"/>
      <c r="AM335" s="67"/>
      <c r="AN335" s="67"/>
      <c r="AO335" s="70"/>
      <c r="AP335" s="70"/>
      <c r="AQ335" s="70"/>
      <c r="AR335" s="70"/>
      <c r="AS335" s="70"/>
      <c r="AT335" s="70"/>
      <c r="AU335" s="70"/>
      <c r="AV335" s="70"/>
      <c r="AW335" s="70"/>
      <c r="AX335" s="70"/>
    </row>
    <row r="336" ht="15.75" customHeight="1">
      <c r="A336" s="68" t="s">
        <v>463</v>
      </c>
      <c r="B336" s="169" t="s">
        <v>2451</v>
      </c>
      <c r="C336" s="28" t="s">
        <v>2456</v>
      </c>
      <c r="D336" s="28" t="s">
        <v>2457</v>
      </c>
      <c r="E336" s="28" t="s">
        <v>2458</v>
      </c>
      <c r="F336" s="28"/>
      <c r="G336" s="28"/>
      <c r="H336" s="28"/>
      <c r="I336" s="28"/>
      <c r="J336" s="28"/>
      <c r="K336" s="28"/>
      <c r="L336" s="28"/>
      <c r="M336" s="28"/>
      <c r="N336" s="28"/>
      <c r="O336" s="67"/>
      <c r="P336" s="67"/>
      <c r="Q336" s="67" t="s">
        <v>145</v>
      </c>
      <c r="R336" s="67"/>
      <c r="S336" s="67"/>
      <c r="T336" s="67"/>
      <c r="U336" s="67"/>
      <c r="V336" s="67"/>
      <c r="W336" s="67"/>
      <c r="X336" s="67"/>
      <c r="Y336" s="67"/>
      <c r="Z336" s="67"/>
      <c r="AA336" s="67"/>
      <c r="AB336" s="67"/>
      <c r="AC336" s="67"/>
      <c r="AD336" s="67"/>
      <c r="AE336" s="67"/>
      <c r="AF336" s="67"/>
      <c r="AG336" s="67"/>
      <c r="AH336" s="67"/>
      <c r="AI336" s="67"/>
      <c r="AJ336" s="67"/>
      <c r="AK336" s="67"/>
      <c r="AL336" s="67"/>
      <c r="AM336" s="67"/>
      <c r="AN336" s="67"/>
      <c r="AO336" s="70"/>
      <c r="AP336" s="70"/>
      <c r="AQ336" s="70"/>
      <c r="AR336" s="70"/>
      <c r="AS336" s="70"/>
      <c r="AT336" s="70"/>
      <c r="AU336" s="70"/>
      <c r="AV336" s="70"/>
      <c r="AW336" s="70"/>
      <c r="AX336" s="70"/>
    </row>
    <row r="337" ht="15.75" customHeight="1">
      <c r="A337" s="68" t="s">
        <v>463</v>
      </c>
      <c r="B337" s="169" t="s">
        <v>2459</v>
      </c>
      <c r="C337" s="28" t="s">
        <v>2463</v>
      </c>
      <c r="D337" s="28" t="s">
        <v>2464</v>
      </c>
      <c r="E337" s="28" t="s">
        <v>2465</v>
      </c>
      <c r="F337" s="28"/>
      <c r="G337" s="28"/>
      <c r="H337" s="28"/>
      <c r="I337" s="28"/>
      <c r="J337" s="28"/>
      <c r="K337" s="28"/>
      <c r="L337" s="28"/>
      <c r="M337" s="28"/>
      <c r="N337" s="28"/>
      <c r="O337" s="67" t="s">
        <v>4171</v>
      </c>
      <c r="P337" s="67"/>
      <c r="Q337" s="67" t="s">
        <v>145</v>
      </c>
      <c r="R337" s="67"/>
      <c r="S337" s="67"/>
      <c r="T337" s="67"/>
      <c r="U337" s="67"/>
      <c r="V337" s="67"/>
      <c r="W337" s="67"/>
      <c r="X337" s="67"/>
      <c r="Y337" s="67"/>
      <c r="Z337" s="67"/>
      <c r="AA337" s="67"/>
      <c r="AB337" s="67"/>
      <c r="AC337" s="67"/>
      <c r="AD337" s="67"/>
      <c r="AE337" s="67"/>
      <c r="AF337" s="67"/>
      <c r="AG337" s="67"/>
      <c r="AH337" s="67"/>
      <c r="AI337" s="67"/>
      <c r="AJ337" s="67"/>
      <c r="AK337" s="67"/>
      <c r="AL337" s="67"/>
      <c r="AM337" s="67"/>
      <c r="AN337" s="67"/>
      <c r="AO337" s="70"/>
      <c r="AP337" s="70"/>
      <c r="AQ337" s="70"/>
      <c r="AR337" s="70"/>
      <c r="AS337" s="70"/>
      <c r="AT337" s="70"/>
      <c r="AU337" s="70"/>
      <c r="AV337" s="70"/>
      <c r="AW337" s="70"/>
      <c r="AX337" s="70"/>
    </row>
    <row r="338" ht="15.75" customHeight="1">
      <c r="A338" s="68" t="s">
        <v>738</v>
      </c>
      <c r="B338" s="169" t="s">
        <v>2466</v>
      </c>
      <c r="C338" s="28" t="s">
        <v>2472</v>
      </c>
      <c r="D338" s="28" t="s">
        <v>2473</v>
      </c>
      <c r="E338" s="28" t="s">
        <v>2474</v>
      </c>
      <c r="F338" s="28"/>
      <c r="G338" s="28"/>
      <c r="H338" s="28"/>
      <c r="I338" s="28"/>
      <c r="J338" s="28"/>
      <c r="K338" s="28"/>
      <c r="L338" s="28"/>
      <c r="M338" s="28"/>
      <c r="N338" s="28"/>
      <c r="O338" s="67" t="s">
        <v>4189</v>
      </c>
      <c r="P338" s="67"/>
      <c r="Q338" s="67" t="s">
        <v>145</v>
      </c>
      <c r="R338" s="67"/>
      <c r="S338" s="67"/>
      <c r="T338" s="67"/>
      <c r="U338" s="67"/>
      <c r="V338" s="67"/>
      <c r="W338" s="67"/>
      <c r="X338" s="67"/>
      <c r="Y338" s="67"/>
      <c r="Z338" s="67"/>
      <c r="AA338" s="67"/>
      <c r="AB338" s="67"/>
      <c r="AC338" s="67"/>
      <c r="AD338" s="67"/>
      <c r="AE338" s="67"/>
      <c r="AF338" s="67"/>
      <c r="AG338" s="67"/>
      <c r="AH338" s="67"/>
      <c r="AI338" s="67"/>
      <c r="AJ338" s="67"/>
      <c r="AK338" s="67"/>
      <c r="AL338" s="67"/>
      <c r="AM338" s="67"/>
      <c r="AN338" s="67"/>
      <c r="AO338" s="70"/>
      <c r="AP338" s="70"/>
      <c r="AQ338" s="70"/>
      <c r="AR338" s="70"/>
      <c r="AS338" s="70"/>
      <c r="AT338" s="70"/>
      <c r="AU338" s="70"/>
      <c r="AV338" s="70"/>
      <c r="AW338" s="70"/>
      <c r="AX338" s="70"/>
    </row>
    <row r="339" ht="15.75" customHeight="1">
      <c r="A339" s="68" t="s">
        <v>749</v>
      </c>
      <c r="B339" s="169" t="s">
        <v>2475</v>
      </c>
      <c r="C339" s="28" t="s">
        <v>2479</v>
      </c>
      <c r="D339" s="28" t="s">
        <v>2481</v>
      </c>
      <c r="E339" s="28" t="s">
        <v>2482</v>
      </c>
      <c r="F339" s="28"/>
      <c r="G339" s="28"/>
      <c r="H339" s="28"/>
      <c r="I339" s="28"/>
      <c r="J339" s="28"/>
      <c r="K339" s="28"/>
      <c r="L339" s="28"/>
      <c r="M339" s="28"/>
      <c r="N339" s="28"/>
      <c r="O339" s="67" t="s">
        <v>4198</v>
      </c>
      <c r="P339" s="67"/>
      <c r="Q339" s="67" t="s">
        <v>145</v>
      </c>
      <c r="R339" s="67"/>
      <c r="S339" s="67"/>
      <c r="T339" s="67"/>
      <c r="U339" s="67"/>
      <c r="V339" s="67"/>
      <c r="W339" s="67"/>
      <c r="X339" s="67"/>
      <c r="Y339" s="65" t="s">
        <v>4203</v>
      </c>
      <c r="Z339" s="67"/>
      <c r="AA339" s="67"/>
      <c r="AB339" s="67"/>
      <c r="AC339" s="67"/>
      <c r="AD339" s="67"/>
      <c r="AE339" s="67"/>
      <c r="AF339" s="67"/>
      <c r="AG339" s="67"/>
      <c r="AH339" s="67"/>
      <c r="AI339" s="67"/>
      <c r="AJ339" s="67"/>
      <c r="AK339" s="67"/>
      <c r="AL339" s="67"/>
      <c r="AM339" s="67"/>
      <c r="AN339" s="67"/>
      <c r="AO339" s="70"/>
      <c r="AP339" s="70"/>
      <c r="AQ339" s="70"/>
      <c r="AR339" s="70"/>
      <c r="AS339" s="70"/>
      <c r="AT339" s="70"/>
      <c r="AU339" s="70"/>
      <c r="AV339" s="70"/>
      <c r="AW339" s="70"/>
      <c r="AX339" s="70"/>
    </row>
    <row r="340" ht="15.75" customHeight="1">
      <c r="A340" s="179" t="s">
        <v>246</v>
      </c>
      <c r="B340" s="180" t="s">
        <v>2483</v>
      </c>
      <c r="C340" s="28" t="s">
        <v>2488</v>
      </c>
      <c r="D340" s="28" t="s">
        <v>2489</v>
      </c>
      <c r="E340" s="28" t="s">
        <v>2490</v>
      </c>
      <c r="F340" s="28"/>
      <c r="G340" s="28"/>
      <c r="H340" s="28"/>
      <c r="I340" s="28"/>
      <c r="J340" s="28"/>
      <c r="K340" s="28"/>
      <c r="L340" s="28"/>
      <c r="M340" s="28"/>
      <c r="N340" s="28"/>
      <c r="O340" s="181" t="s">
        <v>4218</v>
      </c>
      <c r="P340" s="181"/>
      <c r="Q340" s="181" t="s">
        <v>145</v>
      </c>
      <c r="R340" s="181"/>
      <c r="S340" s="181"/>
      <c r="T340" s="181"/>
      <c r="U340" s="181"/>
      <c r="V340" s="181"/>
      <c r="W340" s="181"/>
      <c r="X340" s="181"/>
      <c r="Y340" s="181"/>
      <c r="Z340" s="181"/>
      <c r="AA340" s="181"/>
      <c r="AB340" s="181"/>
      <c r="AC340" s="181"/>
      <c r="AD340" s="181"/>
      <c r="AE340" s="181"/>
      <c r="AF340" s="181"/>
      <c r="AG340" s="181"/>
      <c r="AH340" s="181"/>
      <c r="AI340" s="181"/>
      <c r="AJ340" s="181"/>
      <c r="AK340" s="181"/>
      <c r="AL340" s="181"/>
      <c r="AM340" s="181"/>
      <c r="AN340" s="181"/>
      <c r="AO340" s="70"/>
      <c r="AP340" s="70"/>
      <c r="AQ340" s="70"/>
      <c r="AR340" s="70"/>
      <c r="AS340" s="70"/>
      <c r="AT340" s="70"/>
      <c r="AU340" s="70"/>
      <c r="AV340" s="70"/>
      <c r="AW340" s="70"/>
      <c r="AX340" s="70"/>
    </row>
    <row r="341" ht="15.75" customHeight="1">
      <c r="A341" s="68" t="s">
        <v>785</v>
      </c>
      <c r="B341" s="169" t="s">
        <v>2491</v>
      </c>
      <c r="C341" s="28" t="s">
        <v>2496</v>
      </c>
      <c r="D341" s="28" t="s">
        <v>2497</v>
      </c>
      <c r="E341" s="28" t="s">
        <v>2498</v>
      </c>
      <c r="F341" s="28"/>
      <c r="G341" s="28"/>
      <c r="H341" s="28"/>
      <c r="I341" s="28"/>
      <c r="J341" s="28" t="s">
        <v>4245</v>
      </c>
      <c r="K341" s="28"/>
      <c r="L341" s="28"/>
      <c r="M341" s="28"/>
      <c r="N341" s="28"/>
      <c r="O341" s="65" t="s">
        <v>4247</v>
      </c>
      <c r="P341" s="67"/>
      <c r="Q341" s="67" t="s">
        <v>145</v>
      </c>
      <c r="R341" s="67"/>
      <c r="S341" s="67"/>
      <c r="T341" s="67"/>
      <c r="U341" s="67"/>
      <c r="V341" s="67"/>
      <c r="W341" s="67"/>
      <c r="X341" s="67"/>
      <c r="Y341" s="67"/>
      <c r="Z341" s="67"/>
      <c r="AA341" s="67"/>
      <c r="AB341" s="67"/>
      <c r="AC341" s="67"/>
      <c r="AD341" s="67"/>
      <c r="AE341" s="67"/>
      <c r="AF341" s="67"/>
      <c r="AG341" s="67"/>
      <c r="AH341" s="67"/>
      <c r="AI341" s="67"/>
      <c r="AJ341" s="67"/>
      <c r="AK341" s="67"/>
      <c r="AL341" s="67"/>
      <c r="AM341" s="67"/>
      <c r="AN341" s="67"/>
      <c r="AO341" s="70"/>
      <c r="AP341" s="70"/>
      <c r="AQ341" s="70"/>
      <c r="AR341" s="70"/>
      <c r="AS341" s="70"/>
      <c r="AT341" s="70"/>
      <c r="AU341" s="70"/>
      <c r="AV341" s="70"/>
      <c r="AW341" s="70"/>
      <c r="AX341" s="70"/>
    </row>
    <row r="342" ht="15.75" customHeight="1">
      <c r="A342" s="179" t="s">
        <v>246</v>
      </c>
      <c r="B342" s="180" t="s">
        <v>2499</v>
      </c>
      <c r="C342" s="28" t="s">
        <v>2503</v>
      </c>
      <c r="D342" s="28" t="s">
        <v>2504</v>
      </c>
      <c r="E342" s="28" t="s">
        <v>2505</v>
      </c>
      <c r="F342" s="28"/>
      <c r="G342" s="28"/>
      <c r="H342" s="28"/>
      <c r="I342" s="28"/>
      <c r="J342" s="28"/>
      <c r="K342" s="28"/>
      <c r="L342" s="28"/>
      <c r="M342" s="28"/>
      <c r="N342" s="28"/>
      <c r="O342" s="181" t="s">
        <v>4259</v>
      </c>
      <c r="P342" s="181"/>
      <c r="Q342" s="181"/>
      <c r="R342" s="181"/>
      <c r="S342" s="181"/>
      <c r="T342" s="181"/>
      <c r="U342" s="181"/>
      <c r="V342" s="181"/>
      <c r="W342" s="181"/>
      <c r="X342" s="181"/>
      <c r="Y342" s="181"/>
      <c r="Z342" s="181"/>
      <c r="AA342" s="181"/>
      <c r="AB342" s="181"/>
      <c r="AC342" s="181"/>
      <c r="AD342" s="96"/>
      <c r="AE342" s="96"/>
      <c r="AF342" s="96"/>
      <c r="AG342" s="96"/>
      <c r="AH342" s="96"/>
      <c r="AI342" s="96"/>
      <c r="AJ342" s="96"/>
      <c r="AK342" s="96"/>
      <c r="AL342" s="96"/>
      <c r="AM342" s="96"/>
      <c r="AN342" s="96"/>
      <c r="AO342" s="70"/>
      <c r="AP342" s="70"/>
      <c r="AQ342" s="70"/>
      <c r="AR342" s="70"/>
      <c r="AS342" s="70"/>
      <c r="AT342" s="70"/>
      <c r="AU342" s="70"/>
      <c r="AV342" s="70"/>
      <c r="AW342" s="70"/>
      <c r="AX342" s="70"/>
    </row>
    <row r="343" ht="15.75" customHeight="1">
      <c r="A343" s="90" t="s">
        <v>78</v>
      </c>
      <c r="B343" s="92" t="s">
        <v>2506</v>
      </c>
      <c r="C343" s="28"/>
      <c r="D343" s="28"/>
      <c r="E343" s="28"/>
      <c r="F343" s="28"/>
      <c r="G343" s="28"/>
      <c r="H343" s="28"/>
      <c r="I343" s="28"/>
      <c r="J343" s="28"/>
      <c r="K343" s="28"/>
      <c r="L343" s="28"/>
      <c r="M343" s="28"/>
      <c r="N343" s="28"/>
      <c r="O343" s="96"/>
      <c r="P343" s="96"/>
      <c r="Q343" s="96"/>
      <c r="R343" s="96"/>
      <c r="S343" s="96"/>
      <c r="T343" s="178" t="s">
        <v>4277</v>
      </c>
      <c r="U343" s="96"/>
      <c r="V343" s="96"/>
      <c r="W343" s="96"/>
      <c r="X343" s="96"/>
      <c r="Y343" s="96"/>
      <c r="Z343" s="96"/>
      <c r="AA343" s="96"/>
      <c r="AB343" s="96"/>
      <c r="AC343" s="96"/>
      <c r="AD343" s="96"/>
      <c r="AE343" s="96"/>
      <c r="AF343" s="96"/>
      <c r="AG343" s="96"/>
      <c r="AH343" s="96"/>
      <c r="AI343" s="96"/>
      <c r="AJ343" s="96"/>
      <c r="AK343" s="96"/>
      <c r="AL343" s="96"/>
      <c r="AM343" s="96"/>
      <c r="AN343" s="96"/>
      <c r="AO343" s="70"/>
      <c r="AP343" s="70"/>
      <c r="AQ343" s="70"/>
      <c r="AR343" s="70"/>
      <c r="AS343" s="70"/>
      <c r="AT343" s="70"/>
      <c r="AU343" s="70"/>
      <c r="AV343" s="70"/>
      <c r="AW343" s="70"/>
      <c r="AX343" s="70"/>
    </row>
    <row r="344" ht="15.75" customHeight="1">
      <c r="A344" s="90" t="s">
        <v>78</v>
      </c>
      <c r="B344" s="92" t="s">
        <v>2510</v>
      </c>
      <c r="C344" s="28"/>
      <c r="D344" s="28"/>
      <c r="E344" s="28"/>
      <c r="F344" s="28"/>
      <c r="G344" s="28"/>
      <c r="H344" s="28"/>
      <c r="I344" s="28"/>
      <c r="J344" s="28"/>
      <c r="K344" s="28"/>
      <c r="L344" s="28"/>
      <c r="M344" s="28"/>
      <c r="N344" s="28"/>
      <c r="O344" s="96"/>
      <c r="P344" s="96"/>
      <c r="Q344" s="96"/>
      <c r="R344" s="96"/>
      <c r="S344" s="96"/>
      <c r="T344" s="178" t="s">
        <v>4280</v>
      </c>
      <c r="U344" s="96"/>
      <c r="V344" s="96"/>
      <c r="W344" s="96"/>
      <c r="X344" s="96"/>
      <c r="Y344" s="96"/>
      <c r="Z344" s="96"/>
      <c r="AA344" s="96"/>
      <c r="AB344" s="96"/>
      <c r="AC344" s="96"/>
      <c r="AD344" s="96"/>
      <c r="AE344" s="96"/>
      <c r="AF344" s="96"/>
      <c r="AG344" s="96"/>
      <c r="AH344" s="96"/>
      <c r="AI344" s="96"/>
      <c r="AJ344" s="96"/>
      <c r="AK344" s="96"/>
      <c r="AL344" s="96"/>
      <c r="AM344" s="96"/>
      <c r="AN344" s="96"/>
      <c r="AO344" s="70"/>
      <c r="AP344" s="70"/>
      <c r="AQ344" s="70"/>
      <c r="AR344" s="70"/>
      <c r="AS344" s="70"/>
      <c r="AT344" s="70"/>
      <c r="AU344" s="70"/>
      <c r="AV344" s="70"/>
      <c r="AW344" s="70"/>
      <c r="AX344" s="70"/>
    </row>
    <row r="345" ht="15.75" customHeight="1">
      <c r="A345" s="90" t="s">
        <v>78</v>
      </c>
      <c r="B345" s="92" t="s">
        <v>2516</v>
      </c>
      <c r="C345" s="28"/>
      <c r="D345" s="28"/>
      <c r="E345" s="28"/>
      <c r="F345" s="28"/>
      <c r="G345" s="28"/>
      <c r="H345" s="28"/>
      <c r="I345" s="28"/>
      <c r="J345" s="28"/>
      <c r="K345" s="28"/>
      <c r="L345" s="28"/>
      <c r="M345" s="28"/>
      <c r="N345" s="28"/>
      <c r="O345" s="96"/>
      <c r="P345" s="96"/>
      <c r="Q345" s="96"/>
      <c r="R345" s="96"/>
      <c r="S345" s="96"/>
      <c r="T345" s="178" t="s">
        <v>4297</v>
      </c>
      <c r="U345" s="96"/>
      <c r="V345" s="96"/>
      <c r="W345" s="96"/>
      <c r="X345" s="96"/>
      <c r="Y345" s="96"/>
      <c r="Z345" s="96"/>
      <c r="AA345" s="96"/>
      <c r="AB345" s="96"/>
      <c r="AC345" s="96"/>
      <c r="AD345" s="96"/>
      <c r="AE345" s="96"/>
      <c r="AF345" s="96"/>
      <c r="AG345" s="96"/>
      <c r="AH345" s="96"/>
      <c r="AI345" s="96"/>
      <c r="AJ345" s="96"/>
      <c r="AK345" s="96"/>
      <c r="AL345" s="96"/>
      <c r="AM345" s="96"/>
      <c r="AN345" s="96"/>
      <c r="AO345" s="70"/>
      <c r="AP345" s="70"/>
      <c r="AQ345" s="70"/>
      <c r="AR345" s="70"/>
      <c r="AS345" s="70"/>
      <c r="AT345" s="70"/>
      <c r="AU345" s="70"/>
      <c r="AV345" s="70"/>
      <c r="AW345" s="70"/>
      <c r="AX345" s="70"/>
    </row>
    <row r="346" ht="15.75" customHeight="1">
      <c r="A346" s="90" t="s">
        <v>78</v>
      </c>
      <c r="B346" s="92" t="s">
        <v>2520</v>
      </c>
      <c r="C346" s="28"/>
      <c r="D346" s="28"/>
      <c r="E346" s="28"/>
      <c r="F346" s="28"/>
      <c r="G346" s="28"/>
      <c r="H346" s="28"/>
      <c r="I346" s="28"/>
      <c r="J346" s="28"/>
      <c r="K346" s="28"/>
      <c r="L346" s="28"/>
      <c r="M346" s="28"/>
      <c r="N346" s="28"/>
      <c r="O346" s="96"/>
      <c r="P346" s="96"/>
      <c r="Q346" s="96"/>
      <c r="R346" s="96"/>
      <c r="S346" s="96"/>
      <c r="T346" s="178" t="s">
        <v>4313</v>
      </c>
      <c r="U346" s="96"/>
      <c r="V346" s="96"/>
      <c r="W346" s="96"/>
      <c r="X346" s="96"/>
      <c r="Y346" s="96"/>
      <c r="Z346" s="96"/>
      <c r="AA346" s="96"/>
      <c r="AB346" s="96"/>
      <c r="AC346" s="96"/>
      <c r="AD346" s="96"/>
      <c r="AE346" s="96"/>
      <c r="AF346" s="96"/>
      <c r="AG346" s="96"/>
      <c r="AH346" s="96"/>
      <c r="AI346" s="96"/>
      <c r="AJ346" s="96"/>
      <c r="AK346" s="96"/>
      <c r="AL346" s="96"/>
      <c r="AM346" s="96"/>
      <c r="AN346" s="96"/>
      <c r="AO346" s="70"/>
      <c r="AP346" s="70"/>
      <c r="AQ346" s="70"/>
      <c r="AR346" s="70"/>
      <c r="AS346" s="70"/>
      <c r="AT346" s="70"/>
      <c r="AU346" s="70"/>
      <c r="AV346" s="70"/>
      <c r="AW346" s="70"/>
      <c r="AX346" s="70"/>
    </row>
    <row r="347" ht="15.75" customHeight="1">
      <c r="A347" s="150" t="s">
        <v>78</v>
      </c>
      <c r="B347" s="216" t="s">
        <v>2525</v>
      </c>
      <c r="C347" s="28"/>
      <c r="D347" s="28"/>
      <c r="E347" s="28"/>
      <c r="F347" s="28"/>
      <c r="G347" s="28"/>
      <c r="H347" s="28"/>
      <c r="I347" s="28"/>
      <c r="J347" s="28"/>
      <c r="K347" s="28"/>
      <c r="L347" s="28"/>
      <c r="M347" s="28"/>
      <c r="N347" s="28"/>
      <c r="O347" s="96"/>
      <c r="P347" s="96"/>
      <c r="Q347" s="96"/>
      <c r="R347" s="96"/>
      <c r="S347" s="96"/>
      <c r="T347" s="270" t="s">
        <v>4330</v>
      </c>
      <c r="U347" s="96"/>
      <c r="V347" s="96"/>
      <c r="W347" s="96"/>
      <c r="X347" s="96"/>
      <c r="Y347" s="96"/>
      <c r="Z347" s="96"/>
      <c r="AA347" s="96"/>
      <c r="AB347" s="96"/>
      <c r="AC347" s="96"/>
      <c r="AD347" s="67"/>
      <c r="AE347" s="67"/>
      <c r="AF347" s="67"/>
      <c r="AG347" s="67"/>
      <c r="AH347" s="67"/>
      <c r="AI347" s="67"/>
      <c r="AJ347" s="67"/>
      <c r="AK347" s="67"/>
      <c r="AL347" s="67"/>
      <c r="AM347" s="67"/>
      <c r="AN347" s="67"/>
      <c r="AO347" s="70"/>
      <c r="AP347" s="70"/>
      <c r="AQ347" s="70"/>
      <c r="AR347" s="70"/>
      <c r="AS347" s="70"/>
      <c r="AT347" s="70"/>
      <c r="AU347" s="70"/>
      <c r="AV347" s="70"/>
      <c r="AW347" s="70"/>
      <c r="AX347" s="70"/>
    </row>
    <row r="348" ht="15.75" customHeight="1">
      <c r="A348" s="68" t="s">
        <v>463</v>
      </c>
      <c r="B348" s="169" t="s">
        <v>2529</v>
      </c>
      <c r="C348" s="28" t="s">
        <v>2534</v>
      </c>
      <c r="D348" s="28" t="s">
        <v>2535</v>
      </c>
      <c r="E348" s="28" t="s">
        <v>2536</v>
      </c>
      <c r="F348" s="28"/>
      <c r="G348" s="28"/>
      <c r="H348" s="28"/>
      <c r="I348" s="28"/>
      <c r="J348" s="28"/>
      <c r="K348" s="28"/>
      <c r="L348" s="28"/>
      <c r="M348" s="28"/>
      <c r="N348" s="28"/>
      <c r="O348" s="67"/>
      <c r="P348" s="67"/>
      <c r="Q348" s="67" t="s">
        <v>145</v>
      </c>
      <c r="R348" s="67"/>
      <c r="S348" s="67"/>
      <c r="T348" s="67"/>
      <c r="U348" s="67"/>
      <c r="V348" s="67"/>
      <c r="W348" s="67"/>
      <c r="X348" s="67"/>
      <c r="Y348" s="67"/>
      <c r="Z348" s="67"/>
      <c r="AA348" s="67"/>
      <c r="AB348" s="67"/>
      <c r="AC348" s="67"/>
      <c r="AD348" s="67"/>
      <c r="AE348" s="67"/>
      <c r="AF348" s="67"/>
      <c r="AG348" s="67"/>
      <c r="AH348" s="67"/>
      <c r="AI348" s="67"/>
      <c r="AJ348" s="67"/>
      <c r="AK348" s="67"/>
      <c r="AL348" s="67"/>
      <c r="AM348" s="67"/>
      <c r="AN348" s="67"/>
      <c r="AO348" s="70"/>
      <c r="AP348" s="70"/>
      <c r="AQ348" s="70"/>
      <c r="AR348" s="70"/>
      <c r="AS348" s="70"/>
      <c r="AT348" s="70"/>
      <c r="AU348" s="70"/>
      <c r="AV348" s="70"/>
      <c r="AW348" s="70"/>
      <c r="AX348" s="70"/>
    </row>
    <row r="349" ht="15.75" customHeight="1">
      <c r="A349" s="68" t="s">
        <v>463</v>
      </c>
      <c r="B349" s="169" t="s">
        <v>2537</v>
      </c>
      <c r="C349" s="28" t="s">
        <v>2542</v>
      </c>
      <c r="D349" s="28" t="s">
        <v>2543</v>
      </c>
      <c r="E349" s="28" t="s">
        <v>2545</v>
      </c>
      <c r="F349" s="28"/>
      <c r="G349" s="28"/>
      <c r="H349" s="28"/>
      <c r="I349" s="28"/>
      <c r="J349" s="28"/>
      <c r="K349" s="28"/>
      <c r="L349" s="28"/>
      <c r="M349" s="28"/>
      <c r="N349" s="28"/>
      <c r="O349" s="67" t="s">
        <v>4373</v>
      </c>
      <c r="P349" s="67"/>
      <c r="Q349" s="67" t="s">
        <v>145</v>
      </c>
      <c r="R349" s="67"/>
      <c r="S349" s="67"/>
      <c r="T349" s="67"/>
      <c r="U349" s="67"/>
      <c r="V349" s="67"/>
      <c r="W349" s="67"/>
      <c r="X349" s="67"/>
      <c r="Y349" s="67"/>
      <c r="Z349" s="67"/>
      <c r="AA349" s="67"/>
      <c r="AB349" s="67"/>
      <c r="AC349" s="67"/>
      <c r="AD349" s="67"/>
      <c r="AE349" s="67"/>
      <c r="AF349" s="67"/>
      <c r="AG349" s="67"/>
      <c r="AH349" s="67"/>
      <c r="AI349" s="67"/>
      <c r="AJ349" s="67"/>
      <c r="AK349" s="67"/>
      <c r="AL349" s="67"/>
      <c r="AM349" s="67"/>
      <c r="AN349" s="67"/>
      <c r="AO349" s="70"/>
      <c r="AP349" s="70"/>
      <c r="AQ349" s="70"/>
      <c r="AR349" s="70"/>
      <c r="AS349" s="70"/>
      <c r="AT349" s="70"/>
      <c r="AU349" s="70"/>
      <c r="AV349" s="70"/>
      <c r="AW349" s="70"/>
      <c r="AX349" s="70"/>
    </row>
    <row r="350" ht="15.75" customHeight="1">
      <c r="A350" s="68" t="s">
        <v>738</v>
      </c>
      <c r="B350" s="169" t="s">
        <v>2546</v>
      </c>
      <c r="C350" s="28" t="s">
        <v>2550</v>
      </c>
      <c r="D350" s="28" t="s">
        <v>2551</v>
      </c>
      <c r="E350" s="28" t="s">
        <v>2552</v>
      </c>
      <c r="F350" s="28"/>
      <c r="G350" s="28"/>
      <c r="H350" s="28"/>
      <c r="I350" s="28"/>
      <c r="J350" s="28"/>
      <c r="K350" s="28"/>
      <c r="L350" s="28"/>
      <c r="M350" s="28"/>
      <c r="N350" s="28"/>
      <c r="O350" s="67" t="s">
        <v>4397</v>
      </c>
      <c r="P350" s="67"/>
      <c r="Q350" s="67" t="s">
        <v>145</v>
      </c>
      <c r="R350" s="67"/>
      <c r="S350" s="67"/>
      <c r="T350" s="67"/>
      <c r="U350" s="67"/>
      <c r="V350" s="67"/>
      <c r="W350" s="67"/>
      <c r="X350" s="67"/>
      <c r="Y350" s="67"/>
      <c r="Z350" s="67"/>
      <c r="AA350" s="67"/>
      <c r="AB350" s="67"/>
      <c r="AC350" s="67"/>
      <c r="AD350" s="67"/>
      <c r="AE350" s="67"/>
      <c r="AF350" s="67"/>
      <c r="AG350" s="67"/>
      <c r="AH350" s="67"/>
      <c r="AI350" s="67"/>
      <c r="AJ350" s="67"/>
      <c r="AK350" s="67"/>
      <c r="AL350" s="67"/>
      <c r="AM350" s="67"/>
      <c r="AN350" s="67"/>
      <c r="AO350" s="70"/>
      <c r="AP350" s="70"/>
      <c r="AQ350" s="70"/>
      <c r="AR350" s="70"/>
      <c r="AS350" s="70"/>
      <c r="AT350" s="70"/>
      <c r="AU350" s="70"/>
      <c r="AV350" s="70"/>
      <c r="AW350" s="70"/>
      <c r="AX350" s="70"/>
    </row>
    <row r="351" ht="15.75" customHeight="1">
      <c r="A351" s="68" t="s">
        <v>749</v>
      </c>
      <c r="B351" s="169" t="s">
        <v>2553</v>
      </c>
      <c r="C351" s="28" t="s">
        <v>2557</v>
      </c>
      <c r="D351" s="28" t="s">
        <v>2559</v>
      </c>
      <c r="E351" s="28" t="s">
        <v>2560</v>
      </c>
      <c r="F351" s="28"/>
      <c r="G351" s="28"/>
      <c r="H351" s="28"/>
      <c r="I351" s="28"/>
      <c r="J351" s="28"/>
      <c r="K351" s="28"/>
      <c r="L351" s="28"/>
      <c r="M351" s="28"/>
      <c r="N351" s="28"/>
      <c r="O351" s="67" t="s">
        <v>4411</v>
      </c>
      <c r="P351" s="67"/>
      <c r="Q351" s="67" t="s">
        <v>145</v>
      </c>
      <c r="R351" s="67"/>
      <c r="S351" s="67"/>
      <c r="T351" s="67"/>
      <c r="U351" s="67"/>
      <c r="V351" s="67"/>
      <c r="W351" s="67"/>
      <c r="X351" s="67"/>
      <c r="Y351" s="67" t="s">
        <v>4412</v>
      </c>
      <c r="Z351" s="67"/>
      <c r="AA351" s="67"/>
      <c r="AB351" s="67"/>
      <c r="AC351" s="67"/>
      <c r="AD351" s="67"/>
      <c r="AE351" s="67"/>
      <c r="AF351" s="67"/>
      <c r="AG351" s="67"/>
      <c r="AH351" s="67"/>
      <c r="AI351" s="67"/>
      <c r="AJ351" s="67"/>
      <c r="AK351" s="67"/>
      <c r="AL351" s="67"/>
      <c r="AM351" s="67"/>
      <c r="AN351" s="67"/>
      <c r="AO351" s="70"/>
      <c r="AP351" s="70"/>
      <c r="AQ351" s="70"/>
      <c r="AR351" s="70"/>
      <c r="AS351" s="70"/>
      <c r="AT351" s="70"/>
      <c r="AU351" s="70"/>
      <c r="AV351" s="70"/>
      <c r="AW351" s="70"/>
      <c r="AX351" s="70"/>
    </row>
    <row r="352" ht="15.75" customHeight="1">
      <c r="A352" s="179" t="s">
        <v>246</v>
      </c>
      <c r="B352" s="180" t="s">
        <v>2561</v>
      </c>
      <c r="C352" s="28" t="s">
        <v>2565</v>
      </c>
      <c r="D352" s="28" t="s">
        <v>2566</v>
      </c>
      <c r="E352" s="28" t="s">
        <v>2567</v>
      </c>
      <c r="F352" s="28"/>
      <c r="G352" s="28"/>
      <c r="H352" s="28"/>
      <c r="I352" s="28"/>
      <c r="J352" s="28"/>
      <c r="K352" s="28"/>
      <c r="L352" s="28"/>
      <c r="M352" s="28"/>
      <c r="N352" s="28"/>
      <c r="O352" s="181" t="s">
        <v>4421</v>
      </c>
      <c r="P352" s="181"/>
      <c r="Q352" s="181" t="s">
        <v>145</v>
      </c>
      <c r="R352" s="181"/>
      <c r="S352" s="181"/>
      <c r="T352" s="181"/>
      <c r="U352" s="181"/>
      <c r="V352" s="181"/>
      <c r="W352" s="181"/>
      <c r="X352" s="181"/>
      <c r="Y352" s="181"/>
      <c r="Z352" s="181"/>
      <c r="AA352" s="181"/>
      <c r="AB352" s="181"/>
      <c r="AC352" s="181"/>
      <c r="AD352" s="181"/>
      <c r="AE352" s="181"/>
      <c r="AF352" s="181"/>
      <c r="AG352" s="181"/>
      <c r="AH352" s="181"/>
      <c r="AI352" s="181"/>
      <c r="AJ352" s="181"/>
      <c r="AK352" s="181"/>
      <c r="AL352" s="181"/>
      <c r="AM352" s="181"/>
      <c r="AN352" s="181"/>
      <c r="AO352" s="70"/>
      <c r="AP352" s="70"/>
      <c r="AQ352" s="70"/>
      <c r="AR352" s="70"/>
      <c r="AS352" s="70"/>
      <c r="AT352" s="70"/>
      <c r="AU352" s="70"/>
      <c r="AV352" s="70"/>
      <c r="AW352" s="70"/>
      <c r="AX352" s="70"/>
    </row>
    <row r="353" ht="15.75" customHeight="1">
      <c r="A353" s="68" t="s">
        <v>785</v>
      </c>
      <c r="B353" s="169" t="s">
        <v>2568</v>
      </c>
      <c r="C353" s="28" t="s">
        <v>2573</v>
      </c>
      <c r="D353" s="28" t="s">
        <v>2574</v>
      </c>
      <c r="E353" s="28" t="s">
        <v>2575</v>
      </c>
      <c r="F353" s="28"/>
      <c r="G353" s="28"/>
      <c r="H353" s="28"/>
      <c r="I353" s="28"/>
      <c r="J353" s="28" t="s">
        <v>4438</v>
      </c>
      <c r="K353" s="28"/>
      <c r="L353" s="28"/>
      <c r="M353" s="28"/>
      <c r="N353" s="28"/>
      <c r="O353" s="65" t="s">
        <v>4446</v>
      </c>
      <c r="P353" s="67"/>
      <c r="Q353" s="67" t="s">
        <v>145</v>
      </c>
      <c r="R353" s="67"/>
      <c r="S353" s="67"/>
      <c r="T353" s="67"/>
      <c r="U353" s="67"/>
      <c r="V353" s="67"/>
      <c r="W353" s="67"/>
      <c r="X353" s="67"/>
      <c r="Y353" s="67"/>
      <c r="Z353" s="67"/>
      <c r="AA353" s="67"/>
      <c r="AB353" s="67"/>
      <c r="AC353" s="67"/>
      <c r="AD353" s="67"/>
      <c r="AE353" s="67"/>
      <c r="AF353" s="67"/>
      <c r="AG353" s="67"/>
      <c r="AH353" s="67"/>
      <c r="AI353" s="67"/>
      <c r="AJ353" s="67"/>
      <c r="AK353" s="67"/>
      <c r="AL353" s="67"/>
      <c r="AM353" s="67"/>
      <c r="AN353" s="67"/>
      <c r="AO353" s="70"/>
      <c r="AP353" s="70"/>
      <c r="AQ353" s="70"/>
      <c r="AR353" s="70"/>
      <c r="AS353" s="70"/>
      <c r="AT353" s="70"/>
      <c r="AU353" s="70"/>
      <c r="AV353" s="70"/>
      <c r="AW353" s="70"/>
      <c r="AX353" s="70"/>
    </row>
    <row r="354" ht="15.75" customHeight="1">
      <c r="A354" s="179" t="s">
        <v>246</v>
      </c>
      <c r="B354" s="180" t="s">
        <v>2577</v>
      </c>
      <c r="C354" s="28" t="s">
        <v>2581</v>
      </c>
      <c r="D354" s="28" t="s">
        <v>2582</v>
      </c>
      <c r="E354" s="28" t="s">
        <v>2583</v>
      </c>
      <c r="F354" s="28"/>
      <c r="G354" s="28"/>
      <c r="H354" s="28"/>
      <c r="I354" s="28"/>
      <c r="J354" s="28"/>
      <c r="K354" s="28"/>
      <c r="L354" s="28"/>
      <c r="M354" s="28"/>
      <c r="N354" s="28"/>
      <c r="O354" s="181" t="s">
        <v>4468</v>
      </c>
      <c r="P354" s="181"/>
      <c r="Q354" s="181"/>
      <c r="R354" s="181"/>
      <c r="S354" s="181"/>
      <c r="T354" s="181"/>
      <c r="U354" s="181"/>
      <c r="V354" s="181"/>
      <c r="W354" s="181"/>
      <c r="X354" s="181"/>
      <c r="Y354" s="181"/>
      <c r="Z354" s="181"/>
      <c r="AA354" s="181"/>
      <c r="AB354" s="181"/>
      <c r="AC354" s="181"/>
      <c r="AD354" s="96"/>
      <c r="AE354" s="96"/>
      <c r="AF354" s="96"/>
      <c r="AG354" s="96"/>
      <c r="AH354" s="96"/>
      <c r="AI354" s="96"/>
      <c r="AJ354" s="96"/>
      <c r="AK354" s="96"/>
      <c r="AL354" s="96"/>
      <c r="AM354" s="96"/>
      <c r="AN354" s="96"/>
      <c r="AO354" s="70"/>
      <c r="AP354" s="70"/>
      <c r="AQ354" s="70"/>
      <c r="AR354" s="70"/>
      <c r="AS354" s="70"/>
      <c r="AT354" s="70"/>
      <c r="AU354" s="70"/>
      <c r="AV354" s="70"/>
      <c r="AW354" s="70"/>
      <c r="AX354" s="70"/>
    </row>
    <row r="355" ht="15.75" customHeight="1">
      <c r="A355" s="90" t="s">
        <v>78</v>
      </c>
      <c r="B355" s="92" t="s">
        <v>2584</v>
      </c>
      <c r="C355" s="28"/>
      <c r="D355" s="28"/>
      <c r="E355" s="28"/>
      <c r="F355" s="28"/>
      <c r="G355" s="28"/>
      <c r="H355" s="28"/>
      <c r="I355" s="28"/>
      <c r="J355" s="28"/>
      <c r="K355" s="28"/>
      <c r="L355" s="28"/>
      <c r="M355" s="28"/>
      <c r="N355" s="28"/>
      <c r="O355" s="96"/>
      <c r="P355" s="96"/>
      <c r="Q355" s="96"/>
      <c r="R355" s="96"/>
      <c r="S355" s="96"/>
      <c r="T355" s="178" t="s">
        <v>4493</v>
      </c>
      <c r="U355" s="96"/>
      <c r="V355" s="96"/>
      <c r="W355" s="96"/>
      <c r="X355" s="96"/>
      <c r="Y355" s="96"/>
      <c r="Z355" s="96"/>
      <c r="AA355" s="96"/>
      <c r="AB355" s="96"/>
      <c r="AC355" s="96"/>
      <c r="AD355" s="96"/>
      <c r="AE355" s="96"/>
      <c r="AF355" s="96"/>
      <c r="AG355" s="96"/>
      <c r="AH355" s="96"/>
      <c r="AI355" s="96"/>
      <c r="AJ355" s="96"/>
      <c r="AK355" s="96"/>
      <c r="AL355" s="96"/>
      <c r="AM355" s="96"/>
      <c r="AN355" s="96"/>
      <c r="AO355" s="70"/>
      <c r="AP355" s="70"/>
      <c r="AQ355" s="70"/>
      <c r="AR355" s="70"/>
      <c r="AS355" s="70"/>
      <c r="AT355" s="70"/>
      <c r="AU355" s="70"/>
      <c r="AV355" s="70"/>
      <c r="AW355" s="70"/>
      <c r="AX355" s="70"/>
    </row>
    <row r="356" ht="15.75" customHeight="1">
      <c r="A356" s="90" t="s">
        <v>78</v>
      </c>
      <c r="B356" s="92" t="s">
        <v>2589</v>
      </c>
      <c r="C356" s="28"/>
      <c r="D356" s="28"/>
      <c r="E356" s="28"/>
      <c r="F356" s="28"/>
      <c r="G356" s="28"/>
      <c r="H356" s="28"/>
      <c r="I356" s="28"/>
      <c r="J356" s="28"/>
      <c r="K356" s="28"/>
      <c r="L356" s="28"/>
      <c r="M356" s="28"/>
      <c r="N356" s="28"/>
      <c r="O356" s="96"/>
      <c r="P356" s="96"/>
      <c r="Q356" s="96"/>
      <c r="R356" s="96"/>
      <c r="S356" s="96"/>
      <c r="T356" s="178" t="s">
        <v>4502</v>
      </c>
      <c r="U356" s="96"/>
      <c r="V356" s="96"/>
      <c r="W356" s="96"/>
      <c r="X356" s="96"/>
      <c r="Y356" s="96"/>
      <c r="Z356" s="96"/>
      <c r="AA356" s="96"/>
      <c r="AB356" s="96"/>
      <c r="AC356" s="96"/>
      <c r="AD356" s="96"/>
      <c r="AE356" s="96"/>
      <c r="AF356" s="96"/>
      <c r="AG356" s="96"/>
      <c r="AH356" s="96"/>
      <c r="AI356" s="96"/>
      <c r="AJ356" s="96"/>
      <c r="AK356" s="96"/>
      <c r="AL356" s="96"/>
      <c r="AM356" s="96"/>
      <c r="AN356" s="96"/>
      <c r="AO356" s="70"/>
      <c r="AP356" s="70"/>
      <c r="AQ356" s="70"/>
      <c r="AR356" s="70"/>
      <c r="AS356" s="70"/>
      <c r="AT356" s="70"/>
      <c r="AU356" s="70"/>
      <c r="AV356" s="70"/>
      <c r="AW356" s="70"/>
      <c r="AX356" s="70"/>
    </row>
    <row r="357" ht="15.75" customHeight="1">
      <c r="A357" s="90" t="s">
        <v>78</v>
      </c>
      <c r="B357" s="92" t="s">
        <v>2593</v>
      </c>
      <c r="C357" s="28" t="s">
        <v>2594</v>
      </c>
      <c r="D357" s="28"/>
      <c r="E357" s="28"/>
      <c r="F357" s="28"/>
      <c r="G357" s="28"/>
      <c r="H357" s="28"/>
      <c r="I357" s="28"/>
      <c r="J357" s="28"/>
      <c r="K357" s="28"/>
      <c r="L357" s="28"/>
      <c r="M357" s="28"/>
      <c r="N357" s="28"/>
      <c r="O357" s="96"/>
      <c r="P357" s="96"/>
      <c r="Q357" s="96"/>
      <c r="R357" s="96"/>
      <c r="S357" s="96"/>
      <c r="T357" s="178" t="s">
        <v>4521</v>
      </c>
      <c r="U357" s="96"/>
      <c r="V357" s="96"/>
      <c r="W357" s="96"/>
      <c r="X357" s="96"/>
      <c r="Y357" s="96"/>
      <c r="Z357" s="96"/>
      <c r="AA357" s="96"/>
      <c r="AB357" s="96"/>
      <c r="AC357" s="96"/>
      <c r="AD357" s="96"/>
      <c r="AE357" s="96"/>
      <c r="AF357" s="96"/>
      <c r="AG357" s="96"/>
      <c r="AH357" s="96"/>
      <c r="AI357" s="96"/>
      <c r="AJ357" s="96"/>
      <c r="AK357" s="96"/>
      <c r="AL357" s="96"/>
      <c r="AM357" s="96"/>
      <c r="AN357" s="96"/>
      <c r="AO357" s="70"/>
      <c r="AP357" s="70"/>
      <c r="AQ357" s="70"/>
      <c r="AR357" s="70"/>
      <c r="AS357" s="70"/>
      <c r="AT357" s="70"/>
      <c r="AU357" s="70"/>
      <c r="AV357" s="70"/>
      <c r="AW357" s="70"/>
      <c r="AX357" s="70"/>
    </row>
    <row r="358" ht="15.75" customHeight="1">
      <c r="A358" s="90" t="s">
        <v>78</v>
      </c>
      <c r="B358" s="92" t="s">
        <v>2599</v>
      </c>
      <c r="C358" s="28"/>
      <c r="D358" s="28"/>
      <c r="E358" s="28"/>
      <c r="F358" s="28"/>
      <c r="G358" s="28"/>
      <c r="H358" s="28"/>
      <c r="I358" s="28"/>
      <c r="J358" s="28"/>
      <c r="K358" s="28"/>
      <c r="L358" s="28"/>
      <c r="M358" s="28"/>
      <c r="N358" s="28"/>
      <c r="O358" s="96"/>
      <c r="P358" s="96"/>
      <c r="Q358" s="96"/>
      <c r="R358" s="96"/>
      <c r="S358" s="96"/>
      <c r="T358" s="119" t="s">
        <v>4539</v>
      </c>
      <c r="U358" s="96"/>
      <c r="V358" s="96"/>
      <c r="W358" s="96"/>
      <c r="X358" s="96"/>
      <c r="Y358" s="96"/>
      <c r="Z358" s="96"/>
      <c r="AA358" s="96"/>
      <c r="AB358" s="96"/>
      <c r="AC358" s="96"/>
      <c r="AD358" s="139"/>
      <c r="AE358" s="139"/>
      <c r="AF358" s="139"/>
      <c r="AG358" s="139"/>
      <c r="AH358" s="139"/>
      <c r="AI358" s="139"/>
      <c r="AJ358" s="139"/>
      <c r="AK358" s="139"/>
      <c r="AL358" s="139"/>
      <c r="AM358" s="139"/>
      <c r="AN358" s="139"/>
      <c r="AO358" s="70"/>
      <c r="AP358" s="70"/>
      <c r="AQ358" s="70"/>
      <c r="AR358" s="70"/>
      <c r="AS358" s="70"/>
      <c r="AT358" s="70"/>
      <c r="AU358" s="70"/>
      <c r="AV358" s="70"/>
      <c r="AW358" s="70"/>
      <c r="AX358" s="70"/>
    </row>
    <row r="359" ht="15.75" customHeight="1">
      <c r="A359" s="150" t="s">
        <v>78</v>
      </c>
      <c r="B359" s="216" t="s">
        <v>2604</v>
      </c>
      <c r="C359" s="28"/>
      <c r="D359" s="28"/>
      <c r="E359" s="28"/>
      <c r="F359" s="28"/>
      <c r="G359" s="28"/>
      <c r="H359" s="28"/>
      <c r="I359" s="28"/>
      <c r="J359" s="28"/>
      <c r="K359" s="28"/>
      <c r="L359" s="28"/>
      <c r="M359" s="28"/>
      <c r="N359" s="28"/>
      <c r="O359" s="96"/>
      <c r="P359" s="96"/>
      <c r="Q359" s="96"/>
      <c r="R359" s="96"/>
      <c r="S359" s="96"/>
      <c r="T359" s="270" t="s">
        <v>4561</v>
      </c>
      <c r="U359" s="96"/>
      <c r="V359" s="96"/>
      <c r="W359" s="96"/>
      <c r="X359" s="96"/>
      <c r="Y359" s="96"/>
      <c r="Z359" s="96"/>
      <c r="AA359" s="96"/>
      <c r="AB359" s="96"/>
      <c r="AC359" s="96"/>
      <c r="AD359" s="67"/>
      <c r="AE359" s="67"/>
      <c r="AF359" s="67"/>
      <c r="AG359" s="67"/>
      <c r="AH359" s="67"/>
      <c r="AI359" s="67"/>
      <c r="AJ359" s="67"/>
      <c r="AK359" s="67"/>
      <c r="AL359" s="67"/>
      <c r="AM359" s="67"/>
      <c r="AN359" s="67"/>
      <c r="AO359" s="70"/>
      <c r="AP359" s="70"/>
      <c r="AQ359" s="70"/>
      <c r="AR359" s="70"/>
      <c r="AS359" s="70"/>
      <c r="AT359" s="70"/>
      <c r="AU359" s="70"/>
      <c r="AV359" s="70"/>
      <c r="AW359" s="70"/>
      <c r="AX359" s="70"/>
    </row>
    <row r="360" ht="15.75" customHeight="1">
      <c r="A360" s="90" t="s">
        <v>78</v>
      </c>
      <c r="B360" s="92" t="s">
        <v>2608</v>
      </c>
      <c r="C360" s="28"/>
      <c r="D360" s="28"/>
      <c r="E360" s="28"/>
      <c r="F360" s="28"/>
      <c r="G360" s="28"/>
      <c r="H360" s="28"/>
      <c r="I360" s="28"/>
      <c r="J360" s="28"/>
      <c r="K360" s="28"/>
      <c r="L360" s="28"/>
      <c r="M360" s="28"/>
      <c r="N360" s="28"/>
      <c r="O360" s="96"/>
      <c r="P360" s="96"/>
      <c r="Q360" s="96"/>
      <c r="R360" s="96"/>
      <c r="S360" s="96"/>
      <c r="T360" s="178" t="s">
        <v>4580</v>
      </c>
      <c r="U360" s="96"/>
      <c r="V360" s="96"/>
      <c r="W360" s="96"/>
      <c r="X360" s="96"/>
      <c r="Y360" s="96"/>
      <c r="Z360" s="96"/>
      <c r="AA360" s="96"/>
      <c r="AB360" s="96"/>
      <c r="AC360" s="96"/>
      <c r="AD360" s="67"/>
      <c r="AE360" s="67"/>
      <c r="AF360" s="67"/>
      <c r="AG360" s="67"/>
      <c r="AH360" s="67"/>
      <c r="AI360" s="67"/>
      <c r="AJ360" s="67"/>
      <c r="AK360" s="67"/>
      <c r="AL360" s="67"/>
      <c r="AM360" s="67"/>
      <c r="AN360" s="67"/>
      <c r="AO360" s="70"/>
      <c r="AP360" s="70"/>
      <c r="AQ360" s="70"/>
      <c r="AR360" s="70"/>
      <c r="AS360" s="70"/>
      <c r="AT360" s="70"/>
      <c r="AU360" s="70"/>
      <c r="AV360" s="70"/>
      <c r="AW360" s="70"/>
      <c r="AX360" s="70"/>
    </row>
    <row r="361" ht="15.75" customHeight="1">
      <c r="A361" s="90" t="s">
        <v>78</v>
      </c>
      <c r="B361" s="92" t="s">
        <v>2612</v>
      </c>
      <c r="C361" s="28"/>
      <c r="D361" s="28"/>
      <c r="E361" s="28"/>
      <c r="F361" s="28"/>
      <c r="G361" s="28"/>
      <c r="H361" s="28"/>
      <c r="I361" s="28"/>
      <c r="J361" s="28"/>
      <c r="K361" s="28"/>
      <c r="L361" s="28"/>
      <c r="M361" s="28"/>
      <c r="N361" s="28"/>
      <c r="O361" s="96"/>
      <c r="P361" s="96"/>
      <c r="Q361" s="96"/>
      <c r="R361" s="96"/>
      <c r="S361" s="96"/>
      <c r="T361" s="178" t="s">
        <v>4599</v>
      </c>
      <c r="U361" s="96"/>
      <c r="V361" s="96"/>
      <c r="W361" s="96"/>
      <c r="X361" s="96"/>
      <c r="Y361" s="96"/>
      <c r="Z361" s="96"/>
      <c r="AA361" s="96"/>
      <c r="AB361" s="96"/>
      <c r="AC361" s="96"/>
      <c r="AD361" s="67"/>
      <c r="AE361" s="67"/>
      <c r="AF361" s="67"/>
      <c r="AG361" s="67"/>
      <c r="AH361" s="67"/>
      <c r="AI361" s="67"/>
      <c r="AJ361" s="67"/>
      <c r="AK361" s="67"/>
      <c r="AL361" s="67"/>
      <c r="AM361" s="67"/>
      <c r="AN361" s="67"/>
      <c r="AO361" s="70"/>
      <c r="AP361" s="70"/>
      <c r="AQ361" s="70"/>
      <c r="AR361" s="70"/>
      <c r="AS361" s="70"/>
      <c r="AT361" s="70"/>
      <c r="AU361" s="70"/>
      <c r="AV361" s="70"/>
      <c r="AW361" s="70"/>
      <c r="AX361" s="70"/>
    </row>
    <row r="362" ht="15.75" customHeight="1">
      <c r="A362" s="90" t="s">
        <v>78</v>
      </c>
      <c r="B362" s="92" t="s">
        <v>2617</v>
      </c>
      <c r="C362" s="28"/>
      <c r="D362" s="28"/>
      <c r="E362" s="28"/>
      <c r="F362" s="28"/>
      <c r="G362" s="28"/>
      <c r="H362" s="28"/>
      <c r="I362" s="28"/>
      <c r="J362" s="28"/>
      <c r="K362" s="28"/>
      <c r="L362" s="28"/>
      <c r="M362" s="28"/>
      <c r="N362" s="28"/>
      <c r="O362" s="96"/>
      <c r="P362" s="96"/>
      <c r="Q362" s="96"/>
      <c r="R362" s="96"/>
      <c r="S362" s="96"/>
      <c r="T362" s="178" t="s">
        <v>4614</v>
      </c>
      <c r="U362" s="96"/>
      <c r="V362" s="96"/>
      <c r="W362" s="96"/>
      <c r="X362" s="96"/>
      <c r="Y362" s="96"/>
      <c r="Z362" s="96"/>
      <c r="AA362" s="96"/>
      <c r="AB362" s="96"/>
      <c r="AC362" s="96"/>
      <c r="AD362" s="67"/>
      <c r="AE362" s="67"/>
      <c r="AF362" s="67"/>
      <c r="AG362" s="67"/>
      <c r="AH362" s="67"/>
      <c r="AI362" s="67"/>
      <c r="AJ362" s="67"/>
      <c r="AK362" s="67"/>
      <c r="AL362" s="67"/>
      <c r="AM362" s="67"/>
      <c r="AN362" s="67"/>
      <c r="AO362" s="70"/>
      <c r="AP362" s="70"/>
      <c r="AQ362" s="70"/>
      <c r="AR362" s="70"/>
      <c r="AS362" s="70"/>
      <c r="AT362" s="70"/>
      <c r="AU362" s="70"/>
      <c r="AV362" s="70"/>
      <c r="AW362" s="70"/>
      <c r="AX362" s="70"/>
    </row>
    <row r="363">
      <c r="A363" s="136"/>
      <c r="B363" s="136"/>
      <c r="C363" s="28"/>
      <c r="D363" s="28"/>
      <c r="E363" s="28"/>
      <c r="F363" s="28"/>
      <c r="G363" s="28"/>
      <c r="H363" s="28"/>
      <c r="I363" s="28"/>
      <c r="J363" s="28"/>
      <c r="K363" s="28"/>
      <c r="L363" s="28"/>
      <c r="M363" s="28"/>
      <c r="N363" s="28"/>
      <c r="O363" s="136"/>
      <c r="P363" s="136"/>
      <c r="Q363" s="136"/>
      <c r="R363" s="136"/>
      <c r="S363" s="136"/>
      <c r="T363" s="136"/>
      <c r="U363" s="136"/>
      <c r="V363" s="136"/>
      <c r="W363" s="136"/>
      <c r="X363" s="136"/>
      <c r="Y363" s="136"/>
      <c r="Z363" s="136"/>
      <c r="AA363" s="136"/>
      <c r="AB363" s="136"/>
      <c r="AC363" s="136"/>
      <c r="AD363" s="136"/>
      <c r="AE363" s="136"/>
      <c r="AF363" s="136"/>
      <c r="AG363" s="136"/>
      <c r="AH363" s="136"/>
      <c r="AI363" s="136"/>
      <c r="AJ363" s="136"/>
      <c r="AK363" s="136"/>
      <c r="AL363" s="136"/>
      <c r="AM363" s="136"/>
      <c r="AN363" s="136"/>
      <c r="AO363" s="136"/>
      <c r="AP363" s="136"/>
      <c r="AQ363" s="136"/>
      <c r="AR363" s="136"/>
      <c r="AS363" s="136"/>
      <c r="AT363" s="136"/>
      <c r="AU363" s="136"/>
      <c r="AV363" s="136"/>
      <c r="AW363" s="136"/>
      <c r="AX363" s="136"/>
    </row>
    <row r="364" ht="15.75" customHeight="1">
      <c r="A364" s="66" t="s">
        <v>2625</v>
      </c>
      <c r="B364" s="169" t="s">
        <v>2626</v>
      </c>
      <c r="C364" s="28" t="s">
        <v>2630</v>
      </c>
      <c r="D364" s="28" t="s">
        <v>2631</v>
      </c>
      <c r="E364" s="28" t="s">
        <v>2632</v>
      </c>
      <c r="F364" s="28"/>
      <c r="G364" s="28"/>
      <c r="H364" s="28"/>
      <c r="I364" s="28"/>
      <c r="J364" s="28"/>
      <c r="K364" s="28"/>
      <c r="L364" s="28"/>
      <c r="M364" s="28"/>
      <c r="N364" s="28"/>
      <c r="O364" s="67"/>
      <c r="P364" s="67"/>
      <c r="Q364" s="67" t="s">
        <v>145</v>
      </c>
      <c r="R364" s="67"/>
      <c r="S364" s="67"/>
      <c r="T364" s="67"/>
      <c r="U364" s="67"/>
      <c r="V364" s="67"/>
      <c r="W364" s="67"/>
      <c r="X364" s="67"/>
      <c r="Y364" s="67"/>
      <c r="Z364" s="67"/>
      <c r="AA364" s="67"/>
      <c r="AB364" s="67"/>
      <c r="AC364" s="67"/>
      <c r="AD364" s="67"/>
      <c r="AE364" s="67"/>
      <c r="AF364" s="67"/>
      <c r="AG364" s="67"/>
      <c r="AH364" s="67"/>
      <c r="AI364" s="67"/>
      <c r="AJ364" s="67"/>
      <c r="AK364" s="67"/>
      <c r="AL364" s="67"/>
      <c r="AM364" s="67"/>
      <c r="AN364" s="67"/>
      <c r="AO364" s="70"/>
      <c r="AP364" s="70"/>
      <c r="AQ364" s="70"/>
      <c r="AR364" s="70"/>
      <c r="AS364" s="70"/>
      <c r="AT364" s="70"/>
      <c r="AU364" s="70"/>
      <c r="AV364" s="70"/>
      <c r="AW364" s="70"/>
      <c r="AX364" s="70"/>
    </row>
    <row r="365" ht="15.75" customHeight="1">
      <c r="A365" s="68" t="s">
        <v>463</v>
      </c>
      <c r="B365" s="218" t="s">
        <v>2633</v>
      </c>
      <c r="C365" s="28" t="s">
        <v>2637</v>
      </c>
      <c r="D365" s="28" t="s">
        <v>2638</v>
      </c>
      <c r="E365" s="28" t="s">
        <v>2639</v>
      </c>
      <c r="F365" s="28"/>
      <c r="G365" s="28"/>
      <c r="H365" s="28"/>
      <c r="I365" s="28"/>
      <c r="J365" s="28"/>
      <c r="K365" s="28"/>
      <c r="L365" s="28"/>
      <c r="M365" s="28"/>
      <c r="N365" s="28"/>
      <c r="O365" s="65" t="s">
        <v>4661</v>
      </c>
      <c r="P365" s="67"/>
      <c r="Q365" s="67" t="s">
        <v>145</v>
      </c>
      <c r="R365" s="67"/>
      <c r="S365" s="67"/>
      <c r="T365" s="67"/>
      <c r="U365" s="67"/>
      <c r="V365" s="67"/>
      <c r="W365" s="67"/>
      <c r="X365" s="67"/>
      <c r="Y365" s="67"/>
      <c r="Z365" s="67"/>
      <c r="AA365" s="67"/>
      <c r="AB365" s="67"/>
      <c r="AC365" s="67"/>
      <c r="AD365" s="67"/>
      <c r="AE365" s="67"/>
      <c r="AF365" s="67"/>
      <c r="AG365" s="67"/>
      <c r="AH365" s="67"/>
      <c r="AI365" s="67"/>
      <c r="AJ365" s="67"/>
      <c r="AK365" s="67"/>
      <c r="AL365" s="67"/>
      <c r="AM365" s="67"/>
      <c r="AN365" s="67"/>
      <c r="AO365" s="70"/>
      <c r="AP365" s="70"/>
      <c r="AQ365" s="70"/>
      <c r="AR365" s="70"/>
      <c r="AS365" s="70"/>
      <c r="AT365" s="70"/>
      <c r="AU365" s="70"/>
      <c r="AV365" s="70"/>
      <c r="AW365" s="70"/>
      <c r="AX365" s="70"/>
    </row>
    <row r="366" ht="15.75" customHeight="1">
      <c r="A366" s="68" t="s">
        <v>738</v>
      </c>
      <c r="B366" s="218" t="s">
        <v>2640</v>
      </c>
      <c r="C366" s="28" t="s">
        <v>2644</v>
      </c>
      <c r="D366" s="28" t="s">
        <v>2645</v>
      </c>
      <c r="E366" s="28" t="s">
        <v>2646</v>
      </c>
      <c r="F366" s="28"/>
      <c r="G366" s="28"/>
      <c r="H366" s="28"/>
      <c r="I366" s="28"/>
      <c r="J366" s="28"/>
      <c r="K366" s="28"/>
      <c r="L366" s="28"/>
      <c r="M366" s="28"/>
      <c r="N366" s="28"/>
      <c r="O366" s="65" t="s">
        <v>4677</v>
      </c>
      <c r="P366" s="67"/>
      <c r="Q366" s="67" t="s">
        <v>145</v>
      </c>
      <c r="R366" s="67"/>
      <c r="S366" s="67"/>
      <c r="T366" s="67"/>
      <c r="U366" s="67"/>
      <c r="V366" s="67"/>
      <c r="W366" s="67"/>
      <c r="X366" s="67"/>
      <c r="Y366" s="67"/>
      <c r="Z366" s="67"/>
      <c r="AA366" s="67"/>
      <c r="AB366" s="67"/>
      <c r="AC366" s="67"/>
      <c r="AD366" s="67"/>
      <c r="AE366" s="67"/>
      <c r="AF366" s="67"/>
      <c r="AG366" s="67"/>
      <c r="AH366" s="67"/>
      <c r="AI366" s="67"/>
      <c r="AJ366" s="67"/>
      <c r="AK366" s="67"/>
      <c r="AL366" s="67"/>
      <c r="AM366" s="67"/>
      <c r="AN366" s="67"/>
      <c r="AO366" s="70"/>
      <c r="AP366" s="70"/>
      <c r="AQ366" s="70"/>
      <c r="AR366" s="70"/>
      <c r="AS366" s="70"/>
      <c r="AT366" s="70"/>
      <c r="AU366" s="70"/>
      <c r="AV366" s="70"/>
      <c r="AW366" s="70"/>
      <c r="AX366" s="70"/>
    </row>
    <row r="367" ht="15.75" customHeight="1">
      <c r="A367" s="68" t="s">
        <v>749</v>
      </c>
      <c r="B367" s="218" t="s">
        <v>2647</v>
      </c>
      <c r="C367" s="28" t="s">
        <v>2652</v>
      </c>
      <c r="D367" s="28" t="s">
        <v>2653</v>
      </c>
      <c r="E367" s="28" t="s">
        <v>2654</v>
      </c>
      <c r="F367" s="28"/>
      <c r="G367" s="28"/>
      <c r="H367" s="28"/>
      <c r="I367" s="28"/>
      <c r="J367" s="28"/>
      <c r="K367" s="28"/>
      <c r="L367" s="28"/>
      <c r="M367" s="28"/>
      <c r="N367" s="28"/>
      <c r="O367" s="65" t="s">
        <v>4693</v>
      </c>
      <c r="P367" s="67"/>
      <c r="Q367" s="67" t="s">
        <v>145</v>
      </c>
      <c r="R367" s="67"/>
      <c r="S367" s="67"/>
      <c r="T367" s="67"/>
      <c r="U367" s="67"/>
      <c r="V367" s="67"/>
      <c r="W367" s="67"/>
      <c r="X367" s="67"/>
      <c r="Y367" s="67" t="s">
        <v>4412</v>
      </c>
      <c r="Z367" s="67"/>
      <c r="AA367" s="67"/>
      <c r="AB367" s="67"/>
      <c r="AC367" s="67"/>
      <c r="AD367" s="67"/>
      <c r="AE367" s="67"/>
      <c r="AF367" s="67"/>
      <c r="AG367" s="67"/>
      <c r="AH367" s="67"/>
      <c r="AI367" s="67"/>
      <c r="AJ367" s="67"/>
      <c r="AK367" s="67"/>
      <c r="AL367" s="67"/>
      <c r="AM367" s="67"/>
      <c r="AN367" s="67"/>
      <c r="AO367" s="70"/>
      <c r="AP367" s="70"/>
      <c r="AQ367" s="70"/>
      <c r="AR367" s="70"/>
      <c r="AS367" s="70"/>
      <c r="AT367" s="70"/>
      <c r="AU367" s="70"/>
      <c r="AV367" s="70"/>
      <c r="AW367" s="70"/>
      <c r="AX367" s="70"/>
    </row>
    <row r="368" ht="15.75" customHeight="1">
      <c r="A368" s="179" t="s">
        <v>246</v>
      </c>
      <c r="B368" s="228" t="s">
        <v>2655</v>
      </c>
      <c r="C368" s="28" t="s">
        <v>2659</v>
      </c>
      <c r="D368" s="28" t="s">
        <v>2660</v>
      </c>
      <c r="E368" s="28" t="s">
        <v>2661</v>
      </c>
      <c r="F368" s="28"/>
      <c r="G368" s="28"/>
      <c r="H368" s="28"/>
      <c r="I368" s="28"/>
      <c r="J368" s="28"/>
      <c r="K368" s="28"/>
      <c r="L368" s="28"/>
      <c r="M368" s="28"/>
      <c r="N368" s="28"/>
      <c r="O368" s="274" t="s">
        <v>4708</v>
      </c>
      <c r="P368" s="181"/>
      <c r="Q368" s="181"/>
      <c r="R368" s="181"/>
      <c r="S368" s="181"/>
      <c r="T368" s="181"/>
      <c r="U368" s="181"/>
      <c r="V368" s="181"/>
      <c r="W368" s="181"/>
      <c r="X368" s="181"/>
      <c r="Y368" s="181"/>
      <c r="Z368" s="181"/>
      <c r="AA368" s="181"/>
      <c r="AB368" s="181"/>
      <c r="AC368" s="181"/>
      <c r="AD368" s="181"/>
      <c r="AE368" s="181"/>
      <c r="AF368" s="181"/>
      <c r="AG368" s="181"/>
      <c r="AH368" s="181"/>
      <c r="AI368" s="181"/>
      <c r="AJ368" s="181"/>
      <c r="AK368" s="181"/>
      <c r="AL368" s="181"/>
      <c r="AM368" s="181"/>
      <c r="AN368" s="181"/>
      <c r="AO368" s="70"/>
      <c r="AP368" s="70"/>
      <c r="AQ368" s="70"/>
      <c r="AR368" s="70"/>
      <c r="AS368" s="70"/>
      <c r="AT368" s="70"/>
      <c r="AU368" s="70"/>
      <c r="AV368" s="70"/>
      <c r="AW368" s="70"/>
      <c r="AX368" s="70"/>
    </row>
    <row r="369" ht="15.75" customHeight="1">
      <c r="A369" s="68" t="s">
        <v>785</v>
      </c>
      <c r="B369" s="218" t="s">
        <v>2662</v>
      </c>
      <c r="C369" s="28" t="s">
        <v>2667</v>
      </c>
      <c r="D369" s="28" t="s">
        <v>2668</v>
      </c>
      <c r="E369" s="28" t="s">
        <v>2669</v>
      </c>
      <c r="F369" s="28"/>
      <c r="G369" s="28"/>
      <c r="H369" s="28"/>
      <c r="I369" s="28"/>
      <c r="J369" s="28" t="s">
        <v>4727</v>
      </c>
      <c r="K369" s="28"/>
      <c r="L369" s="28"/>
      <c r="M369" s="28"/>
      <c r="N369" s="28"/>
      <c r="O369" s="65" t="s">
        <v>4728</v>
      </c>
      <c r="P369" s="67"/>
      <c r="Q369" s="67" t="s">
        <v>145</v>
      </c>
      <c r="R369" s="67"/>
      <c r="S369" s="67"/>
      <c r="T369" s="67"/>
      <c r="U369" s="67"/>
      <c r="V369" s="67"/>
      <c r="W369" s="67"/>
      <c r="X369" s="67"/>
      <c r="Y369" s="67"/>
      <c r="Z369" s="67"/>
      <c r="AA369" s="67"/>
      <c r="AB369" s="67"/>
      <c r="AC369" s="67"/>
      <c r="AD369" s="67"/>
      <c r="AE369" s="67"/>
      <c r="AF369" s="67"/>
      <c r="AG369" s="67"/>
      <c r="AH369" s="67"/>
      <c r="AI369" s="67"/>
      <c r="AJ369" s="67"/>
      <c r="AK369" s="67"/>
      <c r="AL369" s="67"/>
      <c r="AM369" s="67"/>
      <c r="AN369" s="67"/>
      <c r="AO369" s="70"/>
      <c r="AP369" s="70"/>
      <c r="AQ369" s="70"/>
      <c r="AR369" s="70"/>
      <c r="AS369" s="70"/>
      <c r="AT369" s="70"/>
      <c r="AU369" s="70"/>
      <c r="AV369" s="70"/>
      <c r="AW369" s="70"/>
      <c r="AX369" s="70"/>
    </row>
    <row r="370" ht="15.75" customHeight="1">
      <c r="A370" s="179" t="s">
        <v>246</v>
      </c>
      <c r="B370" s="228" t="s">
        <v>2670</v>
      </c>
      <c r="C370" s="28" t="s">
        <v>2674</v>
      </c>
      <c r="D370" s="28" t="s">
        <v>2675</v>
      </c>
      <c r="E370" s="28" t="s">
        <v>2676</v>
      </c>
      <c r="F370" s="28"/>
      <c r="G370" s="28"/>
      <c r="H370" s="28"/>
      <c r="I370" s="28"/>
      <c r="J370" s="28"/>
      <c r="K370" s="28"/>
      <c r="L370" s="28"/>
      <c r="M370" s="28"/>
      <c r="N370" s="28"/>
      <c r="O370" s="274" t="s">
        <v>4762</v>
      </c>
      <c r="P370" s="181"/>
      <c r="Q370" s="181"/>
      <c r="R370" s="181"/>
      <c r="S370" s="181"/>
      <c r="T370" s="181"/>
      <c r="U370" s="181"/>
      <c r="V370" s="181"/>
      <c r="W370" s="181"/>
      <c r="X370" s="181"/>
      <c r="Y370" s="181"/>
      <c r="Z370" s="181"/>
      <c r="AA370" s="181"/>
      <c r="AB370" s="181"/>
      <c r="AC370" s="181"/>
      <c r="AD370" s="96"/>
      <c r="AE370" s="96"/>
      <c r="AF370" s="96"/>
      <c r="AG370" s="96"/>
      <c r="AH370" s="96"/>
      <c r="AI370" s="96"/>
      <c r="AJ370" s="96"/>
      <c r="AK370" s="96"/>
      <c r="AL370" s="96"/>
      <c r="AM370" s="96"/>
      <c r="AN370" s="96"/>
      <c r="AO370" s="70"/>
      <c r="AP370" s="70"/>
      <c r="AQ370" s="70"/>
      <c r="AR370" s="70"/>
      <c r="AS370" s="70"/>
      <c r="AT370" s="70"/>
      <c r="AU370" s="70"/>
      <c r="AV370" s="70"/>
      <c r="AW370" s="70"/>
      <c r="AX370" s="70"/>
    </row>
    <row r="371" ht="15.75" customHeight="1">
      <c r="A371" s="179" t="s">
        <v>2625</v>
      </c>
      <c r="B371" s="228" t="s">
        <v>2677</v>
      </c>
      <c r="C371" s="28" t="s">
        <v>2682</v>
      </c>
      <c r="D371" s="28" t="s">
        <v>2683</v>
      </c>
      <c r="E371" s="28" t="s">
        <v>2684</v>
      </c>
      <c r="F371" s="28" t="s">
        <v>4778</v>
      </c>
      <c r="G371" s="28" t="s">
        <v>4779</v>
      </c>
      <c r="H371" s="28" t="s">
        <v>4780</v>
      </c>
      <c r="I371" s="28"/>
      <c r="J371" s="28"/>
      <c r="K371" s="28"/>
      <c r="L371" s="28"/>
      <c r="M371" s="28"/>
      <c r="N371" s="28"/>
      <c r="O371" s="274" t="s">
        <v>4661</v>
      </c>
      <c r="P371" s="181"/>
      <c r="Q371" s="181" t="s">
        <v>145</v>
      </c>
      <c r="R371" s="181"/>
      <c r="S371" s="181"/>
      <c r="T371" s="181"/>
      <c r="U371" s="181"/>
      <c r="V371" s="181"/>
      <c r="W371" s="181"/>
      <c r="X371" s="181"/>
      <c r="Y371" s="181"/>
      <c r="Z371" s="181"/>
      <c r="AA371" s="181"/>
      <c r="AB371" s="181"/>
      <c r="AC371" s="181"/>
      <c r="AD371" s="96"/>
      <c r="AE371" s="96"/>
      <c r="AF371" s="96"/>
      <c r="AG371" s="96"/>
      <c r="AH371" s="96"/>
      <c r="AI371" s="96"/>
      <c r="AJ371" s="96"/>
      <c r="AK371" s="96"/>
      <c r="AL371" s="96"/>
      <c r="AM371" s="96"/>
      <c r="AN371" s="96"/>
      <c r="AO371" s="70"/>
      <c r="AP371" s="70"/>
      <c r="AQ371" s="70"/>
      <c r="AR371" s="70"/>
      <c r="AS371" s="70"/>
      <c r="AT371" s="70"/>
      <c r="AU371" s="70"/>
      <c r="AV371" s="70"/>
      <c r="AW371" s="70"/>
      <c r="AX371" s="70"/>
    </row>
    <row r="372" ht="15.75" customHeight="1">
      <c r="A372" s="218" t="s">
        <v>2685</v>
      </c>
      <c r="B372" s="218" t="s">
        <v>2686</v>
      </c>
      <c r="C372" s="28" t="s">
        <v>2690</v>
      </c>
      <c r="D372" s="28" t="s">
        <v>2691</v>
      </c>
      <c r="E372" s="28" t="s">
        <v>2692</v>
      </c>
      <c r="F372" s="28" t="s">
        <v>4788</v>
      </c>
      <c r="G372" s="28" t="s">
        <v>4789</v>
      </c>
      <c r="H372" s="28" t="s">
        <v>4790</v>
      </c>
      <c r="I372" s="28"/>
      <c r="J372" s="28"/>
      <c r="K372" s="28"/>
      <c r="L372" s="28"/>
      <c r="M372" s="28"/>
      <c r="N372" s="28"/>
      <c r="O372" s="65" t="s">
        <v>4792</v>
      </c>
      <c r="P372" s="67"/>
      <c r="Q372" s="67"/>
      <c r="R372" s="67"/>
      <c r="S372" s="67"/>
      <c r="T372" s="67"/>
      <c r="U372" s="67"/>
      <c r="V372" s="67"/>
      <c r="W372" s="67"/>
      <c r="X372" s="67"/>
      <c r="Y372" s="65" t="s">
        <v>4793</v>
      </c>
      <c r="Z372" s="67"/>
      <c r="AA372" s="67"/>
      <c r="AB372" s="67"/>
      <c r="AC372" s="67"/>
      <c r="AD372" s="139"/>
      <c r="AE372" s="139"/>
      <c r="AF372" s="139"/>
      <c r="AG372" s="139"/>
      <c r="AH372" s="139"/>
      <c r="AI372" s="139"/>
      <c r="AJ372" s="139"/>
      <c r="AK372" s="139"/>
      <c r="AL372" s="139"/>
      <c r="AM372" s="139"/>
      <c r="AN372" s="139"/>
      <c r="AO372" s="70"/>
      <c r="AP372" s="70"/>
      <c r="AQ372" s="70"/>
      <c r="AR372" s="70"/>
      <c r="AS372" s="70"/>
      <c r="AT372" s="70"/>
      <c r="AU372" s="70"/>
      <c r="AV372" s="70"/>
      <c r="AW372" s="70"/>
      <c r="AX372" s="70"/>
    </row>
    <row r="373" ht="15.75" customHeight="1">
      <c r="A373" s="169" t="s">
        <v>463</v>
      </c>
      <c r="B373" s="169" t="s">
        <v>2693</v>
      </c>
      <c r="C373" s="28" t="s">
        <v>2698</v>
      </c>
      <c r="D373" s="28" t="s">
        <v>2699</v>
      </c>
      <c r="E373" s="28" t="s">
        <v>2700</v>
      </c>
      <c r="F373" s="28"/>
      <c r="G373" s="28"/>
      <c r="H373" s="28"/>
      <c r="I373" s="28"/>
      <c r="J373" s="28"/>
      <c r="K373" s="28"/>
      <c r="L373" s="28"/>
      <c r="M373" s="28"/>
      <c r="N373" s="28"/>
      <c r="O373" s="67" t="s">
        <v>4797</v>
      </c>
      <c r="P373" s="67"/>
      <c r="Q373" s="67" t="s">
        <v>145</v>
      </c>
      <c r="R373" s="67"/>
      <c r="S373" s="67"/>
      <c r="T373" s="67"/>
      <c r="U373" s="67"/>
      <c r="V373" s="67"/>
      <c r="W373" s="67"/>
      <c r="X373" s="67"/>
      <c r="Y373" s="67"/>
      <c r="Z373" s="67"/>
      <c r="AA373" s="67"/>
      <c r="AB373" s="67"/>
      <c r="AC373" s="67"/>
      <c r="AD373" s="139"/>
      <c r="AE373" s="139"/>
      <c r="AF373" s="139"/>
      <c r="AG373" s="139"/>
      <c r="AH373" s="139"/>
      <c r="AI373" s="139"/>
      <c r="AJ373" s="139"/>
      <c r="AK373" s="139"/>
      <c r="AL373" s="139"/>
      <c r="AM373" s="139"/>
      <c r="AN373" s="139"/>
      <c r="AO373" s="70"/>
      <c r="AP373" s="70"/>
      <c r="AQ373" s="70"/>
      <c r="AR373" s="70"/>
      <c r="AS373" s="70"/>
      <c r="AT373" s="70"/>
      <c r="AU373" s="70"/>
      <c r="AV373" s="70"/>
      <c r="AW373" s="70"/>
      <c r="AX373" s="70"/>
    </row>
    <row r="374" ht="15.75" customHeight="1">
      <c r="A374" s="65" t="s">
        <v>134</v>
      </c>
      <c r="B374" s="66" t="s">
        <v>2701</v>
      </c>
      <c r="C374" s="28"/>
      <c r="D374" s="28"/>
      <c r="E374" s="28"/>
      <c r="F374" s="28"/>
      <c r="G374" s="28"/>
      <c r="H374" s="28"/>
      <c r="I374" s="28"/>
      <c r="J374" s="28"/>
      <c r="K374" s="28"/>
      <c r="L374" s="28"/>
      <c r="M374" s="28"/>
      <c r="N374" s="28"/>
      <c r="O374" s="67"/>
      <c r="P374" s="68"/>
      <c r="Q374" s="68"/>
      <c r="R374" s="67"/>
      <c r="S374" s="67"/>
      <c r="T374" s="65" t="s">
        <v>139</v>
      </c>
      <c r="U374" s="67"/>
      <c r="V374" s="67"/>
      <c r="W374" s="67"/>
      <c r="X374" s="67"/>
      <c r="Y374" s="67"/>
      <c r="Z374" s="67"/>
      <c r="AA374" s="67"/>
      <c r="AB374" s="67"/>
      <c r="AC374" s="67"/>
      <c r="AD374" s="67"/>
      <c r="AE374" s="67"/>
      <c r="AF374" s="67"/>
      <c r="AG374" s="67"/>
      <c r="AH374" s="67"/>
      <c r="AI374" s="67"/>
      <c r="AJ374" s="67"/>
      <c r="AK374" s="67"/>
      <c r="AL374" s="67"/>
      <c r="AM374" s="67"/>
      <c r="AN374" s="67"/>
      <c r="AO374" s="67"/>
      <c r="AP374" s="67"/>
      <c r="AQ374" s="67"/>
      <c r="AR374" s="67"/>
      <c r="AS374" s="67"/>
      <c r="AT374" s="67"/>
      <c r="AU374" s="67"/>
      <c r="AV374" s="67"/>
      <c r="AW374" s="67"/>
      <c r="AX374" s="67"/>
    </row>
    <row r="375" ht="15.75" customHeight="1">
      <c r="A375" s="58" t="s">
        <v>78</v>
      </c>
      <c r="B375" s="58" t="s">
        <v>2705</v>
      </c>
      <c r="C375" s="28"/>
      <c r="D375" s="28"/>
      <c r="E375" s="28"/>
      <c r="F375" s="28"/>
      <c r="G375" s="28"/>
      <c r="H375" s="28"/>
      <c r="I375" s="28"/>
      <c r="J375" s="28"/>
      <c r="K375" s="28"/>
      <c r="L375" s="28"/>
      <c r="M375" s="28"/>
      <c r="N375" s="28"/>
      <c r="O375" s="58"/>
      <c r="P375" s="24"/>
      <c r="Q375" s="24"/>
      <c r="R375" s="24"/>
      <c r="S375" s="24"/>
      <c r="T375" s="58" t="s">
        <v>4833</v>
      </c>
      <c r="U375" s="24"/>
      <c r="V375" s="24"/>
      <c r="W375" s="24"/>
      <c r="X375" s="24"/>
      <c r="Y375" s="24"/>
      <c r="Z375" s="24"/>
      <c r="AA375" s="24"/>
      <c r="AB375" s="24"/>
      <c r="AC375" s="24"/>
      <c r="AD375" s="24"/>
      <c r="AE375" s="24"/>
      <c r="AF375" s="24"/>
      <c r="AG375" s="24"/>
      <c r="AH375" s="24"/>
      <c r="AI375" s="24"/>
      <c r="AJ375" s="24"/>
      <c r="AK375" s="24"/>
      <c r="AL375" s="24"/>
      <c r="AM375" s="24"/>
      <c r="AN375" s="24"/>
      <c r="AO375" s="24"/>
      <c r="AP375" s="24"/>
      <c r="AQ375" s="24"/>
      <c r="AR375" s="24"/>
      <c r="AS375" s="24"/>
      <c r="AT375" s="24"/>
      <c r="AU375" s="24"/>
      <c r="AV375" s="24"/>
      <c r="AW375" s="24"/>
      <c r="AX375" s="24"/>
    </row>
    <row r="376">
      <c r="A376" s="136"/>
      <c r="B376" s="136"/>
      <c r="C376" s="28"/>
      <c r="D376" s="28"/>
      <c r="E376" s="28"/>
      <c r="F376" s="28"/>
      <c r="G376" s="28"/>
      <c r="H376" s="28"/>
      <c r="I376" s="28"/>
      <c r="J376" s="28"/>
      <c r="K376" s="28"/>
      <c r="L376" s="28"/>
      <c r="M376" s="28"/>
      <c r="N376" s="28"/>
      <c r="O376" s="136"/>
      <c r="P376" s="136"/>
      <c r="Q376" s="136"/>
      <c r="R376" s="136"/>
      <c r="S376" s="136"/>
      <c r="T376" s="136"/>
      <c r="U376" s="136"/>
      <c r="V376" s="136"/>
      <c r="W376" s="136"/>
      <c r="X376" s="136"/>
      <c r="Y376" s="136"/>
      <c r="Z376" s="136"/>
      <c r="AA376" s="136"/>
      <c r="AB376" s="136"/>
      <c r="AC376" s="136"/>
      <c r="AD376" s="136"/>
      <c r="AE376" s="136"/>
      <c r="AF376" s="136"/>
      <c r="AG376" s="136"/>
      <c r="AH376" s="136"/>
      <c r="AI376" s="136"/>
      <c r="AJ376" s="136"/>
      <c r="AK376" s="136"/>
      <c r="AL376" s="136"/>
      <c r="AM376" s="136"/>
      <c r="AN376" s="136"/>
      <c r="AO376" s="136"/>
      <c r="AP376" s="136"/>
      <c r="AQ376" s="136"/>
      <c r="AR376" s="136"/>
      <c r="AS376" s="136"/>
      <c r="AT376" s="136"/>
      <c r="AU376" s="136"/>
      <c r="AV376" s="136"/>
      <c r="AW376" s="136"/>
      <c r="AX376" s="136"/>
    </row>
    <row r="377" ht="15.75" customHeight="1">
      <c r="A377" s="65" t="s">
        <v>131</v>
      </c>
      <c r="B377" s="218" t="s">
        <v>2713</v>
      </c>
      <c r="C377" s="28"/>
      <c r="D377" s="28"/>
      <c r="E377" s="28"/>
      <c r="F377" s="28"/>
      <c r="G377" s="28"/>
      <c r="H377" s="28"/>
      <c r="I377" s="28"/>
      <c r="J377" s="28" t="s">
        <v>931</v>
      </c>
      <c r="K377" s="28"/>
      <c r="L377" s="28"/>
      <c r="M377" s="28"/>
      <c r="N377" s="28"/>
      <c r="O377" s="67"/>
      <c r="P377" s="67"/>
      <c r="Q377" s="67"/>
      <c r="R377" s="67"/>
      <c r="S377" s="67"/>
      <c r="T377" s="67"/>
      <c r="U377" s="67"/>
      <c r="V377" s="67"/>
      <c r="W377" s="67"/>
      <c r="X377" s="67"/>
      <c r="Y377" s="67"/>
      <c r="Z377" s="67"/>
      <c r="AA377" s="67"/>
      <c r="AB377" s="67"/>
      <c r="AC377" s="67"/>
      <c r="AD377" s="67"/>
      <c r="AE377" s="67"/>
      <c r="AF377" s="67"/>
      <c r="AG377" s="67"/>
      <c r="AH377" s="67"/>
      <c r="AI377" s="67"/>
      <c r="AJ377" s="67"/>
      <c r="AK377" s="67"/>
      <c r="AL377" s="67"/>
      <c r="AM377" s="67"/>
      <c r="AN377" s="67"/>
      <c r="AO377" s="70"/>
      <c r="AP377" s="70"/>
      <c r="AQ377" s="70"/>
      <c r="AR377" s="70"/>
      <c r="AS377" s="70"/>
      <c r="AT377" s="70"/>
      <c r="AU377" s="70"/>
      <c r="AV377" s="70"/>
      <c r="AW377" s="70"/>
      <c r="AX377" s="70"/>
    </row>
    <row r="378" ht="15.75" customHeight="1">
      <c r="A378" s="65" t="s">
        <v>134</v>
      </c>
      <c r="B378" s="66" t="s">
        <v>2717</v>
      </c>
      <c r="C378" s="28"/>
      <c r="D378" s="28"/>
      <c r="E378" s="28"/>
      <c r="F378" s="28"/>
      <c r="G378" s="28"/>
      <c r="H378" s="28"/>
      <c r="I378" s="28"/>
      <c r="J378" s="28"/>
      <c r="K378" s="28"/>
      <c r="L378" s="28"/>
      <c r="M378" s="28"/>
      <c r="N378" s="28"/>
      <c r="O378" s="67"/>
      <c r="P378" s="68"/>
      <c r="Q378" s="68"/>
      <c r="R378" s="67"/>
      <c r="S378" s="67"/>
      <c r="T378" s="65" t="s">
        <v>139</v>
      </c>
      <c r="U378" s="67"/>
      <c r="V378" s="67"/>
      <c r="W378" s="67"/>
      <c r="X378" s="67"/>
      <c r="Y378" s="67"/>
      <c r="Z378" s="67"/>
      <c r="AA378" s="67"/>
      <c r="AB378" s="67"/>
      <c r="AC378" s="67"/>
      <c r="AD378" s="67"/>
      <c r="AE378" s="67"/>
      <c r="AF378" s="67"/>
      <c r="AG378" s="67"/>
      <c r="AH378" s="67"/>
      <c r="AI378" s="67"/>
      <c r="AJ378" s="67"/>
      <c r="AK378" s="67"/>
      <c r="AL378" s="67"/>
      <c r="AM378" s="67"/>
      <c r="AN378" s="67"/>
      <c r="AO378" s="67"/>
      <c r="AP378" s="67"/>
      <c r="AQ378" s="67"/>
      <c r="AR378" s="67"/>
      <c r="AS378" s="67"/>
      <c r="AT378" s="67"/>
      <c r="AU378" s="67"/>
      <c r="AV378" s="67"/>
      <c r="AW378" s="67"/>
      <c r="AX378" s="67"/>
    </row>
    <row r="379" ht="15.75" customHeight="1">
      <c r="A379" s="65" t="s">
        <v>463</v>
      </c>
      <c r="B379" s="218" t="s">
        <v>2721</v>
      </c>
      <c r="C379" s="28" t="s">
        <v>2726</v>
      </c>
      <c r="D379" s="28" t="s">
        <v>2727</v>
      </c>
      <c r="E379" s="28" t="s">
        <v>2728</v>
      </c>
      <c r="F379" s="28"/>
      <c r="G379" s="28"/>
      <c r="H379" s="28"/>
      <c r="I379" s="28"/>
      <c r="J379" s="28" t="s">
        <v>8</v>
      </c>
      <c r="K379" s="28"/>
      <c r="L379" s="28"/>
      <c r="M379" s="28"/>
      <c r="N379" s="28"/>
      <c r="O379" s="67"/>
      <c r="P379" s="65"/>
      <c r="Q379" s="65"/>
      <c r="R379" s="67"/>
      <c r="S379" s="67"/>
      <c r="T379" s="67"/>
      <c r="U379" s="67"/>
      <c r="V379" s="67"/>
      <c r="W379" s="67"/>
      <c r="X379" s="67"/>
      <c r="Y379" s="67"/>
      <c r="Z379" s="67"/>
      <c r="AA379" s="67"/>
      <c r="AB379" s="67"/>
      <c r="AC379" s="67"/>
      <c r="AD379" s="67"/>
      <c r="AE379" s="67"/>
      <c r="AF379" s="67"/>
      <c r="AG379" s="67"/>
      <c r="AH379" s="67"/>
      <c r="AI379" s="67"/>
      <c r="AJ379" s="67"/>
      <c r="AK379" s="67"/>
      <c r="AL379" s="67"/>
      <c r="AM379" s="67"/>
      <c r="AN379" s="67"/>
      <c r="AO379" s="70"/>
      <c r="AP379" s="70"/>
      <c r="AQ379" s="70"/>
      <c r="AR379" s="70"/>
      <c r="AS379" s="70"/>
      <c r="AT379" s="70"/>
      <c r="AU379" s="70"/>
      <c r="AV379" s="70"/>
      <c r="AW379" s="70"/>
      <c r="AX379" s="70"/>
    </row>
    <row r="380" ht="15.75" customHeight="1">
      <c r="A380" s="65" t="s">
        <v>463</v>
      </c>
      <c r="B380" s="218" t="s">
        <v>2729</v>
      </c>
      <c r="C380" s="28" t="s">
        <v>2733</v>
      </c>
      <c r="D380" s="28" t="s">
        <v>2734</v>
      </c>
      <c r="E380" s="28" t="s">
        <v>2735</v>
      </c>
      <c r="F380" s="28"/>
      <c r="G380" s="28"/>
      <c r="H380" s="28"/>
      <c r="I380" s="28"/>
      <c r="J380" s="28" t="s">
        <v>958</v>
      </c>
      <c r="K380" s="28"/>
      <c r="L380" s="28"/>
      <c r="M380" s="28"/>
      <c r="N380" s="28"/>
      <c r="O380" s="67"/>
      <c r="P380" s="65"/>
      <c r="Q380" s="65" t="s">
        <v>145</v>
      </c>
      <c r="R380" s="67"/>
      <c r="S380" s="67"/>
      <c r="T380" s="67"/>
      <c r="U380" s="67"/>
      <c r="V380" s="67"/>
      <c r="W380" s="67"/>
      <c r="X380" s="67"/>
      <c r="Y380" s="67"/>
      <c r="Z380" s="67"/>
      <c r="AA380" s="67"/>
      <c r="AB380" s="67"/>
      <c r="AC380" s="67"/>
      <c r="AD380" s="67"/>
      <c r="AE380" s="67"/>
      <c r="AF380" s="67"/>
      <c r="AG380" s="67"/>
      <c r="AH380" s="67"/>
      <c r="AI380" s="67"/>
      <c r="AJ380" s="67"/>
      <c r="AK380" s="67"/>
      <c r="AL380" s="67"/>
      <c r="AM380" s="67"/>
      <c r="AN380" s="67"/>
      <c r="AO380" s="70"/>
      <c r="AP380" s="70"/>
      <c r="AQ380" s="70"/>
      <c r="AR380" s="70"/>
      <c r="AS380" s="70"/>
      <c r="AT380" s="70"/>
      <c r="AU380" s="70"/>
      <c r="AV380" s="70"/>
      <c r="AW380" s="70"/>
      <c r="AX380" s="70"/>
    </row>
    <row r="381" ht="15.75" customHeight="1">
      <c r="A381" s="65" t="s">
        <v>463</v>
      </c>
      <c r="B381" s="218" t="s">
        <v>2736</v>
      </c>
      <c r="C381" s="28" t="s">
        <v>2741</v>
      </c>
      <c r="D381" s="28" t="s">
        <v>2742</v>
      </c>
      <c r="E381" s="28" t="s">
        <v>2743</v>
      </c>
      <c r="F381" s="28"/>
      <c r="G381" s="28"/>
      <c r="H381" s="28"/>
      <c r="I381" s="28"/>
      <c r="J381" s="28" t="s">
        <v>958</v>
      </c>
      <c r="K381" s="28"/>
      <c r="L381" s="28"/>
      <c r="M381" s="28"/>
      <c r="N381" s="28"/>
      <c r="O381" s="67"/>
      <c r="P381" s="65"/>
      <c r="Q381" s="65" t="s">
        <v>145</v>
      </c>
      <c r="R381" s="67"/>
      <c r="S381" s="67"/>
      <c r="T381" s="67"/>
      <c r="U381" s="67"/>
      <c r="V381" s="67"/>
      <c r="W381" s="67"/>
      <c r="X381" s="67"/>
      <c r="Y381" s="67"/>
      <c r="Z381" s="67"/>
      <c r="AA381" s="67"/>
      <c r="AB381" s="67"/>
      <c r="AC381" s="67"/>
      <c r="AD381" s="67"/>
      <c r="AE381" s="67"/>
      <c r="AF381" s="67"/>
      <c r="AG381" s="67"/>
      <c r="AH381" s="67"/>
      <c r="AI381" s="67"/>
      <c r="AJ381" s="67"/>
      <c r="AK381" s="67"/>
      <c r="AL381" s="67"/>
      <c r="AM381" s="67"/>
      <c r="AN381" s="67"/>
      <c r="AO381" s="70"/>
      <c r="AP381" s="70"/>
      <c r="AQ381" s="70"/>
      <c r="AR381" s="70"/>
      <c r="AS381" s="70"/>
      <c r="AT381" s="70"/>
      <c r="AU381" s="70"/>
      <c r="AV381" s="70"/>
      <c r="AW381" s="70"/>
      <c r="AX381" s="70"/>
    </row>
    <row r="382" ht="15.75" customHeight="1">
      <c r="A382" s="65" t="s">
        <v>463</v>
      </c>
      <c r="B382" s="218" t="s">
        <v>2744</v>
      </c>
      <c r="C382" s="28" t="s">
        <v>2748</v>
      </c>
      <c r="D382" s="28" t="s">
        <v>2749</v>
      </c>
      <c r="E382" s="28" t="s">
        <v>2750</v>
      </c>
      <c r="F382" s="28"/>
      <c r="G382" s="28"/>
      <c r="H382" s="28"/>
      <c r="I382" s="28"/>
      <c r="J382" s="28" t="s">
        <v>958</v>
      </c>
      <c r="K382" s="28"/>
      <c r="L382" s="28"/>
      <c r="M382" s="28"/>
      <c r="N382" s="28"/>
      <c r="O382" s="67"/>
      <c r="P382" s="65"/>
      <c r="Q382" s="65" t="s">
        <v>145</v>
      </c>
      <c r="R382" s="67"/>
      <c r="S382" s="67"/>
      <c r="T382" s="67"/>
      <c r="U382" s="67"/>
      <c r="V382" s="67"/>
      <c r="W382" s="67"/>
      <c r="X382" s="67"/>
      <c r="Y382" s="67"/>
      <c r="Z382" s="67"/>
      <c r="AA382" s="67"/>
      <c r="AB382" s="67"/>
      <c r="AC382" s="67"/>
      <c r="AD382" s="67"/>
      <c r="AE382" s="67"/>
      <c r="AF382" s="67"/>
      <c r="AG382" s="67"/>
      <c r="AH382" s="67"/>
      <c r="AI382" s="67"/>
      <c r="AJ382" s="67"/>
      <c r="AK382" s="67"/>
      <c r="AL382" s="67"/>
      <c r="AM382" s="67"/>
      <c r="AN382" s="67"/>
      <c r="AO382" s="70"/>
      <c r="AP382" s="70"/>
      <c r="AQ382" s="70"/>
      <c r="AR382" s="70"/>
      <c r="AS382" s="70"/>
      <c r="AT382" s="70"/>
      <c r="AU382" s="70"/>
      <c r="AV382" s="70"/>
      <c r="AW382" s="70"/>
      <c r="AX382" s="70"/>
    </row>
    <row r="383" ht="15.75" customHeight="1">
      <c r="A383" s="65" t="s">
        <v>463</v>
      </c>
      <c r="B383" s="218" t="s">
        <v>2751</v>
      </c>
      <c r="C383" s="28" t="s">
        <v>2755</v>
      </c>
      <c r="D383" s="28" t="s">
        <v>2756</v>
      </c>
      <c r="E383" s="28" t="s">
        <v>2758</v>
      </c>
      <c r="F383" s="28"/>
      <c r="G383" s="28"/>
      <c r="H383" s="28"/>
      <c r="I383" s="28"/>
      <c r="J383" s="28" t="s">
        <v>958</v>
      </c>
      <c r="K383" s="28"/>
      <c r="L383" s="28"/>
      <c r="M383" s="28"/>
      <c r="N383" s="28"/>
      <c r="O383" s="67"/>
      <c r="P383" s="65"/>
      <c r="Q383" s="65" t="s">
        <v>145</v>
      </c>
      <c r="R383" s="67"/>
      <c r="S383" s="67"/>
      <c r="T383" s="67"/>
      <c r="U383" s="67"/>
      <c r="V383" s="67"/>
      <c r="W383" s="67"/>
      <c r="X383" s="67"/>
      <c r="Y383" s="67"/>
      <c r="Z383" s="67"/>
      <c r="AA383" s="67"/>
      <c r="AB383" s="67"/>
      <c r="AC383" s="67"/>
      <c r="AD383" s="67"/>
      <c r="AE383" s="67"/>
      <c r="AF383" s="67"/>
      <c r="AG383" s="67"/>
      <c r="AH383" s="67"/>
      <c r="AI383" s="67"/>
      <c r="AJ383" s="67"/>
      <c r="AK383" s="67"/>
      <c r="AL383" s="67"/>
      <c r="AM383" s="67"/>
      <c r="AN383" s="67"/>
      <c r="AO383" s="70"/>
      <c r="AP383" s="70"/>
      <c r="AQ383" s="70"/>
      <c r="AR383" s="70"/>
      <c r="AS383" s="70"/>
      <c r="AT383" s="70"/>
      <c r="AU383" s="70"/>
      <c r="AV383" s="70"/>
      <c r="AW383" s="70"/>
      <c r="AX383" s="70"/>
    </row>
    <row r="384" ht="15.75" customHeight="1">
      <c r="A384" s="65" t="s">
        <v>463</v>
      </c>
      <c r="B384" s="218" t="s">
        <v>2759</v>
      </c>
      <c r="C384" s="28" t="s">
        <v>2763</v>
      </c>
      <c r="D384" s="28" t="s">
        <v>2764</v>
      </c>
      <c r="E384" s="28" t="s">
        <v>2765</v>
      </c>
      <c r="F384" s="28"/>
      <c r="G384" s="28"/>
      <c r="H384" s="28"/>
      <c r="I384" s="28"/>
      <c r="J384" s="28" t="s">
        <v>958</v>
      </c>
      <c r="K384" s="28"/>
      <c r="L384" s="28"/>
      <c r="M384" s="28"/>
      <c r="N384" s="28"/>
      <c r="O384" s="67"/>
      <c r="P384" s="65"/>
      <c r="Q384" s="65" t="s">
        <v>145</v>
      </c>
      <c r="R384" s="67"/>
      <c r="S384" s="67"/>
      <c r="T384" s="67"/>
      <c r="U384" s="67"/>
      <c r="V384" s="67"/>
      <c r="W384" s="67"/>
      <c r="X384" s="67"/>
      <c r="Y384" s="67"/>
      <c r="Z384" s="67"/>
      <c r="AA384" s="67"/>
      <c r="AB384" s="67"/>
      <c r="AC384" s="67"/>
      <c r="AD384" s="67"/>
      <c r="AE384" s="67"/>
      <c r="AF384" s="67"/>
      <c r="AG384" s="67"/>
      <c r="AH384" s="67"/>
      <c r="AI384" s="67"/>
      <c r="AJ384" s="67"/>
      <c r="AK384" s="67"/>
      <c r="AL384" s="67"/>
      <c r="AM384" s="67"/>
      <c r="AN384" s="67"/>
      <c r="AO384" s="70"/>
      <c r="AP384" s="70"/>
      <c r="AQ384" s="70"/>
      <c r="AR384" s="70"/>
      <c r="AS384" s="70"/>
      <c r="AT384" s="70"/>
      <c r="AU384" s="70"/>
      <c r="AV384" s="70"/>
      <c r="AW384" s="70"/>
      <c r="AX384" s="70"/>
    </row>
    <row r="385" ht="15.75" customHeight="1">
      <c r="A385" s="65" t="s">
        <v>463</v>
      </c>
      <c r="B385" s="218" t="s">
        <v>2766</v>
      </c>
      <c r="C385" s="28" t="s">
        <v>2770</v>
      </c>
      <c r="D385" s="28" t="s">
        <v>2771</v>
      </c>
      <c r="E385" s="28" t="s">
        <v>2772</v>
      </c>
      <c r="F385" s="28"/>
      <c r="G385" s="28"/>
      <c r="H385" s="28"/>
      <c r="I385" s="28"/>
      <c r="J385" s="28" t="s">
        <v>958</v>
      </c>
      <c r="K385" s="28"/>
      <c r="L385" s="28"/>
      <c r="M385" s="28"/>
      <c r="N385" s="28"/>
      <c r="O385" s="67"/>
      <c r="P385" s="65"/>
      <c r="Q385" s="65" t="s">
        <v>145</v>
      </c>
      <c r="R385" s="67"/>
      <c r="S385" s="67"/>
      <c r="T385" s="67"/>
      <c r="U385" s="67"/>
      <c r="V385" s="67"/>
      <c r="W385" s="67"/>
      <c r="X385" s="67"/>
      <c r="Y385" s="67"/>
      <c r="Z385" s="67"/>
      <c r="AA385" s="67"/>
      <c r="AB385" s="67"/>
      <c r="AC385" s="67"/>
      <c r="AD385" s="67"/>
      <c r="AE385" s="67"/>
      <c r="AF385" s="67"/>
      <c r="AG385" s="67"/>
      <c r="AH385" s="67"/>
      <c r="AI385" s="67"/>
      <c r="AJ385" s="67"/>
      <c r="AK385" s="67"/>
      <c r="AL385" s="67"/>
      <c r="AM385" s="67"/>
      <c r="AN385" s="67"/>
      <c r="AO385" s="70"/>
      <c r="AP385" s="70"/>
      <c r="AQ385" s="70"/>
      <c r="AR385" s="70"/>
      <c r="AS385" s="70"/>
      <c r="AT385" s="70"/>
      <c r="AU385" s="70"/>
      <c r="AV385" s="70"/>
      <c r="AW385" s="70"/>
      <c r="AX385" s="70"/>
    </row>
    <row r="386" ht="15.75" customHeight="1">
      <c r="A386" s="65" t="s">
        <v>463</v>
      </c>
      <c r="B386" s="218" t="s">
        <v>2774</v>
      </c>
      <c r="C386" s="28" t="s">
        <v>2778</v>
      </c>
      <c r="D386" s="28" t="s">
        <v>2779</v>
      </c>
      <c r="E386" s="28" t="s">
        <v>2780</v>
      </c>
      <c r="F386" s="28"/>
      <c r="G386" s="28"/>
      <c r="H386" s="28"/>
      <c r="I386" s="28"/>
      <c r="J386" s="28" t="s">
        <v>958</v>
      </c>
      <c r="K386" s="28"/>
      <c r="L386" s="28"/>
      <c r="M386" s="28"/>
      <c r="N386" s="28"/>
      <c r="O386" s="67"/>
      <c r="P386" s="65"/>
      <c r="Q386" s="65" t="s">
        <v>145</v>
      </c>
      <c r="R386" s="67"/>
      <c r="S386" s="67"/>
      <c r="T386" s="67"/>
      <c r="U386" s="67"/>
      <c r="V386" s="67"/>
      <c r="W386" s="67"/>
      <c r="X386" s="67"/>
      <c r="Y386" s="67"/>
      <c r="Z386" s="67"/>
      <c r="AA386" s="67"/>
      <c r="AB386" s="67"/>
      <c r="AC386" s="67"/>
      <c r="AD386" s="67"/>
      <c r="AE386" s="67"/>
      <c r="AF386" s="67"/>
      <c r="AG386" s="67"/>
      <c r="AH386" s="67"/>
      <c r="AI386" s="67"/>
      <c r="AJ386" s="67"/>
      <c r="AK386" s="67"/>
      <c r="AL386" s="67"/>
      <c r="AM386" s="67"/>
      <c r="AN386" s="67"/>
      <c r="AO386" s="70"/>
      <c r="AP386" s="70"/>
      <c r="AQ386" s="70"/>
      <c r="AR386" s="70"/>
      <c r="AS386" s="70"/>
      <c r="AT386" s="70"/>
      <c r="AU386" s="70"/>
      <c r="AV386" s="70"/>
      <c r="AW386" s="70"/>
      <c r="AX386" s="70"/>
    </row>
    <row r="387" ht="15.75" customHeight="1">
      <c r="A387" s="65" t="s">
        <v>463</v>
      </c>
      <c r="B387" s="218" t="s">
        <v>2781</v>
      </c>
      <c r="C387" s="28" t="s">
        <v>2785</v>
      </c>
      <c r="D387" s="28" t="s">
        <v>2786</v>
      </c>
      <c r="E387" s="28" t="s">
        <v>2787</v>
      </c>
      <c r="F387" s="28"/>
      <c r="G387" s="28"/>
      <c r="H387" s="28"/>
      <c r="I387" s="28"/>
      <c r="J387" s="28" t="s">
        <v>958</v>
      </c>
      <c r="K387" s="28"/>
      <c r="L387" s="28"/>
      <c r="M387" s="28"/>
      <c r="N387" s="28"/>
      <c r="O387" s="67"/>
      <c r="P387" s="65"/>
      <c r="Q387" s="65" t="s">
        <v>145</v>
      </c>
      <c r="R387" s="67"/>
      <c r="S387" s="67"/>
      <c r="T387" s="67"/>
      <c r="U387" s="67"/>
      <c r="V387" s="67"/>
      <c r="W387" s="67"/>
      <c r="X387" s="67"/>
      <c r="Y387" s="67"/>
      <c r="Z387" s="67"/>
      <c r="AA387" s="67"/>
      <c r="AB387" s="67"/>
      <c r="AC387" s="67"/>
      <c r="AD387" s="67"/>
      <c r="AE387" s="67"/>
      <c r="AF387" s="67"/>
      <c r="AG387" s="67"/>
      <c r="AH387" s="67"/>
      <c r="AI387" s="67"/>
      <c r="AJ387" s="67"/>
      <c r="AK387" s="67"/>
      <c r="AL387" s="67"/>
      <c r="AM387" s="67"/>
      <c r="AN387" s="67"/>
      <c r="AO387" s="70"/>
      <c r="AP387" s="70"/>
      <c r="AQ387" s="70"/>
      <c r="AR387" s="70"/>
      <c r="AS387" s="70"/>
      <c r="AT387" s="70"/>
      <c r="AU387" s="70"/>
      <c r="AV387" s="70"/>
      <c r="AW387" s="70"/>
      <c r="AX387" s="70"/>
    </row>
    <row r="388" ht="15.75" customHeight="1">
      <c r="A388" s="65" t="s">
        <v>463</v>
      </c>
      <c r="B388" s="218" t="s">
        <v>2788</v>
      </c>
      <c r="C388" s="28" t="s">
        <v>2793</v>
      </c>
      <c r="D388" s="28" t="s">
        <v>2794</v>
      </c>
      <c r="E388" s="28" t="s">
        <v>2795</v>
      </c>
      <c r="F388" s="28"/>
      <c r="G388" s="28"/>
      <c r="H388" s="28"/>
      <c r="I388" s="28"/>
      <c r="J388" s="28" t="s">
        <v>958</v>
      </c>
      <c r="K388" s="28"/>
      <c r="L388" s="28"/>
      <c r="M388" s="28"/>
      <c r="N388" s="28"/>
      <c r="O388" s="67"/>
      <c r="P388" s="65"/>
      <c r="Q388" s="65" t="s">
        <v>145</v>
      </c>
      <c r="R388" s="67"/>
      <c r="S388" s="67"/>
      <c r="T388" s="67"/>
      <c r="U388" s="67"/>
      <c r="V388" s="67"/>
      <c r="W388" s="67"/>
      <c r="X388" s="67"/>
      <c r="Y388" s="67"/>
      <c r="Z388" s="67"/>
      <c r="AA388" s="67"/>
      <c r="AB388" s="67"/>
      <c r="AC388" s="67"/>
      <c r="AD388" s="67"/>
      <c r="AE388" s="67"/>
      <c r="AF388" s="67"/>
      <c r="AG388" s="67"/>
      <c r="AH388" s="67"/>
      <c r="AI388" s="67"/>
      <c r="AJ388" s="67"/>
      <c r="AK388" s="67"/>
      <c r="AL388" s="67"/>
      <c r="AM388" s="67"/>
      <c r="AN388" s="67"/>
      <c r="AO388" s="70"/>
      <c r="AP388" s="70"/>
      <c r="AQ388" s="70"/>
      <c r="AR388" s="70"/>
      <c r="AS388" s="70"/>
      <c r="AT388" s="70"/>
      <c r="AU388" s="70"/>
      <c r="AV388" s="70"/>
      <c r="AW388" s="70"/>
      <c r="AX388" s="70"/>
    </row>
    <row r="389" ht="15.75" customHeight="1">
      <c r="A389" s="65" t="s">
        <v>463</v>
      </c>
      <c r="B389" s="218" t="s">
        <v>2796</v>
      </c>
      <c r="C389" s="28" t="s">
        <v>2800</v>
      </c>
      <c r="D389" s="28" t="s">
        <v>2801</v>
      </c>
      <c r="E389" s="28" t="s">
        <v>2802</v>
      </c>
      <c r="F389" s="28"/>
      <c r="G389" s="28"/>
      <c r="H389" s="28"/>
      <c r="I389" s="28"/>
      <c r="J389" s="28" t="s">
        <v>958</v>
      </c>
      <c r="K389" s="28"/>
      <c r="L389" s="28"/>
      <c r="M389" s="28"/>
      <c r="N389" s="28"/>
      <c r="O389" s="67"/>
      <c r="P389" s="65"/>
      <c r="Q389" s="65" t="s">
        <v>145</v>
      </c>
      <c r="R389" s="67"/>
      <c r="S389" s="67"/>
      <c r="T389" s="67"/>
      <c r="U389" s="67"/>
      <c r="V389" s="67"/>
      <c r="W389" s="67"/>
      <c r="X389" s="67"/>
      <c r="Y389" s="67"/>
      <c r="Z389" s="67"/>
      <c r="AA389" s="67"/>
      <c r="AB389" s="67"/>
      <c r="AC389" s="67"/>
      <c r="AD389" s="67"/>
      <c r="AE389" s="67"/>
      <c r="AF389" s="67"/>
      <c r="AG389" s="67"/>
      <c r="AH389" s="67"/>
      <c r="AI389" s="67"/>
      <c r="AJ389" s="67"/>
      <c r="AK389" s="67"/>
      <c r="AL389" s="67"/>
      <c r="AM389" s="67"/>
      <c r="AN389" s="67"/>
      <c r="AO389" s="70"/>
      <c r="AP389" s="70"/>
      <c r="AQ389" s="70"/>
      <c r="AR389" s="70"/>
      <c r="AS389" s="70"/>
      <c r="AT389" s="70"/>
      <c r="AU389" s="70"/>
      <c r="AV389" s="70"/>
      <c r="AW389" s="70"/>
      <c r="AX389" s="70"/>
    </row>
    <row r="390" ht="15.75" customHeight="1">
      <c r="A390" s="65" t="s">
        <v>237</v>
      </c>
      <c r="B390" s="218" t="s">
        <v>2713</v>
      </c>
      <c r="C390" s="28"/>
      <c r="D390" s="28"/>
      <c r="E390" s="28"/>
      <c r="F390" s="28"/>
      <c r="G390" s="28"/>
      <c r="H390" s="28"/>
      <c r="I390" s="28"/>
      <c r="J390" s="28"/>
      <c r="K390" s="28"/>
      <c r="L390" s="28"/>
      <c r="M390" s="28"/>
      <c r="N390" s="28"/>
      <c r="O390" s="67"/>
      <c r="P390" s="67"/>
      <c r="Q390" s="67"/>
      <c r="R390" s="67"/>
      <c r="S390" s="67"/>
      <c r="T390" s="67"/>
      <c r="U390" s="67"/>
      <c r="V390" s="67"/>
      <c r="W390" s="67"/>
      <c r="X390" s="67"/>
      <c r="Y390" s="67"/>
      <c r="Z390" s="67"/>
      <c r="AA390" s="67"/>
      <c r="AB390" s="67"/>
      <c r="AC390" s="67"/>
      <c r="AD390" s="67"/>
      <c r="AE390" s="67"/>
      <c r="AF390" s="67"/>
      <c r="AG390" s="67"/>
      <c r="AH390" s="67"/>
      <c r="AI390" s="67"/>
      <c r="AJ390" s="67"/>
      <c r="AK390" s="67"/>
      <c r="AL390" s="67"/>
      <c r="AM390" s="67"/>
      <c r="AN390" s="67"/>
      <c r="AO390" s="70"/>
      <c r="AP390" s="70"/>
      <c r="AQ390" s="70"/>
      <c r="AR390" s="70"/>
      <c r="AS390" s="70"/>
      <c r="AT390" s="70"/>
      <c r="AU390" s="70"/>
      <c r="AV390" s="70"/>
      <c r="AW390" s="70"/>
      <c r="AX390" s="70"/>
    </row>
    <row r="391" ht="15.75" customHeight="1">
      <c r="A391" s="65" t="s">
        <v>463</v>
      </c>
      <c r="B391" s="218" t="s">
        <v>2807</v>
      </c>
      <c r="C391" s="28" t="s">
        <v>2811</v>
      </c>
      <c r="D391" s="28" t="s">
        <v>2812</v>
      </c>
      <c r="E391" s="28" t="s">
        <v>2813</v>
      </c>
      <c r="F391" s="28"/>
      <c r="G391" s="28"/>
      <c r="H391" s="28"/>
      <c r="I391" s="28"/>
      <c r="J391" s="28"/>
      <c r="K391" s="28"/>
      <c r="L391" s="28"/>
      <c r="M391" s="28"/>
      <c r="N391" s="28"/>
      <c r="O391" s="65" t="s">
        <v>5047</v>
      </c>
      <c r="P391" s="65"/>
      <c r="Q391" s="65" t="s">
        <v>145</v>
      </c>
      <c r="R391" s="67"/>
      <c r="S391" s="67"/>
      <c r="T391" s="67"/>
      <c r="U391" s="67"/>
      <c r="V391" s="67"/>
      <c r="W391" s="67"/>
      <c r="X391" s="67"/>
      <c r="Y391" s="67"/>
      <c r="Z391" s="67"/>
      <c r="AA391" s="67"/>
      <c r="AB391" s="67"/>
      <c r="AC391" s="67"/>
      <c r="AD391" s="67"/>
      <c r="AE391" s="67"/>
      <c r="AF391" s="67"/>
      <c r="AG391" s="67"/>
      <c r="AH391" s="67"/>
      <c r="AI391" s="67"/>
      <c r="AJ391" s="67"/>
      <c r="AK391" s="67"/>
      <c r="AL391" s="67"/>
      <c r="AM391" s="67"/>
      <c r="AN391" s="67"/>
      <c r="AO391" s="70"/>
      <c r="AP391" s="70"/>
      <c r="AQ391" s="70"/>
      <c r="AR391" s="70"/>
      <c r="AS391" s="70"/>
      <c r="AT391" s="70"/>
      <c r="AU391" s="70"/>
      <c r="AV391" s="70"/>
      <c r="AW391" s="70"/>
      <c r="AX391" s="70"/>
    </row>
    <row r="392" ht="15.75" customHeight="1">
      <c r="A392" s="65" t="s">
        <v>2815</v>
      </c>
      <c r="B392" s="218" t="s">
        <v>2816</v>
      </c>
      <c r="C392" s="28" t="s">
        <v>2820</v>
      </c>
      <c r="D392" s="28" t="s">
        <v>2821</v>
      </c>
      <c r="E392" s="28" t="s">
        <v>2822</v>
      </c>
      <c r="F392" s="28"/>
      <c r="G392" s="28"/>
      <c r="H392" s="28"/>
      <c r="I392" s="28"/>
      <c r="J392" s="28"/>
      <c r="K392" s="28"/>
      <c r="L392" s="28"/>
      <c r="M392" s="28"/>
      <c r="N392" s="28"/>
      <c r="O392" s="65" t="s">
        <v>5047</v>
      </c>
      <c r="P392" s="65"/>
      <c r="Q392" s="65" t="s">
        <v>145</v>
      </c>
      <c r="R392" s="67"/>
      <c r="S392" s="67"/>
      <c r="T392" s="67"/>
      <c r="U392" s="67"/>
      <c r="V392" s="67"/>
      <c r="W392" s="67"/>
      <c r="X392" s="67"/>
      <c r="Y392" s="67"/>
      <c r="Z392" s="67"/>
      <c r="AA392" s="67"/>
      <c r="AB392" s="67"/>
      <c r="AC392" s="67"/>
      <c r="AD392" s="67"/>
      <c r="AE392" s="67"/>
      <c r="AF392" s="67"/>
      <c r="AG392" s="67"/>
      <c r="AH392" s="67"/>
      <c r="AI392" s="67"/>
      <c r="AJ392" s="67"/>
      <c r="AK392" s="67"/>
      <c r="AL392" s="67"/>
      <c r="AM392" s="67"/>
      <c r="AN392" s="67"/>
      <c r="AO392" s="70"/>
      <c r="AP392" s="70"/>
      <c r="AQ392" s="70"/>
      <c r="AR392" s="70"/>
      <c r="AS392" s="70"/>
      <c r="AT392" s="70"/>
      <c r="AU392" s="70"/>
      <c r="AV392" s="70"/>
      <c r="AW392" s="70"/>
      <c r="AX392" s="70"/>
    </row>
    <row r="393" ht="15.75" customHeight="1">
      <c r="A393" s="65" t="s">
        <v>246</v>
      </c>
      <c r="B393" s="218" t="s">
        <v>2823</v>
      </c>
      <c r="C393" s="28" t="s">
        <v>2827</v>
      </c>
      <c r="D393" s="28" t="s">
        <v>2828</v>
      </c>
      <c r="E393" s="28" t="s">
        <v>2829</v>
      </c>
      <c r="F393" s="28"/>
      <c r="G393" s="28"/>
      <c r="H393" s="28"/>
      <c r="I393" s="28"/>
      <c r="J393" s="28"/>
      <c r="K393" s="28"/>
      <c r="L393" s="28"/>
      <c r="M393" s="28"/>
      <c r="N393" s="28"/>
      <c r="O393" s="65" t="s">
        <v>5093</v>
      </c>
      <c r="P393" s="65"/>
      <c r="Q393" s="65" t="s">
        <v>145</v>
      </c>
      <c r="R393" s="67"/>
      <c r="S393" s="67"/>
      <c r="T393" s="67"/>
      <c r="U393" s="67"/>
      <c r="V393" s="67"/>
      <c r="W393" s="67"/>
      <c r="X393" s="67"/>
      <c r="Y393" s="67"/>
      <c r="Z393" s="67"/>
      <c r="AA393" s="67"/>
      <c r="AB393" s="67"/>
      <c r="AC393" s="67"/>
      <c r="AD393" s="67"/>
      <c r="AE393" s="67"/>
      <c r="AF393" s="67"/>
      <c r="AG393" s="67"/>
      <c r="AH393" s="67"/>
      <c r="AI393" s="67"/>
      <c r="AJ393" s="67"/>
      <c r="AK393" s="67"/>
      <c r="AL393" s="67"/>
      <c r="AM393" s="67"/>
      <c r="AN393" s="67"/>
      <c r="AO393" s="70"/>
      <c r="AP393" s="70"/>
      <c r="AQ393" s="70"/>
      <c r="AR393" s="70"/>
      <c r="AS393" s="70"/>
      <c r="AT393" s="70"/>
      <c r="AU393" s="70"/>
      <c r="AV393" s="70"/>
      <c r="AW393" s="70"/>
      <c r="AX393" s="70"/>
    </row>
    <row r="394" ht="15.75" customHeight="1">
      <c r="A394" s="65" t="s">
        <v>2830</v>
      </c>
      <c r="B394" s="218" t="s">
        <v>2831</v>
      </c>
      <c r="C394" s="28" t="s">
        <v>2836</v>
      </c>
      <c r="D394" s="28" t="s">
        <v>2837</v>
      </c>
      <c r="E394" s="28" t="s">
        <v>2838</v>
      </c>
      <c r="F394" s="28"/>
      <c r="G394" s="28"/>
      <c r="H394" s="28"/>
      <c r="I394" s="28"/>
      <c r="J394" s="28"/>
      <c r="K394" s="28"/>
      <c r="L394" s="28"/>
      <c r="M394" s="28"/>
      <c r="N394" s="28"/>
      <c r="O394" s="65" t="s">
        <v>5047</v>
      </c>
      <c r="P394" s="65"/>
      <c r="Q394" s="65" t="s">
        <v>145</v>
      </c>
      <c r="R394" s="67"/>
      <c r="S394" s="67"/>
      <c r="T394" s="67"/>
      <c r="U394" s="67"/>
      <c r="V394" s="67"/>
      <c r="W394" s="67"/>
      <c r="X394" s="67"/>
      <c r="Y394" s="67"/>
      <c r="Z394" s="67"/>
      <c r="AA394" s="67"/>
      <c r="AB394" s="67"/>
      <c r="AC394" s="67"/>
      <c r="AD394" s="67"/>
      <c r="AE394" s="67"/>
      <c r="AF394" s="67"/>
      <c r="AG394" s="67"/>
      <c r="AH394" s="67"/>
      <c r="AI394" s="67"/>
      <c r="AJ394" s="67"/>
      <c r="AK394" s="67"/>
      <c r="AL394" s="67"/>
      <c r="AM394" s="67"/>
      <c r="AN394" s="67"/>
      <c r="AO394" s="70"/>
      <c r="AP394" s="70"/>
      <c r="AQ394" s="70"/>
      <c r="AR394" s="70"/>
      <c r="AS394" s="70"/>
      <c r="AT394" s="70"/>
      <c r="AU394" s="70"/>
      <c r="AV394" s="70"/>
      <c r="AW394" s="70"/>
      <c r="AX394" s="70"/>
    </row>
    <row r="395" ht="15.75" customHeight="1">
      <c r="A395" s="65" t="s">
        <v>2839</v>
      </c>
      <c r="B395" s="218" t="s">
        <v>2840</v>
      </c>
      <c r="C395" s="28" t="s">
        <v>2844</v>
      </c>
      <c r="D395" s="28" t="s">
        <v>2845</v>
      </c>
      <c r="E395" s="28" t="s">
        <v>2846</v>
      </c>
      <c r="F395" s="28"/>
      <c r="G395" s="28"/>
      <c r="H395" s="28"/>
      <c r="I395" s="28"/>
      <c r="J395" s="28"/>
      <c r="K395" s="28"/>
      <c r="L395" s="28"/>
      <c r="M395" s="28"/>
      <c r="N395" s="28"/>
      <c r="O395" s="65" t="s">
        <v>5117</v>
      </c>
      <c r="P395" s="65"/>
      <c r="Q395" s="65" t="s">
        <v>145</v>
      </c>
      <c r="R395" s="67"/>
      <c r="S395" s="67"/>
      <c r="T395" s="67"/>
      <c r="U395" s="67"/>
      <c r="V395" s="67"/>
      <c r="W395" s="67"/>
      <c r="X395" s="67"/>
      <c r="Y395" s="67"/>
      <c r="Z395" s="67"/>
      <c r="AA395" s="67"/>
      <c r="AB395" s="67"/>
      <c r="AC395" s="67"/>
      <c r="AD395" s="67"/>
      <c r="AE395" s="67"/>
      <c r="AF395" s="67"/>
      <c r="AG395" s="67"/>
      <c r="AH395" s="67"/>
      <c r="AI395" s="67"/>
      <c r="AJ395" s="67"/>
      <c r="AK395" s="67"/>
      <c r="AL395" s="67"/>
      <c r="AM395" s="67"/>
      <c r="AN395" s="67"/>
      <c r="AO395" s="70"/>
      <c r="AP395" s="70"/>
      <c r="AQ395" s="70"/>
      <c r="AR395" s="70"/>
      <c r="AS395" s="70"/>
      <c r="AT395" s="70"/>
      <c r="AU395" s="70"/>
      <c r="AV395" s="70"/>
      <c r="AW395" s="70"/>
      <c r="AX395" s="70"/>
    </row>
    <row r="396" ht="15.75" customHeight="1">
      <c r="A396" s="229" t="s">
        <v>246</v>
      </c>
      <c r="B396" s="218" t="s">
        <v>2847</v>
      </c>
      <c r="C396" s="28" t="s">
        <v>2824</v>
      </c>
      <c r="D396" s="28" t="s">
        <v>2825</v>
      </c>
      <c r="E396" s="28" t="s">
        <v>2826</v>
      </c>
      <c r="F396" s="28"/>
      <c r="G396" s="28"/>
      <c r="H396" s="28"/>
      <c r="I396" s="28"/>
      <c r="J396" s="28"/>
      <c r="K396" s="28"/>
      <c r="L396" s="28"/>
      <c r="M396" s="28"/>
      <c r="N396" s="28"/>
      <c r="O396" s="65" t="s">
        <v>5133</v>
      </c>
      <c r="P396" s="229"/>
      <c r="Q396" s="229" t="s">
        <v>145</v>
      </c>
      <c r="R396" s="70"/>
      <c r="S396" s="70"/>
      <c r="T396" s="70"/>
      <c r="U396" s="70"/>
      <c r="V396" s="70"/>
      <c r="W396" s="70"/>
      <c r="X396" s="70"/>
      <c r="Y396" s="70"/>
      <c r="Z396" s="70"/>
      <c r="AA396" s="70"/>
      <c r="AB396" s="70"/>
      <c r="AC396" s="70"/>
      <c r="AD396" s="70"/>
      <c r="AE396" s="70"/>
      <c r="AF396" s="70"/>
      <c r="AG396" s="70"/>
      <c r="AH396" s="70"/>
      <c r="AI396" s="70"/>
      <c r="AJ396" s="70"/>
      <c r="AK396" s="70"/>
      <c r="AL396" s="70"/>
      <c r="AM396" s="70"/>
      <c r="AN396" s="70"/>
      <c r="AO396" s="70"/>
      <c r="AP396" s="70"/>
      <c r="AQ396" s="70"/>
      <c r="AR396" s="70"/>
      <c r="AS396" s="70"/>
      <c r="AT396" s="70"/>
      <c r="AU396" s="70"/>
      <c r="AV396" s="70"/>
      <c r="AW396" s="70"/>
      <c r="AX396" s="70"/>
    </row>
    <row r="397" ht="15.75" customHeight="1">
      <c r="A397" s="65" t="s">
        <v>134</v>
      </c>
      <c r="B397" s="66" t="s">
        <v>2852</v>
      </c>
      <c r="C397" s="28"/>
      <c r="D397" s="28"/>
      <c r="E397" s="28"/>
      <c r="F397" s="28"/>
      <c r="G397" s="28"/>
      <c r="H397" s="28"/>
      <c r="I397" s="28"/>
      <c r="J397" s="28"/>
      <c r="K397" s="28"/>
      <c r="L397" s="28"/>
      <c r="M397" s="28"/>
      <c r="N397" s="28"/>
      <c r="O397" s="67"/>
      <c r="P397" s="68"/>
      <c r="Q397" s="68"/>
      <c r="R397" s="67"/>
      <c r="S397" s="67"/>
      <c r="T397" s="65" t="s">
        <v>139</v>
      </c>
      <c r="U397" s="67"/>
      <c r="V397" s="67"/>
      <c r="W397" s="67"/>
      <c r="X397" s="67"/>
      <c r="Y397" s="67"/>
      <c r="Z397" s="67"/>
      <c r="AA397" s="67"/>
      <c r="AB397" s="67"/>
      <c r="AC397" s="67"/>
      <c r="AD397" s="67"/>
      <c r="AE397" s="67"/>
      <c r="AF397" s="67"/>
      <c r="AG397" s="67"/>
      <c r="AH397" s="67"/>
      <c r="AI397" s="67"/>
      <c r="AJ397" s="67"/>
      <c r="AK397" s="67"/>
      <c r="AL397" s="67"/>
      <c r="AM397" s="67"/>
      <c r="AN397" s="67"/>
      <c r="AO397" s="67"/>
      <c r="AP397" s="67"/>
      <c r="AQ397" s="67"/>
      <c r="AR397" s="67"/>
      <c r="AS397" s="67"/>
      <c r="AT397" s="67"/>
      <c r="AU397" s="67"/>
      <c r="AV397" s="67"/>
      <c r="AW397" s="67"/>
      <c r="AX397" s="67"/>
    </row>
    <row r="398" ht="15.75" customHeight="1">
      <c r="A398" s="58" t="s">
        <v>78</v>
      </c>
      <c r="B398" s="58" t="s">
        <v>2857</v>
      </c>
      <c r="C398" s="28"/>
      <c r="D398" s="28"/>
      <c r="E398" s="28"/>
      <c r="F398" s="28"/>
      <c r="G398" s="28"/>
      <c r="H398" s="28"/>
      <c r="I398" s="28"/>
      <c r="J398" s="28"/>
      <c r="K398" s="28"/>
      <c r="L398" s="28"/>
      <c r="M398" s="28"/>
      <c r="N398" s="28"/>
      <c r="O398" s="58"/>
      <c r="P398" s="24"/>
      <c r="Q398" s="24"/>
      <c r="R398" s="24"/>
      <c r="S398" s="24"/>
      <c r="T398" s="58" t="s">
        <v>5160</v>
      </c>
      <c r="U398" s="24"/>
      <c r="V398" s="24"/>
      <c r="W398" s="24"/>
      <c r="X398" s="24"/>
      <c r="Y398" s="24"/>
      <c r="Z398" s="24"/>
      <c r="AA398" s="24"/>
      <c r="AB398" s="24"/>
      <c r="AC398" s="24"/>
      <c r="AD398" s="24"/>
      <c r="AE398" s="24"/>
      <c r="AF398" s="24"/>
      <c r="AG398" s="24"/>
      <c r="AH398" s="24"/>
      <c r="AI398" s="24"/>
      <c r="AJ398" s="24"/>
      <c r="AK398" s="24"/>
      <c r="AL398" s="24"/>
      <c r="AM398" s="24"/>
      <c r="AN398" s="24"/>
      <c r="AO398" s="24"/>
      <c r="AP398" s="24"/>
      <c r="AQ398" s="24"/>
      <c r="AR398" s="24"/>
      <c r="AS398" s="24"/>
      <c r="AT398" s="24"/>
      <c r="AU398" s="24"/>
      <c r="AV398" s="24"/>
      <c r="AW398" s="24"/>
      <c r="AX398" s="24"/>
    </row>
    <row r="399" ht="15.75" customHeight="1">
      <c r="A399" s="221"/>
      <c r="B399" s="222"/>
      <c r="C399" s="28"/>
      <c r="D399" s="28"/>
      <c r="E399" s="28"/>
      <c r="F399" s="28"/>
      <c r="G399" s="28"/>
      <c r="H399" s="28"/>
      <c r="I399" s="28"/>
      <c r="J399" s="28"/>
      <c r="K399" s="28"/>
      <c r="L399" s="28"/>
      <c r="M399" s="28"/>
      <c r="N399" s="28"/>
      <c r="O399" s="70"/>
      <c r="P399" s="70"/>
      <c r="Q399" s="70"/>
      <c r="R399" s="70"/>
      <c r="S399" s="70"/>
      <c r="T399" s="70"/>
      <c r="U399" s="70"/>
      <c r="V399" s="70"/>
      <c r="W399" s="70"/>
      <c r="X399" s="70"/>
      <c r="Y399" s="70"/>
      <c r="Z399" s="70"/>
      <c r="AA399" s="70"/>
      <c r="AB399" s="70"/>
      <c r="AC399" s="70"/>
      <c r="AD399" s="70"/>
      <c r="AE399" s="70"/>
      <c r="AF399" s="70"/>
      <c r="AG399" s="70"/>
      <c r="AH399" s="70"/>
      <c r="AI399" s="70"/>
      <c r="AJ399" s="70"/>
      <c r="AK399" s="70"/>
      <c r="AL399" s="70"/>
      <c r="AM399" s="70"/>
      <c r="AN399" s="70"/>
      <c r="AO399" s="70"/>
      <c r="AP399" s="70"/>
      <c r="AQ399" s="70"/>
      <c r="AR399" s="70"/>
      <c r="AS399" s="70"/>
      <c r="AT399" s="70"/>
      <c r="AU399" s="70"/>
      <c r="AV399" s="70"/>
      <c r="AW399" s="70"/>
      <c r="AX399" s="70"/>
    </row>
    <row r="400" ht="15.75" customHeight="1">
      <c r="A400" s="65" t="s">
        <v>134</v>
      </c>
      <c r="B400" s="66" t="s">
        <v>2867</v>
      </c>
      <c r="C400" s="28"/>
      <c r="D400" s="28"/>
      <c r="E400" s="28"/>
      <c r="F400" s="28"/>
      <c r="G400" s="28"/>
      <c r="H400" s="28"/>
      <c r="I400" s="28"/>
      <c r="J400" s="28"/>
      <c r="K400" s="28"/>
      <c r="L400" s="28"/>
      <c r="M400" s="28"/>
      <c r="N400" s="28"/>
      <c r="O400" s="67"/>
      <c r="P400" s="68"/>
      <c r="Q400" s="68"/>
      <c r="R400" s="67"/>
      <c r="S400" s="67"/>
      <c r="T400" s="65" t="s">
        <v>139</v>
      </c>
      <c r="U400" s="67"/>
      <c r="V400" s="67"/>
      <c r="W400" s="67"/>
      <c r="X400" s="67"/>
      <c r="Y400" s="67"/>
      <c r="Z400" s="67"/>
      <c r="AA400" s="67"/>
      <c r="AB400" s="67"/>
      <c r="AC400" s="67"/>
      <c r="AD400" s="67"/>
      <c r="AE400" s="67"/>
      <c r="AF400" s="67"/>
      <c r="AG400" s="67"/>
      <c r="AH400" s="67"/>
      <c r="AI400" s="67"/>
      <c r="AJ400" s="67"/>
      <c r="AK400" s="67"/>
      <c r="AL400" s="67"/>
      <c r="AM400" s="67"/>
      <c r="AN400" s="67"/>
      <c r="AO400" s="67"/>
      <c r="AP400" s="67"/>
      <c r="AQ400" s="67"/>
      <c r="AR400" s="67"/>
      <c r="AS400" s="67"/>
      <c r="AT400" s="67"/>
      <c r="AU400" s="67"/>
      <c r="AV400" s="67"/>
      <c r="AW400" s="67"/>
      <c r="AX400" s="67"/>
    </row>
    <row r="401" ht="15.75" customHeight="1">
      <c r="A401" s="65" t="s">
        <v>134</v>
      </c>
      <c r="B401" s="66" t="s">
        <v>2873</v>
      </c>
      <c r="C401" s="28"/>
      <c r="D401" s="28"/>
      <c r="E401" s="28"/>
      <c r="F401" s="28"/>
      <c r="G401" s="28"/>
      <c r="H401" s="28"/>
      <c r="I401" s="28"/>
      <c r="J401" s="28"/>
      <c r="K401" s="28"/>
      <c r="L401" s="28"/>
      <c r="M401" s="28"/>
      <c r="N401" s="28"/>
      <c r="O401" s="120"/>
      <c r="P401" s="120"/>
      <c r="Q401" s="120"/>
      <c r="R401" s="120"/>
      <c r="S401" s="120"/>
      <c r="T401" s="65" t="s">
        <v>139</v>
      </c>
      <c r="U401" s="120"/>
      <c r="V401" s="120"/>
      <c r="W401" s="120"/>
      <c r="X401" s="120"/>
      <c r="Y401" s="120"/>
      <c r="Z401" s="120"/>
      <c r="AA401" s="120"/>
      <c r="AB401" s="120"/>
      <c r="AC401" s="120"/>
      <c r="AD401" s="276"/>
      <c r="AE401" s="276"/>
      <c r="AF401" s="276"/>
      <c r="AG401" s="276"/>
      <c r="AH401" s="276"/>
      <c r="AI401" s="276"/>
      <c r="AJ401" s="276"/>
      <c r="AK401" s="276"/>
      <c r="AL401" s="276"/>
      <c r="AM401" s="276"/>
      <c r="AN401" s="276"/>
      <c r="AO401" s="121"/>
      <c r="AP401" s="121"/>
      <c r="AQ401" s="121"/>
      <c r="AR401" s="121"/>
      <c r="AS401" s="121"/>
      <c r="AT401" s="121"/>
      <c r="AU401" s="121"/>
      <c r="AV401" s="121"/>
      <c r="AW401" s="121"/>
      <c r="AX401" s="121"/>
    </row>
    <row r="402" ht="15.75" customHeight="1">
      <c r="A402" s="231" t="s">
        <v>78</v>
      </c>
      <c r="B402" s="92" t="s">
        <v>2880</v>
      </c>
      <c r="C402" s="28"/>
      <c r="D402" s="28"/>
      <c r="E402" s="28"/>
      <c r="F402" s="28"/>
      <c r="G402" s="28"/>
      <c r="H402" s="28"/>
      <c r="I402" s="28"/>
      <c r="J402" s="28"/>
      <c r="K402" s="28"/>
      <c r="L402" s="28"/>
      <c r="M402" s="28"/>
      <c r="N402" s="28"/>
      <c r="O402" s="120"/>
      <c r="P402" s="120"/>
      <c r="Q402" s="120"/>
      <c r="R402" s="120"/>
      <c r="S402" s="120"/>
      <c r="T402" s="119" t="s">
        <v>5208</v>
      </c>
      <c r="U402" s="120"/>
      <c r="V402" s="120"/>
      <c r="W402" s="120"/>
      <c r="X402" s="120"/>
      <c r="Y402" s="120"/>
      <c r="Z402" s="120"/>
      <c r="AA402" s="120"/>
      <c r="AB402" s="120"/>
      <c r="AC402" s="120"/>
      <c r="AD402" s="276"/>
      <c r="AE402" s="276"/>
      <c r="AF402" s="276"/>
      <c r="AG402" s="276"/>
      <c r="AH402" s="276"/>
      <c r="AI402" s="276"/>
      <c r="AJ402" s="276"/>
      <c r="AK402" s="276"/>
      <c r="AL402" s="276"/>
      <c r="AM402" s="276"/>
      <c r="AN402" s="276"/>
      <c r="AO402" s="121"/>
      <c r="AP402" s="121"/>
      <c r="AQ402" s="121"/>
      <c r="AR402" s="121"/>
      <c r="AS402" s="121"/>
      <c r="AT402" s="121"/>
      <c r="AU402" s="121"/>
      <c r="AV402" s="121"/>
      <c r="AW402" s="121"/>
      <c r="AX402" s="121"/>
    </row>
    <row r="403" ht="15.75" customHeight="1">
      <c r="A403" s="231" t="s">
        <v>78</v>
      </c>
      <c r="B403" s="92" t="s">
        <v>2885</v>
      </c>
      <c r="C403" s="28"/>
      <c r="D403" s="28"/>
      <c r="E403" s="28"/>
      <c r="F403" s="28"/>
      <c r="G403" s="28"/>
      <c r="H403" s="28"/>
      <c r="I403" s="28"/>
      <c r="J403" s="28"/>
      <c r="K403" s="28"/>
      <c r="L403" s="28"/>
      <c r="M403" s="28"/>
      <c r="N403" s="28"/>
      <c r="O403" s="120"/>
      <c r="P403" s="120"/>
      <c r="Q403" s="120"/>
      <c r="R403" s="120"/>
      <c r="S403" s="120"/>
      <c r="T403" s="119" t="s">
        <v>5227</v>
      </c>
      <c r="U403" s="120"/>
      <c r="V403" s="120"/>
      <c r="W403" s="120"/>
      <c r="X403" s="120"/>
      <c r="Y403" s="120"/>
      <c r="Z403" s="120"/>
      <c r="AA403" s="120"/>
      <c r="AB403" s="120"/>
      <c r="AC403" s="120"/>
      <c r="AD403" s="276"/>
      <c r="AE403" s="276"/>
      <c r="AF403" s="276"/>
      <c r="AG403" s="276"/>
      <c r="AH403" s="276"/>
      <c r="AI403" s="276"/>
      <c r="AJ403" s="276"/>
      <c r="AK403" s="276"/>
      <c r="AL403" s="276"/>
      <c r="AM403" s="276"/>
      <c r="AN403" s="276"/>
      <c r="AO403" s="121"/>
      <c r="AP403" s="121"/>
      <c r="AQ403" s="121"/>
      <c r="AR403" s="121"/>
      <c r="AS403" s="121"/>
      <c r="AT403" s="121"/>
      <c r="AU403" s="121"/>
      <c r="AV403" s="121"/>
      <c r="AW403" s="121"/>
      <c r="AX403" s="121"/>
    </row>
    <row r="404" ht="15.75" customHeight="1">
      <c r="A404" s="231" t="s">
        <v>78</v>
      </c>
      <c r="B404" s="92" t="s">
        <v>2892</v>
      </c>
      <c r="C404" s="28"/>
      <c r="D404" s="28"/>
      <c r="E404" s="28"/>
      <c r="F404" s="28"/>
      <c r="G404" s="28"/>
      <c r="H404" s="28"/>
      <c r="I404" s="28"/>
      <c r="J404" s="28"/>
      <c r="K404" s="28"/>
      <c r="L404" s="28"/>
      <c r="M404" s="28"/>
      <c r="N404" s="28"/>
      <c r="O404" s="120"/>
      <c r="P404" s="120"/>
      <c r="Q404" s="120"/>
      <c r="R404" s="120"/>
      <c r="S404" s="120"/>
      <c r="T404" s="119" t="s">
        <v>5249</v>
      </c>
      <c r="U404" s="120"/>
      <c r="V404" s="120"/>
      <c r="W404" s="120"/>
      <c r="X404" s="120"/>
      <c r="Y404" s="120"/>
      <c r="Z404" s="120"/>
      <c r="AA404" s="120"/>
      <c r="AB404" s="120"/>
      <c r="AC404" s="120"/>
      <c r="AD404" s="276"/>
      <c r="AE404" s="276"/>
      <c r="AF404" s="276"/>
      <c r="AG404" s="276"/>
      <c r="AH404" s="276"/>
      <c r="AI404" s="276"/>
      <c r="AJ404" s="276"/>
      <c r="AK404" s="276"/>
      <c r="AL404" s="276"/>
      <c r="AM404" s="276"/>
      <c r="AN404" s="276"/>
      <c r="AO404" s="121"/>
      <c r="AP404" s="121"/>
      <c r="AQ404" s="121"/>
      <c r="AR404" s="121"/>
      <c r="AS404" s="121"/>
      <c r="AT404" s="121"/>
      <c r="AU404" s="121"/>
      <c r="AV404" s="121"/>
      <c r="AW404" s="121"/>
      <c r="AX404" s="121"/>
    </row>
    <row r="405" ht="15.75" customHeight="1">
      <c r="A405" s="231" t="s">
        <v>78</v>
      </c>
      <c r="B405" s="92" t="s">
        <v>2895</v>
      </c>
      <c r="C405" s="28"/>
      <c r="D405" s="28"/>
      <c r="E405" s="28"/>
      <c r="F405" s="28"/>
      <c r="G405" s="28"/>
      <c r="H405" s="28"/>
      <c r="I405" s="28"/>
      <c r="J405" s="28"/>
      <c r="K405" s="28"/>
      <c r="L405" s="28"/>
      <c r="M405" s="28"/>
      <c r="N405" s="28"/>
      <c r="O405" s="120"/>
      <c r="P405" s="120"/>
      <c r="Q405" s="120"/>
      <c r="R405" s="120"/>
      <c r="S405" s="120"/>
      <c r="T405" s="119" t="s">
        <v>5270</v>
      </c>
      <c r="U405" s="120"/>
      <c r="V405" s="120"/>
      <c r="W405" s="120"/>
      <c r="X405" s="120"/>
      <c r="Y405" s="120"/>
      <c r="Z405" s="120"/>
      <c r="AA405" s="120"/>
      <c r="AB405" s="120"/>
      <c r="AC405" s="120"/>
      <c r="AD405" s="276"/>
      <c r="AE405" s="276"/>
      <c r="AF405" s="276"/>
      <c r="AG405" s="276"/>
      <c r="AH405" s="276"/>
      <c r="AI405" s="276"/>
      <c r="AJ405" s="276"/>
      <c r="AK405" s="276"/>
      <c r="AL405" s="276"/>
      <c r="AM405" s="276"/>
      <c r="AN405" s="276"/>
      <c r="AO405" s="121"/>
      <c r="AP405" s="121"/>
      <c r="AQ405" s="121"/>
      <c r="AR405" s="121"/>
      <c r="AS405" s="121"/>
      <c r="AT405" s="121"/>
      <c r="AU405" s="121"/>
      <c r="AV405" s="121"/>
      <c r="AW405" s="121"/>
      <c r="AX405" s="121"/>
    </row>
    <row r="406" ht="15.75" customHeight="1">
      <c r="A406" s="231" t="s">
        <v>78</v>
      </c>
      <c r="B406" s="92" t="s">
        <v>2902</v>
      </c>
      <c r="C406" s="28"/>
      <c r="D406" s="28"/>
      <c r="E406" s="28"/>
      <c r="F406" s="28"/>
      <c r="G406" s="28"/>
      <c r="H406" s="28"/>
      <c r="I406" s="28"/>
      <c r="J406" s="28"/>
      <c r="K406" s="28"/>
      <c r="L406" s="28"/>
      <c r="M406" s="28"/>
      <c r="N406" s="28"/>
      <c r="O406" s="120"/>
      <c r="P406" s="120"/>
      <c r="Q406" s="120"/>
      <c r="R406" s="120"/>
      <c r="S406" s="120"/>
      <c r="T406" s="119" t="s">
        <v>5286</v>
      </c>
      <c r="U406" s="120"/>
      <c r="V406" s="120"/>
      <c r="W406" s="120"/>
      <c r="X406" s="120"/>
      <c r="Y406" s="120"/>
      <c r="Z406" s="120"/>
      <c r="AA406" s="120"/>
      <c r="AB406" s="120"/>
      <c r="AC406" s="120"/>
      <c r="AD406" s="276"/>
      <c r="AE406" s="276"/>
      <c r="AF406" s="276"/>
      <c r="AG406" s="276"/>
      <c r="AH406" s="276"/>
      <c r="AI406" s="276"/>
      <c r="AJ406" s="276"/>
      <c r="AK406" s="276"/>
      <c r="AL406" s="276"/>
      <c r="AM406" s="276"/>
      <c r="AN406" s="276"/>
      <c r="AO406" s="121"/>
      <c r="AP406" s="121"/>
      <c r="AQ406" s="121"/>
      <c r="AR406" s="121"/>
      <c r="AS406" s="121"/>
      <c r="AT406" s="121"/>
      <c r="AU406" s="121"/>
      <c r="AV406" s="121"/>
      <c r="AW406" s="121"/>
      <c r="AX406" s="121"/>
    </row>
    <row r="407" ht="15.75" customHeight="1">
      <c r="A407" s="231" t="s">
        <v>78</v>
      </c>
      <c r="B407" s="92" t="s">
        <v>2906</v>
      </c>
      <c r="C407" s="28"/>
      <c r="D407" s="28"/>
      <c r="E407" s="28"/>
      <c r="F407" s="28"/>
      <c r="G407" s="28"/>
      <c r="H407" s="28"/>
      <c r="I407" s="28"/>
      <c r="J407" s="28"/>
      <c r="K407" s="28"/>
      <c r="L407" s="28"/>
      <c r="M407" s="28"/>
      <c r="N407" s="28"/>
      <c r="O407" s="120"/>
      <c r="P407" s="120"/>
      <c r="Q407" s="120"/>
      <c r="R407" s="120"/>
      <c r="S407" s="120"/>
      <c r="T407" s="119" t="s">
        <v>5300</v>
      </c>
      <c r="U407" s="120"/>
      <c r="V407" s="120"/>
      <c r="W407" s="120"/>
      <c r="X407" s="120"/>
      <c r="Y407" s="120"/>
      <c r="Z407" s="120"/>
      <c r="AA407" s="120"/>
      <c r="AB407" s="120"/>
      <c r="AC407" s="120"/>
      <c r="AD407" s="276"/>
      <c r="AE407" s="276"/>
      <c r="AF407" s="276"/>
      <c r="AG407" s="276"/>
      <c r="AH407" s="276"/>
      <c r="AI407" s="276"/>
      <c r="AJ407" s="276"/>
      <c r="AK407" s="276"/>
      <c r="AL407" s="276"/>
      <c r="AM407" s="276"/>
      <c r="AN407" s="276"/>
      <c r="AO407" s="121"/>
      <c r="AP407" s="121"/>
      <c r="AQ407" s="121"/>
      <c r="AR407" s="121"/>
      <c r="AS407" s="121"/>
      <c r="AT407" s="121"/>
      <c r="AU407" s="121"/>
      <c r="AV407" s="121"/>
      <c r="AW407" s="121"/>
      <c r="AX407" s="121"/>
    </row>
    <row r="408" ht="15.75" customHeight="1">
      <c r="A408" s="231" t="s">
        <v>78</v>
      </c>
      <c r="B408" s="216" t="s">
        <v>2911</v>
      </c>
      <c r="C408" s="28"/>
      <c r="D408" s="28"/>
      <c r="E408" s="28"/>
      <c r="F408" s="28"/>
      <c r="G408" s="28"/>
      <c r="H408" s="28"/>
      <c r="I408" s="28"/>
      <c r="J408" s="28"/>
      <c r="K408" s="28"/>
      <c r="L408" s="28"/>
      <c r="M408" s="28"/>
      <c r="N408" s="28"/>
      <c r="O408" s="120"/>
      <c r="P408" s="120"/>
      <c r="Q408" s="120"/>
      <c r="R408" s="120"/>
      <c r="S408" s="120"/>
      <c r="T408" s="119" t="s">
        <v>5321</v>
      </c>
      <c r="U408" s="120"/>
      <c r="V408" s="120"/>
      <c r="W408" s="120"/>
      <c r="X408" s="120"/>
      <c r="Y408" s="120"/>
      <c r="Z408" s="120"/>
      <c r="AA408" s="120"/>
      <c r="AB408" s="120"/>
      <c r="AC408" s="120"/>
      <c r="AD408" s="276"/>
      <c r="AE408" s="276"/>
      <c r="AF408" s="276"/>
      <c r="AG408" s="276"/>
      <c r="AH408" s="276"/>
      <c r="AI408" s="276"/>
      <c r="AJ408" s="276"/>
      <c r="AK408" s="276"/>
      <c r="AL408" s="276"/>
      <c r="AM408" s="276"/>
      <c r="AN408" s="276"/>
      <c r="AO408" s="121"/>
      <c r="AP408" s="121"/>
      <c r="AQ408" s="121"/>
      <c r="AR408" s="121"/>
      <c r="AS408" s="121"/>
      <c r="AT408" s="121"/>
      <c r="AU408" s="121"/>
      <c r="AV408" s="121"/>
      <c r="AW408" s="121"/>
      <c r="AX408" s="121"/>
    </row>
    <row r="409" ht="15.75" customHeight="1">
      <c r="A409" s="233" t="s">
        <v>41</v>
      </c>
      <c r="B409" s="218" t="s">
        <v>2915</v>
      </c>
      <c r="C409" s="28" t="s">
        <v>2924</v>
      </c>
      <c r="D409" s="28" t="s">
        <v>2925</v>
      </c>
      <c r="E409" s="28" t="s">
        <v>2926</v>
      </c>
      <c r="F409" s="28"/>
      <c r="G409" s="28"/>
      <c r="H409" s="28"/>
      <c r="I409" s="28"/>
      <c r="J409" s="28"/>
      <c r="K409" s="28"/>
      <c r="L409" s="28"/>
      <c r="M409" s="28"/>
      <c r="N409" s="28"/>
      <c r="O409" s="276"/>
      <c r="P409" s="278"/>
      <c r="Q409" s="278"/>
      <c r="R409" s="276"/>
      <c r="S409" s="276"/>
      <c r="T409" s="67"/>
      <c r="U409" s="276"/>
      <c r="V409" s="276"/>
      <c r="W409" s="276"/>
      <c r="X409" s="276"/>
      <c r="Y409" s="276"/>
      <c r="Z409" s="276"/>
      <c r="AA409" s="276"/>
      <c r="AB409" s="276"/>
      <c r="AC409" s="276"/>
      <c r="AD409" s="276"/>
      <c r="AE409" s="276"/>
      <c r="AF409" s="276"/>
      <c r="AG409" s="276"/>
      <c r="AH409" s="276"/>
      <c r="AI409" s="276"/>
      <c r="AJ409" s="276"/>
      <c r="AK409" s="276"/>
      <c r="AL409" s="276"/>
      <c r="AM409" s="276"/>
      <c r="AN409" s="276"/>
      <c r="AO409" s="121"/>
      <c r="AP409" s="121"/>
      <c r="AQ409" s="121"/>
      <c r="AR409" s="121"/>
      <c r="AS409" s="121"/>
      <c r="AT409" s="121"/>
      <c r="AU409" s="121"/>
      <c r="AV409" s="121"/>
      <c r="AW409" s="121"/>
      <c r="AX409" s="121"/>
    </row>
    <row r="410" ht="15.75" customHeight="1">
      <c r="A410" s="234" t="s">
        <v>463</v>
      </c>
      <c r="B410" s="169" t="s">
        <v>2927</v>
      </c>
      <c r="C410" s="28" t="s">
        <v>2931</v>
      </c>
      <c r="D410" s="28" t="s">
        <v>2933</v>
      </c>
      <c r="E410" s="28" t="s">
        <v>2935</v>
      </c>
      <c r="F410" s="28"/>
      <c r="G410" s="28"/>
      <c r="H410" s="28"/>
      <c r="I410" s="28"/>
      <c r="J410" s="28"/>
      <c r="K410" s="28"/>
      <c r="L410" s="28"/>
      <c r="M410" s="28"/>
      <c r="N410" s="28"/>
      <c r="O410" s="276"/>
      <c r="P410" s="278"/>
      <c r="Q410" s="278" t="s">
        <v>145</v>
      </c>
      <c r="R410" s="276"/>
      <c r="S410" s="276"/>
      <c r="T410" s="67"/>
      <c r="U410" s="276"/>
      <c r="V410" s="276"/>
      <c r="W410" s="276"/>
      <c r="X410" s="276"/>
      <c r="Y410" s="276"/>
      <c r="Z410" s="276"/>
      <c r="AA410" s="276"/>
      <c r="AB410" s="276"/>
      <c r="AC410" s="276"/>
      <c r="AD410" s="276"/>
      <c r="AE410" s="276"/>
      <c r="AF410" s="276"/>
      <c r="AG410" s="276"/>
      <c r="AH410" s="276"/>
      <c r="AI410" s="276"/>
      <c r="AJ410" s="276"/>
      <c r="AK410" s="276"/>
      <c r="AL410" s="276"/>
      <c r="AM410" s="276"/>
      <c r="AN410" s="276"/>
      <c r="AO410" s="121"/>
      <c r="AP410" s="121"/>
      <c r="AQ410" s="121"/>
      <c r="AR410" s="121"/>
      <c r="AS410" s="121"/>
      <c r="AT410" s="121"/>
      <c r="AU410" s="121"/>
      <c r="AV410" s="121"/>
      <c r="AW410" s="121"/>
      <c r="AX410" s="121"/>
    </row>
    <row r="411" ht="15.75" customHeight="1">
      <c r="A411" s="235"/>
      <c r="B411" s="236"/>
      <c r="C411" s="28"/>
      <c r="D411" s="28"/>
      <c r="E411" s="28"/>
      <c r="F411" s="28"/>
      <c r="G411" s="28"/>
      <c r="H411" s="28"/>
      <c r="I411" s="28"/>
      <c r="J411" s="28"/>
      <c r="K411" s="28"/>
      <c r="L411" s="28"/>
      <c r="M411" s="28"/>
      <c r="N411" s="28"/>
      <c r="O411" s="121"/>
      <c r="P411" s="121"/>
      <c r="Q411" s="121"/>
      <c r="R411" s="121"/>
      <c r="S411" s="121"/>
      <c r="T411" s="70"/>
      <c r="U411" s="121"/>
      <c r="V411" s="121"/>
      <c r="W411" s="121"/>
      <c r="X411" s="121"/>
      <c r="Y411" s="121"/>
      <c r="Z411" s="121"/>
      <c r="AA411" s="121"/>
      <c r="AB411" s="121"/>
      <c r="AC411" s="121"/>
      <c r="AD411" s="121"/>
      <c r="AE411" s="121"/>
      <c r="AF411" s="121"/>
      <c r="AG411" s="121"/>
      <c r="AH411" s="121"/>
      <c r="AI411" s="121"/>
      <c r="AJ411" s="121"/>
      <c r="AK411" s="121"/>
      <c r="AL411" s="121"/>
      <c r="AM411" s="121"/>
      <c r="AN411" s="121"/>
      <c r="AO411" s="121"/>
      <c r="AP411" s="121"/>
      <c r="AQ411" s="121"/>
      <c r="AR411" s="121"/>
      <c r="AS411" s="121"/>
      <c r="AT411" s="121"/>
      <c r="AU411" s="121"/>
      <c r="AV411" s="121"/>
      <c r="AW411" s="121"/>
      <c r="AX411" s="121"/>
    </row>
    <row r="412" ht="15.75" customHeight="1">
      <c r="A412" s="237" t="s">
        <v>263</v>
      </c>
      <c r="B412" s="171" t="s">
        <v>2942</v>
      </c>
      <c r="C412" s="28" t="s">
        <v>2948</v>
      </c>
      <c r="D412" s="28" t="s">
        <v>2949</v>
      </c>
      <c r="E412" s="28" t="s">
        <v>2950</v>
      </c>
      <c r="F412" s="28"/>
      <c r="G412" s="28"/>
      <c r="H412" s="28"/>
      <c r="I412" s="28"/>
      <c r="J412" s="28"/>
      <c r="K412" s="28" t="s">
        <v>5385</v>
      </c>
      <c r="L412" s="28"/>
      <c r="M412" s="28"/>
      <c r="N412" s="28"/>
      <c r="O412" s="279" t="s">
        <v>5387</v>
      </c>
      <c r="P412" s="279"/>
      <c r="Q412" s="279" t="s">
        <v>145</v>
      </c>
      <c r="R412" s="280"/>
      <c r="S412" s="280"/>
      <c r="T412" s="173"/>
      <c r="U412" s="280"/>
      <c r="V412" s="280"/>
      <c r="W412" s="280"/>
      <c r="X412" s="280"/>
      <c r="Y412" s="280"/>
      <c r="Z412" s="280"/>
      <c r="AA412" s="280"/>
      <c r="AB412" s="280"/>
      <c r="AC412" s="280"/>
      <c r="AD412" s="280"/>
      <c r="AE412" s="280"/>
      <c r="AF412" s="280"/>
      <c r="AG412" s="280"/>
      <c r="AH412" s="280"/>
      <c r="AI412" s="280"/>
      <c r="AJ412" s="280"/>
      <c r="AK412" s="280"/>
      <c r="AL412" s="280"/>
      <c r="AM412" s="280"/>
      <c r="AN412" s="280"/>
      <c r="AO412" s="121"/>
      <c r="AP412" s="121"/>
      <c r="AQ412" s="121"/>
      <c r="AR412" s="121"/>
      <c r="AS412" s="121"/>
      <c r="AT412" s="121"/>
      <c r="AU412" s="121"/>
      <c r="AV412" s="121"/>
      <c r="AW412" s="121"/>
      <c r="AX412" s="121"/>
    </row>
    <row r="413" ht="15.75" customHeight="1">
      <c r="A413" s="231" t="s">
        <v>78</v>
      </c>
      <c r="B413" s="238" t="s">
        <v>2951</v>
      </c>
      <c r="C413" s="28"/>
      <c r="D413" s="28"/>
      <c r="E413" s="28"/>
      <c r="F413" s="28"/>
      <c r="G413" s="28"/>
      <c r="H413" s="28"/>
      <c r="I413" s="28"/>
      <c r="J413" s="28"/>
      <c r="K413" s="28"/>
      <c r="L413" s="28"/>
      <c r="M413" s="28"/>
      <c r="N413" s="28"/>
      <c r="O413" s="120"/>
      <c r="P413" s="120"/>
      <c r="Q413" s="120"/>
      <c r="R413" s="280"/>
      <c r="S413" s="120"/>
      <c r="T413" s="178" t="s">
        <v>5413</v>
      </c>
      <c r="U413" s="281"/>
      <c r="V413" s="120"/>
      <c r="W413" s="120"/>
      <c r="X413" s="120"/>
      <c r="Y413" s="120"/>
      <c r="Z413" s="120"/>
      <c r="AA413" s="120"/>
      <c r="AB413" s="120"/>
      <c r="AC413" s="120"/>
      <c r="AD413" s="282"/>
      <c r="AE413" s="282"/>
      <c r="AF413" s="282"/>
      <c r="AG413" s="282"/>
      <c r="AH413" s="282"/>
      <c r="AI413" s="282"/>
      <c r="AJ413" s="282"/>
      <c r="AK413" s="282"/>
      <c r="AL413" s="282"/>
      <c r="AM413" s="282"/>
      <c r="AN413" s="282"/>
      <c r="AO413" s="121"/>
      <c r="AP413" s="121"/>
      <c r="AQ413" s="121"/>
      <c r="AR413" s="121"/>
      <c r="AS413" s="121"/>
      <c r="AT413" s="121"/>
      <c r="AU413" s="121"/>
      <c r="AV413" s="121"/>
      <c r="AW413" s="121"/>
      <c r="AX413" s="121"/>
    </row>
    <row r="414" ht="15.75" customHeight="1">
      <c r="A414" s="231" t="s">
        <v>78</v>
      </c>
      <c r="B414" s="238" t="s">
        <v>2959</v>
      </c>
      <c r="C414" s="28"/>
      <c r="D414" s="28"/>
      <c r="E414" s="28"/>
      <c r="F414" s="28"/>
      <c r="G414" s="28"/>
      <c r="H414" s="28"/>
      <c r="I414" s="28"/>
      <c r="J414" s="28"/>
      <c r="K414" s="28"/>
      <c r="L414" s="28"/>
      <c r="M414" s="28"/>
      <c r="N414" s="28"/>
      <c r="O414" s="120"/>
      <c r="P414" s="120"/>
      <c r="Q414" s="120"/>
      <c r="R414" s="120"/>
      <c r="S414" s="120"/>
      <c r="T414" s="178" t="s">
        <v>5435</v>
      </c>
      <c r="U414" s="281"/>
      <c r="V414" s="120"/>
      <c r="W414" s="120"/>
      <c r="X414" s="120"/>
      <c r="Y414" s="120"/>
      <c r="Z414" s="120"/>
      <c r="AA414" s="120"/>
      <c r="AB414" s="120"/>
      <c r="AC414" s="120"/>
      <c r="AD414" s="282"/>
      <c r="AE414" s="282"/>
      <c r="AF414" s="282"/>
      <c r="AG414" s="282"/>
      <c r="AH414" s="282"/>
      <c r="AI414" s="282"/>
      <c r="AJ414" s="282"/>
      <c r="AK414" s="282"/>
      <c r="AL414" s="282"/>
      <c r="AM414" s="282"/>
      <c r="AN414" s="282"/>
      <c r="AO414" s="121"/>
      <c r="AP414" s="121"/>
      <c r="AQ414" s="121"/>
      <c r="AR414" s="121"/>
      <c r="AS414" s="121"/>
      <c r="AT414" s="121"/>
      <c r="AU414" s="121"/>
      <c r="AV414" s="121"/>
      <c r="AW414" s="121"/>
      <c r="AX414" s="121"/>
    </row>
    <row r="415" ht="15.75" customHeight="1">
      <c r="A415" s="231" t="s">
        <v>78</v>
      </c>
      <c r="B415" s="238" t="s">
        <v>2963</v>
      </c>
      <c r="C415" s="28"/>
      <c r="D415" s="28"/>
      <c r="E415" s="28"/>
      <c r="F415" s="28"/>
      <c r="G415" s="28"/>
      <c r="H415" s="28"/>
      <c r="I415" s="28"/>
      <c r="J415" s="28"/>
      <c r="K415" s="28"/>
      <c r="L415" s="28"/>
      <c r="M415" s="28"/>
      <c r="N415" s="28"/>
      <c r="O415" s="120"/>
      <c r="P415" s="120"/>
      <c r="Q415" s="120"/>
      <c r="R415" s="120"/>
      <c r="S415" s="120"/>
      <c r="T415" s="178" t="s">
        <v>5452</v>
      </c>
      <c r="U415" s="120"/>
      <c r="V415" s="120"/>
      <c r="W415" s="120"/>
      <c r="X415" s="120"/>
      <c r="Y415" s="120"/>
      <c r="Z415" s="120"/>
      <c r="AA415" s="120"/>
      <c r="AB415" s="120"/>
      <c r="AC415" s="120"/>
      <c r="AD415" s="282"/>
      <c r="AE415" s="282"/>
      <c r="AF415" s="282"/>
      <c r="AG415" s="282"/>
      <c r="AH415" s="282"/>
      <c r="AI415" s="282"/>
      <c r="AJ415" s="282"/>
      <c r="AK415" s="282"/>
      <c r="AL415" s="282"/>
      <c r="AM415" s="282"/>
      <c r="AN415" s="282"/>
      <c r="AO415" s="121"/>
      <c r="AP415" s="121"/>
      <c r="AQ415" s="121"/>
      <c r="AR415" s="121"/>
      <c r="AS415" s="121"/>
      <c r="AT415" s="121"/>
      <c r="AU415" s="121"/>
      <c r="AV415" s="121"/>
      <c r="AW415" s="121"/>
      <c r="AX415" s="121"/>
    </row>
    <row r="416" ht="15.75" customHeight="1">
      <c r="A416" s="231" t="s">
        <v>78</v>
      </c>
      <c r="B416" s="238" t="s">
        <v>2967</v>
      </c>
      <c r="C416" s="28"/>
      <c r="D416" s="28"/>
      <c r="E416" s="28"/>
      <c r="F416" s="28"/>
      <c r="G416" s="28"/>
      <c r="H416" s="28"/>
      <c r="I416" s="28"/>
      <c r="J416" s="28"/>
      <c r="K416" s="28"/>
      <c r="L416" s="28"/>
      <c r="M416" s="28"/>
      <c r="N416" s="28"/>
      <c r="O416" s="120"/>
      <c r="P416" s="120"/>
      <c r="Q416" s="120"/>
      <c r="R416" s="120"/>
      <c r="S416" s="120"/>
      <c r="T416" s="178" t="s">
        <v>5463</v>
      </c>
      <c r="U416" s="120"/>
      <c r="V416" s="120"/>
      <c r="W416" s="120"/>
      <c r="X416" s="120"/>
      <c r="Y416" s="120"/>
      <c r="Z416" s="120"/>
      <c r="AA416" s="120"/>
      <c r="AB416" s="120"/>
      <c r="AC416" s="120"/>
      <c r="AD416" s="282"/>
      <c r="AE416" s="282"/>
      <c r="AF416" s="282"/>
      <c r="AG416" s="282"/>
      <c r="AH416" s="282"/>
      <c r="AI416" s="282"/>
      <c r="AJ416" s="282"/>
      <c r="AK416" s="282"/>
      <c r="AL416" s="282"/>
      <c r="AM416" s="282"/>
      <c r="AN416" s="282"/>
      <c r="AO416" s="121"/>
      <c r="AP416" s="121"/>
      <c r="AQ416" s="121"/>
      <c r="AR416" s="121"/>
      <c r="AS416" s="121"/>
      <c r="AT416" s="121"/>
      <c r="AU416" s="121"/>
      <c r="AV416" s="121"/>
      <c r="AW416" s="121"/>
      <c r="AX416" s="121"/>
    </row>
    <row r="417" ht="15.75" customHeight="1">
      <c r="A417" s="234" t="s">
        <v>463</v>
      </c>
      <c r="B417" s="240" t="s">
        <v>2972</v>
      </c>
      <c r="C417" s="28" t="s">
        <v>2976</v>
      </c>
      <c r="D417" s="28" t="s">
        <v>2977</v>
      </c>
      <c r="E417" s="28" t="s">
        <v>2978</v>
      </c>
      <c r="F417" s="28"/>
      <c r="G417" s="28"/>
      <c r="H417" s="28"/>
      <c r="I417" s="28"/>
      <c r="J417" s="28"/>
      <c r="K417" s="28" t="s">
        <v>5474</v>
      </c>
      <c r="L417" s="28" t="s">
        <v>5476</v>
      </c>
      <c r="M417" s="28"/>
      <c r="N417" s="28"/>
      <c r="O417" s="278" t="s">
        <v>5387</v>
      </c>
      <c r="P417" s="278"/>
      <c r="Q417" s="278" t="s">
        <v>145</v>
      </c>
      <c r="R417" s="276"/>
      <c r="S417" s="276"/>
      <c r="T417" s="67"/>
      <c r="U417" s="276"/>
      <c r="V417" s="276"/>
      <c r="W417" s="276"/>
      <c r="X417" s="276"/>
      <c r="Y417" s="276"/>
      <c r="Z417" s="276"/>
      <c r="AA417" s="276"/>
      <c r="AB417" s="276"/>
      <c r="AC417" s="276"/>
      <c r="AD417" s="282"/>
      <c r="AE417" s="282"/>
      <c r="AF417" s="282"/>
      <c r="AG417" s="282"/>
      <c r="AH417" s="282"/>
      <c r="AI417" s="282"/>
      <c r="AJ417" s="282"/>
      <c r="AK417" s="282"/>
      <c r="AL417" s="282"/>
      <c r="AM417" s="282"/>
      <c r="AN417" s="282"/>
      <c r="AO417" s="121"/>
      <c r="AP417" s="121"/>
      <c r="AQ417" s="121"/>
      <c r="AR417" s="121"/>
      <c r="AS417" s="121"/>
      <c r="AT417" s="121"/>
      <c r="AU417" s="121"/>
      <c r="AV417" s="121"/>
      <c r="AW417" s="121"/>
      <c r="AX417" s="121"/>
    </row>
    <row r="418" ht="15.75" customHeight="1">
      <c r="A418" s="233" t="s">
        <v>41</v>
      </c>
      <c r="B418" s="218" t="s">
        <v>2979</v>
      </c>
      <c r="C418" s="28" t="s">
        <v>2985</v>
      </c>
      <c r="D418" s="28" t="s">
        <v>2986</v>
      </c>
      <c r="E418" s="28" t="s">
        <v>2987</v>
      </c>
      <c r="F418" s="28"/>
      <c r="G418" s="28"/>
      <c r="H418" s="28"/>
      <c r="I418" s="28"/>
      <c r="J418" s="28"/>
      <c r="K418" s="28"/>
      <c r="L418" s="28"/>
      <c r="M418" s="28"/>
      <c r="N418" s="28"/>
      <c r="O418" s="278"/>
      <c r="P418" s="278"/>
      <c r="Q418" s="278"/>
      <c r="R418" s="276"/>
      <c r="S418" s="276"/>
      <c r="T418" s="67"/>
      <c r="U418" s="276"/>
      <c r="V418" s="276"/>
      <c r="W418" s="276"/>
      <c r="X418" s="276"/>
      <c r="Y418" s="278"/>
      <c r="Z418" s="276"/>
      <c r="AA418" s="276"/>
      <c r="AB418" s="276"/>
      <c r="AC418" s="276"/>
      <c r="AD418" s="276"/>
      <c r="AE418" s="276"/>
      <c r="AF418" s="276"/>
      <c r="AG418" s="276"/>
      <c r="AH418" s="276"/>
      <c r="AI418" s="276"/>
      <c r="AJ418" s="276"/>
      <c r="AK418" s="276"/>
      <c r="AL418" s="276"/>
      <c r="AM418" s="276"/>
      <c r="AN418" s="276"/>
      <c r="AO418" s="121"/>
      <c r="AP418" s="121"/>
      <c r="AQ418" s="121"/>
      <c r="AR418" s="121"/>
      <c r="AS418" s="121"/>
      <c r="AT418" s="121"/>
      <c r="AU418" s="121"/>
      <c r="AV418" s="121"/>
      <c r="AW418" s="121"/>
      <c r="AX418" s="121"/>
    </row>
    <row r="419" ht="15.75" customHeight="1">
      <c r="A419" s="241" t="s">
        <v>2988</v>
      </c>
      <c r="B419" s="169" t="s">
        <v>2989</v>
      </c>
      <c r="C419" s="28" t="s">
        <v>2996</v>
      </c>
      <c r="D419" s="28" t="s">
        <v>2997</v>
      </c>
      <c r="E419" s="28" t="s">
        <v>2998</v>
      </c>
      <c r="F419" s="28" t="s">
        <v>5502</v>
      </c>
      <c r="G419" s="28" t="s">
        <v>5504</v>
      </c>
      <c r="H419" s="28" t="s">
        <v>5505</v>
      </c>
      <c r="I419" s="28"/>
      <c r="J419" s="28"/>
      <c r="K419" s="28"/>
      <c r="L419" s="28"/>
      <c r="M419" s="28"/>
      <c r="N419" s="28"/>
      <c r="O419" s="278" t="s">
        <v>5506</v>
      </c>
      <c r="P419" s="278"/>
      <c r="Q419" s="278" t="s">
        <v>145</v>
      </c>
      <c r="R419" s="276"/>
      <c r="S419" s="276"/>
      <c r="T419" s="67"/>
      <c r="U419" s="276"/>
      <c r="V419" s="276"/>
      <c r="W419" s="276"/>
      <c r="X419" s="276"/>
      <c r="Y419" s="278" t="s">
        <v>5514</v>
      </c>
      <c r="Z419" s="276"/>
      <c r="AA419" s="276"/>
      <c r="AB419" s="276"/>
      <c r="AC419" s="276"/>
      <c r="AD419" s="276"/>
      <c r="AE419" s="276"/>
      <c r="AF419" s="276"/>
      <c r="AG419" s="276"/>
      <c r="AH419" s="276"/>
      <c r="AI419" s="276"/>
      <c r="AJ419" s="276"/>
      <c r="AK419" s="276"/>
      <c r="AL419" s="276"/>
      <c r="AM419" s="276"/>
      <c r="AN419" s="276"/>
      <c r="AO419" s="121"/>
      <c r="AP419" s="121"/>
      <c r="AQ419" s="121"/>
      <c r="AR419" s="121"/>
      <c r="AS419" s="121"/>
      <c r="AT419" s="121"/>
      <c r="AU419" s="121"/>
      <c r="AV419" s="121"/>
      <c r="AW419" s="121"/>
      <c r="AX419" s="121"/>
    </row>
    <row r="420" ht="15.75" customHeight="1">
      <c r="A420" s="242" t="s">
        <v>246</v>
      </c>
      <c r="B420" s="180" t="s">
        <v>3000</v>
      </c>
      <c r="C420" s="28" t="s">
        <v>3007</v>
      </c>
      <c r="D420" s="28" t="s">
        <v>3008</v>
      </c>
      <c r="E420" s="28" t="s">
        <v>3009</v>
      </c>
      <c r="F420" s="28"/>
      <c r="G420" s="28"/>
      <c r="H420" s="28"/>
      <c r="I420" s="28"/>
      <c r="J420" s="28"/>
      <c r="K420" s="28"/>
      <c r="L420" s="28"/>
      <c r="M420" s="28"/>
      <c r="N420" s="28"/>
      <c r="O420" s="285" t="s">
        <v>5530</v>
      </c>
      <c r="P420" s="285"/>
      <c r="Q420" s="285" t="s">
        <v>145</v>
      </c>
      <c r="R420" s="286"/>
      <c r="S420" s="286"/>
      <c r="T420" s="181"/>
      <c r="U420" s="286"/>
      <c r="V420" s="286"/>
      <c r="W420" s="286"/>
      <c r="X420" s="286"/>
      <c r="Y420" s="286"/>
      <c r="Z420" s="286"/>
      <c r="AA420" s="286"/>
      <c r="AB420" s="286"/>
      <c r="AC420" s="286"/>
      <c r="AD420" s="276"/>
      <c r="AE420" s="276"/>
      <c r="AF420" s="276"/>
      <c r="AG420" s="276"/>
      <c r="AH420" s="276"/>
      <c r="AI420" s="276"/>
      <c r="AJ420" s="276"/>
      <c r="AK420" s="276"/>
      <c r="AL420" s="276"/>
      <c r="AM420" s="276"/>
      <c r="AN420" s="276"/>
      <c r="AO420" s="121"/>
      <c r="AP420" s="121"/>
      <c r="AQ420" s="121"/>
      <c r="AR420" s="121"/>
      <c r="AS420" s="121"/>
      <c r="AT420" s="121"/>
      <c r="AU420" s="121"/>
      <c r="AV420" s="121"/>
      <c r="AW420" s="121"/>
      <c r="AX420" s="121"/>
    </row>
    <row r="421" ht="15.75" customHeight="1">
      <c r="A421" s="231" t="s">
        <v>78</v>
      </c>
      <c r="B421" s="92" t="s">
        <v>3010</v>
      </c>
      <c r="C421" s="28"/>
      <c r="D421" s="28"/>
      <c r="E421" s="28"/>
      <c r="F421" s="28"/>
      <c r="G421" s="28"/>
      <c r="H421" s="28"/>
      <c r="I421" s="28"/>
      <c r="J421" s="28"/>
      <c r="K421" s="28"/>
      <c r="L421" s="28"/>
      <c r="M421" s="28"/>
      <c r="N421" s="28"/>
      <c r="O421" s="120"/>
      <c r="P421" s="120"/>
      <c r="Q421" s="120"/>
      <c r="R421" s="120"/>
      <c r="S421" s="120"/>
      <c r="T421" s="119" t="s">
        <v>5555</v>
      </c>
      <c r="U421" s="120"/>
      <c r="V421" s="120"/>
      <c r="W421" s="120"/>
      <c r="X421" s="120"/>
      <c r="Y421" s="120"/>
      <c r="Z421" s="120"/>
      <c r="AA421" s="120"/>
      <c r="AB421" s="120"/>
      <c r="AC421" s="120"/>
      <c r="AD421" s="276"/>
      <c r="AE421" s="276"/>
      <c r="AF421" s="276"/>
      <c r="AG421" s="276"/>
      <c r="AH421" s="276"/>
      <c r="AI421" s="276"/>
      <c r="AJ421" s="276"/>
      <c r="AK421" s="276"/>
      <c r="AL421" s="276"/>
      <c r="AM421" s="276"/>
      <c r="AN421" s="276"/>
      <c r="AO421" s="121"/>
      <c r="AP421" s="121"/>
      <c r="AQ421" s="121"/>
      <c r="AR421" s="121"/>
      <c r="AS421" s="121"/>
      <c r="AT421" s="121"/>
      <c r="AU421" s="121"/>
      <c r="AV421" s="121"/>
      <c r="AW421" s="121"/>
      <c r="AX421" s="121"/>
    </row>
    <row r="422" ht="15.75" customHeight="1">
      <c r="A422" s="231" t="s">
        <v>78</v>
      </c>
      <c r="B422" s="92" t="s">
        <v>3018</v>
      </c>
      <c r="C422" s="28"/>
      <c r="D422" s="28"/>
      <c r="E422" s="28"/>
      <c r="F422" s="28"/>
      <c r="G422" s="28"/>
      <c r="H422" s="28"/>
      <c r="I422" s="28"/>
      <c r="J422" s="28"/>
      <c r="K422" s="28"/>
      <c r="L422" s="28"/>
      <c r="M422" s="28"/>
      <c r="N422" s="28"/>
      <c r="O422" s="120"/>
      <c r="P422" s="120"/>
      <c r="Q422" s="120"/>
      <c r="R422" s="120"/>
      <c r="S422" s="120"/>
      <c r="T422" s="119" t="s">
        <v>5569</v>
      </c>
      <c r="U422" s="120"/>
      <c r="V422" s="120"/>
      <c r="W422" s="120"/>
      <c r="X422" s="120"/>
      <c r="Y422" s="120"/>
      <c r="Z422" s="120"/>
      <c r="AA422" s="120"/>
      <c r="AB422" s="120"/>
      <c r="AC422" s="120"/>
      <c r="AD422" s="276"/>
      <c r="AE422" s="276"/>
      <c r="AF422" s="276"/>
      <c r="AG422" s="276"/>
      <c r="AH422" s="276"/>
      <c r="AI422" s="276"/>
      <c r="AJ422" s="276"/>
      <c r="AK422" s="276"/>
      <c r="AL422" s="276"/>
      <c r="AM422" s="276"/>
      <c r="AN422" s="276"/>
      <c r="AO422" s="121"/>
      <c r="AP422" s="121"/>
      <c r="AQ422" s="121"/>
      <c r="AR422" s="121"/>
      <c r="AS422" s="121"/>
      <c r="AT422" s="121"/>
      <c r="AU422" s="121"/>
      <c r="AV422" s="121"/>
      <c r="AW422" s="121"/>
      <c r="AX422" s="121"/>
    </row>
    <row r="423" ht="15.75" customHeight="1">
      <c r="A423" s="231" t="s">
        <v>78</v>
      </c>
      <c r="B423" s="92" t="s">
        <v>3026</v>
      </c>
      <c r="C423" s="28"/>
      <c r="D423" s="28"/>
      <c r="E423" s="28"/>
      <c r="F423" s="28"/>
      <c r="G423" s="28"/>
      <c r="H423" s="28"/>
      <c r="I423" s="28"/>
      <c r="J423" s="28"/>
      <c r="K423" s="28"/>
      <c r="L423" s="28"/>
      <c r="M423" s="28"/>
      <c r="N423" s="28"/>
      <c r="O423" s="120"/>
      <c r="P423" s="120"/>
      <c r="Q423" s="120"/>
      <c r="R423" s="120"/>
      <c r="S423" s="120"/>
      <c r="T423" s="119" t="s">
        <v>5586</v>
      </c>
      <c r="U423" s="120"/>
      <c r="V423" s="120"/>
      <c r="W423" s="120"/>
      <c r="X423" s="120"/>
      <c r="Y423" s="120"/>
      <c r="Z423" s="120"/>
      <c r="AA423" s="120"/>
      <c r="AB423" s="120"/>
      <c r="AC423" s="120"/>
      <c r="AD423" s="276"/>
      <c r="AE423" s="276"/>
      <c r="AF423" s="276"/>
      <c r="AG423" s="276"/>
      <c r="AH423" s="276"/>
      <c r="AI423" s="276"/>
      <c r="AJ423" s="276"/>
      <c r="AK423" s="276"/>
      <c r="AL423" s="276"/>
      <c r="AM423" s="276"/>
      <c r="AN423" s="276"/>
      <c r="AO423" s="121"/>
      <c r="AP423" s="121"/>
      <c r="AQ423" s="121"/>
      <c r="AR423" s="121"/>
      <c r="AS423" s="121"/>
      <c r="AT423" s="121"/>
      <c r="AU423" s="121"/>
      <c r="AV423" s="121"/>
      <c r="AW423" s="121"/>
      <c r="AX423" s="121"/>
    </row>
    <row r="424" ht="15.75" customHeight="1">
      <c r="A424" s="241" t="s">
        <v>463</v>
      </c>
      <c r="B424" s="169" t="s">
        <v>3033</v>
      </c>
      <c r="C424" s="28" t="s">
        <v>3041</v>
      </c>
      <c r="D424" s="28" t="s">
        <v>3042</v>
      </c>
      <c r="E424" s="28" t="s">
        <v>3043</v>
      </c>
      <c r="F424" s="28"/>
      <c r="G424" s="28"/>
      <c r="H424" s="28"/>
      <c r="I424" s="28"/>
      <c r="J424" s="28"/>
      <c r="K424" s="28"/>
      <c r="L424" s="28"/>
      <c r="M424" s="28"/>
      <c r="N424" s="28"/>
      <c r="O424" s="276"/>
      <c r="P424" s="278"/>
      <c r="Q424" s="278" t="s">
        <v>145</v>
      </c>
      <c r="R424" s="276"/>
      <c r="S424" s="276"/>
      <c r="T424" s="67"/>
      <c r="U424" s="276"/>
      <c r="V424" s="276"/>
      <c r="W424" s="276"/>
      <c r="X424" s="276"/>
      <c r="Y424" s="276"/>
      <c r="Z424" s="276"/>
      <c r="AA424" s="276"/>
      <c r="AB424" s="276"/>
      <c r="AC424" s="276"/>
      <c r="AD424" s="276"/>
      <c r="AE424" s="276"/>
      <c r="AF424" s="276"/>
      <c r="AG424" s="276"/>
      <c r="AH424" s="276"/>
      <c r="AI424" s="276"/>
      <c r="AJ424" s="276"/>
      <c r="AK424" s="276"/>
      <c r="AL424" s="276"/>
      <c r="AM424" s="276"/>
      <c r="AN424" s="276"/>
      <c r="AO424" s="121"/>
      <c r="AP424" s="121"/>
      <c r="AQ424" s="121"/>
      <c r="AR424" s="121"/>
      <c r="AS424" s="121"/>
      <c r="AT424" s="121"/>
      <c r="AU424" s="121"/>
      <c r="AV424" s="121"/>
      <c r="AW424" s="121"/>
      <c r="AX424" s="121"/>
    </row>
    <row r="425" ht="15.75" customHeight="1">
      <c r="A425" s="243" t="s">
        <v>263</v>
      </c>
      <c r="B425" s="171" t="s">
        <v>3044</v>
      </c>
      <c r="C425" s="28" t="s">
        <v>3048</v>
      </c>
      <c r="D425" s="28" t="s">
        <v>3049</v>
      </c>
      <c r="E425" s="28" t="s">
        <v>3050</v>
      </c>
      <c r="F425" s="28" t="s">
        <v>5605</v>
      </c>
      <c r="G425" s="28" t="s">
        <v>5606</v>
      </c>
      <c r="H425" s="28" t="s">
        <v>5607</v>
      </c>
      <c r="I425" s="28"/>
      <c r="J425" s="28"/>
      <c r="K425" s="28" t="s">
        <v>5608</v>
      </c>
      <c r="L425" s="28"/>
      <c r="M425" s="28"/>
      <c r="N425" s="28"/>
      <c r="O425" s="279" t="s">
        <v>5611</v>
      </c>
      <c r="P425" s="279"/>
      <c r="Q425" s="279" t="s">
        <v>145</v>
      </c>
      <c r="R425" s="280"/>
      <c r="S425" s="280"/>
      <c r="T425" s="173"/>
      <c r="U425" s="280"/>
      <c r="V425" s="280"/>
      <c r="W425" s="280"/>
      <c r="X425" s="280"/>
      <c r="Y425" s="280"/>
      <c r="Z425" s="280"/>
      <c r="AA425" s="280"/>
      <c r="AB425" s="280"/>
      <c r="AC425" s="280"/>
      <c r="AD425" s="276"/>
      <c r="AE425" s="276"/>
      <c r="AF425" s="276"/>
      <c r="AG425" s="276"/>
      <c r="AH425" s="276"/>
      <c r="AI425" s="276"/>
      <c r="AJ425" s="276"/>
      <c r="AK425" s="276"/>
      <c r="AL425" s="276"/>
      <c r="AM425" s="276"/>
      <c r="AN425" s="276"/>
      <c r="AO425" s="121"/>
      <c r="AP425" s="121"/>
      <c r="AQ425" s="121"/>
      <c r="AR425" s="121"/>
      <c r="AS425" s="121"/>
      <c r="AT425" s="121"/>
      <c r="AU425" s="121"/>
      <c r="AV425" s="121"/>
      <c r="AW425" s="121"/>
      <c r="AX425" s="121"/>
    </row>
    <row r="426" ht="15.75" customHeight="1">
      <c r="A426" s="241" t="s">
        <v>463</v>
      </c>
      <c r="B426" s="240" t="s">
        <v>3051</v>
      </c>
      <c r="C426" s="28" t="s">
        <v>3056</v>
      </c>
      <c r="D426" s="28" t="s">
        <v>3057</v>
      </c>
      <c r="E426" s="28" t="s">
        <v>3058</v>
      </c>
      <c r="F426" s="28"/>
      <c r="G426" s="28"/>
      <c r="H426" s="28"/>
      <c r="I426" s="28"/>
      <c r="J426" s="28"/>
      <c r="K426" s="28" t="s">
        <v>5474</v>
      </c>
      <c r="L426" s="28" t="s">
        <v>5476</v>
      </c>
      <c r="M426" s="28" t="s">
        <v>5633</v>
      </c>
      <c r="N426" s="28" t="s">
        <v>5635</v>
      </c>
      <c r="O426" s="278" t="s">
        <v>5611</v>
      </c>
      <c r="P426" s="278"/>
      <c r="Q426" s="278" t="s">
        <v>145</v>
      </c>
      <c r="R426" s="276"/>
      <c r="S426" s="276"/>
      <c r="T426" s="67"/>
      <c r="U426" s="276"/>
      <c r="V426" s="276"/>
      <c r="W426" s="276"/>
      <c r="X426" s="276"/>
      <c r="Y426" s="276"/>
      <c r="Z426" s="276"/>
      <c r="AA426" s="276"/>
      <c r="AB426" s="276"/>
      <c r="AC426" s="276"/>
      <c r="AD426" s="121"/>
      <c r="AE426" s="121"/>
      <c r="AF426" s="121"/>
      <c r="AG426" s="121"/>
      <c r="AH426" s="121"/>
      <c r="AI426" s="121"/>
      <c r="AJ426" s="121"/>
      <c r="AK426" s="121"/>
      <c r="AL426" s="121"/>
      <c r="AM426" s="121"/>
      <c r="AN426" s="121"/>
      <c r="AO426" s="121"/>
      <c r="AP426" s="121"/>
      <c r="AQ426" s="121"/>
      <c r="AR426" s="121"/>
      <c r="AS426" s="121"/>
      <c r="AT426" s="121"/>
      <c r="AU426" s="121"/>
      <c r="AV426" s="121"/>
      <c r="AW426" s="121"/>
      <c r="AX426" s="121"/>
    </row>
    <row r="427" ht="15.75" customHeight="1">
      <c r="A427" s="244"/>
      <c r="B427" s="245"/>
      <c r="C427" s="28"/>
      <c r="D427" s="28"/>
      <c r="E427" s="28"/>
      <c r="F427" s="28"/>
      <c r="G427" s="28"/>
      <c r="H427" s="28"/>
      <c r="I427" s="28"/>
      <c r="J427" s="28"/>
      <c r="K427" s="28"/>
      <c r="L427" s="28"/>
      <c r="M427" s="28"/>
      <c r="N427" s="28"/>
      <c r="O427" s="287"/>
      <c r="P427" s="282"/>
      <c r="Q427" s="282"/>
      <c r="R427" s="282"/>
      <c r="S427" s="282"/>
      <c r="T427" s="176"/>
      <c r="U427" s="287"/>
      <c r="V427" s="282"/>
      <c r="W427" s="282"/>
      <c r="X427" s="282"/>
      <c r="Y427" s="282"/>
      <c r="Z427" s="282"/>
      <c r="AA427" s="282"/>
      <c r="AB427" s="282"/>
      <c r="AC427" s="282"/>
      <c r="AD427" s="282"/>
      <c r="AE427" s="282"/>
      <c r="AF427" s="282"/>
      <c r="AG427" s="282"/>
      <c r="AH427" s="282"/>
      <c r="AI427" s="282"/>
      <c r="AJ427" s="282"/>
      <c r="AK427" s="282"/>
      <c r="AL427" s="282"/>
      <c r="AM427" s="282"/>
      <c r="AN427" s="282"/>
      <c r="AO427" s="121"/>
      <c r="AP427" s="121"/>
      <c r="AQ427" s="121"/>
      <c r="AR427" s="121"/>
      <c r="AS427" s="121"/>
      <c r="AT427" s="121"/>
      <c r="AU427" s="121"/>
      <c r="AV427" s="121"/>
      <c r="AW427" s="121"/>
      <c r="AX427" s="121"/>
    </row>
    <row r="428" ht="15.75" customHeight="1">
      <c r="A428" s="246" t="s">
        <v>698</v>
      </c>
      <c r="B428" s="247" t="s">
        <v>3063</v>
      </c>
      <c r="C428" s="28" t="s">
        <v>3064</v>
      </c>
      <c r="D428" s="28"/>
      <c r="E428" s="28"/>
      <c r="F428" s="28"/>
      <c r="G428" s="28"/>
      <c r="H428" s="28"/>
      <c r="I428" s="28"/>
      <c r="J428" s="28"/>
      <c r="K428" s="28"/>
      <c r="L428" s="28"/>
      <c r="M428" s="28"/>
      <c r="N428" s="28"/>
      <c r="O428" s="288" t="s">
        <v>5668</v>
      </c>
      <c r="P428" s="282"/>
      <c r="Q428" s="282"/>
      <c r="R428" s="282"/>
      <c r="S428" s="282"/>
      <c r="T428" s="176"/>
      <c r="U428" s="288" t="s">
        <v>5669</v>
      </c>
      <c r="V428" s="282"/>
      <c r="W428" s="282"/>
      <c r="X428" s="282"/>
      <c r="Y428" s="282"/>
      <c r="Z428" s="282"/>
      <c r="AA428" s="282"/>
      <c r="AB428" s="282"/>
      <c r="AC428" s="282"/>
      <c r="AD428" s="282"/>
      <c r="AE428" s="282"/>
      <c r="AF428" s="282"/>
      <c r="AG428" s="282"/>
      <c r="AH428" s="282"/>
      <c r="AI428" s="282"/>
      <c r="AJ428" s="282"/>
      <c r="AK428" s="282"/>
      <c r="AL428" s="282"/>
      <c r="AM428" s="282"/>
      <c r="AN428" s="282"/>
      <c r="AO428" s="121"/>
      <c r="AP428" s="121"/>
      <c r="AQ428" s="121"/>
      <c r="AR428" s="121"/>
      <c r="AS428" s="121"/>
      <c r="AT428" s="121"/>
      <c r="AU428" s="121"/>
      <c r="AV428" s="121"/>
      <c r="AW428" s="121"/>
      <c r="AX428" s="121"/>
    </row>
    <row r="429" ht="15.75" customHeight="1">
      <c r="A429" s="231" t="s">
        <v>78</v>
      </c>
      <c r="B429" s="238" t="s">
        <v>3068</v>
      </c>
      <c r="C429" s="28"/>
      <c r="D429" s="28"/>
      <c r="E429" s="28"/>
      <c r="F429" s="28"/>
      <c r="G429" s="28"/>
      <c r="H429" s="28"/>
      <c r="I429" s="28"/>
      <c r="J429" s="28"/>
      <c r="K429" s="28"/>
      <c r="L429" s="28"/>
      <c r="M429" s="28"/>
      <c r="N429" s="28"/>
      <c r="O429" s="120"/>
      <c r="P429" s="120"/>
      <c r="Q429" s="120"/>
      <c r="R429" s="120"/>
      <c r="S429" s="120"/>
      <c r="T429" s="178" t="s">
        <v>719</v>
      </c>
      <c r="U429" s="120"/>
      <c r="V429" s="120"/>
      <c r="W429" s="120"/>
      <c r="X429" s="120"/>
      <c r="Y429" s="120"/>
      <c r="Z429" s="120"/>
      <c r="AA429" s="120"/>
      <c r="AB429" s="120"/>
      <c r="AC429" s="120"/>
      <c r="AD429" s="120"/>
      <c r="AE429" s="120"/>
      <c r="AF429" s="120"/>
      <c r="AG429" s="120"/>
      <c r="AH429" s="120"/>
      <c r="AI429" s="120"/>
      <c r="AJ429" s="120"/>
      <c r="AK429" s="120"/>
      <c r="AL429" s="120"/>
      <c r="AM429" s="120"/>
      <c r="AN429" s="120"/>
      <c r="AO429" s="121"/>
      <c r="AP429" s="121"/>
      <c r="AQ429" s="121"/>
      <c r="AR429" s="121"/>
      <c r="AS429" s="121"/>
      <c r="AT429" s="121"/>
      <c r="AU429" s="121"/>
      <c r="AV429" s="121"/>
      <c r="AW429" s="121"/>
      <c r="AX429" s="121"/>
    </row>
    <row r="430" ht="15.75" customHeight="1">
      <c r="A430" s="231" t="s">
        <v>78</v>
      </c>
      <c r="B430" s="238" t="s">
        <v>3074</v>
      </c>
      <c r="C430" s="28"/>
      <c r="D430" s="28"/>
      <c r="E430" s="28"/>
      <c r="F430" s="28"/>
      <c r="G430" s="28"/>
      <c r="H430" s="28"/>
      <c r="I430" s="28"/>
      <c r="J430" s="28"/>
      <c r="K430" s="28"/>
      <c r="L430" s="28"/>
      <c r="M430" s="28"/>
      <c r="N430" s="28"/>
      <c r="O430" s="120"/>
      <c r="P430" s="120"/>
      <c r="Q430" s="120"/>
      <c r="R430" s="120"/>
      <c r="S430" s="120"/>
      <c r="T430" s="178" t="s">
        <v>5716</v>
      </c>
      <c r="U430" s="120"/>
      <c r="V430" s="120"/>
      <c r="W430" s="120"/>
      <c r="X430" s="120"/>
      <c r="Y430" s="120"/>
      <c r="Z430" s="120"/>
      <c r="AA430" s="120"/>
      <c r="AB430" s="120"/>
      <c r="AC430" s="120"/>
      <c r="AD430" s="120"/>
      <c r="AE430" s="120"/>
      <c r="AF430" s="120"/>
      <c r="AG430" s="120"/>
      <c r="AH430" s="120"/>
      <c r="AI430" s="120"/>
      <c r="AJ430" s="120"/>
      <c r="AK430" s="120"/>
      <c r="AL430" s="120"/>
      <c r="AM430" s="120"/>
      <c r="AN430" s="120"/>
      <c r="AO430" s="121"/>
      <c r="AP430" s="121"/>
      <c r="AQ430" s="121"/>
      <c r="AR430" s="121"/>
      <c r="AS430" s="121"/>
      <c r="AT430" s="121"/>
      <c r="AU430" s="121"/>
      <c r="AV430" s="121"/>
      <c r="AW430" s="121"/>
      <c r="AX430" s="121"/>
    </row>
    <row r="431" ht="15.75" customHeight="1">
      <c r="A431" s="231" t="s">
        <v>78</v>
      </c>
      <c r="B431" s="238" t="s">
        <v>3082</v>
      </c>
      <c r="C431" s="28"/>
      <c r="D431" s="28"/>
      <c r="E431" s="28"/>
      <c r="F431" s="28"/>
      <c r="G431" s="28"/>
      <c r="H431" s="28"/>
      <c r="I431" s="28"/>
      <c r="J431" s="28"/>
      <c r="K431" s="28"/>
      <c r="L431" s="28"/>
      <c r="M431" s="28"/>
      <c r="N431" s="28"/>
      <c r="O431" s="120"/>
      <c r="P431" s="120"/>
      <c r="Q431" s="120"/>
      <c r="R431" s="120"/>
      <c r="S431" s="120"/>
      <c r="T431" s="178" t="s">
        <v>5745</v>
      </c>
      <c r="U431" s="120"/>
      <c r="V431" s="120"/>
      <c r="W431" s="120"/>
      <c r="X431" s="120"/>
      <c r="Y431" s="120"/>
      <c r="Z431" s="120"/>
      <c r="AA431" s="120"/>
      <c r="AB431" s="120"/>
      <c r="AC431" s="120"/>
      <c r="AD431" s="120"/>
      <c r="AE431" s="120"/>
      <c r="AF431" s="120"/>
      <c r="AG431" s="120"/>
      <c r="AH431" s="120"/>
      <c r="AI431" s="120"/>
      <c r="AJ431" s="120"/>
      <c r="AK431" s="120"/>
      <c r="AL431" s="120"/>
      <c r="AM431" s="120"/>
      <c r="AN431" s="120"/>
      <c r="AO431" s="121"/>
      <c r="AP431" s="121"/>
      <c r="AQ431" s="121"/>
      <c r="AR431" s="121"/>
      <c r="AS431" s="121"/>
      <c r="AT431" s="121"/>
      <c r="AU431" s="121"/>
      <c r="AV431" s="121"/>
      <c r="AW431" s="121"/>
      <c r="AX431" s="121"/>
    </row>
    <row r="432" ht="15.75" customHeight="1">
      <c r="A432" s="231" t="s">
        <v>78</v>
      </c>
      <c r="B432" s="238" t="s">
        <v>3087</v>
      </c>
      <c r="C432" s="28"/>
      <c r="D432" s="28"/>
      <c r="E432" s="28"/>
      <c r="F432" s="28"/>
      <c r="G432" s="28"/>
      <c r="H432" s="28"/>
      <c r="I432" s="28"/>
      <c r="J432" s="28"/>
      <c r="K432" s="28"/>
      <c r="L432" s="28"/>
      <c r="M432" s="28"/>
      <c r="N432" s="28"/>
      <c r="O432" s="120"/>
      <c r="P432" s="120"/>
      <c r="Q432" s="120"/>
      <c r="R432" s="120"/>
      <c r="S432" s="120"/>
      <c r="T432" s="178" t="s">
        <v>5772</v>
      </c>
      <c r="U432" s="120"/>
      <c r="V432" s="120"/>
      <c r="W432" s="120"/>
      <c r="X432" s="120"/>
      <c r="Y432" s="120"/>
      <c r="Z432" s="120"/>
      <c r="AA432" s="120"/>
      <c r="AB432" s="120"/>
      <c r="AC432" s="120"/>
      <c r="AD432" s="120"/>
      <c r="AE432" s="120"/>
      <c r="AF432" s="120"/>
      <c r="AG432" s="120"/>
      <c r="AH432" s="120"/>
      <c r="AI432" s="120"/>
      <c r="AJ432" s="120"/>
      <c r="AK432" s="120"/>
      <c r="AL432" s="120"/>
      <c r="AM432" s="120"/>
      <c r="AN432" s="120"/>
      <c r="AO432" s="121"/>
      <c r="AP432" s="121"/>
      <c r="AQ432" s="121"/>
      <c r="AR432" s="121"/>
      <c r="AS432" s="121"/>
      <c r="AT432" s="121"/>
      <c r="AU432" s="121"/>
      <c r="AV432" s="121"/>
      <c r="AW432" s="121"/>
      <c r="AX432" s="121"/>
    </row>
    <row r="433" ht="15.75" customHeight="1">
      <c r="A433" s="231" t="s">
        <v>78</v>
      </c>
      <c r="B433" s="238" t="s">
        <v>3093</v>
      </c>
      <c r="C433" s="28"/>
      <c r="D433" s="28"/>
      <c r="E433" s="28"/>
      <c r="F433" s="28"/>
      <c r="G433" s="28"/>
      <c r="H433" s="28"/>
      <c r="I433" s="28"/>
      <c r="J433" s="28"/>
      <c r="K433" s="28"/>
      <c r="L433" s="28"/>
      <c r="M433" s="28"/>
      <c r="N433" s="28"/>
      <c r="O433" s="120"/>
      <c r="P433" s="120"/>
      <c r="Q433" s="120"/>
      <c r="R433" s="281"/>
      <c r="S433" s="120"/>
      <c r="T433" s="178" t="s">
        <v>5804</v>
      </c>
      <c r="U433" s="120"/>
      <c r="V433" s="120"/>
      <c r="W433" s="120"/>
      <c r="X433" s="120"/>
      <c r="Y433" s="120"/>
      <c r="Z433" s="120"/>
      <c r="AA433" s="120"/>
      <c r="AB433" s="120"/>
      <c r="AC433" s="120"/>
      <c r="AD433" s="120"/>
      <c r="AE433" s="120"/>
      <c r="AF433" s="120"/>
      <c r="AG433" s="120"/>
      <c r="AH433" s="120"/>
      <c r="AI433" s="120"/>
      <c r="AJ433" s="120"/>
      <c r="AK433" s="120"/>
      <c r="AL433" s="120"/>
      <c r="AM433" s="120"/>
      <c r="AN433" s="120"/>
      <c r="AO433" s="121"/>
      <c r="AP433" s="121"/>
      <c r="AQ433" s="121"/>
      <c r="AR433" s="121"/>
      <c r="AS433" s="121"/>
      <c r="AT433" s="121"/>
      <c r="AU433" s="121"/>
      <c r="AV433" s="121"/>
      <c r="AW433" s="121"/>
      <c r="AX433" s="121"/>
    </row>
    <row r="434" ht="15.75" customHeight="1">
      <c r="A434" s="231" t="s">
        <v>78</v>
      </c>
      <c r="B434" s="238" t="s">
        <v>3100</v>
      </c>
      <c r="C434" s="28"/>
      <c r="D434" s="28"/>
      <c r="E434" s="28"/>
      <c r="F434" s="28"/>
      <c r="G434" s="28"/>
      <c r="H434" s="28"/>
      <c r="I434" s="28"/>
      <c r="J434" s="28"/>
      <c r="K434" s="28"/>
      <c r="L434" s="28"/>
      <c r="M434" s="28"/>
      <c r="N434" s="28"/>
      <c r="O434" s="120"/>
      <c r="P434" s="120"/>
      <c r="Q434" s="120"/>
      <c r="R434" s="120"/>
      <c r="S434" s="120"/>
      <c r="T434" s="178" t="s">
        <v>5822</v>
      </c>
      <c r="U434" s="120"/>
      <c r="V434" s="120"/>
      <c r="W434" s="120"/>
      <c r="X434" s="120"/>
      <c r="Y434" s="120"/>
      <c r="Z434" s="120"/>
      <c r="AA434" s="120"/>
      <c r="AB434" s="120"/>
      <c r="AC434" s="120"/>
      <c r="AD434" s="120"/>
      <c r="AE434" s="120"/>
      <c r="AF434" s="120"/>
      <c r="AG434" s="120"/>
      <c r="AH434" s="120"/>
      <c r="AI434" s="120"/>
      <c r="AJ434" s="120"/>
      <c r="AK434" s="120"/>
      <c r="AL434" s="120"/>
      <c r="AM434" s="120"/>
      <c r="AN434" s="120"/>
      <c r="AO434" s="121"/>
      <c r="AP434" s="121"/>
      <c r="AQ434" s="121"/>
      <c r="AR434" s="121"/>
      <c r="AS434" s="121"/>
      <c r="AT434" s="121"/>
      <c r="AU434" s="121"/>
      <c r="AV434" s="121"/>
      <c r="AW434" s="121"/>
      <c r="AX434" s="121"/>
    </row>
    <row r="435" ht="15.75" customHeight="1">
      <c r="A435" s="234" t="s">
        <v>463</v>
      </c>
      <c r="B435" s="240" t="s">
        <v>3108</v>
      </c>
      <c r="C435" s="28" t="s">
        <v>3112</v>
      </c>
      <c r="D435" s="28" t="s">
        <v>3113</v>
      </c>
      <c r="E435" s="28" t="s">
        <v>3114</v>
      </c>
      <c r="F435" s="28" t="s">
        <v>5842</v>
      </c>
      <c r="G435" s="28" t="s">
        <v>5843</v>
      </c>
      <c r="H435" s="28" t="s">
        <v>5844</v>
      </c>
      <c r="I435" s="28"/>
      <c r="J435" s="28"/>
      <c r="K435" s="28"/>
      <c r="L435" s="28"/>
      <c r="M435" s="28"/>
      <c r="N435" s="28"/>
      <c r="O435" s="276"/>
      <c r="P435" s="278"/>
      <c r="Q435" s="278" t="s">
        <v>145</v>
      </c>
      <c r="R435" s="276"/>
      <c r="S435" s="276"/>
      <c r="T435" s="67"/>
      <c r="U435" s="276"/>
      <c r="V435" s="276"/>
      <c r="W435" s="276"/>
      <c r="X435" s="276"/>
      <c r="Y435" s="276"/>
      <c r="Z435" s="276"/>
      <c r="AA435" s="276"/>
      <c r="AB435" s="276"/>
      <c r="AC435" s="276"/>
      <c r="AD435" s="276"/>
      <c r="AE435" s="276"/>
      <c r="AF435" s="276"/>
      <c r="AG435" s="276"/>
      <c r="AH435" s="276"/>
      <c r="AI435" s="276"/>
      <c r="AJ435" s="276"/>
      <c r="AK435" s="276"/>
      <c r="AL435" s="276"/>
      <c r="AM435" s="276"/>
      <c r="AN435" s="276"/>
      <c r="AO435" s="121"/>
      <c r="AP435" s="121"/>
      <c r="AQ435" s="121"/>
      <c r="AR435" s="121"/>
      <c r="AS435" s="121"/>
      <c r="AT435" s="121"/>
      <c r="AU435" s="121"/>
      <c r="AV435" s="121"/>
      <c r="AW435" s="121"/>
      <c r="AX435" s="121"/>
    </row>
    <row r="436" ht="15.75" customHeight="1">
      <c r="A436" s="234" t="s">
        <v>738</v>
      </c>
      <c r="B436" s="240" t="s">
        <v>3118</v>
      </c>
      <c r="C436" s="28" t="s">
        <v>3123</v>
      </c>
      <c r="D436" s="28" t="s">
        <v>3124</v>
      </c>
      <c r="E436" s="28" t="s">
        <v>3125</v>
      </c>
      <c r="F436" s="28"/>
      <c r="G436" s="28"/>
      <c r="H436" s="28"/>
      <c r="I436" s="28"/>
      <c r="J436" s="28"/>
      <c r="K436" s="28"/>
      <c r="L436" s="28"/>
      <c r="M436" s="28"/>
      <c r="N436" s="28"/>
      <c r="O436" s="278" t="s">
        <v>5873</v>
      </c>
      <c r="P436" s="278"/>
      <c r="Q436" s="278" t="s">
        <v>145</v>
      </c>
      <c r="R436" s="276"/>
      <c r="S436" s="276"/>
      <c r="T436" s="67"/>
      <c r="U436" s="276"/>
      <c r="V436" s="276"/>
      <c r="W436" s="276"/>
      <c r="X436" s="276"/>
      <c r="Y436" s="276"/>
      <c r="Z436" s="276"/>
      <c r="AA436" s="276"/>
      <c r="AB436" s="276"/>
      <c r="AC436" s="276"/>
      <c r="AD436" s="276"/>
      <c r="AE436" s="276"/>
      <c r="AF436" s="276"/>
      <c r="AG436" s="276"/>
      <c r="AH436" s="276"/>
      <c r="AI436" s="276"/>
      <c r="AJ436" s="276"/>
      <c r="AK436" s="276"/>
      <c r="AL436" s="276"/>
      <c r="AM436" s="276"/>
      <c r="AN436" s="276"/>
      <c r="AO436" s="121"/>
      <c r="AP436" s="121"/>
      <c r="AQ436" s="121"/>
      <c r="AR436" s="121"/>
      <c r="AS436" s="121"/>
      <c r="AT436" s="121"/>
      <c r="AU436" s="121"/>
      <c r="AV436" s="121"/>
      <c r="AW436" s="121"/>
      <c r="AX436" s="121"/>
    </row>
    <row r="437" ht="15.75" customHeight="1">
      <c r="A437" s="234" t="s">
        <v>749</v>
      </c>
      <c r="B437" s="240" t="s">
        <v>3126</v>
      </c>
      <c r="C437" s="28" t="s">
        <v>3130</v>
      </c>
      <c r="D437" s="28" t="s">
        <v>3131</v>
      </c>
      <c r="E437" s="28" t="s">
        <v>3132</v>
      </c>
      <c r="F437" s="28"/>
      <c r="G437" s="28"/>
      <c r="H437" s="28"/>
      <c r="I437" s="28"/>
      <c r="J437" s="28"/>
      <c r="K437" s="28"/>
      <c r="L437" s="28"/>
      <c r="M437" s="28"/>
      <c r="N437" s="28"/>
      <c r="O437" s="278" t="s">
        <v>5900</v>
      </c>
      <c r="P437" s="278"/>
      <c r="Q437" s="278" t="s">
        <v>145</v>
      </c>
      <c r="R437" s="276"/>
      <c r="S437" s="276"/>
      <c r="T437" s="67"/>
      <c r="U437" s="276"/>
      <c r="V437" s="276"/>
      <c r="W437" s="276"/>
      <c r="X437" s="276"/>
      <c r="Y437" s="278" t="s">
        <v>4412</v>
      </c>
      <c r="Z437" s="276"/>
      <c r="AA437" s="276"/>
      <c r="AB437" s="276"/>
      <c r="AC437" s="276"/>
      <c r="AD437" s="276"/>
      <c r="AE437" s="276"/>
      <c r="AF437" s="276"/>
      <c r="AG437" s="276"/>
      <c r="AH437" s="276"/>
      <c r="AI437" s="276"/>
      <c r="AJ437" s="276"/>
      <c r="AK437" s="276"/>
      <c r="AL437" s="276"/>
      <c r="AM437" s="276"/>
      <c r="AN437" s="276"/>
      <c r="AO437" s="121"/>
      <c r="AP437" s="121"/>
      <c r="AQ437" s="121"/>
      <c r="AR437" s="121"/>
      <c r="AS437" s="121"/>
      <c r="AT437" s="121"/>
      <c r="AU437" s="121"/>
      <c r="AV437" s="121"/>
      <c r="AW437" s="121"/>
      <c r="AX437" s="121"/>
    </row>
    <row r="438" ht="15.75" customHeight="1">
      <c r="A438" s="248" t="s">
        <v>246</v>
      </c>
      <c r="B438" s="249" t="s">
        <v>3134</v>
      </c>
      <c r="C438" s="28" t="s">
        <v>3138</v>
      </c>
      <c r="D438" s="28" t="s">
        <v>3139</v>
      </c>
      <c r="E438" s="28" t="s">
        <v>3140</v>
      </c>
      <c r="F438" s="28"/>
      <c r="G438" s="28"/>
      <c r="H438" s="28"/>
      <c r="I438" s="28"/>
      <c r="J438" s="28"/>
      <c r="K438" s="28"/>
      <c r="L438" s="28"/>
      <c r="M438" s="28"/>
      <c r="N438" s="28"/>
      <c r="O438" s="285" t="s">
        <v>5921</v>
      </c>
      <c r="P438" s="285"/>
      <c r="Q438" s="285" t="s">
        <v>145</v>
      </c>
      <c r="R438" s="286"/>
      <c r="S438" s="286"/>
      <c r="T438" s="181"/>
      <c r="U438" s="286"/>
      <c r="V438" s="286"/>
      <c r="W438" s="286"/>
      <c r="X438" s="286"/>
      <c r="Y438" s="286"/>
      <c r="Z438" s="286"/>
      <c r="AA438" s="286"/>
      <c r="AB438" s="286"/>
      <c r="AC438" s="286"/>
      <c r="AD438" s="286"/>
      <c r="AE438" s="286"/>
      <c r="AF438" s="286"/>
      <c r="AG438" s="286"/>
      <c r="AH438" s="286"/>
      <c r="AI438" s="286"/>
      <c r="AJ438" s="286"/>
      <c r="AK438" s="286"/>
      <c r="AL438" s="286"/>
      <c r="AM438" s="286"/>
      <c r="AN438" s="286"/>
      <c r="AO438" s="121"/>
      <c r="AP438" s="121"/>
      <c r="AQ438" s="121"/>
      <c r="AR438" s="121"/>
      <c r="AS438" s="121"/>
      <c r="AT438" s="121"/>
      <c r="AU438" s="121"/>
      <c r="AV438" s="121"/>
      <c r="AW438" s="121"/>
      <c r="AX438" s="121"/>
    </row>
    <row r="439" ht="15.75" customHeight="1">
      <c r="A439" s="231" t="s">
        <v>78</v>
      </c>
      <c r="B439" s="238" t="s">
        <v>3141</v>
      </c>
      <c r="C439" s="28"/>
      <c r="D439" s="28"/>
      <c r="E439" s="28"/>
      <c r="F439" s="28"/>
      <c r="G439" s="28"/>
      <c r="H439" s="28"/>
      <c r="I439" s="28"/>
      <c r="J439" s="28"/>
      <c r="K439" s="28"/>
      <c r="L439" s="28"/>
      <c r="M439" s="28"/>
      <c r="N439" s="28"/>
      <c r="O439" s="120"/>
      <c r="P439" s="120"/>
      <c r="Q439" s="120"/>
      <c r="R439" s="120"/>
      <c r="S439" s="120"/>
      <c r="T439" s="178" t="s">
        <v>5947</v>
      </c>
      <c r="U439" s="120"/>
      <c r="V439" s="120"/>
      <c r="W439" s="120"/>
      <c r="X439" s="120"/>
      <c r="Y439" s="120"/>
      <c r="Z439" s="120"/>
      <c r="AA439" s="120"/>
      <c r="AB439" s="120"/>
      <c r="AC439" s="120"/>
      <c r="AD439" s="120"/>
      <c r="AE439" s="120"/>
      <c r="AF439" s="120"/>
      <c r="AG439" s="120"/>
      <c r="AH439" s="120"/>
      <c r="AI439" s="120"/>
      <c r="AJ439" s="120"/>
      <c r="AK439" s="120"/>
      <c r="AL439" s="120"/>
      <c r="AM439" s="120"/>
      <c r="AN439" s="120"/>
      <c r="AO439" s="121"/>
      <c r="AP439" s="121"/>
      <c r="AQ439" s="121"/>
      <c r="AR439" s="121"/>
      <c r="AS439" s="121"/>
      <c r="AT439" s="121"/>
      <c r="AU439" s="121"/>
      <c r="AV439" s="121"/>
      <c r="AW439" s="121"/>
      <c r="AX439" s="121"/>
    </row>
    <row r="440" ht="15.75" customHeight="1">
      <c r="A440" s="234" t="s">
        <v>785</v>
      </c>
      <c r="B440" s="240" t="s">
        <v>3145</v>
      </c>
      <c r="C440" s="28" t="s">
        <v>3150</v>
      </c>
      <c r="D440" s="28" t="s">
        <v>3152</v>
      </c>
      <c r="E440" s="28" t="s">
        <v>3153</v>
      </c>
      <c r="F440" s="28"/>
      <c r="G440" s="28"/>
      <c r="H440" s="28"/>
      <c r="I440" s="28"/>
      <c r="J440" s="28" t="s">
        <v>5969</v>
      </c>
      <c r="K440" s="28"/>
      <c r="L440" s="28"/>
      <c r="M440" s="28"/>
      <c r="N440" s="28"/>
      <c r="O440" s="278" t="s">
        <v>5970</v>
      </c>
      <c r="P440" s="278"/>
      <c r="Q440" s="278" t="s">
        <v>145</v>
      </c>
      <c r="R440" s="276"/>
      <c r="S440" s="276"/>
      <c r="T440" s="67"/>
      <c r="U440" s="276"/>
      <c r="V440" s="276"/>
      <c r="W440" s="276"/>
      <c r="X440" s="276"/>
      <c r="Y440" s="276"/>
      <c r="Z440" s="276"/>
      <c r="AA440" s="276"/>
      <c r="AB440" s="276"/>
      <c r="AC440" s="276"/>
      <c r="AD440" s="276"/>
      <c r="AE440" s="276"/>
      <c r="AF440" s="276"/>
      <c r="AG440" s="276"/>
      <c r="AH440" s="276"/>
      <c r="AI440" s="276"/>
      <c r="AJ440" s="276"/>
      <c r="AK440" s="276"/>
      <c r="AL440" s="276"/>
      <c r="AM440" s="276"/>
      <c r="AN440" s="276"/>
      <c r="AO440" s="121"/>
      <c r="AP440" s="121"/>
      <c r="AQ440" s="121"/>
      <c r="AR440" s="121"/>
      <c r="AS440" s="121"/>
      <c r="AT440" s="121"/>
      <c r="AU440" s="121"/>
      <c r="AV440" s="121"/>
      <c r="AW440" s="121"/>
      <c r="AX440" s="121"/>
    </row>
    <row r="441" ht="15.75" customHeight="1">
      <c r="A441" s="248" t="s">
        <v>246</v>
      </c>
      <c r="B441" s="249" t="s">
        <v>3156</v>
      </c>
      <c r="C441" s="28" t="s">
        <v>3160</v>
      </c>
      <c r="D441" s="28" t="s">
        <v>3161</v>
      </c>
      <c r="E441" s="28" t="s">
        <v>3162</v>
      </c>
      <c r="F441" s="28"/>
      <c r="G441" s="28"/>
      <c r="H441" s="28"/>
      <c r="I441" s="28"/>
      <c r="J441" s="28"/>
      <c r="K441" s="28"/>
      <c r="L441" s="28"/>
      <c r="M441" s="28"/>
      <c r="N441" s="28"/>
      <c r="O441" s="285" t="s">
        <v>5992</v>
      </c>
      <c r="P441" s="285"/>
      <c r="Q441" s="285" t="s">
        <v>145</v>
      </c>
      <c r="R441" s="286"/>
      <c r="S441" s="286"/>
      <c r="T441" s="181"/>
      <c r="U441" s="286"/>
      <c r="V441" s="286"/>
      <c r="W441" s="286"/>
      <c r="X441" s="286"/>
      <c r="Y441" s="286"/>
      <c r="Z441" s="286"/>
      <c r="AA441" s="286"/>
      <c r="AB441" s="286"/>
      <c r="AC441" s="286"/>
      <c r="AD441" s="286"/>
      <c r="AE441" s="286"/>
      <c r="AF441" s="286"/>
      <c r="AG441" s="286"/>
      <c r="AH441" s="286"/>
      <c r="AI441" s="286"/>
      <c r="AJ441" s="286"/>
      <c r="AK441" s="286"/>
      <c r="AL441" s="286"/>
      <c r="AM441" s="286"/>
      <c r="AN441" s="286"/>
      <c r="AO441" s="121"/>
      <c r="AP441" s="121"/>
      <c r="AQ441" s="121"/>
      <c r="AR441" s="121"/>
      <c r="AS441" s="121"/>
      <c r="AT441" s="121"/>
      <c r="AU441" s="121"/>
      <c r="AV441" s="121"/>
      <c r="AW441" s="121"/>
      <c r="AX441" s="121"/>
    </row>
    <row r="442" ht="15.75" customHeight="1">
      <c r="A442" s="231" t="s">
        <v>78</v>
      </c>
      <c r="B442" s="238" t="s">
        <v>3163</v>
      </c>
      <c r="C442" s="28"/>
      <c r="D442" s="28"/>
      <c r="E442" s="28"/>
      <c r="F442" s="28"/>
      <c r="G442" s="28"/>
      <c r="H442" s="28"/>
      <c r="I442" s="28"/>
      <c r="J442" s="28"/>
      <c r="K442" s="28"/>
      <c r="L442" s="28"/>
      <c r="M442" s="28"/>
      <c r="N442" s="28"/>
      <c r="O442" s="120"/>
      <c r="P442" s="120"/>
      <c r="Q442" s="120"/>
      <c r="R442" s="120"/>
      <c r="S442" s="120"/>
      <c r="T442" s="178" t="s">
        <v>6013</v>
      </c>
      <c r="U442" s="120"/>
      <c r="V442" s="120"/>
      <c r="W442" s="120"/>
      <c r="X442" s="120"/>
      <c r="Y442" s="120"/>
      <c r="Z442" s="120"/>
      <c r="AA442" s="120"/>
      <c r="AB442" s="120"/>
      <c r="AC442" s="120"/>
      <c r="AD442" s="120"/>
      <c r="AE442" s="120"/>
      <c r="AF442" s="120"/>
      <c r="AG442" s="120"/>
      <c r="AH442" s="120"/>
      <c r="AI442" s="120"/>
      <c r="AJ442" s="120"/>
      <c r="AK442" s="120"/>
      <c r="AL442" s="120"/>
      <c r="AM442" s="120"/>
      <c r="AN442" s="120"/>
      <c r="AO442" s="121"/>
      <c r="AP442" s="121"/>
      <c r="AQ442" s="121"/>
      <c r="AR442" s="121"/>
      <c r="AS442" s="121"/>
      <c r="AT442" s="121"/>
      <c r="AU442" s="121"/>
      <c r="AV442" s="121"/>
      <c r="AW442" s="121"/>
      <c r="AX442" s="121"/>
    </row>
    <row r="443" ht="15.75" customHeight="1">
      <c r="A443" s="231" t="s">
        <v>78</v>
      </c>
      <c r="B443" s="238" t="s">
        <v>3167</v>
      </c>
      <c r="C443" s="28"/>
      <c r="D443" s="28"/>
      <c r="E443" s="28"/>
      <c r="F443" s="28"/>
      <c r="G443" s="28"/>
      <c r="H443" s="28"/>
      <c r="I443" s="28"/>
      <c r="J443" s="28"/>
      <c r="K443" s="28"/>
      <c r="L443" s="28"/>
      <c r="M443" s="28"/>
      <c r="N443" s="28"/>
      <c r="O443" s="120"/>
      <c r="P443" s="120"/>
      <c r="Q443" s="120"/>
      <c r="R443" s="120"/>
      <c r="S443" s="120"/>
      <c r="T443" s="178" t="s">
        <v>6028</v>
      </c>
      <c r="U443" s="120"/>
      <c r="V443" s="120"/>
      <c r="W443" s="120"/>
      <c r="X443" s="120"/>
      <c r="Y443" s="120"/>
      <c r="Z443" s="120"/>
      <c r="AA443" s="120"/>
      <c r="AB443" s="120"/>
      <c r="AC443" s="120"/>
      <c r="AD443" s="120"/>
      <c r="AE443" s="120"/>
      <c r="AF443" s="120"/>
      <c r="AG443" s="120"/>
      <c r="AH443" s="120"/>
      <c r="AI443" s="120"/>
      <c r="AJ443" s="120"/>
      <c r="AK443" s="120"/>
      <c r="AL443" s="120"/>
      <c r="AM443" s="120"/>
      <c r="AN443" s="120"/>
      <c r="AO443" s="121"/>
      <c r="AP443" s="121"/>
      <c r="AQ443" s="121"/>
      <c r="AR443" s="121"/>
      <c r="AS443" s="121"/>
      <c r="AT443" s="121"/>
      <c r="AU443" s="121"/>
      <c r="AV443" s="121"/>
      <c r="AW443" s="121"/>
      <c r="AX443" s="121"/>
    </row>
    <row r="444" ht="15.75" customHeight="1">
      <c r="A444" s="231" t="s">
        <v>78</v>
      </c>
      <c r="B444" s="238" t="s">
        <v>3174</v>
      </c>
      <c r="C444" s="28"/>
      <c r="D444" s="28"/>
      <c r="E444" s="28"/>
      <c r="F444" s="28"/>
      <c r="G444" s="28"/>
      <c r="H444" s="28"/>
      <c r="I444" s="28"/>
      <c r="J444" s="28"/>
      <c r="K444" s="28"/>
      <c r="L444" s="28"/>
      <c r="M444" s="28"/>
      <c r="N444" s="28"/>
      <c r="O444" s="120"/>
      <c r="P444" s="120"/>
      <c r="Q444" s="120"/>
      <c r="R444" s="120"/>
      <c r="S444" s="120"/>
      <c r="T444" s="178" t="s">
        <v>6036</v>
      </c>
      <c r="U444" s="120"/>
      <c r="V444" s="120"/>
      <c r="W444" s="120"/>
      <c r="X444" s="120"/>
      <c r="Y444" s="120"/>
      <c r="Z444" s="120"/>
      <c r="AA444" s="120"/>
      <c r="AB444" s="120"/>
      <c r="AC444" s="120"/>
      <c r="AD444" s="120"/>
      <c r="AE444" s="120"/>
      <c r="AF444" s="120"/>
      <c r="AG444" s="120"/>
      <c r="AH444" s="120"/>
      <c r="AI444" s="120"/>
      <c r="AJ444" s="120"/>
      <c r="AK444" s="120"/>
      <c r="AL444" s="120"/>
      <c r="AM444" s="120"/>
      <c r="AN444" s="120"/>
      <c r="AO444" s="121"/>
      <c r="AP444" s="121"/>
      <c r="AQ444" s="121"/>
      <c r="AR444" s="121"/>
      <c r="AS444" s="121"/>
      <c r="AT444" s="121"/>
      <c r="AU444" s="121"/>
      <c r="AV444" s="121"/>
      <c r="AW444" s="121"/>
      <c r="AX444" s="121"/>
    </row>
    <row r="445" ht="15.75" customHeight="1">
      <c r="A445" s="90" t="s">
        <v>78</v>
      </c>
      <c r="B445" s="92" t="s">
        <v>3179</v>
      </c>
      <c r="C445" s="28"/>
      <c r="D445" s="28"/>
      <c r="E445" s="28"/>
      <c r="F445" s="28"/>
      <c r="G445" s="28"/>
      <c r="H445" s="28"/>
      <c r="I445" s="28"/>
      <c r="J445" s="28"/>
      <c r="K445" s="28"/>
      <c r="L445" s="28"/>
      <c r="M445" s="28"/>
      <c r="N445" s="28"/>
      <c r="O445" s="120"/>
      <c r="P445" s="120"/>
      <c r="Q445" s="120"/>
      <c r="R445" s="120"/>
      <c r="S445" s="120"/>
      <c r="T445" s="178" t="s">
        <v>6052</v>
      </c>
      <c r="U445" s="120"/>
      <c r="V445" s="120"/>
      <c r="W445" s="120"/>
      <c r="X445" s="120"/>
      <c r="Y445" s="120"/>
      <c r="Z445" s="120"/>
      <c r="AA445" s="120"/>
      <c r="AB445" s="120"/>
      <c r="AC445" s="120"/>
      <c r="AD445" s="282"/>
      <c r="AE445" s="282"/>
      <c r="AF445" s="282"/>
      <c r="AG445" s="282"/>
      <c r="AH445" s="282"/>
      <c r="AI445" s="282"/>
      <c r="AJ445" s="282"/>
      <c r="AK445" s="282"/>
      <c r="AL445" s="282"/>
      <c r="AM445" s="282"/>
      <c r="AN445" s="282"/>
      <c r="AO445" s="121"/>
      <c r="AP445" s="121"/>
      <c r="AQ445" s="121"/>
      <c r="AR445" s="121"/>
      <c r="AS445" s="121"/>
      <c r="AT445" s="121"/>
      <c r="AU445" s="121"/>
      <c r="AV445" s="121"/>
      <c r="AW445" s="121"/>
      <c r="AX445" s="121"/>
    </row>
    <row r="446" ht="15.75" customHeight="1">
      <c r="A446" s="90" t="s">
        <v>78</v>
      </c>
      <c r="B446" s="92" t="s">
        <v>3187</v>
      </c>
      <c r="C446" s="28"/>
      <c r="D446" s="28"/>
      <c r="E446" s="28"/>
      <c r="F446" s="28"/>
      <c r="G446" s="28"/>
      <c r="H446" s="28"/>
      <c r="I446" s="28"/>
      <c r="J446" s="28"/>
      <c r="K446" s="28"/>
      <c r="L446" s="28"/>
      <c r="M446" s="28"/>
      <c r="N446" s="28"/>
      <c r="O446" s="120"/>
      <c r="P446" s="120"/>
      <c r="Q446" s="120"/>
      <c r="R446" s="120"/>
      <c r="S446" s="120"/>
      <c r="T446" s="178" t="s">
        <v>6060</v>
      </c>
      <c r="U446" s="120"/>
      <c r="V446" s="120"/>
      <c r="W446" s="120"/>
      <c r="X446" s="120"/>
      <c r="Y446" s="120"/>
      <c r="Z446" s="120"/>
      <c r="AA446" s="120"/>
      <c r="AB446" s="120"/>
      <c r="AC446" s="120"/>
      <c r="AD446" s="282"/>
      <c r="AE446" s="282"/>
      <c r="AF446" s="282"/>
      <c r="AG446" s="282"/>
      <c r="AH446" s="282"/>
      <c r="AI446" s="282"/>
      <c r="AJ446" s="282"/>
      <c r="AK446" s="282"/>
      <c r="AL446" s="282"/>
      <c r="AM446" s="282"/>
      <c r="AN446" s="282"/>
      <c r="AO446" s="121"/>
      <c r="AP446" s="121"/>
      <c r="AQ446" s="121"/>
      <c r="AR446" s="121"/>
      <c r="AS446" s="121"/>
      <c r="AT446" s="121"/>
      <c r="AU446" s="121"/>
      <c r="AV446" s="121"/>
      <c r="AW446" s="121"/>
      <c r="AX446" s="121"/>
    </row>
    <row r="447" ht="15.75" customHeight="1">
      <c r="A447" s="90" t="s">
        <v>78</v>
      </c>
      <c r="B447" s="92" t="s">
        <v>3191</v>
      </c>
      <c r="C447" s="28"/>
      <c r="D447" s="28"/>
      <c r="E447" s="28"/>
      <c r="F447" s="28"/>
      <c r="G447" s="28"/>
      <c r="H447" s="28"/>
      <c r="I447" s="28"/>
      <c r="J447" s="28"/>
      <c r="K447" s="28"/>
      <c r="L447" s="28"/>
      <c r="M447" s="28"/>
      <c r="N447" s="28"/>
      <c r="O447" s="120"/>
      <c r="P447" s="120"/>
      <c r="Q447" s="120"/>
      <c r="R447" s="120"/>
      <c r="S447" s="120"/>
      <c r="T447" s="178" t="s">
        <v>6081</v>
      </c>
      <c r="U447" s="120"/>
      <c r="V447" s="120"/>
      <c r="W447" s="120"/>
      <c r="X447" s="120"/>
      <c r="Y447" s="120"/>
      <c r="Z447" s="120"/>
      <c r="AA447" s="120"/>
      <c r="AB447" s="120"/>
      <c r="AC447" s="120"/>
      <c r="AD447" s="282"/>
      <c r="AE447" s="282"/>
      <c r="AF447" s="282"/>
      <c r="AG447" s="282"/>
      <c r="AH447" s="282"/>
      <c r="AI447" s="282"/>
      <c r="AJ447" s="282"/>
      <c r="AK447" s="282"/>
      <c r="AL447" s="282"/>
      <c r="AM447" s="282"/>
      <c r="AN447" s="282"/>
      <c r="AO447" s="121"/>
      <c r="AP447" s="121"/>
      <c r="AQ447" s="121"/>
      <c r="AR447" s="121"/>
      <c r="AS447" s="121"/>
      <c r="AT447" s="121"/>
      <c r="AU447" s="121"/>
      <c r="AV447" s="121"/>
      <c r="AW447" s="121"/>
      <c r="AX447" s="121"/>
    </row>
    <row r="448" ht="15.75" customHeight="1">
      <c r="A448" s="246" t="s">
        <v>1015</v>
      </c>
      <c r="B448" s="250" t="s">
        <v>3063</v>
      </c>
      <c r="C448" s="28" t="s">
        <v>3064</v>
      </c>
      <c r="D448" s="28"/>
      <c r="E448" s="28"/>
      <c r="F448" s="28"/>
      <c r="G448" s="28"/>
      <c r="H448" s="28"/>
      <c r="I448" s="28"/>
      <c r="J448" s="28"/>
      <c r="K448" s="28"/>
      <c r="L448" s="28"/>
      <c r="M448" s="28"/>
      <c r="N448" s="28"/>
      <c r="O448" s="282"/>
      <c r="P448" s="282"/>
      <c r="Q448" s="282"/>
      <c r="R448" s="282"/>
      <c r="S448" s="282"/>
      <c r="T448" s="176"/>
      <c r="U448" s="282"/>
      <c r="V448" s="282"/>
      <c r="W448" s="282"/>
      <c r="X448" s="282"/>
      <c r="Y448" s="282"/>
      <c r="Z448" s="282"/>
      <c r="AA448" s="282"/>
      <c r="AB448" s="282"/>
      <c r="AC448" s="282"/>
      <c r="AD448" s="282"/>
      <c r="AE448" s="282"/>
      <c r="AF448" s="282"/>
      <c r="AG448" s="282"/>
      <c r="AH448" s="282"/>
      <c r="AI448" s="282"/>
      <c r="AJ448" s="282"/>
      <c r="AK448" s="282"/>
      <c r="AL448" s="282"/>
      <c r="AM448" s="282"/>
      <c r="AN448" s="282"/>
      <c r="AO448" s="121"/>
      <c r="AP448" s="121"/>
      <c r="AQ448" s="121"/>
      <c r="AR448" s="121"/>
      <c r="AS448" s="121"/>
      <c r="AT448" s="121"/>
      <c r="AU448" s="121"/>
      <c r="AV448" s="121"/>
      <c r="AW448" s="121"/>
      <c r="AX448" s="121"/>
    </row>
    <row r="449" ht="15.75" customHeight="1">
      <c r="A449" s="231" t="s">
        <v>134</v>
      </c>
      <c r="B449" s="66" t="s">
        <v>3205</v>
      </c>
      <c r="C449" s="28"/>
      <c r="D449" s="28"/>
      <c r="E449" s="28"/>
      <c r="F449" s="28"/>
      <c r="G449" s="28"/>
      <c r="H449" s="28"/>
      <c r="I449" s="28"/>
      <c r="J449" s="28"/>
      <c r="K449" s="28"/>
      <c r="L449" s="28"/>
      <c r="M449" s="28"/>
      <c r="N449" s="28"/>
      <c r="O449" s="120"/>
      <c r="P449" s="120"/>
      <c r="Q449" s="120"/>
      <c r="R449" s="120"/>
      <c r="S449" s="120"/>
      <c r="T449" s="178" t="s">
        <v>139</v>
      </c>
      <c r="U449" s="120"/>
      <c r="V449" s="120"/>
      <c r="W449" s="120"/>
      <c r="X449" s="120"/>
      <c r="Y449" s="120"/>
      <c r="Z449" s="120"/>
      <c r="AA449" s="120"/>
      <c r="AB449" s="120"/>
      <c r="AC449" s="120"/>
      <c r="AD449" s="121"/>
      <c r="AE449" s="121"/>
      <c r="AF449" s="121"/>
      <c r="AG449" s="121"/>
      <c r="AH449" s="121"/>
      <c r="AI449" s="121"/>
      <c r="AJ449" s="121"/>
      <c r="AK449" s="121"/>
      <c r="AL449" s="121"/>
      <c r="AM449" s="121"/>
      <c r="AN449" s="121"/>
      <c r="AO449" s="121"/>
      <c r="AP449" s="121"/>
      <c r="AQ449" s="121"/>
      <c r="AR449" s="121"/>
      <c r="AS449" s="121"/>
      <c r="AT449" s="121"/>
      <c r="AU449" s="121"/>
      <c r="AV449" s="121"/>
      <c r="AW449" s="121"/>
      <c r="AX449" s="121"/>
    </row>
    <row r="450" ht="15.75" customHeight="1">
      <c r="A450" s="231" t="s">
        <v>78</v>
      </c>
      <c r="B450" s="251" t="s">
        <v>3209</v>
      </c>
      <c r="C450" s="28"/>
      <c r="D450" s="28"/>
      <c r="E450" s="28"/>
      <c r="F450" s="28"/>
      <c r="G450" s="28"/>
      <c r="H450" s="28"/>
      <c r="I450" s="28"/>
      <c r="J450" s="28"/>
      <c r="K450" s="28"/>
      <c r="L450" s="28"/>
      <c r="M450" s="28"/>
      <c r="N450" s="28"/>
      <c r="O450" s="120"/>
      <c r="P450" s="120"/>
      <c r="Q450" s="120"/>
      <c r="R450" s="120"/>
      <c r="S450" s="120"/>
      <c r="T450" s="119" t="s">
        <v>6130</v>
      </c>
      <c r="U450" s="120"/>
      <c r="V450" s="120"/>
      <c r="W450" s="120"/>
      <c r="X450" s="120"/>
      <c r="Y450" s="120"/>
      <c r="Z450" s="120"/>
      <c r="AA450" s="120"/>
      <c r="AB450" s="120"/>
      <c r="AC450" s="120"/>
      <c r="AD450" s="121"/>
      <c r="AE450" s="121"/>
      <c r="AF450" s="121"/>
      <c r="AG450" s="121"/>
      <c r="AH450" s="121"/>
      <c r="AI450" s="121"/>
      <c r="AJ450" s="121"/>
      <c r="AK450" s="121"/>
      <c r="AL450" s="121"/>
      <c r="AM450" s="121"/>
      <c r="AN450" s="121"/>
      <c r="AO450" s="121"/>
      <c r="AP450" s="121"/>
      <c r="AQ450" s="121"/>
      <c r="AR450" s="121"/>
      <c r="AS450" s="121"/>
      <c r="AT450" s="121"/>
      <c r="AU450" s="121"/>
      <c r="AV450" s="121"/>
      <c r="AW450" s="121"/>
      <c r="AX450" s="121"/>
    </row>
    <row r="451" ht="15.75" customHeight="1">
      <c r="A451" s="231" t="s">
        <v>78</v>
      </c>
      <c r="B451" s="238" t="s">
        <v>3213</v>
      </c>
      <c r="C451" s="28"/>
      <c r="D451" s="28"/>
      <c r="E451" s="28"/>
      <c r="F451" s="28"/>
      <c r="G451" s="28"/>
      <c r="H451" s="28"/>
      <c r="I451" s="28"/>
      <c r="J451" s="28"/>
      <c r="K451" s="28"/>
      <c r="L451" s="28"/>
      <c r="M451" s="28"/>
      <c r="N451" s="28"/>
      <c r="O451" s="120"/>
      <c r="P451" s="120"/>
      <c r="Q451" s="120"/>
      <c r="R451" s="120"/>
      <c r="S451" s="120"/>
      <c r="T451" s="96" t="s">
        <v>6150</v>
      </c>
      <c r="U451" s="120"/>
      <c r="V451" s="120"/>
      <c r="W451" s="120"/>
      <c r="X451" s="120"/>
      <c r="Y451" s="120"/>
      <c r="Z451" s="120"/>
      <c r="AA451" s="120"/>
      <c r="AB451" s="120"/>
      <c r="AC451" s="120"/>
      <c r="AD451" s="120"/>
      <c r="AE451" s="120"/>
      <c r="AF451" s="120"/>
      <c r="AG451" s="120"/>
      <c r="AH451" s="120"/>
      <c r="AI451" s="120"/>
      <c r="AJ451" s="120"/>
      <c r="AK451" s="120"/>
      <c r="AL451" s="120"/>
      <c r="AM451" s="120"/>
      <c r="AN451" s="120"/>
      <c r="AO451" s="121"/>
      <c r="AP451" s="121"/>
      <c r="AQ451" s="121"/>
      <c r="AR451" s="121"/>
      <c r="AS451" s="121"/>
      <c r="AT451" s="121"/>
      <c r="AU451" s="121"/>
      <c r="AV451" s="121"/>
      <c r="AW451" s="121"/>
      <c r="AX451" s="121"/>
    </row>
    <row r="452" ht="15.75" customHeight="1">
      <c r="A452" s="231" t="s">
        <v>78</v>
      </c>
      <c r="B452" s="238" t="s">
        <v>3218</v>
      </c>
      <c r="C452" s="28"/>
      <c r="D452" s="28"/>
      <c r="E452" s="28"/>
      <c r="F452" s="28"/>
      <c r="G452" s="28"/>
      <c r="H452" s="28"/>
      <c r="I452" s="28"/>
      <c r="J452" s="28"/>
      <c r="K452" s="28"/>
      <c r="L452" s="28"/>
      <c r="M452" s="28"/>
      <c r="N452" s="28"/>
      <c r="O452" s="120"/>
      <c r="P452" s="120"/>
      <c r="Q452" s="120"/>
      <c r="R452" s="120"/>
      <c r="S452" s="120"/>
      <c r="T452" s="96" t="s">
        <v>6167</v>
      </c>
      <c r="U452" s="120"/>
      <c r="V452" s="120"/>
      <c r="W452" s="120"/>
      <c r="X452" s="120"/>
      <c r="Y452" s="120"/>
      <c r="Z452" s="120"/>
      <c r="AA452" s="120"/>
      <c r="AB452" s="120"/>
      <c r="AC452" s="120"/>
      <c r="AD452" s="120"/>
      <c r="AE452" s="120"/>
      <c r="AF452" s="120"/>
      <c r="AG452" s="120"/>
      <c r="AH452" s="120"/>
      <c r="AI452" s="120"/>
      <c r="AJ452" s="120"/>
      <c r="AK452" s="120"/>
      <c r="AL452" s="120"/>
      <c r="AM452" s="120"/>
      <c r="AN452" s="120"/>
      <c r="AO452" s="121"/>
      <c r="AP452" s="121"/>
      <c r="AQ452" s="121"/>
      <c r="AR452" s="121"/>
      <c r="AS452" s="121"/>
      <c r="AT452" s="121"/>
      <c r="AU452" s="121"/>
      <c r="AV452" s="121"/>
      <c r="AW452" s="121"/>
      <c r="AX452" s="121"/>
    </row>
    <row r="453" ht="15.75" customHeight="1">
      <c r="A453" s="231" t="s">
        <v>78</v>
      </c>
      <c r="B453" s="238" t="s">
        <v>3222</v>
      </c>
      <c r="C453" s="28"/>
      <c r="D453" s="28"/>
      <c r="E453" s="28"/>
      <c r="F453" s="28"/>
      <c r="G453" s="28"/>
      <c r="H453" s="28"/>
      <c r="I453" s="28"/>
      <c r="J453" s="28"/>
      <c r="K453" s="28"/>
      <c r="L453" s="28"/>
      <c r="M453" s="28"/>
      <c r="N453" s="28"/>
      <c r="O453" s="120"/>
      <c r="P453" s="120"/>
      <c r="Q453" s="120"/>
      <c r="R453" s="120"/>
      <c r="S453" s="120"/>
      <c r="T453" s="96" t="s">
        <v>6203</v>
      </c>
      <c r="U453" s="120"/>
      <c r="V453" s="120"/>
      <c r="W453" s="120"/>
      <c r="X453" s="120"/>
      <c r="Y453" s="120"/>
      <c r="Z453" s="120"/>
      <c r="AA453" s="120"/>
      <c r="AB453" s="120"/>
      <c r="AC453" s="120"/>
      <c r="AD453" s="120"/>
      <c r="AE453" s="120"/>
      <c r="AF453" s="120"/>
      <c r="AG453" s="120"/>
      <c r="AH453" s="120"/>
      <c r="AI453" s="120"/>
      <c r="AJ453" s="120"/>
      <c r="AK453" s="120"/>
      <c r="AL453" s="120"/>
      <c r="AM453" s="120"/>
      <c r="AN453" s="120"/>
      <c r="AO453" s="121"/>
      <c r="AP453" s="121"/>
      <c r="AQ453" s="121"/>
      <c r="AR453" s="121"/>
      <c r="AS453" s="121"/>
      <c r="AT453" s="121"/>
      <c r="AU453" s="121"/>
      <c r="AV453" s="121"/>
      <c r="AW453" s="121"/>
      <c r="AX453" s="121"/>
    </row>
    <row r="454" ht="15.75" customHeight="1">
      <c r="A454" s="231" t="s">
        <v>78</v>
      </c>
      <c r="B454" s="238" t="s">
        <v>3227</v>
      </c>
      <c r="C454" s="28"/>
      <c r="D454" s="28"/>
      <c r="E454" s="28"/>
      <c r="F454" s="28"/>
      <c r="G454" s="28"/>
      <c r="H454" s="28"/>
      <c r="I454" s="28"/>
      <c r="J454" s="28"/>
      <c r="K454" s="28"/>
      <c r="L454" s="28"/>
      <c r="M454" s="28"/>
      <c r="N454" s="28"/>
      <c r="O454" s="120"/>
      <c r="P454" s="120"/>
      <c r="Q454" s="120"/>
      <c r="R454" s="120"/>
      <c r="S454" s="120"/>
      <c r="T454" s="96" t="s">
        <v>6229</v>
      </c>
      <c r="U454" s="120"/>
      <c r="V454" s="120"/>
      <c r="W454" s="120"/>
      <c r="X454" s="120"/>
      <c r="Y454" s="120"/>
      <c r="Z454" s="120"/>
      <c r="AA454" s="120"/>
      <c r="AB454" s="120"/>
      <c r="AC454" s="120"/>
      <c r="AD454" s="120"/>
      <c r="AE454" s="120"/>
      <c r="AF454" s="120"/>
      <c r="AG454" s="120"/>
      <c r="AH454" s="120"/>
      <c r="AI454" s="120"/>
      <c r="AJ454" s="120"/>
      <c r="AK454" s="120"/>
      <c r="AL454" s="120"/>
      <c r="AM454" s="120"/>
      <c r="AN454" s="120"/>
      <c r="AO454" s="121"/>
      <c r="AP454" s="121"/>
      <c r="AQ454" s="121"/>
      <c r="AR454" s="121"/>
      <c r="AS454" s="121"/>
      <c r="AT454" s="121"/>
      <c r="AU454" s="121"/>
      <c r="AV454" s="121"/>
      <c r="AW454" s="121"/>
      <c r="AX454" s="121"/>
    </row>
    <row r="455" ht="15.75" customHeight="1">
      <c r="A455" s="252"/>
      <c r="B455" s="253"/>
      <c r="C455" s="28"/>
      <c r="D455" s="28"/>
      <c r="E455" s="28"/>
      <c r="F455" s="28"/>
      <c r="G455" s="28"/>
      <c r="H455" s="28"/>
      <c r="I455" s="28"/>
      <c r="J455" s="28"/>
      <c r="K455" s="28"/>
      <c r="L455" s="28"/>
      <c r="M455" s="28"/>
      <c r="N455" s="28"/>
      <c r="O455" s="120"/>
      <c r="P455" s="120"/>
      <c r="Q455" s="120"/>
      <c r="R455" s="120"/>
      <c r="S455" s="120"/>
      <c r="T455" s="96"/>
      <c r="U455" s="120"/>
      <c r="V455" s="120"/>
      <c r="W455" s="120"/>
      <c r="X455" s="120"/>
      <c r="Y455" s="120"/>
      <c r="Z455" s="120"/>
      <c r="AA455" s="120"/>
      <c r="AB455" s="120"/>
      <c r="AC455" s="120"/>
      <c r="AD455" s="120"/>
      <c r="AE455" s="120"/>
      <c r="AF455" s="120"/>
      <c r="AG455" s="120"/>
      <c r="AH455" s="120"/>
      <c r="AI455" s="120"/>
      <c r="AJ455" s="120"/>
      <c r="AK455" s="120"/>
      <c r="AL455" s="120"/>
      <c r="AM455" s="120"/>
      <c r="AN455" s="120"/>
      <c r="AO455" s="121"/>
      <c r="AP455" s="121"/>
      <c r="AQ455" s="121"/>
      <c r="AR455" s="121"/>
      <c r="AS455" s="121"/>
      <c r="AT455" s="121"/>
      <c r="AU455" s="121"/>
      <c r="AV455" s="121"/>
      <c r="AW455" s="121"/>
      <c r="AX455" s="121"/>
    </row>
    <row r="456" ht="15.75" customHeight="1">
      <c r="A456" s="231" t="s">
        <v>78</v>
      </c>
      <c r="B456" s="238" t="s">
        <v>3241</v>
      </c>
      <c r="C456" s="28" t="s">
        <v>3242</v>
      </c>
      <c r="D456" s="28"/>
      <c r="E456" s="28"/>
      <c r="F456" s="28"/>
      <c r="G456" s="28"/>
      <c r="H456" s="28"/>
      <c r="I456" s="28"/>
      <c r="J456" s="28"/>
      <c r="K456" s="28"/>
      <c r="L456" s="28"/>
      <c r="M456" s="28"/>
      <c r="N456" s="28"/>
      <c r="O456" s="120"/>
      <c r="P456" s="120"/>
      <c r="Q456" s="120"/>
      <c r="R456" s="120"/>
      <c r="S456" s="120"/>
      <c r="T456" s="96" t="s">
        <v>6275</v>
      </c>
      <c r="U456" s="120"/>
      <c r="V456" s="120"/>
      <c r="W456" s="120"/>
      <c r="X456" s="120"/>
      <c r="Y456" s="120"/>
      <c r="Z456" s="120"/>
      <c r="AA456" s="120"/>
      <c r="AB456" s="120"/>
      <c r="AC456" s="120"/>
      <c r="AD456" s="120"/>
      <c r="AE456" s="120"/>
      <c r="AF456" s="120"/>
      <c r="AG456" s="120"/>
      <c r="AH456" s="120"/>
      <c r="AI456" s="120"/>
      <c r="AJ456" s="120"/>
      <c r="AK456" s="120"/>
      <c r="AL456" s="120"/>
      <c r="AM456" s="120"/>
      <c r="AN456" s="120"/>
      <c r="AO456" s="121"/>
      <c r="AP456" s="121"/>
      <c r="AQ456" s="121"/>
      <c r="AR456" s="121"/>
      <c r="AS456" s="121"/>
      <c r="AT456" s="121"/>
      <c r="AU456" s="121"/>
      <c r="AV456" s="121"/>
      <c r="AW456" s="121"/>
      <c r="AX456" s="121"/>
    </row>
    <row r="457" ht="15.75" customHeight="1">
      <c r="A457" s="231" t="s">
        <v>78</v>
      </c>
      <c r="B457" s="238" t="s">
        <v>3246</v>
      </c>
      <c r="C457" s="28" t="s">
        <v>3247</v>
      </c>
      <c r="D457" s="28"/>
      <c r="E457" s="28"/>
      <c r="F457" s="28"/>
      <c r="G457" s="28"/>
      <c r="H457" s="28"/>
      <c r="I457" s="28"/>
      <c r="J457" s="28"/>
      <c r="K457" s="28"/>
      <c r="L457" s="28"/>
      <c r="M457" s="28"/>
      <c r="N457" s="28"/>
      <c r="O457" s="120"/>
      <c r="P457" s="120"/>
      <c r="Q457" s="120"/>
      <c r="R457" s="120"/>
      <c r="S457" s="120"/>
      <c r="T457" s="96" t="s">
        <v>6293</v>
      </c>
      <c r="U457" s="120"/>
      <c r="V457" s="120"/>
      <c r="W457" s="120"/>
      <c r="X457" s="120"/>
      <c r="Y457" s="120"/>
      <c r="Z457" s="120"/>
      <c r="AA457" s="120"/>
      <c r="AB457" s="120"/>
      <c r="AC457" s="120"/>
      <c r="AD457" s="120"/>
      <c r="AE457" s="120"/>
      <c r="AF457" s="120"/>
      <c r="AG457" s="120"/>
      <c r="AH457" s="120"/>
      <c r="AI457" s="120"/>
      <c r="AJ457" s="120"/>
      <c r="AK457" s="120"/>
      <c r="AL457" s="120"/>
      <c r="AM457" s="120"/>
      <c r="AN457" s="120"/>
      <c r="AO457" s="121"/>
      <c r="AP457" s="121"/>
      <c r="AQ457" s="121"/>
      <c r="AR457" s="121"/>
      <c r="AS457" s="121"/>
      <c r="AT457" s="121"/>
      <c r="AU457" s="121"/>
      <c r="AV457" s="121"/>
      <c r="AW457" s="121"/>
      <c r="AX457" s="121"/>
    </row>
    <row r="458" ht="15.75" customHeight="1">
      <c r="A458" s="231" t="s">
        <v>78</v>
      </c>
      <c r="B458" s="238" t="s">
        <v>3254</v>
      </c>
      <c r="C458" s="28"/>
      <c r="D458" s="28"/>
      <c r="E458" s="28"/>
      <c r="F458" s="28"/>
      <c r="G458" s="28"/>
      <c r="H458" s="28"/>
      <c r="I458" s="28"/>
      <c r="J458" s="28"/>
      <c r="K458" s="28"/>
      <c r="L458" s="28"/>
      <c r="M458" s="28"/>
      <c r="N458" s="28"/>
      <c r="O458" s="120"/>
      <c r="P458" s="120"/>
      <c r="Q458" s="120"/>
      <c r="R458" s="120"/>
      <c r="S458" s="120"/>
      <c r="T458" s="178" t="s">
        <v>6312</v>
      </c>
      <c r="U458" s="120"/>
      <c r="V458" s="120"/>
      <c r="W458" s="120"/>
      <c r="X458" s="120"/>
      <c r="Y458" s="120"/>
      <c r="Z458" s="120"/>
      <c r="AA458" s="120"/>
      <c r="AB458" s="120"/>
      <c r="AC458" s="120"/>
      <c r="AD458" s="120"/>
      <c r="AE458" s="120"/>
      <c r="AF458" s="120"/>
      <c r="AG458" s="120"/>
      <c r="AH458" s="120"/>
      <c r="AI458" s="120"/>
      <c r="AJ458" s="120"/>
      <c r="AK458" s="120"/>
      <c r="AL458" s="120"/>
      <c r="AM458" s="120"/>
      <c r="AN458" s="120"/>
      <c r="AO458" s="121"/>
      <c r="AP458" s="121"/>
      <c r="AQ458" s="121"/>
      <c r="AR458" s="121"/>
      <c r="AS458" s="121"/>
      <c r="AT458" s="121"/>
      <c r="AU458" s="121"/>
      <c r="AV458" s="121"/>
      <c r="AW458" s="121"/>
      <c r="AX458" s="121"/>
    </row>
    <row r="459" ht="15.75" customHeight="1">
      <c r="A459" s="231" t="s">
        <v>78</v>
      </c>
      <c r="B459" s="238" t="s">
        <v>3260</v>
      </c>
      <c r="C459" s="28"/>
      <c r="D459" s="28"/>
      <c r="E459" s="28"/>
      <c r="F459" s="28"/>
      <c r="G459" s="28"/>
      <c r="H459" s="28"/>
      <c r="I459" s="28"/>
      <c r="J459" s="28"/>
      <c r="K459" s="28"/>
      <c r="L459" s="28"/>
      <c r="M459" s="28"/>
      <c r="N459" s="28"/>
      <c r="O459" s="120"/>
      <c r="P459" s="120"/>
      <c r="Q459" s="120"/>
      <c r="R459" s="120"/>
      <c r="S459" s="120"/>
      <c r="T459" s="178" t="s">
        <v>6334</v>
      </c>
      <c r="U459" s="120"/>
      <c r="V459" s="120"/>
      <c r="W459" s="120"/>
      <c r="X459" s="120"/>
      <c r="Y459" s="120"/>
      <c r="Z459" s="120"/>
      <c r="AA459" s="120"/>
      <c r="AB459" s="120"/>
      <c r="AC459" s="120"/>
      <c r="AD459" s="120"/>
      <c r="AE459" s="120"/>
      <c r="AF459" s="120"/>
      <c r="AG459" s="120"/>
      <c r="AH459" s="120"/>
      <c r="AI459" s="120"/>
      <c r="AJ459" s="120"/>
      <c r="AK459" s="120"/>
      <c r="AL459" s="120"/>
      <c r="AM459" s="120"/>
      <c r="AN459" s="120"/>
      <c r="AO459" s="121"/>
      <c r="AP459" s="121"/>
      <c r="AQ459" s="121"/>
      <c r="AR459" s="121"/>
      <c r="AS459" s="121"/>
      <c r="AT459" s="121"/>
      <c r="AU459" s="121"/>
      <c r="AV459" s="121"/>
      <c r="AW459" s="121"/>
      <c r="AX459" s="121"/>
    </row>
    <row r="460" ht="15.75" customHeight="1">
      <c r="A460" s="231" t="s">
        <v>78</v>
      </c>
      <c r="B460" s="238" t="s">
        <v>3266</v>
      </c>
      <c r="C460" s="28"/>
      <c r="D460" s="28"/>
      <c r="E460" s="28"/>
      <c r="F460" s="28"/>
      <c r="G460" s="28"/>
      <c r="H460" s="28"/>
      <c r="I460" s="28"/>
      <c r="J460" s="28"/>
      <c r="K460" s="28"/>
      <c r="L460" s="28"/>
      <c r="M460" s="28"/>
      <c r="N460" s="28"/>
      <c r="O460" s="120"/>
      <c r="P460" s="120"/>
      <c r="Q460" s="120"/>
      <c r="R460" s="120"/>
      <c r="S460" s="120"/>
      <c r="T460" s="178" t="s">
        <v>6356</v>
      </c>
      <c r="U460" s="120"/>
      <c r="V460" s="120"/>
      <c r="W460" s="120"/>
      <c r="X460" s="120"/>
      <c r="Y460" s="120"/>
      <c r="Z460" s="120"/>
      <c r="AA460" s="120"/>
      <c r="AB460" s="120"/>
      <c r="AC460" s="120"/>
      <c r="AD460" s="120"/>
      <c r="AE460" s="120"/>
      <c r="AF460" s="120"/>
      <c r="AG460" s="120"/>
      <c r="AH460" s="120"/>
      <c r="AI460" s="120"/>
      <c r="AJ460" s="120"/>
      <c r="AK460" s="120"/>
      <c r="AL460" s="120"/>
      <c r="AM460" s="120"/>
      <c r="AN460" s="120"/>
      <c r="AO460" s="121"/>
      <c r="AP460" s="121"/>
      <c r="AQ460" s="121"/>
      <c r="AR460" s="121"/>
      <c r="AS460" s="121"/>
      <c r="AT460" s="121"/>
      <c r="AU460" s="121"/>
      <c r="AV460" s="121"/>
      <c r="AW460" s="121"/>
      <c r="AX460" s="121"/>
    </row>
    <row r="461" ht="15.75" customHeight="1">
      <c r="A461" s="231" t="s">
        <v>78</v>
      </c>
      <c r="B461" s="238" t="s">
        <v>3270</v>
      </c>
      <c r="C461" s="28"/>
      <c r="D461" s="28"/>
      <c r="E461" s="28"/>
      <c r="F461" s="28"/>
      <c r="G461" s="28"/>
      <c r="H461" s="28"/>
      <c r="I461" s="28"/>
      <c r="J461" s="28"/>
      <c r="K461" s="28"/>
      <c r="L461" s="28"/>
      <c r="M461" s="28"/>
      <c r="N461" s="28"/>
      <c r="O461" s="120"/>
      <c r="P461" s="120"/>
      <c r="Q461" s="120"/>
      <c r="R461" s="120"/>
      <c r="S461" s="120"/>
      <c r="T461" s="178" t="s">
        <v>6371</v>
      </c>
      <c r="U461" s="120"/>
      <c r="V461" s="120"/>
      <c r="W461" s="120"/>
      <c r="X461" s="120"/>
      <c r="Y461" s="120"/>
      <c r="Z461" s="120"/>
      <c r="AA461" s="120"/>
      <c r="AB461" s="120"/>
      <c r="AC461" s="120"/>
      <c r="AD461" s="120"/>
      <c r="AE461" s="120"/>
      <c r="AF461" s="120"/>
      <c r="AG461" s="120"/>
      <c r="AH461" s="120"/>
      <c r="AI461" s="120"/>
      <c r="AJ461" s="120"/>
      <c r="AK461" s="120"/>
      <c r="AL461" s="120"/>
      <c r="AM461" s="120"/>
      <c r="AN461" s="120"/>
      <c r="AO461" s="121"/>
      <c r="AP461" s="121"/>
      <c r="AQ461" s="121"/>
      <c r="AR461" s="121"/>
      <c r="AS461" s="121"/>
      <c r="AT461" s="121"/>
      <c r="AU461" s="121"/>
      <c r="AV461" s="121"/>
      <c r="AW461" s="121"/>
      <c r="AX461" s="121"/>
    </row>
    <row r="462" ht="15.75" customHeight="1">
      <c r="A462" s="231" t="s">
        <v>78</v>
      </c>
      <c r="B462" s="238" t="s">
        <v>3274</v>
      </c>
      <c r="C462" s="28"/>
      <c r="D462" s="28"/>
      <c r="E462" s="28"/>
      <c r="F462" s="28"/>
      <c r="G462" s="28"/>
      <c r="H462" s="28"/>
      <c r="I462" s="28"/>
      <c r="J462" s="28"/>
      <c r="K462" s="28"/>
      <c r="L462" s="28"/>
      <c r="M462" s="28"/>
      <c r="N462" s="28"/>
      <c r="O462" s="120"/>
      <c r="P462" s="120"/>
      <c r="Q462" s="120"/>
      <c r="R462" s="120"/>
      <c r="S462" s="120"/>
      <c r="T462" s="178" t="s">
        <v>6393</v>
      </c>
      <c r="U462" s="120"/>
      <c r="V462" s="120"/>
      <c r="W462" s="120"/>
      <c r="X462" s="120"/>
      <c r="Y462" s="120"/>
      <c r="Z462" s="120"/>
      <c r="AA462" s="120"/>
      <c r="AB462" s="120"/>
      <c r="AC462" s="120"/>
      <c r="AD462" s="120"/>
      <c r="AE462" s="120"/>
      <c r="AF462" s="120"/>
      <c r="AG462" s="120"/>
      <c r="AH462" s="120"/>
      <c r="AI462" s="120"/>
      <c r="AJ462" s="120"/>
      <c r="AK462" s="120"/>
      <c r="AL462" s="120"/>
      <c r="AM462" s="120"/>
      <c r="AN462" s="120"/>
      <c r="AO462" s="121"/>
      <c r="AP462" s="121"/>
      <c r="AQ462" s="121"/>
      <c r="AR462" s="121"/>
      <c r="AS462" s="121"/>
      <c r="AT462" s="121"/>
      <c r="AU462" s="121"/>
      <c r="AV462" s="121"/>
      <c r="AW462" s="121"/>
      <c r="AX462" s="121"/>
    </row>
    <row r="463" ht="15.75" customHeight="1">
      <c r="A463" s="231" t="s">
        <v>78</v>
      </c>
      <c r="B463" s="238" t="s">
        <v>3282</v>
      </c>
      <c r="C463" s="28"/>
      <c r="D463" s="28"/>
      <c r="E463" s="28"/>
      <c r="F463" s="28"/>
      <c r="G463" s="28"/>
      <c r="H463" s="28"/>
      <c r="I463" s="28"/>
      <c r="J463" s="28"/>
      <c r="K463" s="28"/>
      <c r="L463" s="28"/>
      <c r="M463" s="28"/>
      <c r="N463" s="28"/>
      <c r="O463" s="120"/>
      <c r="P463" s="120"/>
      <c r="Q463" s="120"/>
      <c r="R463" s="120"/>
      <c r="S463" s="120"/>
      <c r="T463" s="178" t="s">
        <v>6411</v>
      </c>
      <c r="U463" s="120"/>
      <c r="V463" s="120"/>
      <c r="W463" s="120"/>
      <c r="X463" s="120"/>
      <c r="Y463" s="120"/>
      <c r="Z463" s="120"/>
      <c r="AA463" s="120"/>
      <c r="AB463" s="120"/>
      <c r="AC463" s="120"/>
      <c r="AD463" s="120"/>
      <c r="AE463" s="120"/>
      <c r="AF463" s="120"/>
      <c r="AG463" s="120"/>
      <c r="AH463" s="120"/>
      <c r="AI463" s="120"/>
      <c r="AJ463" s="120"/>
      <c r="AK463" s="120"/>
      <c r="AL463" s="120"/>
      <c r="AM463" s="120"/>
      <c r="AN463" s="120"/>
      <c r="AO463" s="121"/>
      <c r="AP463" s="121"/>
      <c r="AQ463" s="121"/>
      <c r="AR463" s="121"/>
      <c r="AS463" s="121"/>
      <c r="AT463" s="121"/>
      <c r="AU463" s="121"/>
      <c r="AV463" s="121"/>
      <c r="AW463" s="121"/>
      <c r="AX463" s="121"/>
    </row>
    <row r="464" ht="15.75" customHeight="1">
      <c r="A464" s="231" t="s">
        <v>78</v>
      </c>
      <c r="B464" s="238" t="s">
        <v>3286</v>
      </c>
      <c r="C464" s="28"/>
      <c r="D464" s="28"/>
      <c r="E464" s="28"/>
      <c r="F464" s="28"/>
      <c r="G464" s="28"/>
      <c r="H464" s="28"/>
      <c r="I464" s="28"/>
      <c r="J464" s="28"/>
      <c r="K464" s="28"/>
      <c r="L464" s="28"/>
      <c r="M464" s="28"/>
      <c r="N464" s="28"/>
      <c r="O464" s="120"/>
      <c r="P464" s="120"/>
      <c r="Q464" s="120"/>
      <c r="R464" s="120"/>
      <c r="S464" s="120"/>
      <c r="T464" s="178" t="s">
        <v>6424</v>
      </c>
      <c r="U464" s="120"/>
      <c r="V464" s="120"/>
      <c r="W464" s="120"/>
      <c r="X464" s="120"/>
      <c r="Y464" s="120"/>
      <c r="Z464" s="120"/>
      <c r="AA464" s="120"/>
      <c r="AB464" s="120"/>
      <c r="AC464" s="120"/>
      <c r="AD464" s="120"/>
      <c r="AE464" s="120"/>
      <c r="AF464" s="120"/>
      <c r="AG464" s="120"/>
      <c r="AH464" s="120"/>
      <c r="AI464" s="120"/>
      <c r="AJ464" s="120"/>
      <c r="AK464" s="120"/>
      <c r="AL464" s="120"/>
      <c r="AM464" s="120"/>
      <c r="AN464" s="120"/>
      <c r="AO464" s="121"/>
      <c r="AP464" s="121"/>
      <c r="AQ464" s="121"/>
      <c r="AR464" s="121"/>
      <c r="AS464" s="121"/>
      <c r="AT464" s="121"/>
      <c r="AU464" s="121"/>
      <c r="AV464" s="121"/>
      <c r="AW464" s="121"/>
      <c r="AX464" s="121"/>
    </row>
    <row r="465" ht="15.75" customHeight="1">
      <c r="A465" s="231" t="s">
        <v>78</v>
      </c>
      <c r="B465" s="238" t="s">
        <v>3291</v>
      </c>
      <c r="C465" s="28"/>
      <c r="D465" s="28"/>
      <c r="E465" s="28"/>
      <c r="F465" s="28"/>
      <c r="G465" s="28"/>
      <c r="H465" s="28"/>
      <c r="I465" s="28"/>
      <c r="J465" s="28"/>
      <c r="K465" s="28"/>
      <c r="L465" s="28"/>
      <c r="M465" s="28"/>
      <c r="N465" s="28"/>
      <c r="O465" s="120"/>
      <c r="P465" s="120"/>
      <c r="Q465" s="120"/>
      <c r="R465" s="120"/>
      <c r="S465" s="120"/>
      <c r="T465" s="178" t="s">
        <v>6438</v>
      </c>
      <c r="U465" s="120"/>
      <c r="V465" s="120"/>
      <c r="W465" s="120"/>
      <c r="X465" s="120"/>
      <c r="Y465" s="120"/>
      <c r="Z465" s="120"/>
      <c r="AA465" s="120"/>
      <c r="AB465" s="120"/>
      <c r="AC465" s="120"/>
      <c r="AD465" s="120"/>
      <c r="AE465" s="120"/>
      <c r="AF465" s="120"/>
      <c r="AG465" s="120"/>
      <c r="AH465" s="120"/>
      <c r="AI465" s="120"/>
      <c r="AJ465" s="120"/>
      <c r="AK465" s="120"/>
      <c r="AL465" s="120"/>
      <c r="AM465" s="120"/>
      <c r="AN465" s="120"/>
      <c r="AO465" s="121"/>
      <c r="AP465" s="121"/>
      <c r="AQ465" s="121"/>
      <c r="AR465" s="121"/>
      <c r="AS465" s="121"/>
      <c r="AT465" s="121"/>
      <c r="AU465" s="121"/>
      <c r="AV465" s="121"/>
      <c r="AW465" s="121"/>
      <c r="AX465" s="121"/>
    </row>
    <row r="466" ht="15.75" customHeight="1">
      <c r="A466" s="231" t="s">
        <v>78</v>
      </c>
      <c r="B466" s="238" t="s">
        <v>3298</v>
      </c>
      <c r="C466" s="28"/>
      <c r="D466" s="28"/>
      <c r="E466" s="28"/>
      <c r="F466" s="28"/>
      <c r="G466" s="28"/>
      <c r="H466" s="28"/>
      <c r="I466" s="28"/>
      <c r="J466" s="28"/>
      <c r="K466" s="28"/>
      <c r="L466" s="28"/>
      <c r="M466" s="28"/>
      <c r="N466" s="28"/>
      <c r="O466" s="120"/>
      <c r="P466" s="120"/>
      <c r="Q466" s="120"/>
      <c r="R466" s="120"/>
      <c r="S466" s="120"/>
      <c r="T466" s="178" t="s">
        <v>6453</v>
      </c>
      <c r="U466" s="120"/>
      <c r="V466" s="120"/>
      <c r="W466" s="120"/>
      <c r="X466" s="120"/>
      <c r="Y466" s="120"/>
      <c r="Z466" s="120"/>
      <c r="AA466" s="120"/>
      <c r="AB466" s="120"/>
      <c r="AC466" s="120"/>
      <c r="AD466" s="120"/>
      <c r="AE466" s="120"/>
      <c r="AF466" s="120"/>
      <c r="AG466" s="120"/>
      <c r="AH466" s="120"/>
      <c r="AI466" s="120"/>
      <c r="AJ466" s="120"/>
      <c r="AK466" s="120"/>
      <c r="AL466" s="120"/>
      <c r="AM466" s="120"/>
      <c r="AN466" s="120"/>
      <c r="AO466" s="121"/>
      <c r="AP466" s="121"/>
      <c r="AQ466" s="121"/>
      <c r="AR466" s="121"/>
      <c r="AS466" s="121"/>
      <c r="AT466" s="121"/>
      <c r="AU466" s="121"/>
      <c r="AV466" s="121"/>
      <c r="AW466" s="121"/>
      <c r="AX466" s="121"/>
    </row>
    <row r="467" ht="15.75" customHeight="1">
      <c r="A467" s="231" t="s">
        <v>78</v>
      </c>
      <c r="B467" s="238" t="s">
        <v>3304</v>
      </c>
      <c r="C467" s="28"/>
      <c r="D467" s="28"/>
      <c r="E467" s="28"/>
      <c r="F467" s="28"/>
      <c r="G467" s="28"/>
      <c r="H467" s="28"/>
      <c r="I467" s="28"/>
      <c r="J467" s="28"/>
      <c r="K467" s="28"/>
      <c r="L467" s="28"/>
      <c r="M467" s="28"/>
      <c r="N467" s="28"/>
      <c r="O467" s="120"/>
      <c r="P467" s="120"/>
      <c r="Q467" s="120"/>
      <c r="R467" s="120"/>
      <c r="S467" s="120"/>
      <c r="T467" s="178" t="s">
        <v>6463</v>
      </c>
      <c r="U467" s="120"/>
      <c r="V467" s="120"/>
      <c r="W467" s="120"/>
      <c r="X467" s="120"/>
      <c r="Y467" s="120"/>
      <c r="Z467" s="120"/>
      <c r="AA467" s="120"/>
      <c r="AB467" s="120"/>
      <c r="AC467" s="120"/>
      <c r="AD467" s="120"/>
      <c r="AE467" s="120"/>
      <c r="AF467" s="120"/>
      <c r="AG467" s="120"/>
      <c r="AH467" s="120"/>
      <c r="AI467" s="120"/>
      <c r="AJ467" s="120"/>
      <c r="AK467" s="120"/>
      <c r="AL467" s="120"/>
      <c r="AM467" s="120"/>
      <c r="AN467" s="120"/>
      <c r="AO467" s="121"/>
      <c r="AP467" s="121"/>
      <c r="AQ467" s="121"/>
      <c r="AR467" s="121"/>
      <c r="AS467" s="121"/>
      <c r="AT467" s="121"/>
      <c r="AU467" s="121"/>
      <c r="AV467" s="121"/>
      <c r="AW467" s="121"/>
      <c r="AX467" s="121"/>
    </row>
    <row r="468" ht="15.75" customHeight="1">
      <c r="A468" s="231" t="s">
        <v>78</v>
      </c>
      <c r="B468" s="238" t="s">
        <v>3310</v>
      </c>
      <c r="C468" s="28"/>
      <c r="D468" s="28"/>
      <c r="E468" s="28"/>
      <c r="F468" s="28"/>
      <c r="G468" s="28"/>
      <c r="H468" s="28"/>
      <c r="I468" s="28"/>
      <c r="J468" s="28"/>
      <c r="K468" s="28"/>
      <c r="L468" s="28"/>
      <c r="M468" s="28"/>
      <c r="N468" s="28"/>
      <c r="O468" s="120"/>
      <c r="P468" s="120"/>
      <c r="Q468" s="120"/>
      <c r="R468" s="120"/>
      <c r="S468" s="120"/>
      <c r="T468" s="178" t="s">
        <v>6475</v>
      </c>
      <c r="U468" s="120"/>
      <c r="V468" s="120"/>
      <c r="W468" s="120"/>
      <c r="X468" s="120"/>
      <c r="Y468" s="120"/>
      <c r="Z468" s="120"/>
      <c r="AA468" s="120"/>
      <c r="AB468" s="120"/>
      <c r="AC468" s="120"/>
      <c r="AD468" s="120"/>
      <c r="AE468" s="120"/>
      <c r="AF468" s="120"/>
      <c r="AG468" s="120"/>
      <c r="AH468" s="120"/>
      <c r="AI468" s="120"/>
      <c r="AJ468" s="120"/>
      <c r="AK468" s="120"/>
      <c r="AL468" s="120"/>
      <c r="AM468" s="120"/>
      <c r="AN468" s="120"/>
      <c r="AO468" s="121"/>
      <c r="AP468" s="121"/>
      <c r="AQ468" s="121"/>
      <c r="AR468" s="121"/>
      <c r="AS468" s="121"/>
      <c r="AT468" s="121"/>
      <c r="AU468" s="121"/>
      <c r="AV468" s="121"/>
      <c r="AW468" s="121"/>
      <c r="AX468" s="121"/>
    </row>
    <row r="469" ht="15.75" customHeight="1">
      <c r="A469" s="231" t="s">
        <v>78</v>
      </c>
      <c r="B469" s="238" t="s">
        <v>3317</v>
      </c>
      <c r="C469" s="28"/>
      <c r="D469" s="28"/>
      <c r="E469" s="28"/>
      <c r="F469" s="28"/>
      <c r="G469" s="28"/>
      <c r="H469" s="28"/>
      <c r="I469" s="28"/>
      <c r="J469" s="28"/>
      <c r="K469" s="28"/>
      <c r="L469" s="28"/>
      <c r="M469" s="28"/>
      <c r="N469" s="28"/>
      <c r="O469" s="120"/>
      <c r="P469" s="120"/>
      <c r="Q469" s="120"/>
      <c r="R469" s="120"/>
      <c r="S469" s="120"/>
      <c r="T469" s="178" t="s">
        <v>6492</v>
      </c>
      <c r="U469" s="120"/>
      <c r="V469" s="120"/>
      <c r="W469" s="120"/>
      <c r="X469" s="120"/>
      <c r="Y469" s="120"/>
      <c r="Z469" s="120"/>
      <c r="AA469" s="120"/>
      <c r="AB469" s="120"/>
      <c r="AC469" s="120"/>
      <c r="AD469" s="120"/>
      <c r="AE469" s="120"/>
      <c r="AF469" s="120"/>
      <c r="AG469" s="120"/>
      <c r="AH469" s="120"/>
      <c r="AI469" s="120"/>
      <c r="AJ469" s="120"/>
      <c r="AK469" s="120"/>
      <c r="AL469" s="120"/>
      <c r="AM469" s="120"/>
      <c r="AN469" s="120"/>
      <c r="AO469" s="121"/>
      <c r="AP469" s="121"/>
      <c r="AQ469" s="121"/>
      <c r="AR469" s="121"/>
      <c r="AS469" s="121"/>
      <c r="AT469" s="121"/>
      <c r="AU469" s="121"/>
      <c r="AV469" s="121"/>
      <c r="AW469" s="121"/>
      <c r="AX469" s="121"/>
    </row>
    <row r="470" ht="15.75" customHeight="1">
      <c r="A470" s="231" t="s">
        <v>78</v>
      </c>
      <c r="B470" s="238" t="s">
        <v>3321</v>
      </c>
      <c r="C470" s="28"/>
      <c r="D470" s="28"/>
      <c r="E470" s="28"/>
      <c r="F470" s="28"/>
      <c r="G470" s="28"/>
      <c r="H470" s="28"/>
      <c r="I470" s="28"/>
      <c r="J470" s="28"/>
      <c r="K470" s="28"/>
      <c r="L470" s="28"/>
      <c r="M470" s="28"/>
      <c r="N470" s="28"/>
      <c r="O470" s="120"/>
      <c r="P470" s="120"/>
      <c r="Q470" s="120"/>
      <c r="R470" s="120"/>
      <c r="S470" s="120"/>
      <c r="T470" s="178" t="s">
        <v>6506</v>
      </c>
      <c r="U470" s="120"/>
      <c r="V470" s="120"/>
      <c r="W470" s="120"/>
      <c r="X470" s="120"/>
      <c r="Y470" s="120"/>
      <c r="Z470" s="120"/>
      <c r="AA470" s="120"/>
      <c r="AB470" s="120"/>
      <c r="AC470" s="120"/>
      <c r="AD470" s="120"/>
      <c r="AE470" s="120"/>
      <c r="AF470" s="120"/>
      <c r="AG470" s="120"/>
      <c r="AH470" s="120"/>
      <c r="AI470" s="120"/>
      <c r="AJ470" s="120"/>
      <c r="AK470" s="120"/>
      <c r="AL470" s="120"/>
      <c r="AM470" s="120"/>
      <c r="AN470" s="120"/>
      <c r="AO470" s="121"/>
      <c r="AP470" s="121"/>
      <c r="AQ470" s="121"/>
      <c r="AR470" s="121"/>
      <c r="AS470" s="121"/>
      <c r="AT470" s="121"/>
      <c r="AU470" s="121"/>
      <c r="AV470" s="121"/>
      <c r="AW470" s="121"/>
      <c r="AX470" s="121"/>
    </row>
    <row r="471" ht="15.75" customHeight="1">
      <c r="A471" s="231" t="s">
        <v>78</v>
      </c>
      <c r="B471" s="238" t="s">
        <v>3328</v>
      </c>
      <c r="C471" s="28"/>
      <c r="D471" s="28"/>
      <c r="E471" s="28"/>
      <c r="F471" s="28"/>
      <c r="G471" s="28"/>
      <c r="H471" s="28"/>
      <c r="I471" s="28"/>
      <c r="J471" s="28"/>
      <c r="K471" s="28"/>
      <c r="L471" s="28"/>
      <c r="M471" s="28"/>
      <c r="N471" s="28"/>
      <c r="O471" s="120"/>
      <c r="P471" s="120"/>
      <c r="Q471" s="120"/>
      <c r="R471" s="120"/>
      <c r="S471" s="120"/>
      <c r="T471" s="178" t="s">
        <v>6521</v>
      </c>
      <c r="U471" s="120"/>
      <c r="V471" s="120"/>
      <c r="W471" s="120"/>
      <c r="X471" s="120"/>
      <c r="Y471" s="120"/>
      <c r="Z471" s="120"/>
      <c r="AA471" s="120"/>
      <c r="AB471" s="120"/>
      <c r="AC471" s="120"/>
      <c r="AD471" s="120"/>
      <c r="AE471" s="120"/>
      <c r="AF471" s="120"/>
      <c r="AG471" s="120"/>
      <c r="AH471" s="120"/>
      <c r="AI471" s="120"/>
      <c r="AJ471" s="120"/>
      <c r="AK471" s="120"/>
      <c r="AL471" s="120"/>
      <c r="AM471" s="120"/>
      <c r="AN471" s="120"/>
      <c r="AO471" s="121"/>
      <c r="AP471" s="121"/>
      <c r="AQ471" s="121"/>
      <c r="AR471" s="121"/>
      <c r="AS471" s="121"/>
      <c r="AT471" s="121"/>
      <c r="AU471" s="121"/>
      <c r="AV471" s="121"/>
      <c r="AW471" s="121"/>
      <c r="AX471" s="121"/>
    </row>
    <row r="472" ht="15.75" customHeight="1">
      <c r="A472" s="231" t="s">
        <v>78</v>
      </c>
      <c r="B472" s="238" t="s">
        <v>3335</v>
      </c>
      <c r="C472" s="28"/>
      <c r="D472" s="28"/>
      <c r="E472" s="28"/>
      <c r="F472" s="28"/>
      <c r="G472" s="28"/>
      <c r="H472" s="28"/>
      <c r="I472" s="28"/>
      <c r="J472" s="28"/>
      <c r="K472" s="28"/>
      <c r="L472" s="28"/>
      <c r="M472" s="28"/>
      <c r="N472" s="28"/>
      <c r="O472" s="120"/>
      <c r="P472" s="120"/>
      <c r="Q472" s="120"/>
      <c r="R472" s="120"/>
      <c r="S472" s="120"/>
      <c r="T472" s="178" t="s">
        <v>6542</v>
      </c>
      <c r="U472" s="120"/>
      <c r="V472" s="120"/>
      <c r="W472" s="120"/>
      <c r="X472" s="120"/>
      <c r="Y472" s="120"/>
      <c r="Z472" s="120"/>
      <c r="AA472" s="120"/>
      <c r="AB472" s="120"/>
      <c r="AC472" s="120"/>
      <c r="AD472" s="120"/>
      <c r="AE472" s="120"/>
      <c r="AF472" s="120"/>
      <c r="AG472" s="120"/>
      <c r="AH472" s="120"/>
      <c r="AI472" s="120"/>
      <c r="AJ472" s="120"/>
      <c r="AK472" s="120"/>
      <c r="AL472" s="120"/>
      <c r="AM472" s="120"/>
      <c r="AN472" s="120"/>
      <c r="AO472" s="121"/>
      <c r="AP472" s="121"/>
      <c r="AQ472" s="121"/>
      <c r="AR472" s="121"/>
      <c r="AS472" s="121"/>
      <c r="AT472" s="121"/>
      <c r="AU472" s="121"/>
      <c r="AV472" s="121"/>
      <c r="AW472" s="121"/>
      <c r="AX472" s="121"/>
    </row>
    <row r="473" ht="15.75" customHeight="1">
      <c r="A473" s="231" t="s">
        <v>78</v>
      </c>
      <c r="B473" s="238" t="s">
        <v>3341</v>
      </c>
      <c r="C473" s="28"/>
      <c r="D473" s="28"/>
      <c r="E473" s="28"/>
      <c r="F473" s="28"/>
      <c r="G473" s="28"/>
      <c r="H473" s="28"/>
      <c r="I473" s="28"/>
      <c r="J473" s="28"/>
      <c r="K473" s="28"/>
      <c r="L473" s="28"/>
      <c r="M473" s="28"/>
      <c r="N473" s="28"/>
      <c r="O473" s="120"/>
      <c r="P473" s="120"/>
      <c r="Q473" s="120"/>
      <c r="R473" s="120"/>
      <c r="S473" s="120"/>
      <c r="T473" s="178" t="s">
        <v>6557</v>
      </c>
      <c r="U473" s="120"/>
      <c r="V473" s="120"/>
      <c r="W473" s="120"/>
      <c r="X473" s="120"/>
      <c r="Y473" s="120"/>
      <c r="Z473" s="120"/>
      <c r="AA473" s="120"/>
      <c r="AB473" s="120"/>
      <c r="AC473" s="120"/>
      <c r="AD473" s="120"/>
      <c r="AE473" s="120"/>
      <c r="AF473" s="120"/>
      <c r="AG473" s="120"/>
      <c r="AH473" s="120"/>
      <c r="AI473" s="120"/>
      <c r="AJ473" s="120"/>
      <c r="AK473" s="120"/>
      <c r="AL473" s="120"/>
      <c r="AM473" s="120"/>
      <c r="AN473" s="120"/>
      <c r="AO473" s="121"/>
      <c r="AP473" s="121"/>
      <c r="AQ473" s="121"/>
      <c r="AR473" s="121"/>
      <c r="AS473" s="121"/>
      <c r="AT473" s="121"/>
      <c r="AU473" s="121"/>
      <c r="AV473" s="121"/>
      <c r="AW473" s="121"/>
      <c r="AX473" s="121"/>
    </row>
    <row r="474" ht="15.75" customHeight="1">
      <c r="A474" s="231" t="s">
        <v>78</v>
      </c>
      <c r="B474" s="238" t="s">
        <v>3346</v>
      </c>
      <c r="C474" s="28"/>
      <c r="D474" s="28"/>
      <c r="E474" s="28"/>
      <c r="F474" s="28"/>
      <c r="G474" s="28"/>
      <c r="H474" s="28"/>
      <c r="I474" s="28"/>
      <c r="J474" s="28"/>
      <c r="K474" s="28"/>
      <c r="L474" s="28"/>
      <c r="M474" s="28"/>
      <c r="N474" s="28"/>
      <c r="O474" s="120"/>
      <c r="P474" s="120"/>
      <c r="Q474" s="120"/>
      <c r="R474" s="120"/>
      <c r="S474" s="120"/>
      <c r="T474" s="178" t="s">
        <v>6574</v>
      </c>
      <c r="U474" s="120"/>
      <c r="V474" s="120"/>
      <c r="W474" s="120"/>
      <c r="X474" s="120"/>
      <c r="Y474" s="120"/>
      <c r="Z474" s="120"/>
      <c r="AA474" s="120"/>
      <c r="AB474" s="120"/>
      <c r="AC474" s="120"/>
      <c r="AD474" s="120"/>
      <c r="AE474" s="120"/>
      <c r="AF474" s="120"/>
      <c r="AG474" s="120"/>
      <c r="AH474" s="120"/>
      <c r="AI474" s="120"/>
      <c r="AJ474" s="120"/>
      <c r="AK474" s="120"/>
      <c r="AL474" s="120"/>
      <c r="AM474" s="120"/>
      <c r="AN474" s="120"/>
      <c r="AO474" s="121"/>
      <c r="AP474" s="121"/>
      <c r="AQ474" s="121"/>
      <c r="AR474" s="121"/>
      <c r="AS474" s="121"/>
      <c r="AT474" s="121"/>
      <c r="AU474" s="121"/>
      <c r="AV474" s="121"/>
      <c r="AW474" s="121"/>
      <c r="AX474" s="121"/>
    </row>
    <row r="475" ht="15.75" customHeight="1">
      <c r="A475" s="231" t="s">
        <v>78</v>
      </c>
      <c r="B475" s="238" t="s">
        <v>3350</v>
      </c>
      <c r="C475" s="28"/>
      <c r="D475" s="28"/>
      <c r="E475" s="28"/>
      <c r="F475" s="28"/>
      <c r="G475" s="28"/>
      <c r="H475" s="28"/>
      <c r="I475" s="28"/>
      <c r="J475" s="28"/>
      <c r="K475" s="28"/>
      <c r="L475" s="28"/>
      <c r="M475" s="28"/>
      <c r="N475" s="28"/>
      <c r="O475" s="120"/>
      <c r="P475" s="120"/>
      <c r="Q475" s="120"/>
      <c r="R475" s="120"/>
      <c r="S475" s="120"/>
      <c r="T475" s="178" t="s">
        <v>6592</v>
      </c>
      <c r="U475" s="120"/>
      <c r="V475" s="120"/>
      <c r="W475" s="120"/>
      <c r="X475" s="120"/>
      <c r="Y475" s="120"/>
      <c r="Z475" s="120"/>
      <c r="AA475" s="120"/>
      <c r="AB475" s="120"/>
      <c r="AC475" s="120"/>
      <c r="AD475" s="120"/>
      <c r="AE475" s="120"/>
      <c r="AF475" s="120"/>
      <c r="AG475" s="120"/>
      <c r="AH475" s="120"/>
      <c r="AI475" s="120"/>
      <c r="AJ475" s="120"/>
      <c r="AK475" s="120"/>
      <c r="AL475" s="120"/>
      <c r="AM475" s="120"/>
      <c r="AN475" s="120"/>
      <c r="AO475" s="121"/>
      <c r="AP475" s="121"/>
      <c r="AQ475" s="121"/>
      <c r="AR475" s="121"/>
      <c r="AS475" s="121"/>
      <c r="AT475" s="121"/>
      <c r="AU475" s="121"/>
      <c r="AV475" s="121"/>
      <c r="AW475" s="121"/>
      <c r="AX475" s="121"/>
    </row>
    <row r="476" ht="15.75" customHeight="1">
      <c r="A476" s="231" t="s">
        <v>78</v>
      </c>
      <c r="B476" s="238" t="s">
        <v>3354</v>
      </c>
      <c r="C476" s="28"/>
      <c r="D476" s="28"/>
      <c r="E476" s="28"/>
      <c r="F476" s="28"/>
      <c r="G476" s="28"/>
      <c r="H476" s="28"/>
      <c r="I476" s="28"/>
      <c r="J476" s="28"/>
      <c r="K476" s="28"/>
      <c r="L476" s="28"/>
      <c r="M476" s="28"/>
      <c r="N476" s="28"/>
      <c r="O476" s="120"/>
      <c r="P476" s="120"/>
      <c r="Q476" s="120"/>
      <c r="R476" s="120"/>
      <c r="S476" s="120"/>
      <c r="T476" s="178" t="s">
        <v>6603</v>
      </c>
      <c r="U476" s="120"/>
      <c r="V476" s="120"/>
      <c r="W476" s="120"/>
      <c r="X476" s="120"/>
      <c r="Y476" s="120"/>
      <c r="Z476" s="120"/>
      <c r="AA476" s="120"/>
      <c r="AB476" s="120"/>
      <c r="AC476" s="120"/>
      <c r="AD476" s="120"/>
      <c r="AE476" s="120"/>
      <c r="AF476" s="120"/>
      <c r="AG476" s="120"/>
      <c r="AH476" s="120"/>
      <c r="AI476" s="120"/>
      <c r="AJ476" s="120"/>
      <c r="AK476" s="120"/>
      <c r="AL476" s="120"/>
      <c r="AM476" s="120"/>
      <c r="AN476" s="120"/>
      <c r="AO476" s="121"/>
      <c r="AP476" s="121"/>
      <c r="AQ476" s="121"/>
      <c r="AR476" s="121"/>
      <c r="AS476" s="121"/>
      <c r="AT476" s="121"/>
      <c r="AU476" s="121"/>
      <c r="AV476" s="121"/>
      <c r="AW476" s="121"/>
      <c r="AX476" s="121"/>
    </row>
    <row r="477" ht="15.75" customHeight="1">
      <c r="A477" s="231" t="s">
        <v>78</v>
      </c>
      <c r="B477" s="238" t="s">
        <v>3363</v>
      </c>
      <c r="C477" s="28"/>
      <c r="D477" s="28"/>
      <c r="E477" s="28"/>
      <c r="F477" s="28"/>
      <c r="G477" s="28"/>
      <c r="H477" s="28"/>
      <c r="I477" s="28"/>
      <c r="J477" s="28"/>
      <c r="K477" s="28"/>
      <c r="L477" s="28"/>
      <c r="M477" s="28"/>
      <c r="N477" s="28"/>
      <c r="O477" s="120"/>
      <c r="P477" s="120"/>
      <c r="Q477" s="120"/>
      <c r="R477" s="120"/>
      <c r="S477" s="120"/>
      <c r="T477" s="178" t="s">
        <v>6610</v>
      </c>
      <c r="U477" s="120"/>
      <c r="V477" s="120"/>
      <c r="W477" s="120"/>
      <c r="X477" s="120"/>
      <c r="Y477" s="120"/>
      <c r="Z477" s="120"/>
      <c r="AA477" s="120"/>
      <c r="AB477" s="120"/>
      <c r="AC477" s="120"/>
      <c r="AD477" s="120"/>
      <c r="AE477" s="120"/>
      <c r="AF477" s="120"/>
      <c r="AG477" s="120"/>
      <c r="AH477" s="120"/>
      <c r="AI477" s="120"/>
      <c r="AJ477" s="120"/>
      <c r="AK477" s="120"/>
      <c r="AL477" s="120"/>
      <c r="AM477" s="120"/>
      <c r="AN477" s="120"/>
      <c r="AO477" s="121"/>
      <c r="AP477" s="121"/>
      <c r="AQ477" s="121"/>
      <c r="AR477" s="121"/>
      <c r="AS477" s="121"/>
      <c r="AT477" s="121"/>
      <c r="AU477" s="121"/>
      <c r="AV477" s="121"/>
      <c r="AW477" s="121"/>
      <c r="AX477" s="121"/>
    </row>
    <row r="478" ht="15.75" customHeight="1">
      <c r="A478" s="231" t="s">
        <v>78</v>
      </c>
      <c r="B478" s="238" t="s">
        <v>3367</v>
      </c>
      <c r="C478" s="28"/>
      <c r="D478" s="28"/>
      <c r="E478" s="28"/>
      <c r="F478" s="28"/>
      <c r="G478" s="28"/>
      <c r="H478" s="28"/>
      <c r="I478" s="28"/>
      <c r="J478" s="28"/>
      <c r="K478" s="28"/>
      <c r="L478" s="28"/>
      <c r="M478" s="28"/>
      <c r="N478" s="28"/>
      <c r="O478" s="120"/>
      <c r="P478" s="120"/>
      <c r="Q478" s="120"/>
      <c r="R478" s="120"/>
      <c r="S478" s="120"/>
      <c r="T478" s="178" t="s">
        <v>6623</v>
      </c>
      <c r="U478" s="120"/>
      <c r="V478" s="120"/>
      <c r="W478" s="120"/>
      <c r="X478" s="120"/>
      <c r="Y478" s="120"/>
      <c r="Z478" s="120"/>
      <c r="AA478" s="120"/>
      <c r="AB478" s="120"/>
      <c r="AC478" s="120"/>
      <c r="AD478" s="120"/>
      <c r="AE478" s="120"/>
      <c r="AF478" s="120"/>
      <c r="AG478" s="120"/>
      <c r="AH478" s="120"/>
      <c r="AI478" s="120"/>
      <c r="AJ478" s="120"/>
      <c r="AK478" s="120"/>
      <c r="AL478" s="120"/>
      <c r="AM478" s="120"/>
      <c r="AN478" s="120"/>
      <c r="AO478" s="121"/>
      <c r="AP478" s="121"/>
      <c r="AQ478" s="121"/>
      <c r="AR478" s="121"/>
      <c r="AS478" s="121"/>
      <c r="AT478" s="121"/>
      <c r="AU478" s="121"/>
      <c r="AV478" s="121"/>
      <c r="AW478" s="121"/>
      <c r="AX478" s="121"/>
    </row>
    <row r="479" ht="15.75" customHeight="1">
      <c r="A479" s="231" t="s">
        <v>78</v>
      </c>
      <c r="B479" s="238" t="s">
        <v>3374</v>
      </c>
      <c r="C479" s="28"/>
      <c r="D479" s="28"/>
      <c r="E479" s="28"/>
      <c r="F479" s="28"/>
      <c r="G479" s="28"/>
      <c r="H479" s="28"/>
      <c r="I479" s="28"/>
      <c r="J479" s="28"/>
      <c r="K479" s="28"/>
      <c r="L479" s="28"/>
      <c r="M479" s="28"/>
      <c r="N479" s="28"/>
      <c r="O479" s="120"/>
      <c r="P479" s="120"/>
      <c r="Q479" s="120"/>
      <c r="R479" s="120"/>
      <c r="S479" s="120"/>
      <c r="T479" s="178" t="s">
        <v>6641</v>
      </c>
      <c r="U479" s="120"/>
      <c r="V479" s="120"/>
      <c r="W479" s="120"/>
      <c r="X479" s="120"/>
      <c r="Y479" s="120"/>
      <c r="Z479" s="120"/>
      <c r="AA479" s="120"/>
      <c r="AB479" s="120"/>
      <c r="AC479" s="120"/>
      <c r="AD479" s="120"/>
      <c r="AE479" s="120"/>
      <c r="AF479" s="120"/>
      <c r="AG479" s="120"/>
      <c r="AH479" s="120"/>
      <c r="AI479" s="120"/>
      <c r="AJ479" s="120"/>
      <c r="AK479" s="120"/>
      <c r="AL479" s="120"/>
      <c r="AM479" s="120"/>
      <c r="AN479" s="120"/>
      <c r="AO479" s="121"/>
      <c r="AP479" s="121"/>
      <c r="AQ479" s="121"/>
      <c r="AR479" s="121"/>
      <c r="AS479" s="121"/>
      <c r="AT479" s="121"/>
      <c r="AU479" s="121"/>
      <c r="AV479" s="121"/>
      <c r="AW479" s="121"/>
      <c r="AX479" s="121"/>
    </row>
    <row r="480" ht="15.75" customHeight="1">
      <c r="A480" s="231" t="s">
        <v>78</v>
      </c>
      <c r="B480" s="238" t="s">
        <v>3379</v>
      </c>
      <c r="C480" s="28"/>
      <c r="D480" s="28"/>
      <c r="E480" s="28"/>
      <c r="F480" s="28"/>
      <c r="G480" s="28"/>
      <c r="H480" s="28"/>
      <c r="I480" s="28"/>
      <c r="J480" s="28"/>
      <c r="K480" s="28"/>
      <c r="L480" s="28"/>
      <c r="M480" s="28"/>
      <c r="N480" s="28"/>
      <c r="O480" s="120"/>
      <c r="P480" s="120"/>
      <c r="Q480" s="120"/>
      <c r="R480" s="120"/>
      <c r="S480" s="120"/>
      <c r="T480" s="178" t="s">
        <v>6663</v>
      </c>
      <c r="U480" s="120"/>
      <c r="V480" s="120"/>
      <c r="W480" s="120"/>
      <c r="X480" s="120"/>
      <c r="Y480" s="120"/>
      <c r="Z480" s="120"/>
      <c r="AA480" s="120"/>
      <c r="AB480" s="120"/>
      <c r="AC480" s="120"/>
      <c r="AD480" s="120"/>
      <c r="AE480" s="120"/>
      <c r="AF480" s="120"/>
      <c r="AG480" s="120"/>
      <c r="AH480" s="120"/>
      <c r="AI480" s="120"/>
      <c r="AJ480" s="120"/>
      <c r="AK480" s="120"/>
      <c r="AL480" s="120"/>
      <c r="AM480" s="120"/>
      <c r="AN480" s="120"/>
      <c r="AO480" s="121"/>
      <c r="AP480" s="121"/>
      <c r="AQ480" s="121"/>
      <c r="AR480" s="121"/>
      <c r="AS480" s="121"/>
      <c r="AT480" s="121"/>
      <c r="AU480" s="121"/>
      <c r="AV480" s="121"/>
      <c r="AW480" s="121"/>
      <c r="AX480" s="121"/>
    </row>
    <row r="481" ht="15.75" customHeight="1">
      <c r="A481" s="231" t="s">
        <v>78</v>
      </c>
      <c r="B481" s="238" t="s">
        <v>3386</v>
      </c>
      <c r="C481" s="28"/>
      <c r="D481" s="28"/>
      <c r="E481" s="28"/>
      <c r="F481" s="28"/>
      <c r="G481" s="28"/>
      <c r="H481" s="28"/>
      <c r="I481" s="28"/>
      <c r="J481" s="28"/>
      <c r="K481" s="28"/>
      <c r="L481" s="28"/>
      <c r="M481" s="28"/>
      <c r="N481" s="28"/>
      <c r="O481" s="120"/>
      <c r="P481" s="120"/>
      <c r="Q481" s="120"/>
      <c r="R481" s="120"/>
      <c r="S481" s="120"/>
      <c r="T481" s="178" t="s">
        <v>6682</v>
      </c>
      <c r="U481" s="120"/>
      <c r="V481" s="120"/>
      <c r="W481" s="120"/>
      <c r="X481" s="120"/>
      <c r="Y481" s="120"/>
      <c r="Z481" s="120"/>
      <c r="AA481" s="120"/>
      <c r="AB481" s="120"/>
      <c r="AC481" s="120"/>
      <c r="AD481" s="120"/>
      <c r="AE481" s="120"/>
      <c r="AF481" s="120"/>
      <c r="AG481" s="120"/>
      <c r="AH481" s="120"/>
      <c r="AI481" s="120"/>
      <c r="AJ481" s="120"/>
      <c r="AK481" s="120"/>
      <c r="AL481" s="120"/>
      <c r="AM481" s="120"/>
      <c r="AN481" s="120"/>
      <c r="AO481" s="121"/>
      <c r="AP481" s="121"/>
      <c r="AQ481" s="121"/>
      <c r="AR481" s="121"/>
      <c r="AS481" s="121"/>
      <c r="AT481" s="121"/>
      <c r="AU481" s="121"/>
      <c r="AV481" s="121"/>
      <c r="AW481" s="121"/>
      <c r="AX481" s="121"/>
    </row>
    <row r="482" ht="15.75" customHeight="1">
      <c r="A482" s="231" t="s">
        <v>78</v>
      </c>
      <c r="B482" s="238" t="s">
        <v>3393</v>
      </c>
      <c r="C482" s="28"/>
      <c r="D482" s="28"/>
      <c r="E482" s="28"/>
      <c r="F482" s="28"/>
      <c r="G482" s="28"/>
      <c r="H482" s="28"/>
      <c r="I482" s="28"/>
      <c r="J482" s="28"/>
      <c r="K482" s="28"/>
      <c r="L482" s="28"/>
      <c r="M482" s="28"/>
      <c r="N482" s="28"/>
      <c r="O482" s="120"/>
      <c r="P482" s="120"/>
      <c r="Q482" s="120"/>
      <c r="R482" s="120"/>
      <c r="S482" s="120"/>
      <c r="T482" s="178" t="s">
        <v>6701</v>
      </c>
      <c r="U482" s="120"/>
      <c r="V482" s="120"/>
      <c r="W482" s="120"/>
      <c r="X482" s="120"/>
      <c r="Y482" s="120"/>
      <c r="Z482" s="120"/>
      <c r="AA482" s="120"/>
      <c r="AB482" s="120"/>
      <c r="AC482" s="120"/>
      <c r="AD482" s="120"/>
      <c r="AE482" s="120"/>
      <c r="AF482" s="120"/>
      <c r="AG482" s="120"/>
      <c r="AH482" s="120"/>
      <c r="AI482" s="120"/>
      <c r="AJ482" s="120"/>
      <c r="AK482" s="120"/>
      <c r="AL482" s="120"/>
      <c r="AM482" s="120"/>
      <c r="AN482" s="120"/>
      <c r="AO482" s="121"/>
      <c r="AP482" s="121"/>
      <c r="AQ482" s="121"/>
      <c r="AR482" s="121"/>
      <c r="AS482" s="121"/>
      <c r="AT482" s="121"/>
      <c r="AU482" s="121"/>
      <c r="AV482" s="121"/>
      <c r="AW482" s="121"/>
      <c r="AX482" s="121"/>
    </row>
    <row r="483" ht="15.75" customHeight="1">
      <c r="A483" s="231" t="s">
        <v>78</v>
      </c>
      <c r="B483" s="238" t="s">
        <v>3400</v>
      </c>
      <c r="C483" s="28"/>
      <c r="D483" s="28"/>
      <c r="E483" s="28"/>
      <c r="F483" s="28"/>
      <c r="G483" s="28"/>
      <c r="H483" s="28"/>
      <c r="I483" s="28"/>
      <c r="J483" s="28"/>
      <c r="K483" s="28"/>
      <c r="L483" s="28"/>
      <c r="M483" s="28"/>
      <c r="N483" s="28"/>
      <c r="O483" s="120"/>
      <c r="P483" s="120"/>
      <c r="Q483" s="120"/>
      <c r="R483" s="120"/>
      <c r="S483" s="120"/>
      <c r="T483" s="178" t="s">
        <v>6719</v>
      </c>
      <c r="U483" s="120"/>
      <c r="V483" s="120"/>
      <c r="W483" s="120"/>
      <c r="X483" s="120"/>
      <c r="Y483" s="120"/>
      <c r="Z483" s="120"/>
      <c r="AA483" s="120"/>
      <c r="AB483" s="120"/>
      <c r="AC483" s="120"/>
      <c r="AD483" s="120"/>
      <c r="AE483" s="120"/>
      <c r="AF483" s="120"/>
      <c r="AG483" s="120"/>
      <c r="AH483" s="120"/>
      <c r="AI483" s="120"/>
      <c r="AJ483" s="120"/>
      <c r="AK483" s="120"/>
      <c r="AL483" s="120"/>
      <c r="AM483" s="120"/>
      <c r="AN483" s="120"/>
      <c r="AO483" s="121"/>
      <c r="AP483" s="121"/>
      <c r="AQ483" s="121"/>
      <c r="AR483" s="121"/>
      <c r="AS483" s="121"/>
      <c r="AT483" s="121"/>
      <c r="AU483" s="121"/>
      <c r="AV483" s="121"/>
      <c r="AW483" s="121"/>
      <c r="AX483" s="121"/>
    </row>
    <row r="484" ht="15.75" customHeight="1">
      <c r="A484" s="231" t="s">
        <v>78</v>
      </c>
      <c r="B484" s="238" t="s">
        <v>3405</v>
      </c>
      <c r="C484" s="28"/>
      <c r="D484" s="28"/>
      <c r="E484" s="28"/>
      <c r="F484" s="28"/>
      <c r="G484" s="28"/>
      <c r="H484" s="28"/>
      <c r="I484" s="28"/>
      <c r="J484" s="28"/>
      <c r="K484" s="28"/>
      <c r="L484" s="28"/>
      <c r="M484" s="28"/>
      <c r="N484" s="28"/>
      <c r="O484" s="120"/>
      <c r="P484" s="120"/>
      <c r="Q484" s="120"/>
      <c r="R484" s="120"/>
      <c r="S484" s="120"/>
      <c r="T484" s="178" t="s">
        <v>6735</v>
      </c>
      <c r="U484" s="120"/>
      <c r="V484" s="120"/>
      <c r="W484" s="120"/>
      <c r="X484" s="120"/>
      <c r="Y484" s="120"/>
      <c r="Z484" s="120"/>
      <c r="AA484" s="120"/>
      <c r="AB484" s="120"/>
      <c r="AC484" s="120"/>
      <c r="AD484" s="120"/>
      <c r="AE484" s="120"/>
      <c r="AF484" s="120"/>
      <c r="AG484" s="120"/>
      <c r="AH484" s="120"/>
      <c r="AI484" s="120"/>
      <c r="AJ484" s="120"/>
      <c r="AK484" s="120"/>
      <c r="AL484" s="120"/>
      <c r="AM484" s="120"/>
      <c r="AN484" s="120"/>
      <c r="AO484" s="121"/>
      <c r="AP484" s="121"/>
      <c r="AQ484" s="121"/>
      <c r="AR484" s="121"/>
      <c r="AS484" s="121"/>
      <c r="AT484" s="121"/>
      <c r="AU484" s="121"/>
      <c r="AV484" s="121"/>
      <c r="AW484" s="121"/>
      <c r="AX484" s="121"/>
    </row>
    <row r="485" ht="15.75" customHeight="1">
      <c r="A485" s="231" t="s">
        <v>78</v>
      </c>
      <c r="B485" s="238" t="s">
        <v>3412</v>
      </c>
      <c r="C485" s="28"/>
      <c r="D485" s="28"/>
      <c r="E485" s="28"/>
      <c r="F485" s="28"/>
      <c r="G485" s="28"/>
      <c r="H485" s="28"/>
      <c r="I485" s="28"/>
      <c r="J485" s="28"/>
      <c r="K485" s="28"/>
      <c r="L485" s="28"/>
      <c r="M485" s="28"/>
      <c r="N485" s="28"/>
      <c r="O485" s="120"/>
      <c r="P485" s="120"/>
      <c r="Q485" s="120"/>
      <c r="R485" s="120"/>
      <c r="S485" s="120"/>
      <c r="T485" s="178" t="s">
        <v>6751</v>
      </c>
      <c r="U485" s="120"/>
      <c r="V485" s="120"/>
      <c r="W485" s="120"/>
      <c r="X485" s="120"/>
      <c r="Y485" s="120"/>
      <c r="Z485" s="120"/>
      <c r="AA485" s="120"/>
      <c r="AB485" s="120"/>
      <c r="AC485" s="120"/>
      <c r="AD485" s="120"/>
      <c r="AE485" s="120"/>
      <c r="AF485" s="120"/>
      <c r="AG485" s="120"/>
      <c r="AH485" s="120"/>
      <c r="AI485" s="120"/>
      <c r="AJ485" s="120"/>
      <c r="AK485" s="120"/>
      <c r="AL485" s="120"/>
      <c r="AM485" s="120"/>
      <c r="AN485" s="120"/>
      <c r="AO485" s="121"/>
      <c r="AP485" s="121"/>
      <c r="AQ485" s="121"/>
      <c r="AR485" s="121"/>
      <c r="AS485" s="121"/>
      <c r="AT485" s="121"/>
      <c r="AU485" s="121"/>
      <c r="AV485" s="121"/>
      <c r="AW485" s="121"/>
      <c r="AX485" s="121"/>
    </row>
    <row r="486" ht="15.75" customHeight="1">
      <c r="A486" s="231" t="s">
        <v>78</v>
      </c>
      <c r="B486" s="251" t="s">
        <v>3419</v>
      </c>
      <c r="C486" s="28"/>
      <c r="D486" s="28"/>
      <c r="E486" s="28"/>
      <c r="F486" s="28"/>
      <c r="G486" s="28"/>
      <c r="H486" s="28"/>
      <c r="I486" s="28"/>
      <c r="J486" s="28"/>
      <c r="K486" s="28"/>
      <c r="L486" s="28"/>
      <c r="M486" s="28"/>
      <c r="N486" s="28"/>
      <c r="O486" s="120"/>
      <c r="P486" s="120"/>
      <c r="Q486" s="120"/>
      <c r="R486" s="120"/>
      <c r="S486" s="120"/>
      <c r="T486" s="119" t="s">
        <v>6770</v>
      </c>
      <c r="U486" s="120"/>
      <c r="V486" s="120"/>
      <c r="W486" s="120"/>
      <c r="X486" s="120"/>
      <c r="Y486" s="120"/>
      <c r="Z486" s="120"/>
      <c r="AA486" s="120"/>
      <c r="AB486" s="120"/>
      <c r="AC486" s="120"/>
      <c r="AD486" s="120"/>
      <c r="AE486" s="120"/>
      <c r="AF486" s="120"/>
      <c r="AG486" s="120"/>
      <c r="AH486" s="120"/>
      <c r="AI486" s="120"/>
      <c r="AJ486" s="120"/>
      <c r="AK486" s="120"/>
      <c r="AL486" s="120"/>
      <c r="AM486" s="120"/>
      <c r="AN486" s="120"/>
      <c r="AO486" s="121"/>
      <c r="AP486" s="121"/>
      <c r="AQ486" s="121"/>
      <c r="AR486" s="121"/>
      <c r="AS486" s="121"/>
      <c r="AT486" s="121"/>
      <c r="AU486" s="121"/>
      <c r="AV486" s="121"/>
      <c r="AW486" s="121"/>
      <c r="AX486" s="121"/>
    </row>
    <row r="487" ht="15.75" customHeight="1">
      <c r="A487" s="231" t="s">
        <v>78</v>
      </c>
      <c r="B487" s="251" t="s">
        <v>3424</v>
      </c>
      <c r="C487" s="28"/>
      <c r="D487" s="28"/>
      <c r="E487" s="28"/>
      <c r="F487" s="28"/>
      <c r="G487" s="28"/>
      <c r="H487" s="28"/>
      <c r="I487" s="28"/>
      <c r="J487" s="28"/>
      <c r="K487" s="28"/>
      <c r="L487" s="28"/>
      <c r="M487" s="28"/>
      <c r="N487" s="28"/>
      <c r="O487" s="120"/>
      <c r="P487" s="120"/>
      <c r="Q487" s="120"/>
      <c r="R487" s="120"/>
      <c r="S487" s="120"/>
      <c r="T487" s="119" t="s">
        <v>6794</v>
      </c>
      <c r="U487" s="120"/>
      <c r="V487" s="120"/>
      <c r="W487" s="120"/>
      <c r="X487" s="120"/>
      <c r="Y487" s="120"/>
      <c r="Z487" s="120"/>
      <c r="AA487" s="120"/>
      <c r="AB487" s="120"/>
      <c r="AC487" s="120"/>
      <c r="AD487" s="120"/>
      <c r="AE487" s="120"/>
      <c r="AF487" s="120"/>
      <c r="AG487" s="120"/>
      <c r="AH487" s="120"/>
      <c r="AI487" s="120"/>
      <c r="AJ487" s="120"/>
      <c r="AK487" s="120"/>
      <c r="AL487" s="120"/>
      <c r="AM487" s="120"/>
      <c r="AN487" s="120"/>
      <c r="AO487" s="121"/>
      <c r="AP487" s="121"/>
      <c r="AQ487" s="121"/>
      <c r="AR487" s="121"/>
      <c r="AS487" s="121"/>
      <c r="AT487" s="121"/>
      <c r="AU487" s="121"/>
      <c r="AV487" s="121"/>
      <c r="AW487" s="121"/>
      <c r="AX487" s="121"/>
    </row>
    <row r="488" ht="15.75" customHeight="1">
      <c r="A488" s="231" t="s">
        <v>78</v>
      </c>
      <c r="B488" s="238" t="s">
        <v>3429</v>
      </c>
      <c r="C488" s="28"/>
      <c r="D488" s="28"/>
      <c r="E488" s="28"/>
      <c r="F488" s="28"/>
      <c r="G488" s="28"/>
      <c r="H488" s="28"/>
      <c r="I488" s="28"/>
      <c r="J488" s="28"/>
      <c r="K488" s="28"/>
      <c r="L488" s="28"/>
      <c r="M488" s="28"/>
      <c r="N488" s="28"/>
      <c r="O488" s="120"/>
      <c r="P488" s="120"/>
      <c r="Q488" s="120"/>
      <c r="R488" s="120"/>
      <c r="S488" s="120"/>
      <c r="T488" s="178" t="s">
        <v>6811</v>
      </c>
      <c r="U488" s="120"/>
      <c r="V488" s="120"/>
      <c r="W488" s="120"/>
      <c r="X488" s="120"/>
      <c r="Y488" s="120"/>
      <c r="Z488" s="120"/>
      <c r="AA488" s="120"/>
      <c r="AB488" s="120"/>
      <c r="AC488" s="120"/>
      <c r="AD488" s="120"/>
      <c r="AE488" s="120"/>
      <c r="AF488" s="120"/>
      <c r="AG488" s="120"/>
      <c r="AH488" s="120"/>
      <c r="AI488" s="120"/>
      <c r="AJ488" s="120"/>
      <c r="AK488" s="120"/>
      <c r="AL488" s="120"/>
      <c r="AM488" s="120"/>
      <c r="AN488" s="120"/>
      <c r="AO488" s="121"/>
      <c r="AP488" s="121"/>
      <c r="AQ488" s="121"/>
      <c r="AR488" s="121"/>
      <c r="AS488" s="121"/>
      <c r="AT488" s="121"/>
      <c r="AU488" s="121"/>
      <c r="AV488" s="121"/>
      <c r="AW488" s="121"/>
      <c r="AX488" s="121"/>
    </row>
    <row r="489" ht="15.75" customHeight="1">
      <c r="A489" s="231" t="s">
        <v>78</v>
      </c>
      <c r="B489" s="238" t="s">
        <v>3436</v>
      </c>
      <c r="C489" s="28"/>
      <c r="D489" s="28"/>
      <c r="E489" s="28"/>
      <c r="F489" s="28"/>
      <c r="G489" s="28"/>
      <c r="H489" s="28"/>
      <c r="I489" s="28"/>
      <c r="J489" s="28"/>
      <c r="K489" s="28"/>
      <c r="L489" s="28"/>
      <c r="M489" s="28"/>
      <c r="N489" s="28"/>
      <c r="O489" s="120"/>
      <c r="P489" s="120"/>
      <c r="Q489" s="120"/>
      <c r="R489" s="120"/>
      <c r="S489" s="120"/>
      <c r="T489" s="178" t="s">
        <v>6821</v>
      </c>
      <c r="U489" s="120"/>
      <c r="V489" s="120"/>
      <c r="W489" s="120"/>
      <c r="X489" s="120"/>
      <c r="Y489" s="120"/>
      <c r="Z489" s="120"/>
      <c r="AA489" s="120"/>
      <c r="AB489" s="120"/>
      <c r="AC489" s="120"/>
      <c r="AD489" s="120"/>
      <c r="AE489" s="120"/>
      <c r="AF489" s="120"/>
      <c r="AG489" s="120"/>
      <c r="AH489" s="120"/>
      <c r="AI489" s="120"/>
      <c r="AJ489" s="120"/>
      <c r="AK489" s="120"/>
      <c r="AL489" s="120"/>
      <c r="AM489" s="120"/>
      <c r="AN489" s="120"/>
      <c r="AO489" s="121"/>
      <c r="AP489" s="121"/>
      <c r="AQ489" s="121"/>
      <c r="AR489" s="121"/>
      <c r="AS489" s="121"/>
      <c r="AT489" s="121"/>
      <c r="AU489" s="121"/>
      <c r="AV489" s="121"/>
      <c r="AW489" s="121"/>
      <c r="AX489" s="121"/>
    </row>
    <row r="490" ht="15.75" customHeight="1">
      <c r="A490" s="231" t="s">
        <v>78</v>
      </c>
      <c r="B490" s="238" t="s">
        <v>3440</v>
      </c>
      <c r="C490" s="28"/>
      <c r="D490" s="28"/>
      <c r="E490" s="28"/>
      <c r="F490" s="28"/>
      <c r="G490" s="28"/>
      <c r="H490" s="28"/>
      <c r="I490" s="28"/>
      <c r="J490" s="28"/>
      <c r="K490" s="28"/>
      <c r="L490" s="28"/>
      <c r="M490" s="28"/>
      <c r="N490" s="28"/>
      <c r="O490" s="120"/>
      <c r="P490" s="120"/>
      <c r="Q490" s="120"/>
      <c r="R490" s="120"/>
      <c r="S490" s="120"/>
      <c r="T490" s="178" t="s">
        <v>6833</v>
      </c>
      <c r="U490" s="120"/>
      <c r="V490" s="120"/>
      <c r="W490" s="120"/>
      <c r="X490" s="120"/>
      <c r="Y490" s="120"/>
      <c r="Z490" s="120"/>
      <c r="AA490" s="120"/>
      <c r="AB490" s="120"/>
      <c r="AC490" s="120"/>
      <c r="AD490" s="120"/>
      <c r="AE490" s="120"/>
      <c r="AF490" s="120"/>
      <c r="AG490" s="120"/>
      <c r="AH490" s="120"/>
      <c r="AI490" s="120"/>
      <c r="AJ490" s="120"/>
      <c r="AK490" s="120"/>
      <c r="AL490" s="120"/>
      <c r="AM490" s="120"/>
      <c r="AN490" s="120"/>
      <c r="AO490" s="121"/>
      <c r="AP490" s="121"/>
      <c r="AQ490" s="121"/>
      <c r="AR490" s="121"/>
      <c r="AS490" s="121"/>
      <c r="AT490" s="121"/>
      <c r="AU490" s="121"/>
      <c r="AV490" s="121"/>
      <c r="AW490" s="121"/>
      <c r="AX490" s="121"/>
    </row>
    <row r="491" ht="15.75" customHeight="1">
      <c r="A491" s="231" t="s">
        <v>78</v>
      </c>
      <c r="B491" s="238" t="s">
        <v>3444</v>
      </c>
      <c r="C491" s="28"/>
      <c r="D491" s="28"/>
      <c r="E491" s="28"/>
      <c r="F491" s="28"/>
      <c r="G491" s="28"/>
      <c r="H491" s="28"/>
      <c r="I491" s="28"/>
      <c r="J491" s="28"/>
      <c r="K491" s="28"/>
      <c r="L491" s="28"/>
      <c r="M491" s="28"/>
      <c r="N491" s="28"/>
      <c r="O491" s="120"/>
      <c r="P491" s="120"/>
      <c r="Q491" s="120"/>
      <c r="R491" s="120"/>
      <c r="S491" s="120"/>
      <c r="T491" s="178" t="s">
        <v>6851</v>
      </c>
      <c r="U491" s="120"/>
      <c r="V491" s="120"/>
      <c r="W491" s="120"/>
      <c r="X491" s="120"/>
      <c r="Y491" s="120"/>
      <c r="Z491" s="120"/>
      <c r="AA491" s="120"/>
      <c r="AB491" s="120"/>
      <c r="AC491" s="120"/>
      <c r="AD491" s="120"/>
      <c r="AE491" s="120"/>
      <c r="AF491" s="120"/>
      <c r="AG491" s="120"/>
      <c r="AH491" s="120"/>
      <c r="AI491" s="120"/>
      <c r="AJ491" s="120"/>
      <c r="AK491" s="120"/>
      <c r="AL491" s="120"/>
      <c r="AM491" s="120"/>
      <c r="AN491" s="120"/>
      <c r="AO491" s="121"/>
      <c r="AP491" s="121"/>
      <c r="AQ491" s="121"/>
      <c r="AR491" s="121"/>
      <c r="AS491" s="121"/>
      <c r="AT491" s="121"/>
      <c r="AU491" s="121"/>
      <c r="AV491" s="121"/>
      <c r="AW491" s="121"/>
      <c r="AX491" s="121"/>
    </row>
    <row r="492" ht="15.75" customHeight="1">
      <c r="A492" s="231" t="s">
        <v>78</v>
      </c>
      <c r="B492" s="238" t="s">
        <v>3449</v>
      </c>
      <c r="C492" s="28"/>
      <c r="D492" s="28"/>
      <c r="E492" s="28"/>
      <c r="F492" s="28"/>
      <c r="G492" s="28"/>
      <c r="H492" s="28"/>
      <c r="I492" s="28"/>
      <c r="J492" s="28"/>
      <c r="K492" s="28"/>
      <c r="L492" s="28"/>
      <c r="M492" s="28"/>
      <c r="N492" s="28"/>
      <c r="O492" s="120"/>
      <c r="P492" s="120"/>
      <c r="Q492" s="120"/>
      <c r="R492" s="120"/>
      <c r="S492" s="120"/>
      <c r="T492" s="178" t="s">
        <v>6872</v>
      </c>
      <c r="U492" s="120"/>
      <c r="V492" s="120"/>
      <c r="W492" s="120"/>
      <c r="X492" s="120"/>
      <c r="Y492" s="120"/>
      <c r="Z492" s="120"/>
      <c r="AA492" s="120"/>
      <c r="AB492" s="120"/>
      <c r="AC492" s="120"/>
      <c r="AD492" s="120"/>
      <c r="AE492" s="120"/>
      <c r="AF492" s="120"/>
      <c r="AG492" s="120"/>
      <c r="AH492" s="120"/>
      <c r="AI492" s="120"/>
      <c r="AJ492" s="120"/>
      <c r="AK492" s="120"/>
      <c r="AL492" s="120"/>
      <c r="AM492" s="120"/>
      <c r="AN492" s="120"/>
      <c r="AO492" s="121"/>
      <c r="AP492" s="121"/>
      <c r="AQ492" s="121"/>
      <c r="AR492" s="121"/>
      <c r="AS492" s="121"/>
      <c r="AT492" s="121"/>
      <c r="AU492" s="121"/>
      <c r="AV492" s="121"/>
      <c r="AW492" s="121"/>
      <c r="AX492" s="121"/>
    </row>
    <row r="493" ht="15.75" customHeight="1">
      <c r="A493" s="231" t="s">
        <v>78</v>
      </c>
      <c r="B493" s="238" t="s">
        <v>3456</v>
      </c>
      <c r="C493" s="28"/>
      <c r="D493" s="28"/>
      <c r="E493" s="28"/>
      <c r="F493" s="28"/>
      <c r="G493" s="28"/>
      <c r="H493" s="28"/>
      <c r="I493" s="28"/>
      <c r="J493" s="28"/>
      <c r="K493" s="28"/>
      <c r="L493" s="28"/>
      <c r="M493" s="28"/>
      <c r="N493" s="28"/>
      <c r="O493" s="120"/>
      <c r="P493" s="120"/>
      <c r="Q493" s="120"/>
      <c r="R493" s="120"/>
      <c r="S493" s="120"/>
      <c r="T493" s="119" t="s">
        <v>6882</v>
      </c>
      <c r="U493" s="120"/>
      <c r="V493" s="120"/>
      <c r="W493" s="120"/>
      <c r="X493" s="120"/>
      <c r="Y493" s="120"/>
      <c r="Z493" s="120"/>
      <c r="AA493" s="120"/>
      <c r="AB493" s="120"/>
      <c r="AC493" s="120"/>
      <c r="AD493" s="120"/>
      <c r="AE493" s="120"/>
      <c r="AF493" s="120"/>
      <c r="AG493" s="120"/>
      <c r="AH493" s="120"/>
      <c r="AI493" s="120"/>
      <c r="AJ493" s="120"/>
      <c r="AK493" s="120"/>
      <c r="AL493" s="120"/>
      <c r="AM493" s="120"/>
      <c r="AN493" s="120"/>
      <c r="AO493" s="121"/>
      <c r="AP493" s="121"/>
      <c r="AQ493" s="121"/>
      <c r="AR493" s="121"/>
      <c r="AS493" s="121"/>
      <c r="AT493" s="121"/>
      <c r="AU493" s="121"/>
      <c r="AV493" s="121"/>
      <c r="AW493" s="121"/>
      <c r="AX493" s="121"/>
    </row>
    <row r="494" ht="15.75" customHeight="1">
      <c r="A494" s="231" t="s">
        <v>134</v>
      </c>
      <c r="B494" s="66" t="s">
        <v>3464</v>
      </c>
      <c r="C494" s="28"/>
      <c r="D494" s="28"/>
      <c r="E494" s="28"/>
      <c r="F494" s="28"/>
      <c r="G494" s="28"/>
      <c r="H494" s="28"/>
      <c r="I494" s="28"/>
      <c r="J494" s="28"/>
      <c r="K494" s="28"/>
      <c r="L494" s="28"/>
      <c r="M494" s="28"/>
      <c r="N494" s="28"/>
      <c r="O494" s="120"/>
      <c r="P494" s="120"/>
      <c r="Q494" s="120"/>
      <c r="R494" s="120"/>
      <c r="S494" s="120"/>
      <c r="T494" s="178" t="s">
        <v>139</v>
      </c>
      <c r="U494" s="120"/>
      <c r="V494" s="120"/>
      <c r="W494" s="120"/>
      <c r="X494" s="120"/>
      <c r="Y494" s="120"/>
      <c r="Z494" s="120"/>
      <c r="AA494" s="120"/>
      <c r="AB494" s="120"/>
      <c r="AC494" s="120"/>
      <c r="AD494" s="121"/>
      <c r="AE494" s="121"/>
      <c r="AF494" s="121"/>
      <c r="AG494" s="121"/>
      <c r="AH494" s="121"/>
      <c r="AI494" s="121"/>
      <c r="AJ494" s="121"/>
      <c r="AK494" s="121"/>
      <c r="AL494" s="121"/>
      <c r="AM494" s="121"/>
      <c r="AN494" s="121"/>
      <c r="AO494" s="121"/>
      <c r="AP494" s="121"/>
      <c r="AQ494" s="121"/>
      <c r="AR494" s="121"/>
      <c r="AS494" s="121"/>
      <c r="AT494" s="121"/>
      <c r="AU494" s="121"/>
      <c r="AV494" s="121"/>
      <c r="AW494" s="121"/>
      <c r="AX494" s="121"/>
    </row>
    <row r="495" ht="15.75" customHeight="1">
      <c r="A495" s="254" t="s">
        <v>41</v>
      </c>
      <c r="B495" s="255" t="s">
        <v>3468</v>
      </c>
      <c r="C495" s="28" t="s">
        <v>3476</v>
      </c>
      <c r="D495" s="28" t="s">
        <v>3477</v>
      </c>
      <c r="E495" s="28" t="s">
        <v>3478</v>
      </c>
      <c r="F495" s="28"/>
      <c r="G495" s="28"/>
      <c r="H495" s="28"/>
      <c r="I495" s="28"/>
      <c r="J495" s="28"/>
      <c r="K495" s="28"/>
      <c r="L495" s="28"/>
      <c r="M495" s="28"/>
      <c r="N495" s="28"/>
      <c r="O495" s="302"/>
      <c r="P495" s="302"/>
      <c r="Q495" s="302"/>
      <c r="R495" s="302"/>
      <c r="S495" s="302"/>
      <c r="T495" s="126"/>
      <c r="U495" s="302"/>
      <c r="V495" s="302"/>
      <c r="W495" s="302"/>
      <c r="X495" s="302"/>
      <c r="Y495" s="302"/>
      <c r="Z495" s="302"/>
      <c r="AA495" s="302"/>
      <c r="AB495" s="302"/>
      <c r="AC495" s="302"/>
      <c r="AD495" s="276"/>
      <c r="AE495" s="276"/>
      <c r="AF495" s="276"/>
      <c r="AG495" s="276"/>
      <c r="AH495" s="276"/>
      <c r="AI495" s="276"/>
      <c r="AJ495" s="276"/>
      <c r="AK495" s="276"/>
      <c r="AL495" s="276"/>
      <c r="AM495" s="276"/>
      <c r="AN495" s="276"/>
      <c r="AO495" s="121"/>
      <c r="AP495" s="121"/>
      <c r="AQ495" s="121"/>
      <c r="AR495" s="121"/>
      <c r="AS495" s="121"/>
      <c r="AT495" s="121"/>
      <c r="AU495" s="121"/>
      <c r="AV495" s="121"/>
      <c r="AW495" s="121"/>
      <c r="AX495" s="121"/>
    </row>
    <row r="496" ht="15.75" customHeight="1">
      <c r="A496" s="68"/>
      <c r="B496" s="169"/>
      <c r="C496" s="28"/>
      <c r="D496" s="28"/>
      <c r="E496" s="28"/>
      <c r="F496" s="28"/>
      <c r="G496" s="28"/>
      <c r="H496" s="28"/>
      <c r="I496" s="28"/>
      <c r="J496" s="28"/>
      <c r="K496" s="28"/>
      <c r="L496" s="28"/>
      <c r="M496" s="28"/>
      <c r="N496" s="28"/>
      <c r="O496" s="67"/>
      <c r="P496" s="67"/>
      <c r="Q496" s="67"/>
      <c r="R496" s="67"/>
      <c r="S496" s="67"/>
      <c r="T496" s="67"/>
      <c r="U496" s="67"/>
      <c r="V496" s="67"/>
      <c r="W496" s="67"/>
      <c r="X496" s="67"/>
      <c r="Y496" s="67"/>
      <c r="Z496" s="67"/>
      <c r="AA496" s="67"/>
      <c r="AB496" s="67"/>
      <c r="AC496" s="67"/>
      <c r="AD496" s="67"/>
      <c r="AE496" s="67"/>
      <c r="AF496" s="67"/>
      <c r="AG496" s="67"/>
      <c r="AH496" s="67"/>
      <c r="AI496" s="67"/>
      <c r="AJ496" s="67"/>
      <c r="AK496" s="67"/>
      <c r="AL496" s="67"/>
      <c r="AM496" s="67"/>
      <c r="AN496" s="67"/>
      <c r="AO496" s="70"/>
      <c r="AP496" s="70"/>
      <c r="AQ496" s="70"/>
      <c r="AR496" s="70"/>
      <c r="AS496" s="70"/>
      <c r="AT496" s="70"/>
      <c r="AU496" s="70"/>
      <c r="AV496" s="70"/>
      <c r="AW496" s="70"/>
      <c r="AX496" s="70"/>
    </row>
    <row r="497" ht="15.75" customHeight="1">
      <c r="A497" s="90" t="s">
        <v>78</v>
      </c>
      <c r="B497" s="216" t="s">
        <v>3482</v>
      </c>
      <c r="C497" s="28"/>
      <c r="D497" s="28"/>
      <c r="E497" s="28"/>
      <c r="F497" s="28"/>
      <c r="G497" s="28"/>
      <c r="H497" s="28"/>
      <c r="I497" s="28"/>
      <c r="J497" s="28"/>
      <c r="K497" s="28"/>
      <c r="L497" s="28"/>
      <c r="M497" s="28"/>
      <c r="N497" s="28"/>
      <c r="O497" s="67"/>
      <c r="P497" s="67"/>
      <c r="Q497" s="67"/>
      <c r="R497" s="67"/>
      <c r="S497" s="67"/>
      <c r="T497" s="65" t="s">
        <v>6957</v>
      </c>
      <c r="U497" s="67"/>
      <c r="V497" s="67"/>
      <c r="W497" s="67"/>
      <c r="X497" s="67"/>
      <c r="Y497" s="67"/>
      <c r="Z497" s="67"/>
      <c r="AA497" s="67"/>
      <c r="AB497" s="67"/>
      <c r="AC497" s="67"/>
      <c r="AD497" s="67"/>
      <c r="AE497" s="67"/>
      <c r="AF497" s="67"/>
      <c r="AG497" s="67"/>
      <c r="AH497" s="67"/>
      <c r="AI497" s="67"/>
      <c r="AJ497" s="67"/>
      <c r="AK497" s="67"/>
      <c r="AL497" s="67"/>
      <c r="AM497" s="67"/>
      <c r="AN497" s="67"/>
      <c r="AO497" s="70"/>
      <c r="AP497" s="70"/>
      <c r="AQ497" s="70"/>
      <c r="AR497" s="70"/>
      <c r="AS497" s="70"/>
      <c r="AT497" s="70"/>
      <c r="AU497" s="70"/>
      <c r="AV497" s="70"/>
      <c r="AW497" s="70"/>
      <c r="AX497" s="70"/>
    </row>
    <row r="498" ht="134.25" customHeight="1">
      <c r="A498" s="90" t="s">
        <v>78</v>
      </c>
      <c r="B498" s="216" t="s">
        <v>3487</v>
      </c>
      <c r="C498" s="28"/>
      <c r="D498" s="28"/>
      <c r="E498" s="28"/>
      <c r="F498" s="28"/>
      <c r="G498" s="28"/>
      <c r="H498" s="28"/>
      <c r="I498" s="28"/>
      <c r="J498" s="28"/>
      <c r="K498" s="28"/>
      <c r="L498" s="28"/>
      <c r="M498" s="28"/>
      <c r="N498" s="28"/>
      <c r="O498" s="67"/>
      <c r="P498" s="67"/>
      <c r="Q498" s="67"/>
      <c r="R498" s="67"/>
      <c r="S498" s="67"/>
      <c r="T498" s="65" t="s">
        <v>6978</v>
      </c>
      <c r="U498" s="67"/>
      <c r="V498" s="67"/>
      <c r="W498" s="67"/>
      <c r="X498" s="67"/>
      <c r="Y498" s="67"/>
      <c r="Z498" s="67"/>
      <c r="AA498" s="67"/>
      <c r="AB498" s="67"/>
      <c r="AC498" s="67"/>
      <c r="AD498" s="67"/>
      <c r="AE498" s="67"/>
      <c r="AF498" s="67"/>
      <c r="AG498" s="67"/>
      <c r="AH498" s="67"/>
      <c r="AI498" s="67"/>
      <c r="AJ498" s="67"/>
      <c r="AK498" s="67"/>
      <c r="AL498" s="67"/>
      <c r="AM498" s="67"/>
      <c r="AN498" s="67"/>
      <c r="AO498" s="70"/>
      <c r="AP498" s="70"/>
      <c r="AQ498" s="70"/>
      <c r="AR498" s="70"/>
      <c r="AS498" s="70"/>
      <c r="AT498" s="70"/>
      <c r="AU498" s="70"/>
      <c r="AV498" s="70"/>
      <c r="AW498" s="70"/>
      <c r="AX498" s="70"/>
    </row>
    <row r="499" ht="15.75" customHeight="1">
      <c r="A499" s="90" t="s">
        <v>78</v>
      </c>
      <c r="B499" s="216" t="s">
        <v>3493</v>
      </c>
      <c r="C499" s="28"/>
      <c r="D499" s="28"/>
      <c r="E499" s="28"/>
      <c r="F499" s="28"/>
      <c r="G499" s="28"/>
      <c r="H499" s="28"/>
      <c r="I499" s="28"/>
      <c r="J499" s="28"/>
      <c r="K499" s="28"/>
      <c r="L499" s="28"/>
      <c r="M499" s="28"/>
      <c r="N499" s="28"/>
      <c r="O499" s="67"/>
      <c r="P499" s="67"/>
      <c r="Q499" s="67"/>
      <c r="R499" s="67"/>
      <c r="S499" s="67"/>
      <c r="T499" s="65" t="s">
        <v>7013</v>
      </c>
      <c r="U499" s="67"/>
      <c r="V499" s="67"/>
      <c r="W499" s="67"/>
      <c r="X499" s="67"/>
      <c r="Y499" s="67"/>
      <c r="Z499" s="67"/>
      <c r="AA499" s="67"/>
      <c r="AB499" s="67"/>
      <c r="AC499" s="67"/>
      <c r="AD499" s="67"/>
      <c r="AE499" s="67"/>
      <c r="AF499" s="67"/>
      <c r="AG499" s="67"/>
      <c r="AH499" s="67"/>
      <c r="AI499" s="67"/>
      <c r="AJ499" s="67"/>
      <c r="AK499" s="67"/>
      <c r="AL499" s="67"/>
      <c r="AM499" s="67"/>
      <c r="AN499" s="67"/>
      <c r="AO499" s="70"/>
      <c r="AP499" s="70"/>
      <c r="AQ499" s="70"/>
      <c r="AR499" s="70"/>
      <c r="AS499" s="70"/>
      <c r="AT499" s="70"/>
      <c r="AU499" s="70"/>
      <c r="AV499" s="70"/>
      <c r="AW499" s="70"/>
      <c r="AX499" s="70"/>
    </row>
    <row r="500" ht="15.75" customHeight="1">
      <c r="A500" s="65" t="s">
        <v>78</v>
      </c>
      <c r="B500" s="218" t="s">
        <v>3499</v>
      </c>
      <c r="C500" s="28"/>
      <c r="D500" s="28"/>
      <c r="E500" s="28"/>
      <c r="F500" s="28"/>
      <c r="G500" s="28"/>
      <c r="H500" s="28"/>
      <c r="I500" s="28"/>
      <c r="J500" s="28"/>
      <c r="K500" s="28"/>
      <c r="L500" s="28"/>
      <c r="M500" s="28"/>
      <c r="N500" s="28"/>
      <c r="O500" s="67"/>
      <c r="P500" s="67"/>
      <c r="Q500" s="67"/>
      <c r="R500" s="67"/>
      <c r="S500" s="67"/>
      <c r="T500" s="65" t="s">
        <v>7039</v>
      </c>
      <c r="U500" s="67"/>
      <c r="V500" s="67"/>
      <c r="W500" s="67"/>
      <c r="X500" s="67"/>
      <c r="Y500" s="67"/>
      <c r="Z500" s="67"/>
      <c r="AA500" s="67"/>
      <c r="AB500" s="67"/>
      <c r="AC500" s="67"/>
      <c r="AD500" s="67"/>
      <c r="AE500" s="67"/>
      <c r="AF500" s="67"/>
      <c r="AG500" s="67"/>
      <c r="AH500" s="67"/>
      <c r="AI500" s="67"/>
      <c r="AJ500" s="67"/>
      <c r="AK500" s="67"/>
      <c r="AL500" s="67"/>
      <c r="AM500" s="67"/>
      <c r="AN500" s="67"/>
      <c r="AO500" s="70"/>
      <c r="AP500" s="70"/>
      <c r="AQ500" s="70"/>
      <c r="AR500" s="70"/>
      <c r="AS500" s="70"/>
      <c r="AT500" s="70"/>
      <c r="AU500" s="70"/>
      <c r="AV500" s="70"/>
      <c r="AW500" s="70"/>
      <c r="AX500" s="70"/>
    </row>
    <row r="501" ht="15.75" customHeight="1">
      <c r="A501" s="234" t="s">
        <v>463</v>
      </c>
      <c r="B501" s="256" t="s">
        <v>3506</v>
      </c>
      <c r="C501" s="28" t="s">
        <v>3511</v>
      </c>
      <c r="D501" s="28" t="s">
        <v>3512</v>
      </c>
      <c r="E501" s="28" t="s">
        <v>3513</v>
      </c>
      <c r="F501" s="28"/>
      <c r="G501" s="28"/>
      <c r="H501" s="28"/>
      <c r="I501" s="28"/>
      <c r="J501" s="28"/>
      <c r="K501" s="28" t="s">
        <v>7067</v>
      </c>
      <c r="L501" s="28" t="s">
        <v>7069</v>
      </c>
      <c r="M501" s="28"/>
      <c r="N501" s="28"/>
      <c r="O501" s="233" t="s">
        <v>7071</v>
      </c>
      <c r="P501" s="278"/>
      <c r="Q501" s="278" t="s">
        <v>145</v>
      </c>
      <c r="R501" s="276"/>
      <c r="S501" s="276"/>
      <c r="T501" s="67"/>
      <c r="U501" s="276"/>
      <c r="V501" s="276"/>
      <c r="W501" s="276"/>
      <c r="X501" s="276"/>
      <c r="Y501" s="276"/>
      <c r="Z501" s="276"/>
      <c r="AA501" s="276"/>
      <c r="AB501" s="276"/>
      <c r="AC501" s="276"/>
      <c r="AD501" s="276"/>
      <c r="AE501" s="276"/>
      <c r="AF501" s="276"/>
      <c r="AG501" s="276"/>
      <c r="AH501" s="276"/>
      <c r="AI501" s="276"/>
      <c r="AJ501" s="276"/>
      <c r="AK501" s="276"/>
      <c r="AL501" s="276"/>
      <c r="AM501" s="276"/>
      <c r="AN501" s="276"/>
      <c r="AO501" s="121"/>
      <c r="AP501" s="121"/>
      <c r="AQ501" s="121"/>
      <c r="AR501" s="121"/>
      <c r="AS501" s="121"/>
      <c r="AT501" s="121"/>
      <c r="AU501" s="121"/>
      <c r="AV501" s="121"/>
      <c r="AW501" s="121"/>
      <c r="AX501" s="121"/>
    </row>
    <row r="502" ht="15.75" customHeight="1">
      <c r="A502" s="234" t="s">
        <v>463</v>
      </c>
      <c r="B502" s="256" t="s">
        <v>3514</v>
      </c>
      <c r="C502" s="28" t="s">
        <v>3519</v>
      </c>
      <c r="D502" s="28" t="s">
        <v>3521</v>
      </c>
      <c r="E502" s="28" t="s">
        <v>3522</v>
      </c>
      <c r="F502" s="28"/>
      <c r="G502" s="28"/>
      <c r="H502" s="28"/>
      <c r="I502" s="28"/>
      <c r="J502" s="28"/>
      <c r="K502" s="28" t="s">
        <v>7067</v>
      </c>
      <c r="L502" s="28" t="s">
        <v>7069</v>
      </c>
      <c r="M502" s="28"/>
      <c r="N502" s="28"/>
      <c r="O502" s="233" t="s">
        <v>7101</v>
      </c>
      <c r="P502" s="278"/>
      <c r="Q502" s="278" t="s">
        <v>145</v>
      </c>
      <c r="R502" s="276"/>
      <c r="S502" s="276"/>
      <c r="T502" s="67"/>
      <c r="U502" s="276"/>
      <c r="V502" s="276"/>
      <c r="W502" s="276"/>
      <c r="X502" s="276"/>
      <c r="Y502" s="276"/>
      <c r="Z502" s="276"/>
      <c r="AA502" s="276"/>
      <c r="AB502" s="276"/>
      <c r="AC502" s="276"/>
      <c r="AD502" s="276"/>
      <c r="AE502" s="276"/>
      <c r="AF502" s="276"/>
      <c r="AG502" s="276"/>
      <c r="AH502" s="276"/>
      <c r="AI502" s="276"/>
      <c r="AJ502" s="276"/>
      <c r="AK502" s="276"/>
      <c r="AL502" s="276"/>
      <c r="AM502" s="276"/>
      <c r="AN502" s="276"/>
      <c r="AO502" s="121"/>
      <c r="AP502" s="121"/>
      <c r="AQ502" s="121"/>
      <c r="AR502" s="121"/>
      <c r="AS502" s="121"/>
      <c r="AT502" s="121"/>
      <c r="AU502" s="121"/>
      <c r="AV502" s="121"/>
      <c r="AW502" s="121"/>
      <c r="AX502" s="121"/>
    </row>
    <row r="503" ht="15.75" customHeight="1">
      <c r="A503" s="234" t="s">
        <v>463</v>
      </c>
      <c r="B503" s="240" t="s">
        <v>3525</v>
      </c>
      <c r="C503" s="28" t="s">
        <v>3529</v>
      </c>
      <c r="D503" s="28" t="s">
        <v>3530</v>
      </c>
      <c r="E503" s="28" t="s">
        <v>3531</v>
      </c>
      <c r="F503" s="28"/>
      <c r="G503" s="28"/>
      <c r="H503" s="28"/>
      <c r="I503" s="28"/>
      <c r="J503" s="28"/>
      <c r="K503" s="28" t="s">
        <v>7067</v>
      </c>
      <c r="L503" s="28" t="s">
        <v>7069</v>
      </c>
      <c r="M503" s="28"/>
      <c r="N503" s="28"/>
      <c r="O503" s="234" t="s">
        <v>7121</v>
      </c>
      <c r="P503" s="278"/>
      <c r="Q503" s="278" t="s">
        <v>145</v>
      </c>
      <c r="R503" s="276"/>
      <c r="S503" s="276"/>
      <c r="T503" s="67"/>
      <c r="U503" s="276"/>
      <c r="V503" s="276"/>
      <c r="W503" s="276"/>
      <c r="X503" s="276"/>
      <c r="Y503" s="276"/>
      <c r="Z503" s="276"/>
      <c r="AA503" s="276"/>
      <c r="AB503" s="276"/>
      <c r="AC503" s="276"/>
      <c r="AD503" s="276"/>
      <c r="AE503" s="276"/>
      <c r="AF503" s="276"/>
      <c r="AG503" s="276"/>
      <c r="AH503" s="276"/>
      <c r="AI503" s="276"/>
      <c r="AJ503" s="276"/>
      <c r="AK503" s="276"/>
      <c r="AL503" s="276"/>
      <c r="AM503" s="276"/>
      <c r="AN503" s="276"/>
      <c r="AO503" s="121"/>
      <c r="AP503" s="121"/>
      <c r="AQ503" s="121"/>
      <c r="AR503" s="121"/>
      <c r="AS503" s="121"/>
      <c r="AT503" s="121"/>
      <c r="AU503" s="121"/>
      <c r="AV503" s="121"/>
      <c r="AW503" s="121"/>
      <c r="AX503" s="121"/>
    </row>
    <row r="504" ht="15.75" customHeight="1">
      <c r="A504" s="234" t="s">
        <v>463</v>
      </c>
      <c r="B504" s="240" t="s">
        <v>3532</v>
      </c>
      <c r="C504" s="28" t="s">
        <v>3537</v>
      </c>
      <c r="D504" s="28" t="s">
        <v>3538</v>
      </c>
      <c r="E504" s="28" t="s">
        <v>3539</v>
      </c>
      <c r="F504" s="28"/>
      <c r="G504" s="28"/>
      <c r="H504" s="28"/>
      <c r="I504" s="28"/>
      <c r="J504" s="28"/>
      <c r="K504" s="28" t="s">
        <v>7067</v>
      </c>
      <c r="L504" s="28" t="s">
        <v>7069</v>
      </c>
      <c r="M504" s="28"/>
      <c r="N504" s="28"/>
      <c r="O504" s="234" t="s">
        <v>7128</v>
      </c>
      <c r="P504" s="278"/>
      <c r="Q504" s="278" t="s">
        <v>145</v>
      </c>
      <c r="R504" s="276"/>
      <c r="S504" s="276"/>
      <c r="T504" s="67"/>
      <c r="U504" s="276"/>
      <c r="V504" s="276"/>
      <c r="W504" s="276"/>
      <c r="X504" s="276"/>
      <c r="Y504" s="276"/>
      <c r="Z504" s="276"/>
      <c r="AA504" s="276"/>
      <c r="AB504" s="276"/>
      <c r="AC504" s="276"/>
      <c r="AD504" s="276"/>
      <c r="AE504" s="276"/>
      <c r="AF504" s="276"/>
      <c r="AG504" s="276"/>
      <c r="AH504" s="276"/>
      <c r="AI504" s="276"/>
      <c r="AJ504" s="276"/>
      <c r="AK504" s="276"/>
      <c r="AL504" s="276"/>
      <c r="AM504" s="276"/>
      <c r="AN504" s="276"/>
      <c r="AO504" s="121"/>
      <c r="AP504" s="121"/>
      <c r="AQ504" s="121"/>
      <c r="AR504" s="121"/>
      <c r="AS504" s="121"/>
      <c r="AT504" s="121"/>
      <c r="AU504" s="121"/>
      <c r="AV504" s="121"/>
      <c r="AW504" s="121"/>
      <c r="AX504" s="121"/>
    </row>
    <row r="505" ht="15.75" customHeight="1">
      <c r="A505" s="234" t="s">
        <v>463</v>
      </c>
      <c r="B505" s="240" t="s">
        <v>3540</v>
      </c>
      <c r="C505" s="28" t="s">
        <v>3544</v>
      </c>
      <c r="D505" s="28" t="s">
        <v>3545</v>
      </c>
      <c r="E505" s="28" t="s">
        <v>3546</v>
      </c>
      <c r="F505" s="28"/>
      <c r="G505" s="28"/>
      <c r="H505" s="28"/>
      <c r="I505" s="28"/>
      <c r="J505" s="28"/>
      <c r="K505" s="28" t="s">
        <v>7067</v>
      </c>
      <c r="L505" s="28" t="s">
        <v>7069</v>
      </c>
      <c r="M505" s="28"/>
      <c r="N505" s="28"/>
      <c r="O505" s="234" t="s">
        <v>7130</v>
      </c>
      <c r="P505" s="278"/>
      <c r="Q505" s="278" t="s">
        <v>145</v>
      </c>
      <c r="R505" s="276"/>
      <c r="S505" s="276"/>
      <c r="T505" s="67"/>
      <c r="U505" s="276"/>
      <c r="V505" s="276"/>
      <c r="W505" s="276"/>
      <c r="X505" s="276"/>
      <c r="Y505" s="276"/>
      <c r="Z505" s="276"/>
      <c r="AA505" s="276"/>
      <c r="AB505" s="276"/>
      <c r="AC505" s="276"/>
      <c r="AD505" s="276"/>
      <c r="AE505" s="276"/>
      <c r="AF505" s="276"/>
      <c r="AG505" s="276"/>
      <c r="AH505" s="276"/>
      <c r="AI505" s="276"/>
      <c r="AJ505" s="276"/>
      <c r="AK505" s="276"/>
      <c r="AL505" s="276"/>
      <c r="AM505" s="276"/>
      <c r="AN505" s="276"/>
      <c r="AO505" s="121"/>
      <c r="AP505" s="121"/>
      <c r="AQ505" s="121"/>
      <c r="AR505" s="121"/>
      <c r="AS505" s="121"/>
      <c r="AT505" s="121"/>
      <c r="AU505" s="121"/>
      <c r="AV505" s="121"/>
      <c r="AW505" s="121"/>
      <c r="AX505" s="121"/>
    </row>
    <row r="506" ht="15.75" customHeight="1">
      <c r="A506" s="234" t="s">
        <v>463</v>
      </c>
      <c r="B506" s="240" t="s">
        <v>3547</v>
      </c>
      <c r="C506" s="28" t="s">
        <v>3551</v>
      </c>
      <c r="D506" s="28" t="s">
        <v>3553</v>
      </c>
      <c r="E506" s="28" t="s">
        <v>3554</v>
      </c>
      <c r="F506" s="28"/>
      <c r="G506" s="28"/>
      <c r="H506" s="28"/>
      <c r="I506" s="28"/>
      <c r="J506" s="28"/>
      <c r="K506" s="28" t="s">
        <v>7067</v>
      </c>
      <c r="L506" s="28" t="s">
        <v>7069</v>
      </c>
      <c r="M506" s="28"/>
      <c r="N506" s="28"/>
      <c r="O506" s="234" t="s">
        <v>7139</v>
      </c>
      <c r="P506" s="278"/>
      <c r="Q506" s="278" t="s">
        <v>145</v>
      </c>
      <c r="R506" s="276"/>
      <c r="S506" s="276"/>
      <c r="T506" s="67"/>
      <c r="U506" s="276"/>
      <c r="V506" s="276"/>
      <c r="W506" s="276"/>
      <c r="X506" s="276"/>
      <c r="Y506" s="276"/>
      <c r="Z506" s="276"/>
      <c r="AA506" s="276"/>
      <c r="AB506" s="276"/>
      <c r="AC506" s="276"/>
      <c r="AD506" s="276"/>
      <c r="AE506" s="276"/>
      <c r="AF506" s="276"/>
      <c r="AG506" s="276"/>
      <c r="AH506" s="276"/>
      <c r="AI506" s="276"/>
      <c r="AJ506" s="276"/>
      <c r="AK506" s="276"/>
      <c r="AL506" s="276"/>
      <c r="AM506" s="276"/>
      <c r="AN506" s="276"/>
      <c r="AO506" s="121"/>
      <c r="AP506" s="121"/>
      <c r="AQ506" s="121"/>
      <c r="AR506" s="121"/>
      <c r="AS506" s="121"/>
      <c r="AT506" s="121"/>
      <c r="AU506" s="121"/>
      <c r="AV506" s="121"/>
      <c r="AW506" s="121"/>
      <c r="AX506" s="121"/>
    </row>
    <row r="507" ht="15.75" customHeight="1">
      <c r="A507" s="246" t="s">
        <v>698</v>
      </c>
      <c r="B507" s="247" t="s">
        <v>3558</v>
      </c>
      <c r="C507" s="28" t="s">
        <v>3560</v>
      </c>
      <c r="D507" s="28"/>
      <c r="E507" s="28" t="s">
        <v>3561</v>
      </c>
      <c r="F507" s="28"/>
      <c r="G507" s="28"/>
      <c r="H507" s="28"/>
      <c r="I507" s="28"/>
      <c r="J507" s="28"/>
      <c r="K507" s="28"/>
      <c r="L507" s="28"/>
      <c r="M507" s="28"/>
      <c r="N507" s="28"/>
      <c r="O507" s="303" t="s">
        <v>7158</v>
      </c>
      <c r="P507" s="282"/>
      <c r="Q507" s="282"/>
      <c r="R507" s="282"/>
      <c r="S507" s="282"/>
      <c r="T507" s="176"/>
      <c r="U507" s="288" t="s">
        <v>7163</v>
      </c>
      <c r="V507" s="282"/>
      <c r="W507" s="282"/>
      <c r="X507" s="282"/>
      <c r="Y507" s="282"/>
      <c r="Z507" s="282"/>
      <c r="AA507" s="282"/>
      <c r="AB507" s="282"/>
      <c r="AC507" s="282"/>
      <c r="AD507" s="282"/>
      <c r="AE507" s="282"/>
      <c r="AF507" s="282"/>
      <c r="AG507" s="282"/>
      <c r="AH507" s="282"/>
      <c r="AI507" s="282"/>
      <c r="AJ507" s="282"/>
      <c r="AK507" s="282"/>
      <c r="AL507" s="282"/>
      <c r="AM507" s="282"/>
      <c r="AN507" s="282"/>
      <c r="AO507" s="121"/>
      <c r="AP507" s="121"/>
      <c r="AQ507" s="121"/>
      <c r="AR507" s="121"/>
      <c r="AS507" s="121"/>
      <c r="AT507" s="121"/>
      <c r="AU507" s="121"/>
      <c r="AV507" s="121"/>
      <c r="AW507" s="121"/>
      <c r="AX507" s="121"/>
    </row>
    <row r="508" ht="15.75" customHeight="1">
      <c r="A508" s="231" t="s">
        <v>78</v>
      </c>
      <c r="B508" s="238" t="s">
        <v>3565</v>
      </c>
      <c r="C508" s="28"/>
      <c r="D508" s="28"/>
      <c r="E508" s="28"/>
      <c r="F508" s="28"/>
      <c r="G508" s="28"/>
      <c r="H508" s="28"/>
      <c r="I508" s="28"/>
      <c r="J508" s="28"/>
      <c r="K508" s="28"/>
      <c r="L508" s="28"/>
      <c r="M508" s="28"/>
      <c r="N508" s="28"/>
      <c r="O508" s="120"/>
      <c r="P508" s="120"/>
      <c r="Q508" s="120"/>
      <c r="R508" s="120"/>
      <c r="S508" s="120"/>
      <c r="T508" s="178" t="s">
        <v>7184</v>
      </c>
      <c r="U508" s="120"/>
      <c r="V508" s="120"/>
      <c r="W508" s="120"/>
      <c r="X508" s="120"/>
      <c r="Y508" s="120"/>
      <c r="Z508" s="120"/>
      <c r="AA508" s="120"/>
      <c r="AB508" s="120"/>
      <c r="AC508" s="120"/>
      <c r="AD508" s="120"/>
      <c r="AE508" s="120"/>
      <c r="AF508" s="120"/>
      <c r="AG508" s="120"/>
      <c r="AH508" s="120"/>
      <c r="AI508" s="120"/>
      <c r="AJ508" s="120"/>
      <c r="AK508" s="120"/>
      <c r="AL508" s="120"/>
      <c r="AM508" s="120"/>
      <c r="AN508" s="120"/>
      <c r="AO508" s="121"/>
      <c r="AP508" s="121"/>
      <c r="AQ508" s="121"/>
      <c r="AR508" s="121"/>
      <c r="AS508" s="121"/>
      <c r="AT508" s="121"/>
      <c r="AU508" s="121"/>
      <c r="AV508" s="121"/>
      <c r="AW508" s="121"/>
      <c r="AX508" s="121"/>
    </row>
    <row r="509" ht="15.75" customHeight="1">
      <c r="A509" s="231" t="s">
        <v>78</v>
      </c>
      <c r="B509" s="238" t="s">
        <v>3571</v>
      </c>
      <c r="C509" s="28"/>
      <c r="D509" s="28"/>
      <c r="E509" s="28"/>
      <c r="F509" s="28"/>
      <c r="G509" s="28"/>
      <c r="H509" s="28"/>
      <c r="I509" s="28"/>
      <c r="J509" s="28"/>
      <c r="K509" s="28"/>
      <c r="L509" s="28"/>
      <c r="M509" s="28"/>
      <c r="N509" s="28"/>
      <c r="O509" s="120"/>
      <c r="P509" s="120"/>
      <c r="Q509" s="120"/>
      <c r="R509" s="120"/>
      <c r="S509" s="120"/>
      <c r="T509" s="178" t="s">
        <v>7204</v>
      </c>
      <c r="U509" s="120"/>
      <c r="V509" s="120"/>
      <c r="W509" s="120"/>
      <c r="X509" s="120"/>
      <c r="Y509" s="120"/>
      <c r="Z509" s="120"/>
      <c r="AA509" s="120"/>
      <c r="AB509" s="120"/>
      <c r="AC509" s="120"/>
      <c r="AD509" s="120"/>
      <c r="AE509" s="120"/>
      <c r="AF509" s="120"/>
      <c r="AG509" s="120"/>
      <c r="AH509" s="120"/>
      <c r="AI509" s="120"/>
      <c r="AJ509" s="120"/>
      <c r="AK509" s="120"/>
      <c r="AL509" s="120"/>
      <c r="AM509" s="120"/>
      <c r="AN509" s="120"/>
      <c r="AO509" s="121"/>
      <c r="AP509" s="121"/>
      <c r="AQ509" s="121"/>
      <c r="AR509" s="121"/>
      <c r="AS509" s="121"/>
      <c r="AT509" s="121"/>
      <c r="AU509" s="121"/>
      <c r="AV509" s="121"/>
      <c r="AW509" s="121"/>
      <c r="AX509" s="121"/>
    </row>
    <row r="510" ht="15.75" customHeight="1">
      <c r="A510" s="231" t="s">
        <v>78</v>
      </c>
      <c r="B510" s="238" t="s">
        <v>3577</v>
      </c>
      <c r="C510" s="28"/>
      <c r="D510" s="28"/>
      <c r="E510" s="28"/>
      <c r="F510" s="28"/>
      <c r="G510" s="28"/>
      <c r="H510" s="28"/>
      <c r="I510" s="28"/>
      <c r="J510" s="28"/>
      <c r="K510" s="28"/>
      <c r="L510" s="28"/>
      <c r="M510" s="28"/>
      <c r="N510" s="28"/>
      <c r="O510" s="120"/>
      <c r="P510" s="120"/>
      <c r="Q510" s="120"/>
      <c r="R510" s="120"/>
      <c r="S510" s="120"/>
      <c r="T510" s="178" t="s">
        <v>7226</v>
      </c>
      <c r="U510" s="120"/>
      <c r="V510" s="120"/>
      <c r="W510" s="120"/>
      <c r="X510" s="120"/>
      <c r="Y510" s="120"/>
      <c r="Z510" s="120"/>
      <c r="AA510" s="120"/>
      <c r="AB510" s="120"/>
      <c r="AC510" s="120"/>
      <c r="AD510" s="120"/>
      <c r="AE510" s="120"/>
      <c r="AF510" s="120"/>
      <c r="AG510" s="120"/>
      <c r="AH510" s="120"/>
      <c r="AI510" s="120"/>
      <c r="AJ510" s="120"/>
      <c r="AK510" s="120"/>
      <c r="AL510" s="120"/>
      <c r="AM510" s="120"/>
      <c r="AN510" s="120"/>
      <c r="AO510" s="121"/>
      <c r="AP510" s="121"/>
      <c r="AQ510" s="121"/>
      <c r="AR510" s="121"/>
      <c r="AS510" s="121"/>
      <c r="AT510" s="121"/>
      <c r="AU510" s="121"/>
      <c r="AV510" s="121"/>
      <c r="AW510" s="121"/>
      <c r="AX510" s="121"/>
    </row>
    <row r="511" ht="15.75" customHeight="1">
      <c r="A511" s="231" t="s">
        <v>78</v>
      </c>
      <c r="B511" s="238" t="s">
        <v>3581</v>
      </c>
      <c r="C511" s="28"/>
      <c r="D511" s="28"/>
      <c r="E511" s="28"/>
      <c r="F511" s="28"/>
      <c r="G511" s="28"/>
      <c r="H511" s="28"/>
      <c r="I511" s="28"/>
      <c r="J511" s="28"/>
      <c r="K511" s="28"/>
      <c r="L511" s="28"/>
      <c r="M511" s="28"/>
      <c r="N511" s="28"/>
      <c r="O511" s="120"/>
      <c r="P511" s="120"/>
      <c r="Q511" s="120"/>
      <c r="R511" s="120"/>
      <c r="S511" s="120"/>
      <c r="T511" s="178" t="s">
        <v>7238</v>
      </c>
      <c r="U511" s="120"/>
      <c r="V511" s="120"/>
      <c r="W511" s="120"/>
      <c r="X511" s="120"/>
      <c r="Y511" s="120"/>
      <c r="Z511" s="120"/>
      <c r="AA511" s="120"/>
      <c r="AB511" s="120"/>
      <c r="AC511" s="120"/>
      <c r="AD511" s="120"/>
      <c r="AE511" s="120"/>
      <c r="AF511" s="120"/>
      <c r="AG511" s="120"/>
      <c r="AH511" s="120"/>
      <c r="AI511" s="120"/>
      <c r="AJ511" s="120"/>
      <c r="AK511" s="120"/>
      <c r="AL511" s="120"/>
      <c r="AM511" s="120"/>
      <c r="AN511" s="120"/>
      <c r="AO511" s="121"/>
      <c r="AP511" s="121"/>
      <c r="AQ511" s="121"/>
      <c r="AR511" s="121"/>
      <c r="AS511" s="121"/>
      <c r="AT511" s="121"/>
      <c r="AU511" s="121"/>
      <c r="AV511" s="121"/>
      <c r="AW511" s="121"/>
      <c r="AX511" s="121"/>
    </row>
    <row r="512">
      <c r="A512" s="257" t="s">
        <v>78</v>
      </c>
      <c r="B512" s="238" t="s">
        <v>3589</v>
      </c>
      <c r="C512" s="28"/>
      <c r="D512" s="28"/>
      <c r="E512" s="28"/>
      <c r="F512" s="28"/>
      <c r="G512" s="28"/>
      <c r="H512" s="28"/>
      <c r="I512" s="28"/>
      <c r="J512" s="28"/>
      <c r="K512" s="28"/>
      <c r="L512" s="28"/>
      <c r="M512" s="28"/>
      <c r="N512" s="28"/>
      <c r="O512" s="305"/>
      <c r="P512" s="305"/>
      <c r="Q512" s="305"/>
      <c r="R512" s="305"/>
      <c r="S512" s="305"/>
      <c r="T512" s="306" t="s">
        <v>7258</v>
      </c>
      <c r="U512" s="305"/>
      <c r="V512" s="305"/>
      <c r="W512" s="305"/>
      <c r="X512" s="305"/>
      <c r="Y512" s="305"/>
      <c r="Z512" s="305"/>
      <c r="AA512" s="305"/>
      <c r="AB512" s="305"/>
      <c r="AC512" s="305"/>
      <c r="AD512" s="305"/>
      <c r="AE512" s="305"/>
      <c r="AF512" s="305"/>
      <c r="AG512" s="305"/>
      <c r="AH512" s="305"/>
      <c r="AI512" s="305"/>
      <c r="AJ512" s="305"/>
      <c r="AK512" s="305"/>
      <c r="AL512" s="305"/>
      <c r="AM512" s="305"/>
      <c r="AN512" s="305"/>
      <c r="AO512" s="307"/>
      <c r="AP512" s="307"/>
      <c r="AQ512" s="307"/>
      <c r="AR512" s="307"/>
      <c r="AS512" s="307"/>
      <c r="AT512" s="307"/>
      <c r="AU512" s="307"/>
      <c r="AV512" s="307"/>
      <c r="AW512" s="307"/>
      <c r="AX512" s="307"/>
    </row>
    <row r="513" ht="15.75" customHeight="1">
      <c r="A513" s="166" t="s">
        <v>41</v>
      </c>
      <c r="B513" s="167" t="s">
        <v>3595</v>
      </c>
      <c r="C513" s="28" t="s">
        <v>3601</v>
      </c>
      <c r="D513" s="28" t="s">
        <v>3602</v>
      </c>
      <c r="E513" s="28" t="s">
        <v>3603</v>
      </c>
      <c r="F513" s="28"/>
      <c r="G513" s="28"/>
      <c r="H513" s="28"/>
      <c r="I513" s="28"/>
      <c r="J513" s="28"/>
      <c r="K513" s="28"/>
      <c r="L513" s="28"/>
      <c r="M513" s="28"/>
      <c r="N513" s="28"/>
      <c r="O513" s="126"/>
      <c r="P513" s="126"/>
      <c r="Q513" s="126"/>
      <c r="R513" s="126"/>
      <c r="S513" s="126"/>
      <c r="T513" s="126"/>
      <c r="U513" s="126"/>
      <c r="V513" s="126"/>
      <c r="W513" s="126"/>
      <c r="X513" s="126"/>
      <c r="Y513" s="126"/>
      <c r="Z513" s="126"/>
      <c r="AA513" s="126"/>
      <c r="AB513" s="126"/>
      <c r="AC513" s="126"/>
      <c r="AD513" s="126"/>
      <c r="AE513" s="126"/>
      <c r="AF513" s="126"/>
      <c r="AG513" s="126"/>
      <c r="AH513" s="126"/>
      <c r="AI513" s="126"/>
      <c r="AJ513" s="126"/>
      <c r="AK513" s="126"/>
      <c r="AL513" s="126"/>
      <c r="AM513" s="126"/>
      <c r="AN513" s="126"/>
      <c r="AO513" s="70"/>
      <c r="AP513" s="70"/>
      <c r="AQ513" s="70"/>
      <c r="AR513" s="70"/>
      <c r="AS513" s="70"/>
      <c r="AT513" s="70"/>
      <c r="AU513" s="70"/>
      <c r="AV513" s="70"/>
      <c r="AW513" s="70"/>
      <c r="AX513" s="70"/>
    </row>
    <row r="514" ht="15.75" customHeight="1">
      <c r="A514" s="68" t="s">
        <v>3604</v>
      </c>
      <c r="B514" s="169" t="s">
        <v>3605</v>
      </c>
      <c r="C514" s="28" t="s">
        <v>3609</v>
      </c>
      <c r="D514" s="28" t="s">
        <v>3610</v>
      </c>
      <c r="E514" s="28" t="s">
        <v>3611</v>
      </c>
      <c r="F514" s="28" t="s">
        <v>7285</v>
      </c>
      <c r="G514" s="28" t="s">
        <v>7286</v>
      </c>
      <c r="H514" s="28" t="s">
        <v>7288</v>
      </c>
      <c r="I514" s="28"/>
      <c r="J514" s="28"/>
      <c r="K514" s="28"/>
      <c r="L514" s="28"/>
      <c r="M514" s="28"/>
      <c r="N514" s="28"/>
      <c r="O514" s="67"/>
      <c r="P514" s="67"/>
      <c r="Q514" s="67" t="s">
        <v>145</v>
      </c>
      <c r="R514" s="67"/>
      <c r="S514" s="67"/>
      <c r="T514" s="67"/>
      <c r="U514" s="67"/>
      <c r="V514" s="67"/>
      <c r="W514" s="67"/>
      <c r="X514" s="67"/>
      <c r="Y514" s="67"/>
      <c r="Z514" s="67"/>
      <c r="AA514" s="67"/>
      <c r="AB514" s="67"/>
      <c r="AC514" s="67"/>
      <c r="AD514" s="67"/>
      <c r="AE514" s="67"/>
      <c r="AF514" s="67"/>
      <c r="AG514" s="67"/>
      <c r="AH514" s="67"/>
      <c r="AI514" s="67"/>
      <c r="AJ514" s="67"/>
      <c r="AK514" s="67"/>
      <c r="AL514" s="67"/>
      <c r="AM514" s="67"/>
      <c r="AN514" s="67"/>
      <c r="AO514" s="70"/>
      <c r="AP514" s="70"/>
      <c r="AQ514" s="70"/>
      <c r="AR514" s="70"/>
      <c r="AS514" s="70"/>
      <c r="AT514" s="70"/>
      <c r="AU514" s="70"/>
      <c r="AV514" s="70"/>
      <c r="AW514" s="70"/>
      <c r="AX514" s="70"/>
    </row>
    <row r="515" ht="15.75" customHeight="1">
      <c r="A515" s="179" t="s">
        <v>246</v>
      </c>
      <c r="B515" s="180" t="s">
        <v>3612</v>
      </c>
      <c r="C515" s="28" t="s">
        <v>3617</v>
      </c>
      <c r="D515" s="28" t="s">
        <v>3618</v>
      </c>
      <c r="E515" s="28" t="s">
        <v>3619</v>
      </c>
      <c r="F515" s="28"/>
      <c r="G515" s="28"/>
      <c r="H515" s="28"/>
      <c r="I515" s="28"/>
      <c r="J515" s="28"/>
      <c r="K515" s="28"/>
      <c r="L515" s="28"/>
      <c r="M515" s="28"/>
      <c r="N515" s="28"/>
      <c r="O515" s="181" t="s">
        <v>7327</v>
      </c>
      <c r="P515" s="181"/>
      <c r="Q515" s="181"/>
      <c r="R515" s="181"/>
      <c r="S515" s="181"/>
      <c r="T515" s="181"/>
      <c r="U515" s="181"/>
      <c r="V515" s="181"/>
      <c r="W515" s="181"/>
      <c r="X515" s="181"/>
      <c r="Y515" s="181"/>
      <c r="Z515" s="181"/>
      <c r="AA515" s="181"/>
      <c r="AB515" s="181"/>
      <c r="AC515" s="181"/>
      <c r="AD515" s="173"/>
      <c r="AE515" s="173"/>
      <c r="AF515" s="173"/>
      <c r="AG515" s="173"/>
      <c r="AH515" s="173"/>
      <c r="AI515" s="173"/>
      <c r="AJ515" s="173"/>
      <c r="AK515" s="173"/>
      <c r="AL515" s="173"/>
      <c r="AM515" s="173"/>
      <c r="AN515" s="173"/>
      <c r="AO515" s="70"/>
      <c r="AP515" s="70"/>
      <c r="AQ515" s="70"/>
      <c r="AR515" s="70"/>
      <c r="AS515" s="70"/>
      <c r="AT515" s="70"/>
      <c r="AU515" s="70"/>
      <c r="AV515" s="70"/>
      <c r="AW515" s="70"/>
      <c r="AX515" s="70"/>
    </row>
    <row r="516" ht="15.75" customHeight="1">
      <c r="A516" s="170" t="s">
        <v>263</v>
      </c>
      <c r="B516" s="171" t="s">
        <v>3620</v>
      </c>
      <c r="C516" s="28" t="s">
        <v>3628</v>
      </c>
      <c r="D516" s="28" t="s">
        <v>3629</v>
      </c>
      <c r="E516" s="28" t="s">
        <v>3630</v>
      </c>
      <c r="F516" s="28" t="s">
        <v>7359</v>
      </c>
      <c r="G516" s="28" t="s">
        <v>7360</v>
      </c>
      <c r="H516" s="28" t="s">
        <v>7361</v>
      </c>
      <c r="I516" s="28"/>
      <c r="J516" s="28"/>
      <c r="K516" s="28" t="s">
        <v>864</v>
      </c>
      <c r="L516" s="28"/>
      <c r="M516" s="28"/>
      <c r="N516" s="28"/>
      <c r="O516" s="173"/>
      <c r="P516" s="173"/>
      <c r="Q516" s="173" t="s">
        <v>145</v>
      </c>
      <c r="R516" s="173"/>
      <c r="S516" s="173"/>
      <c r="T516" s="173"/>
      <c r="U516" s="173"/>
      <c r="V516" s="173"/>
      <c r="W516" s="173"/>
      <c r="X516" s="173"/>
      <c r="Y516" s="173"/>
      <c r="Z516" s="173"/>
      <c r="AA516" s="173"/>
      <c r="AB516" s="173"/>
      <c r="AC516" s="173"/>
      <c r="AD516" s="173"/>
      <c r="AE516" s="173"/>
      <c r="AF516" s="173"/>
      <c r="AG516" s="173"/>
      <c r="AH516" s="173"/>
      <c r="AI516" s="173"/>
      <c r="AJ516" s="173"/>
      <c r="AK516" s="173"/>
      <c r="AL516" s="173"/>
      <c r="AM516" s="173"/>
      <c r="AN516" s="173"/>
      <c r="AO516" s="70"/>
      <c r="AP516" s="70"/>
      <c r="AQ516" s="70"/>
      <c r="AR516" s="70"/>
      <c r="AS516" s="70"/>
      <c r="AT516" s="70"/>
      <c r="AU516" s="70"/>
      <c r="AV516" s="70"/>
      <c r="AW516" s="70"/>
      <c r="AX516" s="70"/>
    </row>
    <row r="517" ht="15.75" customHeight="1">
      <c r="A517" s="137" t="s">
        <v>2625</v>
      </c>
      <c r="B517" s="193" t="s">
        <v>3631</v>
      </c>
      <c r="C517" s="28" t="s">
        <v>3636</v>
      </c>
      <c r="D517" s="28" t="s">
        <v>3637</v>
      </c>
      <c r="E517" s="28" t="s">
        <v>3638</v>
      </c>
      <c r="F517" s="258"/>
      <c r="G517" s="258"/>
      <c r="H517" s="258"/>
      <c r="I517" s="258"/>
      <c r="J517" s="258"/>
      <c r="K517" s="258"/>
      <c r="L517" s="258"/>
      <c r="M517" s="258"/>
      <c r="N517" s="258"/>
      <c r="O517" s="138" t="s">
        <v>7398</v>
      </c>
      <c r="P517" s="137"/>
      <c r="Q517" s="137" t="s">
        <v>145</v>
      </c>
      <c r="R517" s="139"/>
      <c r="S517" s="139"/>
      <c r="T517" s="139"/>
      <c r="U517" s="139"/>
      <c r="V517" s="139"/>
      <c r="W517" s="139"/>
      <c r="X517" s="139"/>
      <c r="Y517" s="139"/>
      <c r="Z517" s="139"/>
      <c r="AA517" s="139"/>
      <c r="AB517" s="139"/>
      <c r="AC517" s="139"/>
      <c r="AD517" s="139"/>
      <c r="AE517" s="139"/>
      <c r="AF517" s="139"/>
      <c r="AG517" s="139"/>
      <c r="AH517" s="139"/>
      <c r="AI517" s="139"/>
      <c r="AJ517" s="139"/>
      <c r="AK517" s="139"/>
      <c r="AL517" s="139"/>
      <c r="AM517" s="139"/>
      <c r="AN517" s="139"/>
      <c r="AO517" s="70"/>
      <c r="AP517" s="70"/>
      <c r="AQ517" s="70"/>
      <c r="AR517" s="70"/>
      <c r="AS517" s="70"/>
      <c r="AT517" s="70"/>
      <c r="AU517" s="70"/>
      <c r="AV517" s="70"/>
      <c r="AW517" s="70"/>
      <c r="AX517" s="70"/>
    </row>
    <row r="518" ht="15.75" customHeight="1">
      <c r="A518" s="140" t="s">
        <v>131</v>
      </c>
      <c r="B518" s="164" t="s">
        <v>3641</v>
      </c>
      <c r="C518" s="28" t="s">
        <v>3643</v>
      </c>
      <c r="D518" s="28" t="s">
        <v>3644</v>
      </c>
      <c r="E518" s="28" t="s">
        <v>3645</v>
      </c>
      <c r="F518" s="28"/>
      <c r="G518" s="28"/>
      <c r="H518" s="28"/>
      <c r="I518" s="28"/>
      <c r="J518" s="28"/>
      <c r="K518" s="28"/>
      <c r="L518" s="28"/>
      <c r="M518" s="28"/>
      <c r="N518" s="28"/>
      <c r="O518" s="190" t="s">
        <v>7430</v>
      </c>
      <c r="P518" s="139"/>
      <c r="Q518" s="139"/>
      <c r="R518" s="139"/>
      <c r="S518" s="139"/>
      <c r="T518" s="139"/>
      <c r="U518" s="139"/>
      <c r="V518" s="139"/>
      <c r="W518" s="139"/>
      <c r="X518" s="139"/>
      <c r="Y518" s="139"/>
      <c r="Z518" s="139"/>
      <c r="AA518" s="139"/>
      <c r="AB518" s="139"/>
      <c r="AC518" s="139"/>
      <c r="AD518" s="139"/>
      <c r="AE518" s="139"/>
      <c r="AF518" s="139"/>
      <c r="AG518" s="139"/>
      <c r="AH518" s="139"/>
      <c r="AI518" s="139"/>
      <c r="AJ518" s="139"/>
      <c r="AK518" s="139"/>
      <c r="AL518" s="139"/>
      <c r="AM518" s="139"/>
      <c r="AN518" s="139"/>
      <c r="AO518" s="70"/>
      <c r="AP518" s="70"/>
      <c r="AQ518" s="70"/>
      <c r="AR518" s="70"/>
      <c r="AS518" s="70"/>
      <c r="AT518" s="70"/>
      <c r="AU518" s="70"/>
      <c r="AV518" s="70"/>
      <c r="AW518" s="70"/>
      <c r="AX518" s="70"/>
    </row>
    <row r="519" ht="15.75" customHeight="1">
      <c r="A519" s="166" t="s">
        <v>41</v>
      </c>
      <c r="B519" s="167" t="s">
        <v>3649</v>
      </c>
      <c r="C519" s="28" t="s">
        <v>3654</v>
      </c>
      <c r="D519" s="28" t="s">
        <v>3655</v>
      </c>
      <c r="E519" s="28" t="s">
        <v>3656</v>
      </c>
      <c r="F519" s="28"/>
      <c r="G519" s="28"/>
      <c r="H519" s="28"/>
      <c r="I519" s="28"/>
      <c r="J519" s="28"/>
      <c r="K519" s="28"/>
      <c r="L519" s="28"/>
      <c r="M519" s="28"/>
      <c r="N519" s="28"/>
      <c r="O519" s="126"/>
      <c r="P519" s="126"/>
      <c r="Q519" s="126"/>
      <c r="R519" s="126"/>
      <c r="S519" s="126"/>
      <c r="T519" s="126"/>
      <c r="U519" s="126"/>
      <c r="V519" s="126"/>
      <c r="W519" s="126"/>
      <c r="X519" s="126"/>
      <c r="Y519" s="126"/>
      <c r="Z519" s="126"/>
      <c r="AA519" s="126"/>
      <c r="AB519" s="126"/>
      <c r="AC519" s="126"/>
      <c r="AD519" s="126"/>
      <c r="AE519" s="126"/>
      <c r="AF519" s="126"/>
      <c r="AG519" s="126"/>
      <c r="AH519" s="126"/>
      <c r="AI519" s="126"/>
      <c r="AJ519" s="126"/>
      <c r="AK519" s="126"/>
      <c r="AL519" s="126"/>
      <c r="AM519" s="126"/>
      <c r="AN519" s="126"/>
      <c r="AO519" s="70"/>
      <c r="AP519" s="70"/>
      <c r="AQ519" s="70"/>
      <c r="AR519" s="70"/>
      <c r="AS519" s="70"/>
      <c r="AT519" s="70"/>
      <c r="AU519" s="70"/>
      <c r="AV519" s="70"/>
      <c r="AW519" s="70"/>
      <c r="AX519" s="70"/>
    </row>
    <row r="520" ht="15.75" customHeight="1">
      <c r="A520" s="68" t="s">
        <v>3604</v>
      </c>
      <c r="B520" s="169" t="s">
        <v>3657</v>
      </c>
      <c r="C520" s="28" t="s">
        <v>3661</v>
      </c>
      <c r="D520" s="28" t="s">
        <v>3662</v>
      </c>
      <c r="E520" s="28" t="s">
        <v>3663</v>
      </c>
      <c r="F520" s="28" t="s">
        <v>7285</v>
      </c>
      <c r="G520" s="28" t="s">
        <v>7286</v>
      </c>
      <c r="H520" s="28" t="s">
        <v>7288</v>
      </c>
      <c r="I520" s="28"/>
      <c r="J520" s="28"/>
      <c r="K520" s="28"/>
      <c r="L520" s="28"/>
      <c r="M520" s="28"/>
      <c r="N520" s="28"/>
      <c r="O520" s="67"/>
      <c r="P520" s="67"/>
      <c r="Q520" s="67" t="s">
        <v>145</v>
      </c>
      <c r="R520" s="67"/>
      <c r="S520" s="67"/>
      <c r="T520" s="67"/>
      <c r="U520" s="67"/>
      <c r="V520" s="67"/>
      <c r="W520" s="67"/>
      <c r="X520" s="67"/>
      <c r="Y520" s="67"/>
      <c r="Z520" s="67"/>
      <c r="AA520" s="67"/>
      <c r="AB520" s="67"/>
      <c r="AC520" s="67"/>
      <c r="AD520" s="67"/>
      <c r="AE520" s="67"/>
      <c r="AF520" s="67"/>
      <c r="AG520" s="67"/>
      <c r="AH520" s="67"/>
      <c r="AI520" s="67"/>
      <c r="AJ520" s="67"/>
      <c r="AK520" s="67"/>
      <c r="AL520" s="67"/>
      <c r="AM520" s="67"/>
      <c r="AN520" s="67"/>
      <c r="AO520" s="70"/>
      <c r="AP520" s="70"/>
      <c r="AQ520" s="70"/>
      <c r="AR520" s="70"/>
      <c r="AS520" s="70"/>
      <c r="AT520" s="70"/>
      <c r="AU520" s="70"/>
      <c r="AV520" s="70"/>
      <c r="AW520" s="70"/>
      <c r="AX520" s="70"/>
    </row>
    <row r="521" ht="15.75" customHeight="1">
      <c r="A521" s="179" t="s">
        <v>246</v>
      </c>
      <c r="B521" s="180" t="s">
        <v>3664</v>
      </c>
      <c r="C521" s="28" t="s">
        <v>3671</v>
      </c>
      <c r="D521" s="28" t="s">
        <v>3672</v>
      </c>
      <c r="E521" s="28" t="s">
        <v>3674</v>
      </c>
      <c r="F521" s="28"/>
      <c r="G521" s="28"/>
      <c r="H521" s="28"/>
      <c r="I521" s="28"/>
      <c r="J521" s="28"/>
      <c r="K521" s="28"/>
      <c r="L521" s="28"/>
      <c r="M521" s="28"/>
      <c r="N521" s="28"/>
      <c r="O521" s="181" t="s">
        <v>7501</v>
      </c>
      <c r="P521" s="67"/>
      <c r="Q521" s="67" t="s">
        <v>145</v>
      </c>
      <c r="R521" s="181"/>
      <c r="S521" s="181"/>
      <c r="T521" s="181"/>
      <c r="U521" s="181"/>
      <c r="V521" s="181"/>
      <c r="W521" s="181"/>
      <c r="X521" s="181"/>
      <c r="Y521" s="181"/>
      <c r="Z521" s="181"/>
      <c r="AA521" s="181"/>
      <c r="AB521" s="181"/>
      <c r="AC521" s="181"/>
      <c r="AD521" s="173"/>
      <c r="AE521" s="173"/>
      <c r="AF521" s="173"/>
      <c r="AG521" s="173"/>
      <c r="AH521" s="173"/>
      <c r="AI521" s="173"/>
      <c r="AJ521" s="173"/>
      <c r="AK521" s="173"/>
      <c r="AL521" s="173"/>
      <c r="AM521" s="173"/>
      <c r="AN521" s="173"/>
      <c r="AO521" s="70"/>
      <c r="AP521" s="70"/>
      <c r="AQ521" s="70"/>
      <c r="AR521" s="70"/>
      <c r="AS521" s="70"/>
      <c r="AT521" s="70"/>
      <c r="AU521" s="70"/>
      <c r="AV521" s="70"/>
      <c r="AW521" s="70"/>
      <c r="AX521" s="70"/>
    </row>
    <row r="522" ht="15.75" customHeight="1">
      <c r="A522" s="170" t="s">
        <v>263</v>
      </c>
      <c r="B522" s="171" t="s">
        <v>3676</v>
      </c>
      <c r="C522" s="28" t="s">
        <v>3680</v>
      </c>
      <c r="D522" s="28" t="s">
        <v>3681</v>
      </c>
      <c r="E522" s="28" t="s">
        <v>3682</v>
      </c>
      <c r="F522" s="28" t="s">
        <v>7359</v>
      </c>
      <c r="G522" s="28" t="s">
        <v>7360</v>
      </c>
      <c r="H522" s="28" t="s">
        <v>7361</v>
      </c>
      <c r="I522" s="28"/>
      <c r="J522" s="28"/>
      <c r="K522" s="28" t="s">
        <v>864</v>
      </c>
      <c r="L522" s="28"/>
      <c r="M522" s="28"/>
      <c r="N522" s="28"/>
      <c r="O522" s="173"/>
      <c r="P522" s="173" t="s">
        <v>145</v>
      </c>
      <c r="Q522" s="173" t="s">
        <v>145</v>
      </c>
      <c r="R522" s="173"/>
      <c r="S522" s="173"/>
      <c r="T522" s="173"/>
      <c r="U522" s="173"/>
      <c r="V522" s="173"/>
      <c r="W522" s="173"/>
      <c r="X522" s="173"/>
      <c r="Y522" s="173"/>
      <c r="Z522" s="173"/>
      <c r="AA522" s="173"/>
      <c r="AB522" s="173"/>
      <c r="AC522" s="173"/>
      <c r="AD522" s="173"/>
      <c r="AE522" s="173"/>
      <c r="AF522" s="173"/>
      <c r="AG522" s="173"/>
      <c r="AH522" s="173"/>
      <c r="AI522" s="173"/>
      <c r="AJ522" s="173"/>
      <c r="AK522" s="173"/>
      <c r="AL522" s="173"/>
      <c r="AM522" s="173"/>
      <c r="AN522" s="173"/>
      <c r="AO522" s="70"/>
      <c r="AP522" s="70"/>
      <c r="AQ522" s="70"/>
      <c r="AR522" s="70"/>
      <c r="AS522" s="70"/>
      <c r="AT522" s="70"/>
      <c r="AU522" s="70"/>
      <c r="AV522" s="70"/>
      <c r="AW522" s="70"/>
      <c r="AX522" s="70"/>
    </row>
    <row r="523" ht="15.75" customHeight="1">
      <c r="A523" s="68" t="s">
        <v>463</v>
      </c>
      <c r="B523" s="169" t="s">
        <v>3683</v>
      </c>
      <c r="C523" s="28" t="s">
        <v>3687</v>
      </c>
      <c r="D523" s="28" t="s">
        <v>3688</v>
      </c>
      <c r="E523" s="28" t="s">
        <v>3691</v>
      </c>
      <c r="F523" s="28"/>
      <c r="G523" s="28"/>
      <c r="H523" s="28"/>
      <c r="I523" s="28"/>
      <c r="J523" s="28"/>
      <c r="K523" s="28"/>
      <c r="L523" s="28"/>
      <c r="M523" s="28"/>
      <c r="N523" s="28"/>
      <c r="O523" s="67"/>
      <c r="P523" s="67"/>
      <c r="Q523" s="67" t="s">
        <v>145</v>
      </c>
      <c r="R523" s="67"/>
      <c r="S523" s="67"/>
      <c r="T523" s="67"/>
      <c r="U523" s="67"/>
      <c r="V523" s="67"/>
      <c r="W523" s="67"/>
      <c r="X523" s="67"/>
      <c r="Y523" s="67"/>
      <c r="Z523" s="67"/>
      <c r="AA523" s="67"/>
      <c r="AB523" s="67"/>
      <c r="AC523" s="67"/>
      <c r="AD523" s="67"/>
      <c r="AE523" s="67"/>
      <c r="AF523" s="67"/>
      <c r="AG523" s="67"/>
      <c r="AH523" s="67"/>
      <c r="AI523" s="67"/>
      <c r="AJ523" s="67"/>
      <c r="AK523" s="67"/>
      <c r="AL523" s="67"/>
      <c r="AM523" s="67"/>
      <c r="AN523" s="67"/>
      <c r="AO523" s="70"/>
      <c r="AP523" s="70"/>
      <c r="AQ523" s="70"/>
      <c r="AR523" s="70"/>
      <c r="AS523" s="70"/>
      <c r="AT523" s="70"/>
      <c r="AU523" s="70"/>
      <c r="AV523" s="70"/>
      <c r="AW523" s="70"/>
      <c r="AX523" s="70"/>
    </row>
    <row r="524" ht="15.75" customHeight="1">
      <c r="A524" s="68" t="s">
        <v>463</v>
      </c>
      <c r="B524" s="169" t="s">
        <v>3694</v>
      </c>
      <c r="C524" s="28" t="s">
        <v>3698</v>
      </c>
      <c r="D524" s="28" t="s">
        <v>3699</v>
      </c>
      <c r="E524" s="28" t="s">
        <v>3700</v>
      </c>
      <c r="F524" s="28"/>
      <c r="G524" s="28"/>
      <c r="H524" s="28"/>
      <c r="I524" s="28"/>
      <c r="J524" s="28"/>
      <c r="K524" s="28"/>
      <c r="L524" s="28"/>
      <c r="M524" s="28"/>
      <c r="N524" s="28"/>
      <c r="O524" s="67"/>
      <c r="P524" s="67"/>
      <c r="Q524" s="67" t="s">
        <v>145</v>
      </c>
      <c r="R524" s="67"/>
      <c r="S524" s="67"/>
      <c r="T524" s="67"/>
      <c r="U524" s="67"/>
      <c r="V524" s="67"/>
      <c r="W524" s="67"/>
      <c r="X524" s="67"/>
      <c r="Y524" s="67"/>
      <c r="Z524" s="67"/>
      <c r="AA524" s="67"/>
      <c r="AB524" s="67"/>
      <c r="AC524" s="67"/>
      <c r="AD524" s="67"/>
      <c r="AE524" s="67"/>
      <c r="AF524" s="67"/>
      <c r="AG524" s="67"/>
      <c r="AH524" s="67"/>
      <c r="AI524" s="67"/>
      <c r="AJ524" s="67"/>
      <c r="AK524" s="67"/>
      <c r="AL524" s="67"/>
      <c r="AM524" s="67"/>
      <c r="AN524" s="67"/>
      <c r="AO524" s="70"/>
      <c r="AP524" s="70"/>
      <c r="AQ524" s="70"/>
      <c r="AR524" s="70"/>
      <c r="AS524" s="70"/>
      <c r="AT524" s="70"/>
      <c r="AU524" s="70"/>
      <c r="AV524" s="70"/>
      <c r="AW524" s="70"/>
      <c r="AX524" s="70"/>
    </row>
    <row r="525" ht="15.75" customHeight="1">
      <c r="A525" s="68" t="s">
        <v>463</v>
      </c>
      <c r="B525" s="169" t="s">
        <v>3704</v>
      </c>
      <c r="C525" s="28" t="s">
        <v>3708</v>
      </c>
      <c r="D525" s="28" t="s">
        <v>3709</v>
      </c>
      <c r="E525" s="28" t="s">
        <v>3710</v>
      </c>
      <c r="F525" s="28"/>
      <c r="G525" s="28"/>
      <c r="H525" s="28"/>
      <c r="I525" s="28"/>
      <c r="J525" s="28"/>
      <c r="K525" s="28"/>
      <c r="L525" s="28"/>
      <c r="M525" s="28"/>
      <c r="N525" s="28"/>
      <c r="O525" s="67"/>
      <c r="P525" s="67"/>
      <c r="Q525" s="67" t="s">
        <v>145</v>
      </c>
      <c r="R525" s="67"/>
      <c r="S525" s="67"/>
      <c r="T525" s="67"/>
      <c r="U525" s="67"/>
      <c r="V525" s="67"/>
      <c r="W525" s="67"/>
      <c r="X525" s="67"/>
      <c r="Y525" s="67"/>
      <c r="Z525" s="67"/>
      <c r="AA525" s="67"/>
      <c r="AB525" s="67"/>
      <c r="AC525" s="67"/>
      <c r="AD525" s="67"/>
      <c r="AE525" s="67"/>
      <c r="AF525" s="67"/>
      <c r="AG525" s="67"/>
      <c r="AH525" s="67"/>
      <c r="AI525" s="67"/>
      <c r="AJ525" s="67"/>
      <c r="AK525" s="67"/>
      <c r="AL525" s="67"/>
      <c r="AM525" s="67"/>
      <c r="AN525" s="67"/>
      <c r="AO525" s="70"/>
      <c r="AP525" s="70"/>
      <c r="AQ525" s="70"/>
      <c r="AR525" s="70"/>
      <c r="AS525" s="70"/>
      <c r="AT525" s="70"/>
      <c r="AU525" s="70"/>
      <c r="AV525" s="70"/>
      <c r="AW525" s="70"/>
      <c r="AX525" s="70"/>
    </row>
    <row r="526" ht="15.75" customHeight="1">
      <c r="A526" s="68" t="s">
        <v>3712</v>
      </c>
      <c r="B526" s="169" t="s">
        <v>3713</v>
      </c>
      <c r="C526" s="28" t="s">
        <v>3717</v>
      </c>
      <c r="D526" s="28" t="s">
        <v>3718</v>
      </c>
      <c r="E526" s="28" t="s">
        <v>3719</v>
      </c>
      <c r="F526" s="28" t="s">
        <v>7285</v>
      </c>
      <c r="G526" s="28" t="s">
        <v>7286</v>
      </c>
      <c r="H526" s="28" t="s">
        <v>7288</v>
      </c>
      <c r="I526" s="28"/>
      <c r="J526" s="28"/>
      <c r="K526" s="28"/>
      <c r="L526" s="28"/>
      <c r="M526" s="28"/>
      <c r="N526" s="28"/>
      <c r="O526" s="67" t="s">
        <v>7592</v>
      </c>
      <c r="P526" s="67" t="s">
        <v>145</v>
      </c>
      <c r="Q526" s="67" t="s">
        <v>145</v>
      </c>
      <c r="R526" s="67"/>
      <c r="S526" s="67"/>
      <c r="T526" s="67"/>
      <c r="U526" s="67"/>
      <c r="V526" s="67"/>
      <c r="W526" s="67"/>
      <c r="X526" s="67"/>
      <c r="Y526" s="67"/>
      <c r="Z526" s="67"/>
      <c r="AA526" s="67"/>
      <c r="AB526" s="67"/>
      <c r="AC526" s="67"/>
      <c r="AD526" s="67"/>
      <c r="AE526" s="67"/>
      <c r="AF526" s="67"/>
      <c r="AG526" s="67"/>
      <c r="AH526" s="67"/>
      <c r="AI526" s="67"/>
      <c r="AJ526" s="67"/>
      <c r="AK526" s="67"/>
      <c r="AL526" s="67"/>
      <c r="AM526" s="67"/>
      <c r="AN526" s="67"/>
      <c r="AO526" s="70"/>
      <c r="AP526" s="70"/>
      <c r="AQ526" s="70"/>
      <c r="AR526" s="70"/>
      <c r="AS526" s="70"/>
      <c r="AT526" s="70"/>
      <c r="AU526" s="70"/>
      <c r="AV526" s="70"/>
      <c r="AW526" s="70"/>
      <c r="AX526" s="70"/>
    </row>
    <row r="527" ht="15.75" customHeight="1">
      <c r="A527" s="179" t="s">
        <v>246</v>
      </c>
      <c r="B527" s="180" t="s">
        <v>3720</v>
      </c>
      <c r="C527" s="28" t="s">
        <v>3724</v>
      </c>
      <c r="D527" s="28" t="s">
        <v>3725</v>
      </c>
      <c r="E527" s="28" t="s">
        <v>3726</v>
      </c>
      <c r="F527" s="28"/>
      <c r="G527" s="28"/>
      <c r="H527" s="28"/>
      <c r="I527" s="28"/>
      <c r="J527" s="28"/>
      <c r="K527" s="28"/>
      <c r="L527" s="28"/>
      <c r="M527" s="28"/>
      <c r="N527" s="28"/>
      <c r="O527" s="181" t="s">
        <v>7606</v>
      </c>
      <c r="P527" s="181" t="s">
        <v>145</v>
      </c>
      <c r="Q527" s="181" t="s">
        <v>145</v>
      </c>
      <c r="R527" s="181"/>
      <c r="S527" s="181"/>
      <c r="T527" s="181"/>
      <c r="U527" s="181"/>
      <c r="V527" s="181"/>
      <c r="W527" s="181"/>
      <c r="X527" s="181"/>
      <c r="Y527" s="181"/>
      <c r="Z527" s="181"/>
      <c r="AA527" s="181"/>
      <c r="AB527" s="181"/>
      <c r="AC527" s="181"/>
      <c r="AD527" s="181"/>
      <c r="AE527" s="181"/>
      <c r="AF527" s="181"/>
      <c r="AG527" s="181"/>
      <c r="AH527" s="181"/>
      <c r="AI527" s="181"/>
      <c r="AJ527" s="181"/>
      <c r="AK527" s="181"/>
      <c r="AL527" s="181"/>
      <c r="AM527" s="181"/>
      <c r="AN527" s="181"/>
      <c r="AO527" s="70"/>
      <c r="AP527" s="70"/>
      <c r="AQ527" s="70"/>
      <c r="AR527" s="70"/>
      <c r="AS527" s="70"/>
      <c r="AT527" s="70"/>
      <c r="AU527" s="70"/>
      <c r="AV527" s="70"/>
      <c r="AW527" s="70"/>
      <c r="AX527" s="70"/>
    </row>
    <row r="528" ht="15.75" customHeight="1">
      <c r="A528" s="170" t="s">
        <v>263</v>
      </c>
      <c r="B528" s="171" t="s">
        <v>3727</v>
      </c>
      <c r="C528" s="28" t="s">
        <v>3732</v>
      </c>
      <c r="D528" s="28" t="s">
        <v>3733</v>
      </c>
      <c r="E528" s="28" t="s">
        <v>3734</v>
      </c>
      <c r="F528" s="28"/>
      <c r="G528" s="28"/>
      <c r="H528" s="28"/>
      <c r="I528" s="28"/>
      <c r="J528" s="28"/>
      <c r="K528" s="28" t="s">
        <v>864</v>
      </c>
      <c r="L528" s="28"/>
      <c r="M528" s="28"/>
      <c r="N528" s="28"/>
      <c r="O528" s="173"/>
      <c r="P528" s="173"/>
      <c r="Q528" s="173" t="s">
        <v>145</v>
      </c>
      <c r="R528" s="173"/>
      <c r="S528" s="173"/>
      <c r="T528" s="173"/>
      <c r="U528" s="173"/>
      <c r="V528" s="173"/>
      <c r="W528" s="173"/>
      <c r="X528" s="173"/>
      <c r="Y528" s="173"/>
      <c r="Z528" s="173"/>
      <c r="AA528" s="173"/>
      <c r="AB528" s="173"/>
      <c r="AC528" s="173"/>
      <c r="AD528" s="173"/>
      <c r="AE528" s="173"/>
      <c r="AF528" s="173"/>
      <c r="AG528" s="173"/>
      <c r="AH528" s="173"/>
      <c r="AI528" s="173"/>
      <c r="AJ528" s="173"/>
      <c r="AK528" s="173"/>
      <c r="AL528" s="173"/>
      <c r="AM528" s="173"/>
      <c r="AN528" s="173"/>
      <c r="AO528" s="70"/>
      <c r="AP528" s="70"/>
      <c r="AQ528" s="70"/>
      <c r="AR528" s="70"/>
      <c r="AS528" s="70"/>
      <c r="AT528" s="70"/>
      <c r="AU528" s="70"/>
      <c r="AV528" s="70"/>
      <c r="AW528" s="70"/>
      <c r="AX528" s="70"/>
    </row>
    <row r="529" ht="15.75" customHeight="1">
      <c r="A529" s="170" t="s">
        <v>263</v>
      </c>
      <c r="B529" s="171" t="s">
        <v>3735</v>
      </c>
      <c r="C529" s="28" t="s">
        <v>3739</v>
      </c>
      <c r="D529" s="28" t="s">
        <v>3741</v>
      </c>
      <c r="E529" s="28" t="s">
        <v>3742</v>
      </c>
      <c r="F529" s="28"/>
      <c r="G529" s="28"/>
      <c r="H529" s="28"/>
      <c r="I529" s="28"/>
      <c r="J529" s="28"/>
      <c r="K529" s="28" t="s">
        <v>864</v>
      </c>
      <c r="L529" s="28"/>
      <c r="M529" s="28"/>
      <c r="N529" s="28"/>
      <c r="O529" s="173"/>
      <c r="P529" s="173"/>
      <c r="Q529" s="173" t="s">
        <v>145</v>
      </c>
      <c r="R529" s="173"/>
      <c r="S529" s="173"/>
      <c r="T529" s="173"/>
      <c r="U529" s="173"/>
      <c r="V529" s="173"/>
      <c r="W529" s="173"/>
      <c r="X529" s="173"/>
      <c r="Y529" s="173"/>
      <c r="Z529" s="173"/>
      <c r="AA529" s="173"/>
      <c r="AB529" s="173"/>
      <c r="AC529" s="173"/>
      <c r="AD529" s="173"/>
      <c r="AE529" s="173"/>
      <c r="AF529" s="173"/>
      <c r="AG529" s="173"/>
      <c r="AH529" s="173"/>
      <c r="AI529" s="173"/>
      <c r="AJ529" s="173"/>
      <c r="AK529" s="173"/>
      <c r="AL529" s="173"/>
      <c r="AM529" s="173"/>
      <c r="AN529" s="173"/>
      <c r="AO529" s="70"/>
      <c r="AP529" s="70"/>
      <c r="AQ529" s="70"/>
      <c r="AR529" s="70"/>
      <c r="AS529" s="70"/>
      <c r="AT529" s="70"/>
      <c r="AU529" s="70"/>
      <c r="AV529" s="70"/>
      <c r="AW529" s="70"/>
      <c r="AX529" s="70"/>
    </row>
    <row r="530" ht="15.75" customHeight="1">
      <c r="A530" s="170" t="s">
        <v>263</v>
      </c>
      <c r="B530" s="171" t="s">
        <v>3743</v>
      </c>
      <c r="C530" s="28" t="s">
        <v>3748</v>
      </c>
      <c r="D530" s="28" t="s">
        <v>3749</v>
      </c>
      <c r="E530" s="28" t="s">
        <v>3751</v>
      </c>
      <c r="F530" s="28"/>
      <c r="G530" s="28"/>
      <c r="H530" s="28"/>
      <c r="I530" s="28"/>
      <c r="J530" s="28"/>
      <c r="K530" s="28" t="s">
        <v>864</v>
      </c>
      <c r="L530" s="28"/>
      <c r="M530" s="28"/>
      <c r="N530" s="28"/>
      <c r="O530" s="173"/>
      <c r="P530" s="173"/>
      <c r="Q530" s="173" t="s">
        <v>145</v>
      </c>
      <c r="R530" s="173"/>
      <c r="S530" s="173"/>
      <c r="T530" s="173"/>
      <c r="U530" s="173"/>
      <c r="V530" s="173"/>
      <c r="W530" s="173"/>
      <c r="X530" s="173"/>
      <c r="Y530" s="173"/>
      <c r="Z530" s="173"/>
      <c r="AA530" s="173"/>
      <c r="AB530" s="173"/>
      <c r="AC530" s="173"/>
      <c r="AD530" s="173"/>
      <c r="AE530" s="173"/>
      <c r="AF530" s="173"/>
      <c r="AG530" s="173"/>
      <c r="AH530" s="173"/>
      <c r="AI530" s="173"/>
      <c r="AJ530" s="173"/>
      <c r="AK530" s="173"/>
      <c r="AL530" s="173"/>
      <c r="AM530" s="173"/>
      <c r="AN530" s="173"/>
      <c r="AO530" s="70"/>
      <c r="AP530" s="70"/>
      <c r="AQ530" s="70"/>
      <c r="AR530" s="70"/>
      <c r="AS530" s="70"/>
      <c r="AT530" s="70"/>
      <c r="AU530" s="70"/>
      <c r="AV530" s="70"/>
      <c r="AW530" s="70"/>
      <c r="AX530" s="70"/>
    </row>
    <row r="531" ht="15.75" customHeight="1">
      <c r="A531" s="170" t="s">
        <v>263</v>
      </c>
      <c r="B531" s="171" t="s">
        <v>3754</v>
      </c>
      <c r="C531" s="28" t="s">
        <v>3758</v>
      </c>
      <c r="D531" s="28" t="s">
        <v>3759</v>
      </c>
      <c r="E531" s="28" t="s">
        <v>3760</v>
      </c>
      <c r="F531" s="28" t="s">
        <v>7641</v>
      </c>
      <c r="G531" s="28" t="s">
        <v>7643</v>
      </c>
      <c r="H531" s="28" t="s">
        <v>7644</v>
      </c>
      <c r="I531" s="28"/>
      <c r="J531" s="28"/>
      <c r="K531" s="28" t="s">
        <v>864</v>
      </c>
      <c r="L531" s="28"/>
      <c r="M531" s="28"/>
      <c r="N531" s="28"/>
      <c r="O531" s="173"/>
      <c r="P531" s="173"/>
      <c r="Q531" s="173" t="s">
        <v>145</v>
      </c>
      <c r="R531" s="173"/>
      <c r="S531" s="173"/>
      <c r="T531" s="173"/>
      <c r="U531" s="173"/>
      <c r="V531" s="173"/>
      <c r="W531" s="173"/>
      <c r="X531" s="173"/>
      <c r="Y531" s="173"/>
      <c r="Z531" s="173"/>
      <c r="AA531" s="173"/>
      <c r="AB531" s="173"/>
      <c r="AC531" s="173"/>
      <c r="AD531" s="173"/>
      <c r="AE531" s="173"/>
      <c r="AF531" s="173"/>
      <c r="AG531" s="173"/>
      <c r="AH531" s="173"/>
      <c r="AI531" s="173"/>
      <c r="AJ531" s="173"/>
      <c r="AK531" s="173"/>
      <c r="AL531" s="173"/>
      <c r="AM531" s="173"/>
      <c r="AN531" s="173"/>
      <c r="AO531" s="70"/>
      <c r="AP531" s="70"/>
      <c r="AQ531" s="70"/>
      <c r="AR531" s="70"/>
      <c r="AS531" s="70"/>
      <c r="AT531" s="70"/>
      <c r="AU531" s="70"/>
      <c r="AV531" s="70"/>
      <c r="AW531" s="70"/>
      <c r="AX531" s="70"/>
    </row>
    <row r="532" ht="15.75" customHeight="1">
      <c r="A532" s="140" t="s">
        <v>237</v>
      </c>
      <c r="B532" s="191" t="s">
        <v>3641</v>
      </c>
      <c r="C532" s="28" t="s">
        <v>3643</v>
      </c>
      <c r="D532" s="28" t="s">
        <v>3644</v>
      </c>
      <c r="E532" s="28" t="s">
        <v>3645</v>
      </c>
      <c r="F532" s="28"/>
      <c r="G532" s="28"/>
      <c r="H532" s="28"/>
      <c r="I532" s="28"/>
      <c r="J532" s="28"/>
      <c r="K532" s="28"/>
      <c r="L532" s="28"/>
      <c r="M532" s="28"/>
      <c r="N532" s="28"/>
      <c r="O532" s="139"/>
      <c r="P532" s="139"/>
      <c r="Q532" s="139"/>
      <c r="R532" s="139"/>
      <c r="S532" s="139"/>
      <c r="T532" s="139"/>
      <c r="U532" s="139"/>
      <c r="V532" s="139"/>
      <c r="W532" s="139"/>
      <c r="X532" s="139"/>
      <c r="Y532" s="139"/>
      <c r="Z532" s="139"/>
      <c r="AA532" s="139"/>
      <c r="AB532" s="139"/>
      <c r="AC532" s="139"/>
      <c r="AD532" s="139"/>
      <c r="AE532" s="139"/>
      <c r="AF532" s="139"/>
      <c r="AG532" s="139"/>
      <c r="AH532" s="139"/>
      <c r="AI532" s="139"/>
      <c r="AJ532" s="139"/>
      <c r="AK532" s="139"/>
      <c r="AL532" s="139"/>
      <c r="AM532" s="139"/>
      <c r="AN532" s="139"/>
      <c r="AO532" s="70"/>
      <c r="AP532" s="70"/>
      <c r="AQ532" s="70"/>
      <c r="AR532" s="70"/>
      <c r="AS532" s="70"/>
      <c r="AT532" s="70"/>
      <c r="AU532" s="70"/>
      <c r="AV532" s="70"/>
      <c r="AW532" s="70"/>
      <c r="AX532" s="70"/>
    </row>
    <row r="533" ht="15.75" customHeight="1">
      <c r="A533" s="140" t="s">
        <v>131</v>
      </c>
      <c r="B533" s="164" t="s">
        <v>3765</v>
      </c>
      <c r="C533" s="28"/>
      <c r="D533" s="28"/>
      <c r="E533" s="28"/>
      <c r="F533" s="28"/>
      <c r="G533" s="28"/>
      <c r="H533" s="28"/>
      <c r="I533" s="28"/>
      <c r="J533" s="28" t="s">
        <v>931</v>
      </c>
      <c r="K533" s="28"/>
      <c r="L533" s="28"/>
      <c r="M533" s="28"/>
      <c r="N533" s="28"/>
      <c r="O533" s="190"/>
      <c r="P533" s="139"/>
      <c r="Q533" s="139"/>
      <c r="R533" s="139"/>
      <c r="S533" s="139"/>
      <c r="T533" s="139"/>
      <c r="U533" s="139"/>
      <c r="V533" s="139"/>
      <c r="W533" s="139"/>
      <c r="X533" s="139"/>
      <c r="Y533" s="139"/>
      <c r="Z533" s="139"/>
      <c r="AA533" s="139"/>
      <c r="AB533" s="139"/>
      <c r="AC533" s="139"/>
      <c r="AD533" s="126"/>
      <c r="AE533" s="126"/>
      <c r="AF533" s="126"/>
      <c r="AG533" s="126"/>
      <c r="AH533" s="126"/>
      <c r="AI533" s="126"/>
      <c r="AJ533" s="126"/>
      <c r="AK533" s="126"/>
      <c r="AL533" s="126"/>
      <c r="AM533" s="126"/>
      <c r="AN533" s="126"/>
      <c r="AO533" s="70"/>
      <c r="AP533" s="70"/>
      <c r="AQ533" s="70"/>
      <c r="AR533" s="70"/>
      <c r="AS533" s="70"/>
      <c r="AT533" s="70"/>
      <c r="AU533" s="70"/>
      <c r="AV533" s="70"/>
      <c r="AW533" s="70"/>
      <c r="AX533" s="70"/>
    </row>
    <row r="534" ht="15.75" customHeight="1">
      <c r="A534" s="68" t="s">
        <v>463</v>
      </c>
      <c r="B534" s="169" t="s">
        <v>3772</v>
      </c>
      <c r="C534" s="28" t="s">
        <v>3776</v>
      </c>
      <c r="D534" s="28" t="s">
        <v>3777</v>
      </c>
      <c r="E534" s="28" t="s">
        <v>3778</v>
      </c>
      <c r="F534" s="28"/>
      <c r="G534" s="28"/>
      <c r="H534" s="28"/>
      <c r="I534" s="28"/>
      <c r="J534" s="28" t="s">
        <v>8</v>
      </c>
      <c r="K534" s="28"/>
      <c r="L534" s="28"/>
      <c r="M534" s="28"/>
      <c r="N534" s="28"/>
      <c r="O534" s="67"/>
      <c r="P534" s="67"/>
      <c r="Q534" s="67"/>
      <c r="R534" s="67"/>
      <c r="S534" s="67"/>
      <c r="T534" s="67"/>
      <c r="U534" s="67"/>
      <c r="V534" s="67"/>
      <c r="W534" s="67"/>
      <c r="X534" s="67"/>
      <c r="Y534" s="67"/>
      <c r="Z534" s="67"/>
      <c r="AA534" s="67"/>
      <c r="AB534" s="67"/>
      <c r="AC534" s="67"/>
      <c r="AD534" s="126"/>
      <c r="AE534" s="126"/>
      <c r="AF534" s="126"/>
      <c r="AG534" s="126"/>
      <c r="AH534" s="126"/>
      <c r="AI534" s="126"/>
      <c r="AJ534" s="126"/>
      <c r="AK534" s="126"/>
      <c r="AL534" s="126"/>
      <c r="AM534" s="126"/>
      <c r="AN534" s="126"/>
      <c r="AO534" s="70"/>
      <c r="AP534" s="70"/>
      <c r="AQ534" s="70"/>
      <c r="AR534" s="70"/>
      <c r="AS534" s="70"/>
      <c r="AT534" s="70"/>
      <c r="AU534" s="70"/>
      <c r="AV534" s="70"/>
      <c r="AW534" s="70"/>
      <c r="AX534" s="70"/>
    </row>
    <row r="535" ht="15.75" customHeight="1">
      <c r="A535" s="68" t="s">
        <v>463</v>
      </c>
      <c r="B535" s="169" t="s">
        <v>3779</v>
      </c>
      <c r="C535" s="28" t="s">
        <v>3786</v>
      </c>
      <c r="D535" s="28" t="s">
        <v>3787</v>
      </c>
      <c r="E535" s="28" t="s">
        <v>3788</v>
      </c>
      <c r="F535" s="28"/>
      <c r="G535" s="28"/>
      <c r="H535" s="28"/>
      <c r="I535" s="28"/>
      <c r="J535" s="28" t="s">
        <v>958</v>
      </c>
      <c r="K535" s="28"/>
      <c r="L535" s="28"/>
      <c r="M535" s="28"/>
      <c r="N535" s="28"/>
      <c r="O535" s="67"/>
      <c r="P535" s="67"/>
      <c r="Q535" s="67" t="s">
        <v>145</v>
      </c>
      <c r="R535" s="67"/>
      <c r="S535" s="67"/>
      <c r="T535" s="67"/>
      <c r="U535" s="67"/>
      <c r="V535" s="67"/>
      <c r="W535" s="67"/>
      <c r="X535" s="67"/>
      <c r="Y535" s="67"/>
      <c r="Z535" s="67"/>
      <c r="AA535" s="67"/>
      <c r="AB535" s="67"/>
      <c r="AC535" s="67"/>
      <c r="AD535" s="67"/>
      <c r="AE535" s="67"/>
      <c r="AF535" s="67"/>
      <c r="AG535" s="67"/>
      <c r="AH535" s="67"/>
      <c r="AI535" s="67"/>
      <c r="AJ535" s="67"/>
      <c r="AK535" s="67"/>
      <c r="AL535" s="67"/>
      <c r="AM535" s="67"/>
      <c r="AN535" s="67"/>
      <c r="AO535" s="70"/>
      <c r="AP535" s="70"/>
      <c r="AQ535" s="70"/>
      <c r="AR535" s="70"/>
      <c r="AS535" s="70"/>
      <c r="AT535" s="70"/>
      <c r="AU535" s="70"/>
      <c r="AV535" s="70"/>
      <c r="AW535" s="70"/>
      <c r="AX535" s="70"/>
    </row>
    <row r="536" ht="15.75" customHeight="1">
      <c r="A536" s="68" t="s">
        <v>463</v>
      </c>
      <c r="B536" s="169" t="s">
        <v>3789</v>
      </c>
      <c r="C536" s="28" t="s">
        <v>3793</v>
      </c>
      <c r="D536" s="28" t="s">
        <v>3794</v>
      </c>
      <c r="E536" s="28" t="s">
        <v>3795</v>
      </c>
      <c r="F536" s="28"/>
      <c r="G536" s="28"/>
      <c r="H536" s="28"/>
      <c r="I536" s="28"/>
      <c r="J536" s="28" t="s">
        <v>958</v>
      </c>
      <c r="K536" s="28"/>
      <c r="L536" s="28"/>
      <c r="M536" s="28"/>
      <c r="N536" s="28"/>
      <c r="O536" s="67"/>
      <c r="P536" s="67"/>
      <c r="Q536" s="67" t="s">
        <v>145</v>
      </c>
      <c r="R536" s="67"/>
      <c r="S536" s="67"/>
      <c r="T536" s="67"/>
      <c r="U536" s="67"/>
      <c r="V536" s="67"/>
      <c r="W536" s="67"/>
      <c r="X536" s="67"/>
      <c r="Y536" s="67"/>
      <c r="Z536" s="67"/>
      <c r="AA536" s="67"/>
      <c r="AB536" s="67"/>
      <c r="AC536" s="67"/>
      <c r="AD536" s="67"/>
      <c r="AE536" s="67"/>
      <c r="AF536" s="67"/>
      <c r="AG536" s="67"/>
      <c r="AH536" s="67"/>
      <c r="AI536" s="67"/>
      <c r="AJ536" s="67"/>
      <c r="AK536" s="67"/>
      <c r="AL536" s="67"/>
      <c r="AM536" s="67"/>
      <c r="AN536" s="67"/>
      <c r="AO536" s="70"/>
      <c r="AP536" s="70"/>
      <c r="AQ536" s="70"/>
      <c r="AR536" s="70"/>
      <c r="AS536" s="70"/>
      <c r="AT536" s="70"/>
      <c r="AU536" s="70"/>
      <c r="AV536" s="70"/>
      <c r="AW536" s="70"/>
      <c r="AX536" s="70"/>
    </row>
    <row r="537" ht="15.75" customHeight="1">
      <c r="A537" s="68" t="s">
        <v>463</v>
      </c>
      <c r="B537" s="169" t="s">
        <v>3796</v>
      </c>
      <c r="C537" s="28" t="s">
        <v>3800</v>
      </c>
      <c r="D537" s="28" t="s">
        <v>3801</v>
      </c>
      <c r="E537" s="28" t="s">
        <v>3802</v>
      </c>
      <c r="F537" s="28"/>
      <c r="G537" s="28"/>
      <c r="H537" s="28"/>
      <c r="I537" s="28"/>
      <c r="J537" s="28" t="s">
        <v>958</v>
      </c>
      <c r="K537" s="28"/>
      <c r="L537" s="28"/>
      <c r="M537" s="28"/>
      <c r="N537" s="28"/>
      <c r="O537" s="67"/>
      <c r="P537" s="67"/>
      <c r="Q537" s="67" t="s">
        <v>145</v>
      </c>
      <c r="R537" s="67"/>
      <c r="S537" s="67"/>
      <c r="T537" s="67"/>
      <c r="U537" s="67"/>
      <c r="V537" s="67"/>
      <c r="W537" s="67"/>
      <c r="X537" s="67"/>
      <c r="Y537" s="67"/>
      <c r="Z537" s="67"/>
      <c r="AA537" s="67"/>
      <c r="AB537" s="67"/>
      <c r="AC537" s="67"/>
      <c r="AD537" s="67"/>
      <c r="AE537" s="67"/>
      <c r="AF537" s="67"/>
      <c r="AG537" s="67"/>
      <c r="AH537" s="67"/>
      <c r="AI537" s="67"/>
      <c r="AJ537" s="67"/>
      <c r="AK537" s="67"/>
      <c r="AL537" s="67"/>
      <c r="AM537" s="67"/>
      <c r="AN537" s="67"/>
      <c r="AO537" s="70"/>
      <c r="AP537" s="70"/>
      <c r="AQ537" s="70"/>
      <c r="AR537" s="70"/>
      <c r="AS537" s="70"/>
      <c r="AT537" s="70"/>
      <c r="AU537" s="70"/>
      <c r="AV537" s="70"/>
      <c r="AW537" s="70"/>
      <c r="AX537" s="70"/>
    </row>
    <row r="538" ht="15.75" customHeight="1">
      <c r="A538" s="68" t="s">
        <v>463</v>
      </c>
      <c r="B538" s="169" t="s">
        <v>3804</v>
      </c>
      <c r="C538" s="28" t="s">
        <v>3809</v>
      </c>
      <c r="D538" s="28" t="s">
        <v>3810</v>
      </c>
      <c r="E538" s="28" t="s">
        <v>3811</v>
      </c>
      <c r="F538" s="28"/>
      <c r="G538" s="28"/>
      <c r="H538" s="28"/>
      <c r="I538" s="28"/>
      <c r="J538" s="28" t="s">
        <v>958</v>
      </c>
      <c r="K538" s="28"/>
      <c r="L538" s="28"/>
      <c r="M538" s="28"/>
      <c r="N538" s="28"/>
      <c r="O538" s="67"/>
      <c r="P538" s="67"/>
      <c r="Q538" s="67" t="s">
        <v>145</v>
      </c>
      <c r="R538" s="67"/>
      <c r="S538" s="67"/>
      <c r="T538" s="67"/>
      <c r="U538" s="67"/>
      <c r="V538" s="67"/>
      <c r="W538" s="67"/>
      <c r="X538" s="67"/>
      <c r="Y538" s="67"/>
      <c r="Z538" s="67"/>
      <c r="AA538" s="67"/>
      <c r="AB538" s="67"/>
      <c r="AC538" s="67"/>
      <c r="AD538" s="67"/>
      <c r="AE538" s="67"/>
      <c r="AF538" s="67"/>
      <c r="AG538" s="67"/>
      <c r="AH538" s="67"/>
      <c r="AI538" s="67"/>
      <c r="AJ538" s="67"/>
      <c r="AK538" s="67"/>
      <c r="AL538" s="67"/>
      <c r="AM538" s="67"/>
      <c r="AN538" s="67"/>
      <c r="AO538" s="70"/>
      <c r="AP538" s="70"/>
      <c r="AQ538" s="70"/>
      <c r="AR538" s="70"/>
      <c r="AS538" s="70"/>
      <c r="AT538" s="70"/>
      <c r="AU538" s="70"/>
      <c r="AV538" s="70"/>
      <c r="AW538" s="70"/>
      <c r="AX538" s="70"/>
    </row>
    <row r="539" ht="15.75" customHeight="1">
      <c r="A539" s="140" t="s">
        <v>237</v>
      </c>
      <c r="B539" s="191" t="s">
        <v>3765</v>
      </c>
      <c r="C539" s="28"/>
      <c r="D539" s="28"/>
      <c r="E539" s="28"/>
      <c r="F539" s="28"/>
      <c r="G539" s="28"/>
      <c r="H539" s="28"/>
      <c r="I539" s="28"/>
      <c r="J539" s="28"/>
      <c r="K539" s="28"/>
      <c r="L539" s="28"/>
      <c r="M539" s="28"/>
      <c r="N539" s="28"/>
      <c r="O539" s="139"/>
      <c r="P539" s="139"/>
      <c r="Q539" s="139"/>
      <c r="R539" s="139"/>
      <c r="S539" s="139"/>
      <c r="T539" s="139"/>
      <c r="U539" s="139"/>
      <c r="V539" s="139"/>
      <c r="W539" s="139"/>
      <c r="X539" s="139"/>
      <c r="Y539" s="139"/>
      <c r="Z539" s="139"/>
      <c r="AA539" s="139"/>
      <c r="AB539" s="139"/>
      <c r="AC539" s="139"/>
      <c r="AD539" s="181"/>
      <c r="AE539" s="181"/>
      <c r="AF539" s="181"/>
      <c r="AG539" s="181"/>
      <c r="AH539" s="181"/>
      <c r="AI539" s="181"/>
      <c r="AJ539" s="181"/>
      <c r="AK539" s="181"/>
      <c r="AL539" s="181"/>
      <c r="AM539" s="181"/>
      <c r="AN539" s="181"/>
      <c r="AO539" s="70"/>
      <c r="AP539" s="70"/>
      <c r="AQ539" s="70"/>
      <c r="AR539" s="70"/>
      <c r="AS539" s="70"/>
      <c r="AT539" s="70"/>
      <c r="AU539" s="70"/>
      <c r="AV539" s="70"/>
      <c r="AW539" s="70"/>
      <c r="AX539" s="70"/>
    </row>
    <row r="540" ht="15.75" customHeight="1">
      <c r="A540" s="140" t="s">
        <v>131</v>
      </c>
      <c r="B540" s="164" t="s">
        <v>3815</v>
      </c>
      <c r="C540" s="28"/>
      <c r="D540" s="28"/>
      <c r="E540" s="28"/>
      <c r="F540" s="28"/>
      <c r="G540" s="28"/>
      <c r="H540" s="28"/>
      <c r="I540" s="28"/>
      <c r="J540" s="28" t="s">
        <v>931</v>
      </c>
      <c r="K540" s="28"/>
      <c r="L540" s="28"/>
      <c r="M540" s="28"/>
      <c r="N540" s="28"/>
      <c r="O540" s="190" t="s">
        <v>7798</v>
      </c>
      <c r="P540" s="139"/>
      <c r="Q540" s="139"/>
      <c r="R540" s="139"/>
      <c r="S540" s="139"/>
      <c r="T540" s="139"/>
      <c r="U540" s="139"/>
      <c r="V540" s="139"/>
      <c r="W540" s="139"/>
      <c r="X540" s="139"/>
      <c r="Y540" s="139"/>
      <c r="Z540" s="139"/>
      <c r="AA540" s="139"/>
      <c r="AB540" s="139"/>
      <c r="AC540" s="139"/>
      <c r="AD540" s="126"/>
      <c r="AE540" s="126"/>
      <c r="AF540" s="126"/>
      <c r="AG540" s="126"/>
      <c r="AH540" s="126"/>
      <c r="AI540" s="126"/>
      <c r="AJ540" s="126"/>
      <c r="AK540" s="126"/>
      <c r="AL540" s="126"/>
      <c r="AM540" s="126"/>
      <c r="AN540" s="126"/>
      <c r="AO540" s="70"/>
      <c r="AP540" s="70"/>
      <c r="AQ540" s="70"/>
      <c r="AR540" s="70"/>
      <c r="AS540" s="70"/>
      <c r="AT540" s="70"/>
      <c r="AU540" s="70"/>
      <c r="AV540" s="70"/>
      <c r="AW540" s="70"/>
      <c r="AX540" s="70"/>
    </row>
    <row r="541" ht="15.75" customHeight="1">
      <c r="A541" s="166" t="s">
        <v>41</v>
      </c>
      <c r="B541" s="167" t="s">
        <v>3820</v>
      </c>
      <c r="C541" s="28" t="s">
        <v>3825</v>
      </c>
      <c r="D541" s="28" t="s">
        <v>3826</v>
      </c>
      <c r="E541" s="28" t="s">
        <v>3827</v>
      </c>
      <c r="F541" s="28"/>
      <c r="G541" s="28"/>
      <c r="H541" s="28"/>
      <c r="I541" s="28"/>
      <c r="J541" s="28" t="s">
        <v>8</v>
      </c>
      <c r="K541" s="28"/>
      <c r="L541" s="28"/>
      <c r="M541" s="28"/>
      <c r="N541" s="28"/>
      <c r="O541" s="126"/>
      <c r="P541" s="126"/>
      <c r="Q541" s="126"/>
      <c r="R541" s="126"/>
      <c r="S541" s="126"/>
      <c r="T541" s="126"/>
      <c r="U541" s="126"/>
      <c r="V541" s="126"/>
      <c r="W541" s="126"/>
      <c r="X541" s="126"/>
      <c r="Y541" s="126"/>
      <c r="Z541" s="126"/>
      <c r="AA541" s="126"/>
      <c r="AB541" s="126"/>
      <c r="AC541" s="126"/>
      <c r="AD541" s="126"/>
      <c r="AE541" s="126"/>
      <c r="AF541" s="126"/>
      <c r="AG541" s="126"/>
      <c r="AH541" s="126"/>
      <c r="AI541" s="126"/>
      <c r="AJ541" s="126"/>
      <c r="AK541" s="126"/>
      <c r="AL541" s="126"/>
      <c r="AM541" s="126"/>
      <c r="AN541" s="126"/>
      <c r="AO541" s="70"/>
      <c r="AP541" s="70"/>
      <c r="AQ541" s="70"/>
      <c r="AR541" s="70"/>
      <c r="AS541" s="70"/>
      <c r="AT541" s="70"/>
      <c r="AU541" s="70"/>
      <c r="AV541" s="70"/>
      <c r="AW541" s="70"/>
      <c r="AX541" s="70"/>
    </row>
    <row r="542" ht="15.75" customHeight="1">
      <c r="A542" s="179" t="s">
        <v>246</v>
      </c>
      <c r="B542" s="180" t="s">
        <v>3828</v>
      </c>
      <c r="C542" s="28" t="s">
        <v>3832</v>
      </c>
      <c r="D542" s="28" t="s">
        <v>3834</v>
      </c>
      <c r="E542" s="28" t="s">
        <v>3835</v>
      </c>
      <c r="F542" s="28" t="s">
        <v>7811</v>
      </c>
      <c r="G542" s="28" t="s">
        <v>7812</v>
      </c>
      <c r="H542" s="28" t="s">
        <v>7813</v>
      </c>
      <c r="I542" s="28"/>
      <c r="J542" s="28" t="s">
        <v>958</v>
      </c>
      <c r="K542" s="28"/>
      <c r="L542" s="28"/>
      <c r="M542" s="28"/>
      <c r="N542" s="28"/>
      <c r="O542" s="181" t="s">
        <v>7814</v>
      </c>
      <c r="P542" s="181"/>
      <c r="Q542" s="181" t="s">
        <v>145</v>
      </c>
      <c r="R542" s="181"/>
      <c r="S542" s="181"/>
      <c r="T542" s="181"/>
      <c r="U542" s="181"/>
      <c r="V542" s="181"/>
      <c r="W542" s="181"/>
      <c r="X542" s="181"/>
      <c r="Y542" s="181"/>
      <c r="Z542" s="181"/>
      <c r="AA542" s="181"/>
      <c r="AB542" s="181"/>
      <c r="AC542" s="181"/>
      <c r="AD542" s="181"/>
      <c r="AE542" s="181"/>
      <c r="AF542" s="181"/>
      <c r="AG542" s="181"/>
      <c r="AH542" s="181"/>
      <c r="AI542" s="181"/>
      <c r="AJ542" s="181"/>
      <c r="AK542" s="181"/>
      <c r="AL542" s="181"/>
      <c r="AM542" s="181"/>
      <c r="AN542" s="181"/>
      <c r="AO542" s="70"/>
      <c r="AP542" s="70"/>
      <c r="AQ542" s="70"/>
      <c r="AR542" s="70"/>
      <c r="AS542" s="70"/>
      <c r="AT542" s="70"/>
      <c r="AU542" s="70"/>
      <c r="AV542" s="70"/>
      <c r="AW542" s="70"/>
      <c r="AX542" s="70"/>
    </row>
    <row r="543" ht="15.75" customHeight="1">
      <c r="A543" s="179" t="s">
        <v>246</v>
      </c>
      <c r="B543" s="180" t="s">
        <v>3838</v>
      </c>
      <c r="C543" s="28" t="s">
        <v>3845</v>
      </c>
      <c r="D543" s="28" t="s">
        <v>3846</v>
      </c>
      <c r="E543" s="28" t="s">
        <v>3847</v>
      </c>
      <c r="F543" s="28" t="s">
        <v>7811</v>
      </c>
      <c r="G543" s="28" t="s">
        <v>7812</v>
      </c>
      <c r="H543" s="28" t="s">
        <v>7813</v>
      </c>
      <c r="I543" s="28"/>
      <c r="J543" s="28" t="s">
        <v>958</v>
      </c>
      <c r="K543" s="28"/>
      <c r="L543" s="28"/>
      <c r="M543" s="28"/>
      <c r="N543" s="28"/>
      <c r="O543" s="181" t="s">
        <v>7823</v>
      </c>
      <c r="P543" s="181"/>
      <c r="Q543" s="181" t="s">
        <v>145</v>
      </c>
      <c r="R543" s="181"/>
      <c r="S543" s="181"/>
      <c r="T543" s="181"/>
      <c r="U543" s="181"/>
      <c r="V543" s="181"/>
      <c r="W543" s="181"/>
      <c r="X543" s="181"/>
      <c r="Y543" s="181"/>
      <c r="Z543" s="181"/>
      <c r="AA543" s="181"/>
      <c r="AB543" s="181"/>
      <c r="AC543" s="181"/>
      <c r="AD543" s="181"/>
      <c r="AE543" s="181"/>
      <c r="AF543" s="181"/>
      <c r="AG543" s="181"/>
      <c r="AH543" s="181"/>
      <c r="AI543" s="181"/>
      <c r="AJ543" s="181"/>
      <c r="AK543" s="181"/>
      <c r="AL543" s="181"/>
      <c r="AM543" s="181"/>
      <c r="AN543" s="181"/>
      <c r="AO543" s="70"/>
      <c r="AP543" s="70"/>
      <c r="AQ543" s="70"/>
      <c r="AR543" s="70"/>
      <c r="AS543" s="70"/>
      <c r="AT543" s="70"/>
      <c r="AU543" s="70"/>
      <c r="AV543" s="70"/>
      <c r="AW543" s="70"/>
      <c r="AX543" s="70"/>
    </row>
    <row r="544" ht="15.75" customHeight="1">
      <c r="A544" s="179" t="s">
        <v>246</v>
      </c>
      <c r="B544" s="180" t="s">
        <v>3848</v>
      </c>
      <c r="C544" s="28" t="s">
        <v>3853</v>
      </c>
      <c r="D544" s="28" t="s">
        <v>3854</v>
      </c>
      <c r="E544" s="28" t="s">
        <v>3855</v>
      </c>
      <c r="F544" s="28" t="s">
        <v>7811</v>
      </c>
      <c r="G544" s="28" t="s">
        <v>7812</v>
      </c>
      <c r="H544" s="28" t="s">
        <v>7813</v>
      </c>
      <c r="I544" s="28"/>
      <c r="J544" s="28" t="s">
        <v>958</v>
      </c>
      <c r="K544" s="28"/>
      <c r="L544" s="28"/>
      <c r="M544" s="28"/>
      <c r="N544" s="28"/>
      <c r="O544" s="181" t="s">
        <v>7843</v>
      </c>
      <c r="P544" s="181"/>
      <c r="Q544" s="181" t="s">
        <v>145</v>
      </c>
      <c r="R544" s="181"/>
      <c r="S544" s="181"/>
      <c r="T544" s="181"/>
      <c r="U544" s="181"/>
      <c r="V544" s="181"/>
      <c r="W544" s="181"/>
      <c r="X544" s="181"/>
      <c r="Y544" s="181"/>
      <c r="Z544" s="181"/>
      <c r="AA544" s="181"/>
      <c r="AB544" s="181"/>
      <c r="AC544" s="181"/>
      <c r="AD544" s="181"/>
      <c r="AE544" s="181"/>
      <c r="AF544" s="181"/>
      <c r="AG544" s="181"/>
      <c r="AH544" s="181"/>
      <c r="AI544" s="181"/>
      <c r="AJ544" s="181"/>
      <c r="AK544" s="181"/>
      <c r="AL544" s="181"/>
      <c r="AM544" s="181"/>
      <c r="AN544" s="181"/>
      <c r="AO544" s="70"/>
      <c r="AP544" s="70"/>
      <c r="AQ544" s="70"/>
      <c r="AR544" s="70"/>
      <c r="AS544" s="70"/>
      <c r="AT544" s="70"/>
      <c r="AU544" s="70"/>
      <c r="AV544" s="70"/>
      <c r="AW544" s="70"/>
      <c r="AX544" s="70"/>
    </row>
    <row r="545" ht="15.75" customHeight="1">
      <c r="A545" s="179" t="s">
        <v>246</v>
      </c>
      <c r="B545" s="180" t="s">
        <v>3856</v>
      </c>
      <c r="C545" s="28" t="s">
        <v>3862</v>
      </c>
      <c r="D545" s="28" t="s">
        <v>3863</v>
      </c>
      <c r="E545" s="28" t="s">
        <v>3864</v>
      </c>
      <c r="F545" s="28" t="s">
        <v>7811</v>
      </c>
      <c r="G545" s="28" t="s">
        <v>7812</v>
      </c>
      <c r="H545" s="28" t="s">
        <v>7813</v>
      </c>
      <c r="I545" s="28"/>
      <c r="J545" s="28" t="s">
        <v>958</v>
      </c>
      <c r="K545" s="28"/>
      <c r="L545" s="28"/>
      <c r="M545" s="28"/>
      <c r="N545" s="28"/>
      <c r="O545" s="181" t="s">
        <v>7866</v>
      </c>
      <c r="P545" s="181"/>
      <c r="Q545" s="181" t="s">
        <v>145</v>
      </c>
      <c r="R545" s="181"/>
      <c r="S545" s="181"/>
      <c r="T545" s="181"/>
      <c r="U545" s="181"/>
      <c r="V545" s="181"/>
      <c r="W545" s="181"/>
      <c r="X545" s="181"/>
      <c r="Y545" s="181"/>
      <c r="Z545" s="181"/>
      <c r="AA545" s="181"/>
      <c r="AB545" s="181"/>
      <c r="AC545" s="181"/>
      <c r="AD545" s="181"/>
      <c r="AE545" s="181"/>
      <c r="AF545" s="181"/>
      <c r="AG545" s="181"/>
      <c r="AH545" s="181"/>
      <c r="AI545" s="181"/>
      <c r="AJ545" s="181"/>
      <c r="AK545" s="181"/>
      <c r="AL545" s="181"/>
      <c r="AM545" s="181"/>
      <c r="AN545" s="181"/>
      <c r="AO545" s="70"/>
      <c r="AP545" s="70"/>
      <c r="AQ545" s="70"/>
      <c r="AR545" s="70"/>
      <c r="AS545" s="70"/>
      <c r="AT545" s="70"/>
      <c r="AU545" s="70"/>
      <c r="AV545" s="70"/>
      <c r="AW545" s="70"/>
      <c r="AX545" s="70"/>
    </row>
    <row r="546" ht="15.75" customHeight="1">
      <c r="A546" s="140" t="s">
        <v>237</v>
      </c>
      <c r="B546" s="191" t="s">
        <v>3815</v>
      </c>
      <c r="C546" s="28"/>
      <c r="D546" s="28"/>
      <c r="E546" s="28"/>
      <c r="F546" s="28"/>
      <c r="G546" s="28"/>
      <c r="H546" s="28"/>
      <c r="I546" s="28"/>
      <c r="J546" s="28"/>
      <c r="K546" s="28"/>
      <c r="L546" s="28"/>
      <c r="M546" s="28"/>
      <c r="N546" s="28"/>
      <c r="O546" s="139"/>
      <c r="P546" s="139"/>
      <c r="Q546" s="139"/>
      <c r="R546" s="139"/>
      <c r="S546" s="139"/>
      <c r="T546" s="139"/>
      <c r="U546" s="139"/>
      <c r="V546" s="139"/>
      <c r="W546" s="139"/>
      <c r="X546" s="139"/>
      <c r="Y546" s="139"/>
      <c r="Z546" s="139"/>
      <c r="AA546" s="139"/>
      <c r="AB546" s="139"/>
      <c r="AC546" s="139"/>
      <c r="AD546" s="181"/>
      <c r="AE546" s="181"/>
      <c r="AF546" s="181"/>
      <c r="AG546" s="181"/>
      <c r="AH546" s="181"/>
      <c r="AI546" s="181"/>
      <c r="AJ546" s="181"/>
      <c r="AK546" s="181"/>
      <c r="AL546" s="181"/>
      <c r="AM546" s="181"/>
      <c r="AN546" s="181"/>
      <c r="AO546" s="70"/>
      <c r="AP546" s="70"/>
      <c r="AQ546" s="70"/>
      <c r="AR546" s="70"/>
      <c r="AS546" s="70"/>
      <c r="AT546" s="70"/>
      <c r="AU546" s="70"/>
      <c r="AV546" s="70"/>
      <c r="AW546" s="70"/>
      <c r="AX546" s="70"/>
    </row>
    <row r="547" ht="15.75" customHeight="1">
      <c r="A547" s="174" t="s">
        <v>1015</v>
      </c>
      <c r="B547" s="204" t="s">
        <v>3558</v>
      </c>
      <c r="C547" s="28" t="s">
        <v>3560</v>
      </c>
      <c r="D547" s="28"/>
      <c r="E547" s="28" t="s">
        <v>3561</v>
      </c>
      <c r="F547" s="28"/>
      <c r="G547" s="28"/>
      <c r="H547" s="28"/>
      <c r="I547" s="28"/>
      <c r="J547" s="28"/>
      <c r="K547" s="28"/>
      <c r="L547" s="28"/>
      <c r="M547" s="28"/>
      <c r="N547" s="28"/>
      <c r="O547" s="176"/>
      <c r="P547" s="176"/>
      <c r="Q547" s="176"/>
      <c r="R547" s="176"/>
      <c r="S547" s="176"/>
      <c r="T547" s="176"/>
      <c r="U547" s="176"/>
      <c r="V547" s="176"/>
      <c r="W547" s="176"/>
      <c r="X547" s="176"/>
      <c r="Y547" s="176"/>
      <c r="Z547" s="176"/>
      <c r="AA547" s="176"/>
      <c r="AB547" s="176"/>
      <c r="AC547" s="176"/>
      <c r="AD547" s="176"/>
      <c r="AE547" s="176"/>
      <c r="AF547" s="176"/>
      <c r="AG547" s="176"/>
      <c r="AH547" s="176"/>
      <c r="AI547" s="176"/>
      <c r="AJ547" s="176"/>
      <c r="AK547" s="176"/>
      <c r="AL547" s="176"/>
      <c r="AM547" s="176"/>
      <c r="AN547" s="176"/>
      <c r="AO547" s="70"/>
      <c r="AP547" s="70"/>
      <c r="AQ547" s="70"/>
      <c r="AR547" s="70"/>
      <c r="AS547" s="70"/>
      <c r="AT547" s="70"/>
      <c r="AU547" s="70"/>
      <c r="AV547" s="70"/>
      <c r="AW547" s="70"/>
      <c r="AX547" s="70"/>
    </row>
    <row r="548" ht="15.75" customHeight="1">
      <c r="A548" s="65" t="s">
        <v>134</v>
      </c>
      <c r="B548" s="66" t="s">
        <v>3873</v>
      </c>
      <c r="C548" s="28"/>
      <c r="D548" s="28"/>
      <c r="E548" s="28"/>
      <c r="F548" s="28"/>
      <c r="G548" s="28"/>
      <c r="H548" s="28"/>
      <c r="I548" s="28"/>
      <c r="J548" s="28"/>
      <c r="K548" s="28"/>
      <c r="L548" s="28"/>
      <c r="M548" s="28"/>
      <c r="N548" s="28"/>
      <c r="O548" s="67"/>
      <c r="P548" s="68"/>
      <c r="Q548" s="68"/>
      <c r="R548" s="67"/>
      <c r="S548" s="67"/>
      <c r="T548" s="65" t="s">
        <v>139</v>
      </c>
      <c r="U548" s="67"/>
      <c r="V548" s="67"/>
      <c r="W548" s="67"/>
      <c r="X548" s="67"/>
      <c r="Y548" s="67"/>
      <c r="Z548" s="67"/>
      <c r="AA548" s="67"/>
      <c r="AB548" s="67"/>
      <c r="AC548" s="67"/>
      <c r="AD548" s="67"/>
      <c r="AE548" s="67"/>
      <c r="AF548" s="67"/>
      <c r="AG548" s="67"/>
      <c r="AH548" s="67"/>
      <c r="AI548" s="67"/>
      <c r="AJ548" s="67"/>
      <c r="AK548" s="67"/>
      <c r="AL548" s="67"/>
      <c r="AM548" s="67"/>
      <c r="AN548" s="67"/>
      <c r="AO548" s="67"/>
      <c r="AP548" s="67"/>
      <c r="AQ548" s="67"/>
      <c r="AR548" s="67"/>
      <c r="AS548" s="67"/>
      <c r="AT548" s="67"/>
      <c r="AU548" s="67"/>
      <c r="AV548" s="67"/>
      <c r="AW548" s="67"/>
      <c r="AX548" s="67"/>
    </row>
    <row r="549" ht="15.75" customHeight="1">
      <c r="A549" s="58" t="s">
        <v>78</v>
      </c>
      <c r="B549" s="58" t="s">
        <v>3877</v>
      </c>
      <c r="C549" s="28"/>
      <c r="D549" s="28"/>
      <c r="E549" s="28"/>
      <c r="F549" s="28"/>
      <c r="G549" s="28"/>
      <c r="H549" s="28"/>
      <c r="I549" s="28"/>
      <c r="J549" s="28"/>
      <c r="K549" s="28"/>
      <c r="L549" s="28"/>
      <c r="M549" s="28"/>
      <c r="N549" s="28"/>
      <c r="O549" s="58"/>
      <c r="P549" s="24"/>
      <c r="Q549" s="24"/>
      <c r="R549" s="24"/>
      <c r="S549" s="24"/>
      <c r="T549" s="58" t="s">
        <v>7934</v>
      </c>
      <c r="U549" s="24"/>
      <c r="V549" s="24"/>
      <c r="W549" s="24"/>
      <c r="X549" s="24"/>
      <c r="Y549" s="24"/>
      <c r="Z549" s="24"/>
      <c r="AA549" s="24"/>
      <c r="AB549" s="24"/>
      <c r="AC549" s="24"/>
      <c r="AD549" s="24"/>
      <c r="AE549" s="24"/>
      <c r="AF549" s="24"/>
      <c r="AG549" s="24"/>
      <c r="AH549" s="24"/>
      <c r="AI549" s="24"/>
      <c r="AJ549" s="24"/>
      <c r="AK549" s="24"/>
      <c r="AL549" s="24"/>
      <c r="AM549" s="24"/>
      <c r="AN549" s="24"/>
      <c r="AO549" s="24"/>
      <c r="AP549" s="24"/>
      <c r="AQ549" s="24"/>
      <c r="AR549" s="24"/>
      <c r="AS549" s="24"/>
      <c r="AT549" s="24"/>
      <c r="AU549" s="24"/>
      <c r="AV549" s="24"/>
      <c r="AW549" s="24"/>
      <c r="AX549" s="24"/>
    </row>
    <row r="550" ht="15.75" customHeight="1">
      <c r="A550" s="65" t="s">
        <v>134</v>
      </c>
      <c r="B550" s="66" t="s">
        <v>3882</v>
      </c>
      <c r="C550" s="28"/>
      <c r="D550" s="28"/>
      <c r="E550" s="28"/>
      <c r="F550" s="28"/>
      <c r="G550" s="28"/>
      <c r="H550" s="28"/>
      <c r="I550" s="28"/>
      <c r="J550" s="28"/>
      <c r="K550" s="28"/>
      <c r="L550" s="28"/>
      <c r="M550" s="28"/>
      <c r="N550" s="28"/>
      <c r="O550" s="67"/>
      <c r="P550" s="68"/>
      <c r="Q550" s="68"/>
      <c r="R550" s="67"/>
      <c r="S550" s="67"/>
      <c r="T550" s="65" t="s">
        <v>139</v>
      </c>
      <c r="U550" s="67"/>
      <c r="V550" s="67"/>
      <c r="W550" s="67"/>
      <c r="X550" s="67"/>
      <c r="Y550" s="67"/>
      <c r="Z550" s="67"/>
      <c r="AA550" s="67"/>
      <c r="AB550" s="67"/>
      <c r="AC550" s="67"/>
      <c r="AD550" s="67"/>
      <c r="AE550" s="67"/>
      <c r="AF550" s="67"/>
      <c r="AG550" s="67"/>
      <c r="AH550" s="67"/>
      <c r="AI550" s="67"/>
      <c r="AJ550" s="67"/>
      <c r="AK550" s="67"/>
      <c r="AL550" s="67"/>
      <c r="AM550" s="67"/>
      <c r="AN550" s="67"/>
      <c r="AO550" s="67"/>
      <c r="AP550" s="67"/>
      <c r="AQ550" s="67"/>
      <c r="AR550" s="67"/>
      <c r="AS550" s="67"/>
      <c r="AT550" s="67"/>
      <c r="AU550" s="67"/>
      <c r="AV550" s="67"/>
      <c r="AW550" s="67"/>
      <c r="AX550" s="67"/>
    </row>
    <row r="551" ht="15.75" customHeight="1">
      <c r="A551" s="231" t="s">
        <v>78</v>
      </c>
      <c r="B551" s="238" t="s">
        <v>3887</v>
      </c>
      <c r="C551" s="28"/>
      <c r="D551" s="28"/>
      <c r="E551" s="28"/>
      <c r="F551" s="28"/>
      <c r="G551" s="28"/>
      <c r="H551" s="28"/>
      <c r="I551" s="28"/>
      <c r="J551" s="28"/>
      <c r="K551" s="28"/>
      <c r="L551" s="28"/>
      <c r="M551" s="28"/>
      <c r="N551" s="28"/>
      <c r="O551" s="120"/>
      <c r="P551" s="120"/>
      <c r="Q551" s="120"/>
      <c r="R551" s="120"/>
      <c r="S551" s="120"/>
      <c r="T551" s="178" t="s">
        <v>7962</v>
      </c>
      <c r="U551" s="120"/>
      <c r="V551" s="120"/>
      <c r="W551" s="120"/>
      <c r="X551" s="120"/>
      <c r="Y551" s="120"/>
      <c r="Z551" s="120"/>
      <c r="AA551" s="120"/>
      <c r="AB551" s="120"/>
      <c r="AC551" s="120"/>
      <c r="AD551" s="302"/>
      <c r="AE551" s="302"/>
      <c r="AF551" s="302"/>
      <c r="AG551" s="302"/>
      <c r="AH551" s="302"/>
      <c r="AI551" s="302"/>
      <c r="AJ551" s="302"/>
      <c r="AK551" s="302"/>
      <c r="AL551" s="302"/>
      <c r="AM551" s="302"/>
      <c r="AN551" s="302"/>
      <c r="AO551" s="121"/>
      <c r="AP551" s="121"/>
      <c r="AQ551" s="121"/>
      <c r="AR551" s="121"/>
      <c r="AS551" s="121"/>
      <c r="AT551" s="121"/>
      <c r="AU551" s="121"/>
      <c r="AV551" s="121"/>
      <c r="AW551" s="121"/>
      <c r="AX551" s="121"/>
    </row>
    <row r="552" ht="15.75" customHeight="1">
      <c r="A552" s="231" t="s">
        <v>78</v>
      </c>
      <c r="B552" s="238" t="s">
        <v>3891</v>
      </c>
      <c r="C552" s="28" t="s">
        <v>3892</v>
      </c>
      <c r="D552" s="28"/>
      <c r="E552" s="28"/>
      <c r="F552" s="28"/>
      <c r="G552" s="28"/>
      <c r="H552" s="28"/>
      <c r="I552" s="28"/>
      <c r="J552" s="28"/>
      <c r="K552" s="28"/>
      <c r="L552" s="28"/>
      <c r="M552" s="28"/>
      <c r="N552" s="28"/>
      <c r="O552" s="120"/>
      <c r="P552" s="120"/>
      <c r="Q552" s="120"/>
      <c r="R552" s="120"/>
      <c r="S552" s="120"/>
      <c r="T552" s="178" t="s">
        <v>7977</v>
      </c>
      <c r="U552" s="120"/>
      <c r="V552" s="120"/>
      <c r="W552" s="120"/>
      <c r="X552" s="120"/>
      <c r="Y552" s="120"/>
      <c r="Z552" s="120"/>
      <c r="AA552" s="120"/>
      <c r="AB552" s="120"/>
      <c r="AC552" s="120"/>
      <c r="AD552" s="302"/>
      <c r="AE552" s="302"/>
      <c r="AF552" s="302"/>
      <c r="AG552" s="302"/>
      <c r="AH552" s="302"/>
      <c r="AI552" s="302"/>
      <c r="AJ552" s="302"/>
      <c r="AK552" s="302"/>
      <c r="AL552" s="302"/>
      <c r="AM552" s="302"/>
      <c r="AN552" s="302"/>
      <c r="AO552" s="121"/>
      <c r="AP552" s="121"/>
      <c r="AQ552" s="121"/>
      <c r="AR552" s="121"/>
      <c r="AS552" s="121"/>
      <c r="AT552" s="121"/>
      <c r="AU552" s="121"/>
      <c r="AV552" s="121"/>
      <c r="AW552" s="121"/>
      <c r="AX552" s="121"/>
    </row>
    <row r="553" ht="15.75" customHeight="1">
      <c r="A553" s="231" t="s">
        <v>78</v>
      </c>
      <c r="B553" s="238" t="s">
        <v>3896</v>
      </c>
      <c r="C553" s="28" t="s">
        <v>3892</v>
      </c>
      <c r="D553" s="28"/>
      <c r="E553" s="28"/>
      <c r="F553" s="28"/>
      <c r="G553" s="28"/>
      <c r="H553" s="28"/>
      <c r="I553" s="28"/>
      <c r="J553" s="28"/>
      <c r="K553" s="28"/>
      <c r="L553" s="28"/>
      <c r="M553" s="28"/>
      <c r="N553" s="28"/>
      <c r="O553" s="120"/>
      <c r="P553" s="120"/>
      <c r="Q553" s="120"/>
      <c r="R553" s="120"/>
      <c r="S553" s="120"/>
      <c r="T553" s="178" t="s">
        <v>7993</v>
      </c>
      <c r="U553" s="120"/>
      <c r="V553" s="120"/>
      <c r="W553" s="120"/>
      <c r="X553" s="120"/>
      <c r="Y553" s="120"/>
      <c r="Z553" s="120"/>
      <c r="AA553" s="120"/>
      <c r="AB553" s="120"/>
      <c r="AC553" s="120"/>
      <c r="AD553" s="302"/>
      <c r="AE553" s="302"/>
      <c r="AF553" s="302"/>
      <c r="AG553" s="302"/>
      <c r="AH553" s="302"/>
      <c r="AI553" s="302"/>
      <c r="AJ553" s="302"/>
      <c r="AK553" s="302"/>
      <c r="AL553" s="302"/>
      <c r="AM553" s="302"/>
      <c r="AN553" s="302"/>
      <c r="AO553" s="121"/>
      <c r="AP553" s="121"/>
      <c r="AQ553" s="121"/>
      <c r="AR553" s="121"/>
      <c r="AS553" s="121"/>
      <c r="AT553" s="121"/>
      <c r="AU553" s="121"/>
      <c r="AV553" s="121"/>
      <c r="AW553" s="121"/>
      <c r="AX553" s="121"/>
    </row>
    <row r="554" ht="15.75" customHeight="1">
      <c r="A554" s="254" t="s">
        <v>41</v>
      </c>
      <c r="B554" s="268" t="s">
        <v>3900</v>
      </c>
      <c r="C554" s="28" t="s">
        <v>3904</v>
      </c>
      <c r="D554" s="28" t="s">
        <v>3905</v>
      </c>
      <c r="E554" s="28" t="s">
        <v>3906</v>
      </c>
      <c r="F554" s="28"/>
      <c r="G554" s="28"/>
      <c r="H554" s="28"/>
      <c r="I554" s="28"/>
      <c r="J554" s="28"/>
      <c r="K554" s="28"/>
      <c r="L554" s="28"/>
      <c r="M554" s="28"/>
      <c r="N554" s="28"/>
      <c r="O554" s="302"/>
      <c r="P554" s="302"/>
      <c r="Q554" s="302"/>
      <c r="R554" s="302"/>
      <c r="S554" s="302"/>
      <c r="T554" s="126"/>
      <c r="U554" s="302"/>
      <c r="V554" s="302"/>
      <c r="W554" s="302"/>
      <c r="X554" s="302"/>
      <c r="Y554" s="302"/>
      <c r="Z554" s="302"/>
      <c r="AA554" s="302"/>
      <c r="AB554" s="302"/>
      <c r="AC554" s="302"/>
      <c r="AD554" s="302"/>
      <c r="AE554" s="302"/>
      <c r="AF554" s="302"/>
      <c r="AG554" s="302"/>
      <c r="AH554" s="302"/>
      <c r="AI554" s="302"/>
      <c r="AJ554" s="302"/>
      <c r="AK554" s="302"/>
      <c r="AL554" s="302"/>
      <c r="AM554" s="302"/>
      <c r="AN554" s="302"/>
      <c r="AO554" s="121"/>
      <c r="AP554" s="121"/>
      <c r="AQ554" s="121"/>
      <c r="AR554" s="121"/>
      <c r="AS554" s="121"/>
      <c r="AT554" s="121"/>
      <c r="AU554" s="121"/>
      <c r="AV554" s="121"/>
      <c r="AW554" s="121"/>
      <c r="AX554" s="121"/>
    </row>
    <row r="555" ht="15.75" customHeight="1">
      <c r="A555" s="246" t="s">
        <v>698</v>
      </c>
      <c r="B555" s="247" t="s">
        <v>3908</v>
      </c>
      <c r="C555" s="28" t="s">
        <v>3064</v>
      </c>
      <c r="D555" s="28" t="s">
        <v>3909</v>
      </c>
      <c r="E555" s="28" t="s">
        <v>3910</v>
      </c>
      <c r="F555" s="28"/>
      <c r="G555" s="28"/>
      <c r="H555" s="28"/>
      <c r="I555" s="28"/>
      <c r="J555" s="28"/>
      <c r="K555" s="28"/>
      <c r="L555" s="28"/>
      <c r="M555" s="28"/>
      <c r="N555" s="28"/>
      <c r="O555" s="287"/>
      <c r="P555" s="282"/>
      <c r="Q555" s="282"/>
      <c r="R555" s="282"/>
      <c r="S555" s="282"/>
      <c r="T555" s="176"/>
      <c r="U555" s="288" t="s">
        <v>8024</v>
      </c>
      <c r="V555" s="282"/>
      <c r="W555" s="282"/>
      <c r="X555" s="282"/>
      <c r="Y555" s="282"/>
      <c r="Z555" s="282"/>
      <c r="AA555" s="282"/>
      <c r="AB555" s="282"/>
      <c r="AC555" s="282"/>
      <c r="AD555" s="282"/>
      <c r="AE555" s="282"/>
      <c r="AF555" s="282"/>
      <c r="AG555" s="282"/>
      <c r="AH555" s="282"/>
      <c r="AI555" s="282"/>
      <c r="AJ555" s="282"/>
      <c r="AK555" s="282"/>
      <c r="AL555" s="282"/>
      <c r="AM555" s="282"/>
      <c r="AN555" s="282"/>
      <c r="AO555" s="121"/>
      <c r="AP555" s="121"/>
      <c r="AQ555" s="121"/>
      <c r="AR555" s="121"/>
      <c r="AS555" s="121"/>
      <c r="AT555" s="121"/>
      <c r="AU555" s="121"/>
      <c r="AV555" s="121"/>
      <c r="AW555" s="121"/>
      <c r="AX555" s="121"/>
    </row>
    <row r="556" ht="15.75" customHeight="1">
      <c r="A556" s="231" t="s">
        <v>78</v>
      </c>
      <c r="B556" s="238" t="s">
        <v>3917</v>
      </c>
      <c r="C556" s="28"/>
      <c r="D556" s="28"/>
      <c r="E556" s="28"/>
      <c r="F556" s="28"/>
      <c r="G556" s="28"/>
      <c r="H556" s="28"/>
      <c r="I556" s="28"/>
      <c r="J556" s="28"/>
      <c r="K556" s="28"/>
      <c r="L556" s="28"/>
      <c r="M556" s="28"/>
      <c r="N556" s="28"/>
      <c r="O556" s="120"/>
      <c r="P556" s="120"/>
      <c r="Q556" s="120"/>
      <c r="R556" s="120"/>
      <c r="S556" s="120"/>
      <c r="T556" s="178" t="s">
        <v>719</v>
      </c>
      <c r="U556" s="120"/>
      <c r="V556" s="120"/>
      <c r="W556" s="120"/>
      <c r="X556" s="120"/>
      <c r="Y556" s="120"/>
      <c r="Z556" s="120"/>
      <c r="AA556" s="120"/>
      <c r="AB556" s="120"/>
      <c r="AC556" s="120"/>
      <c r="AD556" s="120"/>
      <c r="AE556" s="120"/>
      <c r="AF556" s="120"/>
      <c r="AG556" s="120"/>
      <c r="AH556" s="120"/>
      <c r="AI556" s="120"/>
      <c r="AJ556" s="120"/>
      <c r="AK556" s="120"/>
      <c r="AL556" s="120"/>
      <c r="AM556" s="120"/>
      <c r="AN556" s="120"/>
      <c r="AO556" s="121"/>
      <c r="AP556" s="121"/>
      <c r="AQ556" s="121"/>
      <c r="AR556" s="121"/>
      <c r="AS556" s="121"/>
      <c r="AT556" s="121"/>
      <c r="AU556" s="121"/>
      <c r="AV556" s="121"/>
      <c r="AW556" s="121"/>
      <c r="AX556" s="121"/>
    </row>
    <row r="557" ht="15.75" customHeight="1">
      <c r="A557" s="231" t="s">
        <v>78</v>
      </c>
      <c r="B557" s="238" t="s">
        <v>3920</v>
      </c>
      <c r="C557" s="28"/>
      <c r="D557" s="28"/>
      <c r="E557" s="28"/>
      <c r="F557" s="28"/>
      <c r="G557" s="28"/>
      <c r="H557" s="28"/>
      <c r="I557" s="28"/>
      <c r="J557" s="28"/>
      <c r="K557" s="28"/>
      <c r="L557" s="28"/>
      <c r="M557" s="28"/>
      <c r="N557" s="28"/>
      <c r="O557" s="120"/>
      <c r="P557" s="120"/>
      <c r="Q557" s="120"/>
      <c r="R557" s="120"/>
      <c r="S557" s="120"/>
      <c r="T557" s="178" t="s">
        <v>8061</v>
      </c>
      <c r="U557" s="120"/>
      <c r="V557" s="120"/>
      <c r="W557" s="120"/>
      <c r="X557" s="120"/>
      <c r="Y557" s="120"/>
      <c r="Z557" s="120"/>
      <c r="AA557" s="120"/>
      <c r="AB557" s="120"/>
      <c r="AC557" s="120"/>
      <c r="AD557" s="120"/>
      <c r="AE557" s="120"/>
      <c r="AF557" s="120"/>
      <c r="AG557" s="120"/>
      <c r="AH557" s="120"/>
      <c r="AI557" s="120"/>
      <c r="AJ557" s="120"/>
      <c r="AK557" s="120"/>
      <c r="AL557" s="120"/>
      <c r="AM557" s="120"/>
      <c r="AN557" s="120"/>
      <c r="AO557" s="121"/>
      <c r="AP557" s="121"/>
      <c r="AQ557" s="121"/>
      <c r="AR557" s="121"/>
      <c r="AS557" s="121"/>
      <c r="AT557" s="121"/>
      <c r="AU557" s="121"/>
      <c r="AV557" s="121"/>
      <c r="AW557" s="121"/>
      <c r="AX557" s="121"/>
    </row>
    <row r="558" ht="15.75" customHeight="1">
      <c r="A558" s="231" t="s">
        <v>78</v>
      </c>
      <c r="B558" s="238" t="s">
        <v>3927</v>
      </c>
      <c r="C558" s="28"/>
      <c r="D558" s="28"/>
      <c r="E558" s="28"/>
      <c r="F558" s="28"/>
      <c r="G558" s="28"/>
      <c r="H558" s="28"/>
      <c r="I558" s="28"/>
      <c r="J558" s="28"/>
      <c r="K558" s="28"/>
      <c r="L558" s="28"/>
      <c r="M558" s="28"/>
      <c r="N558" s="28"/>
      <c r="O558" s="120"/>
      <c r="P558" s="120"/>
      <c r="Q558" s="120"/>
      <c r="R558" s="120"/>
      <c r="S558" s="120"/>
      <c r="T558" s="178" t="s">
        <v>8086</v>
      </c>
      <c r="U558" s="120"/>
      <c r="V558" s="120"/>
      <c r="W558" s="120"/>
      <c r="X558" s="120"/>
      <c r="Y558" s="120"/>
      <c r="Z558" s="120"/>
      <c r="AA558" s="120"/>
      <c r="AB558" s="120"/>
      <c r="AC558" s="120"/>
      <c r="AD558" s="120"/>
      <c r="AE558" s="120"/>
      <c r="AF558" s="120"/>
      <c r="AG558" s="120"/>
      <c r="AH558" s="120"/>
      <c r="AI558" s="120"/>
      <c r="AJ558" s="120"/>
      <c r="AK558" s="120"/>
      <c r="AL558" s="120"/>
      <c r="AM558" s="120"/>
      <c r="AN558" s="120"/>
      <c r="AO558" s="121"/>
      <c r="AP558" s="121"/>
      <c r="AQ558" s="121"/>
      <c r="AR558" s="121"/>
      <c r="AS558" s="121"/>
      <c r="AT558" s="121"/>
      <c r="AU558" s="121"/>
      <c r="AV558" s="121"/>
      <c r="AW558" s="121"/>
      <c r="AX558" s="121"/>
    </row>
    <row r="559" ht="15.75" customHeight="1">
      <c r="A559" s="231" t="s">
        <v>78</v>
      </c>
      <c r="B559" s="238" t="s">
        <v>3931</v>
      </c>
      <c r="C559" s="28"/>
      <c r="D559" s="28"/>
      <c r="E559" s="28"/>
      <c r="F559" s="28"/>
      <c r="G559" s="28"/>
      <c r="H559" s="28"/>
      <c r="I559" s="28"/>
      <c r="J559" s="28"/>
      <c r="K559" s="28"/>
      <c r="L559" s="28"/>
      <c r="M559" s="28"/>
      <c r="N559" s="28"/>
      <c r="O559" s="120"/>
      <c r="P559" s="120"/>
      <c r="Q559" s="120"/>
      <c r="R559" s="120"/>
      <c r="S559" s="120"/>
      <c r="T559" s="178" t="s">
        <v>8107</v>
      </c>
      <c r="U559" s="120"/>
      <c r="V559" s="120"/>
      <c r="W559" s="120"/>
      <c r="X559" s="120"/>
      <c r="Y559" s="120"/>
      <c r="Z559" s="120"/>
      <c r="AA559" s="120"/>
      <c r="AB559" s="120"/>
      <c r="AC559" s="120"/>
      <c r="AD559" s="280"/>
      <c r="AE559" s="280"/>
      <c r="AF559" s="280"/>
      <c r="AG559" s="280"/>
      <c r="AH559" s="280"/>
      <c r="AI559" s="280"/>
      <c r="AJ559" s="280"/>
      <c r="AK559" s="280"/>
      <c r="AL559" s="280"/>
      <c r="AM559" s="280"/>
      <c r="AN559" s="280"/>
      <c r="AO559" s="121"/>
      <c r="AP559" s="121"/>
      <c r="AQ559" s="121"/>
      <c r="AR559" s="121"/>
      <c r="AS559" s="121"/>
      <c r="AT559" s="121"/>
      <c r="AU559" s="121"/>
      <c r="AV559" s="121"/>
      <c r="AW559" s="121"/>
      <c r="AX559" s="121"/>
    </row>
    <row r="560" ht="15.75" customHeight="1">
      <c r="A560" s="231" t="s">
        <v>78</v>
      </c>
      <c r="B560" s="238" t="s">
        <v>3937</v>
      </c>
      <c r="C560" s="28"/>
      <c r="D560" s="28"/>
      <c r="E560" s="28"/>
      <c r="F560" s="28"/>
      <c r="G560" s="28"/>
      <c r="H560" s="28"/>
      <c r="I560" s="28"/>
      <c r="J560" s="28"/>
      <c r="K560" s="28"/>
      <c r="L560" s="28"/>
      <c r="M560" s="28"/>
      <c r="N560" s="28"/>
      <c r="O560" s="120"/>
      <c r="P560" s="120"/>
      <c r="Q560" s="120"/>
      <c r="R560" s="120"/>
      <c r="S560" s="120"/>
      <c r="T560" s="178" t="s">
        <v>8136</v>
      </c>
      <c r="U560" s="120"/>
      <c r="V560" s="120"/>
      <c r="W560" s="120"/>
      <c r="X560" s="120"/>
      <c r="Y560" s="120"/>
      <c r="Z560" s="120"/>
      <c r="AA560" s="120"/>
      <c r="AB560" s="120"/>
      <c r="AC560" s="120"/>
      <c r="AD560" s="280"/>
      <c r="AE560" s="280"/>
      <c r="AF560" s="280"/>
      <c r="AG560" s="280"/>
      <c r="AH560" s="280"/>
      <c r="AI560" s="280"/>
      <c r="AJ560" s="280"/>
      <c r="AK560" s="280"/>
      <c r="AL560" s="280"/>
      <c r="AM560" s="280"/>
      <c r="AN560" s="280"/>
      <c r="AO560" s="121"/>
      <c r="AP560" s="121"/>
      <c r="AQ560" s="121"/>
      <c r="AR560" s="121"/>
      <c r="AS560" s="121"/>
      <c r="AT560" s="121"/>
      <c r="AU560" s="121"/>
      <c r="AV560" s="121"/>
      <c r="AW560" s="121"/>
      <c r="AX560" s="121"/>
    </row>
    <row r="561" ht="15.75" customHeight="1">
      <c r="A561" s="231" t="s">
        <v>78</v>
      </c>
      <c r="B561" s="238" t="s">
        <v>3942</v>
      </c>
      <c r="C561" s="28"/>
      <c r="D561" s="28"/>
      <c r="E561" s="28"/>
      <c r="F561" s="28"/>
      <c r="G561" s="28"/>
      <c r="H561" s="28"/>
      <c r="I561" s="28"/>
      <c r="J561" s="28"/>
      <c r="K561" s="28"/>
      <c r="L561" s="28"/>
      <c r="M561" s="28"/>
      <c r="N561" s="28"/>
      <c r="O561" s="120"/>
      <c r="P561" s="120"/>
      <c r="Q561" s="120"/>
      <c r="R561" s="120"/>
      <c r="S561" s="120"/>
      <c r="T561" s="119" t="s">
        <v>8161</v>
      </c>
      <c r="U561" s="120"/>
      <c r="V561" s="120"/>
      <c r="W561" s="120"/>
      <c r="X561" s="120"/>
      <c r="Y561" s="120"/>
      <c r="Z561" s="120"/>
      <c r="AA561" s="120"/>
      <c r="AB561" s="120"/>
      <c r="AC561" s="120"/>
      <c r="AD561" s="280"/>
      <c r="AE561" s="280"/>
      <c r="AF561" s="280"/>
      <c r="AG561" s="280"/>
      <c r="AH561" s="280"/>
      <c r="AI561" s="280"/>
      <c r="AJ561" s="280"/>
      <c r="AK561" s="280"/>
      <c r="AL561" s="280"/>
      <c r="AM561" s="280"/>
      <c r="AN561" s="280"/>
      <c r="AO561" s="121"/>
      <c r="AP561" s="121"/>
      <c r="AQ561" s="121"/>
      <c r="AR561" s="121"/>
      <c r="AS561" s="121"/>
      <c r="AT561" s="121"/>
      <c r="AU561" s="121"/>
      <c r="AV561" s="121"/>
      <c r="AW561" s="121"/>
      <c r="AX561" s="121"/>
    </row>
    <row r="562" ht="15.75" customHeight="1">
      <c r="A562" s="231" t="s">
        <v>78</v>
      </c>
      <c r="B562" s="238" t="s">
        <v>3949</v>
      </c>
      <c r="C562" s="28"/>
      <c r="D562" s="28"/>
      <c r="E562" s="28"/>
      <c r="F562" s="28"/>
      <c r="G562" s="28"/>
      <c r="H562" s="28"/>
      <c r="I562" s="28"/>
      <c r="J562" s="28"/>
      <c r="K562" s="28"/>
      <c r="L562" s="28"/>
      <c r="M562" s="28"/>
      <c r="N562" s="28"/>
      <c r="O562" s="120"/>
      <c r="P562" s="120"/>
      <c r="Q562" s="120"/>
      <c r="R562" s="120"/>
      <c r="S562" s="120"/>
      <c r="T562" s="119" t="s">
        <v>8189</v>
      </c>
      <c r="U562" s="120"/>
      <c r="V562" s="120"/>
      <c r="W562" s="120"/>
      <c r="X562" s="120"/>
      <c r="Y562" s="120"/>
      <c r="Z562" s="120"/>
      <c r="AA562" s="120"/>
      <c r="AB562" s="120"/>
      <c r="AC562" s="120"/>
      <c r="AD562" s="280"/>
      <c r="AE562" s="280"/>
      <c r="AF562" s="280"/>
      <c r="AG562" s="280"/>
      <c r="AH562" s="280"/>
      <c r="AI562" s="280"/>
      <c r="AJ562" s="280"/>
      <c r="AK562" s="280"/>
      <c r="AL562" s="280"/>
      <c r="AM562" s="280"/>
      <c r="AN562" s="280"/>
      <c r="AO562" s="121"/>
      <c r="AP562" s="121"/>
      <c r="AQ562" s="121"/>
      <c r="AR562" s="121"/>
      <c r="AS562" s="121"/>
      <c r="AT562" s="121"/>
      <c r="AU562" s="121"/>
      <c r="AV562" s="121"/>
      <c r="AW562" s="121"/>
      <c r="AX562" s="121"/>
    </row>
    <row r="563" ht="15.75" customHeight="1">
      <c r="A563" s="231" t="s">
        <v>78</v>
      </c>
      <c r="B563" s="238" t="s">
        <v>3958</v>
      </c>
      <c r="C563" s="28"/>
      <c r="D563" s="28"/>
      <c r="E563" s="28"/>
      <c r="F563" s="28"/>
      <c r="G563" s="28"/>
      <c r="H563" s="28"/>
      <c r="I563" s="28"/>
      <c r="J563" s="28"/>
      <c r="K563" s="28"/>
      <c r="L563" s="28"/>
      <c r="M563" s="28"/>
      <c r="N563" s="28"/>
      <c r="O563" s="120"/>
      <c r="P563" s="120"/>
      <c r="Q563" s="120"/>
      <c r="R563" s="120"/>
      <c r="S563" s="120"/>
      <c r="T563" s="119" t="s">
        <v>8207</v>
      </c>
      <c r="U563" s="120"/>
      <c r="V563" s="120"/>
      <c r="W563" s="120"/>
      <c r="X563" s="120"/>
      <c r="Y563" s="120"/>
      <c r="Z563" s="120"/>
      <c r="AA563" s="120"/>
      <c r="AB563" s="120"/>
      <c r="AC563" s="120"/>
      <c r="AD563" s="280"/>
      <c r="AE563" s="280"/>
      <c r="AF563" s="280"/>
      <c r="AG563" s="280"/>
      <c r="AH563" s="280"/>
      <c r="AI563" s="280"/>
      <c r="AJ563" s="280"/>
      <c r="AK563" s="280"/>
      <c r="AL563" s="280"/>
      <c r="AM563" s="280"/>
      <c r="AN563" s="280"/>
      <c r="AO563" s="121"/>
      <c r="AP563" s="121"/>
      <c r="AQ563" s="121"/>
      <c r="AR563" s="121"/>
      <c r="AS563" s="121"/>
      <c r="AT563" s="121"/>
      <c r="AU563" s="121"/>
      <c r="AV563" s="121"/>
      <c r="AW563" s="121"/>
      <c r="AX563" s="121"/>
    </row>
    <row r="564" ht="15.75" customHeight="1">
      <c r="A564" s="237" t="s">
        <v>263</v>
      </c>
      <c r="B564" s="269" t="s">
        <v>3962</v>
      </c>
      <c r="C564" s="28" t="s">
        <v>3970</v>
      </c>
      <c r="D564" s="28" t="s">
        <v>3971</v>
      </c>
      <c r="E564" s="28" t="s">
        <v>3972</v>
      </c>
      <c r="F564" s="28" t="s">
        <v>8217</v>
      </c>
      <c r="G564" s="28" t="s">
        <v>8219</v>
      </c>
      <c r="H564" s="28" t="s">
        <v>8221</v>
      </c>
      <c r="I564" s="28"/>
      <c r="J564" s="28"/>
      <c r="K564" s="28" t="s">
        <v>8223</v>
      </c>
      <c r="L564" s="28"/>
      <c r="M564" s="28"/>
      <c r="N564" s="28"/>
      <c r="O564" s="280"/>
      <c r="P564" s="279"/>
      <c r="Q564" s="279" t="s">
        <v>145</v>
      </c>
      <c r="R564" s="280"/>
      <c r="S564" s="280"/>
      <c r="T564" s="173"/>
      <c r="U564" s="280"/>
      <c r="V564" s="280"/>
      <c r="W564" s="280"/>
      <c r="X564" s="280"/>
      <c r="Y564" s="280"/>
      <c r="Z564" s="280"/>
      <c r="AA564" s="280"/>
      <c r="AB564" s="280"/>
      <c r="AC564" s="280"/>
      <c r="AD564" s="280"/>
      <c r="AE564" s="280"/>
      <c r="AF564" s="280"/>
      <c r="AG564" s="280"/>
      <c r="AH564" s="280"/>
      <c r="AI564" s="280"/>
      <c r="AJ564" s="280"/>
      <c r="AK564" s="280"/>
      <c r="AL564" s="280"/>
      <c r="AM564" s="280"/>
      <c r="AN564" s="280"/>
      <c r="AO564" s="121"/>
      <c r="AP564" s="121"/>
      <c r="AQ564" s="121"/>
      <c r="AR564" s="121"/>
      <c r="AS564" s="121"/>
      <c r="AT564" s="121"/>
      <c r="AU564" s="121"/>
      <c r="AV564" s="121"/>
      <c r="AW564" s="121"/>
      <c r="AX564" s="121"/>
    </row>
    <row r="565" ht="15.75" customHeight="1">
      <c r="A565" s="68" t="s">
        <v>463</v>
      </c>
      <c r="B565" s="169" t="s">
        <v>3973</v>
      </c>
      <c r="C565" s="28" t="s">
        <v>3977</v>
      </c>
      <c r="D565" s="28" t="s">
        <v>3978</v>
      </c>
      <c r="E565" s="28" t="s">
        <v>3979</v>
      </c>
      <c r="F565" s="28"/>
      <c r="G565" s="28"/>
      <c r="H565" s="28"/>
      <c r="I565" s="28"/>
      <c r="J565" s="28"/>
      <c r="K565" s="28"/>
      <c r="L565" s="28"/>
      <c r="M565" s="28"/>
      <c r="N565" s="28"/>
      <c r="O565" s="67"/>
      <c r="P565" s="67"/>
      <c r="Q565" s="67" t="s">
        <v>145</v>
      </c>
      <c r="R565" s="67"/>
      <c r="S565" s="67"/>
      <c r="T565" s="67"/>
      <c r="U565" s="67"/>
      <c r="V565" s="67"/>
      <c r="W565" s="67"/>
      <c r="X565" s="67"/>
      <c r="Y565" s="67"/>
      <c r="Z565" s="67"/>
      <c r="AA565" s="67"/>
      <c r="AB565" s="67"/>
      <c r="AC565" s="67"/>
      <c r="AD565" s="67"/>
      <c r="AE565" s="67"/>
      <c r="AF565" s="67"/>
      <c r="AG565" s="67"/>
      <c r="AH565" s="67"/>
      <c r="AI565" s="67"/>
      <c r="AJ565" s="67"/>
      <c r="AK565" s="67"/>
      <c r="AL565" s="67"/>
      <c r="AM565" s="67"/>
      <c r="AN565" s="67"/>
      <c r="AO565" s="70"/>
      <c r="AP565" s="70"/>
      <c r="AQ565" s="70"/>
      <c r="AR565" s="70"/>
      <c r="AS565" s="70"/>
      <c r="AT565" s="70"/>
      <c r="AU565" s="70"/>
      <c r="AV565" s="70"/>
      <c r="AW565" s="70"/>
      <c r="AX565" s="70"/>
    </row>
    <row r="566" ht="15.75" customHeight="1">
      <c r="A566" s="68" t="s">
        <v>463</v>
      </c>
      <c r="B566" s="169" t="s">
        <v>3980</v>
      </c>
      <c r="C566" s="28" t="s">
        <v>3985</v>
      </c>
      <c r="D566" s="28" t="s">
        <v>3986</v>
      </c>
      <c r="E566" s="28" t="s">
        <v>3987</v>
      </c>
      <c r="F566" s="28"/>
      <c r="G566" s="28"/>
      <c r="H566" s="28"/>
      <c r="I566" s="28"/>
      <c r="J566" s="28"/>
      <c r="K566" s="28"/>
      <c r="L566" s="28"/>
      <c r="M566" s="28"/>
      <c r="N566" s="28"/>
      <c r="O566" s="67"/>
      <c r="P566" s="67"/>
      <c r="Q566" s="67" t="s">
        <v>145</v>
      </c>
      <c r="R566" s="67"/>
      <c r="S566" s="67"/>
      <c r="T566" s="67"/>
      <c r="U566" s="67"/>
      <c r="V566" s="67"/>
      <c r="W566" s="67"/>
      <c r="X566" s="67"/>
      <c r="Y566" s="67"/>
      <c r="Z566" s="67"/>
      <c r="AA566" s="67"/>
      <c r="AB566" s="67"/>
      <c r="AC566" s="67"/>
      <c r="AD566" s="67"/>
      <c r="AE566" s="67"/>
      <c r="AF566" s="67"/>
      <c r="AG566" s="67"/>
      <c r="AH566" s="67"/>
      <c r="AI566" s="67"/>
      <c r="AJ566" s="67"/>
      <c r="AK566" s="67"/>
      <c r="AL566" s="67"/>
      <c r="AM566" s="67"/>
      <c r="AN566" s="67"/>
      <c r="AO566" s="70"/>
      <c r="AP566" s="70"/>
      <c r="AQ566" s="70"/>
      <c r="AR566" s="70"/>
      <c r="AS566" s="70"/>
      <c r="AT566" s="70"/>
      <c r="AU566" s="70"/>
      <c r="AV566" s="70"/>
      <c r="AW566" s="70"/>
      <c r="AX566" s="70"/>
    </row>
    <row r="567" ht="15.75" customHeight="1">
      <c r="A567" s="68" t="s">
        <v>3988</v>
      </c>
      <c r="B567" s="169" t="s">
        <v>3989</v>
      </c>
      <c r="C567" s="28" t="s">
        <v>3997</v>
      </c>
      <c r="D567" s="28" t="s">
        <v>3998</v>
      </c>
      <c r="E567" s="28" t="s">
        <v>3999</v>
      </c>
      <c r="F567" s="28"/>
      <c r="G567" s="28"/>
      <c r="H567" s="28"/>
      <c r="I567" s="28"/>
      <c r="J567" s="28"/>
      <c r="K567" s="28"/>
      <c r="L567" s="28"/>
      <c r="M567" s="28"/>
      <c r="N567" s="28"/>
      <c r="O567" s="67" t="s">
        <v>8297</v>
      </c>
      <c r="P567" s="67"/>
      <c r="Q567" s="67" t="s">
        <v>145</v>
      </c>
      <c r="R567" s="67"/>
      <c r="S567" s="67"/>
      <c r="T567" s="67"/>
      <c r="U567" s="67"/>
      <c r="V567" s="67"/>
      <c r="W567" s="67"/>
      <c r="X567" s="67"/>
      <c r="Y567" s="67"/>
      <c r="Z567" s="67"/>
      <c r="AA567" s="67"/>
      <c r="AB567" s="67"/>
      <c r="AC567" s="67"/>
      <c r="AD567" s="67"/>
      <c r="AE567" s="67"/>
      <c r="AF567" s="67"/>
      <c r="AG567" s="67"/>
      <c r="AH567" s="67"/>
      <c r="AI567" s="67"/>
      <c r="AJ567" s="67"/>
      <c r="AK567" s="67"/>
      <c r="AL567" s="67"/>
      <c r="AM567" s="67"/>
      <c r="AN567" s="67"/>
      <c r="AO567" s="70"/>
      <c r="AP567" s="70"/>
      <c r="AQ567" s="70"/>
      <c r="AR567" s="70"/>
      <c r="AS567" s="70"/>
      <c r="AT567" s="70"/>
      <c r="AU567" s="70"/>
      <c r="AV567" s="70"/>
      <c r="AW567" s="70"/>
      <c r="AX567" s="70"/>
    </row>
    <row r="568" ht="15.75" customHeight="1">
      <c r="A568" s="179" t="s">
        <v>246</v>
      </c>
      <c r="B568" s="180" t="s">
        <v>4000</v>
      </c>
      <c r="C568" s="28" t="s">
        <v>4004</v>
      </c>
      <c r="D568" s="28" t="s">
        <v>4005</v>
      </c>
      <c r="E568" s="28" t="s">
        <v>4006</v>
      </c>
      <c r="F568" s="28"/>
      <c r="G568" s="28"/>
      <c r="H568" s="28"/>
      <c r="I568" s="28"/>
      <c r="J568" s="28"/>
      <c r="K568" s="28"/>
      <c r="L568" s="28"/>
      <c r="M568" s="28"/>
      <c r="N568" s="28"/>
      <c r="O568" s="181" t="s">
        <v>8325</v>
      </c>
      <c r="P568" s="181"/>
      <c r="Q568" s="181" t="s">
        <v>145</v>
      </c>
      <c r="R568" s="181"/>
      <c r="S568" s="181"/>
      <c r="T568" s="181"/>
      <c r="U568" s="181"/>
      <c r="V568" s="181"/>
      <c r="W568" s="181"/>
      <c r="X568" s="181"/>
      <c r="Y568" s="181"/>
      <c r="Z568" s="181"/>
      <c r="AA568" s="181"/>
      <c r="AB568" s="181"/>
      <c r="AC568" s="181"/>
      <c r="AD568" s="181"/>
      <c r="AE568" s="181"/>
      <c r="AF568" s="181"/>
      <c r="AG568" s="181"/>
      <c r="AH568" s="181"/>
      <c r="AI568" s="181"/>
      <c r="AJ568" s="181"/>
      <c r="AK568" s="181"/>
      <c r="AL568" s="181"/>
      <c r="AM568" s="181"/>
      <c r="AN568" s="181"/>
      <c r="AO568" s="70"/>
      <c r="AP568" s="70"/>
      <c r="AQ568" s="70"/>
      <c r="AR568" s="70"/>
      <c r="AS568" s="70"/>
      <c r="AT568" s="70"/>
      <c r="AU568" s="70"/>
      <c r="AV568" s="70"/>
      <c r="AW568" s="70"/>
      <c r="AX568" s="70"/>
    </row>
    <row r="569" ht="15.75" customHeight="1">
      <c r="A569" s="170" t="s">
        <v>263</v>
      </c>
      <c r="B569" s="171" t="s">
        <v>4007</v>
      </c>
      <c r="C569" s="28" t="s">
        <v>4014</v>
      </c>
      <c r="D569" s="28" t="s">
        <v>4015</v>
      </c>
      <c r="E569" s="28" t="s">
        <v>4016</v>
      </c>
      <c r="F569" s="28"/>
      <c r="G569" s="28"/>
      <c r="H569" s="28"/>
      <c r="I569" s="28"/>
      <c r="J569" s="28"/>
      <c r="K569" s="28" t="s">
        <v>8346</v>
      </c>
      <c r="L569" s="28"/>
      <c r="M569" s="28"/>
      <c r="N569" s="28"/>
      <c r="O569" s="173" t="s">
        <v>8347</v>
      </c>
      <c r="P569" s="173"/>
      <c r="Q569" s="173" t="s">
        <v>145</v>
      </c>
      <c r="R569" s="173"/>
      <c r="S569" s="173"/>
      <c r="T569" s="173"/>
      <c r="U569" s="173"/>
      <c r="V569" s="173"/>
      <c r="W569" s="173"/>
      <c r="X569" s="173"/>
      <c r="Y569" s="173"/>
      <c r="Z569" s="173"/>
      <c r="AA569" s="173"/>
      <c r="AB569" s="173"/>
      <c r="AC569" s="173"/>
      <c r="AD569" s="173"/>
      <c r="AE569" s="173"/>
      <c r="AF569" s="173"/>
      <c r="AG569" s="173"/>
      <c r="AH569" s="173"/>
      <c r="AI569" s="173"/>
      <c r="AJ569" s="173"/>
      <c r="AK569" s="173"/>
      <c r="AL569" s="173"/>
      <c r="AM569" s="173"/>
      <c r="AN569" s="173"/>
      <c r="AO569" s="70"/>
      <c r="AP569" s="70"/>
      <c r="AQ569" s="70"/>
      <c r="AR569" s="70"/>
      <c r="AS569" s="70"/>
      <c r="AT569" s="70"/>
      <c r="AU569" s="70"/>
      <c r="AV569" s="70"/>
      <c r="AW569" s="70"/>
      <c r="AX569" s="70"/>
    </row>
    <row r="570" ht="15.75" customHeight="1">
      <c r="A570" s="65" t="s">
        <v>134</v>
      </c>
      <c r="B570" s="66" t="s">
        <v>4017</v>
      </c>
      <c r="C570" s="28"/>
      <c r="D570" s="28"/>
      <c r="E570" s="28"/>
      <c r="F570" s="28"/>
      <c r="G570" s="28"/>
      <c r="H570" s="28"/>
      <c r="I570" s="28"/>
      <c r="J570" s="28"/>
      <c r="K570" s="28"/>
      <c r="L570" s="28"/>
      <c r="M570" s="28"/>
      <c r="N570" s="28"/>
      <c r="O570" s="67"/>
      <c r="P570" s="68"/>
      <c r="Q570" s="68"/>
      <c r="R570" s="67"/>
      <c r="S570" s="67"/>
      <c r="T570" s="65" t="s">
        <v>139</v>
      </c>
      <c r="U570" s="67"/>
      <c r="V570" s="67"/>
      <c r="W570" s="67"/>
      <c r="X570" s="67"/>
      <c r="Y570" s="67"/>
      <c r="Z570" s="67"/>
      <c r="AA570" s="67"/>
      <c r="AB570" s="67"/>
      <c r="AC570" s="67"/>
      <c r="AD570" s="67"/>
      <c r="AE570" s="67"/>
      <c r="AF570" s="67"/>
      <c r="AG570" s="67"/>
      <c r="AH570" s="67"/>
      <c r="AI570" s="67"/>
      <c r="AJ570" s="67"/>
      <c r="AK570" s="67"/>
      <c r="AL570" s="67"/>
      <c r="AM570" s="67"/>
      <c r="AN570" s="67"/>
      <c r="AO570" s="67"/>
      <c r="AP570" s="67"/>
      <c r="AQ570" s="67"/>
      <c r="AR570" s="67"/>
      <c r="AS570" s="67"/>
      <c r="AT570" s="67"/>
      <c r="AU570" s="67"/>
      <c r="AV570" s="67"/>
      <c r="AW570" s="67"/>
      <c r="AX570" s="67"/>
    </row>
    <row r="571" ht="15.75" customHeight="1">
      <c r="A571" s="174" t="s">
        <v>698</v>
      </c>
      <c r="B571" s="175" t="s">
        <v>4021</v>
      </c>
      <c r="C571" s="28" t="s">
        <v>4022</v>
      </c>
      <c r="D571" s="28" t="s">
        <v>4023</v>
      </c>
      <c r="E571" s="28" t="s">
        <v>4024</v>
      </c>
      <c r="F571" s="28"/>
      <c r="G571" s="28"/>
      <c r="H571" s="28"/>
      <c r="I571" s="28"/>
      <c r="J571" s="28"/>
      <c r="K571" s="28"/>
      <c r="L571" s="28"/>
      <c r="M571" s="28"/>
      <c r="N571" s="28"/>
      <c r="O571" s="177" t="s">
        <v>8347</v>
      </c>
      <c r="P571" s="176"/>
      <c r="Q571" s="176"/>
      <c r="R571" s="176"/>
      <c r="S571" s="176"/>
      <c r="T571" s="176"/>
      <c r="U571" s="177" t="s">
        <v>8379</v>
      </c>
      <c r="V571" s="176"/>
      <c r="W571" s="176"/>
      <c r="X571" s="176"/>
      <c r="Y571" s="176"/>
      <c r="Z571" s="176"/>
      <c r="AA571" s="176"/>
      <c r="AB571" s="176"/>
      <c r="AC571" s="176"/>
      <c r="AD571" s="176"/>
      <c r="AE571" s="176"/>
      <c r="AF571" s="176"/>
      <c r="AG571" s="176"/>
      <c r="AH571" s="176"/>
      <c r="AI571" s="176"/>
      <c r="AJ571" s="176"/>
      <c r="AK571" s="176"/>
      <c r="AL571" s="176"/>
      <c r="AM571" s="176"/>
      <c r="AN571" s="176"/>
      <c r="AO571" s="70"/>
      <c r="AP571" s="70"/>
      <c r="AQ571" s="70"/>
      <c r="AR571" s="70"/>
      <c r="AS571" s="70"/>
      <c r="AT571" s="70"/>
      <c r="AU571" s="70"/>
      <c r="AV571" s="70"/>
      <c r="AW571" s="70"/>
      <c r="AX571" s="70"/>
    </row>
    <row r="572" ht="15.75" customHeight="1">
      <c r="A572" s="90" t="s">
        <v>134</v>
      </c>
      <c r="B572" s="92" t="s">
        <v>4029</v>
      </c>
      <c r="C572" s="28"/>
      <c r="D572" s="28"/>
      <c r="E572" s="28"/>
      <c r="F572" s="28"/>
      <c r="G572" s="28"/>
      <c r="H572" s="28"/>
      <c r="I572" s="28"/>
      <c r="J572" s="28"/>
      <c r="K572" s="28"/>
      <c r="L572" s="28"/>
      <c r="M572" s="28"/>
      <c r="N572" s="28"/>
      <c r="O572" s="96"/>
      <c r="P572" s="96"/>
      <c r="Q572" s="96"/>
      <c r="R572" s="96"/>
      <c r="S572" s="96"/>
      <c r="T572" s="178" t="s">
        <v>719</v>
      </c>
      <c r="U572" s="96"/>
      <c r="V572" s="96"/>
      <c r="W572" s="96"/>
      <c r="X572" s="96"/>
      <c r="Y572" s="96"/>
      <c r="Z572" s="96"/>
      <c r="AA572" s="96"/>
      <c r="AB572" s="96"/>
      <c r="AC572" s="96"/>
      <c r="AD572" s="67"/>
      <c r="AE572" s="67"/>
      <c r="AF572" s="67"/>
      <c r="AG572" s="67"/>
      <c r="AH572" s="67"/>
      <c r="AI572" s="67"/>
      <c r="AJ572" s="67"/>
      <c r="AK572" s="67"/>
      <c r="AL572" s="67"/>
      <c r="AM572" s="67"/>
      <c r="AN572" s="67"/>
      <c r="AO572" s="70"/>
      <c r="AP572" s="70"/>
      <c r="AQ572" s="70"/>
      <c r="AR572" s="70"/>
      <c r="AS572" s="70"/>
      <c r="AT572" s="70"/>
      <c r="AU572" s="70"/>
      <c r="AV572" s="70"/>
      <c r="AW572" s="70"/>
      <c r="AX572" s="70"/>
    </row>
    <row r="573" ht="15.75" customHeight="1">
      <c r="A573" s="68" t="s">
        <v>4036</v>
      </c>
      <c r="B573" s="169" t="s">
        <v>4037</v>
      </c>
      <c r="C573" s="28" t="s">
        <v>4041</v>
      </c>
      <c r="D573" s="28" t="s">
        <v>4042</v>
      </c>
      <c r="E573" s="28" t="s">
        <v>4043</v>
      </c>
      <c r="F573" s="28" t="s">
        <v>7285</v>
      </c>
      <c r="G573" s="28" t="s">
        <v>7286</v>
      </c>
      <c r="H573" s="28" t="s">
        <v>7288</v>
      </c>
      <c r="I573" s="28"/>
      <c r="J573" s="28"/>
      <c r="K573" s="28"/>
      <c r="L573" s="28"/>
      <c r="M573" s="28"/>
      <c r="N573" s="28"/>
      <c r="O573" s="67"/>
      <c r="P573" s="67"/>
      <c r="Q573" s="67" t="s">
        <v>145</v>
      </c>
      <c r="R573" s="67"/>
      <c r="S573" s="67"/>
      <c r="T573" s="67"/>
      <c r="U573" s="67"/>
      <c r="V573" s="67"/>
      <c r="W573" s="67"/>
      <c r="X573" s="67"/>
      <c r="Y573" s="67"/>
      <c r="Z573" s="67"/>
      <c r="AA573" s="67"/>
      <c r="AB573" s="67"/>
      <c r="AC573" s="67"/>
      <c r="AD573" s="67"/>
      <c r="AE573" s="67"/>
      <c r="AF573" s="67"/>
      <c r="AG573" s="67"/>
      <c r="AH573" s="67"/>
      <c r="AI573" s="67"/>
      <c r="AJ573" s="67"/>
      <c r="AK573" s="67"/>
      <c r="AL573" s="67"/>
      <c r="AM573" s="67"/>
      <c r="AN573" s="67"/>
      <c r="AO573" s="70"/>
      <c r="AP573" s="70"/>
      <c r="AQ573" s="70"/>
      <c r="AR573" s="70"/>
      <c r="AS573" s="70"/>
      <c r="AT573" s="70"/>
      <c r="AU573" s="70"/>
      <c r="AV573" s="70"/>
      <c r="AW573" s="70"/>
      <c r="AX573" s="70"/>
    </row>
    <row r="574" ht="15.75" customHeight="1">
      <c r="A574" s="179" t="s">
        <v>246</v>
      </c>
      <c r="B574" s="180" t="s">
        <v>4045</v>
      </c>
      <c r="C574" s="28" t="s">
        <v>4051</v>
      </c>
      <c r="D574" s="28" t="s">
        <v>4052</v>
      </c>
      <c r="E574" s="28" t="s">
        <v>4053</v>
      </c>
      <c r="F574" s="28"/>
      <c r="G574" s="28"/>
      <c r="H574" s="28"/>
      <c r="I574" s="28"/>
      <c r="J574" s="28"/>
      <c r="K574" s="28"/>
      <c r="L574" s="28"/>
      <c r="M574" s="28"/>
      <c r="N574" s="28"/>
      <c r="O574" s="181" t="s">
        <v>8423</v>
      </c>
      <c r="P574" s="181"/>
      <c r="Q574" s="181" t="s">
        <v>145</v>
      </c>
      <c r="R574" s="181"/>
      <c r="S574" s="181"/>
      <c r="T574" s="181"/>
      <c r="U574" s="181"/>
      <c r="V574" s="181"/>
      <c r="W574" s="181"/>
      <c r="X574" s="181"/>
      <c r="Y574" s="181"/>
      <c r="Z574" s="181"/>
      <c r="AA574" s="181"/>
      <c r="AB574" s="181"/>
      <c r="AC574" s="181"/>
      <c r="AD574" s="181"/>
      <c r="AE574" s="181"/>
      <c r="AF574" s="181"/>
      <c r="AG574" s="181"/>
      <c r="AH574" s="181"/>
      <c r="AI574" s="181"/>
      <c r="AJ574" s="181"/>
      <c r="AK574" s="181"/>
      <c r="AL574" s="181"/>
      <c r="AM574" s="181"/>
      <c r="AN574" s="181"/>
      <c r="AO574" s="70"/>
      <c r="AP574" s="70"/>
      <c r="AQ574" s="70"/>
      <c r="AR574" s="70"/>
      <c r="AS574" s="70"/>
      <c r="AT574" s="70"/>
      <c r="AU574" s="70"/>
      <c r="AV574" s="70"/>
      <c r="AW574" s="70"/>
      <c r="AX574" s="70"/>
    </row>
    <row r="575" ht="15.75" customHeight="1">
      <c r="A575" s="90" t="s">
        <v>78</v>
      </c>
      <c r="B575" s="92" t="s">
        <v>4054</v>
      </c>
      <c r="C575" s="28"/>
      <c r="D575" s="28"/>
      <c r="E575" s="28"/>
      <c r="F575" s="28"/>
      <c r="G575" s="28"/>
      <c r="H575" s="28"/>
      <c r="I575" s="28"/>
      <c r="J575" s="28"/>
      <c r="K575" s="28"/>
      <c r="L575" s="28"/>
      <c r="M575" s="28"/>
      <c r="N575" s="28"/>
      <c r="O575" s="96"/>
      <c r="P575" s="96"/>
      <c r="Q575" s="96"/>
      <c r="R575" s="96"/>
      <c r="S575" s="96"/>
      <c r="T575" s="178" t="s">
        <v>8439</v>
      </c>
      <c r="U575" s="96"/>
      <c r="V575" s="96"/>
      <c r="W575" s="96"/>
      <c r="X575" s="96"/>
      <c r="Y575" s="96"/>
      <c r="Z575" s="96"/>
      <c r="AA575" s="96"/>
      <c r="AB575" s="96"/>
      <c r="AC575" s="96"/>
      <c r="AD575" s="96"/>
      <c r="AE575" s="96"/>
      <c r="AF575" s="96"/>
      <c r="AG575" s="96"/>
      <c r="AH575" s="96"/>
      <c r="AI575" s="96"/>
      <c r="AJ575" s="96"/>
      <c r="AK575" s="96"/>
      <c r="AL575" s="96"/>
      <c r="AM575" s="96"/>
      <c r="AN575" s="96"/>
      <c r="AO575" s="70"/>
      <c r="AP575" s="70"/>
      <c r="AQ575" s="70"/>
      <c r="AR575" s="70"/>
      <c r="AS575" s="70"/>
      <c r="AT575" s="70"/>
      <c r="AU575" s="70"/>
      <c r="AV575" s="70"/>
      <c r="AW575" s="70"/>
      <c r="AX575" s="70"/>
    </row>
    <row r="576" ht="15.75" customHeight="1">
      <c r="A576" s="68" t="s">
        <v>463</v>
      </c>
      <c r="B576" s="169" t="s">
        <v>4055</v>
      </c>
      <c r="C576" s="28" t="s">
        <v>4061</v>
      </c>
      <c r="D576" s="28" t="s">
        <v>4062</v>
      </c>
      <c r="E576" s="28" t="s">
        <v>4064</v>
      </c>
      <c r="F576" s="28" t="s">
        <v>8447</v>
      </c>
      <c r="G576" s="28" t="s">
        <v>8448</v>
      </c>
      <c r="H576" s="28" t="s">
        <v>8449</v>
      </c>
      <c r="I576" s="28"/>
      <c r="J576" s="28"/>
      <c r="K576" s="28"/>
      <c r="L576" s="28"/>
      <c r="M576" s="28"/>
      <c r="N576" s="28"/>
      <c r="O576" s="67"/>
      <c r="P576" s="67"/>
      <c r="Q576" s="67" t="s">
        <v>145</v>
      </c>
      <c r="R576" s="67"/>
      <c r="S576" s="67"/>
      <c r="T576" s="67"/>
      <c r="U576" s="67"/>
      <c r="V576" s="67"/>
      <c r="W576" s="67"/>
      <c r="X576" s="67"/>
      <c r="Y576" s="67"/>
      <c r="Z576" s="67"/>
      <c r="AA576" s="67"/>
      <c r="AB576" s="67"/>
      <c r="AC576" s="67"/>
      <c r="AD576" s="67"/>
      <c r="AE576" s="67"/>
      <c r="AF576" s="67"/>
      <c r="AG576" s="67"/>
      <c r="AH576" s="67"/>
      <c r="AI576" s="67"/>
      <c r="AJ576" s="67"/>
      <c r="AK576" s="67"/>
      <c r="AL576" s="67"/>
      <c r="AM576" s="67"/>
      <c r="AN576" s="67"/>
      <c r="AO576" s="70"/>
      <c r="AP576" s="70"/>
      <c r="AQ576" s="70"/>
      <c r="AR576" s="70"/>
      <c r="AS576" s="70"/>
      <c r="AT576" s="70"/>
      <c r="AU576" s="70"/>
      <c r="AV576" s="70"/>
      <c r="AW576" s="70"/>
      <c r="AX576" s="70"/>
    </row>
    <row r="577" ht="15.75" customHeight="1">
      <c r="A577" s="68" t="s">
        <v>4065</v>
      </c>
      <c r="B577" s="169" t="s">
        <v>4066</v>
      </c>
      <c r="C577" s="28" t="s">
        <v>4070</v>
      </c>
      <c r="D577" s="28" t="s">
        <v>4071</v>
      </c>
      <c r="E577" s="28" t="s">
        <v>4072</v>
      </c>
      <c r="F577" s="28" t="s">
        <v>7285</v>
      </c>
      <c r="G577" s="28" t="s">
        <v>7286</v>
      </c>
      <c r="H577" s="28" t="s">
        <v>7288</v>
      </c>
      <c r="I577" s="28"/>
      <c r="J577" s="28"/>
      <c r="K577" s="28"/>
      <c r="L577" s="28"/>
      <c r="M577" s="28"/>
      <c r="N577" s="28"/>
      <c r="O577" s="67" t="s">
        <v>8454</v>
      </c>
      <c r="P577" s="67"/>
      <c r="Q577" s="67" t="s">
        <v>145</v>
      </c>
      <c r="R577" s="67"/>
      <c r="S577" s="67"/>
      <c r="T577" s="67"/>
      <c r="U577" s="67"/>
      <c r="V577" s="67"/>
      <c r="W577" s="67"/>
      <c r="X577" s="67"/>
      <c r="Y577" s="67"/>
      <c r="Z577" s="67"/>
      <c r="AA577" s="67"/>
      <c r="AB577" s="67"/>
      <c r="AC577" s="67"/>
      <c r="AD577" s="67"/>
      <c r="AE577" s="67"/>
      <c r="AF577" s="67"/>
      <c r="AG577" s="67"/>
      <c r="AH577" s="67"/>
      <c r="AI577" s="67"/>
      <c r="AJ577" s="67"/>
      <c r="AK577" s="67"/>
      <c r="AL577" s="67"/>
      <c r="AM577" s="67"/>
      <c r="AN577" s="67"/>
      <c r="AO577" s="70"/>
      <c r="AP577" s="70"/>
      <c r="AQ577" s="70"/>
      <c r="AR577" s="70"/>
      <c r="AS577" s="70"/>
      <c r="AT577" s="70"/>
      <c r="AU577" s="70"/>
      <c r="AV577" s="70"/>
      <c r="AW577" s="70"/>
      <c r="AX577" s="70"/>
    </row>
    <row r="578" ht="15.75" customHeight="1">
      <c r="A578" s="179" t="s">
        <v>246</v>
      </c>
      <c r="B578" s="180" t="s">
        <v>4073</v>
      </c>
      <c r="C578" s="28" t="s">
        <v>4077</v>
      </c>
      <c r="D578" s="28" t="s">
        <v>4078</v>
      </c>
      <c r="E578" s="28" t="s">
        <v>4079</v>
      </c>
      <c r="F578" s="28"/>
      <c r="G578" s="28"/>
      <c r="H578" s="28"/>
      <c r="I578" s="28"/>
      <c r="J578" s="28"/>
      <c r="K578" s="28"/>
      <c r="L578" s="28"/>
      <c r="M578" s="28"/>
      <c r="N578" s="28"/>
      <c r="O578" s="181" t="s">
        <v>8463</v>
      </c>
      <c r="P578" s="181"/>
      <c r="Q578" s="181" t="s">
        <v>145</v>
      </c>
      <c r="R578" s="181"/>
      <c r="S578" s="181"/>
      <c r="T578" s="181"/>
      <c r="U578" s="181"/>
      <c r="V578" s="181"/>
      <c r="W578" s="181"/>
      <c r="X578" s="181"/>
      <c r="Y578" s="181"/>
      <c r="Z578" s="181"/>
      <c r="AA578" s="181"/>
      <c r="AB578" s="181"/>
      <c r="AC578" s="181"/>
      <c r="AD578" s="181"/>
      <c r="AE578" s="181"/>
      <c r="AF578" s="181"/>
      <c r="AG578" s="181"/>
      <c r="AH578" s="181"/>
      <c r="AI578" s="181"/>
      <c r="AJ578" s="181"/>
      <c r="AK578" s="181"/>
      <c r="AL578" s="181"/>
      <c r="AM578" s="181"/>
      <c r="AN578" s="181"/>
      <c r="AO578" s="70"/>
      <c r="AP578" s="70"/>
      <c r="AQ578" s="70"/>
      <c r="AR578" s="70"/>
      <c r="AS578" s="70"/>
      <c r="AT578" s="70"/>
      <c r="AU578" s="70"/>
      <c r="AV578" s="70"/>
      <c r="AW578" s="70"/>
      <c r="AX578" s="70"/>
    </row>
    <row r="579" ht="15.75" customHeight="1">
      <c r="A579" s="174" t="s">
        <v>1015</v>
      </c>
      <c r="B579" s="204" t="s">
        <v>4021</v>
      </c>
      <c r="C579" s="28" t="s">
        <v>4022</v>
      </c>
      <c r="D579" s="28" t="s">
        <v>4023</v>
      </c>
      <c r="E579" s="28" t="s">
        <v>4024</v>
      </c>
      <c r="F579" s="28"/>
      <c r="G579" s="28"/>
      <c r="H579" s="28"/>
      <c r="I579" s="28"/>
      <c r="J579" s="28"/>
      <c r="K579" s="28"/>
      <c r="L579" s="28"/>
      <c r="M579" s="28"/>
      <c r="N579" s="28"/>
      <c r="O579" s="176"/>
      <c r="P579" s="176"/>
      <c r="Q579" s="176"/>
      <c r="R579" s="176"/>
      <c r="S579" s="176"/>
      <c r="T579" s="176"/>
      <c r="U579" s="176"/>
      <c r="V579" s="176"/>
      <c r="W579" s="176"/>
      <c r="X579" s="176"/>
      <c r="Y579" s="176"/>
      <c r="Z579" s="176"/>
      <c r="AA579" s="176"/>
      <c r="AB579" s="176"/>
      <c r="AC579" s="176"/>
      <c r="AD579" s="176"/>
      <c r="AE579" s="176"/>
      <c r="AF579" s="176"/>
      <c r="AG579" s="176"/>
      <c r="AH579" s="176"/>
      <c r="AI579" s="176"/>
      <c r="AJ579" s="176"/>
      <c r="AK579" s="176"/>
      <c r="AL579" s="176"/>
      <c r="AM579" s="176"/>
      <c r="AN579" s="176"/>
      <c r="AO579" s="70"/>
      <c r="AP579" s="70"/>
      <c r="AQ579" s="70"/>
      <c r="AR579" s="70"/>
      <c r="AS579" s="70"/>
      <c r="AT579" s="70"/>
      <c r="AU579" s="70"/>
      <c r="AV579" s="70"/>
      <c r="AW579" s="70"/>
      <c r="AX579" s="70"/>
    </row>
    <row r="580" ht="15.75" customHeight="1">
      <c r="A580" s="65" t="s">
        <v>134</v>
      </c>
      <c r="B580" s="66" t="s">
        <v>4080</v>
      </c>
      <c r="C580" s="28"/>
      <c r="D580" s="28"/>
      <c r="E580" s="28"/>
      <c r="F580" s="28"/>
      <c r="G580" s="28"/>
      <c r="H580" s="28"/>
      <c r="I580" s="28"/>
      <c r="J580" s="28"/>
      <c r="K580" s="28"/>
      <c r="L580" s="28"/>
      <c r="M580" s="28"/>
      <c r="N580" s="28"/>
      <c r="O580" s="67"/>
      <c r="P580" s="68"/>
      <c r="Q580" s="68"/>
      <c r="R580" s="67"/>
      <c r="S580" s="67"/>
      <c r="T580" s="65" t="s">
        <v>139</v>
      </c>
      <c r="U580" s="67"/>
      <c r="V580" s="67"/>
      <c r="W580" s="67"/>
      <c r="X580" s="67"/>
      <c r="Y580" s="67"/>
      <c r="Z580" s="67"/>
      <c r="AA580" s="67"/>
      <c r="AB580" s="67"/>
      <c r="AC580" s="67"/>
      <c r="AD580" s="67"/>
      <c r="AE580" s="67"/>
      <c r="AF580" s="67"/>
      <c r="AG580" s="67"/>
      <c r="AH580" s="67"/>
      <c r="AI580" s="67"/>
      <c r="AJ580" s="67"/>
      <c r="AK580" s="67"/>
      <c r="AL580" s="67"/>
      <c r="AM580" s="67"/>
      <c r="AN580" s="67"/>
      <c r="AO580" s="67"/>
      <c r="AP580" s="67"/>
      <c r="AQ580" s="67"/>
      <c r="AR580" s="67"/>
      <c r="AS580" s="67"/>
      <c r="AT580" s="67"/>
      <c r="AU580" s="67"/>
      <c r="AV580" s="67"/>
      <c r="AW580" s="67"/>
      <c r="AX580" s="67"/>
    </row>
    <row r="581" ht="15.75" customHeight="1">
      <c r="A581" s="58" t="s">
        <v>78</v>
      </c>
      <c r="B581" s="58" t="s">
        <v>4081</v>
      </c>
      <c r="C581" s="28"/>
      <c r="D581" s="28"/>
      <c r="E581" s="28"/>
      <c r="F581" s="28"/>
      <c r="G581" s="28"/>
      <c r="H581" s="28"/>
      <c r="I581" s="28"/>
      <c r="J581" s="28"/>
      <c r="K581" s="28"/>
      <c r="L581" s="28"/>
      <c r="M581" s="28"/>
      <c r="N581" s="28"/>
      <c r="O581" s="58"/>
      <c r="P581" s="24"/>
      <c r="Q581" s="24"/>
      <c r="R581" s="24"/>
      <c r="S581" s="24"/>
      <c r="T581" s="58" t="s">
        <v>8512</v>
      </c>
      <c r="U581" s="24"/>
      <c r="V581" s="24"/>
      <c r="W581" s="24"/>
      <c r="X581" s="24"/>
      <c r="Y581" s="24"/>
      <c r="Z581" s="24"/>
      <c r="AA581" s="24"/>
      <c r="AB581" s="24"/>
      <c r="AC581" s="24"/>
      <c r="AD581" s="24"/>
      <c r="AE581" s="24"/>
      <c r="AF581" s="24"/>
      <c r="AG581" s="24"/>
      <c r="AH581" s="24"/>
      <c r="AI581" s="24"/>
      <c r="AJ581" s="24"/>
      <c r="AK581" s="24"/>
      <c r="AL581" s="24"/>
      <c r="AM581" s="24"/>
      <c r="AN581" s="24"/>
      <c r="AO581" s="24"/>
      <c r="AP581" s="24"/>
      <c r="AQ581" s="24"/>
      <c r="AR581" s="24"/>
      <c r="AS581" s="24"/>
      <c r="AT581" s="24"/>
      <c r="AU581" s="24"/>
      <c r="AV581" s="24"/>
      <c r="AW581" s="24"/>
      <c r="AX581" s="24"/>
    </row>
    <row r="582" ht="15.75" customHeight="1">
      <c r="A582" s="90" t="s">
        <v>78</v>
      </c>
      <c r="B582" s="92" t="s">
        <v>4086</v>
      </c>
      <c r="C582" s="28"/>
      <c r="D582" s="28"/>
      <c r="E582" s="28"/>
      <c r="F582" s="28"/>
      <c r="G582" s="28"/>
      <c r="H582" s="28"/>
      <c r="I582" s="28"/>
      <c r="J582" s="28"/>
      <c r="K582" s="28"/>
      <c r="L582" s="28"/>
      <c r="M582" s="28"/>
      <c r="N582" s="28"/>
      <c r="O582" s="96"/>
      <c r="P582" s="96"/>
      <c r="Q582" s="96"/>
      <c r="R582" s="96"/>
      <c r="S582" s="96"/>
      <c r="T582" s="178" t="s">
        <v>8522</v>
      </c>
      <c r="U582" s="96"/>
      <c r="V582" s="96"/>
      <c r="W582" s="96"/>
      <c r="X582" s="96"/>
      <c r="Y582" s="96"/>
      <c r="Z582" s="96"/>
      <c r="AA582" s="96"/>
      <c r="AB582" s="96"/>
      <c r="AC582" s="96"/>
      <c r="AD582" s="96"/>
      <c r="AE582" s="96"/>
      <c r="AF582" s="96"/>
      <c r="AG582" s="96"/>
      <c r="AH582" s="96"/>
      <c r="AI582" s="96"/>
      <c r="AJ582" s="96"/>
      <c r="AK582" s="96"/>
      <c r="AL582" s="96"/>
      <c r="AM582" s="96"/>
      <c r="AN582" s="96"/>
      <c r="AO582" s="70"/>
      <c r="AP582" s="70"/>
      <c r="AQ582" s="70"/>
      <c r="AR582" s="70"/>
      <c r="AS582" s="70"/>
      <c r="AT582" s="70"/>
      <c r="AU582" s="70"/>
      <c r="AV582" s="70"/>
      <c r="AW582" s="70"/>
      <c r="AX582" s="70"/>
    </row>
    <row r="583" ht="15.75" customHeight="1">
      <c r="A583" s="90" t="s">
        <v>78</v>
      </c>
      <c r="B583" s="92" t="s">
        <v>4094</v>
      </c>
      <c r="C583" s="28"/>
      <c r="D583" s="28"/>
      <c r="E583" s="28"/>
      <c r="F583" s="28"/>
      <c r="G583" s="28"/>
      <c r="H583" s="28"/>
      <c r="I583" s="28"/>
      <c r="J583" s="28"/>
      <c r="K583" s="28"/>
      <c r="L583" s="28"/>
      <c r="M583" s="28"/>
      <c r="N583" s="28"/>
      <c r="O583" s="96"/>
      <c r="P583" s="96"/>
      <c r="Q583" s="96"/>
      <c r="R583" s="96"/>
      <c r="S583" s="96"/>
      <c r="T583" s="178" t="s">
        <v>8534</v>
      </c>
      <c r="U583" s="96"/>
      <c r="V583" s="96"/>
      <c r="W583" s="96"/>
      <c r="X583" s="96"/>
      <c r="Y583" s="96"/>
      <c r="Z583" s="96"/>
      <c r="AA583" s="96"/>
      <c r="AB583" s="96"/>
      <c r="AC583" s="96"/>
      <c r="AD583" s="96"/>
      <c r="AE583" s="96"/>
      <c r="AF583" s="96"/>
      <c r="AG583" s="96"/>
      <c r="AH583" s="96"/>
      <c r="AI583" s="96"/>
      <c r="AJ583" s="96"/>
      <c r="AK583" s="96"/>
      <c r="AL583" s="96"/>
      <c r="AM583" s="96"/>
      <c r="AN583" s="96"/>
      <c r="AO583" s="70"/>
      <c r="AP583" s="70"/>
      <c r="AQ583" s="70"/>
      <c r="AR583" s="70"/>
      <c r="AS583" s="70"/>
      <c r="AT583" s="70"/>
      <c r="AU583" s="70"/>
      <c r="AV583" s="70"/>
      <c r="AW583" s="70"/>
      <c r="AX583" s="70"/>
    </row>
    <row r="584" ht="15.75" customHeight="1">
      <c r="A584" s="90" t="s">
        <v>78</v>
      </c>
      <c r="B584" s="92" t="s">
        <v>4098</v>
      </c>
      <c r="C584" s="28"/>
      <c r="D584" s="28"/>
      <c r="E584" s="28"/>
      <c r="F584" s="28"/>
      <c r="G584" s="28"/>
      <c r="H584" s="28"/>
      <c r="I584" s="28"/>
      <c r="J584" s="28"/>
      <c r="K584" s="28"/>
      <c r="L584" s="28"/>
      <c r="M584" s="28"/>
      <c r="N584" s="28"/>
      <c r="O584" s="96"/>
      <c r="P584" s="96"/>
      <c r="Q584" s="96"/>
      <c r="R584" s="96"/>
      <c r="S584" s="96"/>
      <c r="T584" s="178" t="s">
        <v>8544</v>
      </c>
      <c r="U584" s="96"/>
      <c r="V584" s="96"/>
      <c r="W584" s="96"/>
      <c r="X584" s="96"/>
      <c r="Y584" s="96"/>
      <c r="Z584" s="96"/>
      <c r="AA584" s="96"/>
      <c r="AB584" s="96"/>
      <c r="AC584" s="96"/>
      <c r="AD584" s="96"/>
      <c r="AE584" s="96"/>
      <c r="AF584" s="96"/>
      <c r="AG584" s="96"/>
      <c r="AH584" s="96"/>
      <c r="AI584" s="96"/>
      <c r="AJ584" s="96"/>
      <c r="AK584" s="96"/>
      <c r="AL584" s="96"/>
      <c r="AM584" s="96"/>
      <c r="AN584" s="96"/>
      <c r="AO584" s="70"/>
      <c r="AP584" s="70"/>
      <c r="AQ584" s="70"/>
      <c r="AR584" s="70"/>
      <c r="AS584" s="70"/>
      <c r="AT584" s="70"/>
      <c r="AU584" s="70"/>
      <c r="AV584" s="70"/>
      <c r="AW584" s="70"/>
      <c r="AX584" s="70"/>
    </row>
    <row r="585" ht="15.75" customHeight="1">
      <c r="A585" s="90" t="s">
        <v>78</v>
      </c>
      <c r="B585" s="92" t="s">
        <v>4105</v>
      </c>
      <c r="C585" s="28"/>
      <c r="D585" s="28"/>
      <c r="E585" s="28"/>
      <c r="F585" s="28"/>
      <c r="G585" s="28"/>
      <c r="H585" s="28"/>
      <c r="I585" s="28"/>
      <c r="J585" s="28"/>
      <c r="K585" s="28"/>
      <c r="L585" s="28"/>
      <c r="M585" s="28"/>
      <c r="N585" s="28"/>
      <c r="O585" s="96"/>
      <c r="P585" s="96"/>
      <c r="Q585" s="96"/>
      <c r="R585" s="96"/>
      <c r="S585" s="96"/>
      <c r="T585" s="178" t="s">
        <v>8564</v>
      </c>
      <c r="U585" s="96"/>
      <c r="V585" s="96"/>
      <c r="W585" s="96"/>
      <c r="X585" s="96"/>
      <c r="Y585" s="96"/>
      <c r="Z585" s="96"/>
      <c r="AA585" s="96"/>
      <c r="AB585" s="96"/>
      <c r="AC585" s="96"/>
      <c r="AD585" s="96"/>
      <c r="AE585" s="96"/>
      <c r="AF585" s="96"/>
      <c r="AG585" s="96"/>
      <c r="AH585" s="96"/>
      <c r="AI585" s="96"/>
      <c r="AJ585" s="96"/>
      <c r="AK585" s="96"/>
      <c r="AL585" s="96"/>
      <c r="AM585" s="96"/>
      <c r="AN585" s="96"/>
      <c r="AO585" s="70"/>
      <c r="AP585" s="70"/>
      <c r="AQ585" s="70"/>
      <c r="AR585" s="70"/>
      <c r="AS585" s="70"/>
      <c r="AT585" s="70"/>
      <c r="AU585" s="70"/>
      <c r="AV585" s="70"/>
      <c r="AW585" s="70"/>
      <c r="AX585" s="70"/>
    </row>
    <row r="586" ht="15.75" customHeight="1">
      <c r="A586" s="90" t="s">
        <v>78</v>
      </c>
      <c r="B586" s="92" t="s">
        <v>4110</v>
      </c>
      <c r="C586" s="28"/>
      <c r="D586" s="28"/>
      <c r="E586" s="28"/>
      <c r="F586" s="28"/>
      <c r="G586" s="28"/>
      <c r="H586" s="28"/>
      <c r="I586" s="28"/>
      <c r="J586" s="28"/>
      <c r="K586" s="28"/>
      <c r="L586" s="28"/>
      <c r="M586" s="28"/>
      <c r="N586" s="28"/>
      <c r="O586" s="96"/>
      <c r="P586" s="96"/>
      <c r="Q586" s="96"/>
      <c r="R586" s="96"/>
      <c r="S586" s="96"/>
      <c r="T586" s="178" t="s">
        <v>8583</v>
      </c>
      <c r="U586" s="96"/>
      <c r="V586" s="96"/>
      <c r="W586" s="96"/>
      <c r="X586" s="96"/>
      <c r="Y586" s="96"/>
      <c r="Z586" s="96"/>
      <c r="AA586" s="96"/>
      <c r="AB586" s="96"/>
      <c r="AC586" s="96"/>
      <c r="AD586" s="96"/>
      <c r="AE586" s="96"/>
      <c r="AF586" s="96"/>
      <c r="AG586" s="96"/>
      <c r="AH586" s="96"/>
      <c r="AI586" s="96"/>
      <c r="AJ586" s="96"/>
      <c r="AK586" s="96"/>
      <c r="AL586" s="96"/>
      <c r="AM586" s="96"/>
      <c r="AN586" s="96"/>
      <c r="AO586" s="70"/>
      <c r="AP586" s="70"/>
      <c r="AQ586" s="70"/>
      <c r="AR586" s="70"/>
      <c r="AS586" s="70"/>
      <c r="AT586" s="70"/>
      <c r="AU586" s="70"/>
      <c r="AV586" s="70"/>
      <c r="AW586" s="70"/>
      <c r="AX586" s="70"/>
    </row>
    <row r="587" ht="15.75" customHeight="1">
      <c r="A587" s="65" t="s">
        <v>134</v>
      </c>
      <c r="B587" s="66" t="s">
        <v>4116</v>
      </c>
      <c r="C587" s="28"/>
      <c r="D587" s="28"/>
      <c r="E587" s="28"/>
      <c r="F587" s="28"/>
      <c r="G587" s="28"/>
      <c r="H587" s="28"/>
      <c r="I587" s="28"/>
      <c r="J587" s="28"/>
      <c r="K587" s="28"/>
      <c r="L587" s="28"/>
      <c r="M587" s="28"/>
      <c r="N587" s="28"/>
      <c r="O587" s="67"/>
      <c r="P587" s="68"/>
      <c r="Q587" s="68"/>
      <c r="R587" s="67"/>
      <c r="S587" s="67"/>
      <c r="T587" s="65" t="s">
        <v>139</v>
      </c>
      <c r="U587" s="67"/>
      <c r="V587" s="67"/>
      <c r="W587" s="67"/>
      <c r="X587" s="67"/>
      <c r="Y587" s="67"/>
      <c r="Z587" s="67"/>
      <c r="AA587" s="67"/>
      <c r="AB587" s="67"/>
      <c r="AC587" s="67"/>
      <c r="AD587" s="67"/>
      <c r="AE587" s="67"/>
      <c r="AF587" s="67"/>
      <c r="AG587" s="67"/>
      <c r="AH587" s="67"/>
      <c r="AI587" s="67"/>
      <c r="AJ587" s="67"/>
      <c r="AK587" s="67"/>
      <c r="AL587" s="67"/>
      <c r="AM587" s="67"/>
      <c r="AN587" s="67"/>
      <c r="AO587" s="67"/>
      <c r="AP587" s="67"/>
      <c r="AQ587" s="67"/>
      <c r="AR587" s="67"/>
      <c r="AS587" s="67"/>
      <c r="AT587" s="67"/>
      <c r="AU587" s="67"/>
      <c r="AV587" s="67"/>
      <c r="AW587" s="67"/>
      <c r="AX587" s="67"/>
    </row>
    <row r="588" ht="15.75" customHeight="1">
      <c r="A588" s="68" t="s">
        <v>4123</v>
      </c>
      <c r="B588" s="169" t="s">
        <v>3149</v>
      </c>
      <c r="C588" s="28" t="s">
        <v>4127</v>
      </c>
      <c r="D588" s="28" t="s">
        <v>4128</v>
      </c>
      <c r="E588" s="28" t="s">
        <v>4129</v>
      </c>
      <c r="F588" s="28"/>
      <c r="G588" s="28"/>
      <c r="H588" s="28"/>
      <c r="I588" s="28"/>
      <c r="J588" s="28"/>
      <c r="K588" s="28"/>
      <c r="L588" s="28"/>
      <c r="M588" s="28"/>
      <c r="N588" s="28"/>
      <c r="O588" s="67" t="s">
        <v>8606</v>
      </c>
      <c r="P588" s="67"/>
      <c r="Q588" s="67" t="s">
        <v>145</v>
      </c>
      <c r="R588" s="67"/>
      <c r="S588" s="67"/>
      <c r="T588" s="67"/>
      <c r="U588" s="67"/>
      <c r="V588" s="67"/>
      <c r="W588" s="67"/>
      <c r="X588" s="67"/>
      <c r="Y588" s="67" t="s">
        <v>8610</v>
      </c>
      <c r="Z588" s="67"/>
      <c r="AA588" s="67"/>
      <c r="AB588" s="67"/>
      <c r="AC588" s="67"/>
      <c r="AD588" s="67"/>
      <c r="AE588" s="67"/>
      <c r="AF588" s="67"/>
      <c r="AG588" s="67"/>
      <c r="AH588" s="67"/>
      <c r="AI588" s="67"/>
      <c r="AJ588" s="67"/>
      <c r="AK588" s="67"/>
      <c r="AL588" s="67"/>
      <c r="AM588" s="67"/>
      <c r="AN588" s="67"/>
      <c r="AO588" s="70"/>
      <c r="AP588" s="70"/>
      <c r="AQ588" s="70"/>
      <c r="AR588" s="70"/>
      <c r="AS588" s="70"/>
      <c r="AT588" s="70"/>
      <c r="AU588" s="70"/>
      <c r="AV588" s="70"/>
      <c r="AW588" s="70"/>
      <c r="AX588" s="70"/>
    </row>
    <row r="589" ht="15.75" customHeight="1">
      <c r="A589" s="90" t="s">
        <v>78</v>
      </c>
      <c r="B589" s="92" t="s">
        <v>4130</v>
      </c>
      <c r="C589" s="28"/>
      <c r="D589" s="28"/>
      <c r="E589" s="28"/>
      <c r="F589" s="28"/>
      <c r="G589" s="28"/>
      <c r="H589" s="28"/>
      <c r="I589" s="28"/>
      <c r="J589" s="28"/>
      <c r="K589" s="28"/>
      <c r="L589" s="28"/>
      <c r="M589" s="28"/>
      <c r="N589" s="28"/>
      <c r="O589" s="96"/>
      <c r="P589" s="96"/>
      <c r="Q589" s="96"/>
      <c r="R589" s="96"/>
      <c r="S589" s="96"/>
      <c r="T589" s="178" t="s">
        <v>8620</v>
      </c>
      <c r="U589" s="96"/>
      <c r="V589" s="96"/>
      <c r="W589" s="96"/>
      <c r="X589" s="96"/>
      <c r="Y589" s="96"/>
      <c r="Z589" s="96"/>
      <c r="AA589" s="96"/>
      <c r="AB589" s="96"/>
      <c r="AC589" s="96"/>
      <c r="AD589" s="96"/>
      <c r="AE589" s="96"/>
      <c r="AF589" s="96"/>
      <c r="AG589" s="96"/>
      <c r="AH589" s="96"/>
      <c r="AI589" s="96"/>
      <c r="AJ589" s="96"/>
      <c r="AK589" s="96"/>
      <c r="AL589" s="96"/>
      <c r="AM589" s="96"/>
      <c r="AN589" s="96"/>
      <c r="AO589" s="70"/>
      <c r="AP589" s="70"/>
      <c r="AQ589" s="70"/>
      <c r="AR589" s="70"/>
      <c r="AS589" s="70"/>
      <c r="AT589" s="70"/>
      <c r="AU589" s="70"/>
      <c r="AV589" s="70"/>
      <c r="AW589" s="70"/>
      <c r="AX589" s="70"/>
    </row>
    <row r="590" ht="15.75" customHeight="1">
      <c r="A590" s="90" t="s">
        <v>78</v>
      </c>
      <c r="B590" s="92" t="s">
        <v>4134</v>
      </c>
      <c r="C590" s="28"/>
      <c r="D590" s="28"/>
      <c r="E590" s="28"/>
      <c r="F590" s="28"/>
      <c r="G590" s="28"/>
      <c r="H590" s="28"/>
      <c r="I590" s="28"/>
      <c r="J590" s="28"/>
      <c r="K590" s="28"/>
      <c r="L590" s="28"/>
      <c r="M590" s="28"/>
      <c r="N590" s="28"/>
      <c r="O590" s="96"/>
      <c r="P590" s="96"/>
      <c r="Q590" s="96"/>
      <c r="R590" s="96"/>
      <c r="S590" s="96"/>
      <c r="T590" s="178" t="s">
        <v>8634</v>
      </c>
      <c r="U590" s="96"/>
      <c r="V590" s="96"/>
      <c r="W590" s="96"/>
      <c r="X590" s="96"/>
      <c r="Y590" s="96"/>
      <c r="Z590" s="96"/>
      <c r="AA590" s="96"/>
      <c r="AB590" s="96"/>
      <c r="AC590" s="96"/>
      <c r="AD590" s="96"/>
      <c r="AE590" s="96"/>
      <c r="AF590" s="96"/>
      <c r="AG590" s="96"/>
      <c r="AH590" s="96"/>
      <c r="AI590" s="96"/>
      <c r="AJ590" s="96"/>
      <c r="AK590" s="96"/>
      <c r="AL590" s="96"/>
      <c r="AM590" s="96"/>
      <c r="AN590" s="96"/>
      <c r="AO590" s="70"/>
      <c r="AP590" s="70"/>
      <c r="AQ590" s="70"/>
      <c r="AR590" s="70"/>
      <c r="AS590" s="70"/>
      <c r="AT590" s="70"/>
      <c r="AU590" s="70"/>
      <c r="AV590" s="70"/>
      <c r="AW590" s="70"/>
      <c r="AX590" s="70"/>
    </row>
    <row r="591" ht="15.75" customHeight="1">
      <c r="A591" s="140" t="s">
        <v>131</v>
      </c>
      <c r="B591" s="164" t="s">
        <v>4140</v>
      </c>
      <c r="C591" s="28" t="s">
        <v>4142</v>
      </c>
      <c r="D591" s="28" t="s">
        <v>4143</v>
      </c>
      <c r="E591" s="28" t="s">
        <v>4145</v>
      </c>
      <c r="F591" s="28"/>
      <c r="G591" s="28"/>
      <c r="H591" s="28"/>
      <c r="I591" s="28"/>
      <c r="J591" s="28"/>
      <c r="K591" s="28"/>
      <c r="L591" s="28"/>
      <c r="M591" s="28"/>
      <c r="N591" s="28"/>
      <c r="O591" s="190" t="s">
        <v>8606</v>
      </c>
      <c r="P591" s="139"/>
      <c r="Q591" s="139"/>
      <c r="R591" s="139"/>
      <c r="S591" s="139"/>
      <c r="T591" s="139"/>
      <c r="U591" s="139"/>
      <c r="V591" s="139"/>
      <c r="W591" s="139"/>
      <c r="X591" s="139"/>
      <c r="Y591" s="139"/>
      <c r="Z591" s="139"/>
      <c r="AA591" s="139"/>
      <c r="AB591" s="139"/>
      <c r="AC591" s="139"/>
      <c r="AD591" s="139"/>
      <c r="AE591" s="139"/>
      <c r="AF591" s="139"/>
      <c r="AG591" s="139"/>
      <c r="AH591" s="139"/>
      <c r="AI591" s="139"/>
      <c r="AJ591" s="139"/>
      <c r="AK591" s="139"/>
      <c r="AL591" s="139"/>
      <c r="AM591" s="139"/>
      <c r="AN591" s="139"/>
      <c r="AO591" s="70"/>
      <c r="AP591" s="70"/>
      <c r="AQ591" s="70"/>
      <c r="AR591" s="70"/>
      <c r="AS591" s="70"/>
      <c r="AT591" s="70"/>
      <c r="AU591" s="70"/>
      <c r="AV591" s="70"/>
      <c r="AW591" s="70"/>
      <c r="AX591" s="70"/>
    </row>
    <row r="592" ht="15.75" customHeight="1">
      <c r="A592" s="170" t="s">
        <v>263</v>
      </c>
      <c r="B592" s="171" t="s">
        <v>4146</v>
      </c>
      <c r="C592" s="28" t="s">
        <v>4151</v>
      </c>
      <c r="D592" s="28" t="s">
        <v>4152</v>
      </c>
      <c r="E592" s="28" t="s">
        <v>4154</v>
      </c>
      <c r="F592" s="28"/>
      <c r="G592" s="28"/>
      <c r="H592" s="28"/>
      <c r="I592" s="28"/>
      <c r="J592" s="28"/>
      <c r="K592" s="183" t="s">
        <v>8662</v>
      </c>
      <c r="L592" s="28" t="s">
        <v>8663</v>
      </c>
      <c r="M592" s="28" t="s">
        <v>8665</v>
      </c>
      <c r="N592" s="28" t="s">
        <v>8667</v>
      </c>
      <c r="O592" s="173"/>
      <c r="P592" s="173"/>
      <c r="Q592" s="173" t="s">
        <v>145</v>
      </c>
      <c r="R592" s="173"/>
      <c r="S592" s="173"/>
      <c r="T592" s="173"/>
      <c r="U592" s="173"/>
      <c r="V592" s="173"/>
      <c r="W592" s="173"/>
      <c r="X592" s="173"/>
      <c r="Y592" s="173"/>
      <c r="Z592" s="173"/>
      <c r="AA592" s="173"/>
      <c r="AB592" s="173"/>
      <c r="AC592" s="173"/>
      <c r="AD592" s="173"/>
      <c r="AE592" s="173"/>
      <c r="AF592" s="173"/>
      <c r="AG592" s="173"/>
      <c r="AH592" s="173"/>
      <c r="AI592" s="173"/>
      <c r="AJ592" s="173"/>
      <c r="AK592" s="173"/>
      <c r="AL592" s="173"/>
      <c r="AM592" s="173"/>
      <c r="AN592" s="173"/>
      <c r="AO592" s="70"/>
      <c r="AP592" s="70"/>
      <c r="AQ592" s="70"/>
      <c r="AR592" s="70"/>
      <c r="AS592" s="70"/>
      <c r="AT592" s="70"/>
      <c r="AU592" s="70"/>
      <c r="AV592" s="70"/>
      <c r="AW592" s="70"/>
      <c r="AX592" s="70"/>
    </row>
    <row r="593" ht="15.75" customHeight="1">
      <c r="A593" s="68" t="s">
        <v>4156</v>
      </c>
      <c r="B593" s="169" t="s">
        <v>4157</v>
      </c>
      <c r="C593" s="28" t="s">
        <v>4161</v>
      </c>
      <c r="D593" s="28" t="s">
        <v>4162</v>
      </c>
      <c r="E593" s="28" t="s">
        <v>4163</v>
      </c>
      <c r="F593" s="28"/>
      <c r="G593" s="28"/>
      <c r="H593" s="28"/>
      <c r="I593" s="28"/>
      <c r="J593" s="28"/>
      <c r="K593" s="28"/>
      <c r="L593" s="28"/>
      <c r="M593" s="28"/>
      <c r="N593" s="28"/>
      <c r="O593" s="67" t="s">
        <v>8689</v>
      </c>
      <c r="P593" s="67"/>
      <c r="Q593" s="67" t="s">
        <v>145</v>
      </c>
      <c r="R593" s="67"/>
      <c r="S593" s="67"/>
      <c r="T593" s="67"/>
      <c r="U593" s="67"/>
      <c r="V593" s="67"/>
      <c r="W593" s="67"/>
      <c r="X593" s="67"/>
      <c r="Y593" s="67"/>
      <c r="Z593" s="67"/>
      <c r="AA593" s="67"/>
      <c r="AB593" s="67"/>
      <c r="AC593" s="67"/>
      <c r="AD593" s="67"/>
      <c r="AE593" s="67"/>
      <c r="AF593" s="67"/>
      <c r="AG593" s="67"/>
      <c r="AH593" s="67"/>
      <c r="AI593" s="67"/>
      <c r="AJ593" s="67"/>
      <c r="AK593" s="67"/>
      <c r="AL593" s="67"/>
      <c r="AM593" s="67"/>
      <c r="AN593" s="67"/>
      <c r="AO593" s="70"/>
      <c r="AP593" s="70"/>
      <c r="AQ593" s="70"/>
      <c r="AR593" s="70"/>
      <c r="AS593" s="70"/>
      <c r="AT593" s="70"/>
      <c r="AU593" s="70"/>
      <c r="AV593" s="70"/>
      <c r="AW593" s="70"/>
      <c r="AX593" s="70"/>
    </row>
    <row r="594" ht="15.75" customHeight="1">
      <c r="A594" s="170" t="s">
        <v>263</v>
      </c>
      <c r="B594" s="171" t="s">
        <v>4164</v>
      </c>
      <c r="C594" s="28" t="s">
        <v>4172</v>
      </c>
      <c r="D594" s="28" t="s">
        <v>4173</v>
      </c>
      <c r="E594" s="28" t="s">
        <v>4174</v>
      </c>
      <c r="F594" s="28"/>
      <c r="G594" s="28"/>
      <c r="H594" s="28"/>
      <c r="I594" s="28"/>
      <c r="J594" s="28"/>
      <c r="K594" s="28" t="s">
        <v>864</v>
      </c>
      <c r="L594" s="28"/>
      <c r="M594" s="28"/>
      <c r="N594" s="28"/>
      <c r="O594" s="173" t="s">
        <v>8711</v>
      </c>
      <c r="P594" s="173"/>
      <c r="Q594" s="173" t="s">
        <v>145</v>
      </c>
      <c r="R594" s="173"/>
      <c r="S594" s="173"/>
      <c r="T594" s="173"/>
      <c r="U594" s="173"/>
      <c r="V594" s="173"/>
      <c r="W594" s="173"/>
      <c r="X594" s="173"/>
      <c r="Y594" s="173"/>
      <c r="Z594" s="173"/>
      <c r="AA594" s="173"/>
      <c r="AB594" s="173"/>
      <c r="AC594" s="173"/>
      <c r="AD594" s="173"/>
      <c r="AE594" s="173"/>
      <c r="AF594" s="173"/>
      <c r="AG594" s="173"/>
      <c r="AH594" s="173"/>
      <c r="AI594" s="173"/>
      <c r="AJ594" s="173"/>
      <c r="AK594" s="173"/>
      <c r="AL594" s="173"/>
      <c r="AM594" s="173"/>
      <c r="AN594" s="173"/>
      <c r="AO594" s="70"/>
      <c r="AP594" s="70"/>
      <c r="AQ594" s="70"/>
      <c r="AR594" s="70"/>
      <c r="AS594" s="70"/>
      <c r="AT594" s="70"/>
      <c r="AU594" s="70"/>
      <c r="AV594" s="70"/>
      <c r="AW594" s="70"/>
      <c r="AX594" s="70"/>
    </row>
    <row r="595" ht="15.75" customHeight="1">
      <c r="A595" s="170" t="s">
        <v>263</v>
      </c>
      <c r="B595" s="171" t="s">
        <v>4175</v>
      </c>
      <c r="C595" s="28" t="s">
        <v>4181</v>
      </c>
      <c r="D595" s="28" t="s">
        <v>4182</v>
      </c>
      <c r="E595" s="28" t="s">
        <v>4183</v>
      </c>
      <c r="F595" s="28"/>
      <c r="G595" s="28"/>
      <c r="H595" s="28"/>
      <c r="I595" s="28"/>
      <c r="J595" s="28"/>
      <c r="K595" s="28" t="s">
        <v>864</v>
      </c>
      <c r="L595" s="28"/>
      <c r="M595" s="28"/>
      <c r="N595" s="28"/>
      <c r="O595" s="173" t="s">
        <v>8733</v>
      </c>
      <c r="P595" s="173"/>
      <c r="Q595" s="173" t="s">
        <v>145</v>
      </c>
      <c r="R595" s="173"/>
      <c r="S595" s="173"/>
      <c r="T595" s="173"/>
      <c r="U595" s="173"/>
      <c r="V595" s="173"/>
      <c r="W595" s="173"/>
      <c r="X595" s="173"/>
      <c r="Y595" s="173"/>
      <c r="Z595" s="173"/>
      <c r="AA595" s="173"/>
      <c r="AB595" s="173"/>
      <c r="AC595" s="173"/>
      <c r="AD595" s="67"/>
      <c r="AE595" s="67"/>
      <c r="AF595" s="67"/>
      <c r="AG595" s="67"/>
      <c r="AH595" s="67"/>
      <c r="AI595" s="67"/>
      <c r="AJ595" s="67"/>
      <c r="AK595" s="67"/>
      <c r="AL595" s="67"/>
      <c r="AM595" s="67"/>
      <c r="AN595" s="67"/>
      <c r="AO595" s="70"/>
      <c r="AP595" s="70"/>
      <c r="AQ595" s="70"/>
      <c r="AR595" s="70"/>
      <c r="AS595" s="70"/>
      <c r="AT595" s="70"/>
      <c r="AU595" s="70"/>
      <c r="AV595" s="70"/>
      <c r="AW595" s="70"/>
      <c r="AX595" s="70"/>
    </row>
    <row r="596" ht="15.75" customHeight="1">
      <c r="A596" s="68" t="s">
        <v>4184</v>
      </c>
      <c r="B596" s="169" t="s">
        <v>4185</v>
      </c>
      <c r="C596" s="28" t="s">
        <v>4190</v>
      </c>
      <c r="D596" s="28" t="s">
        <v>4191</v>
      </c>
      <c r="E596" s="28" t="s">
        <v>4192</v>
      </c>
      <c r="F596" s="28"/>
      <c r="G596" s="28"/>
      <c r="H596" s="28"/>
      <c r="I596" s="28"/>
      <c r="J596" s="28"/>
      <c r="K596" s="28"/>
      <c r="L596" s="28"/>
      <c r="M596" s="28"/>
      <c r="N596" s="28"/>
      <c r="O596" s="67"/>
      <c r="P596" s="67"/>
      <c r="Q596" s="67" t="s">
        <v>145</v>
      </c>
      <c r="R596" s="67"/>
      <c r="S596" s="67"/>
      <c r="T596" s="67"/>
      <c r="U596" s="67"/>
      <c r="V596" s="67"/>
      <c r="W596" s="67"/>
      <c r="X596" s="67"/>
      <c r="Y596" s="67"/>
      <c r="Z596" s="67"/>
      <c r="AA596" s="67"/>
      <c r="AB596" s="67"/>
      <c r="AC596" s="67"/>
      <c r="AD596" s="67"/>
      <c r="AE596" s="67"/>
      <c r="AF596" s="67"/>
      <c r="AG596" s="67"/>
      <c r="AH596" s="67"/>
      <c r="AI596" s="67"/>
      <c r="AJ596" s="67"/>
      <c r="AK596" s="67"/>
      <c r="AL596" s="67"/>
      <c r="AM596" s="67"/>
      <c r="AN596" s="67"/>
      <c r="AO596" s="70"/>
      <c r="AP596" s="70"/>
      <c r="AQ596" s="70"/>
      <c r="AR596" s="70"/>
      <c r="AS596" s="70"/>
      <c r="AT596" s="70"/>
      <c r="AU596" s="70"/>
      <c r="AV596" s="70"/>
      <c r="AW596" s="70"/>
      <c r="AX596" s="70"/>
    </row>
    <row r="597" ht="15.75" customHeight="1">
      <c r="A597" s="68" t="s">
        <v>4193</v>
      </c>
      <c r="B597" s="169" t="s">
        <v>4194</v>
      </c>
      <c r="C597" s="28" t="s">
        <v>4199</v>
      </c>
      <c r="D597" s="28" t="s">
        <v>4200</v>
      </c>
      <c r="E597" s="28" t="s">
        <v>4201</v>
      </c>
      <c r="F597" s="28" t="s">
        <v>7285</v>
      </c>
      <c r="G597" s="28" t="s">
        <v>7286</v>
      </c>
      <c r="H597" s="28" t="s">
        <v>7288</v>
      </c>
      <c r="I597" s="28"/>
      <c r="J597" s="28"/>
      <c r="K597" s="28" t="s">
        <v>8765</v>
      </c>
      <c r="L597" s="28"/>
      <c r="M597" s="28"/>
      <c r="N597" s="28"/>
      <c r="O597" s="67" t="s">
        <v>8769</v>
      </c>
      <c r="P597" s="67"/>
      <c r="Q597" s="67" t="s">
        <v>145</v>
      </c>
      <c r="R597" s="67"/>
      <c r="S597" s="67"/>
      <c r="T597" s="67"/>
      <c r="U597" s="67"/>
      <c r="V597" s="67"/>
      <c r="W597" s="67"/>
      <c r="X597" s="67"/>
      <c r="Y597" s="67"/>
      <c r="Z597" s="67"/>
      <c r="AA597" s="67"/>
      <c r="AB597" s="67"/>
      <c r="AC597" s="67"/>
      <c r="AD597" s="67"/>
      <c r="AE597" s="67"/>
      <c r="AF597" s="67"/>
      <c r="AG597" s="67"/>
      <c r="AH597" s="67"/>
      <c r="AI597" s="67"/>
      <c r="AJ597" s="67"/>
      <c r="AK597" s="67"/>
      <c r="AL597" s="67"/>
      <c r="AM597" s="67"/>
      <c r="AN597" s="67"/>
      <c r="AO597" s="70"/>
      <c r="AP597" s="70"/>
      <c r="AQ597" s="70"/>
      <c r="AR597" s="70"/>
      <c r="AS597" s="70"/>
      <c r="AT597" s="70"/>
      <c r="AU597" s="70"/>
      <c r="AV597" s="70"/>
      <c r="AW597" s="70"/>
      <c r="AX597" s="70"/>
    </row>
    <row r="598" ht="15.75" customHeight="1">
      <c r="A598" s="179" t="s">
        <v>246</v>
      </c>
      <c r="B598" s="180" t="s">
        <v>4202</v>
      </c>
      <c r="C598" s="28" t="s">
        <v>4211</v>
      </c>
      <c r="D598" s="28" t="s">
        <v>4212</v>
      </c>
      <c r="E598" s="28" t="s">
        <v>4213</v>
      </c>
      <c r="F598" s="28"/>
      <c r="G598" s="28"/>
      <c r="H598" s="28"/>
      <c r="I598" s="28"/>
      <c r="J598" s="28"/>
      <c r="K598" s="28"/>
      <c r="L598" s="28"/>
      <c r="M598" s="28"/>
      <c r="N598" s="28"/>
      <c r="O598" s="181" t="s">
        <v>8785</v>
      </c>
      <c r="P598" s="181"/>
      <c r="Q598" s="181" t="s">
        <v>145</v>
      </c>
      <c r="R598" s="181"/>
      <c r="S598" s="181"/>
      <c r="T598" s="181"/>
      <c r="U598" s="181"/>
      <c r="V598" s="181"/>
      <c r="W598" s="181"/>
      <c r="X598" s="181"/>
      <c r="Y598" s="181"/>
      <c r="Z598" s="181"/>
      <c r="AA598" s="181"/>
      <c r="AB598" s="181"/>
      <c r="AC598" s="181"/>
      <c r="AD598" s="181"/>
      <c r="AE598" s="181"/>
      <c r="AF598" s="181"/>
      <c r="AG598" s="181"/>
      <c r="AH598" s="181"/>
      <c r="AI598" s="181"/>
      <c r="AJ598" s="181"/>
      <c r="AK598" s="181"/>
      <c r="AL598" s="181"/>
      <c r="AM598" s="181"/>
      <c r="AN598" s="181"/>
      <c r="AO598" s="70"/>
      <c r="AP598" s="70"/>
      <c r="AQ598" s="70"/>
      <c r="AR598" s="70"/>
      <c r="AS598" s="70"/>
      <c r="AT598" s="70"/>
      <c r="AU598" s="70"/>
      <c r="AV598" s="70"/>
      <c r="AW598" s="70"/>
      <c r="AX598" s="70"/>
    </row>
    <row r="599" ht="15.75" customHeight="1">
      <c r="A599" s="170" t="s">
        <v>263</v>
      </c>
      <c r="B599" s="171" t="s">
        <v>4214</v>
      </c>
      <c r="C599" s="28" t="s">
        <v>4219</v>
      </c>
      <c r="D599" s="28" t="s">
        <v>4220</v>
      </c>
      <c r="E599" s="28" t="s">
        <v>4221</v>
      </c>
      <c r="F599" s="28" t="s">
        <v>8798</v>
      </c>
      <c r="G599" s="28" t="s">
        <v>8799</v>
      </c>
      <c r="H599" s="28" t="s">
        <v>8800</v>
      </c>
      <c r="I599" s="28"/>
      <c r="J599" s="28"/>
      <c r="K599" s="183" t="s">
        <v>8801</v>
      </c>
      <c r="L599" s="28"/>
      <c r="M599" s="28"/>
      <c r="N599" s="28"/>
      <c r="O599" s="173" t="s">
        <v>8802</v>
      </c>
      <c r="P599" s="173"/>
      <c r="Q599" s="173" t="s">
        <v>145</v>
      </c>
      <c r="R599" s="173"/>
      <c r="S599" s="173"/>
      <c r="T599" s="173"/>
      <c r="U599" s="173"/>
      <c r="V599" s="173"/>
      <c r="W599" s="173"/>
      <c r="X599" s="173"/>
      <c r="Y599" s="173"/>
      <c r="Z599" s="173"/>
      <c r="AA599" s="173"/>
      <c r="AB599" s="173"/>
      <c r="AC599" s="173"/>
      <c r="AD599" s="173"/>
      <c r="AE599" s="173"/>
      <c r="AF599" s="173"/>
      <c r="AG599" s="173"/>
      <c r="AH599" s="173"/>
      <c r="AI599" s="173"/>
      <c r="AJ599" s="173"/>
      <c r="AK599" s="173"/>
      <c r="AL599" s="173"/>
      <c r="AM599" s="173"/>
      <c r="AN599" s="173"/>
      <c r="AO599" s="70"/>
      <c r="AP599" s="70"/>
      <c r="AQ599" s="70"/>
      <c r="AR599" s="70"/>
      <c r="AS599" s="70"/>
      <c r="AT599" s="70"/>
      <c r="AU599" s="70"/>
      <c r="AV599" s="70"/>
      <c r="AW599" s="70"/>
      <c r="AX599" s="70"/>
    </row>
    <row r="600" ht="15.75" customHeight="1">
      <c r="A600" s="170" t="s">
        <v>263</v>
      </c>
      <c r="B600" s="171" t="s">
        <v>4224</v>
      </c>
      <c r="C600" s="28" t="s">
        <v>4229</v>
      </c>
      <c r="D600" s="28" t="s">
        <v>4230</v>
      </c>
      <c r="E600" s="28" t="s">
        <v>4231</v>
      </c>
      <c r="F600" s="28"/>
      <c r="G600" s="28"/>
      <c r="H600" s="28"/>
      <c r="I600" s="28"/>
      <c r="J600" s="28"/>
      <c r="K600" s="28" t="s">
        <v>864</v>
      </c>
      <c r="L600" s="28"/>
      <c r="M600" s="28"/>
      <c r="N600" s="28"/>
      <c r="O600" s="173" t="s">
        <v>8820</v>
      </c>
      <c r="P600" s="173"/>
      <c r="Q600" s="173" t="s">
        <v>145</v>
      </c>
      <c r="R600" s="173"/>
      <c r="S600" s="173"/>
      <c r="T600" s="173"/>
      <c r="U600" s="173"/>
      <c r="V600" s="173"/>
      <c r="W600" s="173"/>
      <c r="X600" s="173"/>
      <c r="Y600" s="173"/>
      <c r="Z600" s="173"/>
      <c r="AA600" s="173"/>
      <c r="AB600" s="173"/>
      <c r="AC600" s="173"/>
      <c r="AD600" s="173"/>
      <c r="AE600" s="173"/>
      <c r="AF600" s="173"/>
      <c r="AG600" s="173"/>
      <c r="AH600" s="173"/>
      <c r="AI600" s="173"/>
      <c r="AJ600" s="173"/>
      <c r="AK600" s="173"/>
      <c r="AL600" s="173"/>
      <c r="AM600" s="173"/>
      <c r="AN600" s="173"/>
      <c r="AO600" s="70"/>
      <c r="AP600" s="70"/>
      <c r="AQ600" s="70"/>
      <c r="AR600" s="70"/>
      <c r="AS600" s="70"/>
      <c r="AT600" s="70"/>
      <c r="AU600" s="70"/>
      <c r="AV600" s="70"/>
      <c r="AW600" s="70"/>
      <c r="AX600" s="70"/>
    </row>
    <row r="601" ht="15.75" customHeight="1">
      <c r="A601" s="170" t="s">
        <v>263</v>
      </c>
      <c r="B601" s="171" t="s">
        <v>4232</v>
      </c>
      <c r="C601" s="28" t="s">
        <v>4239</v>
      </c>
      <c r="D601" s="28" t="s">
        <v>4240</v>
      </c>
      <c r="E601" s="28" t="s">
        <v>4241</v>
      </c>
      <c r="F601" s="28"/>
      <c r="G601" s="28"/>
      <c r="H601" s="28"/>
      <c r="I601" s="28"/>
      <c r="J601" s="28"/>
      <c r="K601" s="28" t="s">
        <v>864</v>
      </c>
      <c r="L601" s="28"/>
      <c r="M601" s="28"/>
      <c r="N601" s="28"/>
      <c r="O601" s="173" t="s">
        <v>8833</v>
      </c>
      <c r="P601" s="173"/>
      <c r="Q601" s="173" t="s">
        <v>145</v>
      </c>
      <c r="R601" s="173"/>
      <c r="S601" s="173"/>
      <c r="T601" s="173"/>
      <c r="U601" s="173"/>
      <c r="V601" s="173"/>
      <c r="W601" s="173"/>
      <c r="X601" s="173"/>
      <c r="Y601" s="173"/>
      <c r="Z601" s="173"/>
      <c r="AA601" s="173"/>
      <c r="AB601" s="173"/>
      <c r="AC601" s="173"/>
      <c r="AD601" s="173"/>
      <c r="AE601" s="173"/>
      <c r="AF601" s="173"/>
      <c r="AG601" s="173"/>
      <c r="AH601" s="173"/>
      <c r="AI601" s="173"/>
      <c r="AJ601" s="173"/>
      <c r="AK601" s="173"/>
      <c r="AL601" s="173"/>
      <c r="AM601" s="173"/>
      <c r="AN601" s="173"/>
      <c r="AO601" s="70"/>
      <c r="AP601" s="70"/>
      <c r="AQ601" s="70"/>
      <c r="AR601" s="70"/>
      <c r="AS601" s="70"/>
      <c r="AT601" s="70"/>
      <c r="AU601" s="70"/>
      <c r="AV601" s="70"/>
      <c r="AW601" s="70"/>
      <c r="AX601" s="70"/>
    </row>
    <row r="602" ht="15.75" customHeight="1">
      <c r="A602" s="170" t="s">
        <v>263</v>
      </c>
      <c r="B602" s="171" t="s">
        <v>4242</v>
      </c>
      <c r="C602" s="28" t="s">
        <v>4248</v>
      </c>
      <c r="D602" s="28" t="s">
        <v>4249</v>
      </c>
      <c r="E602" s="28" t="s">
        <v>4250</v>
      </c>
      <c r="F602" s="28"/>
      <c r="G602" s="28"/>
      <c r="H602" s="28"/>
      <c r="I602" s="28"/>
      <c r="J602" s="28"/>
      <c r="K602" s="28" t="s">
        <v>864</v>
      </c>
      <c r="L602" s="28"/>
      <c r="M602" s="28"/>
      <c r="N602" s="28"/>
      <c r="O602" s="173" t="s">
        <v>8785</v>
      </c>
      <c r="P602" s="173"/>
      <c r="Q602" s="173" t="s">
        <v>145</v>
      </c>
      <c r="R602" s="173"/>
      <c r="S602" s="173"/>
      <c r="T602" s="173"/>
      <c r="U602" s="173"/>
      <c r="V602" s="173"/>
      <c r="W602" s="173"/>
      <c r="X602" s="173"/>
      <c r="Y602" s="173"/>
      <c r="Z602" s="173"/>
      <c r="AA602" s="173"/>
      <c r="AB602" s="173"/>
      <c r="AC602" s="173"/>
      <c r="AD602" s="173"/>
      <c r="AE602" s="173"/>
      <c r="AF602" s="173"/>
      <c r="AG602" s="173"/>
      <c r="AH602" s="173"/>
      <c r="AI602" s="173"/>
      <c r="AJ602" s="173"/>
      <c r="AK602" s="173"/>
      <c r="AL602" s="173"/>
      <c r="AM602" s="173"/>
      <c r="AN602" s="173"/>
      <c r="AO602" s="70"/>
      <c r="AP602" s="70"/>
      <c r="AQ602" s="70"/>
      <c r="AR602" s="70"/>
      <c r="AS602" s="70"/>
      <c r="AT602" s="70"/>
      <c r="AU602" s="70"/>
      <c r="AV602" s="70"/>
      <c r="AW602" s="70"/>
      <c r="AX602" s="70"/>
    </row>
    <row r="603" ht="15.75" customHeight="1">
      <c r="A603" s="68" t="s">
        <v>463</v>
      </c>
      <c r="B603" s="169" t="s">
        <v>4251</v>
      </c>
      <c r="C603" s="28" t="s">
        <v>4260</v>
      </c>
      <c r="D603" s="28" t="s">
        <v>4261</v>
      </c>
      <c r="E603" s="28" t="s">
        <v>4262</v>
      </c>
      <c r="F603" s="28"/>
      <c r="G603" s="28"/>
      <c r="H603" s="28"/>
      <c r="I603" s="28"/>
      <c r="J603" s="28"/>
      <c r="K603" s="28"/>
      <c r="L603" s="28"/>
      <c r="M603" s="28"/>
      <c r="N603" s="28"/>
      <c r="O603" s="67" t="s">
        <v>8852</v>
      </c>
      <c r="P603" s="67"/>
      <c r="Q603" s="67" t="s">
        <v>145</v>
      </c>
      <c r="R603" s="67"/>
      <c r="S603" s="67"/>
      <c r="T603" s="67"/>
      <c r="U603" s="67"/>
      <c r="V603" s="67"/>
      <c r="W603" s="67"/>
      <c r="X603" s="67"/>
      <c r="Y603" s="67"/>
      <c r="Z603" s="67"/>
      <c r="AA603" s="67"/>
      <c r="AB603" s="67"/>
      <c r="AC603" s="67"/>
      <c r="AD603" s="67"/>
      <c r="AE603" s="67"/>
      <c r="AF603" s="67"/>
      <c r="AG603" s="67"/>
      <c r="AH603" s="67"/>
      <c r="AI603" s="67"/>
      <c r="AJ603" s="67"/>
      <c r="AK603" s="67"/>
      <c r="AL603" s="67"/>
      <c r="AM603" s="67"/>
      <c r="AN603" s="67"/>
      <c r="AO603" s="70"/>
      <c r="AP603" s="70"/>
      <c r="AQ603" s="70"/>
      <c r="AR603" s="70"/>
      <c r="AS603" s="70"/>
      <c r="AT603" s="70"/>
      <c r="AU603" s="70"/>
      <c r="AV603" s="70"/>
      <c r="AW603" s="70"/>
      <c r="AX603" s="70"/>
    </row>
    <row r="604" ht="15.75" customHeight="1">
      <c r="A604" s="170" t="s">
        <v>263</v>
      </c>
      <c r="B604" s="171" t="s">
        <v>4263</v>
      </c>
      <c r="C604" s="28" t="s">
        <v>4270</v>
      </c>
      <c r="D604" s="28" t="s">
        <v>4271</v>
      </c>
      <c r="E604" s="28" t="s">
        <v>4272</v>
      </c>
      <c r="F604" s="28"/>
      <c r="G604" s="28"/>
      <c r="H604" s="28"/>
      <c r="I604" s="28"/>
      <c r="J604" s="28"/>
      <c r="K604" s="28" t="s">
        <v>864</v>
      </c>
      <c r="L604" s="28"/>
      <c r="M604" s="28"/>
      <c r="N604" s="28"/>
      <c r="O604" s="173" t="s">
        <v>8875</v>
      </c>
      <c r="P604" s="173"/>
      <c r="Q604" s="173" t="s">
        <v>145</v>
      </c>
      <c r="R604" s="173"/>
      <c r="S604" s="173"/>
      <c r="T604" s="173"/>
      <c r="U604" s="173"/>
      <c r="V604" s="173"/>
      <c r="W604" s="173"/>
      <c r="X604" s="173"/>
      <c r="Y604" s="173"/>
      <c r="Z604" s="173"/>
      <c r="AA604" s="173"/>
      <c r="AB604" s="173"/>
      <c r="AC604" s="173"/>
      <c r="AD604" s="173"/>
      <c r="AE604" s="173"/>
      <c r="AF604" s="173"/>
      <c r="AG604" s="173"/>
      <c r="AH604" s="173"/>
      <c r="AI604" s="173"/>
      <c r="AJ604" s="173"/>
      <c r="AK604" s="173"/>
      <c r="AL604" s="173"/>
      <c r="AM604" s="173"/>
      <c r="AN604" s="173"/>
      <c r="AO604" s="70"/>
      <c r="AP604" s="70"/>
      <c r="AQ604" s="70"/>
      <c r="AR604" s="70"/>
      <c r="AS604" s="70"/>
      <c r="AT604" s="70"/>
      <c r="AU604" s="70"/>
      <c r="AV604" s="70"/>
      <c r="AW604" s="70"/>
      <c r="AX604" s="70"/>
    </row>
    <row r="605" ht="15.75" customHeight="1">
      <c r="A605" s="90" t="s">
        <v>78</v>
      </c>
      <c r="B605" s="92" t="s">
        <v>4273</v>
      </c>
      <c r="C605" s="28"/>
      <c r="D605" s="28"/>
      <c r="E605" s="28"/>
      <c r="F605" s="28"/>
      <c r="G605" s="28"/>
      <c r="H605" s="28"/>
      <c r="I605" s="28"/>
      <c r="J605" s="28"/>
      <c r="K605" s="28"/>
      <c r="L605" s="28"/>
      <c r="M605" s="28"/>
      <c r="N605" s="28"/>
      <c r="O605" s="96"/>
      <c r="P605" s="96"/>
      <c r="Q605" s="96"/>
      <c r="R605" s="96"/>
      <c r="S605" s="96"/>
      <c r="T605" s="178" t="s">
        <v>8905</v>
      </c>
      <c r="U605" s="96"/>
      <c r="V605" s="96"/>
      <c r="W605" s="96"/>
      <c r="X605" s="96"/>
      <c r="Y605" s="96"/>
      <c r="Z605" s="96"/>
      <c r="AA605" s="96"/>
      <c r="AB605" s="96"/>
      <c r="AC605" s="96"/>
      <c r="AD605" s="96"/>
      <c r="AE605" s="96"/>
      <c r="AF605" s="96"/>
      <c r="AG605" s="96"/>
      <c r="AH605" s="96"/>
      <c r="AI605" s="96"/>
      <c r="AJ605" s="96"/>
      <c r="AK605" s="96"/>
      <c r="AL605" s="96"/>
      <c r="AM605" s="96"/>
      <c r="AN605" s="96"/>
      <c r="AO605" s="70"/>
      <c r="AP605" s="70"/>
      <c r="AQ605" s="70"/>
      <c r="AR605" s="70"/>
      <c r="AS605" s="70"/>
      <c r="AT605" s="70"/>
      <c r="AU605" s="70"/>
      <c r="AV605" s="70"/>
      <c r="AW605" s="70"/>
      <c r="AX605" s="70"/>
    </row>
    <row r="606" ht="15.75" customHeight="1">
      <c r="A606" s="90" t="s">
        <v>78</v>
      </c>
      <c r="B606" s="92" t="s">
        <v>4278</v>
      </c>
      <c r="C606" s="28"/>
      <c r="D606" s="28"/>
      <c r="E606" s="28"/>
      <c r="F606" s="28"/>
      <c r="G606" s="28"/>
      <c r="H606" s="28"/>
      <c r="I606" s="28"/>
      <c r="J606" s="28"/>
      <c r="K606" s="28"/>
      <c r="L606" s="28"/>
      <c r="M606" s="28"/>
      <c r="N606" s="28"/>
      <c r="O606" s="96"/>
      <c r="P606" s="96"/>
      <c r="Q606" s="96"/>
      <c r="R606" s="96"/>
      <c r="S606" s="96"/>
      <c r="T606" s="178" t="s">
        <v>8923</v>
      </c>
      <c r="U606" s="96"/>
      <c r="V606" s="96"/>
      <c r="W606" s="96"/>
      <c r="X606" s="96"/>
      <c r="Y606" s="96"/>
      <c r="Z606" s="96"/>
      <c r="AA606" s="96"/>
      <c r="AB606" s="96"/>
      <c r="AC606" s="96"/>
      <c r="AD606" s="96"/>
      <c r="AE606" s="96"/>
      <c r="AF606" s="96"/>
      <c r="AG606" s="96"/>
      <c r="AH606" s="96"/>
      <c r="AI606" s="96"/>
      <c r="AJ606" s="96"/>
      <c r="AK606" s="96"/>
      <c r="AL606" s="96"/>
      <c r="AM606" s="96"/>
      <c r="AN606" s="96"/>
      <c r="AO606" s="70"/>
      <c r="AP606" s="70"/>
      <c r="AQ606" s="70"/>
      <c r="AR606" s="70"/>
      <c r="AS606" s="70"/>
      <c r="AT606" s="70"/>
      <c r="AU606" s="70"/>
      <c r="AV606" s="70"/>
      <c r="AW606" s="70"/>
      <c r="AX606" s="70"/>
    </row>
    <row r="607" ht="15.75" customHeight="1">
      <c r="A607" s="90" t="s">
        <v>78</v>
      </c>
      <c r="B607" s="92" t="s">
        <v>4279</v>
      </c>
      <c r="C607" s="28"/>
      <c r="D607" s="28"/>
      <c r="E607" s="28"/>
      <c r="F607" s="28"/>
      <c r="G607" s="28"/>
      <c r="H607" s="28"/>
      <c r="I607" s="28"/>
      <c r="J607" s="28"/>
      <c r="K607" s="28"/>
      <c r="L607" s="28"/>
      <c r="M607" s="28"/>
      <c r="N607" s="28"/>
      <c r="O607" s="96"/>
      <c r="P607" s="96"/>
      <c r="Q607" s="96"/>
      <c r="R607" s="96"/>
      <c r="S607" s="96"/>
      <c r="T607" s="178" t="s">
        <v>8938</v>
      </c>
      <c r="U607" s="96"/>
      <c r="V607" s="96"/>
      <c r="W607" s="96"/>
      <c r="X607" s="96"/>
      <c r="Y607" s="96"/>
      <c r="Z607" s="96"/>
      <c r="AA607" s="96"/>
      <c r="AB607" s="96"/>
      <c r="AC607" s="96"/>
      <c r="AD607" s="96"/>
      <c r="AE607" s="96"/>
      <c r="AF607" s="96"/>
      <c r="AG607" s="96"/>
      <c r="AH607" s="96"/>
      <c r="AI607" s="96"/>
      <c r="AJ607" s="96"/>
      <c r="AK607" s="96"/>
      <c r="AL607" s="96"/>
      <c r="AM607" s="96"/>
      <c r="AN607" s="96"/>
      <c r="AO607" s="70"/>
      <c r="AP607" s="70"/>
      <c r="AQ607" s="70"/>
      <c r="AR607" s="70"/>
      <c r="AS607" s="70"/>
      <c r="AT607" s="70"/>
      <c r="AU607" s="70"/>
      <c r="AV607" s="70"/>
      <c r="AW607" s="70"/>
      <c r="AX607" s="70"/>
    </row>
    <row r="608" ht="15.75" customHeight="1">
      <c r="A608" s="90" t="s">
        <v>78</v>
      </c>
      <c r="B608" s="92" t="s">
        <v>4284</v>
      </c>
      <c r="C608" s="28"/>
      <c r="D608" s="28"/>
      <c r="E608" s="28"/>
      <c r="F608" s="28"/>
      <c r="G608" s="28"/>
      <c r="H608" s="28"/>
      <c r="I608" s="28"/>
      <c r="J608" s="28"/>
      <c r="K608" s="28"/>
      <c r="L608" s="28"/>
      <c r="M608" s="28"/>
      <c r="N608" s="28"/>
      <c r="O608" s="96"/>
      <c r="P608" s="96"/>
      <c r="Q608" s="96"/>
      <c r="R608" s="96"/>
      <c r="S608" s="96"/>
      <c r="T608" s="178" t="s">
        <v>8952</v>
      </c>
      <c r="U608" s="96"/>
      <c r="V608" s="96"/>
      <c r="W608" s="96"/>
      <c r="X608" s="96"/>
      <c r="Y608" s="96"/>
      <c r="Z608" s="96"/>
      <c r="AA608" s="96"/>
      <c r="AB608" s="96"/>
      <c r="AC608" s="96"/>
      <c r="AD608" s="96"/>
      <c r="AE608" s="96"/>
      <c r="AF608" s="96"/>
      <c r="AG608" s="96"/>
      <c r="AH608" s="96"/>
      <c r="AI608" s="96"/>
      <c r="AJ608" s="96"/>
      <c r="AK608" s="96"/>
      <c r="AL608" s="96"/>
      <c r="AM608" s="96"/>
      <c r="AN608" s="96"/>
      <c r="AO608" s="70"/>
      <c r="AP608" s="70"/>
      <c r="AQ608" s="70"/>
      <c r="AR608" s="70"/>
      <c r="AS608" s="70"/>
      <c r="AT608" s="70"/>
      <c r="AU608" s="70"/>
      <c r="AV608" s="70"/>
      <c r="AW608" s="70"/>
      <c r="AX608" s="70"/>
    </row>
    <row r="609" ht="15.75" customHeight="1">
      <c r="A609" s="90" t="s">
        <v>78</v>
      </c>
      <c r="B609" s="92" t="s">
        <v>4292</v>
      </c>
      <c r="C609" s="28"/>
      <c r="D609" s="28"/>
      <c r="E609" s="28"/>
      <c r="F609" s="28"/>
      <c r="G609" s="28"/>
      <c r="H609" s="28"/>
      <c r="I609" s="28"/>
      <c r="J609" s="28"/>
      <c r="K609" s="28"/>
      <c r="L609" s="28"/>
      <c r="M609" s="28"/>
      <c r="N609" s="28"/>
      <c r="O609" s="96"/>
      <c r="P609" s="96"/>
      <c r="Q609" s="96"/>
      <c r="R609" s="96"/>
      <c r="S609" s="96"/>
      <c r="T609" s="178" t="s">
        <v>8961</v>
      </c>
      <c r="U609" s="96"/>
      <c r="V609" s="96"/>
      <c r="W609" s="96"/>
      <c r="X609" s="96"/>
      <c r="Y609" s="96"/>
      <c r="Z609" s="96"/>
      <c r="AA609" s="96"/>
      <c r="AB609" s="96"/>
      <c r="AC609" s="96"/>
      <c r="AD609" s="96"/>
      <c r="AE609" s="96"/>
      <c r="AF609" s="96"/>
      <c r="AG609" s="96"/>
      <c r="AH609" s="96"/>
      <c r="AI609" s="96"/>
      <c r="AJ609" s="96"/>
      <c r="AK609" s="96"/>
      <c r="AL609" s="96"/>
      <c r="AM609" s="96"/>
      <c r="AN609" s="96"/>
      <c r="AO609" s="70"/>
      <c r="AP609" s="70"/>
      <c r="AQ609" s="70"/>
      <c r="AR609" s="70"/>
      <c r="AS609" s="70"/>
      <c r="AT609" s="70"/>
      <c r="AU609" s="70"/>
      <c r="AV609" s="70"/>
      <c r="AW609" s="70"/>
      <c r="AX609" s="70"/>
    </row>
    <row r="610" ht="15.75" customHeight="1">
      <c r="A610" s="90" t="s">
        <v>78</v>
      </c>
      <c r="B610" s="92" t="s">
        <v>4296</v>
      </c>
      <c r="C610" s="28"/>
      <c r="D610" s="28"/>
      <c r="E610" s="28"/>
      <c r="F610" s="28"/>
      <c r="G610" s="28"/>
      <c r="H610" s="28"/>
      <c r="I610" s="28"/>
      <c r="J610" s="28"/>
      <c r="K610" s="28"/>
      <c r="L610" s="28"/>
      <c r="M610" s="28"/>
      <c r="N610" s="28"/>
      <c r="O610" s="96"/>
      <c r="P610" s="96"/>
      <c r="Q610" s="96"/>
      <c r="R610" s="96"/>
      <c r="S610" s="96"/>
      <c r="T610" s="178" t="s">
        <v>8978</v>
      </c>
      <c r="U610" s="96"/>
      <c r="V610" s="96"/>
      <c r="W610" s="96"/>
      <c r="X610" s="96"/>
      <c r="Y610" s="96"/>
      <c r="Z610" s="96"/>
      <c r="AA610" s="96"/>
      <c r="AB610" s="96"/>
      <c r="AC610" s="96"/>
      <c r="AD610" s="96"/>
      <c r="AE610" s="96"/>
      <c r="AF610" s="96"/>
      <c r="AG610" s="96"/>
      <c r="AH610" s="96"/>
      <c r="AI610" s="96"/>
      <c r="AJ610" s="96"/>
      <c r="AK610" s="96"/>
      <c r="AL610" s="96"/>
      <c r="AM610" s="96"/>
      <c r="AN610" s="96"/>
      <c r="AO610" s="70"/>
      <c r="AP610" s="70"/>
      <c r="AQ610" s="70"/>
      <c r="AR610" s="70"/>
      <c r="AS610" s="70"/>
      <c r="AT610" s="70"/>
      <c r="AU610" s="70"/>
      <c r="AV610" s="70"/>
      <c r="AW610" s="70"/>
      <c r="AX610" s="70"/>
    </row>
    <row r="611" ht="15.75" customHeight="1">
      <c r="A611" s="90" t="s">
        <v>78</v>
      </c>
      <c r="B611" s="92" t="s">
        <v>4301</v>
      </c>
      <c r="C611" s="28"/>
      <c r="D611" s="28"/>
      <c r="E611" s="28"/>
      <c r="F611" s="28"/>
      <c r="G611" s="28"/>
      <c r="H611" s="28"/>
      <c r="I611" s="28"/>
      <c r="J611" s="28"/>
      <c r="K611" s="28"/>
      <c r="L611" s="28"/>
      <c r="M611" s="28"/>
      <c r="N611" s="28"/>
      <c r="O611" s="96"/>
      <c r="P611" s="96"/>
      <c r="Q611" s="96"/>
      <c r="R611" s="96"/>
      <c r="S611" s="96"/>
      <c r="T611" s="178" t="s">
        <v>8999</v>
      </c>
      <c r="U611" s="96"/>
      <c r="V611" s="96"/>
      <c r="W611" s="96"/>
      <c r="X611" s="96"/>
      <c r="Y611" s="96"/>
      <c r="Z611" s="96"/>
      <c r="AA611" s="96"/>
      <c r="AB611" s="96"/>
      <c r="AC611" s="96"/>
      <c r="AD611" s="96"/>
      <c r="AE611" s="96"/>
      <c r="AF611" s="96"/>
      <c r="AG611" s="96"/>
      <c r="AH611" s="96"/>
      <c r="AI611" s="96"/>
      <c r="AJ611" s="96"/>
      <c r="AK611" s="96"/>
      <c r="AL611" s="96"/>
      <c r="AM611" s="96"/>
      <c r="AN611" s="96"/>
      <c r="AO611" s="70"/>
      <c r="AP611" s="70"/>
      <c r="AQ611" s="70"/>
      <c r="AR611" s="70"/>
      <c r="AS611" s="70"/>
      <c r="AT611" s="70"/>
      <c r="AU611" s="70"/>
      <c r="AV611" s="70"/>
      <c r="AW611" s="70"/>
      <c r="AX611" s="70"/>
    </row>
    <row r="612" ht="15.75" customHeight="1">
      <c r="A612" s="90" t="s">
        <v>78</v>
      </c>
      <c r="B612" s="92" t="s">
        <v>4306</v>
      </c>
      <c r="C612" s="28" t="s">
        <v>4307</v>
      </c>
      <c r="D612" s="28" t="s">
        <v>4309</v>
      </c>
      <c r="E612" s="28" t="s">
        <v>4310</v>
      </c>
      <c r="F612" s="28"/>
      <c r="G612" s="28"/>
      <c r="H612" s="28"/>
      <c r="I612" s="28"/>
      <c r="J612" s="28"/>
      <c r="K612" s="28"/>
      <c r="L612" s="28"/>
      <c r="M612" s="28"/>
      <c r="N612" s="28"/>
      <c r="O612" s="96"/>
      <c r="P612" s="96"/>
      <c r="Q612" s="96"/>
      <c r="R612" s="96"/>
      <c r="S612" s="96"/>
      <c r="T612" s="119" t="s">
        <v>9017</v>
      </c>
      <c r="U612" s="96"/>
      <c r="V612" s="96"/>
      <c r="W612" s="96"/>
      <c r="X612" s="96"/>
      <c r="Y612" s="96"/>
      <c r="Z612" s="96"/>
      <c r="AA612" s="96"/>
      <c r="AB612" s="96"/>
      <c r="AC612" s="96"/>
      <c r="AD612" s="96"/>
      <c r="AE612" s="96"/>
      <c r="AF612" s="96"/>
      <c r="AG612" s="96"/>
      <c r="AH612" s="96"/>
      <c r="AI612" s="96"/>
      <c r="AJ612" s="96"/>
      <c r="AK612" s="96"/>
      <c r="AL612" s="96"/>
      <c r="AM612" s="96"/>
      <c r="AN612" s="96"/>
      <c r="AO612" s="70"/>
      <c r="AP612" s="70"/>
      <c r="AQ612" s="70"/>
      <c r="AR612" s="70"/>
      <c r="AS612" s="70"/>
      <c r="AT612" s="70"/>
      <c r="AU612" s="70"/>
      <c r="AV612" s="70"/>
      <c r="AW612" s="70"/>
      <c r="AX612" s="70"/>
    </row>
    <row r="613" ht="15.75" customHeight="1">
      <c r="A613" s="68" t="s">
        <v>463</v>
      </c>
      <c r="B613" s="169" t="s">
        <v>4316</v>
      </c>
      <c r="C613" s="28" t="s">
        <v>4320</v>
      </c>
      <c r="D613" s="183" t="s">
        <v>9030</v>
      </c>
      <c r="E613" s="28" t="s">
        <v>4322</v>
      </c>
      <c r="F613" s="28"/>
      <c r="G613" s="28"/>
      <c r="H613" s="28"/>
      <c r="I613" s="28"/>
      <c r="J613" s="28"/>
      <c r="K613" s="28" t="s">
        <v>9034</v>
      </c>
      <c r="L613" s="28" t="s">
        <v>9036</v>
      </c>
      <c r="M613" s="28" t="s">
        <v>9037</v>
      </c>
      <c r="N613" s="28"/>
      <c r="O613" s="67"/>
      <c r="P613" s="67"/>
      <c r="Q613" s="67" t="s">
        <v>145</v>
      </c>
      <c r="R613" s="67"/>
      <c r="S613" s="67"/>
      <c r="T613" s="67"/>
      <c r="U613" s="67"/>
      <c r="V613" s="67"/>
      <c r="W613" s="67"/>
      <c r="X613" s="67"/>
      <c r="Y613" s="67"/>
      <c r="Z613" s="67"/>
      <c r="AA613" s="67"/>
      <c r="AB613" s="67"/>
      <c r="AC613" s="67"/>
      <c r="AD613" s="67"/>
      <c r="AE613" s="67"/>
      <c r="AF613" s="67"/>
      <c r="AG613" s="67"/>
      <c r="AH613" s="67"/>
      <c r="AI613" s="67"/>
      <c r="AJ613" s="67"/>
      <c r="AK613" s="67"/>
      <c r="AL613" s="67"/>
      <c r="AM613" s="67"/>
      <c r="AN613" s="67"/>
      <c r="AO613" s="70"/>
      <c r="AP613" s="70"/>
      <c r="AQ613" s="70"/>
      <c r="AR613" s="70"/>
      <c r="AS613" s="70"/>
      <c r="AT613" s="70"/>
      <c r="AU613" s="70"/>
      <c r="AV613" s="70"/>
      <c r="AW613" s="70"/>
      <c r="AX613" s="70"/>
    </row>
    <row r="614" ht="15.75" customHeight="1">
      <c r="A614" s="166" t="s">
        <v>41</v>
      </c>
      <c r="B614" s="167" t="s">
        <v>4324</v>
      </c>
      <c r="C614" s="28" t="s">
        <v>4331</v>
      </c>
      <c r="D614" s="28" t="s">
        <v>4332</v>
      </c>
      <c r="E614" s="28" t="s">
        <v>4333</v>
      </c>
      <c r="F614" s="28"/>
      <c r="G614" s="28"/>
      <c r="H614" s="28"/>
      <c r="I614" s="28"/>
      <c r="J614" s="28"/>
      <c r="K614" s="28"/>
      <c r="L614" s="28"/>
      <c r="M614" s="28"/>
      <c r="N614" s="28"/>
      <c r="O614" s="126" t="s">
        <v>8769</v>
      </c>
      <c r="P614" s="126"/>
      <c r="Q614" s="126"/>
      <c r="R614" s="126"/>
      <c r="S614" s="126"/>
      <c r="T614" s="126"/>
      <c r="U614" s="126"/>
      <c r="V614" s="126"/>
      <c r="W614" s="126"/>
      <c r="X614" s="126"/>
      <c r="Y614" s="126"/>
      <c r="Z614" s="126"/>
      <c r="AA614" s="126"/>
      <c r="AB614" s="126"/>
      <c r="AC614" s="126"/>
      <c r="AD614" s="126"/>
      <c r="AE614" s="126"/>
      <c r="AF614" s="126"/>
      <c r="AG614" s="126"/>
      <c r="AH614" s="126"/>
      <c r="AI614" s="126"/>
      <c r="AJ614" s="126"/>
      <c r="AK614" s="126"/>
      <c r="AL614" s="126"/>
      <c r="AM614" s="126"/>
      <c r="AN614" s="126"/>
      <c r="AO614" s="70"/>
      <c r="AP614" s="70"/>
      <c r="AQ614" s="70"/>
      <c r="AR614" s="70"/>
      <c r="AS614" s="70"/>
      <c r="AT614" s="70"/>
      <c r="AU614" s="70"/>
      <c r="AV614" s="70"/>
      <c r="AW614" s="70"/>
      <c r="AX614" s="70"/>
    </row>
    <row r="615" ht="15.75" customHeight="1">
      <c r="A615" s="170" t="s">
        <v>263</v>
      </c>
      <c r="B615" s="171" t="s">
        <v>4334</v>
      </c>
      <c r="C615" s="28" t="s">
        <v>4338</v>
      </c>
      <c r="D615" s="28" t="s">
        <v>4339</v>
      </c>
      <c r="E615" s="28" t="s">
        <v>4340</v>
      </c>
      <c r="F615" s="28"/>
      <c r="G615" s="28"/>
      <c r="H615" s="28"/>
      <c r="I615" s="28"/>
      <c r="J615" s="28"/>
      <c r="K615" s="28" t="s">
        <v>864</v>
      </c>
      <c r="L615" s="28"/>
      <c r="M615" s="28"/>
      <c r="N615" s="28"/>
      <c r="O615" s="173" t="s">
        <v>8769</v>
      </c>
      <c r="P615" s="173"/>
      <c r="Q615" s="173" t="s">
        <v>145</v>
      </c>
      <c r="R615" s="173"/>
      <c r="S615" s="173"/>
      <c r="T615" s="173"/>
      <c r="U615" s="173"/>
      <c r="V615" s="173"/>
      <c r="W615" s="173"/>
      <c r="X615" s="173"/>
      <c r="Y615" s="173"/>
      <c r="Z615" s="173"/>
      <c r="AA615" s="173"/>
      <c r="AB615" s="173"/>
      <c r="AC615" s="173"/>
      <c r="AD615" s="173"/>
      <c r="AE615" s="173"/>
      <c r="AF615" s="173"/>
      <c r="AG615" s="173"/>
      <c r="AH615" s="173"/>
      <c r="AI615" s="173"/>
      <c r="AJ615" s="173"/>
      <c r="AK615" s="173"/>
      <c r="AL615" s="173"/>
      <c r="AM615" s="173"/>
      <c r="AN615" s="173"/>
      <c r="AO615" s="70"/>
      <c r="AP615" s="70"/>
      <c r="AQ615" s="70"/>
      <c r="AR615" s="70"/>
      <c r="AS615" s="70"/>
      <c r="AT615" s="70"/>
      <c r="AU615" s="70"/>
      <c r="AV615" s="70"/>
      <c r="AW615" s="70"/>
      <c r="AX615" s="70"/>
    </row>
    <row r="616" ht="15.75" customHeight="1">
      <c r="A616" s="68" t="s">
        <v>463</v>
      </c>
      <c r="B616" s="169" t="s">
        <v>4341</v>
      </c>
      <c r="C616" s="28" t="s">
        <v>4345</v>
      </c>
      <c r="D616" s="28" t="s">
        <v>4346</v>
      </c>
      <c r="E616" s="28" t="s">
        <v>4347</v>
      </c>
      <c r="F616" s="28" t="s">
        <v>9095</v>
      </c>
      <c r="G616" s="28" t="s">
        <v>9097</v>
      </c>
      <c r="H616" s="28" t="s">
        <v>9099</v>
      </c>
      <c r="I616" s="28"/>
      <c r="J616" s="28"/>
      <c r="K616" s="28"/>
      <c r="L616" s="28"/>
      <c r="M616" s="28"/>
      <c r="N616" s="28"/>
      <c r="O616" s="67" t="s">
        <v>8769</v>
      </c>
      <c r="P616" s="67"/>
      <c r="Q616" s="67" t="s">
        <v>145</v>
      </c>
      <c r="R616" s="67"/>
      <c r="S616" s="67"/>
      <c r="T616" s="67"/>
      <c r="U616" s="67"/>
      <c r="V616" s="67"/>
      <c r="W616" s="67"/>
      <c r="X616" s="67"/>
      <c r="Y616" s="67"/>
      <c r="Z616" s="67"/>
      <c r="AA616" s="67"/>
      <c r="AB616" s="67"/>
      <c r="AC616" s="67"/>
      <c r="AD616" s="67"/>
      <c r="AE616" s="67"/>
      <c r="AF616" s="67"/>
      <c r="AG616" s="67"/>
      <c r="AH616" s="67"/>
      <c r="AI616" s="67"/>
      <c r="AJ616" s="67"/>
      <c r="AK616" s="67"/>
      <c r="AL616" s="67"/>
      <c r="AM616" s="67"/>
      <c r="AN616" s="67"/>
      <c r="AO616" s="70"/>
      <c r="AP616" s="70"/>
      <c r="AQ616" s="70"/>
      <c r="AR616" s="70"/>
      <c r="AS616" s="70"/>
      <c r="AT616" s="70"/>
      <c r="AU616" s="70"/>
      <c r="AV616" s="70"/>
      <c r="AW616" s="70"/>
      <c r="AX616" s="70"/>
    </row>
    <row r="617" ht="15.75" customHeight="1">
      <c r="A617" s="170" t="s">
        <v>263</v>
      </c>
      <c r="B617" s="171" t="s">
        <v>4348</v>
      </c>
      <c r="C617" s="28" t="s">
        <v>4352</v>
      </c>
      <c r="D617" s="28" t="s">
        <v>4353</v>
      </c>
      <c r="E617" s="28" t="s">
        <v>4354</v>
      </c>
      <c r="F617" s="28"/>
      <c r="G617" s="28"/>
      <c r="H617" s="28"/>
      <c r="I617" s="28"/>
      <c r="J617" s="28"/>
      <c r="K617" s="28" t="s">
        <v>864</v>
      </c>
      <c r="L617" s="28"/>
      <c r="M617" s="28"/>
      <c r="N617" s="28"/>
      <c r="O617" s="173" t="s">
        <v>9115</v>
      </c>
      <c r="P617" s="173"/>
      <c r="Q617" s="173" t="s">
        <v>145</v>
      </c>
      <c r="R617" s="173"/>
      <c r="S617" s="173"/>
      <c r="T617" s="173"/>
      <c r="U617" s="173"/>
      <c r="V617" s="173"/>
      <c r="W617" s="173"/>
      <c r="X617" s="173"/>
      <c r="Y617" s="173"/>
      <c r="Z617" s="173"/>
      <c r="AA617" s="173"/>
      <c r="AB617" s="173"/>
      <c r="AC617" s="173"/>
      <c r="AD617" s="173"/>
      <c r="AE617" s="173"/>
      <c r="AF617" s="173"/>
      <c r="AG617" s="173"/>
      <c r="AH617" s="173"/>
      <c r="AI617" s="173"/>
      <c r="AJ617" s="173"/>
      <c r="AK617" s="173"/>
      <c r="AL617" s="173"/>
      <c r="AM617" s="173"/>
      <c r="AN617" s="173"/>
      <c r="AO617" s="70"/>
      <c r="AP617" s="70"/>
      <c r="AQ617" s="70"/>
      <c r="AR617" s="70"/>
      <c r="AS617" s="70"/>
      <c r="AT617" s="70"/>
      <c r="AU617" s="70"/>
      <c r="AV617" s="70"/>
      <c r="AW617" s="70"/>
      <c r="AX617" s="70"/>
    </row>
    <row r="618" ht="15.75" customHeight="1">
      <c r="A618" s="170" t="s">
        <v>263</v>
      </c>
      <c r="B618" s="171" t="s">
        <v>4355</v>
      </c>
      <c r="C618" s="28" t="s">
        <v>4359</v>
      </c>
      <c r="D618" s="28" t="s">
        <v>4361</v>
      </c>
      <c r="E618" s="28" t="s">
        <v>4362</v>
      </c>
      <c r="F618" s="28"/>
      <c r="G618" s="28"/>
      <c r="H618" s="28"/>
      <c r="I618" s="28"/>
      <c r="J618" s="28"/>
      <c r="K618" s="28" t="s">
        <v>864</v>
      </c>
      <c r="L618" s="28"/>
      <c r="M618" s="28"/>
      <c r="N618" s="28"/>
      <c r="O618" s="173" t="s">
        <v>9133</v>
      </c>
      <c r="P618" s="173"/>
      <c r="Q618" s="173" t="s">
        <v>145</v>
      </c>
      <c r="R618" s="173"/>
      <c r="S618" s="173"/>
      <c r="T618" s="173"/>
      <c r="U618" s="173"/>
      <c r="V618" s="173"/>
      <c r="W618" s="173"/>
      <c r="X618" s="173"/>
      <c r="Y618" s="173"/>
      <c r="Z618" s="173"/>
      <c r="AA618" s="173"/>
      <c r="AB618" s="173"/>
      <c r="AC618" s="173"/>
      <c r="AD618" s="173"/>
      <c r="AE618" s="173"/>
      <c r="AF618" s="173"/>
      <c r="AG618" s="173"/>
      <c r="AH618" s="173"/>
      <c r="AI618" s="173"/>
      <c r="AJ618" s="173"/>
      <c r="AK618" s="173"/>
      <c r="AL618" s="173"/>
      <c r="AM618" s="173"/>
      <c r="AN618" s="173"/>
      <c r="AO618" s="70"/>
      <c r="AP618" s="70"/>
      <c r="AQ618" s="70"/>
      <c r="AR618" s="70"/>
      <c r="AS618" s="70"/>
      <c r="AT618" s="70"/>
      <c r="AU618" s="70"/>
      <c r="AV618" s="70"/>
      <c r="AW618" s="70"/>
      <c r="AX618" s="70"/>
    </row>
    <row r="619" ht="15.75" customHeight="1">
      <c r="A619" s="170" t="s">
        <v>263</v>
      </c>
      <c r="B619" s="171" t="s">
        <v>4363</v>
      </c>
      <c r="C619" s="28" t="s">
        <v>4370</v>
      </c>
      <c r="D619" s="28" t="s">
        <v>4371</v>
      </c>
      <c r="E619" s="28" t="s">
        <v>4372</v>
      </c>
      <c r="F619" s="28"/>
      <c r="G619" s="28"/>
      <c r="H619" s="28"/>
      <c r="I619" s="28"/>
      <c r="J619" s="28"/>
      <c r="K619" s="183" t="s">
        <v>8662</v>
      </c>
      <c r="L619" s="28" t="s">
        <v>9155</v>
      </c>
      <c r="M619" s="28"/>
      <c r="N619" s="28"/>
      <c r="O619" s="173" t="s">
        <v>9133</v>
      </c>
      <c r="P619" s="173"/>
      <c r="Q619" s="173" t="s">
        <v>145</v>
      </c>
      <c r="R619" s="173"/>
      <c r="S619" s="173"/>
      <c r="T619" s="173"/>
      <c r="U619" s="173"/>
      <c r="V619" s="173"/>
      <c r="W619" s="173"/>
      <c r="X619" s="173"/>
      <c r="Y619" s="173"/>
      <c r="Z619" s="173"/>
      <c r="AA619" s="173"/>
      <c r="AB619" s="173"/>
      <c r="AC619" s="173"/>
      <c r="AD619" s="173"/>
      <c r="AE619" s="173"/>
      <c r="AF619" s="173"/>
      <c r="AG619" s="173"/>
      <c r="AH619" s="173"/>
      <c r="AI619" s="173"/>
      <c r="AJ619" s="173"/>
      <c r="AK619" s="173"/>
      <c r="AL619" s="173"/>
      <c r="AM619" s="173"/>
      <c r="AN619" s="173"/>
      <c r="AO619" s="70"/>
      <c r="AP619" s="70"/>
      <c r="AQ619" s="70"/>
      <c r="AR619" s="70"/>
      <c r="AS619" s="70"/>
      <c r="AT619" s="70"/>
      <c r="AU619" s="70"/>
      <c r="AV619" s="70"/>
      <c r="AW619" s="70"/>
      <c r="AX619" s="70"/>
    </row>
    <row r="620" ht="15.75" customHeight="1">
      <c r="A620" s="90" t="s">
        <v>78</v>
      </c>
      <c r="B620" s="92" t="s">
        <v>4374</v>
      </c>
      <c r="C620" s="28" t="s">
        <v>4375</v>
      </c>
      <c r="D620" s="28" t="s">
        <v>4376</v>
      </c>
      <c r="E620" s="28" t="s">
        <v>4377</v>
      </c>
      <c r="F620" s="28"/>
      <c r="G620" s="28"/>
      <c r="H620" s="28"/>
      <c r="I620" s="28"/>
      <c r="J620" s="28"/>
      <c r="K620" s="28"/>
      <c r="L620" s="28"/>
      <c r="M620" s="28"/>
      <c r="N620" s="28"/>
      <c r="O620" s="96"/>
      <c r="P620" s="96"/>
      <c r="Q620" s="96"/>
      <c r="R620" s="96"/>
      <c r="S620" s="96"/>
      <c r="T620" s="178" t="s">
        <v>9180</v>
      </c>
      <c r="U620" s="96"/>
      <c r="V620" s="96"/>
      <c r="W620" s="96"/>
      <c r="X620" s="96"/>
      <c r="Y620" s="96"/>
      <c r="Z620" s="96"/>
      <c r="AA620" s="96"/>
      <c r="AB620" s="96"/>
      <c r="AC620" s="96"/>
      <c r="AD620" s="96"/>
      <c r="AE620" s="96"/>
      <c r="AF620" s="96"/>
      <c r="AG620" s="96"/>
      <c r="AH620" s="96"/>
      <c r="AI620" s="96"/>
      <c r="AJ620" s="96"/>
      <c r="AK620" s="96"/>
      <c r="AL620" s="96"/>
      <c r="AM620" s="96"/>
      <c r="AN620" s="96"/>
      <c r="AO620" s="70"/>
      <c r="AP620" s="70"/>
      <c r="AQ620" s="70"/>
      <c r="AR620" s="70"/>
      <c r="AS620" s="70"/>
      <c r="AT620" s="70"/>
      <c r="AU620" s="70"/>
      <c r="AV620" s="70"/>
      <c r="AW620" s="70"/>
      <c r="AX620" s="70"/>
    </row>
    <row r="621" ht="15.75" customHeight="1">
      <c r="A621" s="90" t="s">
        <v>78</v>
      </c>
      <c r="B621" s="92" t="s">
        <v>4381</v>
      </c>
      <c r="C621" s="28" t="s">
        <v>4382</v>
      </c>
      <c r="D621" s="28"/>
      <c r="E621" s="28"/>
      <c r="F621" s="28"/>
      <c r="G621" s="28"/>
      <c r="H621" s="28"/>
      <c r="I621" s="28"/>
      <c r="J621" s="28"/>
      <c r="K621" s="28"/>
      <c r="L621" s="28"/>
      <c r="M621" s="28"/>
      <c r="N621" s="28"/>
      <c r="O621" s="96"/>
      <c r="P621" s="96"/>
      <c r="Q621" s="96"/>
      <c r="R621" s="96"/>
      <c r="S621" s="96"/>
      <c r="T621" s="178" t="s">
        <v>9202</v>
      </c>
      <c r="U621" s="96"/>
      <c r="V621" s="96"/>
      <c r="W621" s="96"/>
      <c r="X621" s="96"/>
      <c r="Y621" s="96"/>
      <c r="Z621" s="96"/>
      <c r="AA621" s="96"/>
      <c r="AB621" s="96"/>
      <c r="AC621" s="96"/>
      <c r="AD621" s="67"/>
      <c r="AE621" s="67"/>
      <c r="AF621" s="67"/>
      <c r="AG621" s="67"/>
      <c r="AH621" s="67"/>
      <c r="AI621" s="67"/>
      <c r="AJ621" s="67"/>
      <c r="AK621" s="67"/>
      <c r="AL621" s="67"/>
      <c r="AM621" s="67"/>
      <c r="AN621" s="67"/>
      <c r="AO621" s="70"/>
      <c r="AP621" s="70"/>
      <c r="AQ621" s="70"/>
      <c r="AR621" s="70"/>
      <c r="AS621" s="70"/>
      <c r="AT621" s="70"/>
      <c r="AU621" s="70"/>
      <c r="AV621" s="70"/>
      <c r="AW621" s="70"/>
      <c r="AX621" s="70"/>
    </row>
    <row r="622" ht="15.75" customHeight="1">
      <c r="A622" s="68" t="s">
        <v>463</v>
      </c>
      <c r="B622" s="169" t="s">
        <v>4389</v>
      </c>
      <c r="C622" s="28" t="s">
        <v>4393</v>
      </c>
      <c r="D622" s="28" t="s">
        <v>4394</v>
      </c>
      <c r="E622" s="28" t="s">
        <v>4395</v>
      </c>
      <c r="F622" s="28"/>
      <c r="G622" s="28"/>
      <c r="H622" s="28"/>
      <c r="I622" s="28"/>
      <c r="J622" s="28"/>
      <c r="K622" s="28" t="s">
        <v>9034</v>
      </c>
      <c r="L622" s="28" t="s">
        <v>9036</v>
      </c>
      <c r="M622" s="28" t="s">
        <v>9037</v>
      </c>
      <c r="N622" s="28"/>
      <c r="O622" s="67" t="s">
        <v>9133</v>
      </c>
      <c r="P622" s="67"/>
      <c r="Q622" s="67" t="s">
        <v>145</v>
      </c>
      <c r="R622" s="67"/>
      <c r="S622" s="67"/>
      <c r="T622" s="67"/>
      <c r="U622" s="67"/>
      <c r="V622" s="67"/>
      <c r="W622" s="67"/>
      <c r="X622" s="67"/>
      <c r="Y622" s="67"/>
      <c r="Z622" s="67"/>
      <c r="AA622" s="67"/>
      <c r="AB622" s="67"/>
      <c r="AC622" s="67"/>
      <c r="AD622" s="67"/>
      <c r="AE622" s="67"/>
      <c r="AF622" s="67"/>
      <c r="AG622" s="67"/>
      <c r="AH622" s="67"/>
      <c r="AI622" s="67"/>
      <c r="AJ622" s="67"/>
      <c r="AK622" s="67"/>
      <c r="AL622" s="67"/>
      <c r="AM622" s="67"/>
      <c r="AN622" s="67"/>
      <c r="AO622" s="70"/>
      <c r="AP622" s="70"/>
      <c r="AQ622" s="70"/>
      <c r="AR622" s="70"/>
      <c r="AS622" s="70"/>
      <c r="AT622" s="70"/>
      <c r="AU622" s="70"/>
      <c r="AV622" s="70"/>
      <c r="AW622" s="70"/>
      <c r="AX622" s="70"/>
    </row>
    <row r="623" ht="15.75" customHeight="1">
      <c r="A623" s="65" t="s">
        <v>134</v>
      </c>
      <c r="B623" s="66" t="s">
        <v>4396</v>
      </c>
      <c r="C623" s="28"/>
      <c r="D623" s="28"/>
      <c r="E623" s="28"/>
      <c r="F623" s="28"/>
      <c r="G623" s="28"/>
      <c r="H623" s="28"/>
      <c r="I623" s="28"/>
      <c r="J623" s="28"/>
      <c r="K623" s="28"/>
      <c r="L623" s="28"/>
      <c r="M623" s="28"/>
      <c r="N623" s="28"/>
      <c r="O623" s="67"/>
      <c r="P623" s="68"/>
      <c r="Q623" s="68"/>
      <c r="R623" s="67"/>
      <c r="S623" s="67"/>
      <c r="T623" s="65" t="s">
        <v>139</v>
      </c>
      <c r="U623" s="67"/>
      <c r="V623" s="67"/>
      <c r="W623" s="67"/>
      <c r="X623" s="67"/>
      <c r="Y623" s="67"/>
      <c r="Z623" s="67"/>
      <c r="AA623" s="67"/>
      <c r="AB623" s="67"/>
      <c r="AC623" s="67"/>
      <c r="AD623" s="67"/>
      <c r="AE623" s="67"/>
      <c r="AF623" s="67"/>
      <c r="AG623" s="67"/>
      <c r="AH623" s="67"/>
      <c r="AI623" s="67"/>
      <c r="AJ623" s="67"/>
      <c r="AK623" s="67"/>
      <c r="AL623" s="67"/>
      <c r="AM623" s="67"/>
      <c r="AN623" s="67"/>
      <c r="AO623" s="67"/>
      <c r="AP623" s="67"/>
      <c r="AQ623" s="67"/>
      <c r="AR623" s="67"/>
      <c r="AS623" s="67"/>
      <c r="AT623" s="67"/>
      <c r="AU623" s="67"/>
      <c r="AV623" s="67"/>
      <c r="AW623" s="67"/>
      <c r="AX623" s="67"/>
    </row>
    <row r="624" ht="15.75" customHeight="1">
      <c r="A624" s="58" t="s">
        <v>78</v>
      </c>
      <c r="B624" s="58" t="s">
        <v>4404</v>
      </c>
      <c r="C624" s="28"/>
      <c r="D624" s="28"/>
      <c r="E624" s="28"/>
      <c r="F624" s="28"/>
      <c r="G624" s="28"/>
      <c r="H624" s="28"/>
      <c r="I624" s="28"/>
      <c r="J624" s="28"/>
      <c r="K624" s="28"/>
      <c r="L624" s="28"/>
      <c r="M624" s="28"/>
      <c r="N624" s="28"/>
      <c r="O624" s="58"/>
      <c r="P624" s="24"/>
      <c r="Q624" s="24"/>
      <c r="R624" s="24"/>
      <c r="S624" s="24"/>
      <c r="T624" s="58" t="s">
        <v>9261</v>
      </c>
      <c r="U624" s="24"/>
      <c r="V624" s="24"/>
      <c r="W624" s="24"/>
      <c r="X624" s="24"/>
      <c r="Y624" s="24"/>
      <c r="Z624" s="24"/>
      <c r="AA624" s="24"/>
      <c r="AB624" s="24"/>
      <c r="AC624" s="24"/>
      <c r="AD624" s="24"/>
      <c r="AE624" s="24"/>
      <c r="AF624" s="24"/>
      <c r="AG624" s="24"/>
      <c r="AH624" s="24"/>
      <c r="AI624" s="24"/>
      <c r="AJ624" s="24"/>
      <c r="AK624" s="24"/>
      <c r="AL624" s="24"/>
      <c r="AM624" s="24"/>
      <c r="AN624" s="24"/>
      <c r="AO624" s="24"/>
      <c r="AP624" s="24"/>
      <c r="AQ624" s="24"/>
      <c r="AR624" s="24"/>
      <c r="AS624" s="24"/>
      <c r="AT624" s="24"/>
      <c r="AU624" s="24"/>
      <c r="AV624" s="24"/>
      <c r="AW624" s="24"/>
      <c r="AX624" s="24"/>
    </row>
    <row r="625" ht="15.75" customHeight="1">
      <c r="A625" s="140" t="s">
        <v>237</v>
      </c>
      <c r="B625" s="191" t="s">
        <v>4140</v>
      </c>
      <c r="C625" s="28" t="s">
        <v>4142</v>
      </c>
      <c r="D625" s="28" t="s">
        <v>4143</v>
      </c>
      <c r="E625" s="28" t="s">
        <v>4145</v>
      </c>
      <c r="F625" s="28"/>
      <c r="G625" s="28"/>
      <c r="H625" s="28"/>
      <c r="I625" s="28"/>
      <c r="J625" s="28"/>
      <c r="K625" s="28"/>
      <c r="L625" s="28"/>
      <c r="M625" s="28"/>
      <c r="N625" s="28"/>
      <c r="O625" s="139"/>
      <c r="P625" s="139"/>
      <c r="Q625" s="139"/>
      <c r="R625" s="139"/>
      <c r="S625" s="139"/>
      <c r="T625" s="139"/>
      <c r="U625" s="139"/>
      <c r="V625" s="139"/>
      <c r="W625" s="139"/>
      <c r="X625" s="139"/>
      <c r="Y625" s="139"/>
      <c r="Z625" s="139"/>
      <c r="AA625" s="139"/>
      <c r="AB625" s="139"/>
      <c r="AC625" s="139"/>
      <c r="AD625" s="139"/>
      <c r="AE625" s="139"/>
      <c r="AF625" s="139"/>
      <c r="AG625" s="139"/>
      <c r="AH625" s="139"/>
      <c r="AI625" s="139"/>
      <c r="AJ625" s="139"/>
      <c r="AK625" s="139"/>
      <c r="AL625" s="139"/>
      <c r="AM625" s="139"/>
      <c r="AN625" s="139"/>
      <c r="AO625" s="70"/>
      <c r="AP625" s="70"/>
      <c r="AQ625" s="70"/>
      <c r="AR625" s="70"/>
      <c r="AS625" s="70"/>
      <c r="AT625" s="70"/>
      <c r="AU625" s="70"/>
      <c r="AV625" s="70"/>
      <c r="AW625" s="70"/>
      <c r="AX625" s="70"/>
    </row>
    <row r="626" ht="15.75" customHeight="1">
      <c r="A626" s="140"/>
      <c r="B626" s="164"/>
      <c r="C626" s="28"/>
      <c r="D626" s="28"/>
      <c r="E626" s="28"/>
      <c r="F626" s="28"/>
      <c r="G626" s="28"/>
      <c r="H626" s="28"/>
      <c r="I626" s="28"/>
      <c r="J626" s="28"/>
      <c r="K626" s="28"/>
      <c r="L626" s="28"/>
      <c r="M626" s="28"/>
      <c r="N626" s="28"/>
      <c r="O626" s="190"/>
      <c r="P626" s="139"/>
      <c r="Q626" s="139"/>
      <c r="R626" s="139"/>
      <c r="S626" s="139"/>
      <c r="T626" s="139"/>
      <c r="U626" s="139"/>
      <c r="V626" s="139"/>
      <c r="W626" s="139"/>
      <c r="X626" s="139"/>
      <c r="Y626" s="139"/>
      <c r="Z626" s="139"/>
      <c r="AA626" s="139"/>
      <c r="AB626" s="139"/>
      <c r="AC626" s="139"/>
      <c r="AD626" s="139"/>
      <c r="AE626" s="139"/>
      <c r="AF626" s="139"/>
      <c r="AG626" s="139"/>
      <c r="AH626" s="139"/>
      <c r="AI626" s="139"/>
      <c r="AJ626" s="139"/>
      <c r="AK626" s="139"/>
      <c r="AL626" s="139"/>
      <c r="AM626" s="139"/>
      <c r="AN626" s="139"/>
      <c r="AO626" s="70"/>
      <c r="AP626" s="70"/>
      <c r="AQ626" s="70"/>
      <c r="AR626" s="70"/>
      <c r="AS626" s="70"/>
      <c r="AT626" s="70"/>
      <c r="AU626" s="70"/>
      <c r="AV626" s="70"/>
      <c r="AW626" s="70"/>
      <c r="AX626" s="70"/>
    </row>
    <row r="627">
      <c r="A627" s="136"/>
      <c r="B627" s="136"/>
      <c r="C627" s="28"/>
      <c r="D627" s="28"/>
      <c r="E627" s="28"/>
      <c r="F627" s="28"/>
      <c r="G627" s="28"/>
      <c r="H627" s="28"/>
      <c r="I627" s="28"/>
      <c r="J627" s="28"/>
      <c r="K627" s="28"/>
      <c r="L627" s="28"/>
      <c r="M627" s="28"/>
      <c r="N627" s="28"/>
      <c r="O627" s="136"/>
      <c r="P627" s="136"/>
      <c r="Q627" s="136"/>
      <c r="R627" s="136"/>
      <c r="S627" s="136"/>
      <c r="T627" s="136"/>
      <c r="U627" s="136"/>
      <c r="V627" s="136"/>
      <c r="W627" s="136"/>
      <c r="X627" s="136"/>
      <c r="Y627" s="136"/>
      <c r="Z627" s="136"/>
      <c r="AA627" s="136"/>
      <c r="AB627" s="136"/>
      <c r="AC627" s="136"/>
      <c r="AD627" s="136"/>
      <c r="AE627" s="136"/>
      <c r="AF627" s="136"/>
      <c r="AG627" s="136"/>
      <c r="AH627" s="136"/>
      <c r="AI627" s="136"/>
      <c r="AJ627" s="136"/>
      <c r="AK627" s="136"/>
      <c r="AL627" s="136"/>
      <c r="AM627" s="136"/>
      <c r="AN627" s="136"/>
      <c r="AO627" s="136"/>
      <c r="AP627" s="136"/>
      <c r="AQ627" s="136"/>
      <c r="AR627" s="136"/>
      <c r="AS627" s="136"/>
      <c r="AT627" s="136"/>
      <c r="AU627" s="136"/>
      <c r="AV627" s="136"/>
      <c r="AW627" s="136"/>
      <c r="AX627" s="136"/>
    </row>
    <row r="628" ht="15.75" customHeight="1">
      <c r="A628" s="140" t="s">
        <v>131</v>
      </c>
      <c r="B628" s="164" t="s">
        <v>4417</v>
      </c>
      <c r="C628" s="28" t="s">
        <v>4418</v>
      </c>
      <c r="D628" s="28" t="s">
        <v>4419</v>
      </c>
      <c r="E628" s="28" t="s">
        <v>4420</v>
      </c>
      <c r="F628" s="28"/>
      <c r="G628" s="28"/>
      <c r="H628" s="28"/>
      <c r="I628" s="28"/>
      <c r="J628" s="28"/>
      <c r="K628" s="28"/>
      <c r="L628" s="28"/>
      <c r="M628" s="28"/>
      <c r="N628" s="28"/>
      <c r="O628" s="190" t="s">
        <v>9328</v>
      </c>
      <c r="P628" s="139"/>
      <c r="Q628" s="139"/>
      <c r="R628" s="139"/>
      <c r="S628" s="139"/>
      <c r="T628" s="139"/>
      <c r="U628" s="139"/>
      <c r="V628" s="139"/>
      <c r="W628" s="139"/>
      <c r="X628" s="139"/>
      <c r="Y628" s="139"/>
      <c r="Z628" s="139"/>
      <c r="AA628" s="139"/>
      <c r="AB628" s="139"/>
      <c r="AC628" s="139"/>
      <c r="AD628" s="139"/>
      <c r="AE628" s="139"/>
      <c r="AF628" s="139"/>
      <c r="AG628" s="139"/>
      <c r="AH628" s="139"/>
      <c r="AI628" s="139"/>
      <c r="AJ628" s="139"/>
      <c r="AK628" s="139"/>
      <c r="AL628" s="139"/>
      <c r="AM628" s="139"/>
      <c r="AN628" s="139"/>
      <c r="AO628" s="70"/>
      <c r="AP628" s="70"/>
      <c r="AQ628" s="70"/>
      <c r="AR628" s="70"/>
      <c r="AS628" s="70"/>
      <c r="AT628" s="70"/>
      <c r="AU628" s="70"/>
      <c r="AV628" s="70"/>
      <c r="AW628" s="70"/>
      <c r="AX628" s="70"/>
    </row>
    <row r="629" ht="15.75" customHeight="1">
      <c r="A629" s="65" t="s">
        <v>134</v>
      </c>
      <c r="B629" s="66" t="s">
        <v>4422</v>
      </c>
      <c r="C629" s="28"/>
      <c r="D629" s="28"/>
      <c r="E629" s="28"/>
      <c r="F629" s="28"/>
      <c r="G629" s="28"/>
      <c r="H629" s="28"/>
      <c r="I629" s="28"/>
      <c r="J629" s="28"/>
      <c r="K629" s="28"/>
      <c r="L629" s="28"/>
      <c r="M629" s="28"/>
      <c r="N629" s="28"/>
      <c r="O629" s="67"/>
      <c r="P629" s="68"/>
      <c r="Q629" s="68"/>
      <c r="R629" s="67"/>
      <c r="S629" s="67"/>
      <c r="T629" s="65" t="s">
        <v>139</v>
      </c>
      <c r="U629" s="67"/>
      <c r="V629" s="67"/>
      <c r="W629" s="67"/>
      <c r="X629" s="67"/>
      <c r="Y629" s="67"/>
      <c r="Z629" s="67"/>
      <c r="AA629" s="67"/>
      <c r="AB629" s="67"/>
      <c r="AC629" s="67"/>
      <c r="AD629" s="67"/>
      <c r="AE629" s="67"/>
      <c r="AF629" s="67"/>
      <c r="AG629" s="67"/>
      <c r="AH629" s="67"/>
      <c r="AI629" s="67"/>
      <c r="AJ629" s="67"/>
      <c r="AK629" s="67"/>
      <c r="AL629" s="67"/>
      <c r="AM629" s="67"/>
      <c r="AN629" s="67"/>
      <c r="AO629" s="67"/>
      <c r="AP629" s="67"/>
      <c r="AQ629" s="67"/>
      <c r="AR629" s="67"/>
      <c r="AS629" s="67"/>
      <c r="AT629" s="67"/>
      <c r="AU629" s="67"/>
      <c r="AV629" s="67"/>
      <c r="AW629" s="67"/>
      <c r="AX629" s="67"/>
    </row>
    <row r="630" ht="15.75" customHeight="1">
      <c r="A630" s="68" t="s">
        <v>1016</v>
      </c>
      <c r="B630" s="169" t="s">
        <v>4426</v>
      </c>
      <c r="C630" s="28" t="s">
        <v>4430</v>
      </c>
      <c r="D630" s="28" t="s">
        <v>4431</v>
      </c>
      <c r="E630" s="28" t="s">
        <v>4432</v>
      </c>
      <c r="F630" s="28" t="s">
        <v>7285</v>
      </c>
      <c r="G630" s="28" t="s">
        <v>7286</v>
      </c>
      <c r="H630" s="28" t="s">
        <v>7288</v>
      </c>
      <c r="I630" s="28"/>
      <c r="J630" s="28"/>
      <c r="K630" s="28"/>
      <c r="L630" s="28"/>
      <c r="M630" s="28"/>
      <c r="N630" s="28"/>
      <c r="O630" s="67"/>
      <c r="P630" s="67"/>
      <c r="Q630" s="67" t="s">
        <v>145</v>
      </c>
      <c r="R630" s="67"/>
      <c r="S630" s="67"/>
      <c r="T630" s="67"/>
      <c r="U630" s="67"/>
      <c r="V630" s="67"/>
      <c r="W630" s="67"/>
      <c r="X630" s="67"/>
      <c r="Y630" s="67"/>
      <c r="Z630" s="67"/>
      <c r="AA630" s="67"/>
      <c r="AB630" s="67"/>
      <c r="AC630" s="67"/>
      <c r="AD630" s="67"/>
      <c r="AE630" s="67"/>
      <c r="AF630" s="67"/>
      <c r="AG630" s="67"/>
      <c r="AH630" s="67"/>
      <c r="AI630" s="67"/>
      <c r="AJ630" s="67"/>
      <c r="AK630" s="67"/>
      <c r="AL630" s="67"/>
      <c r="AM630" s="67"/>
      <c r="AN630" s="67"/>
      <c r="AO630" s="70"/>
      <c r="AP630" s="70"/>
      <c r="AQ630" s="70"/>
      <c r="AR630" s="70"/>
      <c r="AS630" s="70"/>
      <c r="AT630" s="70"/>
      <c r="AU630" s="70"/>
      <c r="AV630" s="70"/>
      <c r="AW630" s="70"/>
      <c r="AX630" s="70"/>
    </row>
    <row r="631" ht="15.75" customHeight="1">
      <c r="A631" s="68" t="s">
        <v>4433</v>
      </c>
      <c r="B631" s="169" t="s">
        <v>4434</v>
      </c>
      <c r="C631" s="28" t="s">
        <v>4439</v>
      </c>
      <c r="D631" s="28" t="s">
        <v>4441</v>
      </c>
      <c r="E631" s="28" t="s">
        <v>4443</v>
      </c>
      <c r="F631" s="28"/>
      <c r="G631" s="28"/>
      <c r="H631" s="28"/>
      <c r="I631" s="28"/>
      <c r="J631" s="28"/>
      <c r="K631" s="28"/>
      <c r="L631" s="28"/>
      <c r="M631" s="28"/>
      <c r="N631" s="28"/>
      <c r="O631" s="67"/>
      <c r="P631" s="67"/>
      <c r="Q631" s="67" t="s">
        <v>145</v>
      </c>
      <c r="R631" s="67"/>
      <c r="S631" s="67"/>
      <c r="T631" s="67"/>
      <c r="U631" s="67"/>
      <c r="V631" s="67"/>
      <c r="W631" s="67"/>
      <c r="X631" s="67"/>
      <c r="Y631" s="67"/>
      <c r="Z631" s="67"/>
      <c r="AA631" s="67"/>
      <c r="AB631" s="67"/>
      <c r="AC631" s="67"/>
      <c r="AD631" s="67"/>
      <c r="AE631" s="67"/>
      <c r="AF631" s="67"/>
      <c r="AG631" s="67"/>
      <c r="AH631" s="67"/>
      <c r="AI631" s="67"/>
      <c r="AJ631" s="67"/>
      <c r="AK631" s="67"/>
      <c r="AL631" s="67"/>
      <c r="AM631" s="67"/>
      <c r="AN631" s="67"/>
      <c r="AO631" s="70"/>
      <c r="AP631" s="70"/>
      <c r="AQ631" s="70"/>
      <c r="AR631" s="70"/>
      <c r="AS631" s="70"/>
      <c r="AT631" s="70"/>
      <c r="AU631" s="70"/>
      <c r="AV631" s="70"/>
      <c r="AW631" s="70"/>
      <c r="AX631" s="70"/>
    </row>
    <row r="632" ht="15.75" customHeight="1">
      <c r="A632" s="68" t="s">
        <v>4445</v>
      </c>
      <c r="B632" s="218" t="s">
        <v>4447</v>
      </c>
      <c r="C632" s="28" t="s">
        <v>4451</v>
      </c>
      <c r="D632" s="28" t="s">
        <v>4452</v>
      </c>
      <c r="E632" s="28" t="s">
        <v>4453</v>
      </c>
      <c r="F632" s="28"/>
      <c r="G632" s="28"/>
      <c r="H632" s="28"/>
      <c r="I632" s="28"/>
      <c r="J632" s="28"/>
      <c r="K632" s="28" t="s">
        <v>1257</v>
      </c>
      <c r="L632" s="28"/>
      <c r="M632" s="28"/>
      <c r="N632" s="28"/>
      <c r="O632" s="67"/>
      <c r="P632" s="67"/>
      <c r="Q632" s="67" t="s">
        <v>145</v>
      </c>
      <c r="R632" s="67"/>
      <c r="S632" s="67"/>
      <c r="T632" s="67"/>
      <c r="U632" s="67"/>
      <c r="V632" s="67"/>
      <c r="W632" s="67"/>
      <c r="X632" s="67"/>
      <c r="Y632" s="67"/>
      <c r="Z632" s="67"/>
      <c r="AA632" s="67"/>
      <c r="AB632" s="67"/>
      <c r="AC632" s="67"/>
      <c r="AD632" s="67"/>
      <c r="AE632" s="67"/>
      <c r="AF632" s="67"/>
      <c r="AG632" s="67"/>
      <c r="AH632" s="67"/>
      <c r="AI632" s="67"/>
      <c r="AJ632" s="67"/>
      <c r="AK632" s="67"/>
      <c r="AL632" s="67"/>
      <c r="AM632" s="67"/>
      <c r="AN632" s="67"/>
      <c r="AO632" s="70"/>
      <c r="AP632" s="70"/>
      <c r="AQ632" s="70"/>
      <c r="AR632" s="70"/>
      <c r="AS632" s="70"/>
      <c r="AT632" s="70"/>
      <c r="AU632" s="70"/>
      <c r="AV632" s="70"/>
      <c r="AW632" s="70"/>
      <c r="AX632" s="70"/>
    </row>
    <row r="633" ht="15.75" customHeight="1">
      <c r="A633" s="170" t="s">
        <v>263</v>
      </c>
      <c r="B633" s="171" t="s">
        <v>4454</v>
      </c>
      <c r="C633" s="28" t="s">
        <v>4458</v>
      </c>
      <c r="D633" s="28" t="s">
        <v>4459</v>
      </c>
      <c r="E633" s="28" t="s">
        <v>4460</v>
      </c>
      <c r="F633" s="28"/>
      <c r="G633" s="28"/>
      <c r="H633" s="28"/>
      <c r="I633" s="28"/>
      <c r="J633" s="28"/>
      <c r="K633" s="28" t="s">
        <v>9386</v>
      </c>
      <c r="L633" s="28" t="s">
        <v>9388</v>
      </c>
      <c r="M633" s="28"/>
      <c r="N633" s="28"/>
      <c r="O633" s="172" t="s">
        <v>9392</v>
      </c>
      <c r="P633" s="173"/>
      <c r="Q633" s="173" t="s">
        <v>145</v>
      </c>
      <c r="R633" s="173"/>
      <c r="S633" s="173"/>
      <c r="T633" s="173"/>
      <c r="U633" s="173"/>
      <c r="V633" s="173"/>
      <c r="W633" s="173"/>
      <c r="X633" s="173"/>
      <c r="Y633" s="173"/>
      <c r="Z633" s="173"/>
      <c r="AA633" s="173"/>
      <c r="AB633" s="173"/>
      <c r="AC633" s="173"/>
      <c r="AD633" s="173"/>
      <c r="AE633" s="173"/>
      <c r="AF633" s="173"/>
      <c r="AG633" s="173"/>
      <c r="AH633" s="173"/>
      <c r="AI633" s="173"/>
      <c r="AJ633" s="173"/>
      <c r="AK633" s="173"/>
      <c r="AL633" s="173"/>
      <c r="AM633" s="173"/>
      <c r="AN633" s="173"/>
      <c r="AO633" s="70"/>
      <c r="AP633" s="70"/>
      <c r="AQ633" s="70"/>
      <c r="AR633" s="70"/>
      <c r="AS633" s="70"/>
      <c r="AT633" s="70"/>
      <c r="AU633" s="70"/>
      <c r="AV633" s="70"/>
      <c r="AW633" s="70"/>
      <c r="AX633" s="70"/>
    </row>
    <row r="634" ht="15.75" customHeight="1">
      <c r="A634" s="68" t="s">
        <v>4445</v>
      </c>
      <c r="B634" s="218" t="s">
        <v>4462</v>
      </c>
      <c r="C634" s="28" t="s">
        <v>4469</v>
      </c>
      <c r="D634" s="28" t="s">
        <v>4470</v>
      </c>
      <c r="E634" s="28" t="s">
        <v>4471</v>
      </c>
      <c r="F634" s="28"/>
      <c r="G634" s="28"/>
      <c r="H634" s="28"/>
      <c r="I634" s="28"/>
      <c r="J634" s="28"/>
      <c r="K634" s="28" t="s">
        <v>1257</v>
      </c>
      <c r="L634" s="28"/>
      <c r="M634" s="28"/>
      <c r="N634" s="28"/>
      <c r="O634" s="67"/>
      <c r="P634" s="173"/>
      <c r="Q634" s="173" t="s">
        <v>145</v>
      </c>
      <c r="R634" s="67"/>
      <c r="S634" s="67"/>
      <c r="T634" s="67"/>
      <c r="U634" s="67"/>
      <c r="V634" s="67"/>
      <c r="W634" s="67"/>
      <c r="X634" s="67"/>
      <c r="Y634" s="67"/>
      <c r="Z634" s="67"/>
      <c r="AA634" s="67"/>
      <c r="AB634" s="67"/>
      <c r="AC634" s="67"/>
      <c r="AD634" s="67"/>
      <c r="AE634" s="67"/>
      <c r="AF634" s="67"/>
      <c r="AG634" s="67"/>
      <c r="AH634" s="67"/>
      <c r="AI634" s="67"/>
      <c r="AJ634" s="67"/>
      <c r="AK634" s="67"/>
      <c r="AL634" s="67"/>
      <c r="AM634" s="67"/>
      <c r="AN634" s="67"/>
      <c r="AO634" s="70"/>
      <c r="AP634" s="70"/>
      <c r="AQ634" s="70"/>
      <c r="AR634" s="70"/>
      <c r="AS634" s="70"/>
      <c r="AT634" s="70"/>
      <c r="AU634" s="70"/>
      <c r="AV634" s="70"/>
      <c r="AW634" s="70"/>
      <c r="AX634" s="70"/>
    </row>
    <row r="635" ht="15.75" customHeight="1">
      <c r="A635" s="170" t="s">
        <v>263</v>
      </c>
      <c r="B635" s="271" t="s">
        <v>4472</v>
      </c>
      <c r="C635" s="28" t="s">
        <v>4473</v>
      </c>
      <c r="D635" s="28" t="s">
        <v>4479</v>
      </c>
      <c r="E635" s="28" t="s">
        <v>4480</v>
      </c>
      <c r="F635" s="28"/>
      <c r="G635" s="28"/>
      <c r="H635" s="28"/>
      <c r="I635" s="28"/>
      <c r="J635" s="28"/>
      <c r="K635" s="28" t="s">
        <v>9386</v>
      </c>
      <c r="L635" s="28" t="s">
        <v>9388</v>
      </c>
      <c r="M635" s="28"/>
      <c r="N635" s="28"/>
      <c r="O635" s="172" t="s">
        <v>9422</v>
      </c>
      <c r="P635" s="173"/>
      <c r="Q635" s="173" t="s">
        <v>145</v>
      </c>
      <c r="R635" s="67"/>
      <c r="S635" s="67"/>
      <c r="T635" s="67"/>
      <c r="U635" s="67"/>
      <c r="V635" s="67"/>
      <c r="W635" s="67"/>
      <c r="X635" s="67"/>
      <c r="Y635" s="67"/>
      <c r="Z635" s="67"/>
      <c r="AA635" s="67"/>
      <c r="AB635" s="67"/>
      <c r="AC635" s="67"/>
      <c r="AD635" s="67"/>
      <c r="AE635" s="67"/>
      <c r="AF635" s="67"/>
      <c r="AG635" s="67"/>
      <c r="AH635" s="67"/>
      <c r="AI635" s="67"/>
      <c r="AJ635" s="67"/>
      <c r="AK635" s="67"/>
      <c r="AL635" s="67"/>
      <c r="AM635" s="67"/>
      <c r="AN635" s="67"/>
      <c r="AO635" s="70"/>
      <c r="AP635" s="70"/>
      <c r="AQ635" s="70"/>
      <c r="AR635" s="70"/>
      <c r="AS635" s="70"/>
      <c r="AT635" s="70"/>
      <c r="AU635" s="70"/>
      <c r="AV635" s="70"/>
      <c r="AW635" s="70"/>
      <c r="AX635" s="70"/>
    </row>
    <row r="636" ht="15.75" customHeight="1">
      <c r="A636" s="68" t="s">
        <v>4445</v>
      </c>
      <c r="B636" s="218" t="s">
        <v>4481</v>
      </c>
      <c r="C636" s="28" t="s">
        <v>4482</v>
      </c>
      <c r="D636" s="28" t="s">
        <v>4485</v>
      </c>
      <c r="E636" s="28" t="s">
        <v>4486</v>
      </c>
      <c r="F636" s="28"/>
      <c r="G636" s="28"/>
      <c r="H636" s="28"/>
      <c r="I636" s="28"/>
      <c r="J636" s="28"/>
      <c r="K636" s="28" t="s">
        <v>1257</v>
      </c>
      <c r="L636" s="28"/>
      <c r="M636" s="28"/>
      <c r="N636" s="28"/>
      <c r="O636" s="67"/>
      <c r="P636" s="67"/>
      <c r="Q636" s="67" t="s">
        <v>145</v>
      </c>
      <c r="R636" s="67"/>
      <c r="S636" s="67"/>
      <c r="T636" s="67"/>
      <c r="U636" s="67"/>
      <c r="V636" s="67"/>
      <c r="W636" s="67"/>
      <c r="X636" s="67"/>
      <c r="Y636" s="67"/>
      <c r="Z636" s="67"/>
      <c r="AA636" s="67"/>
      <c r="AB636" s="67"/>
      <c r="AC636" s="67"/>
      <c r="AD636" s="67"/>
      <c r="AE636" s="67"/>
      <c r="AF636" s="67"/>
      <c r="AG636" s="67"/>
      <c r="AH636" s="67"/>
      <c r="AI636" s="67"/>
      <c r="AJ636" s="67"/>
      <c r="AK636" s="67"/>
      <c r="AL636" s="67"/>
      <c r="AM636" s="67"/>
      <c r="AN636" s="67"/>
      <c r="AO636" s="70"/>
      <c r="AP636" s="70"/>
      <c r="AQ636" s="70"/>
      <c r="AR636" s="70"/>
      <c r="AS636" s="70"/>
      <c r="AT636" s="70"/>
      <c r="AU636" s="70"/>
      <c r="AV636" s="70"/>
      <c r="AW636" s="70"/>
      <c r="AX636" s="70"/>
    </row>
    <row r="637" ht="15.75" customHeight="1">
      <c r="A637" s="170" t="s">
        <v>263</v>
      </c>
      <c r="B637" s="171" t="s">
        <v>4487</v>
      </c>
      <c r="C637" s="28" t="s">
        <v>4488</v>
      </c>
      <c r="D637" s="28" t="s">
        <v>4491</v>
      </c>
      <c r="E637" s="28" t="s">
        <v>4492</v>
      </c>
      <c r="F637" s="28"/>
      <c r="G637" s="28"/>
      <c r="H637" s="28"/>
      <c r="I637" s="28"/>
      <c r="J637" s="28"/>
      <c r="K637" s="28" t="s">
        <v>864</v>
      </c>
      <c r="L637" s="28"/>
      <c r="M637" s="28"/>
      <c r="N637" s="28"/>
      <c r="O637" s="172" t="s">
        <v>9462</v>
      </c>
      <c r="P637" s="173"/>
      <c r="Q637" s="173" t="s">
        <v>145</v>
      </c>
      <c r="R637" s="173"/>
      <c r="S637" s="173"/>
      <c r="T637" s="173"/>
      <c r="U637" s="173"/>
      <c r="V637" s="173"/>
      <c r="W637" s="173"/>
      <c r="X637" s="173"/>
      <c r="Y637" s="173"/>
      <c r="Z637" s="173"/>
      <c r="AA637" s="173"/>
      <c r="AB637" s="173"/>
      <c r="AC637" s="173"/>
      <c r="AD637" s="173"/>
      <c r="AE637" s="173"/>
      <c r="AF637" s="173"/>
      <c r="AG637" s="173"/>
      <c r="AH637" s="173"/>
      <c r="AI637" s="173"/>
      <c r="AJ637" s="173"/>
      <c r="AK637" s="173"/>
      <c r="AL637" s="173"/>
      <c r="AM637" s="173"/>
      <c r="AN637" s="173"/>
      <c r="AO637" s="70"/>
      <c r="AP637" s="70"/>
      <c r="AQ637" s="70"/>
      <c r="AR637" s="70"/>
      <c r="AS637" s="70"/>
      <c r="AT637" s="70"/>
      <c r="AU637" s="70"/>
      <c r="AV637" s="70"/>
      <c r="AW637" s="70"/>
      <c r="AX637" s="70"/>
    </row>
    <row r="638" ht="15.75" customHeight="1">
      <c r="A638" s="65" t="s">
        <v>134</v>
      </c>
      <c r="B638" s="66" t="s">
        <v>4494</v>
      </c>
      <c r="C638" s="28"/>
      <c r="D638" s="28"/>
      <c r="E638" s="28"/>
      <c r="F638" s="28"/>
      <c r="G638" s="28"/>
      <c r="H638" s="28"/>
      <c r="I638" s="28"/>
      <c r="J638" s="28"/>
      <c r="K638" s="28"/>
      <c r="L638" s="28"/>
      <c r="M638" s="28"/>
      <c r="N638" s="28"/>
      <c r="O638" s="67"/>
      <c r="P638" s="68"/>
      <c r="Q638" s="68"/>
      <c r="R638" s="67"/>
      <c r="S638" s="67"/>
      <c r="T638" s="65" t="s">
        <v>139</v>
      </c>
      <c r="U638" s="67"/>
      <c r="V638" s="67"/>
      <c r="W638" s="67"/>
      <c r="X638" s="67"/>
      <c r="Y638" s="67"/>
      <c r="Z638" s="67"/>
      <c r="AA638" s="67"/>
      <c r="AB638" s="67"/>
      <c r="AC638" s="67"/>
      <c r="AD638" s="67"/>
      <c r="AE638" s="67"/>
      <c r="AF638" s="67"/>
      <c r="AG638" s="67"/>
      <c r="AH638" s="67"/>
      <c r="AI638" s="67"/>
      <c r="AJ638" s="67"/>
      <c r="AK638" s="67"/>
      <c r="AL638" s="67"/>
      <c r="AM638" s="67"/>
      <c r="AN638" s="67"/>
      <c r="AO638" s="67"/>
      <c r="AP638" s="67"/>
      <c r="AQ638" s="67"/>
      <c r="AR638" s="67"/>
      <c r="AS638" s="67"/>
      <c r="AT638" s="67"/>
      <c r="AU638" s="67"/>
      <c r="AV638" s="67"/>
      <c r="AW638" s="67"/>
      <c r="AX638" s="67"/>
    </row>
    <row r="639" ht="15.75" customHeight="1">
      <c r="A639" s="137" t="s">
        <v>78</v>
      </c>
      <c r="B639" s="272" t="s">
        <v>4497</v>
      </c>
      <c r="C639" s="28"/>
      <c r="D639" s="28"/>
      <c r="E639" s="28"/>
      <c r="F639" s="28"/>
      <c r="G639" s="28"/>
      <c r="H639" s="28"/>
      <c r="I639" s="28"/>
      <c r="J639" s="28"/>
      <c r="K639" s="28"/>
      <c r="L639" s="28"/>
      <c r="M639" s="28"/>
      <c r="N639" s="28"/>
      <c r="O639" s="139"/>
      <c r="P639" s="139"/>
      <c r="Q639" s="139"/>
      <c r="R639" s="139"/>
      <c r="S639" s="139"/>
      <c r="T639" s="137" t="s">
        <v>9493</v>
      </c>
      <c r="U639" s="139"/>
      <c r="V639" s="139"/>
      <c r="W639" s="139"/>
      <c r="X639" s="139"/>
      <c r="Y639" s="139"/>
      <c r="Z639" s="139"/>
      <c r="AA639" s="139"/>
      <c r="AB639" s="139"/>
      <c r="AC639" s="139"/>
      <c r="AD639" s="139"/>
      <c r="AE639" s="139"/>
      <c r="AF639" s="139"/>
      <c r="AG639" s="139"/>
      <c r="AH639" s="139"/>
      <c r="AI639" s="139"/>
      <c r="AJ639" s="139"/>
      <c r="AK639" s="139"/>
      <c r="AL639" s="139"/>
      <c r="AM639" s="139"/>
      <c r="AN639" s="139"/>
      <c r="AO639" s="70"/>
      <c r="AP639" s="70"/>
      <c r="AQ639" s="70"/>
      <c r="AR639" s="70"/>
      <c r="AS639" s="70"/>
      <c r="AT639" s="70"/>
      <c r="AU639" s="70"/>
      <c r="AV639" s="70"/>
      <c r="AW639" s="70"/>
      <c r="AX639" s="70"/>
    </row>
    <row r="640" ht="15.75" customHeight="1">
      <c r="A640" s="140" t="s">
        <v>237</v>
      </c>
      <c r="B640" s="191" t="s">
        <v>4417</v>
      </c>
      <c r="C640" s="28" t="s">
        <v>4418</v>
      </c>
      <c r="D640" s="28" t="s">
        <v>4419</v>
      </c>
      <c r="E640" s="28" t="s">
        <v>4420</v>
      </c>
      <c r="F640" s="28"/>
      <c r="G640" s="28"/>
      <c r="H640" s="28"/>
      <c r="I640" s="28"/>
      <c r="J640" s="28"/>
      <c r="K640" s="28"/>
      <c r="L640" s="28"/>
      <c r="M640" s="28"/>
      <c r="N640" s="28"/>
      <c r="O640" s="139"/>
      <c r="P640" s="139"/>
      <c r="Q640" s="139"/>
      <c r="R640" s="139"/>
      <c r="S640" s="139"/>
      <c r="T640" s="139"/>
      <c r="U640" s="139"/>
      <c r="V640" s="139"/>
      <c r="W640" s="139"/>
      <c r="X640" s="139"/>
      <c r="Y640" s="139"/>
      <c r="Z640" s="139"/>
      <c r="AA640" s="139"/>
      <c r="AB640" s="139"/>
      <c r="AC640" s="139"/>
      <c r="AD640" s="139"/>
      <c r="AE640" s="139"/>
      <c r="AF640" s="139"/>
      <c r="AG640" s="139"/>
      <c r="AH640" s="139"/>
      <c r="AI640" s="139"/>
      <c r="AJ640" s="139"/>
      <c r="AK640" s="139"/>
      <c r="AL640" s="139"/>
      <c r="AM640" s="139"/>
      <c r="AN640" s="139"/>
      <c r="AO640" s="70"/>
      <c r="AP640" s="70"/>
      <c r="AQ640" s="70"/>
      <c r="AR640" s="70"/>
      <c r="AS640" s="70"/>
      <c r="AT640" s="70"/>
      <c r="AU640" s="70"/>
      <c r="AV640" s="70"/>
      <c r="AW640" s="70"/>
      <c r="AX640" s="70"/>
    </row>
    <row r="641" ht="15.75" customHeight="1">
      <c r="A641" s="58"/>
      <c r="B641" s="58"/>
      <c r="C641" s="28"/>
      <c r="D641" s="28"/>
      <c r="E641" s="28"/>
      <c r="F641" s="28"/>
      <c r="G641" s="28"/>
      <c r="H641" s="28"/>
      <c r="I641" s="28"/>
      <c r="J641" s="28"/>
      <c r="K641" s="28"/>
      <c r="L641" s="28"/>
      <c r="M641" s="28"/>
      <c r="N641" s="28"/>
      <c r="O641" s="24"/>
      <c r="P641" s="24"/>
      <c r="Q641" s="24"/>
      <c r="R641" s="24"/>
      <c r="S641" s="24"/>
      <c r="T641" s="24"/>
      <c r="U641" s="24"/>
      <c r="V641" s="24"/>
      <c r="W641" s="24"/>
      <c r="X641" s="24"/>
      <c r="Y641" s="24"/>
      <c r="Z641" s="24"/>
      <c r="AA641" s="24"/>
      <c r="AB641" s="24"/>
      <c r="AC641" s="24"/>
      <c r="AD641" s="24"/>
      <c r="AE641" s="24"/>
      <c r="AF641" s="24"/>
      <c r="AG641" s="24"/>
      <c r="AH641" s="24"/>
      <c r="AI641" s="24"/>
      <c r="AJ641" s="24"/>
      <c r="AK641" s="24"/>
      <c r="AL641" s="24"/>
      <c r="AM641" s="24"/>
      <c r="AN641" s="24"/>
      <c r="AO641" s="24"/>
      <c r="AP641" s="24"/>
      <c r="AQ641" s="24"/>
      <c r="AR641" s="24"/>
      <c r="AS641" s="24"/>
      <c r="AT641" s="24"/>
      <c r="AU641" s="24"/>
      <c r="AV641" s="24"/>
      <c r="AW641" s="24"/>
      <c r="AX641" s="24"/>
    </row>
    <row r="642" ht="15.75" customHeight="1">
      <c r="A642" s="140" t="s">
        <v>131</v>
      </c>
      <c r="B642" s="164" t="s">
        <v>4510</v>
      </c>
      <c r="C642" s="28" t="s">
        <v>4511</v>
      </c>
      <c r="D642" s="28" t="s">
        <v>4512</v>
      </c>
      <c r="E642" s="28" t="s">
        <v>4513</v>
      </c>
      <c r="F642" s="28"/>
      <c r="G642" s="28"/>
      <c r="H642" s="28"/>
      <c r="I642" s="28"/>
      <c r="J642" s="28"/>
      <c r="K642" s="28"/>
      <c r="L642" s="28"/>
      <c r="M642" s="28"/>
      <c r="N642" s="28"/>
      <c r="O642" s="190"/>
      <c r="P642" s="139"/>
      <c r="Q642" s="139"/>
      <c r="R642" s="139"/>
      <c r="S642" s="139"/>
      <c r="T642" s="139"/>
      <c r="U642" s="139"/>
      <c r="V642" s="139"/>
      <c r="W642" s="139"/>
      <c r="X642" s="139"/>
      <c r="Y642" s="139"/>
      <c r="Z642" s="139"/>
      <c r="AA642" s="139"/>
      <c r="AB642" s="139"/>
      <c r="AC642" s="139"/>
      <c r="AD642" s="139"/>
      <c r="AE642" s="139"/>
      <c r="AF642" s="139"/>
      <c r="AG642" s="139"/>
      <c r="AH642" s="139"/>
      <c r="AI642" s="139"/>
      <c r="AJ642" s="139"/>
      <c r="AK642" s="139"/>
      <c r="AL642" s="139"/>
      <c r="AM642" s="139"/>
      <c r="AN642" s="139"/>
      <c r="AO642" s="70"/>
      <c r="AP642" s="70"/>
      <c r="AQ642" s="70"/>
      <c r="AR642" s="70"/>
      <c r="AS642" s="70"/>
      <c r="AT642" s="70"/>
      <c r="AU642" s="70"/>
      <c r="AV642" s="70"/>
      <c r="AW642" s="70"/>
      <c r="AX642" s="70"/>
    </row>
    <row r="643" ht="15.75" customHeight="1">
      <c r="A643" s="65" t="s">
        <v>134</v>
      </c>
      <c r="B643" s="66" t="s">
        <v>4520</v>
      </c>
      <c r="C643" s="28"/>
      <c r="D643" s="28"/>
      <c r="E643" s="28"/>
      <c r="F643" s="28"/>
      <c r="G643" s="28"/>
      <c r="H643" s="28"/>
      <c r="I643" s="28"/>
      <c r="J643" s="28"/>
      <c r="K643" s="28"/>
      <c r="L643" s="28"/>
      <c r="M643" s="28"/>
      <c r="N643" s="28"/>
      <c r="O643" s="67"/>
      <c r="P643" s="68"/>
      <c r="Q643" s="68"/>
      <c r="R643" s="67"/>
      <c r="S643" s="67"/>
      <c r="T643" s="65" t="s">
        <v>139</v>
      </c>
      <c r="U643" s="67"/>
      <c r="V643" s="67"/>
      <c r="W643" s="67"/>
      <c r="X643" s="67"/>
      <c r="Y643" s="67"/>
      <c r="Z643" s="67"/>
      <c r="AA643" s="67"/>
      <c r="AB643" s="67"/>
      <c r="AC643" s="67"/>
      <c r="AD643" s="67"/>
      <c r="AE643" s="67"/>
      <c r="AF643" s="67"/>
      <c r="AG643" s="67"/>
      <c r="AH643" s="67"/>
      <c r="AI643" s="67"/>
      <c r="AJ643" s="67"/>
      <c r="AK643" s="67"/>
      <c r="AL643" s="67"/>
      <c r="AM643" s="67"/>
      <c r="AN643" s="67"/>
      <c r="AO643" s="67"/>
      <c r="AP643" s="67"/>
      <c r="AQ643" s="67"/>
      <c r="AR643" s="67"/>
      <c r="AS643" s="67"/>
      <c r="AT643" s="67"/>
      <c r="AU643" s="67"/>
      <c r="AV643" s="67"/>
      <c r="AW643" s="67"/>
      <c r="AX643" s="67"/>
    </row>
    <row r="644" ht="15.75" customHeight="1">
      <c r="A644" s="166" t="s">
        <v>41</v>
      </c>
      <c r="B644" s="167" t="s">
        <v>4525</v>
      </c>
      <c r="C644" s="28" t="s">
        <v>4532</v>
      </c>
      <c r="D644" s="28" t="s">
        <v>4533</v>
      </c>
      <c r="E644" s="28" t="s">
        <v>4534</v>
      </c>
      <c r="F644" s="28"/>
      <c r="G644" s="28"/>
      <c r="H644" s="28"/>
      <c r="I644" s="28"/>
      <c r="J644" s="28"/>
      <c r="K644" s="28"/>
      <c r="L644" s="28"/>
      <c r="M644" s="28"/>
      <c r="N644" s="28"/>
      <c r="O644" s="126"/>
      <c r="P644" s="126"/>
      <c r="Q644" s="126"/>
      <c r="R644" s="126"/>
      <c r="S644" s="126"/>
      <c r="T644" s="126"/>
      <c r="U644" s="126"/>
      <c r="V644" s="126"/>
      <c r="W644" s="126"/>
      <c r="X644" s="126"/>
      <c r="Y644" s="126"/>
      <c r="Z644" s="126"/>
      <c r="AA644" s="126"/>
      <c r="AB644" s="126"/>
      <c r="AC644" s="126"/>
      <c r="AD644" s="126"/>
      <c r="AE644" s="126"/>
      <c r="AF644" s="126"/>
      <c r="AG644" s="126"/>
      <c r="AH644" s="126"/>
      <c r="AI644" s="126"/>
      <c r="AJ644" s="126"/>
      <c r="AK644" s="126"/>
      <c r="AL644" s="126"/>
      <c r="AM644" s="126"/>
      <c r="AN644" s="126"/>
      <c r="AO644" s="70"/>
      <c r="AP644" s="70"/>
      <c r="AQ644" s="70"/>
      <c r="AR644" s="70"/>
      <c r="AS644" s="70"/>
      <c r="AT644" s="70"/>
      <c r="AU644" s="70"/>
      <c r="AV644" s="70"/>
      <c r="AW644" s="70"/>
      <c r="AX644" s="70"/>
    </row>
    <row r="645" ht="15.75" customHeight="1">
      <c r="A645" s="68" t="s">
        <v>463</v>
      </c>
      <c r="B645" s="169" t="s">
        <v>4535</v>
      </c>
      <c r="C645" s="28" t="s">
        <v>4540</v>
      </c>
      <c r="D645" s="28" t="s">
        <v>4541</v>
      </c>
      <c r="E645" s="28" t="s">
        <v>4542</v>
      </c>
      <c r="F645" s="28"/>
      <c r="G645" s="28"/>
      <c r="H645" s="28"/>
      <c r="I645" s="28"/>
      <c r="J645" s="28"/>
      <c r="K645" s="28"/>
      <c r="L645" s="28"/>
      <c r="M645" s="28"/>
      <c r="N645" s="28"/>
      <c r="O645" s="67"/>
      <c r="P645" s="67"/>
      <c r="Q645" s="67" t="s">
        <v>145</v>
      </c>
      <c r="R645" s="67"/>
      <c r="S645" s="67"/>
      <c r="T645" s="67"/>
      <c r="U645" s="67"/>
      <c r="V645" s="67"/>
      <c r="W645" s="67"/>
      <c r="X645" s="67"/>
      <c r="Y645" s="67"/>
      <c r="Z645" s="67"/>
      <c r="AA645" s="67"/>
      <c r="AB645" s="67"/>
      <c r="AC645" s="67"/>
      <c r="AD645" s="67"/>
      <c r="AE645" s="67"/>
      <c r="AF645" s="67"/>
      <c r="AG645" s="67"/>
      <c r="AH645" s="67"/>
      <c r="AI645" s="67"/>
      <c r="AJ645" s="67"/>
      <c r="AK645" s="67"/>
      <c r="AL645" s="67"/>
      <c r="AM645" s="67"/>
      <c r="AN645" s="67"/>
      <c r="AO645" s="70"/>
      <c r="AP645" s="70"/>
      <c r="AQ645" s="70"/>
      <c r="AR645" s="70"/>
      <c r="AS645" s="70"/>
      <c r="AT645" s="70"/>
      <c r="AU645" s="70"/>
      <c r="AV645" s="70"/>
      <c r="AW645" s="70"/>
      <c r="AX645" s="70"/>
    </row>
    <row r="646" ht="15.75" customHeight="1">
      <c r="A646" s="170" t="s">
        <v>263</v>
      </c>
      <c r="B646" s="171" t="s">
        <v>4543</v>
      </c>
      <c r="C646" s="28" t="s">
        <v>4547</v>
      </c>
      <c r="D646" s="28" t="s">
        <v>4548</v>
      </c>
      <c r="E646" s="28" t="s">
        <v>4550</v>
      </c>
      <c r="F646" s="28"/>
      <c r="G646" s="28"/>
      <c r="H646" s="28"/>
      <c r="I646" s="28"/>
      <c r="J646" s="28"/>
      <c r="K646" s="28" t="s">
        <v>9621</v>
      </c>
      <c r="L646" s="28"/>
      <c r="M646" s="28"/>
      <c r="N646" s="28"/>
      <c r="O646" s="173" t="s">
        <v>9623</v>
      </c>
      <c r="P646" s="173"/>
      <c r="Q646" s="173" t="s">
        <v>145</v>
      </c>
      <c r="R646" s="173"/>
      <c r="S646" s="173"/>
      <c r="T646" s="173"/>
      <c r="U646" s="173"/>
      <c r="V646" s="173"/>
      <c r="W646" s="173"/>
      <c r="X646" s="173"/>
      <c r="Y646" s="173"/>
      <c r="Z646" s="173"/>
      <c r="AA646" s="173"/>
      <c r="AB646" s="173"/>
      <c r="AC646" s="173"/>
      <c r="AD646" s="173"/>
      <c r="AE646" s="173"/>
      <c r="AF646" s="173"/>
      <c r="AG646" s="173"/>
      <c r="AH646" s="173"/>
      <c r="AI646" s="173"/>
      <c r="AJ646" s="173"/>
      <c r="AK646" s="173"/>
      <c r="AL646" s="173"/>
      <c r="AM646" s="173"/>
      <c r="AN646" s="173"/>
      <c r="AO646" s="70"/>
      <c r="AP646" s="70"/>
      <c r="AQ646" s="70"/>
      <c r="AR646" s="70"/>
      <c r="AS646" s="70"/>
      <c r="AT646" s="70"/>
      <c r="AU646" s="70"/>
      <c r="AV646" s="70"/>
      <c r="AW646" s="70"/>
      <c r="AX646" s="70"/>
    </row>
    <row r="647" ht="15.75" customHeight="1">
      <c r="A647" s="140" t="s">
        <v>131</v>
      </c>
      <c r="B647" s="164" t="s">
        <v>4553</v>
      </c>
      <c r="C647" s="28" t="s">
        <v>4554</v>
      </c>
      <c r="D647" s="28"/>
      <c r="E647" s="28"/>
      <c r="F647" s="28"/>
      <c r="G647" s="28"/>
      <c r="H647" s="28"/>
      <c r="I647" s="28"/>
      <c r="J647" s="28" t="s">
        <v>931</v>
      </c>
      <c r="K647" s="28"/>
      <c r="L647" s="28"/>
      <c r="M647" s="28"/>
      <c r="N647" s="28"/>
      <c r="O647" s="190"/>
      <c r="P647" s="139"/>
      <c r="Q647" s="139"/>
      <c r="R647" s="139"/>
      <c r="S647" s="139"/>
      <c r="T647" s="139"/>
      <c r="U647" s="139"/>
      <c r="V647" s="139"/>
      <c r="W647" s="139"/>
      <c r="X647" s="139"/>
      <c r="Y647" s="139"/>
      <c r="Z647" s="139"/>
      <c r="AA647" s="139"/>
      <c r="AB647" s="139"/>
      <c r="AC647" s="139"/>
      <c r="AD647" s="139"/>
      <c r="AE647" s="139"/>
      <c r="AF647" s="139"/>
      <c r="AG647" s="139"/>
      <c r="AH647" s="139"/>
      <c r="AI647" s="139"/>
      <c r="AJ647" s="139"/>
      <c r="AK647" s="139"/>
      <c r="AL647" s="139"/>
      <c r="AM647" s="139"/>
      <c r="AN647" s="139"/>
      <c r="AO647" s="70"/>
      <c r="AP647" s="70"/>
      <c r="AQ647" s="70"/>
      <c r="AR647" s="70"/>
      <c r="AS647" s="70"/>
      <c r="AT647" s="70"/>
      <c r="AU647" s="70"/>
      <c r="AV647" s="70"/>
      <c r="AW647" s="70"/>
      <c r="AX647" s="70"/>
    </row>
    <row r="648" ht="15.75" customHeight="1">
      <c r="A648" s="166" t="s">
        <v>41</v>
      </c>
      <c r="B648" s="167" t="s">
        <v>4557</v>
      </c>
      <c r="C648" s="28" t="s">
        <v>4563</v>
      </c>
      <c r="D648" s="28" t="s">
        <v>4564</v>
      </c>
      <c r="E648" s="28" t="s">
        <v>4565</v>
      </c>
      <c r="F648" s="28"/>
      <c r="G648" s="28"/>
      <c r="H648" s="28"/>
      <c r="I648" s="28"/>
      <c r="J648" s="28" t="s">
        <v>8</v>
      </c>
      <c r="K648" s="28"/>
      <c r="L648" s="28"/>
      <c r="M648" s="28"/>
      <c r="N648" s="28"/>
      <c r="O648" s="126"/>
      <c r="P648" s="126"/>
      <c r="Q648" s="126"/>
      <c r="R648" s="126"/>
      <c r="S648" s="126"/>
      <c r="T648" s="126"/>
      <c r="U648" s="126"/>
      <c r="V648" s="126"/>
      <c r="W648" s="126"/>
      <c r="X648" s="126"/>
      <c r="Y648" s="126"/>
      <c r="Z648" s="126"/>
      <c r="AA648" s="126"/>
      <c r="AB648" s="126"/>
      <c r="AC648" s="126"/>
      <c r="AD648" s="126"/>
      <c r="AE648" s="126"/>
      <c r="AF648" s="126"/>
      <c r="AG648" s="126"/>
      <c r="AH648" s="126"/>
      <c r="AI648" s="126"/>
      <c r="AJ648" s="126"/>
      <c r="AK648" s="126"/>
      <c r="AL648" s="126"/>
      <c r="AM648" s="126"/>
      <c r="AN648" s="126"/>
      <c r="AO648" s="70"/>
      <c r="AP648" s="70"/>
      <c r="AQ648" s="70"/>
      <c r="AR648" s="70"/>
      <c r="AS648" s="70"/>
      <c r="AT648" s="70"/>
      <c r="AU648" s="70"/>
      <c r="AV648" s="70"/>
      <c r="AW648" s="70"/>
      <c r="AX648" s="70"/>
    </row>
    <row r="649" ht="15.75" customHeight="1">
      <c r="A649" s="170" t="s">
        <v>263</v>
      </c>
      <c r="B649" s="171" t="s">
        <v>4566</v>
      </c>
      <c r="C649" s="28" t="s">
        <v>4573</v>
      </c>
      <c r="D649" s="28" t="s">
        <v>4574</v>
      </c>
      <c r="E649" s="28" t="s">
        <v>4575</v>
      </c>
      <c r="F649" s="28"/>
      <c r="G649" s="28"/>
      <c r="H649" s="28"/>
      <c r="I649" s="28"/>
      <c r="J649" s="28" t="s">
        <v>958</v>
      </c>
      <c r="K649" s="28" t="s">
        <v>864</v>
      </c>
      <c r="L649" s="28"/>
      <c r="M649" s="28"/>
      <c r="N649" s="28"/>
      <c r="O649" s="173"/>
      <c r="P649" s="173"/>
      <c r="Q649" s="173" t="s">
        <v>145</v>
      </c>
      <c r="R649" s="173"/>
      <c r="S649" s="173"/>
      <c r="T649" s="173"/>
      <c r="U649" s="173"/>
      <c r="V649" s="173"/>
      <c r="W649" s="173"/>
      <c r="X649" s="173"/>
      <c r="Y649" s="173"/>
      <c r="Z649" s="173"/>
      <c r="AA649" s="173"/>
      <c r="AB649" s="173"/>
      <c r="AC649" s="173"/>
      <c r="AD649" s="173"/>
      <c r="AE649" s="173"/>
      <c r="AF649" s="173"/>
      <c r="AG649" s="173"/>
      <c r="AH649" s="173"/>
      <c r="AI649" s="173"/>
      <c r="AJ649" s="173"/>
      <c r="AK649" s="173"/>
      <c r="AL649" s="173"/>
      <c r="AM649" s="173"/>
      <c r="AN649" s="173"/>
      <c r="AO649" s="70"/>
      <c r="AP649" s="70"/>
      <c r="AQ649" s="70"/>
      <c r="AR649" s="70"/>
      <c r="AS649" s="70"/>
      <c r="AT649" s="70"/>
      <c r="AU649" s="70"/>
      <c r="AV649" s="70"/>
      <c r="AW649" s="70"/>
      <c r="AX649" s="70"/>
    </row>
    <row r="650" ht="15.75" customHeight="1">
      <c r="A650" s="170" t="s">
        <v>263</v>
      </c>
      <c r="B650" s="171" t="s">
        <v>4576</v>
      </c>
      <c r="C650" s="28" t="s">
        <v>4581</v>
      </c>
      <c r="D650" s="28" t="s">
        <v>4582</v>
      </c>
      <c r="E650" s="28" t="s">
        <v>4583</v>
      </c>
      <c r="F650" s="28"/>
      <c r="G650" s="28"/>
      <c r="H650" s="28"/>
      <c r="I650" s="28"/>
      <c r="J650" s="28" t="s">
        <v>958</v>
      </c>
      <c r="K650" s="28" t="s">
        <v>864</v>
      </c>
      <c r="L650" s="28"/>
      <c r="M650" s="28"/>
      <c r="N650" s="28"/>
      <c r="O650" s="173"/>
      <c r="P650" s="173"/>
      <c r="Q650" s="173" t="s">
        <v>145</v>
      </c>
      <c r="R650" s="173"/>
      <c r="S650" s="173"/>
      <c r="T650" s="173"/>
      <c r="U650" s="173"/>
      <c r="V650" s="173"/>
      <c r="W650" s="173"/>
      <c r="X650" s="173"/>
      <c r="Y650" s="173"/>
      <c r="Z650" s="173"/>
      <c r="AA650" s="173"/>
      <c r="AB650" s="173"/>
      <c r="AC650" s="173"/>
      <c r="AD650" s="173"/>
      <c r="AE650" s="173"/>
      <c r="AF650" s="173"/>
      <c r="AG650" s="173"/>
      <c r="AH650" s="173"/>
      <c r="AI650" s="173"/>
      <c r="AJ650" s="173"/>
      <c r="AK650" s="173"/>
      <c r="AL650" s="173"/>
      <c r="AM650" s="173"/>
      <c r="AN650" s="173"/>
      <c r="AO650" s="70"/>
      <c r="AP650" s="70"/>
      <c r="AQ650" s="70"/>
      <c r="AR650" s="70"/>
      <c r="AS650" s="70"/>
      <c r="AT650" s="70"/>
      <c r="AU650" s="70"/>
      <c r="AV650" s="70"/>
      <c r="AW650" s="70"/>
      <c r="AX650" s="70"/>
    </row>
    <row r="651" ht="15.75" customHeight="1">
      <c r="A651" s="170" t="s">
        <v>263</v>
      </c>
      <c r="B651" s="171" t="s">
        <v>4584</v>
      </c>
      <c r="C651" s="28" t="s">
        <v>4588</v>
      </c>
      <c r="D651" s="28" t="s">
        <v>4589</v>
      </c>
      <c r="E651" s="28" t="s">
        <v>4590</v>
      </c>
      <c r="F651" s="28"/>
      <c r="G651" s="28"/>
      <c r="H651" s="28"/>
      <c r="I651" s="28"/>
      <c r="J651" s="28" t="s">
        <v>958</v>
      </c>
      <c r="K651" s="28" t="s">
        <v>864</v>
      </c>
      <c r="L651" s="28"/>
      <c r="M651" s="28"/>
      <c r="N651" s="28"/>
      <c r="O651" s="173"/>
      <c r="P651" s="173"/>
      <c r="Q651" s="173" t="s">
        <v>145</v>
      </c>
      <c r="R651" s="173"/>
      <c r="S651" s="173"/>
      <c r="T651" s="173"/>
      <c r="U651" s="173"/>
      <c r="V651" s="173"/>
      <c r="W651" s="173"/>
      <c r="X651" s="173"/>
      <c r="Y651" s="173"/>
      <c r="Z651" s="173"/>
      <c r="AA651" s="173"/>
      <c r="AB651" s="173"/>
      <c r="AC651" s="173"/>
      <c r="AD651" s="173"/>
      <c r="AE651" s="173"/>
      <c r="AF651" s="173"/>
      <c r="AG651" s="173"/>
      <c r="AH651" s="173"/>
      <c r="AI651" s="173"/>
      <c r="AJ651" s="173"/>
      <c r="AK651" s="173"/>
      <c r="AL651" s="173"/>
      <c r="AM651" s="173"/>
      <c r="AN651" s="173"/>
      <c r="AO651" s="70"/>
      <c r="AP651" s="70"/>
      <c r="AQ651" s="70"/>
      <c r="AR651" s="70"/>
      <c r="AS651" s="70"/>
      <c r="AT651" s="70"/>
      <c r="AU651" s="70"/>
      <c r="AV651" s="70"/>
      <c r="AW651" s="70"/>
      <c r="AX651" s="70"/>
    </row>
    <row r="652" ht="15.75" customHeight="1">
      <c r="A652" s="170" t="s">
        <v>263</v>
      </c>
      <c r="B652" s="171" t="s">
        <v>4591</v>
      </c>
      <c r="C652" s="28" t="s">
        <v>4595</v>
      </c>
      <c r="D652" s="28" t="s">
        <v>4596</v>
      </c>
      <c r="E652" s="28" t="s">
        <v>4597</v>
      </c>
      <c r="F652" s="28"/>
      <c r="G652" s="28"/>
      <c r="H652" s="28"/>
      <c r="I652" s="28"/>
      <c r="J652" s="28" t="s">
        <v>958</v>
      </c>
      <c r="K652" s="28" t="s">
        <v>864</v>
      </c>
      <c r="L652" s="28"/>
      <c r="M652" s="28"/>
      <c r="N652" s="28"/>
      <c r="O652" s="173"/>
      <c r="P652" s="173"/>
      <c r="Q652" s="173" t="s">
        <v>145</v>
      </c>
      <c r="R652" s="173"/>
      <c r="S652" s="173"/>
      <c r="T652" s="173"/>
      <c r="U652" s="173"/>
      <c r="V652" s="173"/>
      <c r="W652" s="173"/>
      <c r="X652" s="173"/>
      <c r="Y652" s="173"/>
      <c r="Z652" s="173"/>
      <c r="AA652" s="173"/>
      <c r="AB652" s="173"/>
      <c r="AC652" s="173"/>
      <c r="AD652" s="173"/>
      <c r="AE652" s="173"/>
      <c r="AF652" s="173"/>
      <c r="AG652" s="173"/>
      <c r="AH652" s="173"/>
      <c r="AI652" s="173"/>
      <c r="AJ652" s="173"/>
      <c r="AK652" s="173"/>
      <c r="AL652" s="173"/>
      <c r="AM652" s="173"/>
      <c r="AN652" s="173"/>
      <c r="AO652" s="70"/>
      <c r="AP652" s="70"/>
      <c r="AQ652" s="70"/>
      <c r="AR652" s="70"/>
      <c r="AS652" s="70"/>
      <c r="AT652" s="70"/>
      <c r="AU652" s="70"/>
      <c r="AV652" s="70"/>
      <c r="AW652" s="70"/>
      <c r="AX652" s="70"/>
    </row>
    <row r="653" ht="15.75" customHeight="1">
      <c r="A653" s="170" t="s">
        <v>263</v>
      </c>
      <c r="B653" s="171" t="s">
        <v>4598</v>
      </c>
      <c r="C653" s="28" t="s">
        <v>4603</v>
      </c>
      <c r="D653" s="28" t="s">
        <v>4604</v>
      </c>
      <c r="E653" s="28" t="s">
        <v>4605</v>
      </c>
      <c r="F653" s="28"/>
      <c r="G653" s="28"/>
      <c r="H653" s="28"/>
      <c r="I653" s="28"/>
      <c r="J653" s="28" t="s">
        <v>958</v>
      </c>
      <c r="K653" s="28" t="s">
        <v>864</v>
      </c>
      <c r="L653" s="28"/>
      <c r="M653" s="28"/>
      <c r="N653" s="28"/>
      <c r="O653" s="173"/>
      <c r="P653" s="173"/>
      <c r="Q653" s="173" t="s">
        <v>145</v>
      </c>
      <c r="R653" s="173"/>
      <c r="S653" s="173"/>
      <c r="T653" s="173"/>
      <c r="U653" s="173"/>
      <c r="V653" s="173"/>
      <c r="W653" s="173"/>
      <c r="X653" s="173"/>
      <c r="Y653" s="173"/>
      <c r="Z653" s="173"/>
      <c r="AA653" s="173"/>
      <c r="AB653" s="173"/>
      <c r="AC653" s="173"/>
      <c r="AD653" s="173"/>
      <c r="AE653" s="173"/>
      <c r="AF653" s="173"/>
      <c r="AG653" s="173"/>
      <c r="AH653" s="173"/>
      <c r="AI653" s="173"/>
      <c r="AJ653" s="173"/>
      <c r="AK653" s="173"/>
      <c r="AL653" s="173"/>
      <c r="AM653" s="173"/>
      <c r="AN653" s="173"/>
      <c r="AO653" s="70"/>
      <c r="AP653" s="70"/>
      <c r="AQ653" s="70"/>
      <c r="AR653" s="70"/>
      <c r="AS653" s="70"/>
      <c r="AT653" s="70"/>
      <c r="AU653" s="70"/>
      <c r="AV653" s="70"/>
      <c r="AW653" s="70"/>
      <c r="AX653" s="70"/>
    </row>
    <row r="654" ht="15.75" customHeight="1">
      <c r="A654" s="140" t="s">
        <v>237</v>
      </c>
      <c r="B654" s="191" t="s">
        <v>4553</v>
      </c>
      <c r="C654" s="28" t="s">
        <v>4554</v>
      </c>
      <c r="D654" s="28"/>
      <c r="E654" s="28"/>
      <c r="F654" s="28"/>
      <c r="G654" s="28"/>
      <c r="H654" s="28"/>
      <c r="I654" s="28"/>
      <c r="J654" s="28"/>
      <c r="K654" s="28"/>
      <c r="L654" s="28"/>
      <c r="M654" s="28"/>
      <c r="N654" s="28"/>
      <c r="O654" s="139"/>
      <c r="P654" s="139"/>
      <c r="Q654" s="139"/>
      <c r="R654" s="139"/>
      <c r="S654" s="139"/>
      <c r="T654" s="139"/>
      <c r="U654" s="139"/>
      <c r="V654" s="139"/>
      <c r="W654" s="139"/>
      <c r="X654" s="139"/>
      <c r="Y654" s="139"/>
      <c r="Z654" s="139"/>
      <c r="AA654" s="139"/>
      <c r="AB654" s="139"/>
      <c r="AC654" s="139"/>
      <c r="AD654" s="139"/>
      <c r="AE654" s="139"/>
      <c r="AF654" s="139"/>
      <c r="AG654" s="139"/>
      <c r="AH654" s="139"/>
      <c r="AI654" s="139"/>
      <c r="AJ654" s="139"/>
      <c r="AK654" s="139"/>
      <c r="AL654" s="139"/>
      <c r="AM654" s="139"/>
      <c r="AN654" s="139"/>
      <c r="AO654" s="70"/>
      <c r="AP654" s="70"/>
      <c r="AQ654" s="70"/>
      <c r="AR654" s="70"/>
      <c r="AS654" s="70"/>
      <c r="AT654" s="70"/>
      <c r="AU654" s="70"/>
      <c r="AV654" s="70"/>
      <c r="AW654" s="70"/>
      <c r="AX654" s="70"/>
    </row>
    <row r="655" ht="15.75" customHeight="1">
      <c r="A655" s="90" t="s">
        <v>78</v>
      </c>
      <c r="B655" s="92" t="s">
        <v>4610</v>
      </c>
      <c r="C655" s="28" t="s">
        <v>4611</v>
      </c>
      <c r="D655" s="28" t="s">
        <v>4612</v>
      </c>
      <c r="E655" s="28" t="s">
        <v>4613</v>
      </c>
      <c r="F655" s="28"/>
      <c r="G655" s="28"/>
      <c r="H655" s="28"/>
      <c r="I655" s="28"/>
      <c r="J655" s="28"/>
      <c r="K655" s="28"/>
      <c r="L655" s="28"/>
      <c r="M655" s="28"/>
      <c r="N655" s="28"/>
      <c r="O655" s="96"/>
      <c r="P655" s="96"/>
      <c r="Q655" s="96"/>
      <c r="R655" s="96"/>
      <c r="S655" s="96"/>
      <c r="T655" s="178" t="s">
        <v>9765</v>
      </c>
      <c r="U655" s="96"/>
      <c r="V655" s="96"/>
      <c r="W655" s="96"/>
      <c r="X655" s="96"/>
      <c r="Y655" s="96"/>
      <c r="Z655" s="96"/>
      <c r="AA655" s="96"/>
      <c r="AB655" s="96"/>
      <c r="AC655" s="96"/>
      <c r="AD655" s="96"/>
      <c r="AE655" s="96"/>
      <c r="AF655" s="96"/>
      <c r="AG655" s="96"/>
      <c r="AH655" s="96"/>
      <c r="AI655" s="96"/>
      <c r="AJ655" s="96"/>
      <c r="AK655" s="96"/>
      <c r="AL655" s="96"/>
      <c r="AM655" s="96"/>
      <c r="AN655" s="96"/>
      <c r="AO655" s="70"/>
      <c r="AP655" s="70"/>
      <c r="AQ655" s="70"/>
      <c r="AR655" s="70"/>
      <c r="AS655" s="70"/>
      <c r="AT655" s="70"/>
      <c r="AU655" s="70"/>
      <c r="AV655" s="70"/>
      <c r="AW655" s="70"/>
      <c r="AX655" s="70"/>
    </row>
    <row r="656" ht="15.75" customHeight="1">
      <c r="A656" s="68" t="s">
        <v>463</v>
      </c>
      <c r="B656" s="169" t="s">
        <v>4615</v>
      </c>
      <c r="C656" s="28" t="s">
        <v>4622</v>
      </c>
      <c r="D656" s="28" t="s">
        <v>4623</v>
      </c>
      <c r="E656" s="28" t="s">
        <v>4624</v>
      </c>
      <c r="F656" s="28"/>
      <c r="G656" s="28"/>
      <c r="H656" s="28"/>
      <c r="I656" s="28"/>
      <c r="J656" s="28"/>
      <c r="K656" s="28" t="s">
        <v>7067</v>
      </c>
      <c r="L656" s="28" t="s">
        <v>9783</v>
      </c>
      <c r="M656" s="28" t="s">
        <v>9784</v>
      </c>
      <c r="N656" s="28"/>
      <c r="O656" s="67"/>
      <c r="P656" s="67"/>
      <c r="Q656" s="67" t="s">
        <v>145</v>
      </c>
      <c r="R656" s="67"/>
      <c r="S656" s="67"/>
      <c r="T656" s="67"/>
      <c r="U656" s="67"/>
      <c r="V656" s="67"/>
      <c r="W656" s="67"/>
      <c r="X656" s="67"/>
      <c r="Y656" s="67"/>
      <c r="Z656" s="67"/>
      <c r="AA656" s="67"/>
      <c r="AB656" s="67"/>
      <c r="AC656" s="67"/>
      <c r="AD656" s="67"/>
      <c r="AE656" s="67"/>
      <c r="AF656" s="67"/>
      <c r="AG656" s="67"/>
      <c r="AH656" s="67"/>
      <c r="AI656" s="67"/>
      <c r="AJ656" s="67"/>
      <c r="AK656" s="67"/>
      <c r="AL656" s="67"/>
      <c r="AM656" s="67"/>
      <c r="AN656" s="67"/>
      <c r="AO656" s="70"/>
      <c r="AP656" s="70"/>
      <c r="AQ656" s="70"/>
      <c r="AR656" s="70"/>
      <c r="AS656" s="70"/>
      <c r="AT656" s="70"/>
      <c r="AU656" s="70"/>
      <c r="AV656" s="70"/>
      <c r="AW656" s="70"/>
      <c r="AX656" s="70"/>
    </row>
    <row r="657" ht="15.75" customHeight="1">
      <c r="A657" s="166" t="s">
        <v>41</v>
      </c>
      <c r="B657" s="167" t="s">
        <v>4625</v>
      </c>
      <c r="C657" s="28" t="s">
        <v>4629</v>
      </c>
      <c r="D657" s="28" t="s">
        <v>4630</v>
      </c>
      <c r="E657" s="28" t="s">
        <v>4631</v>
      </c>
      <c r="F657" s="28"/>
      <c r="G657" s="28"/>
      <c r="H657" s="28"/>
      <c r="I657" s="28"/>
      <c r="J657" s="28"/>
      <c r="K657" s="28"/>
      <c r="L657" s="28"/>
      <c r="M657" s="28"/>
      <c r="N657" s="28"/>
      <c r="O657" s="126"/>
      <c r="P657" s="126"/>
      <c r="Q657" s="126"/>
      <c r="R657" s="126"/>
      <c r="S657" s="126"/>
      <c r="T657" s="126"/>
      <c r="U657" s="126"/>
      <c r="V657" s="126"/>
      <c r="W657" s="126"/>
      <c r="X657" s="126"/>
      <c r="Y657" s="126"/>
      <c r="Z657" s="126"/>
      <c r="AA657" s="126"/>
      <c r="AB657" s="126"/>
      <c r="AC657" s="126"/>
      <c r="AD657" s="126"/>
      <c r="AE657" s="126"/>
      <c r="AF657" s="126"/>
      <c r="AG657" s="126"/>
      <c r="AH657" s="126"/>
      <c r="AI657" s="126"/>
      <c r="AJ657" s="126"/>
      <c r="AK657" s="126"/>
      <c r="AL657" s="126"/>
      <c r="AM657" s="126"/>
      <c r="AN657" s="126"/>
      <c r="AO657" s="70"/>
      <c r="AP657" s="70"/>
      <c r="AQ657" s="70"/>
      <c r="AR657" s="70"/>
      <c r="AS657" s="70"/>
      <c r="AT657" s="70"/>
      <c r="AU657" s="70"/>
      <c r="AV657" s="70"/>
      <c r="AW657" s="70"/>
      <c r="AX657" s="70"/>
    </row>
    <row r="658" ht="15.75" customHeight="1">
      <c r="A658" s="68" t="s">
        <v>4632</v>
      </c>
      <c r="B658" s="169" t="s">
        <v>4633</v>
      </c>
      <c r="C658" s="28" t="s">
        <v>4640</v>
      </c>
      <c r="D658" s="28" t="s">
        <v>4641</v>
      </c>
      <c r="E658" s="28" t="s">
        <v>4642</v>
      </c>
      <c r="F658" s="28"/>
      <c r="G658" s="28"/>
      <c r="H658" s="28"/>
      <c r="I658" s="28"/>
      <c r="J658" s="28"/>
      <c r="K658" s="28"/>
      <c r="L658" s="28"/>
      <c r="M658" s="28"/>
      <c r="N658" s="28"/>
      <c r="O658" s="67"/>
      <c r="P658" s="67"/>
      <c r="Q658" s="67" t="s">
        <v>145</v>
      </c>
      <c r="R658" s="67"/>
      <c r="S658" s="67"/>
      <c r="T658" s="67"/>
      <c r="U658" s="67"/>
      <c r="V658" s="67"/>
      <c r="W658" s="67"/>
      <c r="X658" s="67"/>
      <c r="Y658" s="67"/>
      <c r="Z658" s="67"/>
      <c r="AA658" s="67"/>
      <c r="AB658" s="67"/>
      <c r="AC658" s="67"/>
      <c r="AD658" s="67"/>
      <c r="AE658" s="67"/>
      <c r="AF658" s="67"/>
      <c r="AG658" s="67"/>
      <c r="AH658" s="67"/>
      <c r="AI658" s="67"/>
      <c r="AJ658" s="67"/>
      <c r="AK658" s="67"/>
      <c r="AL658" s="67"/>
      <c r="AM658" s="67"/>
      <c r="AN658" s="67"/>
      <c r="AO658" s="70"/>
      <c r="AP658" s="70"/>
      <c r="AQ658" s="70"/>
      <c r="AR658" s="70"/>
      <c r="AS658" s="70"/>
      <c r="AT658" s="70"/>
      <c r="AU658" s="70"/>
      <c r="AV658" s="70"/>
      <c r="AW658" s="70"/>
      <c r="AX658" s="70"/>
    </row>
    <row r="659" ht="15.75" customHeight="1">
      <c r="A659" s="68" t="s">
        <v>4632</v>
      </c>
      <c r="B659" s="169" t="s">
        <v>4643</v>
      </c>
      <c r="C659" s="28" t="s">
        <v>4647</v>
      </c>
      <c r="D659" s="28" t="s">
        <v>4648</v>
      </c>
      <c r="E659" s="28" t="s">
        <v>4649</v>
      </c>
      <c r="F659" s="28"/>
      <c r="G659" s="28"/>
      <c r="H659" s="28"/>
      <c r="I659" s="28"/>
      <c r="J659" s="28"/>
      <c r="K659" s="28"/>
      <c r="L659" s="28"/>
      <c r="M659" s="28"/>
      <c r="N659" s="28"/>
      <c r="O659" s="67"/>
      <c r="P659" s="67"/>
      <c r="Q659" s="67" t="s">
        <v>145</v>
      </c>
      <c r="R659" s="67"/>
      <c r="S659" s="67"/>
      <c r="T659" s="67"/>
      <c r="U659" s="67"/>
      <c r="V659" s="67"/>
      <c r="W659" s="67"/>
      <c r="X659" s="67"/>
      <c r="Y659" s="67"/>
      <c r="Z659" s="67"/>
      <c r="AA659" s="67"/>
      <c r="AB659" s="67"/>
      <c r="AC659" s="67"/>
      <c r="AD659" s="67"/>
      <c r="AE659" s="67"/>
      <c r="AF659" s="67"/>
      <c r="AG659" s="67"/>
      <c r="AH659" s="67"/>
      <c r="AI659" s="67"/>
      <c r="AJ659" s="67"/>
      <c r="AK659" s="67"/>
      <c r="AL659" s="67"/>
      <c r="AM659" s="67"/>
      <c r="AN659" s="67"/>
      <c r="AO659" s="70"/>
      <c r="AP659" s="70"/>
      <c r="AQ659" s="70"/>
      <c r="AR659" s="70"/>
      <c r="AS659" s="70"/>
      <c r="AT659" s="70"/>
      <c r="AU659" s="70"/>
      <c r="AV659" s="70"/>
      <c r="AW659" s="70"/>
      <c r="AX659" s="70"/>
    </row>
    <row r="660" ht="15.75" customHeight="1">
      <c r="A660" s="140" t="s">
        <v>131</v>
      </c>
      <c r="B660" s="164" t="s">
        <v>4650</v>
      </c>
      <c r="C660" s="28"/>
      <c r="D660" s="28"/>
      <c r="E660" s="28"/>
      <c r="F660" s="28"/>
      <c r="G660" s="28"/>
      <c r="H660" s="28"/>
      <c r="I660" s="28"/>
      <c r="J660" s="28" t="s">
        <v>931</v>
      </c>
      <c r="K660" s="28"/>
      <c r="L660" s="28"/>
      <c r="M660" s="28"/>
      <c r="N660" s="28"/>
      <c r="O660" s="190"/>
      <c r="P660" s="139"/>
      <c r="Q660" s="139"/>
      <c r="R660" s="139"/>
      <c r="S660" s="139"/>
      <c r="T660" s="139"/>
      <c r="U660" s="139"/>
      <c r="V660" s="139"/>
      <c r="W660" s="139"/>
      <c r="X660" s="139"/>
      <c r="Y660" s="139"/>
      <c r="Z660" s="139"/>
      <c r="AA660" s="139"/>
      <c r="AB660" s="139"/>
      <c r="AC660" s="139"/>
      <c r="AD660" s="126"/>
      <c r="AE660" s="126"/>
      <c r="AF660" s="126"/>
      <c r="AG660" s="126"/>
      <c r="AH660" s="126"/>
      <c r="AI660" s="126"/>
      <c r="AJ660" s="126"/>
      <c r="AK660" s="126"/>
      <c r="AL660" s="126"/>
      <c r="AM660" s="126"/>
      <c r="AN660" s="126"/>
      <c r="AO660" s="70"/>
      <c r="AP660" s="70"/>
      <c r="AQ660" s="70"/>
      <c r="AR660" s="70"/>
      <c r="AS660" s="70"/>
      <c r="AT660" s="70"/>
      <c r="AU660" s="70"/>
      <c r="AV660" s="70"/>
      <c r="AW660" s="70"/>
      <c r="AX660" s="70"/>
    </row>
    <row r="661" ht="15.75" customHeight="1">
      <c r="A661" s="68" t="s">
        <v>463</v>
      </c>
      <c r="B661" s="169" t="s">
        <v>4657</v>
      </c>
      <c r="C661" s="28" t="s">
        <v>4662</v>
      </c>
      <c r="D661" s="28" t="s">
        <v>4663</v>
      </c>
      <c r="E661" s="28" t="s">
        <v>4664</v>
      </c>
      <c r="F661" s="28"/>
      <c r="G661" s="28"/>
      <c r="H661" s="28"/>
      <c r="I661" s="28"/>
      <c r="J661" s="28" t="s">
        <v>8</v>
      </c>
      <c r="K661" s="28"/>
      <c r="L661" s="28"/>
      <c r="M661" s="28"/>
      <c r="N661" s="28"/>
      <c r="O661" s="67"/>
      <c r="P661" s="67"/>
      <c r="Q661" s="67"/>
      <c r="R661" s="67"/>
      <c r="S661" s="67"/>
      <c r="T661" s="67"/>
      <c r="U661" s="67"/>
      <c r="V661" s="67"/>
      <c r="W661" s="67"/>
      <c r="X661" s="67"/>
      <c r="Y661" s="67"/>
      <c r="Z661" s="67"/>
      <c r="AA661" s="67"/>
      <c r="AB661" s="67"/>
      <c r="AC661" s="67"/>
      <c r="AD661" s="126"/>
      <c r="AE661" s="126"/>
      <c r="AF661" s="126"/>
      <c r="AG661" s="126"/>
      <c r="AH661" s="126"/>
      <c r="AI661" s="126"/>
      <c r="AJ661" s="126"/>
      <c r="AK661" s="126"/>
      <c r="AL661" s="126"/>
      <c r="AM661" s="126"/>
      <c r="AN661" s="126"/>
      <c r="AO661" s="70"/>
      <c r="AP661" s="70"/>
      <c r="AQ661" s="70"/>
      <c r="AR661" s="70"/>
      <c r="AS661" s="70"/>
      <c r="AT661" s="70"/>
      <c r="AU661" s="70"/>
      <c r="AV661" s="70"/>
      <c r="AW661" s="70"/>
      <c r="AX661" s="70"/>
    </row>
    <row r="662" ht="15.75" customHeight="1">
      <c r="A662" s="68" t="s">
        <v>463</v>
      </c>
      <c r="B662" s="169" t="s">
        <v>4666</v>
      </c>
      <c r="C662" s="28" t="s">
        <v>4670</v>
      </c>
      <c r="D662" s="28" t="s">
        <v>4671</v>
      </c>
      <c r="E662" s="28" t="s">
        <v>4672</v>
      </c>
      <c r="F662" s="28"/>
      <c r="G662" s="28"/>
      <c r="H662" s="28"/>
      <c r="I662" s="28"/>
      <c r="J662" s="28" t="s">
        <v>958</v>
      </c>
      <c r="K662" s="28"/>
      <c r="L662" s="28"/>
      <c r="M662" s="28"/>
      <c r="N662" s="28"/>
      <c r="O662" s="67"/>
      <c r="P662" s="67"/>
      <c r="Q662" s="67" t="s">
        <v>145</v>
      </c>
      <c r="R662" s="67"/>
      <c r="S662" s="67"/>
      <c r="T662" s="67"/>
      <c r="U662" s="67"/>
      <c r="V662" s="67"/>
      <c r="W662" s="67"/>
      <c r="X662" s="67"/>
      <c r="Y662" s="67"/>
      <c r="Z662" s="67"/>
      <c r="AA662" s="67"/>
      <c r="AB662" s="67"/>
      <c r="AC662" s="67"/>
      <c r="AD662" s="67"/>
      <c r="AE662" s="67"/>
      <c r="AF662" s="67"/>
      <c r="AG662" s="67"/>
      <c r="AH662" s="67"/>
      <c r="AI662" s="67"/>
      <c r="AJ662" s="67"/>
      <c r="AK662" s="67"/>
      <c r="AL662" s="67"/>
      <c r="AM662" s="67"/>
      <c r="AN662" s="67"/>
      <c r="AO662" s="70"/>
      <c r="AP662" s="70"/>
      <c r="AQ662" s="70"/>
      <c r="AR662" s="70"/>
      <c r="AS662" s="70"/>
      <c r="AT662" s="70"/>
      <c r="AU662" s="70"/>
      <c r="AV662" s="70"/>
      <c r="AW662" s="70"/>
      <c r="AX662" s="70"/>
    </row>
    <row r="663" ht="15.75" customHeight="1">
      <c r="A663" s="68" t="s">
        <v>463</v>
      </c>
      <c r="B663" s="169" t="s">
        <v>4673</v>
      </c>
      <c r="C663" s="28" t="s">
        <v>4678</v>
      </c>
      <c r="D663" s="28" t="s">
        <v>4679</v>
      </c>
      <c r="E663" s="28" t="s">
        <v>4680</v>
      </c>
      <c r="F663" s="28"/>
      <c r="G663" s="28"/>
      <c r="H663" s="28"/>
      <c r="I663" s="28"/>
      <c r="J663" s="28" t="s">
        <v>958</v>
      </c>
      <c r="K663" s="28"/>
      <c r="L663" s="28"/>
      <c r="M663" s="28"/>
      <c r="N663" s="28"/>
      <c r="O663" s="67"/>
      <c r="P663" s="67"/>
      <c r="Q663" s="67" t="s">
        <v>145</v>
      </c>
      <c r="R663" s="67"/>
      <c r="S663" s="67"/>
      <c r="T663" s="67"/>
      <c r="U663" s="67"/>
      <c r="V663" s="67"/>
      <c r="W663" s="67"/>
      <c r="X663" s="67"/>
      <c r="Y663" s="67"/>
      <c r="Z663" s="67"/>
      <c r="AA663" s="67"/>
      <c r="AB663" s="67"/>
      <c r="AC663" s="67"/>
      <c r="AD663" s="67"/>
      <c r="AE663" s="67"/>
      <c r="AF663" s="67"/>
      <c r="AG663" s="67"/>
      <c r="AH663" s="67"/>
      <c r="AI663" s="67"/>
      <c r="AJ663" s="67"/>
      <c r="AK663" s="67"/>
      <c r="AL663" s="67"/>
      <c r="AM663" s="67"/>
      <c r="AN663" s="67"/>
      <c r="AO663" s="70"/>
      <c r="AP663" s="70"/>
      <c r="AQ663" s="70"/>
      <c r="AR663" s="70"/>
      <c r="AS663" s="70"/>
      <c r="AT663" s="70"/>
      <c r="AU663" s="70"/>
      <c r="AV663" s="70"/>
      <c r="AW663" s="70"/>
      <c r="AX663" s="70"/>
    </row>
    <row r="664" ht="15.75" customHeight="1">
      <c r="A664" s="68" t="s">
        <v>463</v>
      </c>
      <c r="B664" s="169" t="s">
        <v>4681</v>
      </c>
      <c r="C664" s="28" t="s">
        <v>4685</v>
      </c>
      <c r="D664" s="28" t="s">
        <v>4686</v>
      </c>
      <c r="E664" s="28" t="s">
        <v>4688</v>
      </c>
      <c r="F664" s="28"/>
      <c r="G664" s="28"/>
      <c r="H664" s="28"/>
      <c r="I664" s="28"/>
      <c r="J664" s="28" t="s">
        <v>958</v>
      </c>
      <c r="K664" s="28"/>
      <c r="L664" s="28"/>
      <c r="M664" s="28"/>
      <c r="N664" s="28"/>
      <c r="O664" s="67"/>
      <c r="P664" s="67"/>
      <c r="Q664" s="67" t="s">
        <v>145</v>
      </c>
      <c r="R664" s="67"/>
      <c r="S664" s="67"/>
      <c r="T664" s="67"/>
      <c r="U664" s="67"/>
      <c r="V664" s="67"/>
      <c r="W664" s="67"/>
      <c r="X664" s="67"/>
      <c r="Y664" s="67"/>
      <c r="Z664" s="67"/>
      <c r="AA664" s="67"/>
      <c r="AB664" s="67"/>
      <c r="AC664" s="67"/>
      <c r="AD664" s="67"/>
      <c r="AE664" s="67"/>
      <c r="AF664" s="67"/>
      <c r="AG664" s="67"/>
      <c r="AH664" s="67"/>
      <c r="AI664" s="67"/>
      <c r="AJ664" s="67"/>
      <c r="AK664" s="67"/>
      <c r="AL664" s="67"/>
      <c r="AM664" s="67"/>
      <c r="AN664" s="67"/>
      <c r="AO664" s="70"/>
      <c r="AP664" s="70"/>
      <c r="AQ664" s="70"/>
      <c r="AR664" s="70"/>
      <c r="AS664" s="70"/>
      <c r="AT664" s="70"/>
      <c r="AU664" s="70"/>
      <c r="AV664" s="70"/>
      <c r="AW664" s="70"/>
      <c r="AX664" s="70"/>
    </row>
    <row r="665" ht="15.75" customHeight="1">
      <c r="A665" s="68" t="s">
        <v>463</v>
      </c>
      <c r="B665" s="169" t="s">
        <v>4690</v>
      </c>
      <c r="C665" s="28" t="s">
        <v>4695</v>
      </c>
      <c r="D665" s="28" t="s">
        <v>4696</v>
      </c>
      <c r="E665" s="28" t="s">
        <v>4697</v>
      </c>
      <c r="F665" s="28"/>
      <c r="G665" s="28"/>
      <c r="H665" s="28"/>
      <c r="I665" s="28"/>
      <c r="J665" s="28" t="s">
        <v>958</v>
      </c>
      <c r="K665" s="28"/>
      <c r="L665" s="28"/>
      <c r="M665" s="28"/>
      <c r="N665" s="28"/>
      <c r="O665" s="67"/>
      <c r="P665" s="67"/>
      <c r="Q665" s="67" t="s">
        <v>145</v>
      </c>
      <c r="R665" s="67"/>
      <c r="S665" s="67"/>
      <c r="T665" s="67"/>
      <c r="U665" s="67"/>
      <c r="V665" s="67"/>
      <c r="W665" s="67"/>
      <c r="X665" s="67"/>
      <c r="Y665" s="67"/>
      <c r="Z665" s="67"/>
      <c r="AA665" s="67"/>
      <c r="AB665" s="67"/>
      <c r="AC665" s="67"/>
      <c r="AD665" s="67"/>
      <c r="AE665" s="67"/>
      <c r="AF665" s="67"/>
      <c r="AG665" s="67"/>
      <c r="AH665" s="67"/>
      <c r="AI665" s="67"/>
      <c r="AJ665" s="67"/>
      <c r="AK665" s="67"/>
      <c r="AL665" s="67"/>
      <c r="AM665" s="67"/>
      <c r="AN665" s="67"/>
      <c r="AO665" s="70"/>
      <c r="AP665" s="70"/>
      <c r="AQ665" s="70"/>
      <c r="AR665" s="70"/>
      <c r="AS665" s="70"/>
      <c r="AT665" s="70"/>
      <c r="AU665" s="70"/>
      <c r="AV665" s="70"/>
      <c r="AW665" s="70"/>
      <c r="AX665" s="70"/>
    </row>
    <row r="666" ht="15.75" customHeight="1">
      <c r="A666" s="68" t="s">
        <v>463</v>
      </c>
      <c r="B666" s="169" t="s">
        <v>4698</v>
      </c>
      <c r="C666" s="28" t="s">
        <v>4702</v>
      </c>
      <c r="D666" s="28" t="s">
        <v>4703</v>
      </c>
      <c r="E666" s="28" t="s">
        <v>4704</v>
      </c>
      <c r="F666" s="28"/>
      <c r="G666" s="28"/>
      <c r="H666" s="28"/>
      <c r="I666" s="28"/>
      <c r="J666" s="28" t="s">
        <v>958</v>
      </c>
      <c r="K666" s="28"/>
      <c r="L666" s="28"/>
      <c r="M666" s="28"/>
      <c r="N666" s="28"/>
      <c r="O666" s="67"/>
      <c r="P666" s="67"/>
      <c r="Q666" s="67" t="s">
        <v>145</v>
      </c>
      <c r="R666" s="67"/>
      <c r="S666" s="67"/>
      <c r="T666" s="67"/>
      <c r="U666" s="67"/>
      <c r="V666" s="67"/>
      <c r="W666" s="67"/>
      <c r="X666" s="67"/>
      <c r="Y666" s="67"/>
      <c r="Z666" s="67"/>
      <c r="AA666" s="67"/>
      <c r="AB666" s="67"/>
      <c r="AC666" s="67"/>
      <c r="AD666" s="67"/>
      <c r="AE666" s="67"/>
      <c r="AF666" s="67"/>
      <c r="AG666" s="67"/>
      <c r="AH666" s="67"/>
      <c r="AI666" s="67"/>
      <c r="AJ666" s="67"/>
      <c r="AK666" s="67"/>
      <c r="AL666" s="67"/>
      <c r="AM666" s="67"/>
      <c r="AN666" s="67"/>
      <c r="AO666" s="70"/>
      <c r="AP666" s="70"/>
      <c r="AQ666" s="70"/>
      <c r="AR666" s="70"/>
      <c r="AS666" s="70"/>
      <c r="AT666" s="70"/>
      <c r="AU666" s="70"/>
      <c r="AV666" s="70"/>
      <c r="AW666" s="70"/>
      <c r="AX666" s="70"/>
    </row>
    <row r="667" ht="15.75" customHeight="1">
      <c r="A667" s="140" t="s">
        <v>237</v>
      </c>
      <c r="B667" s="191" t="s">
        <v>4650</v>
      </c>
      <c r="C667" s="28"/>
      <c r="D667" s="28"/>
      <c r="E667" s="28"/>
      <c r="F667" s="28"/>
      <c r="G667" s="28"/>
      <c r="H667" s="28"/>
      <c r="I667" s="28"/>
      <c r="J667" s="28"/>
      <c r="K667" s="28"/>
      <c r="L667" s="28"/>
      <c r="M667" s="28"/>
      <c r="N667" s="28"/>
      <c r="O667" s="139"/>
      <c r="P667" s="139"/>
      <c r="Q667" s="139"/>
      <c r="R667" s="139"/>
      <c r="S667" s="139"/>
      <c r="T667" s="139"/>
      <c r="U667" s="139"/>
      <c r="V667" s="139"/>
      <c r="W667" s="139"/>
      <c r="X667" s="139"/>
      <c r="Y667" s="139"/>
      <c r="Z667" s="139"/>
      <c r="AA667" s="139"/>
      <c r="AB667" s="139"/>
      <c r="AC667" s="139"/>
      <c r="AD667" s="126"/>
      <c r="AE667" s="126"/>
      <c r="AF667" s="126"/>
      <c r="AG667" s="126"/>
      <c r="AH667" s="126"/>
      <c r="AI667" s="126"/>
      <c r="AJ667" s="126"/>
      <c r="AK667" s="126"/>
      <c r="AL667" s="126"/>
      <c r="AM667" s="126"/>
      <c r="AN667" s="126"/>
      <c r="AO667" s="70"/>
      <c r="AP667" s="70"/>
      <c r="AQ667" s="70"/>
      <c r="AR667" s="70"/>
      <c r="AS667" s="70"/>
      <c r="AT667" s="70"/>
      <c r="AU667" s="70"/>
      <c r="AV667" s="70"/>
      <c r="AW667" s="70"/>
      <c r="AX667" s="70"/>
    </row>
    <row r="668" ht="15.75" customHeight="1">
      <c r="A668" s="140" t="s">
        <v>131</v>
      </c>
      <c r="B668" s="164" t="s">
        <v>4707</v>
      </c>
      <c r="C668" s="28"/>
      <c r="D668" s="28"/>
      <c r="E668" s="28"/>
      <c r="F668" s="28"/>
      <c r="G668" s="28"/>
      <c r="H668" s="28"/>
      <c r="I668" s="28"/>
      <c r="J668" s="28" t="s">
        <v>931</v>
      </c>
      <c r="K668" s="28"/>
      <c r="L668" s="28"/>
      <c r="M668" s="28"/>
      <c r="N668" s="28"/>
      <c r="O668" s="190" t="s">
        <v>9957</v>
      </c>
      <c r="P668" s="139"/>
      <c r="Q668" s="139"/>
      <c r="R668" s="139"/>
      <c r="S668" s="139"/>
      <c r="T668" s="139"/>
      <c r="U668" s="139"/>
      <c r="V668" s="139"/>
      <c r="W668" s="139"/>
      <c r="X668" s="139"/>
      <c r="Y668" s="139"/>
      <c r="Z668" s="139"/>
      <c r="AA668" s="139"/>
      <c r="AB668" s="139"/>
      <c r="AC668" s="139"/>
      <c r="AD668" s="126"/>
      <c r="AE668" s="126"/>
      <c r="AF668" s="126"/>
      <c r="AG668" s="126"/>
      <c r="AH668" s="126"/>
      <c r="AI668" s="126"/>
      <c r="AJ668" s="126"/>
      <c r="AK668" s="126"/>
      <c r="AL668" s="126"/>
      <c r="AM668" s="126"/>
      <c r="AN668" s="126"/>
      <c r="AO668" s="70"/>
      <c r="AP668" s="70"/>
      <c r="AQ668" s="70"/>
      <c r="AR668" s="70"/>
      <c r="AS668" s="70"/>
      <c r="AT668" s="70"/>
      <c r="AU668" s="70"/>
      <c r="AV668" s="70"/>
      <c r="AW668" s="70"/>
      <c r="AX668" s="70"/>
    </row>
    <row r="669" ht="15.75" customHeight="1">
      <c r="A669" s="166" t="s">
        <v>41</v>
      </c>
      <c r="B669" s="167" t="s">
        <v>4712</v>
      </c>
      <c r="C669" s="28" t="s">
        <v>4720</v>
      </c>
      <c r="D669" s="28" t="s">
        <v>4721</v>
      </c>
      <c r="E669" s="28" t="s">
        <v>4722</v>
      </c>
      <c r="F669" s="28"/>
      <c r="G669" s="28"/>
      <c r="H669" s="28"/>
      <c r="I669" s="28"/>
      <c r="J669" s="28" t="s">
        <v>8</v>
      </c>
      <c r="K669" s="28"/>
      <c r="L669" s="28"/>
      <c r="M669" s="28"/>
      <c r="N669" s="28"/>
      <c r="O669" s="126"/>
      <c r="P669" s="126"/>
      <c r="Q669" s="126"/>
      <c r="R669" s="126"/>
      <c r="S669" s="126"/>
      <c r="T669" s="126"/>
      <c r="U669" s="126"/>
      <c r="V669" s="126"/>
      <c r="W669" s="126"/>
      <c r="X669" s="126"/>
      <c r="Y669" s="126"/>
      <c r="Z669" s="126"/>
      <c r="AA669" s="126"/>
      <c r="AB669" s="126"/>
      <c r="AC669" s="126"/>
      <c r="AD669" s="126"/>
      <c r="AE669" s="126"/>
      <c r="AF669" s="126"/>
      <c r="AG669" s="126"/>
      <c r="AH669" s="126"/>
      <c r="AI669" s="126"/>
      <c r="AJ669" s="126"/>
      <c r="AK669" s="126"/>
      <c r="AL669" s="126"/>
      <c r="AM669" s="126"/>
      <c r="AN669" s="126"/>
      <c r="AO669" s="70"/>
      <c r="AP669" s="70"/>
      <c r="AQ669" s="70"/>
      <c r="AR669" s="70"/>
      <c r="AS669" s="70"/>
      <c r="AT669" s="70"/>
      <c r="AU669" s="70"/>
      <c r="AV669" s="70"/>
      <c r="AW669" s="70"/>
      <c r="AX669" s="70"/>
    </row>
    <row r="670" ht="15.75" customHeight="1">
      <c r="A670" s="179" t="s">
        <v>246</v>
      </c>
      <c r="B670" s="180" t="s">
        <v>4723</v>
      </c>
      <c r="C670" s="28" t="s">
        <v>4729</v>
      </c>
      <c r="D670" s="28" t="s">
        <v>4730</v>
      </c>
      <c r="E670" s="28" t="s">
        <v>4731</v>
      </c>
      <c r="F670" s="28" t="s">
        <v>7811</v>
      </c>
      <c r="G670" s="28" t="s">
        <v>7812</v>
      </c>
      <c r="H670" s="28" t="s">
        <v>7813</v>
      </c>
      <c r="I670" s="28"/>
      <c r="J670" s="28" t="s">
        <v>958</v>
      </c>
      <c r="K670" s="28"/>
      <c r="L670" s="28"/>
      <c r="M670" s="28"/>
      <c r="N670" s="28"/>
      <c r="O670" s="181" t="s">
        <v>9988</v>
      </c>
      <c r="P670" s="181"/>
      <c r="Q670" s="181" t="s">
        <v>145</v>
      </c>
      <c r="R670" s="181"/>
      <c r="S670" s="181"/>
      <c r="T670" s="181"/>
      <c r="U670" s="181"/>
      <c r="V670" s="181"/>
      <c r="W670" s="181"/>
      <c r="X670" s="181"/>
      <c r="Y670" s="181"/>
      <c r="Z670" s="181"/>
      <c r="AA670" s="181"/>
      <c r="AB670" s="181"/>
      <c r="AC670" s="181"/>
      <c r="AD670" s="181"/>
      <c r="AE670" s="181"/>
      <c r="AF670" s="181"/>
      <c r="AG670" s="181"/>
      <c r="AH670" s="181"/>
      <c r="AI670" s="181"/>
      <c r="AJ670" s="181"/>
      <c r="AK670" s="181"/>
      <c r="AL670" s="181"/>
      <c r="AM670" s="181"/>
      <c r="AN670" s="181"/>
      <c r="AO670" s="70"/>
      <c r="AP670" s="70"/>
      <c r="AQ670" s="70"/>
      <c r="AR670" s="70"/>
      <c r="AS670" s="70"/>
      <c r="AT670" s="70"/>
      <c r="AU670" s="70"/>
      <c r="AV670" s="70"/>
      <c r="AW670" s="70"/>
      <c r="AX670" s="70"/>
    </row>
    <row r="671" ht="15.75" customHeight="1">
      <c r="A671" s="179" t="s">
        <v>246</v>
      </c>
      <c r="B671" s="180" t="s">
        <v>4732</v>
      </c>
      <c r="C671" s="28" t="s">
        <v>4738</v>
      </c>
      <c r="D671" s="28" t="s">
        <v>4740</v>
      </c>
      <c r="E671" s="28" t="s">
        <v>4741</v>
      </c>
      <c r="F671" s="28" t="s">
        <v>7811</v>
      </c>
      <c r="G671" s="28" t="s">
        <v>7812</v>
      </c>
      <c r="H671" s="28" t="s">
        <v>7813</v>
      </c>
      <c r="I671" s="28"/>
      <c r="J671" s="28" t="s">
        <v>958</v>
      </c>
      <c r="K671" s="28"/>
      <c r="L671" s="28"/>
      <c r="M671" s="28"/>
      <c r="N671" s="28"/>
      <c r="O671" s="181" t="s">
        <v>10003</v>
      </c>
      <c r="P671" s="181"/>
      <c r="Q671" s="181" t="s">
        <v>145</v>
      </c>
      <c r="R671" s="181"/>
      <c r="S671" s="181"/>
      <c r="T671" s="181"/>
      <c r="U671" s="181"/>
      <c r="V671" s="181"/>
      <c r="W671" s="181"/>
      <c r="X671" s="181"/>
      <c r="Y671" s="181"/>
      <c r="Z671" s="181"/>
      <c r="AA671" s="181"/>
      <c r="AB671" s="181"/>
      <c r="AC671" s="181"/>
      <c r="AD671" s="67"/>
      <c r="AE671" s="67"/>
      <c r="AF671" s="67"/>
      <c r="AG671" s="67"/>
      <c r="AH671" s="67"/>
      <c r="AI671" s="67"/>
      <c r="AJ671" s="67"/>
      <c r="AK671" s="67"/>
      <c r="AL671" s="67"/>
      <c r="AM671" s="67"/>
      <c r="AN671" s="67"/>
      <c r="AO671" s="70"/>
      <c r="AP671" s="70"/>
      <c r="AQ671" s="70"/>
      <c r="AR671" s="70"/>
      <c r="AS671" s="70"/>
      <c r="AT671" s="70"/>
      <c r="AU671" s="70"/>
      <c r="AV671" s="70"/>
      <c r="AW671" s="70"/>
      <c r="AX671" s="70"/>
    </row>
    <row r="672" ht="15.75" customHeight="1">
      <c r="A672" s="179" t="s">
        <v>246</v>
      </c>
      <c r="B672" s="180" t="s">
        <v>4742</v>
      </c>
      <c r="C672" s="28" t="s">
        <v>4746</v>
      </c>
      <c r="D672" s="28" t="s">
        <v>4747</v>
      </c>
      <c r="E672" s="28" t="s">
        <v>4748</v>
      </c>
      <c r="F672" s="28" t="s">
        <v>7811</v>
      </c>
      <c r="G672" s="28" t="s">
        <v>7812</v>
      </c>
      <c r="H672" s="28" t="s">
        <v>7813</v>
      </c>
      <c r="I672" s="28"/>
      <c r="J672" s="28" t="s">
        <v>958</v>
      </c>
      <c r="K672" s="28"/>
      <c r="L672" s="28"/>
      <c r="M672" s="28"/>
      <c r="N672" s="28"/>
      <c r="O672" s="181" t="s">
        <v>10021</v>
      </c>
      <c r="P672" s="181"/>
      <c r="Q672" s="181" t="s">
        <v>145</v>
      </c>
      <c r="R672" s="181"/>
      <c r="S672" s="181"/>
      <c r="T672" s="181"/>
      <c r="U672" s="181"/>
      <c r="V672" s="181"/>
      <c r="W672" s="181"/>
      <c r="X672" s="181"/>
      <c r="Y672" s="181"/>
      <c r="Z672" s="181"/>
      <c r="AA672" s="181"/>
      <c r="AB672" s="181"/>
      <c r="AC672" s="181"/>
      <c r="AD672" s="181"/>
      <c r="AE672" s="181"/>
      <c r="AF672" s="181"/>
      <c r="AG672" s="181"/>
      <c r="AH672" s="181"/>
      <c r="AI672" s="181"/>
      <c r="AJ672" s="181"/>
      <c r="AK672" s="181"/>
      <c r="AL672" s="181"/>
      <c r="AM672" s="181"/>
      <c r="AN672" s="181"/>
      <c r="AO672" s="70"/>
      <c r="AP672" s="70"/>
      <c r="AQ672" s="70"/>
      <c r="AR672" s="70"/>
      <c r="AS672" s="70"/>
      <c r="AT672" s="70"/>
      <c r="AU672" s="70"/>
      <c r="AV672" s="70"/>
      <c r="AW672" s="70"/>
      <c r="AX672" s="70"/>
    </row>
    <row r="673" ht="15.75" customHeight="1">
      <c r="A673" s="179" t="s">
        <v>246</v>
      </c>
      <c r="B673" s="180" t="s">
        <v>4749</v>
      </c>
      <c r="C673" s="28" t="s">
        <v>4756</v>
      </c>
      <c r="D673" s="28" t="s">
        <v>4744</v>
      </c>
      <c r="E673" s="28" t="s">
        <v>4757</v>
      </c>
      <c r="F673" s="28" t="s">
        <v>7811</v>
      </c>
      <c r="G673" s="28" t="s">
        <v>7812</v>
      </c>
      <c r="H673" s="28" t="s">
        <v>7813</v>
      </c>
      <c r="I673" s="28"/>
      <c r="J673" s="28" t="s">
        <v>958</v>
      </c>
      <c r="K673" s="28"/>
      <c r="L673" s="28"/>
      <c r="M673" s="28"/>
      <c r="N673" s="28"/>
      <c r="O673" s="181" t="s">
        <v>10039</v>
      </c>
      <c r="P673" s="181"/>
      <c r="Q673" s="181" t="s">
        <v>145</v>
      </c>
      <c r="R673" s="181"/>
      <c r="S673" s="181"/>
      <c r="T673" s="181"/>
      <c r="U673" s="181"/>
      <c r="V673" s="181"/>
      <c r="W673" s="181"/>
      <c r="X673" s="181"/>
      <c r="Y673" s="181"/>
      <c r="Z673" s="181"/>
      <c r="AA673" s="181"/>
      <c r="AB673" s="181"/>
      <c r="AC673" s="181"/>
      <c r="AD673" s="181"/>
      <c r="AE673" s="181"/>
      <c r="AF673" s="181"/>
      <c r="AG673" s="181"/>
      <c r="AH673" s="181"/>
      <c r="AI673" s="181"/>
      <c r="AJ673" s="181"/>
      <c r="AK673" s="181"/>
      <c r="AL673" s="181"/>
      <c r="AM673" s="181"/>
      <c r="AN673" s="181"/>
      <c r="AO673" s="70"/>
      <c r="AP673" s="70"/>
      <c r="AQ673" s="70"/>
      <c r="AR673" s="70"/>
      <c r="AS673" s="70"/>
      <c r="AT673" s="70"/>
      <c r="AU673" s="70"/>
      <c r="AV673" s="70"/>
      <c r="AW673" s="70"/>
      <c r="AX673" s="70"/>
    </row>
    <row r="674" ht="15.75" customHeight="1">
      <c r="A674" s="68" t="s">
        <v>4758</v>
      </c>
      <c r="B674" s="169" t="s">
        <v>4759</v>
      </c>
      <c r="C674" s="28" t="s">
        <v>4764</v>
      </c>
      <c r="D674" s="28" t="s">
        <v>4765</v>
      </c>
      <c r="E674" s="28" t="s">
        <v>4766</v>
      </c>
      <c r="F674" s="28" t="s">
        <v>7285</v>
      </c>
      <c r="G674" s="28" t="s">
        <v>10056</v>
      </c>
      <c r="H674" s="28" t="s">
        <v>7288</v>
      </c>
      <c r="I674" s="28"/>
      <c r="J674" s="28" t="s">
        <v>10059</v>
      </c>
      <c r="K674" s="28"/>
      <c r="L674" s="28"/>
      <c r="M674" s="28"/>
      <c r="N674" s="28"/>
      <c r="O674" s="67" t="s">
        <v>10060</v>
      </c>
      <c r="P674" s="181"/>
      <c r="Q674" s="181" t="s">
        <v>145</v>
      </c>
      <c r="R674" s="67"/>
      <c r="S674" s="67"/>
      <c r="T674" s="67"/>
      <c r="U674" s="67"/>
      <c r="V674" s="67"/>
      <c r="W674" s="67"/>
      <c r="X674" s="67"/>
      <c r="Y674" s="67"/>
      <c r="Z674" s="67"/>
      <c r="AA674" s="67"/>
      <c r="AB674" s="67"/>
      <c r="AC674" s="67"/>
      <c r="AD674" s="67"/>
      <c r="AE674" s="67"/>
      <c r="AF674" s="67"/>
      <c r="AG674" s="67"/>
      <c r="AH674" s="67"/>
      <c r="AI674" s="67"/>
      <c r="AJ674" s="67"/>
      <c r="AK674" s="67"/>
      <c r="AL674" s="67"/>
      <c r="AM674" s="67"/>
      <c r="AN674" s="67"/>
      <c r="AO674" s="70"/>
      <c r="AP674" s="70"/>
      <c r="AQ674" s="70"/>
      <c r="AR674" s="70"/>
      <c r="AS674" s="70"/>
      <c r="AT674" s="70"/>
      <c r="AU674" s="70"/>
      <c r="AV674" s="70"/>
      <c r="AW674" s="70"/>
      <c r="AX674" s="70"/>
    </row>
    <row r="675" ht="15.75" customHeight="1">
      <c r="A675" s="179" t="s">
        <v>246</v>
      </c>
      <c r="B675" s="180" t="s">
        <v>4767</v>
      </c>
      <c r="C675" s="28" t="s">
        <v>4760</v>
      </c>
      <c r="D675" s="28" t="s">
        <v>4761</v>
      </c>
      <c r="E675" s="28" t="s">
        <v>4763</v>
      </c>
      <c r="F675" s="28"/>
      <c r="G675" s="28"/>
      <c r="H675" s="28"/>
      <c r="I675" s="28"/>
      <c r="J675" s="28" t="s">
        <v>10059</v>
      </c>
      <c r="K675" s="28"/>
      <c r="L675" s="28"/>
      <c r="M675" s="28"/>
      <c r="N675" s="28"/>
      <c r="O675" s="181" t="s">
        <v>10079</v>
      </c>
      <c r="P675" s="181"/>
      <c r="Q675" s="181" t="s">
        <v>145</v>
      </c>
      <c r="R675" s="181"/>
      <c r="S675" s="181"/>
      <c r="T675" s="181"/>
      <c r="U675" s="181"/>
      <c r="V675" s="181"/>
      <c r="W675" s="181"/>
      <c r="X675" s="181"/>
      <c r="Y675" s="181"/>
      <c r="Z675" s="181"/>
      <c r="AA675" s="181"/>
      <c r="AB675" s="181"/>
      <c r="AC675" s="181"/>
      <c r="AD675" s="181"/>
      <c r="AE675" s="181"/>
      <c r="AF675" s="181"/>
      <c r="AG675" s="181"/>
      <c r="AH675" s="181"/>
      <c r="AI675" s="181"/>
      <c r="AJ675" s="181"/>
      <c r="AK675" s="181"/>
      <c r="AL675" s="181"/>
      <c r="AM675" s="181"/>
      <c r="AN675" s="181"/>
      <c r="AO675" s="70"/>
      <c r="AP675" s="70"/>
      <c r="AQ675" s="70"/>
      <c r="AR675" s="70"/>
      <c r="AS675" s="70"/>
      <c r="AT675" s="70"/>
      <c r="AU675" s="70"/>
      <c r="AV675" s="70"/>
      <c r="AW675" s="70"/>
      <c r="AX675" s="70"/>
    </row>
    <row r="676" ht="15.75" customHeight="1">
      <c r="A676" s="68" t="s">
        <v>463</v>
      </c>
      <c r="B676" s="169" t="s">
        <v>4774</v>
      </c>
      <c r="C676" s="28" t="s">
        <v>4781</v>
      </c>
      <c r="D676" s="28" t="s">
        <v>4782</v>
      </c>
      <c r="E676" s="28" t="s">
        <v>4783</v>
      </c>
      <c r="F676" s="28"/>
      <c r="G676" s="28"/>
      <c r="H676" s="28"/>
      <c r="I676" s="28"/>
      <c r="J676" s="28" t="s">
        <v>10059</v>
      </c>
      <c r="K676" s="28"/>
      <c r="L676" s="28"/>
      <c r="M676" s="28"/>
      <c r="N676" s="28"/>
      <c r="O676" s="67" t="s">
        <v>10060</v>
      </c>
      <c r="P676" s="181"/>
      <c r="Q676" s="181" t="s">
        <v>145</v>
      </c>
      <c r="R676" s="67"/>
      <c r="S676" s="67"/>
      <c r="T676" s="67"/>
      <c r="U676" s="67"/>
      <c r="V676" s="67"/>
      <c r="W676" s="67"/>
      <c r="X676" s="67"/>
      <c r="Y676" s="67"/>
      <c r="Z676" s="67"/>
      <c r="AA676" s="67"/>
      <c r="AB676" s="67"/>
      <c r="AC676" s="67"/>
      <c r="AD676" s="67"/>
      <c r="AE676" s="67"/>
      <c r="AF676" s="67"/>
      <c r="AG676" s="67"/>
      <c r="AH676" s="67"/>
      <c r="AI676" s="67"/>
      <c r="AJ676" s="67"/>
      <c r="AK676" s="67"/>
      <c r="AL676" s="67"/>
      <c r="AM676" s="67"/>
      <c r="AN676" s="67"/>
      <c r="AO676" s="70"/>
      <c r="AP676" s="70"/>
      <c r="AQ676" s="70"/>
      <c r="AR676" s="70"/>
      <c r="AS676" s="70"/>
      <c r="AT676" s="70"/>
      <c r="AU676" s="70"/>
      <c r="AV676" s="70"/>
      <c r="AW676" s="70"/>
      <c r="AX676" s="70"/>
    </row>
    <row r="677" ht="15.75" customHeight="1">
      <c r="A677" s="140" t="s">
        <v>237</v>
      </c>
      <c r="B677" s="191" t="s">
        <v>4707</v>
      </c>
      <c r="C677" s="28"/>
      <c r="D677" s="28"/>
      <c r="E677" s="28"/>
      <c r="F677" s="28"/>
      <c r="G677" s="28"/>
      <c r="H677" s="28"/>
      <c r="I677" s="28"/>
      <c r="J677" s="28"/>
      <c r="K677" s="28"/>
      <c r="L677" s="28"/>
      <c r="M677" s="28"/>
      <c r="N677" s="28"/>
      <c r="O677" s="139"/>
      <c r="P677" s="139"/>
      <c r="Q677" s="139"/>
      <c r="R677" s="139"/>
      <c r="S677" s="139"/>
      <c r="T677" s="139"/>
      <c r="U677" s="139"/>
      <c r="V677" s="139"/>
      <c r="W677" s="139"/>
      <c r="X677" s="139"/>
      <c r="Y677" s="139"/>
      <c r="Z677" s="139"/>
      <c r="AA677" s="139"/>
      <c r="AB677" s="139"/>
      <c r="AC677" s="139"/>
      <c r="AD677" s="67"/>
      <c r="AE677" s="67"/>
      <c r="AF677" s="67"/>
      <c r="AG677" s="67"/>
      <c r="AH677" s="67"/>
      <c r="AI677" s="67"/>
      <c r="AJ677" s="67"/>
      <c r="AK677" s="67"/>
      <c r="AL677" s="67"/>
      <c r="AM677" s="67"/>
      <c r="AN677" s="67"/>
      <c r="AO677" s="70"/>
      <c r="AP677" s="70"/>
      <c r="AQ677" s="70"/>
      <c r="AR677" s="70"/>
      <c r="AS677" s="70"/>
      <c r="AT677" s="70"/>
      <c r="AU677" s="70"/>
      <c r="AV677" s="70"/>
      <c r="AW677" s="70"/>
      <c r="AX677" s="70"/>
    </row>
    <row r="678" ht="15.75" customHeight="1">
      <c r="A678" s="65" t="s">
        <v>134</v>
      </c>
      <c r="B678" s="66" t="s">
        <v>4787</v>
      </c>
      <c r="C678" s="28"/>
      <c r="D678" s="28"/>
      <c r="E678" s="28"/>
      <c r="F678" s="28"/>
      <c r="G678" s="28"/>
      <c r="H678" s="28"/>
      <c r="I678" s="28"/>
      <c r="J678" s="28"/>
      <c r="K678" s="28"/>
      <c r="L678" s="28"/>
      <c r="M678" s="28"/>
      <c r="N678" s="28"/>
      <c r="O678" s="67"/>
      <c r="P678" s="68"/>
      <c r="Q678" s="68"/>
      <c r="R678" s="67"/>
      <c r="S678" s="67"/>
      <c r="T678" s="65" t="s">
        <v>139</v>
      </c>
      <c r="U678" s="67"/>
      <c r="V678" s="67"/>
      <c r="W678" s="67"/>
      <c r="X678" s="67"/>
      <c r="Y678" s="67"/>
      <c r="Z678" s="67"/>
      <c r="AA678" s="67"/>
      <c r="AB678" s="67"/>
      <c r="AC678" s="67"/>
      <c r="AD678" s="67"/>
      <c r="AE678" s="67"/>
      <c r="AF678" s="67"/>
      <c r="AG678" s="67"/>
      <c r="AH678" s="67"/>
      <c r="AI678" s="67"/>
      <c r="AJ678" s="67"/>
      <c r="AK678" s="67"/>
      <c r="AL678" s="67"/>
      <c r="AM678" s="67"/>
      <c r="AN678" s="67"/>
      <c r="AO678" s="67"/>
      <c r="AP678" s="67"/>
      <c r="AQ678" s="67"/>
      <c r="AR678" s="67"/>
      <c r="AS678" s="67"/>
      <c r="AT678" s="67"/>
      <c r="AU678" s="67"/>
      <c r="AV678" s="67"/>
      <c r="AW678" s="67"/>
      <c r="AX678" s="67"/>
    </row>
    <row r="679" ht="15.75" customHeight="1">
      <c r="A679" s="137" t="s">
        <v>78</v>
      </c>
      <c r="B679" s="272" t="s">
        <v>4791</v>
      </c>
      <c r="C679" s="28"/>
      <c r="D679" s="28"/>
      <c r="E679" s="28"/>
      <c r="F679" s="28"/>
      <c r="G679" s="28"/>
      <c r="H679" s="28"/>
      <c r="I679" s="28"/>
      <c r="J679" s="28"/>
      <c r="K679" s="28"/>
      <c r="L679" s="28"/>
      <c r="M679" s="28"/>
      <c r="N679" s="28"/>
      <c r="O679" s="139"/>
      <c r="P679" s="139"/>
      <c r="Q679" s="139"/>
      <c r="R679" s="139"/>
      <c r="S679" s="139"/>
      <c r="T679" s="137" t="s">
        <v>10162</v>
      </c>
      <c r="U679" s="139"/>
      <c r="V679" s="139"/>
      <c r="W679" s="139"/>
      <c r="X679" s="139"/>
      <c r="Y679" s="139"/>
      <c r="Z679" s="139"/>
      <c r="AA679" s="139"/>
      <c r="AB679" s="139"/>
      <c r="AC679" s="139"/>
      <c r="AD679" s="139"/>
      <c r="AE679" s="139"/>
      <c r="AF679" s="139"/>
      <c r="AG679" s="139"/>
      <c r="AH679" s="139"/>
      <c r="AI679" s="139"/>
      <c r="AJ679" s="139"/>
      <c r="AK679" s="139"/>
      <c r="AL679" s="139"/>
      <c r="AM679" s="139"/>
      <c r="AN679" s="139"/>
      <c r="AO679" s="70"/>
      <c r="AP679" s="70"/>
      <c r="AQ679" s="70"/>
      <c r="AR679" s="70"/>
      <c r="AS679" s="70"/>
      <c r="AT679" s="70"/>
      <c r="AU679" s="70"/>
      <c r="AV679" s="70"/>
      <c r="AW679" s="70"/>
      <c r="AX679" s="70"/>
    </row>
    <row r="680" ht="15.75" customHeight="1">
      <c r="A680" s="140" t="s">
        <v>237</v>
      </c>
      <c r="B680" s="191" t="s">
        <v>4510</v>
      </c>
      <c r="C680" s="28" t="s">
        <v>4511</v>
      </c>
      <c r="D680" s="28" t="s">
        <v>4512</v>
      </c>
      <c r="E680" s="28" t="s">
        <v>4513</v>
      </c>
      <c r="F680" s="28"/>
      <c r="G680" s="28"/>
      <c r="H680" s="28"/>
      <c r="I680" s="28"/>
      <c r="J680" s="28"/>
      <c r="K680" s="28"/>
      <c r="L680" s="28"/>
      <c r="M680" s="28"/>
      <c r="N680" s="28"/>
      <c r="O680" s="139"/>
      <c r="P680" s="139"/>
      <c r="Q680" s="139"/>
      <c r="R680" s="139"/>
      <c r="S680" s="139"/>
      <c r="T680" s="139"/>
      <c r="U680" s="139"/>
      <c r="V680" s="139"/>
      <c r="W680" s="139"/>
      <c r="X680" s="139"/>
      <c r="Y680" s="139"/>
      <c r="Z680" s="139"/>
      <c r="AA680" s="139"/>
      <c r="AB680" s="139"/>
      <c r="AC680" s="139"/>
      <c r="AD680" s="139"/>
      <c r="AE680" s="139"/>
      <c r="AF680" s="139"/>
      <c r="AG680" s="139"/>
      <c r="AH680" s="139"/>
      <c r="AI680" s="139"/>
      <c r="AJ680" s="139"/>
      <c r="AK680" s="139"/>
      <c r="AL680" s="139"/>
      <c r="AM680" s="139"/>
      <c r="AN680" s="139"/>
      <c r="AO680" s="70"/>
      <c r="AP680" s="70"/>
      <c r="AQ680" s="70"/>
      <c r="AR680" s="70"/>
      <c r="AS680" s="70"/>
      <c r="AT680" s="70"/>
      <c r="AU680" s="70"/>
      <c r="AV680" s="70"/>
      <c r="AW680" s="70"/>
      <c r="AX680" s="70"/>
    </row>
    <row r="681" ht="15.75" customHeight="1">
      <c r="A681" s="174" t="s">
        <v>1015</v>
      </c>
      <c r="B681" s="204" t="s">
        <v>3908</v>
      </c>
      <c r="C681" s="28" t="s">
        <v>3064</v>
      </c>
      <c r="D681" s="28" t="s">
        <v>3909</v>
      </c>
      <c r="E681" s="28" t="s">
        <v>3910</v>
      </c>
      <c r="F681" s="28"/>
      <c r="G681" s="28"/>
      <c r="H681" s="28"/>
      <c r="I681" s="28"/>
      <c r="J681" s="28"/>
      <c r="K681" s="28"/>
      <c r="L681" s="28"/>
      <c r="M681" s="28"/>
      <c r="N681" s="28"/>
      <c r="O681" s="176"/>
      <c r="P681" s="176"/>
      <c r="Q681" s="176"/>
      <c r="R681" s="176"/>
      <c r="S681" s="176"/>
      <c r="T681" s="176"/>
      <c r="U681" s="176"/>
      <c r="V681" s="176"/>
      <c r="W681" s="176"/>
      <c r="X681" s="176"/>
      <c r="Y681" s="176"/>
      <c r="Z681" s="176"/>
      <c r="AA681" s="176"/>
      <c r="AB681" s="176"/>
      <c r="AC681" s="176"/>
      <c r="AD681" s="176"/>
      <c r="AE681" s="176"/>
      <c r="AF681" s="176"/>
      <c r="AG681" s="176"/>
      <c r="AH681" s="176"/>
      <c r="AI681" s="176"/>
      <c r="AJ681" s="176"/>
      <c r="AK681" s="176"/>
      <c r="AL681" s="176"/>
      <c r="AM681" s="176"/>
      <c r="AN681" s="176"/>
      <c r="AO681" s="70"/>
      <c r="AP681" s="70"/>
      <c r="AQ681" s="70"/>
      <c r="AR681" s="70"/>
      <c r="AS681" s="70"/>
      <c r="AT681" s="70"/>
      <c r="AU681" s="70"/>
      <c r="AV681" s="70"/>
      <c r="AW681" s="70"/>
      <c r="AX681" s="70"/>
    </row>
    <row r="682" ht="18.75" customHeight="1">
      <c r="A682" s="137" t="s">
        <v>131</v>
      </c>
      <c r="B682" s="193" t="s">
        <v>4802</v>
      </c>
      <c r="C682" s="28"/>
      <c r="D682" s="28"/>
      <c r="E682" s="28"/>
      <c r="F682" s="28"/>
      <c r="G682" s="28"/>
      <c r="H682" s="28"/>
      <c r="I682" s="28"/>
      <c r="J682" s="28"/>
      <c r="K682" s="28"/>
      <c r="L682" s="28"/>
      <c r="M682" s="28"/>
      <c r="N682" s="28"/>
      <c r="O682" s="190"/>
      <c r="P682" s="137"/>
      <c r="Q682" s="137"/>
      <c r="R682" s="139"/>
      <c r="S682" s="139"/>
      <c r="T682" s="139"/>
      <c r="U682" s="139"/>
      <c r="V682" s="139"/>
      <c r="W682" s="139"/>
      <c r="X682" s="139"/>
      <c r="Y682" s="139"/>
      <c r="Z682" s="139"/>
      <c r="AA682" s="139"/>
      <c r="AB682" s="139"/>
      <c r="AC682" s="139"/>
      <c r="AD682" s="139"/>
      <c r="AE682" s="139"/>
      <c r="AF682" s="139"/>
      <c r="AG682" s="139"/>
      <c r="AH682" s="139"/>
      <c r="AI682" s="139"/>
      <c r="AJ682" s="139"/>
      <c r="AK682" s="139"/>
      <c r="AL682" s="139"/>
      <c r="AM682" s="139"/>
      <c r="AN682" s="139"/>
      <c r="AO682" s="70"/>
      <c r="AP682" s="70"/>
      <c r="AQ682" s="70"/>
      <c r="AR682" s="70"/>
      <c r="AS682" s="70"/>
      <c r="AT682" s="70"/>
      <c r="AU682" s="70"/>
      <c r="AV682" s="70"/>
      <c r="AW682" s="70"/>
      <c r="AX682" s="70"/>
    </row>
    <row r="683" ht="90.0" customHeight="1">
      <c r="A683" s="137" t="s">
        <v>463</v>
      </c>
      <c r="B683" s="193" t="s">
        <v>4809</v>
      </c>
      <c r="C683" s="28" t="s">
        <v>4813</v>
      </c>
      <c r="D683" s="28" t="s">
        <v>4814</v>
      </c>
      <c r="E683" s="28" t="s">
        <v>4816</v>
      </c>
      <c r="F683" s="28"/>
      <c r="G683" s="28"/>
      <c r="H683" s="28"/>
      <c r="I683" s="28"/>
      <c r="J683" s="28"/>
      <c r="K683" s="28"/>
      <c r="L683" s="28"/>
      <c r="M683" s="28"/>
      <c r="N683" s="28"/>
      <c r="O683" s="190"/>
      <c r="P683" s="137"/>
      <c r="Q683" s="137" t="s">
        <v>145</v>
      </c>
      <c r="R683" s="139"/>
      <c r="S683" s="139"/>
      <c r="T683" s="139"/>
      <c r="U683" s="139"/>
      <c r="V683" s="139"/>
      <c r="W683" s="139"/>
      <c r="X683" s="139"/>
      <c r="Y683" s="139"/>
      <c r="Z683" s="139"/>
      <c r="AA683" s="139"/>
      <c r="AB683" s="139"/>
      <c r="AC683" s="139"/>
      <c r="AD683" s="139"/>
      <c r="AE683" s="139"/>
      <c r="AF683" s="139"/>
      <c r="AG683" s="139"/>
      <c r="AH683" s="139"/>
      <c r="AI683" s="139"/>
      <c r="AJ683" s="139"/>
      <c r="AK683" s="139"/>
      <c r="AL683" s="139"/>
      <c r="AM683" s="139"/>
      <c r="AN683" s="139"/>
      <c r="AO683" s="70"/>
      <c r="AP683" s="70"/>
      <c r="AQ683" s="70"/>
      <c r="AR683" s="70"/>
      <c r="AS683" s="70"/>
      <c r="AT683" s="70"/>
      <c r="AU683" s="70"/>
      <c r="AV683" s="70"/>
      <c r="AW683" s="70"/>
      <c r="AX683" s="70"/>
    </row>
    <row r="684" ht="15.75" customHeight="1">
      <c r="A684" s="137" t="s">
        <v>275</v>
      </c>
      <c r="B684" s="193" t="s">
        <v>4819</v>
      </c>
      <c r="C684" s="28" t="s">
        <v>4820</v>
      </c>
      <c r="D684" s="28" t="s">
        <v>4821</v>
      </c>
      <c r="E684" s="28" t="s">
        <v>4822</v>
      </c>
      <c r="F684" s="28"/>
      <c r="G684" s="28"/>
      <c r="H684" s="28"/>
      <c r="I684" s="28"/>
      <c r="J684" s="28"/>
      <c r="K684" s="28"/>
      <c r="L684" s="28"/>
      <c r="M684" s="28"/>
      <c r="N684" s="28"/>
      <c r="O684" s="138" t="s">
        <v>10238</v>
      </c>
      <c r="P684" s="137"/>
      <c r="Q684" s="137" t="s">
        <v>145</v>
      </c>
      <c r="R684" s="139"/>
      <c r="S684" s="139"/>
      <c r="T684" s="139"/>
      <c r="U684" s="139"/>
      <c r="V684" s="139"/>
      <c r="W684" s="139"/>
      <c r="X684" s="139"/>
      <c r="Y684" s="139"/>
      <c r="Z684" s="139"/>
      <c r="AA684" s="139"/>
      <c r="AB684" s="139"/>
      <c r="AC684" s="139"/>
      <c r="AD684" s="139"/>
      <c r="AE684" s="139"/>
      <c r="AF684" s="139"/>
      <c r="AG684" s="139"/>
      <c r="AH684" s="139"/>
      <c r="AI684" s="139"/>
      <c r="AJ684" s="139"/>
      <c r="AK684" s="139"/>
      <c r="AL684" s="139"/>
      <c r="AM684" s="139"/>
      <c r="AN684" s="139"/>
      <c r="AO684" s="70"/>
      <c r="AP684" s="70"/>
      <c r="AQ684" s="70"/>
      <c r="AR684" s="70"/>
      <c r="AS684" s="70"/>
      <c r="AT684" s="70"/>
      <c r="AU684" s="70"/>
      <c r="AV684" s="70"/>
      <c r="AW684" s="70"/>
      <c r="AX684" s="70"/>
    </row>
    <row r="685" ht="15.75" customHeight="1">
      <c r="A685" s="137" t="s">
        <v>463</v>
      </c>
      <c r="B685" s="193" t="s">
        <v>4826</v>
      </c>
      <c r="C685" s="28" t="s">
        <v>4834</v>
      </c>
      <c r="D685" s="28" t="s">
        <v>4835</v>
      </c>
      <c r="E685" s="28" t="s">
        <v>4836</v>
      </c>
      <c r="F685" s="28"/>
      <c r="G685" s="28"/>
      <c r="H685" s="28"/>
      <c r="I685" s="28"/>
      <c r="J685" s="28"/>
      <c r="K685" s="28"/>
      <c r="L685" s="28"/>
      <c r="M685" s="28"/>
      <c r="N685" s="28"/>
      <c r="O685" s="190"/>
      <c r="P685" s="137"/>
      <c r="Q685" s="137" t="s">
        <v>145</v>
      </c>
      <c r="R685" s="139"/>
      <c r="S685" s="139"/>
      <c r="T685" s="139"/>
      <c r="U685" s="139"/>
      <c r="V685" s="139"/>
      <c r="W685" s="139"/>
      <c r="X685" s="139"/>
      <c r="Y685" s="139"/>
      <c r="Z685" s="139"/>
      <c r="AA685" s="139"/>
      <c r="AB685" s="139"/>
      <c r="AC685" s="139"/>
      <c r="AD685" s="139"/>
      <c r="AE685" s="139"/>
      <c r="AF685" s="139"/>
      <c r="AG685" s="139"/>
      <c r="AH685" s="139"/>
      <c r="AI685" s="139"/>
      <c r="AJ685" s="139"/>
      <c r="AK685" s="139"/>
      <c r="AL685" s="139"/>
      <c r="AM685" s="139"/>
      <c r="AN685" s="139"/>
      <c r="AO685" s="70"/>
      <c r="AP685" s="70"/>
      <c r="AQ685" s="70"/>
      <c r="AR685" s="70"/>
      <c r="AS685" s="70"/>
      <c r="AT685" s="70"/>
      <c r="AU685" s="70"/>
      <c r="AV685" s="70"/>
      <c r="AW685" s="70"/>
      <c r="AX685" s="70"/>
    </row>
    <row r="686" ht="15.75" customHeight="1">
      <c r="A686" s="137" t="s">
        <v>275</v>
      </c>
      <c r="B686" s="193" t="s">
        <v>4837</v>
      </c>
      <c r="C686" s="28" t="s">
        <v>4838</v>
      </c>
      <c r="D686" s="28" t="s">
        <v>4839</v>
      </c>
      <c r="E686" s="28" t="s">
        <v>4840</v>
      </c>
      <c r="F686" s="28"/>
      <c r="G686" s="28"/>
      <c r="H686" s="28"/>
      <c r="I686" s="28"/>
      <c r="J686" s="28"/>
      <c r="K686" s="28"/>
      <c r="L686" s="28"/>
      <c r="M686" s="28"/>
      <c r="N686" s="28"/>
      <c r="O686" s="138" t="s">
        <v>10276</v>
      </c>
      <c r="P686" s="137"/>
      <c r="Q686" s="137" t="s">
        <v>145</v>
      </c>
      <c r="R686" s="139"/>
      <c r="S686" s="139"/>
      <c r="T686" s="139"/>
      <c r="U686" s="139"/>
      <c r="V686" s="139"/>
      <c r="W686" s="139"/>
      <c r="X686" s="139"/>
      <c r="Y686" s="139"/>
      <c r="Z686" s="139"/>
      <c r="AA686" s="139"/>
      <c r="AB686" s="139"/>
      <c r="AC686" s="139"/>
      <c r="AD686" s="139"/>
      <c r="AE686" s="139"/>
      <c r="AF686" s="139"/>
      <c r="AG686" s="139"/>
      <c r="AH686" s="139"/>
      <c r="AI686" s="139"/>
      <c r="AJ686" s="139"/>
      <c r="AK686" s="139"/>
      <c r="AL686" s="139"/>
      <c r="AM686" s="139"/>
      <c r="AN686" s="139"/>
      <c r="AO686" s="70"/>
      <c r="AP686" s="70"/>
      <c r="AQ686" s="70"/>
      <c r="AR686" s="70"/>
      <c r="AS686" s="70"/>
      <c r="AT686" s="70"/>
      <c r="AU686" s="70"/>
      <c r="AV686" s="70"/>
      <c r="AW686" s="70"/>
      <c r="AX686" s="70"/>
    </row>
    <row r="687" ht="15.75" customHeight="1">
      <c r="A687" s="140" t="s">
        <v>237</v>
      </c>
      <c r="B687" s="193" t="s">
        <v>4802</v>
      </c>
      <c r="C687" s="28"/>
      <c r="D687" s="28"/>
      <c r="E687" s="28"/>
      <c r="F687" s="28"/>
      <c r="G687" s="28"/>
      <c r="H687" s="28"/>
      <c r="I687" s="28"/>
      <c r="J687" s="28"/>
      <c r="K687" s="28"/>
      <c r="L687" s="28"/>
      <c r="M687" s="28"/>
      <c r="N687" s="28"/>
      <c r="O687" s="190"/>
      <c r="P687" s="139"/>
      <c r="Q687" s="139"/>
      <c r="R687" s="139"/>
      <c r="S687" s="139"/>
      <c r="T687" s="139"/>
      <c r="U687" s="139"/>
      <c r="V687" s="139"/>
      <c r="W687" s="139"/>
      <c r="X687" s="139"/>
      <c r="Y687" s="139"/>
      <c r="Z687" s="139"/>
      <c r="AA687" s="139"/>
      <c r="AB687" s="139"/>
      <c r="AC687" s="139"/>
      <c r="AD687" s="139"/>
      <c r="AE687" s="139"/>
      <c r="AF687" s="139"/>
      <c r="AG687" s="139"/>
      <c r="AH687" s="139"/>
      <c r="AI687" s="139"/>
      <c r="AJ687" s="139"/>
      <c r="AK687" s="139"/>
      <c r="AL687" s="139"/>
      <c r="AM687" s="139"/>
      <c r="AN687" s="139"/>
      <c r="AO687" s="70"/>
      <c r="AP687" s="70"/>
      <c r="AQ687" s="70"/>
      <c r="AR687" s="70"/>
      <c r="AS687" s="70"/>
      <c r="AT687" s="70"/>
      <c r="AU687" s="70"/>
      <c r="AV687" s="70"/>
      <c r="AW687" s="70"/>
      <c r="AX687" s="70"/>
    </row>
    <row r="688" ht="15.75" customHeight="1">
      <c r="A688" s="140" t="s">
        <v>131</v>
      </c>
      <c r="B688" s="164" t="s">
        <v>4850</v>
      </c>
      <c r="C688" s="28"/>
      <c r="D688" s="28"/>
      <c r="E688" s="28"/>
      <c r="F688" s="28"/>
      <c r="G688" s="28"/>
      <c r="H688" s="28"/>
      <c r="I688" s="28"/>
      <c r="J688" s="28" t="s">
        <v>931</v>
      </c>
      <c r="K688" s="28"/>
      <c r="L688" s="28"/>
      <c r="M688" s="28"/>
      <c r="N688" s="28"/>
      <c r="O688" s="190"/>
      <c r="P688" s="139"/>
      <c r="Q688" s="139"/>
      <c r="R688" s="139"/>
      <c r="S688" s="139"/>
      <c r="T688" s="139"/>
      <c r="U688" s="139"/>
      <c r="V688" s="139"/>
      <c r="W688" s="139"/>
      <c r="X688" s="139"/>
      <c r="Y688" s="139"/>
      <c r="Z688" s="139"/>
      <c r="AA688" s="139"/>
      <c r="AB688" s="139"/>
      <c r="AC688" s="139"/>
      <c r="AD688" s="139"/>
      <c r="AE688" s="139"/>
      <c r="AF688" s="139"/>
      <c r="AG688" s="139"/>
      <c r="AH688" s="139"/>
      <c r="AI688" s="139"/>
      <c r="AJ688" s="139"/>
      <c r="AK688" s="139"/>
      <c r="AL688" s="139"/>
      <c r="AM688" s="139"/>
      <c r="AN688" s="139"/>
      <c r="AO688" s="70"/>
      <c r="AP688" s="70"/>
      <c r="AQ688" s="70"/>
      <c r="AR688" s="70"/>
      <c r="AS688" s="70"/>
      <c r="AT688" s="70"/>
      <c r="AU688" s="70"/>
      <c r="AV688" s="70"/>
      <c r="AW688" s="70"/>
      <c r="AX688" s="70"/>
    </row>
    <row r="689" ht="15.75" customHeight="1">
      <c r="A689" s="68" t="s">
        <v>1055</v>
      </c>
      <c r="B689" s="169" t="s">
        <v>4856</v>
      </c>
      <c r="C689" s="28" t="s">
        <v>4860</v>
      </c>
      <c r="D689" s="28" t="s">
        <v>4861</v>
      </c>
      <c r="E689" s="28" t="s">
        <v>4862</v>
      </c>
      <c r="F689" s="28"/>
      <c r="G689" s="28"/>
      <c r="H689" s="28"/>
      <c r="I689" s="28"/>
      <c r="J689" s="28" t="s">
        <v>8</v>
      </c>
      <c r="K689" s="28"/>
      <c r="L689" s="28"/>
      <c r="M689" s="28"/>
      <c r="N689" s="28"/>
      <c r="O689" s="67"/>
      <c r="P689" s="67"/>
      <c r="Q689" s="67"/>
      <c r="R689" s="67"/>
      <c r="S689" s="67"/>
      <c r="T689" s="67"/>
      <c r="U689" s="67"/>
      <c r="V689" s="67"/>
      <c r="W689" s="67"/>
      <c r="X689" s="67"/>
      <c r="Y689" s="67"/>
      <c r="Z689" s="67"/>
      <c r="AA689" s="67"/>
      <c r="AB689" s="67"/>
      <c r="AC689" s="67"/>
      <c r="AD689" s="67"/>
      <c r="AE689" s="67"/>
      <c r="AF689" s="67"/>
      <c r="AG689" s="67"/>
      <c r="AH689" s="67"/>
      <c r="AI689" s="67"/>
      <c r="AJ689" s="67"/>
      <c r="AK689" s="67"/>
      <c r="AL689" s="67"/>
      <c r="AM689" s="67"/>
      <c r="AN689" s="67"/>
      <c r="AO689" s="70"/>
      <c r="AP689" s="70"/>
      <c r="AQ689" s="70"/>
      <c r="AR689" s="70"/>
      <c r="AS689" s="70"/>
      <c r="AT689" s="70"/>
      <c r="AU689" s="70"/>
      <c r="AV689" s="70"/>
      <c r="AW689" s="70"/>
      <c r="AX689" s="70"/>
    </row>
    <row r="690" ht="15.75" customHeight="1">
      <c r="A690" s="68" t="s">
        <v>1055</v>
      </c>
      <c r="B690" s="169" t="s">
        <v>4863</v>
      </c>
      <c r="C690" s="28" t="s">
        <v>4867</v>
      </c>
      <c r="D690" s="28" t="s">
        <v>4868</v>
      </c>
      <c r="E690" s="28" t="s">
        <v>4869</v>
      </c>
      <c r="F690" s="28"/>
      <c r="G690" s="28"/>
      <c r="H690" s="28"/>
      <c r="I690" s="28"/>
      <c r="J690" s="28" t="s">
        <v>958</v>
      </c>
      <c r="K690" s="28"/>
      <c r="L690" s="28"/>
      <c r="M690" s="28"/>
      <c r="N690" s="28"/>
      <c r="O690" s="67"/>
      <c r="P690" s="67"/>
      <c r="Q690" s="67" t="s">
        <v>145</v>
      </c>
      <c r="R690" s="67"/>
      <c r="S690" s="67"/>
      <c r="T690" s="67"/>
      <c r="U690" s="67"/>
      <c r="V690" s="67"/>
      <c r="W690" s="67"/>
      <c r="X690" s="67"/>
      <c r="Y690" s="67"/>
      <c r="Z690" s="67"/>
      <c r="AA690" s="67"/>
      <c r="AB690" s="67"/>
      <c r="AC690" s="67"/>
      <c r="AD690" s="67"/>
      <c r="AE690" s="67"/>
      <c r="AF690" s="67"/>
      <c r="AG690" s="67"/>
      <c r="AH690" s="67"/>
      <c r="AI690" s="67"/>
      <c r="AJ690" s="67"/>
      <c r="AK690" s="67"/>
      <c r="AL690" s="67"/>
      <c r="AM690" s="67"/>
      <c r="AN690" s="67"/>
      <c r="AO690" s="70"/>
      <c r="AP690" s="70"/>
      <c r="AQ690" s="70"/>
      <c r="AR690" s="70"/>
      <c r="AS690" s="70"/>
      <c r="AT690" s="70"/>
      <c r="AU690" s="70"/>
      <c r="AV690" s="70"/>
      <c r="AW690" s="70"/>
      <c r="AX690" s="70"/>
    </row>
    <row r="691" ht="15.75" customHeight="1">
      <c r="A691" s="68" t="s">
        <v>1055</v>
      </c>
      <c r="B691" s="169" t="s">
        <v>4870</v>
      </c>
      <c r="C691" s="28" t="s">
        <v>4874</v>
      </c>
      <c r="D691" s="28" t="s">
        <v>4875</v>
      </c>
      <c r="E691" s="28" t="s">
        <v>4876</v>
      </c>
      <c r="F691" s="28"/>
      <c r="G691" s="28"/>
      <c r="H691" s="28"/>
      <c r="I691" s="28"/>
      <c r="J691" s="28" t="s">
        <v>958</v>
      </c>
      <c r="K691" s="28"/>
      <c r="L691" s="28"/>
      <c r="M691" s="28"/>
      <c r="N691" s="28"/>
      <c r="O691" s="67"/>
      <c r="P691" s="67"/>
      <c r="Q691" s="67" t="s">
        <v>145</v>
      </c>
      <c r="R691" s="67"/>
      <c r="S691" s="67"/>
      <c r="T691" s="67"/>
      <c r="U691" s="67"/>
      <c r="V691" s="67"/>
      <c r="W691" s="67"/>
      <c r="X691" s="67"/>
      <c r="Y691" s="67"/>
      <c r="Z691" s="67"/>
      <c r="AA691" s="67"/>
      <c r="AB691" s="67"/>
      <c r="AC691" s="67"/>
      <c r="AD691" s="67"/>
      <c r="AE691" s="67"/>
      <c r="AF691" s="67"/>
      <c r="AG691" s="67"/>
      <c r="AH691" s="67"/>
      <c r="AI691" s="67"/>
      <c r="AJ691" s="67"/>
      <c r="AK691" s="67"/>
      <c r="AL691" s="67"/>
      <c r="AM691" s="67"/>
      <c r="AN691" s="67"/>
      <c r="AO691" s="70"/>
      <c r="AP691" s="70"/>
      <c r="AQ691" s="70"/>
      <c r="AR691" s="70"/>
      <c r="AS691" s="70"/>
      <c r="AT691" s="70"/>
      <c r="AU691" s="70"/>
      <c r="AV691" s="70"/>
      <c r="AW691" s="70"/>
      <c r="AX691" s="70"/>
    </row>
    <row r="692" ht="15.75" customHeight="1">
      <c r="A692" s="68" t="s">
        <v>1055</v>
      </c>
      <c r="B692" s="169" t="s">
        <v>4877</v>
      </c>
      <c r="C692" s="28" t="s">
        <v>4881</v>
      </c>
      <c r="D692" s="28" t="s">
        <v>4882</v>
      </c>
      <c r="E692" s="28" t="s">
        <v>4883</v>
      </c>
      <c r="F692" s="28"/>
      <c r="G692" s="28"/>
      <c r="H692" s="28"/>
      <c r="I692" s="28"/>
      <c r="J692" s="28" t="s">
        <v>958</v>
      </c>
      <c r="K692" s="28"/>
      <c r="L692" s="28"/>
      <c r="M692" s="28"/>
      <c r="N692" s="28"/>
      <c r="O692" s="67"/>
      <c r="P692" s="67"/>
      <c r="Q692" s="67" t="s">
        <v>145</v>
      </c>
      <c r="R692" s="67"/>
      <c r="S692" s="67"/>
      <c r="T692" s="67"/>
      <c r="U692" s="67"/>
      <c r="V692" s="67"/>
      <c r="W692" s="67"/>
      <c r="X692" s="67"/>
      <c r="Y692" s="67"/>
      <c r="Z692" s="67"/>
      <c r="AA692" s="67"/>
      <c r="AB692" s="67"/>
      <c r="AC692" s="67"/>
      <c r="AD692" s="67"/>
      <c r="AE692" s="67"/>
      <c r="AF692" s="67"/>
      <c r="AG692" s="67"/>
      <c r="AH692" s="67"/>
      <c r="AI692" s="67"/>
      <c r="AJ692" s="67"/>
      <c r="AK692" s="67"/>
      <c r="AL692" s="67"/>
      <c r="AM692" s="67"/>
      <c r="AN692" s="67"/>
      <c r="AO692" s="70"/>
      <c r="AP692" s="70"/>
      <c r="AQ692" s="70"/>
      <c r="AR692" s="70"/>
      <c r="AS692" s="70"/>
      <c r="AT692" s="70"/>
      <c r="AU692" s="70"/>
      <c r="AV692" s="70"/>
      <c r="AW692" s="70"/>
      <c r="AX692" s="70"/>
    </row>
    <row r="693" ht="15.75" customHeight="1">
      <c r="A693" s="68" t="s">
        <v>1055</v>
      </c>
      <c r="B693" s="169" t="s">
        <v>4884</v>
      </c>
      <c r="C693" s="28" t="s">
        <v>4890</v>
      </c>
      <c r="D693" s="28" t="s">
        <v>4891</v>
      </c>
      <c r="E693" s="28" t="s">
        <v>4893</v>
      </c>
      <c r="F693" s="28"/>
      <c r="G693" s="28"/>
      <c r="H693" s="28"/>
      <c r="I693" s="28"/>
      <c r="J693" s="28" t="s">
        <v>958</v>
      </c>
      <c r="K693" s="28"/>
      <c r="L693" s="28"/>
      <c r="M693" s="28"/>
      <c r="N693" s="28"/>
      <c r="O693" s="67"/>
      <c r="P693" s="67"/>
      <c r="Q693" s="67" t="s">
        <v>145</v>
      </c>
      <c r="R693" s="67"/>
      <c r="S693" s="67"/>
      <c r="T693" s="67"/>
      <c r="U693" s="67"/>
      <c r="V693" s="67"/>
      <c r="W693" s="67"/>
      <c r="X693" s="67"/>
      <c r="Y693" s="67"/>
      <c r="Z693" s="67"/>
      <c r="AA693" s="67"/>
      <c r="AB693" s="67"/>
      <c r="AC693" s="67"/>
      <c r="AD693" s="67"/>
      <c r="AE693" s="67"/>
      <c r="AF693" s="67"/>
      <c r="AG693" s="67"/>
      <c r="AH693" s="67"/>
      <c r="AI693" s="67"/>
      <c r="AJ693" s="67"/>
      <c r="AK693" s="67"/>
      <c r="AL693" s="67"/>
      <c r="AM693" s="67"/>
      <c r="AN693" s="67"/>
      <c r="AO693" s="70"/>
      <c r="AP693" s="70"/>
      <c r="AQ693" s="70"/>
      <c r="AR693" s="70"/>
      <c r="AS693" s="70"/>
      <c r="AT693" s="70"/>
      <c r="AU693" s="70"/>
      <c r="AV693" s="70"/>
      <c r="AW693" s="70"/>
      <c r="AX693" s="70"/>
    </row>
    <row r="694" ht="15.75" customHeight="1">
      <c r="A694" s="68" t="s">
        <v>1055</v>
      </c>
      <c r="B694" s="169" t="s">
        <v>4895</v>
      </c>
      <c r="C694" s="28" t="s">
        <v>4899</v>
      </c>
      <c r="D694" s="28" t="s">
        <v>4900</v>
      </c>
      <c r="E694" s="28" t="s">
        <v>4901</v>
      </c>
      <c r="F694" s="28"/>
      <c r="G694" s="28"/>
      <c r="H694" s="28"/>
      <c r="I694" s="28"/>
      <c r="J694" s="28" t="s">
        <v>958</v>
      </c>
      <c r="K694" s="28"/>
      <c r="L694" s="28"/>
      <c r="M694" s="28"/>
      <c r="N694" s="28"/>
      <c r="O694" s="67"/>
      <c r="P694" s="67"/>
      <c r="Q694" s="67" t="s">
        <v>145</v>
      </c>
      <c r="R694" s="67"/>
      <c r="S694" s="67"/>
      <c r="T694" s="67"/>
      <c r="U694" s="67"/>
      <c r="V694" s="67"/>
      <c r="W694" s="67"/>
      <c r="X694" s="67"/>
      <c r="Y694" s="67"/>
      <c r="Z694" s="67"/>
      <c r="AA694" s="67"/>
      <c r="AB694" s="67"/>
      <c r="AC694" s="67"/>
      <c r="AD694" s="67"/>
      <c r="AE694" s="67"/>
      <c r="AF694" s="67"/>
      <c r="AG694" s="67"/>
      <c r="AH694" s="67"/>
      <c r="AI694" s="67"/>
      <c r="AJ694" s="67"/>
      <c r="AK694" s="67"/>
      <c r="AL694" s="67"/>
      <c r="AM694" s="67"/>
      <c r="AN694" s="67"/>
      <c r="AO694" s="70"/>
      <c r="AP694" s="70"/>
      <c r="AQ694" s="70"/>
      <c r="AR694" s="70"/>
      <c r="AS694" s="70"/>
      <c r="AT694" s="70"/>
      <c r="AU694" s="70"/>
      <c r="AV694" s="70"/>
      <c r="AW694" s="70"/>
      <c r="AX694" s="70"/>
    </row>
    <row r="695" ht="15.75" customHeight="1">
      <c r="A695" s="68" t="s">
        <v>1055</v>
      </c>
      <c r="B695" s="169" t="s">
        <v>4903</v>
      </c>
      <c r="C695" s="28" t="s">
        <v>4909</v>
      </c>
      <c r="D695" s="28" t="s">
        <v>4910</v>
      </c>
      <c r="E695" s="28" t="s">
        <v>4911</v>
      </c>
      <c r="F695" s="28"/>
      <c r="G695" s="28"/>
      <c r="H695" s="28"/>
      <c r="I695" s="28"/>
      <c r="J695" s="28" t="s">
        <v>958</v>
      </c>
      <c r="K695" s="28"/>
      <c r="L695" s="28"/>
      <c r="M695" s="28"/>
      <c r="N695" s="28"/>
      <c r="O695" s="67"/>
      <c r="P695" s="67"/>
      <c r="Q695" s="67" t="s">
        <v>145</v>
      </c>
      <c r="R695" s="67"/>
      <c r="S695" s="67"/>
      <c r="T695" s="67"/>
      <c r="U695" s="67"/>
      <c r="V695" s="67"/>
      <c r="W695" s="67"/>
      <c r="X695" s="67"/>
      <c r="Y695" s="67"/>
      <c r="Z695" s="67"/>
      <c r="AA695" s="67"/>
      <c r="AB695" s="67"/>
      <c r="AC695" s="67"/>
      <c r="AD695" s="67"/>
      <c r="AE695" s="67"/>
      <c r="AF695" s="67"/>
      <c r="AG695" s="67"/>
      <c r="AH695" s="67"/>
      <c r="AI695" s="67"/>
      <c r="AJ695" s="67"/>
      <c r="AK695" s="67"/>
      <c r="AL695" s="67"/>
      <c r="AM695" s="67"/>
      <c r="AN695" s="67"/>
      <c r="AO695" s="70"/>
      <c r="AP695" s="70"/>
      <c r="AQ695" s="70"/>
      <c r="AR695" s="70"/>
      <c r="AS695" s="70"/>
      <c r="AT695" s="70"/>
      <c r="AU695" s="70"/>
      <c r="AV695" s="70"/>
      <c r="AW695" s="70"/>
      <c r="AX695" s="70"/>
    </row>
    <row r="696" ht="15.75" customHeight="1">
      <c r="A696" s="140" t="s">
        <v>237</v>
      </c>
      <c r="B696" s="191" t="s">
        <v>4850</v>
      </c>
      <c r="C696" s="28"/>
      <c r="D696" s="28"/>
      <c r="E696" s="28"/>
      <c r="F696" s="28"/>
      <c r="G696" s="28"/>
      <c r="H696" s="28"/>
      <c r="I696" s="28"/>
      <c r="J696" s="28"/>
      <c r="K696" s="28"/>
      <c r="L696" s="28"/>
      <c r="M696" s="28"/>
      <c r="N696" s="28"/>
      <c r="O696" s="139"/>
      <c r="P696" s="139"/>
      <c r="Q696" s="139"/>
      <c r="R696" s="139"/>
      <c r="S696" s="139"/>
      <c r="T696" s="139"/>
      <c r="U696" s="139"/>
      <c r="V696" s="139"/>
      <c r="W696" s="139"/>
      <c r="X696" s="139"/>
      <c r="Y696" s="139"/>
      <c r="Z696" s="139"/>
      <c r="AA696" s="139"/>
      <c r="AB696" s="139"/>
      <c r="AC696" s="139"/>
      <c r="AD696" s="139"/>
      <c r="AE696" s="139"/>
      <c r="AF696" s="139"/>
      <c r="AG696" s="139"/>
      <c r="AH696" s="139"/>
      <c r="AI696" s="139"/>
      <c r="AJ696" s="139"/>
      <c r="AK696" s="139"/>
      <c r="AL696" s="139"/>
      <c r="AM696" s="139"/>
      <c r="AN696" s="139"/>
      <c r="AO696" s="70"/>
      <c r="AP696" s="70"/>
      <c r="AQ696" s="70"/>
      <c r="AR696" s="70"/>
      <c r="AS696" s="70"/>
      <c r="AT696" s="70"/>
      <c r="AU696" s="70"/>
      <c r="AV696" s="70"/>
      <c r="AW696" s="70"/>
      <c r="AX696" s="70"/>
    </row>
    <row r="697" ht="15.75" customHeight="1">
      <c r="A697" s="140" t="s">
        <v>131</v>
      </c>
      <c r="B697" s="164" t="s">
        <v>4915</v>
      </c>
      <c r="C697" s="28"/>
      <c r="D697" s="28"/>
      <c r="E697" s="28"/>
      <c r="F697" s="28"/>
      <c r="G697" s="28"/>
      <c r="H697" s="28"/>
      <c r="I697" s="28"/>
      <c r="J697" s="28" t="s">
        <v>931</v>
      </c>
      <c r="K697" s="28"/>
      <c r="L697" s="28"/>
      <c r="M697" s="28"/>
      <c r="N697" s="28"/>
      <c r="O697" s="190"/>
      <c r="P697" s="139"/>
      <c r="Q697" s="139"/>
      <c r="R697" s="139"/>
      <c r="S697" s="139"/>
      <c r="T697" s="139"/>
      <c r="U697" s="139"/>
      <c r="V697" s="139"/>
      <c r="W697" s="139"/>
      <c r="X697" s="139"/>
      <c r="Y697" s="139"/>
      <c r="Z697" s="139"/>
      <c r="AA697" s="139"/>
      <c r="AB697" s="139"/>
      <c r="AC697" s="139"/>
      <c r="AD697" s="126"/>
      <c r="AE697" s="126"/>
      <c r="AF697" s="126"/>
      <c r="AG697" s="126"/>
      <c r="AH697" s="126"/>
      <c r="AI697" s="126"/>
      <c r="AJ697" s="126"/>
      <c r="AK697" s="126"/>
      <c r="AL697" s="126"/>
      <c r="AM697" s="126"/>
      <c r="AN697" s="126"/>
      <c r="AO697" s="70"/>
      <c r="AP697" s="70"/>
      <c r="AQ697" s="70"/>
      <c r="AR697" s="70"/>
      <c r="AS697" s="70"/>
      <c r="AT697" s="70"/>
      <c r="AU697" s="70"/>
      <c r="AV697" s="70"/>
      <c r="AW697" s="70"/>
      <c r="AX697" s="70"/>
    </row>
    <row r="698" ht="15.75" customHeight="1">
      <c r="A698" s="68" t="s">
        <v>4916</v>
      </c>
      <c r="B698" s="169" t="s">
        <v>4917</v>
      </c>
      <c r="C698" s="28" t="s">
        <v>4921</v>
      </c>
      <c r="D698" s="28" t="s">
        <v>4922</v>
      </c>
      <c r="E698" s="28" t="s">
        <v>4923</v>
      </c>
      <c r="F698" s="28"/>
      <c r="G698" s="28"/>
      <c r="H698" s="28"/>
      <c r="I698" s="28"/>
      <c r="J698" s="28" t="s">
        <v>8</v>
      </c>
      <c r="K698" s="28"/>
      <c r="L698" s="28"/>
      <c r="M698" s="28"/>
      <c r="N698" s="28"/>
      <c r="O698" s="67" t="s">
        <v>10463</v>
      </c>
      <c r="P698" s="67"/>
      <c r="Q698" s="67"/>
      <c r="R698" s="67"/>
      <c r="S698" s="67"/>
      <c r="T698" s="67"/>
      <c r="U698" s="67"/>
      <c r="V698" s="67"/>
      <c r="W698" s="67"/>
      <c r="X698" s="67"/>
      <c r="Y698" s="67" t="s">
        <v>10464</v>
      </c>
      <c r="Z698" s="67"/>
      <c r="AA698" s="67"/>
      <c r="AB698" s="67"/>
      <c r="AC698" s="67"/>
      <c r="AD698" s="126"/>
      <c r="AE698" s="126"/>
      <c r="AF698" s="126"/>
      <c r="AG698" s="126"/>
      <c r="AH698" s="126"/>
      <c r="AI698" s="126"/>
      <c r="AJ698" s="126"/>
      <c r="AK698" s="126"/>
      <c r="AL698" s="126"/>
      <c r="AM698" s="126"/>
      <c r="AN698" s="126"/>
      <c r="AO698" s="70"/>
      <c r="AP698" s="70"/>
      <c r="AQ698" s="70"/>
      <c r="AR698" s="70"/>
      <c r="AS698" s="70"/>
      <c r="AT698" s="70"/>
      <c r="AU698" s="70"/>
      <c r="AV698" s="70"/>
      <c r="AW698" s="70"/>
      <c r="AX698" s="70"/>
    </row>
    <row r="699" ht="15.75" customHeight="1">
      <c r="A699" s="68" t="s">
        <v>4916</v>
      </c>
      <c r="B699" s="169" t="s">
        <v>4926</v>
      </c>
      <c r="C699" s="28" t="s">
        <v>4931</v>
      </c>
      <c r="D699" s="28" t="s">
        <v>4932</v>
      </c>
      <c r="E699" s="28" t="s">
        <v>4933</v>
      </c>
      <c r="F699" s="28"/>
      <c r="G699" s="28"/>
      <c r="H699" s="28"/>
      <c r="I699" s="28"/>
      <c r="J699" s="28" t="s">
        <v>958</v>
      </c>
      <c r="K699" s="28"/>
      <c r="L699" s="28"/>
      <c r="M699" s="28"/>
      <c r="N699" s="28"/>
      <c r="O699" s="67" t="s">
        <v>10465</v>
      </c>
      <c r="P699" s="67"/>
      <c r="Q699" s="67" t="s">
        <v>145</v>
      </c>
      <c r="R699" s="67"/>
      <c r="S699" s="67"/>
      <c r="T699" s="67"/>
      <c r="U699" s="67"/>
      <c r="V699" s="67"/>
      <c r="W699" s="67"/>
      <c r="X699" s="67"/>
      <c r="Y699" s="67" t="s">
        <v>10464</v>
      </c>
      <c r="Z699" s="67"/>
      <c r="AA699" s="67"/>
      <c r="AB699" s="67"/>
      <c r="AC699" s="67"/>
      <c r="AD699" s="126"/>
      <c r="AE699" s="126"/>
      <c r="AF699" s="126"/>
      <c r="AG699" s="126"/>
      <c r="AH699" s="126"/>
      <c r="AI699" s="126"/>
      <c r="AJ699" s="126"/>
      <c r="AK699" s="126"/>
      <c r="AL699" s="126"/>
      <c r="AM699" s="126"/>
      <c r="AN699" s="126"/>
      <c r="AO699" s="70"/>
      <c r="AP699" s="70"/>
      <c r="AQ699" s="70"/>
      <c r="AR699" s="70"/>
      <c r="AS699" s="70"/>
      <c r="AT699" s="70"/>
      <c r="AU699" s="70"/>
      <c r="AV699" s="70"/>
      <c r="AW699" s="70"/>
      <c r="AX699" s="70"/>
    </row>
    <row r="700" ht="15.75" customHeight="1">
      <c r="A700" s="68" t="s">
        <v>4916</v>
      </c>
      <c r="B700" s="169" t="s">
        <v>4934</v>
      </c>
      <c r="C700" s="28" t="s">
        <v>4938</v>
      </c>
      <c r="D700" s="28" t="s">
        <v>4940</v>
      </c>
      <c r="E700" s="28" t="s">
        <v>4941</v>
      </c>
      <c r="F700" s="28"/>
      <c r="G700" s="28"/>
      <c r="H700" s="28"/>
      <c r="I700" s="28"/>
      <c r="J700" s="28" t="s">
        <v>958</v>
      </c>
      <c r="K700" s="28"/>
      <c r="L700" s="28"/>
      <c r="M700" s="28"/>
      <c r="N700" s="28"/>
      <c r="O700" s="67" t="s">
        <v>10466</v>
      </c>
      <c r="P700" s="67"/>
      <c r="Q700" s="67" t="s">
        <v>145</v>
      </c>
      <c r="R700" s="67"/>
      <c r="S700" s="67"/>
      <c r="T700" s="67"/>
      <c r="U700" s="67"/>
      <c r="V700" s="67"/>
      <c r="W700" s="67"/>
      <c r="X700" s="67"/>
      <c r="Y700" s="67" t="s">
        <v>10464</v>
      </c>
      <c r="Z700" s="67"/>
      <c r="AA700" s="67"/>
      <c r="AB700" s="67"/>
      <c r="AC700" s="67"/>
      <c r="AD700" s="126"/>
      <c r="AE700" s="126"/>
      <c r="AF700" s="126"/>
      <c r="AG700" s="126"/>
      <c r="AH700" s="126"/>
      <c r="AI700" s="126"/>
      <c r="AJ700" s="126"/>
      <c r="AK700" s="126"/>
      <c r="AL700" s="126"/>
      <c r="AM700" s="126"/>
      <c r="AN700" s="126"/>
      <c r="AO700" s="70"/>
      <c r="AP700" s="70"/>
      <c r="AQ700" s="70"/>
      <c r="AR700" s="70"/>
      <c r="AS700" s="70"/>
      <c r="AT700" s="70"/>
      <c r="AU700" s="70"/>
      <c r="AV700" s="70"/>
      <c r="AW700" s="70"/>
      <c r="AX700" s="70"/>
    </row>
    <row r="701" ht="15.75" customHeight="1">
      <c r="A701" s="68" t="s">
        <v>4916</v>
      </c>
      <c r="B701" s="169" t="s">
        <v>4943</v>
      </c>
      <c r="C701" s="28" t="s">
        <v>4948</v>
      </c>
      <c r="D701" s="28" t="s">
        <v>4949</v>
      </c>
      <c r="E701" s="28" t="s">
        <v>4950</v>
      </c>
      <c r="F701" s="28"/>
      <c r="G701" s="28"/>
      <c r="H701" s="28"/>
      <c r="I701" s="28"/>
      <c r="J701" s="28" t="s">
        <v>958</v>
      </c>
      <c r="K701" s="28"/>
      <c r="L701" s="28"/>
      <c r="M701" s="28"/>
      <c r="N701" s="28"/>
      <c r="O701" s="67" t="s">
        <v>10467</v>
      </c>
      <c r="P701" s="67"/>
      <c r="Q701" s="67" t="s">
        <v>145</v>
      </c>
      <c r="R701" s="67"/>
      <c r="S701" s="67"/>
      <c r="T701" s="67"/>
      <c r="U701" s="67"/>
      <c r="V701" s="67"/>
      <c r="W701" s="67"/>
      <c r="X701" s="67"/>
      <c r="Y701" s="67" t="s">
        <v>10464</v>
      </c>
      <c r="Z701" s="67"/>
      <c r="AA701" s="67"/>
      <c r="AB701" s="67"/>
      <c r="AC701" s="67"/>
      <c r="AD701" s="126"/>
      <c r="AE701" s="126"/>
      <c r="AF701" s="126"/>
      <c r="AG701" s="126"/>
      <c r="AH701" s="126"/>
      <c r="AI701" s="126"/>
      <c r="AJ701" s="126"/>
      <c r="AK701" s="126"/>
      <c r="AL701" s="126"/>
      <c r="AM701" s="126"/>
      <c r="AN701" s="126"/>
      <c r="AO701" s="70"/>
      <c r="AP701" s="70"/>
      <c r="AQ701" s="70"/>
      <c r="AR701" s="70"/>
      <c r="AS701" s="70"/>
      <c r="AT701" s="70"/>
      <c r="AU701" s="70"/>
      <c r="AV701" s="70"/>
      <c r="AW701" s="70"/>
      <c r="AX701" s="70"/>
    </row>
    <row r="702" ht="15.75" customHeight="1">
      <c r="A702" s="68" t="s">
        <v>4916</v>
      </c>
      <c r="B702" s="169" t="s">
        <v>4951</v>
      </c>
      <c r="C702" s="28" t="s">
        <v>4955</v>
      </c>
      <c r="D702" s="28" t="s">
        <v>4956</v>
      </c>
      <c r="E702" s="28" t="s">
        <v>4957</v>
      </c>
      <c r="F702" s="28"/>
      <c r="G702" s="28"/>
      <c r="H702" s="28"/>
      <c r="I702" s="28"/>
      <c r="J702" s="28" t="s">
        <v>958</v>
      </c>
      <c r="K702" s="28"/>
      <c r="L702" s="28"/>
      <c r="M702" s="28"/>
      <c r="N702" s="28"/>
      <c r="O702" s="67" t="s">
        <v>10468</v>
      </c>
      <c r="P702" s="67"/>
      <c r="Q702" s="67" t="s">
        <v>145</v>
      </c>
      <c r="R702" s="67"/>
      <c r="S702" s="67"/>
      <c r="T702" s="67"/>
      <c r="U702" s="67"/>
      <c r="V702" s="67"/>
      <c r="W702" s="67"/>
      <c r="X702" s="67"/>
      <c r="Y702" s="67" t="s">
        <v>10464</v>
      </c>
      <c r="Z702" s="67"/>
      <c r="AA702" s="67"/>
      <c r="AB702" s="67"/>
      <c r="AC702" s="67"/>
      <c r="AD702" s="126"/>
      <c r="AE702" s="126"/>
      <c r="AF702" s="126"/>
      <c r="AG702" s="126"/>
      <c r="AH702" s="126"/>
      <c r="AI702" s="126"/>
      <c r="AJ702" s="126"/>
      <c r="AK702" s="126"/>
      <c r="AL702" s="126"/>
      <c r="AM702" s="126"/>
      <c r="AN702" s="126"/>
      <c r="AO702" s="70"/>
      <c r="AP702" s="70"/>
      <c r="AQ702" s="70"/>
      <c r="AR702" s="70"/>
      <c r="AS702" s="70"/>
      <c r="AT702" s="70"/>
      <c r="AU702" s="70"/>
      <c r="AV702" s="70"/>
      <c r="AW702" s="70"/>
      <c r="AX702" s="70"/>
    </row>
    <row r="703" ht="15.75" customHeight="1">
      <c r="A703" s="68" t="s">
        <v>4916</v>
      </c>
      <c r="B703" s="169" t="s">
        <v>4958</v>
      </c>
      <c r="C703" s="28" t="s">
        <v>4962</v>
      </c>
      <c r="D703" s="28" t="s">
        <v>4963</v>
      </c>
      <c r="E703" s="28" t="s">
        <v>4964</v>
      </c>
      <c r="F703" s="28"/>
      <c r="G703" s="28"/>
      <c r="H703" s="28"/>
      <c r="I703" s="28"/>
      <c r="J703" s="28" t="s">
        <v>958</v>
      </c>
      <c r="K703" s="28"/>
      <c r="L703" s="28"/>
      <c r="M703" s="28"/>
      <c r="N703" s="28"/>
      <c r="O703" s="67" t="s">
        <v>10469</v>
      </c>
      <c r="P703" s="67"/>
      <c r="Q703" s="67" t="s">
        <v>145</v>
      </c>
      <c r="R703" s="67"/>
      <c r="S703" s="67"/>
      <c r="T703" s="67"/>
      <c r="U703" s="67"/>
      <c r="V703" s="67"/>
      <c r="W703" s="67"/>
      <c r="X703" s="67"/>
      <c r="Y703" s="67" t="s">
        <v>10464</v>
      </c>
      <c r="Z703" s="67"/>
      <c r="AA703" s="67"/>
      <c r="AB703" s="67"/>
      <c r="AC703" s="67"/>
      <c r="AD703" s="126"/>
      <c r="AE703" s="126"/>
      <c r="AF703" s="126"/>
      <c r="AG703" s="126"/>
      <c r="AH703" s="126"/>
      <c r="AI703" s="126"/>
      <c r="AJ703" s="126"/>
      <c r="AK703" s="126"/>
      <c r="AL703" s="126"/>
      <c r="AM703" s="126"/>
      <c r="AN703" s="126"/>
      <c r="AO703" s="70"/>
      <c r="AP703" s="70"/>
      <c r="AQ703" s="70"/>
      <c r="AR703" s="70"/>
      <c r="AS703" s="70"/>
      <c r="AT703" s="70"/>
      <c r="AU703" s="70"/>
      <c r="AV703" s="70"/>
      <c r="AW703" s="70"/>
      <c r="AX703" s="70"/>
    </row>
    <row r="704" ht="15.75" customHeight="1">
      <c r="A704" s="68" t="s">
        <v>4916</v>
      </c>
      <c r="B704" s="169" t="s">
        <v>4965</v>
      </c>
      <c r="C704" s="28" t="s">
        <v>4969</v>
      </c>
      <c r="D704" s="28" t="s">
        <v>4970</v>
      </c>
      <c r="E704" s="28" t="s">
        <v>4971</v>
      </c>
      <c r="F704" s="28"/>
      <c r="G704" s="28"/>
      <c r="H704" s="28"/>
      <c r="I704" s="28"/>
      <c r="J704" s="28" t="s">
        <v>958</v>
      </c>
      <c r="K704" s="28"/>
      <c r="L704" s="28"/>
      <c r="M704" s="28"/>
      <c r="N704" s="28"/>
      <c r="O704" s="67" t="s">
        <v>10470</v>
      </c>
      <c r="P704" s="67"/>
      <c r="Q704" s="67" t="s">
        <v>145</v>
      </c>
      <c r="R704" s="67"/>
      <c r="S704" s="67"/>
      <c r="T704" s="67"/>
      <c r="U704" s="67"/>
      <c r="V704" s="67"/>
      <c r="W704" s="67"/>
      <c r="X704" s="67"/>
      <c r="Y704" s="67" t="s">
        <v>10464</v>
      </c>
      <c r="Z704" s="67"/>
      <c r="AA704" s="67"/>
      <c r="AB704" s="67"/>
      <c r="AC704" s="67"/>
      <c r="AD704" s="126"/>
      <c r="AE704" s="126"/>
      <c r="AF704" s="126"/>
      <c r="AG704" s="126"/>
      <c r="AH704" s="126"/>
      <c r="AI704" s="126"/>
      <c r="AJ704" s="126"/>
      <c r="AK704" s="126"/>
      <c r="AL704" s="126"/>
      <c r="AM704" s="126"/>
      <c r="AN704" s="126"/>
      <c r="AO704" s="70"/>
      <c r="AP704" s="70"/>
      <c r="AQ704" s="70"/>
      <c r="AR704" s="70"/>
      <c r="AS704" s="70"/>
      <c r="AT704" s="70"/>
      <c r="AU704" s="70"/>
      <c r="AV704" s="70"/>
      <c r="AW704" s="70"/>
      <c r="AX704" s="70"/>
    </row>
    <row r="705" ht="15.75" customHeight="1">
      <c r="A705" s="140" t="s">
        <v>237</v>
      </c>
      <c r="B705" s="191" t="s">
        <v>4915</v>
      </c>
      <c r="C705" s="28"/>
      <c r="D705" s="28"/>
      <c r="E705" s="28"/>
      <c r="F705" s="28"/>
      <c r="G705" s="28"/>
      <c r="H705" s="28"/>
      <c r="I705" s="28"/>
      <c r="J705" s="28"/>
      <c r="K705" s="28"/>
      <c r="L705" s="28"/>
      <c r="M705" s="28"/>
      <c r="N705" s="28"/>
      <c r="O705" s="139"/>
      <c r="P705" s="139"/>
      <c r="Q705" s="139"/>
      <c r="R705" s="139"/>
      <c r="S705" s="139"/>
      <c r="T705" s="139"/>
      <c r="U705" s="139"/>
      <c r="V705" s="139"/>
      <c r="W705" s="139"/>
      <c r="X705" s="139"/>
      <c r="Y705" s="139"/>
      <c r="Z705" s="139"/>
      <c r="AA705" s="139"/>
      <c r="AB705" s="139"/>
      <c r="AC705" s="139"/>
      <c r="AD705" s="126"/>
      <c r="AE705" s="126"/>
      <c r="AF705" s="126"/>
      <c r="AG705" s="126"/>
      <c r="AH705" s="126"/>
      <c r="AI705" s="126"/>
      <c r="AJ705" s="126"/>
      <c r="AK705" s="126"/>
      <c r="AL705" s="126"/>
      <c r="AM705" s="126"/>
      <c r="AN705" s="126"/>
      <c r="AO705" s="70"/>
      <c r="AP705" s="70"/>
      <c r="AQ705" s="70"/>
      <c r="AR705" s="70"/>
      <c r="AS705" s="70"/>
      <c r="AT705" s="70"/>
      <c r="AU705" s="70"/>
      <c r="AV705" s="70"/>
      <c r="AW705" s="70"/>
      <c r="AX705" s="70"/>
    </row>
    <row r="706" ht="15.75" customHeight="1">
      <c r="A706" s="65" t="s">
        <v>134</v>
      </c>
      <c r="B706" s="66" t="s">
        <v>4976</v>
      </c>
      <c r="C706" s="28"/>
      <c r="D706" s="28"/>
      <c r="E706" s="28"/>
      <c r="F706" s="28"/>
      <c r="G706" s="28"/>
      <c r="H706" s="28"/>
      <c r="I706" s="28"/>
      <c r="J706" s="28"/>
      <c r="K706" s="28"/>
      <c r="L706" s="28"/>
      <c r="M706" s="28"/>
      <c r="N706" s="28"/>
      <c r="O706" s="67"/>
      <c r="P706" s="68"/>
      <c r="Q706" s="68"/>
      <c r="R706" s="67"/>
      <c r="S706" s="67"/>
      <c r="T706" s="65" t="s">
        <v>139</v>
      </c>
      <c r="U706" s="67"/>
      <c r="V706" s="67"/>
      <c r="W706" s="67"/>
      <c r="X706" s="67"/>
      <c r="Y706" s="67"/>
      <c r="Z706" s="67"/>
      <c r="AA706" s="67"/>
      <c r="AB706" s="67"/>
      <c r="AC706" s="67"/>
      <c r="AD706" s="67"/>
      <c r="AE706" s="67"/>
      <c r="AF706" s="67"/>
      <c r="AG706" s="67"/>
      <c r="AH706" s="67"/>
      <c r="AI706" s="67"/>
      <c r="AJ706" s="67"/>
      <c r="AK706" s="67"/>
      <c r="AL706" s="67"/>
      <c r="AM706" s="67"/>
      <c r="AN706" s="67"/>
      <c r="AO706" s="67"/>
      <c r="AP706" s="67"/>
      <c r="AQ706" s="67"/>
      <c r="AR706" s="67"/>
      <c r="AS706" s="67"/>
      <c r="AT706" s="67"/>
      <c r="AU706" s="67"/>
      <c r="AV706" s="67"/>
      <c r="AW706" s="67"/>
      <c r="AX706" s="67"/>
    </row>
    <row r="707" ht="15.75" customHeight="1">
      <c r="A707" s="58" t="s">
        <v>78</v>
      </c>
      <c r="B707" s="58" t="s">
        <v>4980</v>
      </c>
      <c r="C707" s="28"/>
      <c r="D707" s="28"/>
      <c r="E707" s="28"/>
      <c r="F707" s="28"/>
      <c r="G707" s="28"/>
      <c r="H707" s="28"/>
      <c r="I707" s="28"/>
      <c r="J707" s="28"/>
      <c r="K707" s="28"/>
      <c r="L707" s="28"/>
      <c r="M707" s="28"/>
      <c r="N707" s="28"/>
      <c r="O707" s="58"/>
      <c r="P707" s="24"/>
      <c r="Q707" s="24"/>
      <c r="R707" s="24"/>
      <c r="S707" s="24"/>
      <c r="T707" s="58" t="s">
        <v>10471</v>
      </c>
      <c r="U707" s="24"/>
      <c r="V707" s="24"/>
      <c r="W707" s="24"/>
      <c r="X707" s="24"/>
      <c r="Y707" s="24"/>
      <c r="Z707" s="24"/>
      <c r="AA707" s="24"/>
      <c r="AB707" s="24"/>
      <c r="AC707" s="24"/>
      <c r="AD707" s="24"/>
      <c r="AE707" s="24"/>
      <c r="AF707" s="24"/>
      <c r="AG707" s="24"/>
      <c r="AH707" s="24"/>
      <c r="AI707" s="24"/>
      <c r="AJ707" s="24"/>
      <c r="AK707" s="24"/>
      <c r="AL707" s="24"/>
      <c r="AM707" s="24"/>
      <c r="AN707" s="24"/>
      <c r="AO707" s="24"/>
      <c r="AP707" s="24"/>
      <c r="AQ707" s="24"/>
      <c r="AR707" s="24"/>
      <c r="AS707" s="24"/>
      <c r="AT707" s="24"/>
      <c r="AU707" s="24"/>
      <c r="AV707" s="24"/>
      <c r="AW707" s="24"/>
      <c r="AX707" s="24"/>
    </row>
    <row r="708" ht="15.75" customHeight="1">
      <c r="A708" s="65" t="s">
        <v>134</v>
      </c>
      <c r="B708" s="66" t="s">
        <v>4984</v>
      </c>
      <c r="C708" s="28"/>
      <c r="D708" s="28"/>
      <c r="E708" s="28"/>
      <c r="F708" s="28"/>
      <c r="G708" s="28"/>
      <c r="H708" s="28"/>
      <c r="I708" s="28"/>
      <c r="J708" s="28"/>
      <c r="K708" s="28"/>
      <c r="L708" s="28"/>
      <c r="M708" s="28"/>
      <c r="N708" s="28"/>
      <c r="O708" s="67"/>
      <c r="P708" s="68"/>
      <c r="Q708" s="68"/>
      <c r="R708" s="67"/>
      <c r="S708" s="67"/>
      <c r="T708" s="65" t="s">
        <v>139</v>
      </c>
      <c r="U708" s="67"/>
      <c r="V708" s="67"/>
      <c r="W708" s="67"/>
      <c r="X708" s="67"/>
      <c r="Y708" s="67"/>
      <c r="Z708" s="67"/>
      <c r="AA708" s="67"/>
      <c r="AB708" s="67"/>
      <c r="AC708" s="67"/>
      <c r="AD708" s="67"/>
      <c r="AE708" s="67"/>
      <c r="AF708" s="67"/>
      <c r="AG708" s="67"/>
      <c r="AH708" s="67"/>
      <c r="AI708" s="67"/>
      <c r="AJ708" s="67"/>
      <c r="AK708" s="67"/>
      <c r="AL708" s="67"/>
      <c r="AM708" s="67"/>
      <c r="AN708" s="67"/>
      <c r="AO708" s="67"/>
      <c r="AP708" s="67"/>
      <c r="AQ708" s="67"/>
      <c r="AR708" s="67"/>
      <c r="AS708" s="67"/>
      <c r="AT708" s="67"/>
      <c r="AU708" s="67"/>
      <c r="AV708" s="67"/>
      <c r="AW708" s="67"/>
      <c r="AX708" s="67"/>
    </row>
    <row r="709" ht="15.75" customHeight="1">
      <c r="A709" s="68" t="s">
        <v>2625</v>
      </c>
      <c r="B709" s="218" t="s">
        <v>4986</v>
      </c>
      <c r="C709" s="28" t="s">
        <v>4991</v>
      </c>
      <c r="D709" s="28" t="s">
        <v>4992</v>
      </c>
      <c r="E709" s="28" t="s">
        <v>4993</v>
      </c>
      <c r="F709" s="28"/>
      <c r="G709" s="28"/>
      <c r="H709" s="28"/>
      <c r="I709" s="28"/>
      <c r="J709" s="28"/>
      <c r="K709" s="28"/>
      <c r="L709" s="28"/>
      <c r="M709" s="28"/>
      <c r="N709" s="28"/>
      <c r="O709" s="67"/>
      <c r="P709" s="67"/>
      <c r="Q709" s="67" t="s">
        <v>145</v>
      </c>
      <c r="R709" s="67"/>
      <c r="S709" s="67"/>
      <c r="T709" s="67"/>
      <c r="U709" s="67"/>
      <c r="V709" s="67"/>
      <c r="W709" s="67"/>
      <c r="X709" s="67"/>
      <c r="Y709" s="67"/>
      <c r="Z709" s="67"/>
      <c r="AA709" s="67"/>
      <c r="AB709" s="67"/>
      <c r="AC709" s="67"/>
      <c r="AD709" s="70"/>
      <c r="AE709" s="70"/>
      <c r="AF709" s="70"/>
      <c r="AG709" s="70"/>
      <c r="AH709" s="70"/>
      <c r="AI709" s="70"/>
      <c r="AJ709" s="70"/>
      <c r="AK709" s="70"/>
      <c r="AL709" s="70"/>
      <c r="AM709" s="70"/>
      <c r="AN709" s="70"/>
      <c r="AO709" s="70"/>
      <c r="AP709" s="70"/>
      <c r="AQ709" s="70"/>
      <c r="AR709" s="70"/>
      <c r="AS709" s="70"/>
      <c r="AT709" s="70"/>
      <c r="AU709" s="70"/>
      <c r="AV709" s="70"/>
      <c r="AW709" s="70"/>
      <c r="AX709" s="70"/>
    </row>
    <row r="710" ht="15.75" customHeight="1">
      <c r="A710" s="68" t="s">
        <v>4994</v>
      </c>
      <c r="B710" s="218" t="s">
        <v>4995</v>
      </c>
      <c r="C710" s="28" t="s">
        <v>5000</v>
      </c>
      <c r="D710" s="28" t="s">
        <v>5002</v>
      </c>
      <c r="E710" s="28" t="s">
        <v>5003</v>
      </c>
      <c r="F710" s="28"/>
      <c r="G710" s="28"/>
      <c r="H710" s="28"/>
      <c r="I710" s="28"/>
      <c r="J710" s="28"/>
      <c r="K710" s="28" t="s">
        <v>10472</v>
      </c>
      <c r="L710" s="28"/>
      <c r="M710" s="28"/>
      <c r="N710" s="28"/>
      <c r="O710" s="65" t="s">
        <v>10473</v>
      </c>
      <c r="P710" s="67"/>
      <c r="Q710" s="67" t="s">
        <v>145</v>
      </c>
      <c r="R710" s="67"/>
      <c r="S710" s="67"/>
      <c r="T710" s="67"/>
      <c r="U710" s="67"/>
      <c r="V710" s="67"/>
      <c r="W710" s="67"/>
      <c r="X710" s="67"/>
      <c r="Y710" s="67" t="s">
        <v>10474</v>
      </c>
      <c r="Z710" s="67"/>
      <c r="AA710" s="67"/>
      <c r="AB710" s="67"/>
      <c r="AC710" s="67"/>
      <c r="AD710" s="70"/>
      <c r="AE710" s="70"/>
      <c r="AF710" s="70"/>
      <c r="AG710" s="70"/>
      <c r="AH710" s="70"/>
      <c r="AI710" s="70"/>
      <c r="AJ710" s="70"/>
      <c r="AK710" s="70"/>
      <c r="AL710" s="70"/>
      <c r="AM710" s="70"/>
      <c r="AN710" s="70"/>
      <c r="AO710" s="70"/>
      <c r="AP710" s="70"/>
      <c r="AQ710" s="70"/>
      <c r="AR710" s="70"/>
      <c r="AS710" s="70"/>
      <c r="AT710" s="70"/>
      <c r="AU710" s="70"/>
      <c r="AV710" s="70"/>
      <c r="AW710" s="70"/>
      <c r="AX710" s="70"/>
    </row>
    <row r="711" ht="15.75" customHeight="1">
      <c r="A711" s="179" t="s">
        <v>246</v>
      </c>
      <c r="B711" s="228" t="s">
        <v>5005</v>
      </c>
      <c r="C711" s="28" t="s">
        <v>5009</v>
      </c>
      <c r="D711" s="28" t="s">
        <v>5010</v>
      </c>
      <c r="E711" s="28" t="s">
        <v>5011</v>
      </c>
      <c r="F711" s="28"/>
      <c r="G711" s="28"/>
      <c r="H711" s="28"/>
      <c r="I711" s="28"/>
      <c r="J711" s="28"/>
      <c r="K711" s="28"/>
      <c r="L711" s="28"/>
      <c r="M711" s="28"/>
      <c r="N711" s="28"/>
      <c r="O711" s="274" t="s">
        <v>10475</v>
      </c>
      <c r="P711" s="181"/>
      <c r="Q711" s="181" t="s">
        <v>145</v>
      </c>
      <c r="R711" s="181"/>
      <c r="S711" s="181"/>
      <c r="T711" s="181"/>
      <c r="U711" s="181"/>
      <c r="V711" s="181"/>
      <c r="W711" s="181"/>
      <c r="X711" s="181"/>
      <c r="Y711" s="181"/>
      <c r="Z711" s="181"/>
      <c r="AA711" s="181"/>
      <c r="AB711" s="181"/>
      <c r="AC711" s="181"/>
      <c r="AD711" s="70"/>
      <c r="AE711" s="70"/>
      <c r="AF711" s="70"/>
      <c r="AG711" s="70"/>
      <c r="AH711" s="70"/>
      <c r="AI711" s="70"/>
      <c r="AJ711" s="70"/>
      <c r="AK711" s="70"/>
      <c r="AL711" s="70"/>
      <c r="AM711" s="70"/>
      <c r="AN711" s="70"/>
      <c r="AO711" s="70"/>
      <c r="AP711" s="70"/>
      <c r="AQ711" s="70"/>
      <c r="AR711" s="70"/>
      <c r="AS711" s="70"/>
      <c r="AT711" s="70"/>
      <c r="AU711" s="70"/>
      <c r="AV711" s="70"/>
      <c r="AW711" s="70"/>
      <c r="AX711" s="70"/>
    </row>
    <row r="712" ht="15.75" customHeight="1">
      <c r="A712" s="174" t="s">
        <v>698</v>
      </c>
      <c r="B712" s="215" t="s">
        <v>5012</v>
      </c>
      <c r="C712" s="28" t="s">
        <v>5013</v>
      </c>
      <c r="D712" s="28"/>
      <c r="E712" s="28"/>
      <c r="F712" s="28"/>
      <c r="G712" s="28"/>
      <c r="H712" s="28"/>
      <c r="I712" s="28"/>
      <c r="J712" s="28"/>
      <c r="K712" s="28"/>
      <c r="L712" s="28"/>
      <c r="M712" s="28"/>
      <c r="N712" s="28"/>
      <c r="O712" s="217" t="s">
        <v>10473</v>
      </c>
      <c r="P712" s="176"/>
      <c r="Q712" s="176"/>
      <c r="R712" s="176"/>
      <c r="S712" s="176"/>
      <c r="T712" s="176"/>
      <c r="U712" s="217" t="s">
        <v>10476</v>
      </c>
      <c r="V712" s="176"/>
      <c r="W712" s="176"/>
      <c r="X712" s="176"/>
      <c r="Y712" s="176"/>
      <c r="Z712" s="176"/>
      <c r="AA712" s="176"/>
      <c r="AB712" s="176"/>
      <c r="AC712" s="176"/>
      <c r="AD712" s="70"/>
      <c r="AE712" s="70"/>
      <c r="AF712" s="70"/>
      <c r="AG712" s="70"/>
      <c r="AH712" s="70"/>
      <c r="AI712" s="70"/>
      <c r="AJ712" s="70"/>
      <c r="AK712" s="70"/>
      <c r="AL712" s="70"/>
      <c r="AM712" s="70"/>
      <c r="AN712" s="70"/>
      <c r="AO712" s="70"/>
      <c r="AP712" s="70"/>
      <c r="AQ712" s="70"/>
      <c r="AR712" s="70"/>
      <c r="AS712" s="70"/>
      <c r="AT712" s="70"/>
      <c r="AU712" s="70"/>
      <c r="AV712" s="70"/>
      <c r="AW712" s="70"/>
      <c r="AX712" s="70"/>
    </row>
    <row r="713" ht="15.75" customHeight="1">
      <c r="A713" s="90" t="s">
        <v>78</v>
      </c>
      <c r="B713" s="216" t="s">
        <v>5017</v>
      </c>
      <c r="C713" s="28"/>
      <c r="D713" s="28"/>
      <c r="E713" s="28"/>
      <c r="F713" s="28"/>
      <c r="G713" s="28"/>
      <c r="H713" s="28"/>
      <c r="I713" s="28"/>
      <c r="J713" s="28"/>
      <c r="K713" s="28"/>
      <c r="L713" s="28"/>
      <c r="M713" s="28"/>
      <c r="N713" s="28"/>
      <c r="O713" s="96"/>
      <c r="P713" s="96"/>
      <c r="Q713" s="96"/>
      <c r="R713" s="96"/>
      <c r="S713" s="96"/>
      <c r="T713" s="178" t="s">
        <v>719</v>
      </c>
      <c r="U713" s="96"/>
      <c r="V713" s="96"/>
      <c r="W713" s="96"/>
      <c r="X713" s="96"/>
      <c r="Y713" s="96"/>
      <c r="Z713" s="96"/>
      <c r="AA713" s="96"/>
      <c r="AB713" s="96"/>
      <c r="AC713" s="96"/>
      <c r="AD713" s="70"/>
      <c r="AE713" s="70"/>
      <c r="AF713" s="70"/>
      <c r="AG713" s="70"/>
      <c r="AH713" s="70"/>
      <c r="AI713" s="70"/>
      <c r="AJ713" s="70"/>
      <c r="AK713" s="70"/>
      <c r="AL713" s="70"/>
      <c r="AM713" s="70"/>
      <c r="AN713" s="70"/>
      <c r="AO713" s="70"/>
      <c r="AP713" s="70"/>
      <c r="AQ713" s="70"/>
      <c r="AR713" s="70"/>
      <c r="AS713" s="70"/>
      <c r="AT713" s="70"/>
      <c r="AU713" s="70"/>
      <c r="AV713" s="70"/>
      <c r="AW713" s="70"/>
      <c r="AX713" s="70"/>
    </row>
    <row r="714" ht="15.75" customHeight="1">
      <c r="A714" s="90" t="s">
        <v>78</v>
      </c>
      <c r="B714" s="216" t="s">
        <v>5021</v>
      </c>
      <c r="C714" s="28"/>
      <c r="D714" s="28"/>
      <c r="E714" s="28"/>
      <c r="F714" s="28"/>
      <c r="G714" s="28"/>
      <c r="H714" s="28"/>
      <c r="I714" s="28"/>
      <c r="J714" s="28"/>
      <c r="K714" s="28"/>
      <c r="L714" s="28"/>
      <c r="M714" s="28"/>
      <c r="N714" s="28"/>
      <c r="O714" s="96"/>
      <c r="P714" s="96"/>
      <c r="Q714" s="96"/>
      <c r="R714" s="96"/>
      <c r="S714" s="96"/>
      <c r="T714" s="119" t="s">
        <v>10477</v>
      </c>
      <c r="U714" s="96"/>
      <c r="V714" s="96"/>
      <c r="W714" s="96"/>
      <c r="X714" s="96"/>
      <c r="Y714" s="96"/>
      <c r="Z714" s="96"/>
      <c r="AA714" s="96"/>
      <c r="AB714" s="96"/>
      <c r="AC714" s="96"/>
      <c r="AD714" s="70"/>
      <c r="AE714" s="70"/>
      <c r="AF714" s="70"/>
      <c r="AG714" s="70"/>
      <c r="AH714" s="70"/>
      <c r="AI714" s="70"/>
      <c r="AJ714" s="70"/>
      <c r="AK714" s="70"/>
      <c r="AL714" s="70"/>
      <c r="AM714" s="70"/>
      <c r="AN714" s="70"/>
      <c r="AO714" s="70"/>
      <c r="AP714" s="70"/>
      <c r="AQ714" s="70"/>
      <c r="AR714" s="70"/>
      <c r="AS714" s="70"/>
      <c r="AT714" s="70"/>
      <c r="AU714" s="70"/>
      <c r="AV714" s="70"/>
      <c r="AW714" s="70"/>
      <c r="AX714" s="70"/>
    </row>
    <row r="715" ht="15.75" customHeight="1">
      <c r="A715" s="90" t="s">
        <v>78</v>
      </c>
      <c r="B715" s="216" t="s">
        <v>5025</v>
      </c>
      <c r="C715" s="28" t="s">
        <v>5026</v>
      </c>
      <c r="D715" s="28"/>
      <c r="E715" s="28"/>
      <c r="F715" s="28"/>
      <c r="G715" s="28"/>
      <c r="H715" s="28"/>
      <c r="I715" s="28"/>
      <c r="J715" s="28"/>
      <c r="K715" s="28"/>
      <c r="L715" s="28"/>
      <c r="M715" s="28"/>
      <c r="N715" s="28"/>
      <c r="O715" s="96"/>
      <c r="P715" s="96"/>
      <c r="Q715" s="96"/>
      <c r="R715" s="96"/>
      <c r="S715" s="96"/>
      <c r="T715" s="119" t="s">
        <v>10478</v>
      </c>
      <c r="U715" s="96"/>
      <c r="V715" s="96"/>
      <c r="W715" s="96"/>
      <c r="X715" s="96"/>
      <c r="Y715" s="96"/>
      <c r="Z715" s="96"/>
      <c r="AA715" s="96"/>
      <c r="AB715" s="96"/>
      <c r="AC715" s="96"/>
      <c r="AD715" s="70"/>
      <c r="AE715" s="70"/>
      <c r="AF715" s="70"/>
      <c r="AG715" s="70"/>
      <c r="AH715" s="70"/>
      <c r="AI715" s="70"/>
      <c r="AJ715" s="70"/>
      <c r="AK715" s="70"/>
      <c r="AL715" s="70"/>
      <c r="AM715" s="70"/>
      <c r="AN715" s="70"/>
      <c r="AO715" s="70"/>
      <c r="AP715" s="70"/>
      <c r="AQ715" s="70"/>
      <c r="AR715" s="70"/>
      <c r="AS715" s="70"/>
      <c r="AT715" s="70"/>
      <c r="AU715" s="70"/>
      <c r="AV715" s="70"/>
      <c r="AW715" s="70"/>
      <c r="AX715" s="70"/>
    </row>
    <row r="716" ht="15.75" customHeight="1">
      <c r="A716" s="68" t="s">
        <v>5030</v>
      </c>
      <c r="B716" s="218" t="s">
        <v>5031</v>
      </c>
      <c r="C716" s="28" t="s">
        <v>5035</v>
      </c>
      <c r="D716" s="28" t="s">
        <v>5036</v>
      </c>
      <c r="E716" s="28" t="s">
        <v>5037</v>
      </c>
      <c r="F716" s="28"/>
      <c r="G716" s="28"/>
      <c r="H716" s="28"/>
      <c r="I716" s="28"/>
      <c r="J716" s="28" t="s">
        <v>10479</v>
      </c>
      <c r="K716" s="28"/>
      <c r="L716" s="28"/>
      <c r="M716" s="28"/>
      <c r="N716" s="28"/>
      <c r="O716" s="65" t="s">
        <v>10480</v>
      </c>
      <c r="P716" s="67"/>
      <c r="Q716" s="67" t="s">
        <v>145</v>
      </c>
      <c r="R716" s="67"/>
      <c r="S716" s="67"/>
      <c r="T716" s="67"/>
      <c r="U716" s="67"/>
      <c r="V716" s="67"/>
      <c r="W716" s="67"/>
      <c r="X716" s="67"/>
      <c r="Y716" s="67"/>
      <c r="Z716" s="67"/>
      <c r="AA716" s="67"/>
      <c r="AB716" s="67"/>
      <c r="AC716" s="67"/>
      <c r="AD716" s="70"/>
      <c r="AE716" s="70"/>
      <c r="AF716" s="70"/>
      <c r="AG716" s="70"/>
      <c r="AH716" s="70"/>
      <c r="AI716" s="70"/>
      <c r="AJ716" s="70"/>
      <c r="AK716" s="70"/>
      <c r="AL716" s="70"/>
      <c r="AM716" s="70"/>
      <c r="AN716" s="70"/>
      <c r="AO716" s="70"/>
      <c r="AP716" s="70"/>
      <c r="AQ716" s="70"/>
      <c r="AR716" s="70"/>
      <c r="AS716" s="70"/>
      <c r="AT716" s="70"/>
      <c r="AU716" s="70"/>
      <c r="AV716" s="70"/>
      <c r="AW716" s="70"/>
      <c r="AX716" s="70"/>
    </row>
    <row r="717" ht="15.75" customHeight="1">
      <c r="A717" s="179" t="s">
        <v>246</v>
      </c>
      <c r="B717" s="228" t="s">
        <v>5038</v>
      </c>
      <c r="C717" s="28" t="s">
        <v>5045</v>
      </c>
      <c r="D717" s="28" t="s">
        <v>5048</v>
      </c>
      <c r="E717" s="28" t="s">
        <v>5049</v>
      </c>
      <c r="F717" s="28"/>
      <c r="G717" s="28"/>
      <c r="H717" s="28"/>
      <c r="I717" s="28"/>
      <c r="J717" s="28"/>
      <c r="K717" s="28"/>
      <c r="L717" s="28"/>
      <c r="M717" s="28"/>
      <c r="N717" s="28"/>
      <c r="O717" s="274" t="s">
        <v>10481</v>
      </c>
      <c r="P717" s="181"/>
      <c r="Q717" s="181" t="s">
        <v>145</v>
      </c>
      <c r="R717" s="181"/>
      <c r="S717" s="181"/>
      <c r="T717" s="181"/>
      <c r="U717" s="181"/>
      <c r="V717" s="181"/>
      <c r="W717" s="181"/>
      <c r="X717" s="181"/>
      <c r="Y717" s="181"/>
      <c r="Z717" s="181"/>
      <c r="AA717" s="181"/>
      <c r="AB717" s="181"/>
      <c r="AC717" s="181"/>
      <c r="AD717" s="70"/>
      <c r="AE717" s="70"/>
      <c r="AF717" s="70"/>
      <c r="AG717" s="70"/>
      <c r="AH717" s="70"/>
      <c r="AI717" s="70"/>
      <c r="AJ717" s="70"/>
      <c r="AK717" s="70"/>
      <c r="AL717" s="70"/>
      <c r="AM717" s="70"/>
      <c r="AN717" s="70"/>
      <c r="AO717" s="70"/>
      <c r="AP717" s="70"/>
      <c r="AQ717" s="70"/>
      <c r="AR717" s="70"/>
      <c r="AS717" s="70"/>
      <c r="AT717" s="70"/>
      <c r="AU717" s="70"/>
      <c r="AV717" s="70"/>
      <c r="AW717" s="70"/>
      <c r="AX717" s="70"/>
    </row>
    <row r="718" ht="15.75" customHeight="1">
      <c r="A718" s="68" t="s">
        <v>5050</v>
      </c>
      <c r="B718" s="218" t="s">
        <v>5051</v>
      </c>
      <c r="C718" s="28" t="s">
        <v>5055</v>
      </c>
      <c r="D718" s="28" t="s">
        <v>5056</v>
      </c>
      <c r="E718" s="28" t="s">
        <v>5057</v>
      </c>
      <c r="F718" s="28"/>
      <c r="G718" s="28"/>
      <c r="H718" s="28"/>
      <c r="I718" s="28"/>
      <c r="J718" s="28"/>
      <c r="K718" s="28"/>
      <c r="L718" s="28"/>
      <c r="M718" s="28"/>
      <c r="N718" s="28"/>
      <c r="O718" s="65" t="s">
        <v>10482</v>
      </c>
      <c r="P718" s="67"/>
      <c r="Q718" s="67" t="s">
        <v>145</v>
      </c>
      <c r="R718" s="67"/>
      <c r="S718" s="67"/>
      <c r="T718" s="67"/>
      <c r="U718" s="67"/>
      <c r="V718" s="67"/>
      <c r="W718" s="67"/>
      <c r="X718" s="67"/>
      <c r="Y718" s="67"/>
      <c r="Z718" s="67"/>
      <c r="AA718" s="67"/>
      <c r="AB718" s="67"/>
      <c r="AC718" s="67"/>
      <c r="AD718" s="70"/>
      <c r="AE718" s="70"/>
      <c r="AF718" s="70"/>
      <c r="AG718" s="70"/>
      <c r="AH718" s="70"/>
      <c r="AI718" s="70"/>
      <c r="AJ718" s="70"/>
      <c r="AK718" s="70"/>
      <c r="AL718" s="70"/>
      <c r="AM718" s="70"/>
      <c r="AN718" s="70"/>
      <c r="AO718" s="70"/>
      <c r="AP718" s="70"/>
      <c r="AQ718" s="70"/>
      <c r="AR718" s="70"/>
      <c r="AS718" s="70"/>
      <c r="AT718" s="70"/>
      <c r="AU718" s="70"/>
      <c r="AV718" s="70"/>
      <c r="AW718" s="70"/>
      <c r="AX718" s="70"/>
    </row>
    <row r="719" ht="15.75" customHeight="1">
      <c r="A719" s="179" t="s">
        <v>246</v>
      </c>
      <c r="B719" s="228" t="s">
        <v>5058</v>
      </c>
      <c r="C719" s="28" t="s">
        <v>5064</v>
      </c>
      <c r="D719" s="28" t="s">
        <v>5065</v>
      </c>
      <c r="E719" s="28" t="s">
        <v>5066</v>
      </c>
      <c r="F719" s="28"/>
      <c r="G719" s="28"/>
      <c r="H719" s="28"/>
      <c r="I719" s="28"/>
      <c r="J719" s="28"/>
      <c r="K719" s="28"/>
      <c r="L719" s="28"/>
      <c r="M719" s="28"/>
      <c r="N719" s="28"/>
      <c r="O719" s="274" t="s">
        <v>10483</v>
      </c>
      <c r="P719" s="181"/>
      <c r="Q719" s="181" t="s">
        <v>145</v>
      </c>
      <c r="R719" s="181"/>
      <c r="S719" s="181"/>
      <c r="T719" s="181"/>
      <c r="U719" s="181"/>
      <c r="V719" s="181"/>
      <c r="W719" s="181"/>
      <c r="X719" s="181"/>
      <c r="Y719" s="181"/>
      <c r="Z719" s="181"/>
      <c r="AA719" s="181"/>
      <c r="AB719" s="181"/>
      <c r="AC719" s="181"/>
      <c r="AD719" s="70"/>
      <c r="AE719" s="70"/>
      <c r="AF719" s="70"/>
      <c r="AG719" s="70"/>
      <c r="AH719" s="70"/>
      <c r="AI719" s="70"/>
      <c r="AJ719" s="70"/>
      <c r="AK719" s="70"/>
      <c r="AL719" s="70"/>
      <c r="AM719" s="70"/>
      <c r="AN719" s="70"/>
      <c r="AO719" s="70"/>
      <c r="AP719" s="70"/>
      <c r="AQ719" s="70"/>
      <c r="AR719" s="70"/>
      <c r="AS719" s="70"/>
      <c r="AT719" s="70"/>
      <c r="AU719" s="70"/>
      <c r="AV719" s="70"/>
      <c r="AW719" s="70"/>
      <c r="AX719" s="70"/>
    </row>
    <row r="720" ht="15.75" customHeight="1">
      <c r="A720" s="170" t="s">
        <v>263</v>
      </c>
      <c r="B720" s="271" t="s">
        <v>5067</v>
      </c>
      <c r="C720" s="28" t="s">
        <v>5071</v>
      </c>
      <c r="D720" s="28" t="s">
        <v>5072</v>
      </c>
      <c r="E720" s="28" t="s">
        <v>5073</v>
      </c>
      <c r="F720" s="28"/>
      <c r="G720" s="28"/>
      <c r="H720" s="28"/>
      <c r="I720" s="28"/>
      <c r="J720" s="28"/>
      <c r="K720" s="28" t="s">
        <v>687</v>
      </c>
      <c r="L720" s="28"/>
      <c r="M720" s="28"/>
      <c r="N720" s="28"/>
      <c r="O720" s="173"/>
      <c r="P720" s="173"/>
      <c r="Q720" s="173" t="s">
        <v>145</v>
      </c>
      <c r="R720" s="173"/>
      <c r="S720" s="173"/>
      <c r="T720" s="173"/>
      <c r="U720" s="173"/>
      <c r="V720" s="173"/>
      <c r="W720" s="173"/>
      <c r="X720" s="173"/>
      <c r="Y720" s="173"/>
      <c r="Z720" s="173"/>
      <c r="AA720" s="173"/>
      <c r="AB720" s="173"/>
      <c r="AC720" s="173"/>
      <c r="AD720" s="70"/>
      <c r="AE720" s="70"/>
      <c r="AF720" s="70"/>
      <c r="AG720" s="70"/>
      <c r="AH720" s="70"/>
      <c r="AI720" s="70"/>
      <c r="AJ720" s="70"/>
      <c r="AK720" s="70"/>
      <c r="AL720" s="70"/>
      <c r="AM720" s="70"/>
      <c r="AN720" s="70"/>
      <c r="AO720" s="70"/>
      <c r="AP720" s="70"/>
      <c r="AQ720" s="70"/>
      <c r="AR720" s="70"/>
      <c r="AS720" s="70"/>
      <c r="AT720" s="70"/>
      <c r="AU720" s="70"/>
      <c r="AV720" s="70"/>
      <c r="AW720" s="70"/>
      <c r="AX720" s="70"/>
    </row>
    <row r="721" ht="15.75" customHeight="1">
      <c r="A721" s="68" t="s">
        <v>5074</v>
      </c>
      <c r="B721" s="218" t="s">
        <v>5075</v>
      </c>
      <c r="C721" s="28" t="s">
        <v>5081</v>
      </c>
      <c r="D721" s="28" t="s">
        <v>5082</v>
      </c>
      <c r="E721" s="28" t="s">
        <v>5083</v>
      </c>
      <c r="F721" s="28"/>
      <c r="G721" s="28"/>
      <c r="H721" s="28"/>
      <c r="I721" s="28"/>
      <c r="J721" s="28"/>
      <c r="K721" s="28" t="s">
        <v>10472</v>
      </c>
      <c r="L721" s="28"/>
      <c r="M721" s="28"/>
      <c r="N721" s="28"/>
      <c r="O721" s="67"/>
      <c r="P721" s="67"/>
      <c r="Q721" s="67" t="s">
        <v>145</v>
      </c>
      <c r="R721" s="67"/>
      <c r="S721" s="67"/>
      <c r="T721" s="67"/>
      <c r="U721" s="67"/>
      <c r="V721" s="67"/>
      <c r="W721" s="67"/>
      <c r="X721" s="67"/>
      <c r="Y721" s="67"/>
      <c r="Z721" s="67"/>
      <c r="AA721" s="67"/>
      <c r="AB721" s="67"/>
      <c r="AC721" s="67"/>
      <c r="AD721" s="70"/>
      <c r="AE721" s="70"/>
      <c r="AF721" s="70"/>
      <c r="AG721" s="70"/>
      <c r="AH721" s="70"/>
      <c r="AI721" s="70"/>
      <c r="AJ721" s="70"/>
      <c r="AK721" s="70"/>
      <c r="AL721" s="70"/>
      <c r="AM721" s="70"/>
      <c r="AN721" s="70"/>
      <c r="AO721" s="70"/>
      <c r="AP721" s="70"/>
      <c r="AQ721" s="70"/>
      <c r="AR721" s="70"/>
      <c r="AS721" s="70"/>
      <c r="AT721" s="70"/>
      <c r="AU721" s="70"/>
      <c r="AV721" s="70"/>
      <c r="AW721" s="70"/>
      <c r="AX721" s="70"/>
    </row>
    <row r="722" ht="15.75" customHeight="1">
      <c r="A722" s="179" t="s">
        <v>246</v>
      </c>
      <c r="B722" s="228" t="s">
        <v>5084</v>
      </c>
      <c r="C722" s="28" t="s">
        <v>5088</v>
      </c>
      <c r="D722" s="28" t="s">
        <v>5089</v>
      </c>
      <c r="E722" s="28" t="s">
        <v>5090</v>
      </c>
      <c r="F722" s="28"/>
      <c r="G722" s="28"/>
      <c r="H722" s="28"/>
      <c r="I722" s="28"/>
      <c r="J722" s="28"/>
      <c r="K722" s="28"/>
      <c r="L722" s="28"/>
      <c r="M722" s="28"/>
      <c r="N722" s="28"/>
      <c r="O722" s="274" t="s">
        <v>10484</v>
      </c>
      <c r="P722" s="181"/>
      <c r="Q722" s="181" t="s">
        <v>145</v>
      </c>
      <c r="R722" s="181"/>
      <c r="S722" s="181"/>
      <c r="T722" s="181"/>
      <c r="U722" s="181"/>
      <c r="V722" s="181"/>
      <c r="W722" s="181"/>
      <c r="X722" s="181"/>
      <c r="Y722" s="181"/>
      <c r="Z722" s="181"/>
      <c r="AA722" s="181"/>
      <c r="AB722" s="181"/>
      <c r="AC722" s="181"/>
      <c r="AD722" s="70"/>
      <c r="AE722" s="70"/>
      <c r="AF722" s="70"/>
      <c r="AG722" s="70"/>
      <c r="AH722" s="70"/>
      <c r="AI722" s="70"/>
      <c r="AJ722" s="70"/>
      <c r="AK722" s="70"/>
      <c r="AL722" s="70"/>
      <c r="AM722" s="70"/>
      <c r="AN722" s="70"/>
      <c r="AO722" s="70"/>
      <c r="AP722" s="70"/>
      <c r="AQ722" s="70"/>
      <c r="AR722" s="70"/>
      <c r="AS722" s="70"/>
      <c r="AT722" s="70"/>
      <c r="AU722" s="70"/>
      <c r="AV722" s="70"/>
      <c r="AW722" s="70"/>
      <c r="AX722" s="70"/>
    </row>
    <row r="723" ht="15.75" customHeight="1">
      <c r="A723" s="174" t="s">
        <v>1015</v>
      </c>
      <c r="B723" s="275" t="s">
        <v>5012</v>
      </c>
      <c r="C723" s="28"/>
      <c r="D723" s="28"/>
      <c r="E723" s="28"/>
      <c r="F723" s="28"/>
      <c r="G723" s="28"/>
      <c r="H723" s="28"/>
      <c r="I723" s="28"/>
      <c r="J723" s="28"/>
      <c r="K723" s="28"/>
      <c r="L723" s="28"/>
      <c r="M723" s="28"/>
      <c r="N723" s="28"/>
      <c r="O723" s="176"/>
      <c r="P723" s="176"/>
      <c r="Q723" s="176"/>
      <c r="R723" s="176"/>
      <c r="S723" s="176"/>
      <c r="T723" s="176"/>
      <c r="U723" s="176"/>
      <c r="V723" s="176"/>
      <c r="W723" s="176"/>
      <c r="X723" s="176"/>
      <c r="Y723" s="176"/>
      <c r="Z723" s="176"/>
      <c r="AA723" s="176"/>
      <c r="AB723" s="176"/>
      <c r="AC723" s="176"/>
      <c r="AD723" s="70"/>
      <c r="AE723" s="70"/>
      <c r="AF723" s="70"/>
      <c r="AG723" s="70"/>
      <c r="AH723" s="70"/>
      <c r="AI723" s="70"/>
      <c r="AJ723" s="70"/>
      <c r="AK723" s="70"/>
      <c r="AL723" s="70"/>
      <c r="AM723" s="70"/>
      <c r="AN723" s="70"/>
      <c r="AO723" s="70"/>
      <c r="AP723" s="70"/>
      <c r="AQ723" s="70"/>
      <c r="AR723" s="70"/>
      <c r="AS723" s="70"/>
      <c r="AT723" s="70"/>
      <c r="AU723" s="70"/>
      <c r="AV723" s="70"/>
      <c r="AW723" s="70"/>
      <c r="AX723" s="70"/>
    </row>
    <row r="724" ht="15.75" customHeight="1">
      <c r="A724" s="65" t="s">
        <v>134</v>
      </c>
      <c r="B724" s="66" t="s">
        <v>5097</v>
      </c>
      <c r="C724" s="28"/>
      <c r="D724" s="28"/>
      <c r="E724" s="28"/>
      <c r="F724" s="28"/>
      <c r="G724" s="28"/>
      <c r="H724" s="28"/>
      <c r="I724" s="28"/>
      <c r="J724" s="28"/>
      <c r="K724" s="28"/>
      <c r="L724" s="28"/>
      <c r="M724" s="28"/>
      <c r="N724" s="28"/>
      <c r="O724" s="67"/>
      <c r="P724" s="68"/>
      <c r="Q724" s="68"/>
      <c r="R724" s="67"/>
      <c r="S724" s="67"/>
      <c r="T724" s="65" t="s">
        <v>139</v>
      </c>
      <c r="U724" s="67"/>
      <c r="V724" s="67"/>
      <c r="W724" s="67"/>
      <c r="X724" s="67"/>
      <c r="Y724" s="67"/>
      <c r="Z724" s="67"/>
      <c r="AA724" s="67"/>
      <c r="AB724" s="67"/>
      <c r="AC724" s="67"/>
      <c r="AD724" s="67"/>
      <c r="AE724" s="67"/>
      <c r="AF724" s="67"/>
      <c r="AG724" s="67"/>
      <c r="AH724" s="67"/>
      <c r="AI724" s="67"/>
      <c r="AJ724" s="67"/>
      <c r="AK724" s="67"/>
      <c r="AL724" s="67"/>
      <c r="AM724" s="67"/>
      <c r="AN724" s="67"/>
      <c r="AO724" s="67"/>
      <c r="AP724" s="67"/>
      <c r="AQ724" s="67"/>
      <c r="AR724" s="67"/>
      <c r="AS724" s="67"/>
      <c r="AT724" s="67"/>
      <c r="AU724" s="67"/>
      <c r="AV724" s="67"/>
      <c r="AW724" s="67"/>
      <c r="AX724" s="67"/>
    </row>
    <row r="725" ht="15.75" customHeight="1">
      <c r="A725" s="58" t="s">
        <v>78</v>
      </c>
      <c r="B725" s="58" t="s">
        <v>5101</v>
      </c>
      <c r="C725" s="28"/>
      <c r="D725" s="28"/>
      <c r="E725" s="28"/>
      <c r="F725" s="28"/>
      <c r="G725" s="28"/>
      <c r="H725" s="28"/>
      <c r="I725" s="28"/>
      <c r="J725" s="28"/>
      <c r="K725" s="28"/>
      <c r="L725" s="28"/>
      <c r="M725" s="28"/>
      <c r="N725" s="28"/>
      <c r="O725" s="58"/>
      <c r="P725" s="24"/>
      <c r="Q725" s="24"/>
      <c r="R725" s="24"/>
      <c r="S725" s="24"/>
      <c r="T725" s="58" t="s">
        <v>10485</v>
      </c>
      <c r="U725" s="24"/>
      <c r="V725" s="24"/>
      <c r="W725" s="24"/>
      <c r="X725" s="24"/>
      <c r="Y725" s="24"/>
      <c r="Z725" s="24"/>
      <c r="AA725" s="24"/>
      <c r="AB725" s="24"/>
      <c r="AC725" s="24"/>
      <c r="AD725" s="24"/>
      <c r="AE725" s="24"/>
      <c r="AF725" s="24"/>
      <c r="AG725" s="24"/>
      <c r="AH725" s="24"/>
      <c r="AI725" s="24"/>
      <c r="AJ725" s="24"/>
      <c r="AK725" s="24"/>
      <c r="AL725" s="24"/>
      <c r="AM725" s="24"/>
      <c r="AN725" s="24"/>
      <c r="AO725" s="24"/>
      <c r="AP725" s="24"/>
      <c r="AQ725" s="24"/>
      <c r="AR725" s="24"/>
      <c r="AS725" s="24"/>
      <c r="AT725" s="24"/>
      <c r="AU725" s="24"/>
      <c r="AV725" s="24"/>
      <c r="AW725" s="24"/>
      <c r="AX725" s="24"/>
    </row>
    <row r="726" ht="15.75" customHeight="1">
      <c r="A726" s="65" t="s">
        <v>134</v>
      </c>
      <c r="B726" s="66" t="s">
        <v>5107</v>
      </c>
      <c r="C726" s="28"/>
      <c r="D726" s="28"/>
      <c r="E726" s="28"/>
      <c r="F726" s="28"/>
      <c r="G726" s="28"/>
      <c r="H726" s="28"/>
      <c r="I726" s="28"/>
      <c r="J726" s="28"/>
      <c r="K726" s="28"/>
      <c r="L726" s="28"/>
      <c r="M726" s="28"/>
      <c r="N726" s="28"/>
      <c r="O726" s="67"/>
      <c r="P726" s="68"/>
      <c r="Q726" s="68"/>
      <c r="R726" s="67"/>
      <c r="S726" s="67"/>
      <c r="T726" s="65" t="s">
        <v>139</v>
      </c>
      <c r="U726" s="67"/>
      <c r="V726" s="67"/>
      <c r="W726" s="67"/>
      <c r="X726" s="67"/>
      <c r="Y726" s="67"/>
      <c r="Z726" s="67"/>
      <c r="AA726" s="67"/>
      <c r="AB726" s="67"/>
      <c r="AC726" s="67"/>
      <c r="AD726" s="67"/>
      <c r="AE726" s="67"/>
      <c r="AF726" s="67"/>
      <c r="AG726" s="67"/>
      <c r="AH726" s="67"/>
      <c r="AI726" s="67"/>
      <c r="AJ726" s="67"/>
      <c r="AK726" s="67"/>
      <c r="AL726" s="67"/>
      <c r="AM726" s="67"/>
      <c r="AN726" s="67"/>
      <c r="AO726" s="67"/>
      <c r="AP726" s="67"/>
      <c r="AQ726" s="67"/>
      <c r="AR726" s="67"/>
      <c r="AS726" s="67"/>
      <c r="AT726" s="67"/>
      <c r="AU726" s="67"/>
      <c r="AV726" s="67"/>
      <c r="AW726" s="67"/>
      <c r="AX726" s="67"/>
    </row>
    <row r="727" ht="15.75" customHeight="1">
      <c r="A727" s="58" t="s">
        <v>78</v>
      </c>
      <c r="B727" s="58" t="s">
        <v>5111</v>
      </c>
      <c r="C727" s="28"/>
      <c r="D727" s="28"/>
      <c r="E727" s="28"/>
      <c r="F727" s="28"/>
      <c r="G727" s="28"/>
      <c r="H727" s="28"/>
      <c r="I727" s="28"/>
      <c r="J727" s="28"/>
      <c r="K727" s="28"/>
      <c r="L727" s="28"/>
      <c r="M727" s="28"/>
      <c r="N727" s="28"/>
      <c r="O727" s="58"/>
      <c r="P727" s="24"/>
      <c r="Q727" s="24"/>
      <c r="R727" s="24"/>
      <c r="S727" s="24"/>
      <c r="T727" s="58" t="s">
        <v>10486</v>
      </c>
      <c r="U727" s="24"/>
      <c r="V727" s="24"/>
      <c r="W727" s="24"/>
      <c r="X727" s="24"/>
      <c r="Y727" s="24"/>
      <c r="Z727" s="24"/>
      <c r="AA727" s="24"/>
      <c r="AB727" s="24"/>
      <c r="AC727" s="24"/>
      <c r="AD727" s="24"/>
      <c r="AE727" s="24"/>
      <c r="AF727" s="24"/>
      <c r="AG727" s="24"/>
      <c r="AH727" s="24"/>
      <c r="AI727" s="24"/>
      <c r="AJ727" s="24"/>
      <c r="AK727" s="24"/>
      <c r="AL727" s="24"/>
      <c r="AM727" s="24"/>
      <c r="AN727" s="24"/>
      <c r="AO727" s="24"/>
      <c r="AP727" s="24"/>
      <c r="AQ727" s="24"/>
      <c r="AR727" s="24"/>
      <c r="AS727" s="24"/>
      <c r="AT727" s="24"/>
      <c r="AU727" s="24"/>
      <c r="AV727" s="24"/>
      <c r="AW727" s="24"/>
      <c r="AX727" s="24"/>
    </row>
    <row r="728" ht="15.75" customHeight="1">
      <c r="A728" s="166"/>
      <c r="B728" s="167"/>
      <c r="C728" s="28"/>
      <c r="D728" s="28"/>
      <c r="E728" s="28"/>
      <c r="F728" s="28"/>
      <c r="G728" s="28"/>
      <c r="H728" s="28"/>
      <c r="I728" s="28"/>
      <c r="J728" s="28"/>
      <c r="K728" s="28"/>
      <c r="L728" s="28"/>
      <c r="M728" s="28"/>
      <c r="N728" s="28"/>
      <c r="O728" s="126"/>
      <c r="P728" s="126"/>
      <c r="Q728" s="126"/>
      <c r="R728" s="126"/>
      <c r="S728" s="126"/>
      <c r="T728" s="126"/>
      <c r="U728" s="126"/>
      <c r="V728" s="126"/>
      <c r="W728" s="126"/>
      <c r="X728" s="126"/>
      <c r="Y728" s="126"/>
      <c r="Z728" s="126"/>
      <c r="AA728" s="126"/>
      <c r="AB728" s="126"/>
      <c r="AC728" s="126"/>
      <c r="AD728" s="126"/>
      <c r="AE728" s="126"/>
      <c r="AF728" s="126"/>
      <c r="AG728" s="126"/>
      <c r="AH728" s="126"/>
      <c r="AI728" s="126"/>
      <c r="AJ728" s="126"/>
      <c r="AK728" s="126"/>
      <c r="AL728" s="126"/>
      <c r="AM728" s="126"/>
      <c r="AN728" s="126"/>
      <c r="AO728" s="70"/>
      <c r="AP728" s="70"/>
      <c r="AQ728" s="70"/>
      <c r="AR728" s="70"/>
      <c r="AS728" s="70"/>
      <c r="AT728" s="70"/>
      <c r="AU728" s="70"/>
      <c r="AV728" s="70"/>
      <c r="AW728" s="70"/>
      <c r="AX728" s="70"/>
    </row>
    <row r="729" ht="15.75" customHeight="1">
      <c r="A729" s="65" t="s">
        <v>134</v>
      </c>
      <c r="B729" s="66" t="s">
        <v>5121</v>
      </c>
      <c r="C729" s="28"/>
      <c r="D729" s="28"/>
      <c r="E729" s="28"/>
      <c r="F729" s="28"/>
      <c r="G729" s="28"/>
      <c r="H729" s="28"/>
      <c r="I729" s="28"/>
      <c r="J729" s="28"/>
      <c r="K729" s="28"/>
      <c r="L729" s="28"/>
      <c r="M729" s="28"/>
      <c r="N729" s="28"/>
      <c r="O729" s="67"/>
      <c r="P729" s="68"/>
      <c r="Q729" s="68"/>
      <c r="R729" s="67"/>
      <c r="S729" s="67"/>
      <c r="T729" s="65" t="s">
        <v>139</v>
      </c>
      <c r="U729" s="67"/>
      <c r="V729" s="67"/>
      <c r="W729" s="67"/>
      <c r="X729" s="67"/>
      <c r="Y729" s="67"/>
      <c r="Z729" s="67"/>
      <c r="AA729" s="67"/>
      <c r="AB729" s="67"/>
      <c r="AC729" s="67"/>
      <c r="AD729" s="67"/>
      <c r="AE729" s="67"/>
      <c r="AF729" s="67"/>
      <c r="AG729" s="67"/>
      <c r="AH729" s="67"/>
      <c r="AI729" s="67"/>
      <c r="AJ729" s="67"/>
      <c r="AK729" s="67"/>
      <c r="AL729" s="67"/>
      <c r="AM729" s="67"/>
      <c r="AN729" s="67"/>
      <c r="AO729" s="67"/>
      <c r="AP729" s="67"/>
      <c r="AQ729" s="67"/>
      <c r="AR729" s="67"/>
      <c r="AS729" s="67"/>
      <c r="AT729" s="67"/>
      <c r="AU729" s="67"/>
      <c r="AV729" s="67"/>
      <c r="AW729" s="67"/>
      <c r="AX729" s="67"/>
    </row>
    <row r="730" ht="15.75" customHeight="1">
      <c r="A730" s="166" t="s">
        <v>41</v>
      </c>
      <c r="B730" s="167" t="s">
        <v>5127</v>
      </c>
      <c r="C730" s="28" t="s">
        <v>5131</v>
      </c>
      <c r="D730" s="28" t="s">
        <v>5132</v>
      </c>
      <c r="E730" s="28" t="s">
        <v>5134</v>
      </c>
      <c r="F730" s="28"/>
      <c r="G730" s="28"/>
      <c r="H730" s="28"/>
      <c r="I730" s="28"/>
      <c r="J730" s="28"/>
      <c r="K730" s="28"/>
      <c r="L730" s="28"/>
      <c r="M730" s="28"/>
      <c r="N730" s="28"/>
      <c r="O730" s="126"/>
      <c r="P730" s="126"/>
      <c r="Q730" s="126"/>
      <c r="R730" s="126"/>
      <c r="S730" s="126"/>
      <c r="T730" s="126"/>
      <c r="U730" s="126"/>
      <c r="V730" s="126"/>
      <c r="W730" s="126"/>
      <c r="X730" s="126"/>
      <c r="Y730" s="126"/>
      <c r="Z730" s="126"/>
      <c r="AA730" s="126"/>
      <c r="AB730" s="126"/>
      <c r="AC730" s="126"/>
      <c r="AD730" s="126"/>
      <c r="AE730" s="126"/>
      <c r="AF730" s="126"/>
      <c r="AG730" s="126"/>
      <c r="AH730" s="126"/>
      <c r="AI730" s="126"/>
      <c r="AJ730" s="126"/>
      <c r="AK730" s="126"/>
      <c r="AL730" s="126"/>
      <c r="AM730" s="126"/>
      <c r="AN730" s="126"/>
      <c r="AO730" s="70"/>
      <c r="AP730" s="70"/>
      <c r="AQ730" s="70"/>
      <c r="AR730" s="70"/>
      <c r="AS730" s="70"/>
      <c r="AT730" s="70"/>
      <c r="AU730" s="70"/>
      <c r="AV730" s="70"/>
      <c r="AW730" s="70"/>
      <c r="AX730" s="70"/>
    </row>
    <row r="731" ht="15.75" customHeight="1">
      <c r="A731" s="170" t="s">
        <v>263</v>
      </c>
      <c r="B731" s="171" t="s">
        <v>5135</v>
      </c>
      <c r="C731" s="28" t="s">
        <v>5141</v>
      </c>
      <c r="D731" s="28" t="s">
        <v>5142</v>
      </c>
      <c r="E731" s="28" t="s">
        <v>5143</v>
      </c>
      <c r="F731" s="28"/>
      <c r="G731" s="28"/>
      <c r="H731" s="28"/>
      <c r="I731" s="28"/>
      <c r="J731" s="28"/>
      <c r="K731" s="28" t="s">
        <v>10487</v>
      </c>
      <c r="L731" s="28"/>
      <c r="M731" s="28"/>
      <c r="N731" s="28"/>
      <c r="O731" s="173"/>
      <c r="P731" s="173"/>
      <c r="Q731" s="173" t="s">
        <v>145</v>
      </c>
      <c r="R731" s="173"/>
      <c r="S731" s="173"/>
      <c r="T731" s="173"/>
      <c r="U731" s="173"/>
      <c r="V731" s="173"/>
      <c r="W731" s="173"/>
      <c r="X731" s="173"/>
      <c r="Y731" s="173"/>
      <c r="Z731" s="173"/>
      <c r="AA731" s="173"/>
      <c r="AB731" s="173"/>
      <c r="AC731" s="173"/>
      <c r="AD731" s="173"/>
      <c r="AE731" s="173"/>
      <c r="AF731" s="173"/>
      <c r="AG731" s="173"/>
      <c r="AH731" s="173"/>
      <c r="AI731" s="173"/>
      <c r="AJ731" s="173"/>
      <c r="AK731" s="173"/>
      <c r="AL731" s="173"/>
      <c r="AM731" s="173"/>
      <c r="AN731" s="173"/>
      <c r="AO731" s="70"/>
      <c r="AP731" s="70"/>
      <c r="AQ731" s="70"/>
      <c r="AR731" s="70"/>
      <c r="AS731" s="70"/>
      <c r="AT731" s="70"/>
      <c r="AU731" s="70"/>
      <c r="AV731" s="70"/>
      <c r="AW731" s="70"/>
      <c r="AX731" s="70"/>
    </row>
    <row r="732" ht="15.75" customHeight="1">
      <c r="A732" s="68" t="s">
        <v>5144</v>
      </c>
      <c r="B732" s="169" t="s">
        <v>5145</v>
      </c>
      <c r="C732" s="28" t="s">
        <v>5149</v>
      </c>
      <c r="D732" s="28" t="s">
        <v>5150</v>
      </c>
      <c r="E732" s="28" t="s">
        <v>5151</v>
      </c>
      <c r="F732" s="28"/>
      <c r="G732" s="28"/>
      <c r="H732" s="28"/>
      <c r="I732" s="28"/>
      <c r="J732" s="28"/>
      <c r="K732" s="28" t="s">
        <v>10488</v>
      </c>
      <c r="L732" s="28"/>
      <c r="M732" s="28"/>
      <c r="N732" s="28"/>
      <c r="O732" s="67"/>
      <c r="P732" s="67"/>
      <c r="Q732" s="67" t="s">
        <v>145</v>
      </c>
      <c r="R732" s="67"/>
      <c r="S732" s="67"/>
      <c r="T732" s="67"/>
      <c r="U732" s="67"/>
      <c r="V732" s="67"/>
      <c r="W732" s="67"/>
      <c r="X732" s="67"/>
      <c r="Y732" s="67"/>
      <c r="Z732" s="67"/>
      <c r="AA732" s="67"/>
      <c r="AB732" s="67"/>
      <c r="AC732" s="67"/>
      <c r="AD732" s="67"/>
      <c r="AE732" s="67"/>
      <c r="AF732" s="67"/>
      <c r="AG732" s="67"/>
      <c r="AH732" s="67"/>
      <c r="AI732" s="67"/>
      <c r="AJ732" s="67"/>
      <c r="AK732" s="67"/>
      <c r="AL732" s="67"/>
      <c r="AM732" s="67"/>
      <c r="AN732" s="67"/>
      <c r="AO732" s="70"/>
      <c r="AP732" s="70"/>
      <c r="AQ732" s="70"/>
      <c r="AR732" s="70"/>
      <c r="AS732" s="70"/>
      <c r="AT732" s="70"/>
      <c r="AU732" s="70"/>
      <c r="AV732" s="70"/>
      <c r="AW732" s="70"/>
      <c r="AX732" s="70"/>
    </row>
    <row r="733" ht="15.75" customHeight="1">
      <c r="A733" s="179" t="s">
        <v>246</v>
      </c>
      <c r="B733" s="180" t="s">
        <v>5152</v>
      </c>
      <c r="C733" s="28" t="s">
        <v>5156</v>
      </c>
      <c r="D733" s="28" t="s">
        <v>5157</v>
      </c>
      <c r="E733" s="28" t="s">
        <v>5158</v>
      </c>
      <c r="F733" s="28"/>
      <c r="G733" s="28"/>
      <c r="H733" s="28"/>
      <c r="I733" s="28"/>
      <c r="J733" s="28"/>
      <c r="K733" s="28"/>
      <c r="L733" s="28"/>
      <c r="M733" s="28"/>
      <c r="N733" s="28"/>
      <c r="O733" s="181" t="s">
        <v>10489</v>
      </c>
      <c r="P733" s="181"/>
      <c r="Q733" s="181" t="s">
        <v>145</v>
      </c>
      <c r="R733" s="181"/>
      <c r="S733" s="181"/>
      <c r="T733" s="181"/>
      <c r="U733" s="181"/>
      <c r="V733" s="181"/>
      <c r="W733" s="181"/>
      <c r="X733" s="181"/>
      <c r="Y733" s="181"/>
      <c r="Z733" s="181"/>
      <c r="AA733" s="181"/>
      <c r="AB733" s="181"/>
      <c r="AC733" s="181"/>
      <c r="AD733" s="181"/>
      <c r="AE733" s="181"/>
      <c r="AF733" s="181"/>
      <c r="AG733" s="181"/>
      <c r="AH733" s="181"/>
      <c r="AI733" s="181"/>
      <c r="AJ733" s="181"/>
      <c r="AK733" s="181"/>
      <c r="AL733" s="181"/>
      <c r="AM733" s="181"/>
      <c r="AN733" s="181"/>
      <c r="AO733" s="70"/>
      <c r="AP733" s="70"/>
      <c r="AQ733" s="70"/>
      <c r="AR733" s="70"/>
      <c r="AS733" s="70"/>
      <c r="AT733" s="70"/>
      <c r="AU733" s="70"/>
      <c r="AV733" s="70"/>
      <c r="AW733" s="70"/>
      <c r="AX733" s="70"/>
    </row>
    <row r="734" ht="15.75" customHeight="1">
      <c r="A734" s="90" t="s">
        <v>78</v>
      </c>
      <c r="B734" s="92" t="s">
        <v>5159</v>
      </c>
      <c r="C734" s="28"/>
      <c r="D734" s="28"/>
      <c r="E734" s="28"/>
      <c r="F734" s="28"/>
      <c r="G734" s="28"/>
      <c r="H734" s="28"/>
      <c r="I734" s="28"/>
      <c r="J734" s="28"/>
      <c r="K734" s="28"/>
      <c r="L734" s="28"/>
      <c r="M734" s="28"/>
      <c r="N734" s="28"/>
      <c r="O734" s="96"/>
      <c r="P734" s="96"/>
      <c r="Q734" s="96"/>
      <c r="R734" s="96"/>
      <c r="S734" s="96"/>
      <c r="T734" s="178" t="s">
        <v>10490</v>
      </c>
      <c r="U734" s="96"/>
      <c r="V734" s="96"/>
      <c r="W734" s="96"/>
      <c r="X734" s="96"/>
      <c r="Y734" s="96"/>
      <c r="Z734" s="96"/>
      <c r="AA734" s="96"/>
      <c r="AB734" s="96"/>
      <c r="AC734" s="96"/>
      <c r="AD734" s="96"/>
      <c r="AE734" s="96"/>
      <c r="AF734" s="96"/>
      <c r="AG734" s="96"/>
      <c r="AH734" s="96"/>
      <c r="AI734" s="96"/>
      <c r="AJ734" s="96"/>
      <c r="AK734" s="96"/>
      <c r="AL734" s="96"/>
      <c r="AM734" s="96"/>
      <c r="AN734" s="96"/>
      <c r="AO734" s="70"/>
      <c r="AP734" s="70"/>
      <c r="AQ734" s="70"/>
      <c r="AR734" s="70"/>
      <c r="AS734" s="70"/>
      <c r="AT734" s="70"/>
      <c r="AU734" s="70"/>
      <c r="AV734" s="70"/>
      <c r="AW734" s="70"/>
      <c r="AX734" s="70"/>
    </row>
    <row r="735" ht="15.75" customHeight="1">
      <c r="A735" s="90" t="s">
        <v>78</v>
      </c>
      <c r="B735" s="92" t="s">
        <v>5161</v>
      </c>
      <c r="C735" s="28"/>
      <c r="D735" s="28"/>
      <c r="E735" s="28"/>
      <c r="F735" s="28"/>
      <c r="G735" s="28"/>
      <c r="H735" s="28"/>
      <c r="I735" s="28"/>
      <c r="J735" s="28"/>
      <c r="K735" s="28"/>
      <c r="L735" s="28"/>
      <c r="M735" s="28"/>
      <c r="N735" s="28"/>
      <c r="O735" s="96"/>
      <c r="P735" s="96"/>
      <c r="Q735" s="96"/>
      <c r="R735" s="96"/>
      <c r="S735" s="96"/>
      <c r="T735" s="178" t="s">
        <v>10491</v>
      </c>
      <c r="U735" s="96"/>
      <c r="V735" s="96"/>
      <c r="W735" s="96"/>
      <c r="X735" s="96"/>
      <c r="Y735" s="96"/>
      <c r="Z735" s="96"/>
      <c r="AA735" s="96"/>
      <c r="AB735" s="96"/>
      <c r="AC735" s="96"/>
      <c r="AD735" s="96"/>
      <c r="AE735" s="96"/>
      <c r="AF735" s="96"/>
      <c r="AG735" s="96"/>
      <c r="AH735" s="96"/>
      <c r="AI735" s="96"/>
      <c r="AJ735" s="96"/>
      <c r="AK735" s="96"/>
      <c r="AL735" s="96"/>
      <c r="AM735" s="96"/>
      <c r="AN735" s="96"/>
      <c r="AO735" s="70"/>
      <c r="AP735" s="70"/>
      <c r="AQ735" s="70"/>
      <c r="AR735" s="70"/>
      <c r="AS735" s="70"/>
      <c r="AT735" s="70"/>
      <c r="AU735" s="70"/>
      <c r="AV735" s="70"/>
      <c r="AW735" s="70"/>
      <c r="AX735" s="70"/>
    </row>
    <row r="736" ht="15.75" customHeight="1">
      <c r="A736" s="90" t="s">
        <v>78</v>
      </c>
      <c r="B736" s="92" t="s">
        <v>5165</v>
      </c>
      <c r="C736" s="28"/>
      <c r="D736" s="28"/>
      <c r="E736" s="28"/>
      <c r="F736" s="28"/>
      <c r="G736" s="28"/>
      <c r="H736" s="28"/>
      <c r="I736" s="28"/>
      <c r="J736" s="28"/>
      <c r="K736" s="28"/>
      <c r="L736" s="28"/>
      <c r="M736" s="28"/>
      <c r="N736" s="28"/>
      <c r="O736" s="96"/>
      <c r="P736" s="96"/>
      <c r="Q736" s="96"/>
      <c r="R736" s="96"/>
      <c r="S736" s="96"/>
      <c r="T736" s="178" t="s">
        <v>10492</v>
      </c>
      <c r="U736" s="96"/>
      <c r="V736" s="96"/>
      <c r="W736" s="96"/>
      <c r="X736" s="96"/>
      <c r="Y736" s="96"/>
      <c r="Z736" s="96"/>
      <c r="AA736" s="96"/>
      <c r="AB736" s="96"/>
      <c r="AC736" s="96"/>
      <c r="AD736" s="96"/>
      <c r="AE736" s="96"/>
      <c r="AF736" s="96"/>
      <c r="AG736" s="96"/>
      <c r="AH736" s="96"/>
      <c r="AI736" s="96"/>
      <c r="AJ736" s="96"/>
      <c r="AK736" s="96"/>
      <c r="AL736" s="96"/>
      <c r="AM736" s="96"/>
      <c r="AN736" s="96"/>
      <c r="AO736" s="70"/>
      <c r="AP736" s="70"/>
      <c r="AQ736" s="70"/>
      <c r="AR736" s="70"/>
      <c r="AS736" s="70"/>
      <c r="AT736" s="70"/>
      <c r="AU736" s="70"/>
      <c r="AV736" s="70"/>
      <c r="AW736" s="70"/>
      <c r="AX736" s="70"/>
    </row>
    <row r="737" ht="15.75" customHeight="1">
      <c r="A737" s="90" t="s">
        <v>78</v>
      </c>
      <c r="B737" s="92" t="s">
        <v>5168</v>
      </c>
      <c r="C737" s="28"/>
      <c r="D737" s="28"/>
      <c r="E737" s="28"/>
      <c r="F737" s="28"/>
      <c r="G737" s="28"/>
      <c r="H737" s="28"/>
      <c r="I737" s="28"/>
      <c r="J737" s="28"/>
      <c r="K737" s="28"/>
      <c r="L737" s="28"/>
      <c r="M737" s="28"/>
      <c r="N737" s="28"/>
      <c r="O737" s="96"/>
      <c r="P737" s="96"/>
      <c r="Q737" s="96"/>
      <c r="R737" s="96"/>
      <c r="S737" s="96"/>
      <c r="T737" s="178" t="s">
        <v>10493</v>
      </c>
      <c r="U737" s="96"/>
      <c r="V737" s="96"/>
      <c r="W737" s="96"/>
      <c r="X737" s="96"/>
      <c r="Y737" s="96"/>
      <c r="Z737" s="96"/>
      <c r="AA737" s="96"/>
      <c r="AB737" s="96"/>
      <c r="AC737" s="96"/>
      <c r="AD737" s="96"/>
      <c r="AE737" s="96"/>
      <c r="AF737" s="96"/>
      <c r="AG737" s="96"/>
      <c r="AH737" s="96"/>
      <c r="AI737" s="96"/>
      <c r="AJ737" s="96"/>
      <c r="AK737" s="96"/>
      <c r="AL737" s="96"/>
      <c r="AM737" s="96"/>
      <c r="AN737" s="96"/>
      <c r="AO737" s="70"/>
      <c r="AP737" s="70"/>
      <c r="AQ737" s="70"/>
      <c r="AR737" s="70"/>
      <c r="AS737" s="70"/>
      <c r="AT737" s="70"/>
      <c r="AU737" s="70"/>
      <c r="AV737" s="70"/>
      <c r="AW737" s="70"/>
      <c r="AX737" s="70"/>
    </row>
    <row r="738" ht="15.75" customHeight="1">
      <c r="A738" s="90" t="s">
        <v>78</v>
      </c>
      <c r="B738" s="92" t="s">
        <v>5172</v>
      </c>
      <c r="C738" s="28"/>
      <c r="D738" s="28"/>
      <c r="E738" s="28"/>
      <c r="F738" s="28"/>
      <c r="G738" s="28"/>
      <c r="H738" s="28"/>
      <c r="I738" s="28"/>
      <c r="J738" s="28"/>
      <c r="K738" s="28"/>
      <c r="L738" s="28"/>
      <c r="M738" s="28"/>
      <c r="N738" s="28"/>
      <c r="O738" s="96"/>
      <c r="P738" s="96"/>
      <c r="Q738" s="96"/>
      <c r="R738" s="96"/>
      <c r="S738" s="96"/>
      <c r="T738" s="178" t="s">
        <v>10494</v>
      </c>
      <c r="U738" s="96"/>
      <c r="V738" s="96"/>
      <c r="W738" s="96"/>
      <c r="X738" s="96"/>
      <c r="Y738" s="96"/>
      <c r="Z738" s="96"/>
      <c r="AA738" s="96"/>
      <c r="AB738" s="96"/>
      <c r="AC738" s="96"/>
      <c r="AD738" s="96"/>
      <c r="AE738" s="96"/>
      <c r="AF738" s="96"/>
      <c r="AG738" s="96"/>
      <c r="AH738" s="96"/>
      <c r="AI738" s="96"/>
      <c r="AJ738" s="96"/>
      <c r="AK738" s="96"/>
      <c r="AL738" s="96"/>
      <c r="AM738" s="96"/>
      <c r="AN738" s="96"/>
      <c r="AO738" s="70"/>
      <c r="AP738" s="70"/>
      <c r="AQ738" s="70"/>
      <c r="AR738" s="70"/>
      <c r="AS738" s="70"/>
      <c r="AT738" s="70"/>
      <c r="AU738" s="70"/>
      <c r="AV738" s="70"/>
      <c r="AW738" s="70"/>
      <c r="AX738" s="70"/>
    </row>
    <row r="739" ht="15.75" customHeight="1">
      <c r="A739" s="68" t="s">
        <v>5176</v>
      </c>
      <c r="B739" s="169" t="s">
        <v>5178</v>
      </c>
      <c r="C739" s="28" t="s">
        <v>5183</v>
      </c>
      <c r="D739" s="28" t="s">
        <v>5184</v>
      </c>
      <c r="E739" s="28" t="s">
        <v>5185</v>
      </c>
      <c r="F739" s="28"/>
      <c r="G739" s="28"/>
      <c r="H739" s="28"/>
      <c r="I739" s="28"/>
      <c r="J739" s="28"/>
      <c r="K739" s="28"/>
      <c r="L739" s="28"/>
      <c r="M739" s="28"/>
      <c r="N739" s="28"/>
      <c r="O739" s="65" t="s">
        <v>10495</v>
      </c>
      <c r="P739" s="67"/>
      <c r="Q739" s="67" t="s">
        <v>145</v>
      </c>
      <c r="R739" s="67"/>
      <c r="S739" s="67"/>
      <c r="T739" s="67"/>
      <c r="U739" s="67"/>
      <c r="V739" s="67"/>
      <c r="W739" s="67"/>
      <c r="X739" s="67"/>
      <c r="Y739" s="136"/>
      <c r="Z739" s="67"/>
      <c r="AA739" s="67"/>
      <c r="AB739" s="67"/>
      <c r="AC739" s="67"/>
      <c r="AD739" s="67"/>
      <c r="AE739" s="67"/>
      <c r="AF739" s="67"/>
      <c r="AG739" s="67"/>
      <c r="AH739" s="67"/>
      <c r="AI739" s="67"/>
      <c r="AJ739" s="67"/>
      <c r="AK739" s="67"/>
      <c r="AL739" s="67"/>
      <c r="AM739" s="67"/>
      <c r="AN739" s="67"/>
      <c r="AO739" s="70"/>
      <c r="AP739" s="70"/>
      <c r="AQ739" s="70"/>
      <c r="AR739" s="70"/>
      <c r="AS739" s="70"/>
      <c r="AT739" s="70"/>
      <c r="AU739" s="70"/>
      <c r="AV739" s="70"/>
      <c r="AW739" s="70"/>
      <c r="AX739" s="70"/>
    </row>
    <row r="740" ht="15.75" customHeight="1">
      <c r="A740" s="65" t="s">
        <v>131</v>
      </c>
      <c r="B740" s="218" t="s">
        <v>5186</v>
      </c>
      <c r="C740" s="28"/>
      <c r="D740" s="28"/>
      <c r="E740" s="28"/>
      <c r="F740" s="28"/>
      <c r="G740" s="28"/>
      <c r="H740" s="28"/>
      <c r="I740" s="28"/>
      <c r="J740" s="28"/>
      <c r="K740" s="28"/>
      <c r="L740" s="28"/>
      <c r="M740" s="28"/>
      <c r="N740" s="28"/>
      <c r="O740" s="67"/>
      <c r="P740" s="67"/>
      <c r="Q740" s="67"/>
      <c r="R740" s="67"/>
      <c r="S740" s="67"/>
      <c r="T740" s="67"/>
      <c r="U740" s="67"/>
      <c r="V740" s="67"/>
      <c r="W740" s="67"/>
      <c r="X740" s="67"/>
      <c r="Y740" s="67"/>
      <c r="Z740" s="67"/>
      <c r="AA740" s="67"/>
      <c r="AB740" s="67"/>
      <c r="AC740" s="67"/>
      <c r="AD740" s="67"/>
      <c r="AE740" s="67"/>
      <c r="AF740" s="67"/>
      <c r="AG740" s="67"/>
      <c r="AH740" s="67"/>
      <c r="AI740" s="67"/>
      <c r="AJ740" s="67"/>
      <c r="AK740" s="67"/>
      <c r="AL740" s="67"/>
      <c r="AM740" s="67"/>
      <c r="AN740" s="67"/>
      <c r="AO740" s="70"/>
      <c r="AP740" s="70"/>
      <c r="AQ740" s="70"/>
      <c r="AR740" s="70"/>
      <c r="AS740" s="70"/>
      <c r="AT740" s="70"/>
      <c r="AU740" s="70"/>
      <c r="AV740" s="70"/>
      <c r="AW740" s="70"/>
      <c r="AX740" s="70"/>
    </row>
    <row r="741" ht="15.75" customHeight="1">
      <c r="A741" s="65" t="s">
        <v>41</v>
      </c>
      <c r="B741" s="218" t="s">
        <v>5190</v>
      </c>
      <c r="C741" s="28" t="s">
        <v>5194</v>
      </c>
      <c r="D741" s="28" t="s">
        <v>5195</v>
      </c>
      <c r="E741" s="28" t="s">
        <v>5196</v>
      </c>
      <c r="F741" s="28"/>
      <c r="G741" s="28"/>
      <c r="H741" s="28"/>
      <c r="I741" s="28"/>
      <c r="J741" s="28"/>
      <c r="K741" s="28"/>
      <c r="L741" s="28"/>
      <c r="M741" s="28"/>
      <c r="N741" s="28"/>
      <c r="O741" s="67"/>
      <c r="P741" s="67"/>
      <c r="Q741" s="67"/>
      <c r="R741" s="67"/>
      <c r="S741" s="67"/>
      <c r="T741" s="67"/>
      <c r="U741" s="67"/>
      <c r="V741" s="67"/>
      <c r="W741" s="67"/>
      <c r="X741" s="67"/>
      <c r="Y741" s="67"/>
      <c r="Z741" s="67"/>
      <c r="AA741" s="67"/>
      <c r="AB741" s="67"/>
      <c r="AC741" s="67"/>
      <c r="AD741" s="67"/>
      <c r="AE741" s="67"/>
      <c r="AF741" s="67"/>
      <c r="AG741" s="67"/>
      <c r="AH741" s="67"/>
      <c r="AI741" s="67"/>
      <c r="AJ741" s="67"/>
      <c r="AK741" s="67"/>
      <c r="AL741" s="67"/>
      <c r="AM741" s="67"/>
      <c r="AN741" s="67"/>
      <c r="AO741" s="70"/>
      <c r="AP741" s="70"/>
      <c r="AQ741" s="70"/>
      <c r="AR741" s="70"/>
      <c r="AS741" s="70"/>
      <c r="AT741" s="70"/>
      <c r="AU741" s="70"/>
      <c r="AV741" s="70"/>
      <c r="AW741" s="70"/>
      <c r="AX741" s="70"/>
    </row>
    <row r="742" ht="15.75" customHeight="1">
      <c r="A742" s="65" t="s">
        <v>78</v>
      </c>
      <c r="B742" s="218" t="s">
        <v>5197</v>
      </c>
      <c r="C742" s="28"/>
      <c r="D742" s="28"/>
      <c r="E742" s="28"/>
      <c r="F742" s="28"/>
      <c r="G742" s="28"/>
      <c r="H742" s="28"/>
      <c r="I742" s="28"/>
      <c r="J742" s="28"/>
      <c r="K742" s="28"/>
      <c r="L742" s="28"/>
      <c r="M742" s="28"/>
      <c r="N742" s="28"/>
      <c r="O742" s="67"/>
      <c r="P742" s="67"/>
      <c r="Q742" s="67"/>
      <c r="R742" s="67"/>
      <c r="S742" s="67"/>
      <c r="T742" s="65" t="s">
        <v>10496</v>
      </c>
      <c r="U742" s="67"/>
      <c r="V742" s="67"/>
      <c r="W742" s="67"/>
      <c r="X742" s="67"/>
      <c r="Y742" s="67"/>
      <c r="Z742" s="67"/>
      <c r="AA742" s="67"/>
      <c r="AB742" s="67"/>
      <c r="AC742" s="67"/>
      <c r="AD742" s="67"/>
      <c r="AE742" s="67"/>
      <c r="AF742" s="67"/>
      <c r="AG742" s="67"/>
      <c r="AH742" s="67"/>
      <c r="AI742" s="67"/>
      <c r="AJ742" s="67"/>
      <c r="AK742" s="67"/>
      <c r="AL742" s="67"/>
      <c r="AM742" s="67"/>
      <c r="AN742" s="67"/>
      <c r="AO742" s="70"/>
      <c r="AP742" s="70"/>
      <c r="AQ742" s="70"/>
      <c r="AR742" s="70"/>
      <c r="AS742" s="70"/>
      <c r="AT742" s="70"/>
      <c r="AU742" s="70"/>
      <c r="AV742" s="70"/>
      <c r="AW742" s="70"/>
      <c r="AX742" s="70"/>
    </row>
    <row r="743" ht="15.75" customHeight="1">
      <c r="A743" s="65" t="s">
        <v>78</v>
      </c>
      <c r="B743" s="218" t="s">
        <v>5203</v>
      </c>
      <c r="C743" s="28"/>
      <c r="D743" s="28"/>
      <c r="E743" s="28"/>
      <c r="F743" s="28"/>
      <c r="G743" s="28"/>
      <c r="H743" s="28"/>
      <c r="I743" s="28"/>
      <c r="J743" s="28"/>
      <c r="K743" s="28"/>
      <c r="L743" s="28"/>
      <c r="M743" s="28"/>
      <c r="N743" s="28"/>
      <c r="O743" s="67"/>
      <c r="P743" s="67"/>
      <c r="Q743" s="67"/>
      <c r="R743" s="67"/>
      <c r="S743" s="67"/>
      <c r="T743" s="65" t="s">
        <v>10497</v>
      </c>
      <c r="U743" s="67"/>
      <c r="V743" s="67"/>
      <c r="W743" s="67"/>
      <c r="X743" s="67"/>
      <c r="Y743" s="67"/>
      <c r="Z743" s="67"/>
      <c r="AA743" s="67"/>
      <c r="AB743" s="67"/>
      <c r="AC743" s="67"/>
      <c r="AD743" s="67"/>
      <c r="AE743" s="67"/>
      <c r="AF743" s="67"/>
      <c r="AG743" s="67"/>
      <c r="AH743" s="67"/>
      <c r="AI743" s="67"/>
      <c r="AJ743" s="67"/>
      <c r="AK743" s="67"/>
      <c r="AL743" s="67"/>
      <c r="AM743" s="67"/>
      <c r="AN743" s="67"/>
      <c r="AO743" s="70"/>
      <c r="AP743" s="70"/>
      <c r="AQ743" s="70"/>
      <c r="AR743" s="70"/>
      <c r="AS743" s="70"/>
      <c r="AT743" s="70"/>
      <c r="AU743" s="70"/>
      <c r="AV743" s="70"/>
      <c r="AW743" s="70"/>
      <c r="AX743" s="70"/>
    </row>
    <row r="744" ht="15.75" customHeight="1">
      <c r="A744" s="65" t="s">
        <v>78</v>
      </c>
      <c r="B744" s="218" t="s">
        <v>5207</v>
      </c>
      <c r="C744" s="28"/>
      <c r="D744" s="28"/>
      <c r="E744" s="28"/>
      <c r="F744" s="28"/>
      <c r="G744" s="28"/>
      <c r="H744" s="28"/>
      <c r="I744" s="28"/>
      <c r="J744" s="28"/>
      <c r="K744" s="28"/>
      <c r="L744" s="28"/>
      <c r="M744" s="28"/>
      <c r="N744" s="28"/>
      <c r="O744" s="67"/>
      <c r="P744" s="67"/>
      <c r="Q744" s="67"/>
      <c r="R744" s="67"/>
      <c r="S744" s="67"/>
      <c r="T744" s="65" t="s">
        <v>10498</v>
      </c>
      <c r="U744" s="67"/>
      <c r="V744" s="67"/>
      <c r="W744" s="67"/>
      <c r="X744" s="67"/>
      <c r="Y744" s="67"/>
      <c r="Z744" s="67"/>
      <c r="AA744" s="67"/>
      <c r="AB744" s="67"/>
      <c r="AC744" s="67"/>
      <c r="AD744" s="67"/>
      <c r="AE744" s="67"/>
      <c r="AF744" s="67"/>
      <c r="AG744" s="67"/>
      <c r="AH744" s="67"/>
      <c r="AI744" s="67"/>
      <c r="AJ744" s="67"/>
      <c r="AK744" s="67"/>
      <c r="AL744" s="67"/>
      <c r="AM744" s="67"/>
      <c r="AN744" s="67"/>
      <c r="AO744" s="70"/>
      <c r="AP744" s="70"/>
      <c r="AQ744" s="70"/>
      <c r="AR744" s="70"/>
      <c r="AS744" s="70"/>
      <c r="AT744" s="70"/>
      <c r="AU744" s="70"/>
      <c r="AV744" s="70"/>
      <c r="AW744" s="70"/>
      <c r="AX744" s="70"/>
    </row>
    <row r="745" ht="15.75" customHeight="1">
      <c r="A745" s="65" t="s">
        <v>2625</v>
      </c>
      <c r="B745" s="169" t="s">
        <v>5210</v>
      </c>
      <c r="C745" s="28" t="s">
        <v>5216</v>
      </c>
      <c r="D745" s="28" t="s">
        <v>5217</v>
      </c>
      <c r="E745" s="28" t="s">
        <v>5218</v>
      </c>
      <c r="F745" s="28"/>
      <c r="G745" s="28"/>
      <c r="H745" s="28"/>
      <c r="I745" s="28"/>
      <c r="J745" s="28"/>
      <c r="K745" s="28"/>
      <c r="L745" s="28"/>
      <c r="M745" s="28"/>
      <c r="N745" s="28"/>
      <c r="O745" s="67"/>
      <c r="P745" s="67"/>
      <c r="Q745" s="67" t="s">
        <v>145</v>
      </c>
      <c r="R745" s="67"/>
      <c r="S745" s="67"/>
      <c r="T745" s="67"/>
      <c r="U745" s="67"/>
      <c r="V745" s="67"/>
      <c r="W745" s="67"/>
      <c r="X745" s="67"/>
      <c r="Y745" s="136"/>
      <c r="Z745" s="67"/>
      <c r="AA745" s="67"/>
      <c r="AB745" s="67"/>
      <c r="AC745" s="67"/>
      <c r="AD745" s="67"/>
      <c r="AE745" s="67"/>
      <c r="AF745" s="67"/>
      <c r="AG745" s="67"/>
      <c r="AH745" s="67"/>
      <c r="AI745" s="67"/>
      <c r="AJ745" s="67"/>
      <c r="AK745" s="67"/>
      <c r="AL745" s="67"/>
      <c r="AM745" s="67"/>
      <c r="AN745" s="67"/>
      <c r="AO745" s="70"/>
      <c r="AP745" s="70"/>
      <c r="AQ745" s="70"/>
      <c r="AR745" s="70"/>
      <c r="AS745" s="70"/>
      <c r="AT745" s="70"/>
      <c r="AU745" s="70"/>
      <c r="AV745" s="70"/>
      <c r="AW745" s="70"/>
      <c r="AX745" s="70"/>
    </row>
    <row r="746" ht="15.75" customHeight="1">
      <c r="A746" s="137" t="s">
        <v>5219</v>
      </c>
      <c r="B746" s="193" t="s">
        <v>5220</v>
      </c>
      <c r="C746" s="28" t="s">
        <v>5224</v>
      </c>
      <c r="D746" s="28" t="s">
        <v>5225</v>
      </c>
      <c r="E746" s="28" t="s">
        <v>5226</v>
      </c>
      <c r="F746" s="28"/>
      <c r="G746" s="28"/>
      <c r="H746" s="28"/>
      <c r="I746" s="28"/>
      <c r="J746" s="28"/>
      <c r="K746" s="28"/>
      <c r="L746" s="28"/>
      <c r="M746" s="28"/>
      <c r="N746" s="28"/>
      <c r="O746" s="138" t="s">
        <v>10499</v>
      </c>
      <c r="P746" s="137"/>
      <c r="Q746" s="137" t="s">
        <v>145</v>
      </c>
      <c r="R746" s="139"/>
      <c r="S746" s="139"/>
      <c r="T746" s="139"/>
      <c r="U746" s="139"/>
      <c r="V746" s="139"/>
      <c r="W746" s="139"/>
      <c r="X746" s="139"/>
      <c r="Y746" s="67" t="s">
        <v>10500</v>
      </c>
      <c r="Z746" s="139"/>
      <c r="AA746" s="139"/>
      <c r="AB746" s="139"/>
      <c r="AC746" s="139"/>
      <c r="AD746" s="139"/>
      <c r="AE746" s="139"/>
      <c r="AF746" s="139"/>
      <c r="AG746" s="139"/>
      <c r="AH746" s="139"/>
      <c r="AI746" s="139"/>
      <c r="AJ746" s="139"/>
      <c r="AK746" s="139"/>
      <c r="AL746" s="139"/>
      <c r="AM746" s="139"/>
      <c r="AN746" s="139"/>
      <c r="AO746" s="70"/>
      <c r="AP746" s="70"/>
      <c r="AQ746" s="70"/>
      <c r="AR746" s="70"/>
      <c r="AS746" s="70"/>
      <c r="AT746" s="70"/>
      <c r="AU746" s="70"/>
      <c r="AV746" s="70"/>
      <c r="AW746" s="70"/>
      <c r="AX746" s="70"/>
    </row>
    <row r="747" ht="15.75" customHeight="1">
      <c r="A747" s="214" t="s">
        <v>5144</v>
      </c>
      <c r="B747" s="193" t="s">
        <v>5228</v>
      </c>
      <c r="C747" s="28" t="s">
        <v>5232</v>
      </c>
      <c r="D747" s="28" t="s">
        <v>5233</v>
      </c>
      <c r="E747" s="28" t="s">
        <v>5234</v>
      </c>
      <c r="F747" s="28"/>
      <c r="G747" s="28"/>
      <c r="H747" s="28"/>
      <c r="I747" s="28"/>
      <c r="J747" s="28"/>
      <c r="K747" s="28"/>
      <c r="L747" s="28"/>
      <c r="M747" s="28"/>
      <c r="N747" s="28"/>
      <c r="O747" s="138" t="s">
        <v>10501</v>
      </c>
      <c r="P747" s="137"/>
      <c r="Q747" s="137" t="s">
        <v>145</v>
      </c>
      <c r="R747" s="139"/>
      <c r="S747" s="139"/>
      <c r="T747" s="139"/>
      <c r="U747" s="139"/>
      <c r="V747" s="139"/>
      <c r="W747" s="139"/>
      <c r="X747" s="139"/>
      <c r="Y747" s="137" t="s">
        <v>10502</v>
      </c>
      <c r="Z747" s="139"/>
      <c r="AA747" s="139"/>
      <c r="AB747" s="139"/>
      <c r="AC747" s="139"/>
      <c r="AD747" s="139"/>
      <c r="AE747" s="139"/>
      <c r="AF747" s="139"/>
      <c r="AG747" s="139"/>
      <c r="AH747" s="139"/>
      <c r="AI747" s="139"/>
      <c r="AJ747" s="139"/>
      <c r="AK747" s="139"/>
      <c r="AL747" s="139"/>
      <c r="AM747" s="139"/>
      <c r="AN747" s="139"/>
      <c r="AO747" s="70"/>
      <c r="AP747" s="70"/>
      <c r="AQ747" s="70"/>
      <c r="AR747" s="70"/>
      <c r="AS747" s="70"/>
      <c r="AT747" s="70"/>
      <c r="AU747" s="70"/>
      <c r="AV747" s="70"/>
      <c r="AW747" s="70"/>
      <c r="AX747" s="70"/>
    </row>
    <row r="748" ht="15.75" customHeight="1">
      <c r="A748" s="214" t="s">
        <v>246</v>
      </c>
      <c r="B748" s="193" t="s">
        <v>5237</v>
      </c>
      <c r="C748" s="28" t="s">
        <v>5241</v>
      </c>
      <c r="D748" s="28" t="s">
        <v>5242</v>
      </c>
      <c r="E748" s="28" t="s">
        <v>5243</v>
      </c>
      <c r="F748" s="28"/>
      <c r="G748" s="28"/>
      <c r="H748" s="28"/>
      <c r="I748" s="28"/>
      <c r="J748" s="28"/>
      <c r="K748" s="28"/>
      <c r="L748" s="28"/>
      <c r="M748" s="28"/>
      <c r="N748" s="28"/>
      <c r="O748" s="138" t="s">
        <v>10503</v>
      </c>
      <c r="P748" s="137"/>
      <c r="Q748" s="137" t="s">
        <v>145</v>
      </c>
      <c r="R748" s="139"/>
      <c r="S748" s="139"/>
      <c r="T748" s="139"/>
      <c r="U748" s="139"/>
      <c r="V748" s="139"/>
      <c r="W748" s="139"/>
      <c r="X748" s="139"/>
      <c r="Y748" s="139"/>
      <c r="Z748" s="139"/>
      <c r="AA748" s="139"/>
      <c r="AB748" s="139"/>
      <c r="AC748" s="139"/>
      <c r="AD748" s="139"/>
      <c r="AE748" s="139"/>
      <c r="AF748" s="139"/>
      <c r="AG748" s="139"/>
      <c r="AH748" s="139"/>
      <c r="AI748" s="139"/>
      <c r="AJ748" s="139"/>
      <c r="AK748" s="139"/>
      <c r="AL748" s="139"/>
      <c r="AM748" s="139"/>
      <c r="AN748" s="139"/>
      <c r="AO748" s="70"/>
      <c r="AP748" s="70"/>
      <c r="AQ748" s="70"/>
      <c r="AR748" s="70"/>
      <c r="AS748" s="70"/>
      <c r="AT748" s="70"/>
      <c r="AU748" s="70"/>
      <c r="AV748" s="70"/>
      <c r="AW748" s="70"/>
      <c r="AX748" s="70"/>
    </row>
    <row r="749" ht="15.75" customHeight="1">
      <c r="A749" s="214" t="s">
        <v>5244</v>
      </c>
      <c r="B749" s="193" t="s">
        <v>5245</v>
      </c>
      <c r="C749" s="28" t="s">
        <v>5250</v>
      </c>
      <c r="D749" s="28" t="s">
        <v>5251</v>
      </c>
      <c r="E749" s="28" t="s">
        <v>5252</v>
      </c>
      <c r="F749" s="28"/>
      <c r="G749" s="28"/>
      <c r="H749" s="28"/>
      <c r="I749" s="28"/>
      <c r="J749" s="28"/>
      <c r="K749" s="28"/>
      <c r="L749" s="28"/>
      <c r="M749" s="28"/>
      <c r="N749" s="28"/>
      <c r="O749" s="138" t="s">
        <v>10504</v>
      </c>
      <c r="P749" s="137"/>
      <c r="Q749" s="137" t="s">
        <v>145</v>
      </c>
      <c r="R749" s="139"/>
      <c r="S749" s="139"/>
      <c r="T749" s="139"/>
      <c r="U749" s="139"/>
      <c r="V749" s="139"/>
      <c r="W749" s="139"/>
      <c r="X749" s="139"/>
      <c r="Y749" s="139"/>
      <c r="Z749" s="139"/>
      <c r="AA749" s="139"/>
      <c r="AB749" s="139"/>
      <c r="AC749" s="139"/>
      <c r="AD749" s="139"/>
      <c r="AE749" s="139"/>
      <c r="AF749" s="139"/>
      <c r="AG749" s="139"/>
      <c r="AH749" s="139"/>
      <c r="AI749" s="139"/>
      <c r="AJ749" s="139"/>
      <c r="AK749" s="139"/>
      <c r="AL749" s="139"/>
      <c r="AM749" s="139"/>
      <c r="AN749" s="139"/>
      <c r="AO749" s="70"/>
      <c r="AP749" s="70"/>
      <c r="AQ749" s="70"/>
      <c r="AR749" s="70"/>
      <c r="AS749" s="70"/>
      <c r="AT749" s="70"/>
      <c r="AU749" s="70"/>
      <c r="AV749" s="70"/>
      <c r="AW749" s="70"/>
      <c r="AX749" s="70"/>
    </row>
    <row r="750" ht="15.75" customHeight="1">
      <c r="A750" s="137" t="s">
        <v>246</v>
      </c>
      <c r="B750" s="193" t="s">
        <v>5253</v>
      </c>
      <c r="C750" s="28" t="s">
        <v>5257</v>
      </c>
      <c r="D750" s="28" t="s">
        <v>5258</v>
      </c>
      <c r="E750" s="28" t="s">
        <v>5260</v>
      </c>
      <c r="F750" s="28"/>
      <c r="G750" s="28"/>
      <c r="H750" s="28"/>
      <c r="I750" s="28"/>
      <c r="J750" s="28"/>
      <c r="K750" s="28"/>
      <c r="L750" s="28"/>
      <c r="M750" s="28"/>
      <c r="N750" s="28"/>
      <c r="O750" s="138" t="s">
        <v>10505</v>
      </c>
      <c r="P750" s="137"/>
      <c r="Q750" s="137" t="s">
        <v>145</v>
      </c>
      <c r="R750" s="139"/>
      <c r="S750" s="139"/>
      <c r="T750" s="139"/>
      <c r="U750" s="139"/>
      <c r="V750" s="139"/>
      <c r="W750" s="139"/>
      <c r="X750" s="139"/>
      <c r="Y750" s="139"/>
      <c r="Z750" s="139"/>
      <c r="AA750" s="139"/>
      <c r="AB750" s="139"/>
      <c r="AC750" s="139"/>
      <c r="AD750" s="139"/>
      <c r="AE750" s="139"/>
      <c r="AF750" s="139"/>
      <c r="AG750" s="139"/>
      <c r="AH750" s="139"/>
      <c r="AI750" s="139"/>
      <c r="AJ750" s="139"/>
      <c r="AK750" s="139"/>
      <c r="AL750" s="139"/>
      <c r="AM750" s="139"/>
      <c r="AN750" s="139"/>
      <c r="AO750" s="70"/>
      <c r="AP750" s="70"/>
      <c r="AQ750" s="70"/>
      <c r="AR750" s="70"/>
      <c r="AS750" s="70"/>
      <c r="AT750" s="70"/>
      <c r="AU750" s="70"/>
      <c r="AV750" s="70"/>
      <c r="AW750" s="70"/>
      <c r="AX750" s="70"/>
    </row>
    <row r="751" ht="15.75" customHeight="1">
      <c r="A751" s="137" t="s">
        <v>5262</v>
      </c>
      <c r="B751" s="193" t="s">
        <v>5263</v>
      </c>
      <c r="C751" s="28" t="s">
        <v>5267</v>
      </c>
      <c r="D751" s="28" t="s">
        <v>5268</v>
      </c>
      <c r="E751" s="28" t="s">
        <v>5269</v>
      </c>
      <c r="F751" s="28"/>
      <c r="G751" s="28"/>
      <c r="H751" s="28"/>
      <c r="I751" s="28"/>
      <c r="J751" s="28"/>
      <c r="K751" s="28"/>
      <c r="L751" s="28"/>
      <c r="M751" s="28"/>
      <c r="N751" s="28"/>
      <c r="O751" s="138" t="s">
        <v>10504</v>
      </c>
      <c r="P751" s="137"/>
      <c r="Q751" s="137" t="s">
        <v>145</v>
      </c>
      <c r="R751" s="139"/>
      <c r="S751" s="139"/>
      <c r="T751" s="139"/>
      <c r="U751" s="139"/>
      <c r="V751" s="139"/>
      <c r="W751" s="139"/>
      <c r="X751" s="139"/>
      <c r="Y751" s="139"/>
      <c r="Z751" s="139"/>
      <c r="AA751" s="139"/>
      <c r="AB751" s="139"/>
      <c r="AC751" s="139"/>
      <c r="AD751" s="139"/>
      <c r="AE751" s="139"/>
      <c r="AF751" s="139"/>
      <c r="AG751" s="139"/>
      <c r="AH751" s="139"/>
      <c r="AI751" s="139"/>
      <c r="AJ751" s="139"/>
      <c r="AK751" s="139"/>
      <c r="AL751" s="139"/>
      <c r="AM751" s="139"/>
      <c r="AN751" s="139"/>
      <c r="AO751" s="70"/>
      <c r="AP751" s="70"/>
      <c r="AQ751" s="70"/>
      <c r="AR751" s="70"/>
      <c r="AS751" s="70"/>
      <c r="AT751" s="70"/>
      <c r="AU751" s="70"/>
      <c r="AV751" s="70"/>
      <c r="AW751" s="70"/>
      <c r="AX751" s="70"/>
    </row>
    <row r="752" ht="15.75" customHeight="1">
      <c r="A752" s="137" t="s">
        <v>5271</v>
      </c>
      <c r="B752" s="193" t="s">
        <v>5272</v>
      </c>
      <c r="C752" s="28" t="s">
        <v>5276</v>
      </c>
      <c r="D752" s="28" t="s">
        <v>5277</v>
      </c>
      <c r="E752" s="28" t="s">
        <v>5278</v>
      </c>
      <c r="F752" s="28"/>
      <c r="G752" s="28"/>
      <c r="H752" s="28"/>
      <c r="I752" s="28"/>
      <c r="J752" s="28"/>
      <c r="K752" s="28"/>
      <c r="L752" s="28"/>
      <c r="M752" s="28"/>
      <c r="N752" s="28"/>
      <c r="O752" s="138" t="s">
        <v>10506</v>
      </c>
      <c r="P752" s="137"/>
      <c r="Q752" s="137" t="s">
        <v>145</v>
      </c>
      <c r="R752" s="139"/>
      <c r="S752" s="139"/>
      <c r="T752" s="139"/>
      <c r="U752" s="139"/>
      <c r="V752" s="139"/>
      <c r="W752" s="139"/>
      <c r="X752" s="139"/>
      <c r="Y752" s="139"/>
      <c r="Z752" s="139"/>
      <c r="AA752" s="139"/>
      <c r="AB752" s="139"/>
      <c r="AC752" s="139"/>
      <c r="AD752" s="139"/>
      <c r="AE752" s="139"/>
      <c r="AF752" s="139"/>
      <c r="AG752" s="139"/>
      <c r="AH752" s="139"/>
      <c r="AI752" s="139"/>
      <c r="AJ752" s="139"/>
      <c r="AK752" s="139"/>
      <c r="AL752" s="139"/>
      <c r="AM752" s="139"/>
      <c r="AN752" s="139"/>
      <c r="AO752" s="70"/>
      <c r="AP752" s="70"/>
      <c r="AQ752" s="70"/>
      <c r="AR752" s="70"/>
      <c r="AS752" s="70"/>
      <c r="AT752" s="70"/>
      <c r="AU752" s="70"/>
      <c r="AV752" s="70"/>
      <c r="AW752" s="70"/>
      <c r="AX752" s="70"/>
    </row>
    <row r="753" ht="15.75" customHeight="1">
      <c r="A753" s="137" t="s">
        <v>246</v>
      </c>
      <c r="B753" s="193" t="s">
        <v>5279</v>
      </c>
      <c r="C753" s="28" t="s">
        <v>5280</v>
      </c>
      <c r="D753" s="28" t="s">
        <v>5281</v>
      </c>
      <c r="E753" s="28" t="s">
        <v>5282</v>
      </c>
      <c r="F753" s="28"/>
      <c r="G753" s="28"/>
      <c r="H753" s="28"/>
      <c r="I753" s="28"/>
      <c r="J753" s="28"/>
      <c r="K753" s="28"/>
      <c r="L753" s="28"/>
      <c r="M753" s="28"/>
      <c r="N753" s="28"/>
      <c r="O753" s="138" t="s">
        <v>10507</v>
      </c>
      <c r="P753" s="137"/>
      <c r="Q753" s="137" t="s">
        <v>145</v>
      </c>
      <c r="R753" s="139"/>
      <c r="S753" s="139"/>
      <c r="T753" s="139"/>
      <c r="U753" s="139"/>
      <c r="V753" s="139"/>
      <c r="W753" s="139"/>
      <c r="X753" s="139"/>
      <c r="Y753" s="139"/>
      <c r="Z753" s="139"/>
      <c r="AA753" s="139"/>
      <c r="AB753" s="139"/>
      <c r="AC753" s="139"/>
      <c r="AD753" s="139"/>
      <c r="AE753" s="139"/>
      <c r="AF753" s="139"/>
      <c r="AG753" s="139"/>
      <c r="AH753" s="139"/>
      <c r="AI753" s="139"/>
      <c r="AJ753" s="139"/>
      <c r="AK753" s="139"/>
      <c r="AL753" s="139"/>
      <c r="AM753" s="139"/>
      <c r="AN753" s="139"/>
      <c r="AO753" s="70"/>
      <c r="AP753" s="70"/>
      <c r="AQ753" s="70"/>
      <c r="AR753" s="70"/>
      <c r="AS753" s="70"/>
      <c r="AT753" s="70"/>
      <c r="AU753" s="70"/>
      <c r="AV753" s="70"/>
      <c r="AW753" s="70"/>
      <c r="AX753" s="70"/>
    </row>
    <row r="754" ht="15.75" customHeight="1">
      <c r="A754" s="137" t="s">
        <v>5283</v>
      </c>
      <c r="B754" s="193" t="s">
        <v>5284</v>
      </c>
      <c r="C754" s="28" t="s">
        <v>5289</v>
      </c>
      <c r="D754" s="28" t="s">
        <v>5290</v>
      </c>
      <c r="E754" s="28" t="s">
        <v>5291</v>
      </c>
      <c r="F754" s="28"/>
      <c r="G754" s="28"/>
      <c r="H754" s="28"/>
      <c r="I754" s="28"/>
      <c r="J754" s="28"/>
      <c r="K754" s="28"/>
      <c r="L754" s="28"/>
      <c r="M754" s="28"/>
      <c r="N754" s="28"/>
      <c r="O754" s="138" t="s">
        <v>10508</v>
      </c>
      <c r="P754" s="137"/>
      <c r="Q754" s="137" t="s">
        <v>145</v>
      </c>
      <c r="R754" s="139"/>
      <c r="S754" s="139"/>
      <c r="T754" s="139"/>
      <c r="U754" s="139"/>
      <c r="V754" s="139"/>
      <c r="W754" s="139"/>
      <c r="X754" s="139"/>
      <c r="Y754" s="139"/>
      <c r="Z754" s="139"/>
      <c r="AA754" s="139"/>
      <c r="AB754" s="139"/>
      <c r="AC754" s="139"/>
      <c r="AD754" s="139"/>
      <c r="AE754" s="139"/>
      <c r="AF754" s="139"/>
      <c r="AG754" s="139"/>
      <c r="AH754" s="139"/>
      <c r="AI754" s="139"/>
      <c r="AJ754" s="139"/>
      <c r="AK754" s="139"/>
      <c r="AL754" s="139"/>
      <c r="AM754" s="139"/>
      <c r="AN754" s="139"/>
      <c r="AO754" s="70"/>
      <c r="AP754" s="70"/>
      <c r="AQ754" s="70"/>
      <c r="AR754" s="70"/>
      <c r="AS754" s="70"/>
      <c r="AT754" s="70"/>
      <c r="AU754" s="70"/>
      <c r="AV754" s="70"/>
      <c r="AW754" s="70"/>
      <c r="AX754" s="70"/>
    </row>
    <row r="755" ht="15.75" customHeight="1">
      <c r="A755" s="137" t="s">
        <v>246</v>
      </c>
      <c r="B755" s="193" t="s">
        <v>5292</v>
      </c>
      <c r="C755" s="28" t="s">
        <v>5296</v>
      </c>
      <c r="D755" s="28" t="s">
        <v>5297</v>
      </c>
      <c r="E755" s="28" t="s">
        <v>5298</v>
      </c>
      <c r="F755" s="28"/>
      <c r="G755" s="28"/>
      <c r="H755" s="28"/>
      <c r="I755" s="28"/>
      <c r="J755" s="28"/>
      <c r="K755" s="28"/>
      <c r="L755" s="28"/>
      <c r="M755" s="28"/>
      <c r="N755" s="28"/>
      <c r="O755" s="138" t="s">
        <v>10509</v>
      </c>
      <c r="P755" s="137"/>
      <c r="Q755" s="137" t="s">
        <v>145</v>
      </c>
      <c r="R755" s="139"/>
      <c r="S755" s="139"/>
      <c r="T755" s="139"/>
      <c r="U755" s="139"/>
      <c r="V755" s="139"/>
      <c r="W755" s="139"/>
      <c r="X755" s="139"/>
      <c r="Y755" s="139"/>
      <c r="Z755" s="139"/>
      <c r="AA755" s="139"/>
      <c r="AB755" s="139"/>
      <c r="AC755" s="139"/>
      <c r="AD755" s="139"/>
      <c r="AE755" s="139"/>
      <c r="AF755" s="139"/>
      <c r="AG755" s="139"/>
      <c r="AH755" s="139"/>
      <c r="AI755" s="139"/>
      <c r="AJ755" s="139"/>
      <c r="AK755" s="139"/>
      <c r="AL755" s="139"/>
      <c r="AM755" s="139"/>
      <c r="AN755" s="139"/>
      <c r="AO755" s="70"/>
      <c r="AP755" s="70"/>
      <c r="AQ755" s="70"/>
      <c r="AR755" s="70"/>
      <c r="AS755" s="70"/>
      <c r="AT755" s="70"/>
      <c r="AU755" s="70"/>
      <c r="AV755" s="70"/>
      <c r="AW755" s="70"/>
      <c r="AX755" s="70"/>
    </row>
    <row r="756" ht="15.75" customHeight="1">
      <c r="A756" s="137" t="s">
        <v>237</v>
      </c>
      <c r="B756" s="218" t="s">
        <v>5186</v>
      </c>
      <c r="C756" s="28"/>
      <c r="D756" s="28"/>
      <c r="E756" s="28"/>
      <c r="F756" s="28"/>
      <c r="G756" s="28"/>
      <c r="H756" s="28"/>
      <c r="I756" s="28"/>
      <c r="J756" s="28"/>
      <c r="K756" s="28"/>
      <c r="L756" s="28"/>
      <c r="M756" s="28"/>
      <c r="N756" s="28"/>
      <c r="O756" s="138"/>
      <c r="P756" s="139"/>
      <c r="Q756" s="139"/>
      <c r="R756" s="139"/>
      <c r="S756" s="139"/>
      <c r="T756" s="139"/>
      <c r="U756" s="139"/>
      <c r="V756" s="139"/>
      <c r="W756" s="139"/>
      <c r="X756" s="139"/>
      <c r="Y756" s="139"/>
      <c r="Z756" s="139"/>
      <c r="AA756" s="139"/>
      <c r="AB756" s="139"/>
      <c r="AC756" s="139"/>
      <c r="AD756" s="139"/>
      <c r="AE756" s="139"/>
      <c r="AF756" s="139"/>
      <c r="AG756" s="139"/>
      <c r="AH756" s="139"/>
      <c r="AI756" s="139"/>
      <c r="AJ756" s="139"/>
      <c r="AK756" s="139"/>
      <c r="AL756" s="139"/>
      <c r="AM756" s="139"/>
      <c r="AN756" s="139"/>
      <c r="AO756" s="70"/>
      <c r="AP756" s="70"/>
      <c r="AQ756" s="70"/>
      <c r="AR756" s="70"/>
      <c r="AS756" s="70"/>
      <c r="AT756" s="70"/>
      <c r="AU756" s="70"/>
      <c r="AV756" s="70"/>
      <c r="AW756" s="70"/>
      <c r="AX756" s="70"/>
    </row>
    <row r="757" ht="15.75" customHeight="1">
      <c r="A757" s="65"/>
      <c r="B757" s="169"/>
      <c r="C757" s="28"/>
      <c r="D757" s="28"/>
      <c r="E757" s="28"/>
      <c r="F757" s="28"/>
      <c r="G757" s="28"/>
      <c r="H757" s="28"/>
      <c r="I757" s="28"/>
      <c r="J757" s="28"/>
      <c r="K757" s="28"/>
      <c r="L757" s="28"/>
      <c r="M757" s="28"/>
      <c r="N757" s="28"/>
      <c r="O757" s="67"/>
      <c r="P757" s="67"/>
      <c r="Q757" s="67"/>
      <c r="R757" s="67"/>
      <c r="S757" s="67"/>
      <c r="T757" s="67"/>
      <c r="U757" s="67"/>
      <c r="V757" s="67"/>
      <c r="W757" s="67"/>
      <c r="X757" s="67"/>
      <c r="Y757" s="67"/>
      <c r="Z757" s="67"/>
      <c r="AA757" s="67"/>
      <c r="AB757" s="67"/>
      <c r="AC757" s="67"/>
      <c r="AD757" s="67"/>
      <c r="AE757" s="67"/>
      <c r="AF757" s="67"/>
      <c r="AG757" s="67"/>
      <c r="AH757" s="67"/>
      <c r="AI757" s="67"/>
      <c r="AJ757" s="67"/>
      <c r="AK757" s="67"/>
      <c r="AL757" s="67"/>
      <c r="AM757" s="67"/>
      <c r="AN757" s="67"/>
      <c r="AO757" s="70"/>
      <c r="AP757" s="70"/>
      <c r="AQ757" s="70"/>
      <c r="AR757" s="70"/>
      <c r="AS757" s="70"/>
      <c r="AT757" s="70"/>
      <c r="AU757" s="70"/>
      <c r="AV757" s="70"/>
      <c r="AW757" s="70"/>
      <c r="AX757" s="70"/>
    </row>
    <row r="758" ht="15.75" customHeight="1">
      <c r="A758" s="65" t="s">
        <v>2625</v>
      </c>
      <c r="B758" s="169" t="s">
        <v>5310</v>
      </c>
      <c r="C758" s="28" t="s">
        <v>5314</v>
      </c>
      <c r="D758" s="28" t="s">
        <v>5315</v>
      </c>
      <c r="E758" s="28" t="s">
        <v>5316</v>
      </c>
      <c r="F758" s="28" t="s">
        <v>10510</v>
      </c>
      <c r="G758" s="28" t="s">
        <v>10511</v>
      </c>
      <c r="H758" s="28" t="s">
        <v>10512</v>
      </c>
      <c r="I758" s="28"/>
      <c r="J758" s="28"/>
      <c r="K758" s="28"/>
      <c r="L758" s="28"/>
      <c r="M758" s="28"/>
      <c r="N758" s="28"/>
      <c r="O758" s="67"/>
      <c r="P758" s="67"/>
      <c r="Q758" s="67" t="s">
        <v>145</v>
      </c>
      <c r="R758" s="67"/>
      <c r="S758" s="67"/>
      <c r="T758" s="67"/>
      <c r="U758" s="67"/>
      <c r="V758" s="67"/>
      <c r="W758" s="67"/>
      <c r="X758" s="67"/>
      <c r="Y758" s="67"/>
      <c r="Z758" s="67"/>
      <c r="AA758" s="67"/>
      <c r="AB758" s="67"/>
      <c r="AC758" s="67"/>
      <c r="AD758" s="67"/>
      <c r="AE758" s="67"/>
      <c r="AF758" s="67"/>
      <c r="AG758" s="67"/>
      <c r="AH758" s="67"/>
      <c r="AI758" s="67"/>
      <c r="AJ758" s="67"/>
      <c r="AK758" s="67"/>
      <c r="AL758" s="67"/>
      <c r="AM758" s="67"/>
      <c r="AN758" s="67"/>
      <c r="AO758" s="70"/>
      <c r="AP758" s="70"/>
      <c r="AQ758" s="70"/>
      <c r="AR758" s="70"/>
      <c r="AS758" s="70"/>
      <c r="AT758" s="70"/>
      <c r="AU758" s="70"/>
      <c r="AV758" s="70"/>
      <c r="AW758" s="70"/>
      <c r="AX758" s="70"/>
    </row>
    <row r="759" ht="15.75" customHeight="1">
      <c r="A759" s="65" t="s">
        <v>2625</v>
      </c>
      <c r="B759" s="169" t="s">
        <v>5317</v>
      </c>
      <c r="C759" s="28" t="s">
        <v>5322</v>
      </c>
      <c r="D759" s="28" t="s">
        <v>5323</v>
      </c>
      <c r="E759" s="28" t="s">
        <v>5324</v>
      </c>
      <c r="F759" s="28" t="s">
        <v>10510</v>
      </c>
      <c r="G759" s="28" t="s">
        <v>10511</v>
      </c>
      <c r="H759" s="28" t="s">
        <v>10512</v>
      </c>
      <c r="I759" s="28"/>
      <c r="J759" s="28"/>
      <c r="K759" s="28"/>
      <c r="L759" s="28"/>
      <c r="M759" s="28"/>
      <c r="N759" s="28"/>
      <c r="O759" s="67" t="s">
        <v>10513</v>
      </c>
      <c r="P759" s="67"/>
      <c r="Q759" s="67"/>
      <c r="R759" s="67"/>
      <c r="S759" s="67"/>
      <c r="T759" s="67"/>
      <c r="U759" s="67"/>
      <c r="V759" s="67"/>
      <c r="W759" s="67"/>
      <c r="X759" s="67"/>
      <c r="Y759" s="67"/>
      <c r="Z759" s="67"/>
      <c r="AA759" s="67"/>
      <c r="AB759" s="67"/>
      <c r="AC759" s="67"/>
      <c r="AD759" s="67"/>
      <c r="AE759" s="67"/>
      <c r="AF759" s="67"/>
      <c r="AG759" s="67"/>
      <c r="AH759" s="67"/>
      <c r="AI759" s="67"/>
      <c r="AJ759" s="67"/>
      <c r="AK759" s="67"/>
      <c r="AL759" s="67"/>
      <c r="AM759" s="67"/>
      <c r="AN759" s="67"/>
      <c r="AO759" s="70"/>
      <c r="AP759" s="70"/>
      <c r="AQ759" s="70"/>
      <c r="AR759" s="70"/>
      <c r="AS759" s="70"/>
      <c r="AT759" s="70"/>
      <c r="AU759" s="70"/>
      <c r="AV759" s="70"/>
      <c r="AW759" s="70"/>
      <c r="AX759" s="70"/>
    </row>
    <row r="760" ht="15.75" customHeight="1">
      <c r="A760" s="90" t="s">
        <v>78</v>
      </c>
      <c r="B760" s="92" t="s">
        <v>5325</v>
      </c>
      <c r="C760" s="28"/>
      <c r="D760" s="28"/>
      <c r="E760" s="28"/>
      <c r="F760" s="28"/>
      <c r="G760" s="28"/>
      <c r="H760" s="28"/>
      <c r="I760" s="28"/>
      <c r="J760" s="28"/>
      <c r="K760" s="28"/>
      <c r="L760" s="28"/>
      <c r="M760" s="28"/>
      <c r="N760" s="28"/>
      <c r="O760" s="96"/>
      <c r="P760" s="96"/>
      <c r="Q760" s="96"/>
      <c r="R760" s="96"/>
      <c r="S760" s="96"/>
      <c r="T760" s="178" t="s">
        <v>10514</v>
      </c>
      <c r="U760" s="96"/>
      <c r="V760" s="96"/>
      <c r="W760" s="96"/>
      <c r="X760" s="96"/>
      <c r="Y760" s="96"/>
      <c r="Z760" s="96"/>
      <c r="AA760" s="96"/>
      <c r="AB760" s="96"/>
      <c r="AC760" s="96"/>
      <c r="AD760" s="126"/>
      <c r="AE760" s="126"/>
      <c r="AF760" s="126"/>
      <c r="AG760" s="126"/>
      <c r="AH760" s="126"/>
      <c r="AI760" s="126"/>
      <c r="AJ760" s="126"/>
      <c r="AK760" s="126"/>
      <c r="AL760" s="126"/>
      <c r="AM760" s="126"/>
      <c r="AN760" s="126"/>
      <c r="AO760" s="70"/>
      <c r="AP760" s="70"/>
      <c r="AQ760" s="70"/>
      <c r="AR760" s="70"/>
      <c r="AS760" s="70"/>
      <c r="AT760" s="70"/>
      <c r="AU760" s="70"/>
      <c r="AV760" s="70"/>
      <c r="AW760" s="70"/>
      <c r="AX760" s="70"/>
    </row>
    <row r="761" ht="15.75" customHeight="1">
      <c r="A761" s="90" t="s">
        <v>78</v>
      </c>
      <c r="B761" s="92" t="s">
        <v>5329</v>
      </c>
      <c r="C761" s="28"/>
      <c r="D761" s="28"/>
      <c r="E761" s="28"/>
      <c r="F761" s="28"/>
      <c r="G761" s="28"/>
      <c r="H761" s="28"/>
      <c r="I761" s="28"/>
      <c r="J761" s="28"/>
      <c r="K761" s="28"/>
      <c r="L761" s="28"/>
      <c r="M761" s="28"/>
      <c r="N761" s="28"/>
      <c r="O761" s="96"/>
      <c r="P761" s="96"/>
      <c r="Q761" s="96"/>
      <c r="R761" s="96"/>
      <c r="S761" s="96"/>
      <c r="T761" s="178" t="s">
        <v>10515</v>
      </c>
      <c r="U761" s="96"/>
      <c r="V761" s="96"/>
      <c r="W761" s="96"/>
      <c r="X761" s="96"/>
      <c r="Y761" s="96"/>
      <c r="Z761" s="96"/>
      <c r="AA761" s="96"/>
      <c r="AB761" s="96"/>
      <c r="AC761" s="96"/>
      <c r="AD761" s="126"/>
      <c r="AE761" s="126"/>
      <c r="AF761" s="126"/>
      <c r="AG761" s="126"/>
      <c r="AH761" s="126"/>
      <c r="AI761" s="126"/>
      <c r="AJ761" s="126"/>
      <c r="AK761" s="126"/>
      <c r="AL761" s="126"/>
      <c r="AM761" s="126"/>
      <c r="AN761" s="126"/>
      <c r="AO761" s="70"/>
      <c r="AP761" s="70"/>
      <c r="AQ761" s="70"/>
      <c r="AR761" s="70"/>
      <c r="AS761" s="70"/>
      <c r="AT761" s="70"/>
      <c r="AU761" s="70"/>
      <c r="AV761" s="70"/>
      <c r="AW761" s="70"/>
      <c r="AX761" s="70"/>
    </row>
    <row r="762" ht="15.75" customHeight="1">
      <c r="A762" s="90" t="s">
        <v>78</v>
      </c>
      <c r="B762" s="92" t="s">
        <v>5333</v>
      </c>
      <c r="C762" s="28"/>
      <c r="D762" s="28"/>
      <c r="E762" s="28"/>
      <c r="F762" s="28"/>
      <c r="G762" s="28"/>
      <c r="H762" s="28"/>
      <c r="I762" s="28"/>
      <c r="J762" s="28"/>
      <c r="K762" s="28"/>
      <c r="L762" s="28"/>
      <c r="M762" s="28"/>
      <c r="N762" s="28"/>
      <c r="O762" s="96"/>
      <c r="P762" s="96"/>
      <c r="Q762" s="96"/>
      <c r="R762" s="96"/>
      <c r="S762" s="96"/>
      <c r="T762" s="178" t="s">
        <v>10516</v>
      </c>
      <c r="U762" s="96"/>
      <c r="V762" s="96"/>
      <c r="W762" s="96"/>
      <c r="X762" s="96"/>
      <c r="Y762" s="96"/>
      <c r="Z762" s="96"/>
      <c r="AA762" s="96"/>
      <c r="AB762" s="96"/>
      <c r="AC762" s="96"/>
      <c r="AD762" s="126"/>
      <c r="AE762" s="126"/>
      <c r="AF762" s="126"/>
      <c r="AG762" s="126"/>
      <c r="AH762" s="126"/>
      <c r="AI762" s="126"/>
      <c r="AJ762" s="126"/>
      <c r="AK762" s="126"/>
      <c r="AL762" s="126"/>
      <c r="AM762" s="126"/>
      <c r="AN762" s="126"/>
      <c r="AO762" s="70"/>
      <c r="AP762" s="70"/>
      <c r="AQ762" s="70"/>
      <c r="AR762" s="70"/>
      <c r="AS762" s="70"/>
      <c r="AT762" s="70"/>
      <c r="AU762" s="70"/>
      <c r="AV762" s="70"/>
      <c r="AW762" s="70"/>
      <c r="AX762" s="70"/>
    </row>
    <row r="763" ht="15.75" customHeight="1">
      <c r="A763" s="166" t="s">
        <v>41</v>
      </c>
      <c r="B763" s="167" t="s">
        <v>5337</v>
      </c>
      <c r="C763" s="28" t="s">
        <v>5343</v>
      </c>
      <c r="D763" s="28" t="s">
        <v>5344</v>
      </c>
      <c r="E763" s="28" t="s">
        <v>5345</v>
      </c>
      <c r="F763" s="28"/>
      <c r="G763" s="28"/>
      <c r="H763" s="28"/>
      <c r="I763" s="28"/>
      <c r="J763" s="28"/>
      <c r="K763" s="28"/>
      <c r="L763" s="28"/>
      <c r="M763" s="28"/>
      <c r="N763" s="28"/>
      <c r="O763" s="126" t="s">
        <v>10517</v>
      </c>
      <c r="P763" s="126"/>
      <c r="Q763" s="126"/>
      <c r="R763" s="126"/>
      <c r="S763" s="126"/>
      <c r="T763" s="126"/>
      <c r="U763" s="126"/>
      <c r="V763" s="126"/>
      <c r="W763" s="126"/>
      <c r="X763" s="126"/>
      <c r="Y763" s="126"/>
      <c r="Z763" s="126"/>
      <c r="AA763" s="126"/>
      <c r="AB763" s="126"/>
      <c r="AC763" s="126"/>
      <c r="AD763" s="126"/>
      <c r="AE763" s="126"/>
      <c r="AF763" s="126"/>
      <c r="AG763" s="126"/>
      <c r="AH763" s="126"/>
      <c r="AI763" s="126"/>
      <c r="AJ763" s="126"/>
      <c r="AK763" s="126"/>
      <c r="AL763" s="126"/>
      <c r="AM763" s="126"/>
      <c r="AN763" s="126"/>
      <c r="AO763" s="70"/>
      <c r="AP763" s="70"/>
      <c r="AQ763" s="70"/>
      <c r="AR763" s="70"/>
      <c r="AS763" s="70"/>
      <c r="AT763" s="70"/>
      <c r="AU763" s="70"/>
      <c r="AV763" s="70"/>
      <c r="AW763" s="70"/>
      <c r="AX763" s="70"/>
    </row>
    <row r="764" ht="15.75" customHeight="1">
      <c r="A764" s="68" t="s">
        <v>5346</v>
      </c>
      <c r="B764" s="169" t="s">
        <v>5347</v>
      </c>
      <c r="C764" s="28" t="s">
        <v>5351</v>
      </c>
      <c r="D764" s="28" t="s">
        <v>5352</v>
      </c>
      <c r="E764" s="28" t="s">
        <v>5353</v>
      </c>
      <c r="F764" s="28"/>
      <c r="G764" s="28"/>
      <c r="H764" s="28"/>
      <c r="I764" s="28"/>
      <c r="J764" s="28"/>
      <c r="K764" s="28"/>
      <c r="L764" s="28"/>
      <c r="M764" s="28"/>
      <c r="N764" s="28"/>
      <c r="O764" s="67" t="s">
        <v>10517</v>
      </c>
      <c r="P764" s="67"/>
      <c r="Q764" s="67" t="s">
        <v>145</v>
      </c>
      <c r="R764" s="67"/>
      <c r="S764" s="67"/>
      <c r="T764" s="67"/>
      <c r="U764" s="67"/>
      <c r="V764" s="67"/>
      <c r="W764" s="67"/>
      <c r="X764" s="67"/>
      <c r="Y764" s="65" t="s">
        <v>10518</v>
      </c>
      <c r="Z764" s="67"/>
      <c r="AA764" s="67"/>
      <c r="AB764" s="67"/>
      <c r="AC764" s="67"/>
      <c r="AD764" s="67"/>
      <c r="AE764" s="67"/>
      <c r="AF764" s="67"/>
      <c r="AG764" s="67"/>
      <c r="AH764" s="67"/>
      <c r="AI764" s="67"/>
      <c r="AJ764" s="67"/>
      <c r="AK764" s="67"/>
      <c r="AL764" s="67"/>
      <c r="AM764" s="67"/>
      <c r="AN764" s="67"/>
      <c r="AO764" s="70"/>
      <c r="AP764" s="70"/>
      <c r="AQ764" s="70"/>
      <c r="AR764" s="70"/>
      <c r="AS764" s="70"/>
      <c r="AT764" s="70"/>
      <c r="AU764" s="70"/>
      <c r="AV764" s="70"/>
      <c r="AW764" s="70"/>
      <c r="AX764" s="70"/>
    </row>
    <row r="765" ht="15.75" customHeight="1">
      <c r="A765" s="68" t="s">
        <v>738</v>
      </c>
      <c r="B765" s="169" t="s">
        <v>5354</v>
      </c>
      <c r="C765" s="28" t="s">
        <v>5358</v>
      </c>
      <c r="D765" s="28" t="s">
        <v>5359</v>
      </c>
      <c r="E765" s="28" t="s">
        <v>5361</v>
      </c>
      <c r="F765" s="28"/>
      <c r="G765" s="28"/>
      <c r="H765" s="28"/>
      <c r="I765" s="28"/>
      <c r="J765" s="28"/>
      <c r="K765" s="28"/>
      <c r="L765" s="28"/>
      <c r="M765" s="28"/>
      <c r="N765" s="28"/>
      <c r="O765" s="67" t="s">
        <v>10519</v>
      </c>
      <c r="P765" s="67"/>
      <c r="Q765" s="67" t="s">
        <v>145</v>
      </c>
      <c r="R765" s="67"/>
      <c r="S765" s="67"/>
      <c r="T765" s="67"/>
      <c r="U765" s="67"/>
      <c r="V765" s="67"/>
      <c r="W765" s="67"/>
      <c r="X765" s="67"/>
      <c r="Y765" s="67"/>
      <c r="Z765" s="67"/>
      <c r="AA765" s="67"/>
      <c r="AB765" s="67"/>
      <c r="AC765" s="67"/>
      <c r="AD765" s="67"/>
      <c r="AE765" s="67"/>
      <c r="AF765" s="67"/>
      <c r="AG765" s="67"/>
      <c r="AH765" s="67"/>
      <c r="AI765" s="67"/>
      <c r="AJ765" s="67"/>
      <c r="AK765" s="67"/>
      <c r="AL765" s="67"/>
      <c r="AM765" s="67"/>
      <c r="AN765" s="67"/>
      <c r="AO765" s="70"/>
      <c r="AP765" s="70"/>
      <c r="AQ765" s="70"/>
      <c r="AR765" s="70"/>
      <c r="AS765" s="70"/>
      <c r="AT765" s="70"/>
      <c r="AU765" s="70"/>
      <c r="AV765" s="70"/>
      <c r="AW765" s="70"/>
      <c r="AX765" s="70"/>
    </row>
    <row r="766" ht="15.75" customHeight="1">
      <c r="A766" s="68" t="s">
        <v>785</v>
      </c>
      <c r="B766" s="169" t="s">
        <v>5363</v>
      </c>
      <c r="C766" s="28" t="s">
        <v>5368</v>
      </c>
      <c r="D766" s="28" t="s">
        <v>5369</v>
      </c>
      <c r="E766" s="28" t="s">
        <v>5370</v>
      </c>
      <c r="F766" s="28"/>
      <c r="G766" s="28"/>
      <c r="H766" s="28"/>
      <c r="I766" s="28"/>
      <c r="J766" s="28" t="s">
        <v>10520</v>
      </c>
      <c r="K766" s="28"/>
      <c r="L766" s="28"/>
      <c r="M766" s="28"/>
      <c r="N766" s="28"/>
      <c r="O766" s="336" t="s">
        <v>10521</v>
      </c>
      <c r="P766" s="67"/>
      <c r="Q766" s="67" t="s">
        <v>145</v>
      </c>
      <c r="R766" s="67"/>
      <c r="S766" s="67"/>
      <c r="T766" s="67"/>
      <c r="U766" s="67"/>
      <c r="V766" s="67"/>
      <c r="W766" s="67"/>
      <c r="X766" s="67"/>
      <c r="Y766" s="67"/>
      <c r="Z766" s="67"/>
      <c r="AA766" s="67"/>
      <c r="AB766" s="67"/>
      <c r="AC766" s="67"/>
      <c r="AD766" s="67"/>
      <c r="AE766" s="67"/>
      <c r="AF766" s="67"/>
      <c r="AG766" s="67"/>
      <c r="AH766" s="67"/>
      <c r="AI766" s="67"/>
      <c r="AJ766" s="67"/>
      <c r="AK766" s="67"/>
      <c r="AL766" s="67"/>
      <c r="AM766" s="67"/>
      <c r="AN766" s="67"/>
      <c r="AO766" s="70"/>
      <c r="AP766" s="70"/>
      <c r="AQ766" s="70"/>
      <c r="AR766" s="70"/>
      <c r="AS766" s="70"/>
      <c r="AT766" s="70"/>
      <c r="AU766" s="70"/>
      <c r="AV766" s="70"/>
      <c r="AW766" s="70"/>
      <c r="AX766" s="70"/>
    </row>
    <row r="767" ht="15.75" customHeight="1">
      <c r="A767" s="179" t="s">
        <v>246</v>
      </c>
      <c r="B767" s="180" t="s">
        <v>5371</v>
      </c>
      <c r="C767" s="28" t="s">
        <v>5375</v>
      </c>
      <c r="D767" s="28" t="s">
        <v>5376</v>
      </c>
      <c r="E767" s="28" t="s">
        <v>5377</v>
      </c>
      <c r="F767" s="28"/>
      <c r="G767" s="28"/>
      <c r="H767" s="28"/>
      <c r="I767" s="28"/>
      <c r="J767" s="28"/>
      <c r="K767" s="28"/>
      <c r="L767" s="28"/>
      <c r="M767" s="28"/>
      <c r="N767" s="28"/>
      <c r="O767" s="337" t="s">
        <v>10522</v>
      </c>
      <c r="P767" s="181"/>
      <c r="Q767" s="181"/>
      <c r="R767" s="181"/>
      <c r="S767" s="181"/>
      <c r="T767" s="181"/>
      <c r="U767" s="181"/>
      <c r="V767" s="181"/>
      <c r="W767" s="181"/>
      <c r="X767" s="181"/>
      <c r="Y767" s="181"/>
      <c r="Z767" s="181"/>
      <c r="AA767" s="181"/>
      <c r="AB767" s="181"/>
      <c r="AC767" s="181"/>
      <c r="AD767" s="96"/>
      <c r="AE767" s="96"/>
      <c r="AF767" s="96"/>
      <c r="AG767" s="96"/>
      <c r="AH767" s="96"/>
      <c r="AI767" s="96"/>
      <c r="AJ767" s="96"/>
      <c r="AK767" s="96"/>
      <c r="AL767" s="96"/>
      <c r="AM767" s="96"/>
      <c r="AN767" s="96"/>
      <c r="AO767" s="70"/>
      <c r="AP767" s="70"/>
      <c r="AQ767" s="70"/>
      <c r="AR767" s="70"/>
      <c r="AS767" s="70"/>
      <c r="AT767" s="70"/>
      <c r="AU767" s="70"/>
      <c r="AV767" s="70"/>
      <c r="AW767" s="70"/>
      <c r="AX767" s="70"/>
    </row>
    <row r="768" ht="15.75" customHeight="1">
      <c r="A768" s="90" t="s">
        <v>78</v>
      </c>
      <c r="B768" s="92" t="s">
        <v>5378</v>
      </c>
      <c r="C768" s="28"/>
      <c r="D768" s="28"/>
      <c r="E768" s="28"/>
      <c r="F768" s="28"/>
      <c r="G768" s="28"/>
      <c r="H768" s="28"/>
      <c r="I768" s="28"/>
      <c r="J768" s="28"/>
      <c r="K768" s="28"/>
      <c r="L768" s="28"/>
      <c r="M768" s="28"/>
      <c r="N768" s="28"/>
      <c r="O768" s="96"/>
      <c r="P768" s="96"/>
      <c r="Q768" s="96"/>
      <c r="R768" s="96"/>
      <c r="S768" s="96"/>
      <c r="T768" s="178" t="s">
        <v>10523</v>
      </c>
      <c r="U768" s="96"/>
      <c r="V768" s="96"/>
      <c r="W768" s="96"/>
      <c r="X768" s="96"/>
      <c r="Y768" s="96"/>
      <c r="Z768" s="96"/>
      <c r="AA768" s="96"/>
      <c r="AB768" s="96"/>
      <c r="AC768" s="96"/>
      <c r="AD768" s="96"/>
      <c r="AE768" s="96"/>
      <c r="AF768" s="96"/>
      <c r="AG768" s="96"/>
      <c r="AH768" s="96"/>
      <c r="AI768" s="96"/>
      <c r="AJ768" s="96"/>
      <c r="AK768" s="96"/>
      <c r="AL768" s="96"/>
      <c r="AM768" s="96"/>
      <c r="AN768" s="96"/>
      <c r="AO768" s="70"/>
      <c r="AP768" s="70"/>
      <c r="AQ768" s="70"/>
      <c r="AR768" s="70"/>
      <c r="AS768" s="70"/>
      <c r="AT768" s="70"/>
      <c r="AU768" s="70"/>
      <c r="AV768" s="70"/>
      <c r="AW768" s="70"/>
      <c r="AX768" s="70"/>
    </row>
    <row r="769" ht="15.75" customHeight="1">
      <c r="A769" s="90" t="s">
        <v>78</v>
      </c>
      <c r="B769" s="92" t="s">
        <v>5384</v>
      </c>
      <c r="C769" s="28"/>
      <c r="D769" s="28"/>
      <c r="E769" s="28"/>
      <c r="F769" s="28"/>
      <c r="G769" s="28"/>
      <c r="H769" s="28"/>
      <c r="I769" s="28"/>
      <c r="J769" s="28"/>
      <c r="K769" s="28"/>
      <c r="L769" s="28"/>
      <c r="M769" s="28"/>
      <c r="N769" s="28"/>
      <c r="O769" s="96"/>
      <c r="P769" s="96"/>
      <c r="Q769" s="96"/>
      <c r="R769" s="96"/>
      <c r="S769" s="96"/>
      <c r="T769" s="178" t="s">
        <v>10524</v>
      </c>
      <c r="U769" s="96"/>
      <c r="V769" s="96"/>
      <c r="W769" s="96"/>
      <c r="X769" s="96"/>
      <c r="Y769" s="96"/>
      <c r="Z769" s="96"/>
      <c r="AA769" s="96"/>
      <c r="AB769" s="96"/>
      <c r="AC769" s="96"/>
      <c r="AD769" s="96"/>
      <c r="AE769" s="96"/>
      <c r="AF769" s="96"/>
      <c r="AG769" s="96"/>
      <c r="AH769" s="96"/>
      <c r="AI769" s="96"/>
      <c r="AJ769" s="96"/>
      <c r="AK769" s="96"/>
      <c r="AL769" s="96"/>
      <c r="AM769" s="96"/>
      <c r="AN769" s="96"/>
      <c r="AO769" s="70"/>
      <c r="AP769" s="70"/>
      <c r="AQ769" s="70"/>
      <c r="AR769" s="70"/>
      <c r="AS769" s="70"/>
      <c r="AT769" s="70"/>
      <c r="AU769" s="70"/>
      <c r="AV769" s="70"/>
      <c r="AW769" s="70"/>
      <c r="AX769" s="70"/>
    </row>
    <row r="770" ht="15.75" customHeight="1">
      <c r="A770" s="68" t="s">
        <v>5389</v>
      </c>
      <c r="B770" s="169" t="s">
        <v>5390</v>
      </c>
      <c r="C770" s="28" t="s">
        <v>5394</v>
      </c>
      <c r="D770" s="28" t="s">
        <v>5395</v>
      </c>
      <c r="E770" s="28" t="s">
        <v>5396</v>
      </c>
      <c r="F770" s="28"/>
      <c r="G770" s="28"/>
      <c r="H770" s="28"/>
      <c r="I770" s="28"/>
      <c r="J770" s="28"/>
      <c r="K770" s="28"/>
      <c r="L770" s="28"/>
      <c r="M770" s="28"/>
      <c r="N770" s="28"/>
      <c r="O770" s="67" t="s">
        <v>10517</v>
      </c>
      <c r="P770" s="67"/>
      <c r="Q770" s="67" t="s">
        <v>145</v>
      </c>
      <c r="R770" s="67"/>
      <c r="S770" s="67"/>
      <c r="T770" s="67"/>
      <c r="U770" s="67"/>
      <c r="V770" s="67"/>
      <c r="W770" s="67"/>
      <c r="X770" s="67"/>
      <c r="Y770" s="67"/>
      <c r="Z770" s="67"/>
      <c r="AA770" s="67"/>
      <c r="AB770" s="67"/>
      <c r="AC770" s="67"/>
      <c r="AD770" s="67"/>
      <c r="AE770" s="67"/>
      <c r="AF770" s="67"/>
      <c r="AG770" s="67"/>
      <c r="AH770" s="67"/>
      <c r="AI770" s="67"/>
      <c r="AJ770" s="67"/>
      <c r="AK770" s="67"/>
      <c r="AL770" s="67"/>
      <c r="AM770" s="67"/>
      <c r="AN770" s="67"/>
      <c r="AO770" s="70"/>
      <c r="AP770" s="70"/>
      <c r="AQ770" s="70"/>
      <c r="AR770" s="70"/>
      <c r="AS770" s="70"/>
      <c r="AT770" s="70"/>
      <c r="AU770" s="70"/>
      <c r="AV770" s="70"/>
      <c r="AW770" s="70"/>
      <c r="AX770" s="70"/>
    </row>
    <row r="771" ht="15.75" customHeight="1">
      <c r="A771" s="170" t="s">
        <v>263</v>
      </c>
      <c r="B771" s="171" t="s">
        <v>5397</v>
      </c>
      <c r="C771" s="28" t="s">
        <v>5403</v>
      </c>
      <c r="D771" s="28" t="s">
        <v>5404</v>
      </c>
      <c r="E771" s="28" t="s">
        <v>5405</v>
      </c>
      <c r="F771" s="28"/>
      <c r="G771" s="28"/>
      <c r="H771" s="28"/>
      <c r="I771" s="28"/>
      <c r="J771" s="28"/>
      <c r="K771" s="28" t="s">
        <v>10525</v>
      </c>
      <c r="L771" s="28"/>
      <c r="M771" s="28"/>
      <c r="N771" s="28"/>
      <c r="O771" s="173" t="s">
        <v>10517</v>
      </c>
      <c r="P771" s="173"/>
      <c r="Q771" s="173" t="s">
        <v>145</v>
      </c>
      <c r="R771" s="173"/>
      <c r="S771" s="173"/>
      <c r="T771" s="173"/>
      <c r="U771" s="173"/>
      <c r="V771" s="173"/>
      <c r="W771" s="173"/>
      <c r="X771" s="173"/>
      <c r="Y771" s="173"/>
      <c r="Z771" s="173"/>
      <c r="AA771" s="173"/>
      <c r="AB771" s="173"/>
      <c r="AC771" s="173"/>
      <c r="AD771" s="173"/>
      <c r="AE771" s="173"/>
      <c r="AF771" s="173"/>
      <c r="AG771" s="173"/>
      <c r="AH771" s="173"/>
      <c r="AI771" s="173"/>
      <c r="AJ771" s="173"/>
      <c r="AK771" s="173"/>
      <c r="AL771" s="173"/>
      <c r="AM771" s="173"/>
      <c r="AN771" s="173"/>
      <c r="AO771" s="70"/>
      <c r="AP771" s="70"/>
      <c r="AQ771" s="70"/>
      <c r="AR771" s="70"/>
      <c r="AS771" s="70"/>
      <c r="AT771" s="70"/>
      <c r="AU771" s="70"/>
      <c r="AV771" s="70"/>
      <c r="AW771" s="70"/>
      <c r="AX771" s="70"/>
    </row>
    <row r="772" ht="15.75" customHeight="1">
      <c r="A772" s="65" t="s">
        <v>463</v>
      </c>
      <c r="B772" s="66" t="s">
        <v>5406</v>
      </c>
      <c r="C772" s="28" t="s">
        <v>5410</v>
      </c>
      <c r="D772" s="28" t="s">
        <v>5411</v>
      </c>
      <c r="E772" s="28" t="s">
        <v>5412</v>
      </c>
      <c r="F772" s="28"/>
      <c r="G772" s="28"/>
      <c r="H772" s="28"/>
      <c r="I772" s="28"/>
      <c r="J772" s="28"/>
      <c r="K772" s="28"/>
      <c r="L772" s="28"/>
      <c r="M772" s="28"/>
      <c r="N772" s="28"/>
      <c r="O772" s="173" t="s">
        <v>10517</v>
      </c>
      <c r="P772" s="65"/>
      <c r="Q772" s="65" t="s">
        <v>145</v>
      </c>
      <c r="R772" s="67"/>
      <c r="S772" s="67"/>
      <c r="T772" s="65"/>
      <c r="U772" s="67"/>
      <c r="V772" s="67"/>
      <c r="W772" s="67"/>
      <c r="X772" s="67"/>
      <c r="Y772" s="67"/>
      <c r="Z772" s="67"/>
      <c r="AA772" s="67"/>
      <c r="AB772" s="67"/>
      <c r="AC772" s="67"/>
      <c r="AD772" s="67"/>
      <c r="AE772" s="67"/>
      <c r="AF772" s="67"/>
      <c r="AG772" s="67"/>
      <c r="AH772" s="67"/>
      <c r="AI772" s="67"/>
      <c r="AJ772" s="67"/>
      <c r="AK772" s="67"/>
      <c r="AL772" s="67"/>
      <c r="AM772" s="67"/>
      <c r="AN772" s="67"/>
      <c r="AO772" s="67"/>
      <c r="AP772" s="67"/>
      <c r="AQ772" s="67"/>
      <c r="AR772" s="67"/>
      <c r="AS772" s="67"/>
      <c r="AT772" s="67"/>
      <c r="AU772" s="67"/>
      <c r="AV772" s="67"/>
      <c r="AW772" s="67"/>
      <c r="AX772" s="67"/>
    </row>
    <row r="773" ht="15.75" customHeight="1">
      <c r="A773" s="65" t="s">
        <v>463</v>
      </c>
      <c r="B773" s="66" t="s">
        <v>5414</v>
      </c>
      <c r="C773" s="28" t="s">
        <v>5419</v>
      </c>
      <c r="D773" s="28" t="s">
        <v>5420</v>
      </c>
      <c r="E773" s="28" t="s">
        <v>5421</v>
      </c>
      <c r="F773" s="28"/>
      <c r="G773" s="28"/>
      <c r="H773" s="28"/>
      <c r="I773" s="28"/>
      <c r="J773" s="28"/>
      <c r="K773" s="28"/>
      <c r="L773" s="28"/>
      <c r="M773" s="28"/>
      <c r="N773" s="28"/>
      <c r="O773" s="65" t="s">
        <v>10526</v>
      </c>
      <c r="P773" s="65"/>
      <c r="Q773" s="65" t="s">
        <v>145</v>
      </c>
      <c r="R773" s="67"/>
      <c r="S773" s="67"/>
      <c r="T773" s="65"/>
      <c r="U773" s="67"/>
      <c r="V773" s="67"/>
      <c r="W773" s="67"/>
      <c r="X773" s="67"/>
      <c r="Y773" s="67"/>
      <c r="Z773" s="67"/>
      <c r="AA773" s="67"/>
      <c r="AB773" s="67"/>
      <c r="AC773" s="67"/>
      <c r="AD773" s="67"/>
      <c r="AE773" s="67"/>
      <c r="AF773" s="67"/>
      <c r="AG773" s="67"/>
      <c r="AH773" s="67"/>
      <c r="AI773" s="67"/>
      <c r="AJ773" s="67"/>
      <c r="AK773" s="67"/>
      <c r="AL773" s="67"/>
      <c r="AM773" s="67"/>
      <c r="AN773" s="67"/>
      <c r="AO773" s="67"/>
      <c r="AP773" s="67"/>
      <c r="AQ773" s="67"/>
      <c r="AR773" s="67"/>
      <c r="AS773" s="67"/>
      <c r="AT773" s="67"/>
      <c r="AU773" s="67"/>
      <c r="AV773" s="67"/>
      <c r="AW773" s="67"/>
      <c r="AX773" s="67"/>
    </row>
    <row r="774" ht="15.75" customHeight="1">
      <c r="A774" s="65" t="s">
        <v>463</v>
      </c>
      <c r="B774" s="66" t="s">
        <v>5423</v>
      </c>
      <c r="C774" s="28" t="s">
        <v>5427</v>
      </c>
      <c r="D774" s="28" t="s">
        <v>5428</v>
      </c>
      <c r="E774" s="28" t="s">
        <v>5429</v>
      </c>
      <c r="F774" s="28"/>
      <c r="G774" s="28"/>
      <c r="H774" s="28"/>
      <c r="I774" s="28"/>
      <c r="J774" s="28"/>
      <c r="K774" s="28"/>
      <c r="L774" s="28"/>
      <c r="M774" s="28"/>
      <c r="N774" s="28"/>
      <c r="O774" s="65" t="s">
        <v>10526</v>
      </c>
      <c r="P774" s="65"/>
      <c r="Q774" s="65" t="s">
        <v>145</v>
      </c>
      <c r="R774" s="67"/>
      <c r="S774" s="67"/>
      <c r="T774" s="65"/>
      <c r="U774" s="67"/>
      <c r="V774" s="67"/>
      <c r="W774" s="67"/>
      <c r="X774" s="67"/>
      <c r="Y774" s="67"/>
      <c r="Z774" s="67"/>
      <c r="AA774" s="67"/>
      <c r="AB774" s="67"/>
      <c r="AC774" s="67"/>
      <c r="AD774" s="67"/>
      <c r="AE774" s="67"/>
      <c r="AF774" s="67"/>
      <c r="AG774" s="67"/>
      <c r="AH774" s="67"/>
      <c r="AI774" s="67"/>
      <c r="AJ774" s="67"/>
      <c r="AK774" s="67"/>
      <c r="AL774" s="67"/>
      <c r="AM774" s="67"/>
      <c r="AN774" s="67"/>
      <c r="AO774" s="67"/>
      <c r="AP774" s="67"/>
      <c r="AQ774" s="67"/>
      <c r="AR774" s="67"/>
      <c r="AS774" s="67"/>
      <c r="AT774" s="67"/>
      <c r="AU774" s="67"/>
      <c r="AV774" s="67"/>
      <c r="AW774" s="67"/>
      <c r="AX774" s="67"/>
    </row>
    <row r="775" ht="15.75" customHeight="1">
      <c r="A775" s="65" t="s">
        <v>5430</v>
      </c>
      <c r="B775" s="66" t="s">
        <v>5431</v>
      </c>
      <c r="C775" s="28" t="s">
        <v>5436</v>
      </c>
      <c r="D775" s="28" t="s">
        <v>5437</v>
      </c>
      <c r="E775" s="28" t="s">
        <v>5438</v>
      </c>
      <c r="F775" s="28"/>
      <c r="G775" s="28"/>
      <c r="H775" s="28"/>
      <c r="I775" s="28"/>
      <c r="J775" s="28"/>
      <c r="K775" s="28"/>
      <c r="L775" s="28"/>
      <c r="M775" s="28"/>
      <c r="N775" s="28"/>
      <c r="O775" s="65" t="s">
        <v>10526</v>
      </c>
      <c r="P775" s="65"/>
      <c r="Q775" s="65" t="s">
        <v>145</v>
      </c>
      <c r="R775" s="67"/>
      <c r="S775" s="67"/>
      <c r="T775" s="65"/>
      <c r="U775" s="67"/>
      <c r="V775" s="67"/>
      <c r="W775" s="67"/>
      <c r="X775" s="67"/>
      <c r="Y775" s="67"/>
      <c r="Z775" s="67"/>
      <c r="AA775" s="67"/>
      <c r="AB775" s="67"/>
      <c r="AC775" s="67"/>
      <c r="AD775" s="67"/>
      <c r="AE775" s="67"/>
      <c r="AF775" s="67"/>
      <c r="AG775" s="67"/>
      <c r="AH775" s="67"/>
      <c r="AI775" s="67"/>
      <c r="AJ775" s="67"/>
      <c r="AK775" s="67"/>
      <c r="AL775" s="67"/>
      <c r="AM775" s="67"/>
      <c r="AN775" s="67"/>
      <c r="AO775" s="67"/>
      <c r="AP775" s="67"/>
      <c r="AQ775" s="67"/>
      <c r="AR775" s="67"/>
      <c r="AS775" s="67"/>
      <c r="AT775" s="67"/>
      <c r="AU775" s="67"/>
      <c r="AV775" s="67"/>
      <c r="AW775" s="67"/>
      <c r="AX775" s="67"/>
    </row>
    <row r="776" ht="15.75" customHeight="1">
      <c r="A776" s="65" t="s">
        <v>246</v>
      </c>
      <c r="B776" s="66" t="s">
        <v>5439</v>
      </c>
      <c r="C776" s="28" t="s">
        <v>5445</v>
      </c>
      <c r="D776" s="28" t="s">
        <v>5446</v>
      </c>
      <c r="E776" s="28" t="s">
        <v>5447</v>
      </c>
      <c r="F776" s="28"/>
      <c r="G776" s="28"/>
      <c r="H776" s="28"/>
      <c r="I776" s="28"/>
      <c r="J776" s="28"/>
      <c r="K776" s="28"/>
      <c r="L776" s="28"/>
      <c r="M776" s="28"/>
      <c r="N776" s="28"/>
      <c r="O776" s="65" t="s">
        <v>10527</v>
      </c>
      <c r="P776" s="68"/>
      <c r="Q776" s="68"/>
      <c r="R776" s="67"/>
      <c r="S776" s="67"/>
      <c r="T776" s="65"/>
      <c r="U776" s="67"/>
      <c r="V776" s="67"/>
      <c r="W776" s="67"/>
      <c r="X776" s="67"/>
      <c r="Y776" s="67"/>
      <c r="Z776" s="67"/>
      <c r="AA776" s="67"/>
      <c r="AB776" s="67"/>
      <c r="AC776" s="67"/>
      <c r="AD776" s="67"/>
      <c r="AE776" s="67"/>
      <c r="AF776" s="67"/>
      <c r="AG776" s="67"/>
      <c r="AH776" s="67"/>
      <c r="AI776" s="67"/>
      <c r="AJ776" s="67"/>
      <c r="AK776" s="67"/>
      <c r="AL776" s="67"/>
      <c r="AM776" s="67"/>
      <c r="AN776" s="67"/>
      <c r="AO776" s="67"/>
      <c r="AP776" s="67"/>
      <c r="AQ776" s="67"/>
      <c r="AR776" s="67"/>
      <c r="AS776" s="67"/>
      <c r="AT776" s="67"/>
      <c r="AU776" s="67"/>
      <c r="AV776" s="67"/>
      <c r="AW776" s="67"/>
      <c r="AX776" s="67"/>
    </row>
    <row r="777" ht="15.75" customHeight="1">
      <c r="A777" s="65" t="s">
        <v>134</v>
      </c>
      <c r="B777" s="66" t="s">
        <v>5448</v>
      </c>
      <c r="C777" s="28"/>
      <c r="D777" s="28"/>
      <c r="E777" s="28"/>
      <c r="F777" s="28"/>
      <c r="G777" s="28"/>
      <c r="H777" s="28"/>
      <c r="I777" s="28"/>
      <c r="J777" s="28"/>
      <c r="K777" s="28"/>
      <c r="L777" s="28"/>
      <c r="M777" s="28"/>
      <c r="N777" s="28"/>
      <c r="O777" s="67"/>
      <c r="P777" s="68"/>
      <c r="Q777" s="68"/>
      <c r="R777" s="67"/>
      <c r="S777" s="67"/>
      <c r="T777" s="65" t="s">
        <v>139</v>
      </c>
      <c r="U777" s="67"/>
      <c r="V777" s="67"/>
      <c r="W777" s="67"/>
      <c r="X777" s="67"/>
      <c r="Y777" s="67"/>
      <c r="Z777" s="67"/>
      <c r="AA777" s="67"/>
      <c r="AB777" s="67"/>
      <c r="AC777" s="67"/>
      <c r="AD777" s="67"/>
      <c r="AE777" s="67"/>
      <c r="AF777" s="67"/>
      <c r="AG777" s="67"/>
      <c r="AH777" s="67"/>
      <c r="AI777" s="67"/>
      <c r="AJ777" s="67"/>
      <c r="AK777" s="67"/>
      <c r="AL777" s="67"/>
      <c r="AM777" s="67"/>
      <c r="AN777" s="67"/>
      <c r="AO777" s="67"/>
      <c r="AP777" s="67"/>
      <c r="AQ777" s="67"/>
      <c r="AR777" s="67"/>
      <c r="AS777" s="67"/>
      <c r="AT777" s="67"/>
      <c r="AU777" s="67"/>
      <c r="AV777" s="67"/>
      <c r="AW777" s="67"/>
      <c r="AX777" s="67"/>
    </row>
    <row r="778" ht="15.75" customHeight="1">
      <c r="A778" s="58" t="s">
        <v>78</v>
      </c>
      <c r="B778" s="58" t="s">
        <v>5453</v>
      </c>
      <c r="C778" s="28"/>
      <c r="D778" s="28"/>
      <c r="E778" s="28"/>
      <c r="F778" s="28"/>
      <c r="G778" s="28"/>
      <c r="H778" s="28"/>
      <c r="I778" s="28"/>
      <c r="J778" s="28"/>
      <c r="K778" s="28"/>
      <c r="L778" s="28"/>
      <c r="M778" s="28"/>
      <c r="N778" s="28"/>
      <c r="O778" s="58"/>
      <c r="P778" s="24"/>
      <c r="Q778" s="24"/>
      <c r="R778" s="24"/>
      <c r="S778" s="24"/>
      <c r="T778" s="58" t="s">
        <v>10528</v>
      </c>
      <c r="U778" s="24"/>
      <c r="V778" s="24"/>
      <c r="W778" s="24"/>
      <c r="X778" s="24"/>
      <c r="Y778" s="24"/>
      <c r="Z778" s="24"/>
      <c r="AA778" s="24"/>
      <c r="AB778" s="24"/>
      <c r="AC778" s="24"/>
      <c r="AD778" s="24"/>
      <c r="AE778" s="24"/>
      <c r="AF778" s="24"/>
      <c r="AG778" s="24"/>
      <c r="AH778" s="24"/>
      <c r="AI778" s="24"/>
      <c r="AJ778" s="24"/>
      <c r="AK778" s="24"/>
      <c r="AL778" s="24"/>
      <c r="AM778" s="24"/>
      <c r="AN778" s="24"/>
      <c r="AO778" s="24"/>
      <c r="AP778" s="24"/>
      <c r="AQ778" s="24"/>
      <c r="AR778" s="24"/>
      <c r="AS778" s="24"/>
      <c r="AT778" s="24"/>
      <c r="AU778" s="24"/>
      <c r="AV778" s="24"/>
      <c r="AW778" s="24"/>
      <c r="AX778" s="24"/>
    </row>
    <row r="779" ht="15.75" customHeight="1">
      <c r="A779" s="229"/>
      <c r="B779" s="283"/>
      <c r="C779" s="28"/>
      <c r="D779" s="28"/>
      <c r="E779" s="28"/>
      <c r="F779" s="28"/>
      <c r="G779" s="28"/>
      <c r="H779" s="28"/>
      <c r="I779" s="28"/>
      <c r="J779" s="28"/>
      <c r="K779" s="28"/>
      <c r="L779" s="28"/>
      <c r="M779" s="28"/>
      <c r="N779" s="28"/>
      <c r="O779" s="126"/>
      <c r="P779" s="126"/>
      <c r="Q779" s="126"/>
      <c r="R779" s="126"/>
      <c r="S779" s="126"/>
      <c r="T779" s="126"/>
      <c r="U779" s="126"/>
      <c r="V779" s="126"/>
      <c r="W779" s="126"/>
      <c r="X779" s="126"/>
      <c r="Y779" s="126"/>
      <c r="Z779" s="126"/>
      <c r="AA779" s="126"/>
      <c r="AB779" s="126"/>
      <c r="AC779" s="126"/>
      <c r="AD779" s="126"/>
      <c r="AE779" s="126"/>
      <c r="AF779" s="126"/>
      <c r="AG779" s="126"/>
      <c r="AH779" s="126"/>
      <c r="AI779" s="126"/>
      <c r="AJ779" s="126"/>
      <c r="AK779" s="126"/>
      <c r="AL779" s="126"/>
      <c r="AM779" s="126"/>
      <c r="AN779" s="126"/>
      <c r="AO779" s="70"/>
      <c r="AP779" s="70"/>
      <c r="AQ779" s="70"/>
      <c r="AR779" s="70"/>
      <c r="AS779" s="70"/>
      <c r="AT779" s="70"/>
      <c r="AU779" s="70"/>
      <c r="AV779" s="70"/>
      <c r="AW779" s="70"/>
      <c r="AX779" s="70"/>
    </row>
    <row r="780" ht="15.75" customHeight="1">
      <c r="A780" s="65" t="s">
        <v>134</v>
      </c>
      <c r="B780" s="66" t="s">
        <v>5462</v>
      </c>
      <c r="C780" s="28"/>
      <c r="D780" s="28"/>
      <c r="E780" s="28"/>
      <c r="F780" s="28"/>
      <c r="G780" s="28"/>
      <c r="H780" s="28"/>
      <c r="I780" s="28"/>
      <c r="J780" s="28"/>
      <c r="K780" s="28"/>
      <c r="L780" s="28"/>
      <c r="M780" s="28"/>
      <c r="N780" s="28"/>
      <c r="O780" s="67"/>
      <c r="P780" s="68"/>
      <c r="Q780" s="68"/>
      <c r="R780" s="67"/>
      <c r="S780" s="67"/>
      <c r="T780" s="65" t="s">
        <v>139</v>
      </c>
      <c r="U780" s="67"/>
      <c r="V780" s="67"/>
      <c r="W780" s="67"/>
      <c r="X780" s="67"/>
      <c r="Y780" s="67"/>
      <c r="Z780" s="67"/>
      <c r="AA780" s="67"/>
      <c r="AB780" s="67"/>
      <c r="AC780" s="67"/>
      <c r="AD780" s="67"/>
      <c r="AE780" s="67"/>
      <c r="AF780" s="67"/>
      <c r="AG780" s="67"/>
      <c r="AH780" s="67"/>
      <c r="AI780" s="67"/>
      <c r="AJ780" s="67"/>
      <c r="AK780" s="67"/>
      <c r="AL780" s="67"/>
      <c r="AM780" s="67"/>
      <c r="AN780" s="67"/>
      <c r="AO780" s="67"/>
      <c r="AP780" s="67"/>
      <c r="AQ780" s="67"/>
      <c r="AR780" s="67"/>
      <c r="AS780" s="67"/>
      <c r="AT780" s="67"/>
      <c r="AU780" s="67"/>
      <c r="AV780" s="67"/>
      <c r="AW780" s="67"/>
      <c r="AX780" s="67"/>
    </row>
    <row r="781" ht="15.75" customHeight="1">
      <c r="A781" s="123" t="s">
        <v>5469</v>
      </c>
      <c r="B781" s="284" t="s">
        <v>5471</v>
      </c>
      <c r="C781" s="28" t="s">
        <v>5475</v>
      </c>
      <c r="D781" s="28" t="s">
        <v>5477</v>
      </c>
      <c r="E781" s="28" t="s">
        <v>5478</v>
      </c>
      <c r="F781" s="28"/>
      <c r="G781" s="28"/>
      <c r="H781" s="28"/>
      <c r="I781" s="28"/>
      <c r="J781" s="28"/>
      <c r="K781" s="28" t="s">
        <v>10529</v>
      </c>
      <c r="L781" s="28"/>
      <c r="M781" s="28"/>
      <c r="N781" s="28"/>
      <c r="O781" s="126"/>
      <c r="P781" s="126"/>
      <c r="Q781" s="126"/>
      <c r="R781" s="126"/>
      <c r="S781" s="126"/>
      <c r="T781" s="126"/>
      <c r="U781" s="126"/>
      <c r="V781" s="126"/>
      <c r="W781" s="126"/>
      <c r="X781" s="126"/>
      <c r="Y781" s="126"/>
      <c r="Z781" s="126"/>
      <c r="AA781" s="126"/>
      <c r="AB781" s="126"/>
      <c r="AC781" s="126"/>
      <c r="AD781" s="126"/>
      <c r="AE781" s="126"/>
      <c r="AF781" s="126"/>
      <c r="AG781" s="126"/>
      <c r="AH781" s="126"/>
      <c r="AI781" s="126"/>
      <c r="AJ781" s="126"/>
      <c r="AK781" s="126"/>
      <c r="AL781" s="126"/>
      <c r="AM781" s="126"/>
      <c r="AN781" s="126"/>
      <c r="AO781" s="70"/>
      <c r="AP781" s="70"/>
      <c r="AQ781" s="70"/>
      <c r="AR781" s="70"/>
      <c r="AS781" s="70"/>
      <c r="AT781" s="70"/>
      <c r="AU781" s="70"/>
      <c r="AV781" s="70"/>
      <c r="AW781" s="70"/>
      <c r="AX781" s="70"/>
    </row>
    <row r="782" ht="15.75" customHeight="1">
      <c r="A782" s="123" t="s">
        <v>5479</v>
      </c>
      <c r="B782" s="284" t="s">
        <v>5480</v>
      </c>
      <c r="C782" s="28" t="s">
        <v>5484</v>
      </c>
      <c r="D782" s="28" t="s">
        <v>5485</v>
      </c>
      <c r="E782" s="28" t="s">
        <v>5486</v>
      </c>
      <c r="F782" s="28"/>
      <c r="G782" s="28"/>
      <c r="H782" s="28"/>
      <c r="I782" s="28"/>
      <c r="J782" s="28"/>
      <c r="K782" s="28" t="s">
        <v>10529</v>
      </c>
      <c r="L782" s="28"/>
      <c r="M782" s="28"/>
      <c r="N782" s="28"/>
      <c r="O782" s="123" t="s">
        <v>10530</v>
      </c>
      <c r="P782" s="126"/>
      <c r="Q782" s="126"/>
      <c r="R782" s="126"/>
      <c r="S782" s="126"/>
      <c r="T782" s="126"/>
      <c r="U782" s="126"/>
      <c r="V782" s="126"/>
      <c r="W782" s="126"/>
      <c r="X782" s="126"/>
      <c r="Y782" s="126"/>
      <c r="Z782" s="126"/>
      <c r="AA782" s="126"/>
      <c r="AB782" s="126"/>
      <c r="AC782" s="126"/>
      <c r="AD782" s="126"/>
      <c r="AE782" s="126"/>
      <c r="AF782" s="126"/>
      <c r="AG782" s="126"/>
      <c r="AH782" s="126"/>
      <c r="AI782" s="126"/>
      <c r="AJ782" s="126"/>
      <c r="AK782" s="126"/>
      <c r="AL782" s="126"/>
      <c r="AM782" s="126"/>
      <c r="AN782" s="126"/>
      <c r="AO782" s="70"/>
      <c r="AP782" s="70"/>
      <c r="AQ782" s="70"/>
      <c r="AR782" s="70"/>
      <c r="AS782" s="70"/>
      <c r="AT782" s="70"/>
      <c r="AU782" s="70"/>
      <c r="AV782" s="70"/>
      <c r="AW782" s="70"/>
      <c r="AX782" s="70"/>
    </row>
    <row r="783" ht="16.5" customHeight="1">
      <c r="A783" s="65" t="s">
        <v>134</v>
      </c>
      <c r="B783" s="66" t="s">
        <v>5487</v>
      </c>
      <c r="C783" s="28"/>
      <c r="D783" s="28"/>
      <c r="E783" s="28"/>
      <c r="F783" s="28"/>
      <c r="G783" s="28"/>
      <c r="H783" s="28"/>
      <c r="I783" s="28"/>
      <c r="J783" s="28"/>
      <c r="K783" s="28"/>
      <c r="L783" s="28"/>
      <c r="M783" s="28"/>
      <c r="N783" s="28"/>
      <c r="O783" s="67"/>
      <c r="P783" s="68"/>
      <c r="Q783" s="68"/>
      <c r="R783" s="67"/>
      <c r="S783" s="67"/>
      <c r="T783" s="65" t="s">
        <v>139</v>
      </c>
      <c r="U783" s="67"/>
      <c r="V783" s="67"/>
      <c r="W783" s="67"/>
      <c r="X783" s="67"/>
      <c r="Y783" s="67"/>
      <c r="Z783" s="67"/>
      <c r="AA783" s="67"/>
      <c r="AB783" s="67"/>
      <c r="AC783" s="67"/>
      <c r="AD783" s="67"/>
      <c r="AE783" s="67"/>
      <c r="AF783" s="67"/>
      <c r="AG783" s="67"/>
      <c r="AH783" s="67"/>
      <c r="AI783" s="67"/>
      <c r="AJ783" s="67"/>
      <c r="AK783" s="67"/>
      <c r="AL783" s="67"/>
      <c r="AM783" s="67"/>
      <c r="AN783" s="67"/>
      <c r="AO783" s="67"/>
      <c r="AP783" s="67"/>
      <c r="AQ783" s="67"/>
      <c r="AR783" s="67"/>
      <c r="AS783" s="67"/>
      <c r="AT783" s="67"/>
      <c r="AU783" s="67"/>
      <c r="AV783" s="67"/>
      <c r="AW783" s="67"/>
      <c r="AX783" s="67"/>
    </row>
    <row r="784" ht="15.0" customHeight="1">
      <c r="A784" s="58" t="s">
        <v>78</v>
      </c>
      <c r="B784" s="58" t="s">
        <v>5491</v>
      </c>
      <c r="C784" s="28"/>
      <c r="D784" s="28"/>
      <c r="E784" s="28"/>
      <c r="F784" s="28"/>
      <c r="G784" s="28"/>
      <c r="H784" s="28"/>
      <c r="I784" s="28"/>
      <c r="J784" s="28"/>
      <c r="K784" s="28"/>
      <c r="L784" s="28"/>
      <c r="M784" s="28"/>
      <c r="N784" s="28"/>
      <c r="O784" s="58"/>
      <c r="P784" s="24"/>
      <c r="Q784" s="24"/>
      <c r="R784" s="24"/>
      <c r="S784" s="24"/>
      <c r="T784" s="58" t="s">
        <v>10531</v>
      </c>
      <c r="U784" s="24"/>
      <c r="V784" s="24"/>
      <c r="W784" s="24"/>
      <c r="X784" s="24"/>
      <c r="Y784" s="24"/>
      <c r="Z784" s="24"/>
      <c r="AA784" s="24"/>
      <c r="AB784" s="24"/>
      <c r="AC784" s="24"/>
      <c r="AD784" s="24"/>
      <c r="AE784" s="24"/>
      <c r="AF784" s="24"/>
      <c r="AG784" s="24"/>
      <c r="AH784" s="24"/>
      <c r="AI784" s="24"/>
      <c r="AJ784" s="24"/>
      <c r="AK784" s="24"/>
      <c r="AL784" s="24"/>
      <c r="AM784" s="24"/>
      <c r="AN784" s="24"/>
      <c r="AO784" s="24"/>
      <c r="AP784" s="24"/>
      <c r="AQ784" s="24"/>
      <c r="AR784" s="24"/>
      <c r="AS784" s="24"/>
      <c r="AT784" s="24"/>
      <c r="AU784" s="24"/>
      <c r="AV784" s="24"/>
      <c r="AW784" s="24"/>
      <c r="AX784" s="24"/>
    </row>
    <row r="785">
      <c r="A785" s="136"/>
      <c r="B785" s="136"/>
      <c r="C785" s="28"/>
      <c r="D785" s="28"/>
      <c r="E785" s="28"/>
      <c r="F785" s="28"/>
      <c r="G785" s="28"/>
      <c r="H785" s="28"/>
      <c r="I785" s="28"/>
      <c r="J785" s="28"/>
      <c r="K785" s="28"/>
      <c r="L785" s="28"/>
      <c r="M785" s="28"/>
      <c r="N785" s="28"/>
      <c r="O785" s="136"/>
      <c r="P785" s="136"/>
      <c r="Q785" s="136"/>
      <c r="R785" s="136"/>
      <c r="S785" s="136"/>
      <c r="T785" s="136"/>
      <c r="U785" s="136"/>
      <c r="V785" s="136"/>
      <c r="W785" s="136"/>
      <c r="X785" s="136"/>
      <c r="Y785" s="136"/>
      <c r="Z785" s="136"/>
      <c r="AA785" s="136"/>
      <c r="AB785" s="136"/>
      <c r="AC785" s="136"/>
      <c r="AD785" s="136"/>
      <c r="AE785" s="136"/>
      <c r="AF785" s="136"/>
      <c r="AG785" s="136"/>
      <c r="AH785" s="136"/>
      <c r="AI785" s="136"/>
      <c r="AJ785" s="136"/>
      <c r="AK785" s="136"/>
      <c r="AL785" s="136"/>
      <c r="AM785" s="136"/>
      <c r="AN785" s="136"/>
      <c r="AO785" s="136"/>
      <c r="AP785" s="136"/>
      <c r="AQ785" s="136"/>
      <c r="AR785" s="136"/>
      <c r="AS785" s="136"/>
      <c r="AT785" s="136"/>
      <c r="AU785" s="136"/>
      <c r="AV785" s="136"/>
      <c r="AW785" s="136"/>
      <c r="AX785" s="136"/>
    </row>
    <row r="786" ht="15.75" customHeight="1">
      <c r="A786" s="166" t="s">
        <v>41</v>
      </c>
      <c r="B786" s="284" t="s">
        <v>5499</v>
      </c>
      <c r="C786" s="28" t="s">
        <v>5507</v>
      </c>
      <c r="D786" s="28" t="s">
        <v>5509</v>
      </c>
      <c r="E786" s="28" t="s">
        <v>5510</v>
      </c>
      <c r="F786" s="28"/>
      <c r="G786" s="28"/>
      <c r="H786" s="28"/>
      <c r="I786" s="28"/>
      <c r="J786" s="28"/>
      <c r="K786" s="28"/>
      <c r="L786" s="28"/>
      <c r="M786" s="28"/>
      <c r="N786" s="28"/>
      <c r="O786" s="126"/>
      <c r="P786" s="126"/>
      <c r="Q786" s="126"/>
      <c r="R786" s="126"/>
      <c r="S786" s="126"/>
      <c r="T786" s="126"/>
      <c r="U786" s="126"/>
      <c r="V786" s="126"/>
      <c r="W786" s="126"/>
      <c r="X786" s="126"/>
      <c r="Y786" s="126"/>
      <c r="Z786" s="126"/>
      <c r="AA786" s="126"/>
      <c r="AB786" s="126"/>
      <c r="AC786" s="70"/>
      <c r="AD786" s="70"/>
      <c r="AE786" s="70"/>
      <c r="AF786" s="70"/>
      <c r="AG786" s="70"/>
      <c r="AH786" s="70"/>
      <c r="AI786" s="139"/>
      <c r="AJ786" s="139"/>
      <c r="AK786" s="139"/>
      <c r="AL786" s="139"/>
      <c r="AM786" s="139"/>
      <c r="AN786" s="139"/>
      <c r="AO786" s="70"/>
      <c r="AP786" s="70"/>
      <c r="AQ786" s="70"/>
      <c r="AR786" s="70"/>
      <c r="AS786" s="70"/>
      <c r="AT786" s="70"/>
      <c r="AU786" s="70"/>
      <c r="AV786" s="70"/>
      <c r="AW786" s="70"/>
      <c r="AX786" s="70"/>
    </row>
    <row r="787" ht="15.75" customHeight="1">
      <c r="A787" s="68" t="s">
        <v>463</v>
      </c>
      <c r="B787" s="218" t="s">
        <v>5511</v>
      </c>
      <c r="C787" s="28" t="s">
        <v>5516</v>
      </c>
      <c r="D787" s="28" t="s">
        <v>5517</v>
      </c>
      <c r="E787" s="28" t="s">
        <v>5518</v>
      </c>
      <c r="F787" s="28"/>
      <c r="G787" s="28"/>
      <c r="H787" s="28"/>
      <c r="I787" s="28"/>
      <c r="J787" s="28"/>
      <c r="K787" s="28"/>
      <c r="L787" s="28"/>
      <c r="M787" s="28"/>
      <c r="N787" s="28"/>
      <c r="O787" s="67"/>
      <c r="P787" s="67"/>
      <c r="Q787" s="67" t="s">
        <v>145</v>
      </c>
      <c r="R787" s="67"/>
      <c r="S787" s="67"/>
      <c r="T787" s="67"/>
      <c r="U787" s="67"/>
      <c r="V787" s="67"/>
      <c r="W787" s="67"/>
      <c r="X787" s="67"/>
      <c r="Y787" s="67"/>
      <c r="Z787" s="67"/>
      <c r="AA787" s="67"/>
      <c r="AB787" s="67"/>
      <c r="AC787" s="70"/>
      <c r="AD787" s="70"/>
      <c r="AE787" s="70"/>
      <c r="AF787" s="70"/>
      <c r="AG787" s="70"/>
      <c r="AH787" s="70"/>
      <c r="AI787" s="139"/>
      <c r="AJ787" s="139"/>
      <c r="AK787" s="139"/>
      <c r="AL787" s="139"/>
      <c r="AM787" s="139"/>
      <c r="AN787" s="139"/>
      <c r="AO787" s="70"/>
      <c r="AP787" s="70"/>
      <c r="AQ787" s="70"/>
      <c r="AR787" s="70"/>
      <c r="AS787" s="70"/>
      <c r="AT787" s="70"/>
      <c r="AU787" s="70"/>
      <c r="AV787" s="70"/>
      <c r="AW787" s="70"/>
      <c r="AX787" s="70"/>
    </row>
    <row r="788" ht="15.75" customHeight="1">
      <c r="A788" s="68" t="s">
        <v>5519</v>
      </c>
      <c r="B788" s="218" t="s">
        <v>5520</v>
      </c>
      <c r="C788" s="28" t="s">
        <v>5524</v>
      </c>
      <c r="D788" s="28" t="s">
        <v>5525</v>
      </c>
      <c r="E788" s="28" t="s">
        <v>5526</v>
      </c>
      <c r="F788" s="28" t="s">
        <v>7285</v>
      </c>
      <c r="G788" s="28" t="s">
        <v>7286</v>
      </c>
      <c r="H788" s="28" t="s">
        <v>7288</v>
      </c>
      <c r="I788" s="28"/>
      <c r="J788" s="28"/>
      <c r="K788" s="28"/>
      <c r="L788" s="28"/>
      <c r="M788" s="28"/>
      <c r="N788" s="28"/>
      <c r="O788" s="65" t="s">
        <v>10532</v>
      </c>
      <c r="P788" s="67"/>
      <c r="Q788" s="67" t="s">
        <v>145</v>
      </c>
      <c r="R788" s="67"/>
      <c r="S788" s="67"/>
      <c r="T788" s="67"/>
      <c r="U788" s="67"/>
      <c r="V788" s="67"/>
      <c r="W788" s="67"/>
      <c r="X788" s="67"/>
      <c r="Y788" s="67"/>
      <c r="Z788" s="67"/>
      <c r="AA788" s="67"/>
      <c r="AB788" s="67"/>
      <c r="AC788" s="70"/>
      <c r="AD788" s="70"/>
      <c r="AE788" s="70"/>
      <c r="AF788" s="70"/>
      <c r="AG788" s="70"/>
      <c r="AH788" s="70"/>
      <c r="AI788" s="139"/>
      <c r="AJ788" s="139"/>
      <c r="AK788" s="139"/>
      <c r="AL788" s="139"/>
      <c r="AM788" s="139"/>
      <c r="AN788" s="139"/>
      <c r="AO788" s="70"/>
      <c r="AP788" s="70"/>
      <c r="AQ788" s="70"/>
      <c r="AR788" s="70"/>
      <c r="AS788" s="70"/>
      <c r="AT788" s="70"/>
      <c r="AU788" s="70"/>
      <c r="AV788" s="70"/>
      <c r="AW788" s="70"/>
      <c r="AX788" s="70"/>
    </row>
    <row r="789" ht="15.75" customHeight="1">
      <c r="A789" s="179" t="s">
        <v>246</v>
      </c>
      <c r="B789" s="228" t="s">
        <v>5527</v>
      </c>
      <c r="C789" s="28" t="s">
        <v>5535</v>
      </c>
      <c r="D789" s="28" t="s">
        <v>5536</v>
      </c>
      <c r="E789" s="28" t="s">
        <v>5537</v>
      </c>
      <c r="F789" s="28"/>
      <c r="G789" s="28"/>
      <c r="H789" s="28"/>
      <c r="I789" s="28"/>
      <c r="J789" s="28"/>
      <c r="K789" s="28"/>
      <c r="L789" s="28"/>
      <c r="M789" s="28"/>
      <c r="N789" s="28"/>
      <c r="O789" s="274" t="s">
        <v>10533</v>
      </c>
      <c r="P789" s="181"/>
      <c r="Q789" s="181" t="s">
        <v>145</v>
      </c>
      <c r="R789" s="181"/>
      <c r="S789" s="181"/>
      <c r="T789" s="181"/>
      <c r="U789" s="181"/>
      <c r="V789" s="181"/>
      <c r="W789" s="181"/>
      <c r="X789" s="181"/>
      <c r="Y789" s="181"/>
      <c r="Z789" s="181"/>
      <c r="AA789" s="181"/>
      <c r="AB789" s="181"/>
      <c r="AC789" s="70"/>
      <c r="AD789" s="70"/>
      <c r="AE789" s="70"/>
      <c r="AF789" s="70"/>
      <c r="AG789" s="70"/>
      <c r="AH789" s="70"/>
      <c r="AI789" s="139"/>
      <c r="AJ789" s="139"/>
      <c r="AK789" s="139"/>
      <c r="AL789" s="139"/>
      <c r="AM789" s="139"/>
      <c r="AN789" s="139"/>
      <c r="AO789" s="70"/>
      <c r="AP789" s="70"/>
      <c r="AQ789" s="70"/>
      <c r="AR789" s="70"/>
      <c r="AS789" s="70"/>
      <c r="AT789" s="70"/>
      <c r="AU789" s="70"/>
      <c r="AV789" s="70"/>
      <c r="AW789" s="70"/>
      <c r="AX789" s="70"/>
    </row>
    <row r="790" ht="15.75" customHeight="1">
      <c r="A790" s="170" t="s">
        <v>263</v>
      </c>
      <c r="B790" s="271" t="s">
        <v>5538</v>
      </c>
      <c r="C790" s="28" t="s">
        <v>5542</v>
      </c>
      <c r="D790" s="28" t="s">
        <v>5543</v>
      </c>
      <c r="E790" s="28" t="s">
        <v>5544</v>
      </c>
      <c r="F790" s="28"/>
      <c r="G790" s="28"/>
      <c r="H790" s="28"/>
      <c r="I790" s="28"/>
      <c r="J790" s="28"/>
      <c r="K790" s="28"/>
      <c r="L790" s="28"/>
      <c r="M790" s="28"/>
      <c r="N790" s="28"/>
      <c r="O790" s="172" t="s">
        <v>10532</v>
      </c>
      <c r="P790" s="173"/>
      <c r="Q790" s="173" t="s">
        <v>145</v>
      </c>
      <c r="R790" s="173"/>
      <c r="S790" s="173"/>
      <c r="T790" s="173"/>
      <c r="U790" s="173"/>
      <c r="V790" s="173"/>
      <c r="W790" s="173"/>
      <c r="X790" s="173"/>
      <c r="Y790" s="173"/>
      <c r="Z790" s="173"/>
      <c r="AA790" s="173"/>
      <c r="AB790" s="173"/>
      <c r="AC790" s="70"/>
      <c r="AD790" s="70"/>
      <c r="AE790" s="70"/>
      <c r="AF790" s="70"/>
      <c r="AG790" s="70"/>
      <c r="AH790" s="70"/>
      <c r="AI790" s="139"/>
      <c r="AJ790" s="139"/>
      <c r="AK790" s="139"/>
      <c r="AL790" s="139"/>
      <c r="AM790" s="139"/>
      <c r="AN790" s="139"/>
      <c r="AO790" s="70"/>
      <c r="AP790" s="70"/>
      <c r="AQ790" s="70"/>
      <c r="AR790" s="70"/>
      <c r="AS790" s="70"/>
      <c r="AT790" s="70"/>
      <c r="AU790" s="70"/>
      <c r="AV790" s="70"/>
      <c r="AW790" s="70"/>
      <c r="AX790" s="70"/>
    </row>
    <row r="791" ht="15.75" customHeight="1">
      <c r="A791" s="68" t="s">
        <v>463</v>
      </c>
      <c r="B791" s="218" t="s">
        <v>5545</v>
      </c>
      <c r="C791" s="28" t="s">
        <v>5549</v>
      </c>
      <c r="D791" s="28" t="s">
        <v>5550</v>
      </c>
      <c r="E791" s="28" t="s">
        <v>5551</v>
      </c>
      <c r="F791" s="28"/>
      <c r="G791" s="28"/>
      <c r="H791" s="28"/>
      <c r="I791" s="28"/>
      <c r="J791" s="28"/>
      <c r="K791" s="28"/>
      <c r="L791" s="28"/>
      <c r="M791" s="28"/>
      <c r="N791" s="28"/>
      <c r="O791" s="67"/>
      <c r="P791" s="67"/>
      <c r="Q791" s="67" t="s">
        <v>145</v>
      </c>
      <c r="R791" s="67"/>
      <c r="S791" s="67"/>
      <c r="T791" s="67"/>
      <c r="U791" s="67"/>
      <c r="V791" s="67"/>
      <c r="W791" s="67"/>
      <c r="X791" s="67"/>
      <c r="Y791" s="67"/>
      <c r="Z791" s="67"/>
      <c r="AA791" s="67"/>
      <c r="AB791" s="67"/>
      <c r="AC791" s="70"/>
      <c r="AD791" s="70"/>
      <c r="AE791" s="70"/>
      <c r="AF791" s="70"/>
      <c r="AG791" s="70"/>
      <c r="AH791" s="70"/>
      <c r="AI791" s="139"/>
      <c r="AJ791" s="139"/>
      <c r="AK791" s="139"/>
      <c r="AL791" s="139"/>
      <c r="AM791" s="139"/>
      <c r="AN791" s="139"/>
      <c r="AO791" s="70"/>
      <c r="AP791" s="70"/>
      <c r="AQ791" s="70"/>
      <c r="AR791" s="70"/>
      <c r="AS791" s="70"/>
      <c r="AT791" s="70"/>
      <c r="AU791" s="70"/>
      <c r="AV791" s="70"/>
      <c r="AW791" s="70"/>
      <c r="AX791" s="70"/>
    </row>
    <row r="792" ht="15.75" customHeight="1">
      <c r="A792" s="179" t="s">
        <v>246</v>
      </c>
      <c r="B792" s="228" t="s">
        <v>5552</v>
      </c>
      <c r="C792" s="28" t="s">
        <v>5556</v>
      </c>
      <c r="D792" s="28" t="s">
        <v>5557</v>
      </c>
      <c r="E792" s="28" t="s">
        <v>5558</v>
      </c>
      <c r="F792" s="28"/>
      <c r="G792" s="28"/>
      <c r="H792" s="28"/>
      <c r="I792" s="28"/>
      <c r="J792" s="28"/>
      <c r="K792" s="28"/>
      <c r="L792" s="28"/>
      <c r="M792" s="28"/>
      <c r="N792" s="28"/>
      <c r="O792" s="274" t="s">
        <v>10534</v>
      </c>
      <c r="P792" s="181"/>
      <c r="Q792" s="181" t="s">
        <v>145</v>
      </c>
      <c r="R792" s="181"/>
      <c r="S792" s="181"/>
      <c r="T792" s="181"/>
      <c r="U792" s="181"/>
      <c r="V792" s="181"/>
      <c r="W792" s="181"/>
      <c r="X792" s="181"/>
      <c r="Y792" s="181"/>
      <c r="Z792" s="181"/>
      <c r="AA792" s="181"/>
      <c r="AB792" s="181"/>
      <c r="AC792" s="70"/>
      <c r="AD792" s="70"/>
      <c r="AE792" s="70"/>
      <c r="AF792" s="70"/>
      <c r="AG792" s="70"/>
      <c r="AH792" s="70"/>
      <c r="AI792" s="139"/>
      <c r="AJ792" s="139"/>
      <c r="AK792" s="139"/>
      <c r="AL792" s="139"/>
      <c r="AM792" s="139"/>
      <c r="AN792" s="139"/>
      <c r="AO792" s="70"/>
      <c r="AP792" s="70"/>
      <c r="AQ792" s="70"/>
      <c r="AR792" s="70"/>
      <c r="AS792" s="70"/>
      <c r="AT792" s="70"/>
      <c r="AU792" s="70"/>
      <c r="AV792" s="70"/>
      <c r="AW792" s="70"/>
      <c r="AX792" s="70"/>
    </row>
    <row r="793" ht="15.75" customHeight="1">
      <c r="A793" s="170" t="s">
        <v>263</v>
      </c>
      <c r="B793" s="271" t="s">
        <v>5559</v>
      </c>
      <c r="C793" s="28" t="s">
        <v>5562</v>
      </c>
      <c r="D793" s="28" t="s">
        <v>5563</v>
      </c>
      <c r="E793" s="28" t="s">
        <v>5564</v>
      </c>
      <c r="F793" s="28"/>
      <c r="G793" s="28"/>
      <c r="H793" s="28"/>
      <c r="I793" s="28"/>
      <c r="J793" s="28"/>
      <c r="K793" s="28"/>
      <c r="L793" s="28"/>
      <c r="M793" s="28"/>
      <c r="N793" s="28"/>
      <c r="O793" s="172" t="s">
        <v>10535</v>
      </c>
      <c r="P793" s="173"/>
      <c r="Q793" s="173" t="s">
        <v>145</v>
      </c>
      <c r="R793" s="173"/>
      <c r="S793" s="173"/>
      <c r="T793" s="173"/>
      <c r="U793" s="173"/>
      <c r="V793" s="173"/>
      <c r="W793" s="173"/>
      <c r="X793" s="173"/>
      <c r="Y793" s="173"/>
      <c r="Z793" s="173"/>
      <c r="AA793" s="173"/>
      <c r="AB793" s="173"/>
      <c r="AC793" s="70"/>
      <c r="AD793" s="70"/>
      <c r="AE793" s="70"/>
      <c r="AF793" s="70"/>
      <c r="AG793" s="70"/>
      <c r="AH793" s="70"/>
      <c r="AI793" s="139"/>
      <c r="AJ793" s="139"/>
      <c r="AK793" s="139"/>
      <c r="AL793" s="139"/>
      <c r="AM793" s="139"/>
      <c r="AN793" s="139"/>
      <c r="AO793" s="70"/>
      <c r="AP793" s="70"/>
      <c r="AQ793" s="70"/>
      <c r="AR793" s="70"/>
      <c r="AS793" s="70"/>
      <c r="AT793" s="70"/>
      <c r="AU793" s="70"/>
      <c r="AV793" s="70"/>
      <c r="AW793" s="70"/>
      <c r="AX793" s="70"/>
    </row>
    <row r="794" ht="15.75" customHeight="1">
      <c r="A794" s="166"/>
      <c r="B794" s="167"/>
      <c r="C794" s="28"/>
      <c r="D794" s="28"/>
      <c r="E794" s="28"/>
      <c r="F794" s="28"/>
      <c r="G794" s="28"/>
      <c r="H794" s="28"/>
      <c r="I794" s="28"/>
      <c r="J794" s="28"/>
      <c r="K794" s="28"/>
      <c r="L794" s="28"/>
      <c r="M794" s="28"/>
      <c r="N794" s="28"/>
      <c r="O794" s="126"/>
      <c r="P794" s="126"/>
      <c r="Q794" s="126"/>
      <c r="R794" s="126"/>
      <c r="S794" s="126"/>
      <c r="T794" s="126"/>
      <c r="U794" s="126"/>
      <c r="V794" s="126"/>
      <c r="W794" s="126"/>
      <c r="X794" s="126"/>
      <c r="Y794" s="126"/>
      <c r="Z794" s="126"/>
      <c r="AA794" s="126"/>
      <c r="AB794" s="126"/>
      <c r="AC794" s="126"/>
      <c r="AD794" s="126"/>
      <c r="AE794" s="126"/>
      <c r="AF794" s="126"/>
      <c r="AG794" s="126"/>
      <c r="AH794" s="126"/>
      <c r="AI794" s="126"/>
      <c r="AJ794" s="126"/>
      <c r="AK794" s="126"/>
      <c r="AL794" s="126"/>
      <c r="AM794" s="126"/>
      <c r="AN794" s="126"/>
      <c r="AO794" s="70"/>
      <c r="AP794" s="70"/>
      <c r="AQ794" s="70"/>
      <c r="AR794" s="70"/>
      <c r="AS794" s="70"/>
      <c r="AT794" s="70"/>
      <c r="AU794" s="70"/>
      <c r="AV794" s="70"/>
      <c r="AW794" s="70"/>
      <c r="AX794" s="70"/>
    </row>
    <row r="795" ht="16.5" customHeight="1">
      <c r="A795" s="65" t="s">
        <v>134</v>
      </c>
      <c r="B795" s="66" t="s">
        <v>5568</v>
      </c>
      <c r="C795" s="28"/>
      <c r="D795" s="28"/>
      <c r="E795" s="28"/>
      <c r="F795" s="28"/>
      <c r="G795" s="28"/>
      <c r="H795" s="28"/>
      <c r="I795" s="28"/>
      <c r="J795" s="28"/>
      <c r="K795" s="28"/>
      <c r="L795" s="28"/>
      <c r="M795" s="28"/>
      <c r="N795" s="28"/>
      <c r="O795" s="67"/>
      <c r="P795" s="68"/>
      <c r="Q795" s="68"/>
      <c r="R795" s="67"/>
      <c r="S795" s="67"/>
      <c r="T795" s="65" t="s">
        <v>139</v>
      </c>
      <c r="U795" s="67"/>
      <c r="V795" s="67"/>
      <c r="W795" s="67"/>
      <c r="X795" s="67"/>
      <c r="Y795" s="67"/>
      <c r="Z795" s="67"/>
      <c r="AA795" s="67"/>
      <c r="AB795" s="67"/>
      <c r="AC795" s="67"/>
      <c r="AD795" s="67"/>
      <c r="AE795" s="67"/>
      <c r="AF795" s="67"/>
      <c r="AG795" s="67"/>
      <c r="AH795" s="67"/>
      <c r="AI795" s="67"/>
      <c r="AJ795" s="67"/>
      <c r="AK795" s="67"/>
      <c r="AL795" s="67"/>
      <c r="AM795" s="67"/>
      <c r="AN795" s="67"/>
      <c r="AO795" s="67"/>
      <c r="AP795" s="67"/>
      <c r="AQ795" s="67"/>
      <c r="AR795" s="67"/>
      <c r="AS795" s="67"/>
      <c r="AT795" s="67"/>
      <c r="AU795" s="67"/>
      <c r="AV795" s="67"/>
      <c r="AW795" s="67"/>
      <c r="AX795" s="67"/>
    </row>
    <row r="796" ht="15.75" customHeight="1">
      <c r="A796" s="166" t="s">
        <v>41</v>
      </c>
      <c r="B796" s="167" t="s">
        <v>5574</v>
      </c>
      <c r="C796" s="28" t="s">
        <v>5578</v>
      </c>
      <c r="D796" s="28" t="s">
        <v>5579</v>
      </c>
      <c r="E796" s="28" t="s">
        <v>5580</v>
      </c>
      <c r="F796" s="28"/>
      <c r="G796" s="28"/>
      <c r="H796" s="28"/>
      <c r="I796" s="28"/>
      <c r="J796" s="28"/>
      <c r="K796" s="28"/>
      <c r="L796" s="28"/>
      <c r="M796" s="28"/>
      <c r="N796" s="28"/>
      <c r="O796" s="126"/>
      <c r="P796" s="126"/>
      <c r="Q796" s="126"/>
      <c r="R796" s="126"/>
      <c r="S796" s="126"/>
      <c r="T796" s="126"/>
      <c r="U796" s="126"/>
      <c r="V796" s="126"/>
      <c r="W796" s="126"/>
      <c r="X796" s="126"/>
      <c r="Y796" s="126"/>
      <c r="Z796" s="126"/>
      <c r="AA796" s="126"/>
      <c r="AB796" s="126"/>
      <c r="AC796" s="126"/>
      <c r="AD796" s="126"/>
      <c r="AE796" s="126"/>
      <c r="AF796" s="126"/>
      <c r="AG796" s="126"/>
      <c r="AH796" s="126"/>
      <c r="AI796" s="126"/>
      <c r="AJ796" s="126"/>
      <c r="AK796" s="126"/>
      <c r="AL796" s="126"/>
      <c r="AM796" s="126"/>
      <c r="AN796" s="126"/>
      <c r="AO796" s="70"/>
      <c r="AP796" s="70"/>
      <c r="AQ796" s="70"/>
      <c r="AR796" s="70"/>
      <c r="AS796" s="70"/>
      <c r="AT796" s="70"/>
      <c r="AU796" s="70"/>
      <c r="AV796" s="70"/>
      <c r="AW796" s="70"/>
      <c r="AX796" s="70"/>
    </row>
    <row r="797" ht="15.75" customHeight="1">
      <c r="A797" s="68" t="s">
        <v>5581</v>
      </c>
      <c r="B797" s="169" t="s">
        <v>5582</v>
      </c>
      <c r="C797" s="28" t="s">
        <v>5587</v>
      </c>
      <c r="D797" s="28" t="s">
        <v>5588</v>
      </c>
      <c r="E797" s="28" t="s">
        <v>5589</v>
      </c>
      <c r="F797" s="28"/>
      <c r="G797" s="28"/>
      <c r="H797" s="28"/>
      <c r="I797" s="28"/>
      <c r="J797" s="28"/>
      <c r="K797" s="28" t="s">
        <v>10536</v>
      </c>
      <c r="L797" s="28"/>
      <c r="M797" s="28"/>
      <c r="N797" s="28"/>
      <c r="O797" s="67"/>
      <c r="P797" s="67"/>
      <c r="Q797" s="67" t="s">
        <v>145</v>
      </c>
      <c r="R797" s="67"/>
      <c r="S797" s="67"/>
      <c r="T797" s="67"/>
      <c r="U797" s="67"/>
      <c r="V797" s="67"/>
      <c r="W797" s="67"/>
      <c r="X797" s="67"/>
      <c r="Y797" s="67"/>
      <c r="Z797" s="67"/>
      <c r="AA797" s="67"/>
      <c r="AB797" s="67"/>
      <c r="AC797" s="67"/>
      <c r="AD797" s="67"/>
      <c r="AE797" s="67"/>
      <c r="AF797" s="67"/>
      <c r="AG797" s="67"/>
      <c r="AH797" s="67"/>
      <c r="AI797" s="67"/>
      <c r="AJ797" s="67"/>
      <c r="AK797" s="67"/>
      <c r="AL797" s="67"/>
      <c r="AM797" s="67"/>
      <c r="AN797" s="67"/>
      <c r="AO797" s="70"/>
      <c r="AP797" s="70"/>
      <c r="AQ797" s="70"/>
      <c r="AR797" s="70"/>
      <c r="AS797" s="70"/>
      <c r="AT797" s="70"/>
      <c r="AU797" s="70"/>
      <c r="AV797" s="70"/>
      <c r="AW797" s="70"/>
      <c r="AX797" s="70"/>
    </row>
    <row r="798" ht="15.75" customHeight="1">
      <c r="A798" s="179" t="s">
        <v>246</v>
      </c>
      <c r="B798" s="180" t="s">
        <v>5590</v>
      </c>
      <c r="C798" s="28" t="s">
        <v>5594</v>
      </c>
      <c r="D798" s="28" t="s">
        <v>5595</v>
      </c>
      <c r="E798" s="28" t="s">
        <v>5596</v>
      </c>
      <c r="F798" s="28"/>
      <c r="G798" s="28"/>
      <c r="H798" s="28"/>
      <c r="I798" s="28"/>
      <c r="J798" s="28"/>
      <c r="K798" s="28"/>
      <c r="L798" s="28"/>
      <c r="M798" s="28"/>
      <c r="N798" s="28"/>
      <c r="O798" s="181" t="s">
        <v>10537</v>
      </c>
      <c r="P798" s="181"/>
      <c r="Q798" s="181" t="s">
        <v>145</v>
      </c>
      <c r="R798" s="181"/>
      <c r="S798" s="181"/>
      <c r="T798" s="181"/>
      <c r="U798" s="181"/>
      <c r="V798" s="181"/>
      <c r="W798" s="181"/>
      <c r="X798" s="181"/>
      <c r="Y798" s="181"/>
      <c r="Z798" s="181"/>
      <c r="AA798" s="181"/>
      <c r="AB798" s="181"/>
      <c r="AC798" s="181"/>
      <c r="AD798" s="181"/>
      <c r="AE798" s="181"/>
      <c r="AF798" s="181"/>
      <c r="AG798" s="181"/>
      <c r="AH798" s="181"/>
      <c r="AI798" s="181"/>
      <c r="AJ798" s="181"/>
      <c r="AK798" s="181"/>
      <c r="AL798" s="181"/>
      <c r="AM798" s="181"/>
      <c r="AN798" s="181"/>
      <c r="AO798" s="70"/>
      <c r="AP798" s="70"/>
      <c r="AQ798" s="70"/>
      <c r="AR798" s="70"/>
      <c r="AS798" s="70"/>
      <c r="AT798" s="70"/>
      <c r="AU798" s="70"/>
      <c r="AV798" s="70"/>
      <c r="AW798" s="70"/>
      <c r="AX798" s="70"/>
    </row>
    <row r="799" ht="15.75" customHeight="1">
      <c r="A799" s="174" t="s">
        <v>698</v>
      </c>
      <c r="B799" s="175" t="s">
        <v>5597</v>
      </c>
      <c r="C799" s="28" t="s">
        <v>5598</v>
      </c>
      <c r="D799" s="28" t="s">
        <v>5599</v>
      </c>
      <c r="E799" s="28" t="s">
        <v>5600</v>
      </c>
      <c r="F799" s="28"/>
      <c r="G799" s="28"/>
      <c r="H799" s="28"/>
      <c r="I799" s="28"/>
      <c r="J799" s="28"/>
      <c r="K799" s="28"/>
      <c r="L799" s="28"/>
      <c r="M799" s="28"/>
      <c r="N799" s="28"/>
      <c r="O799" s="177" t="s">
        <v>10538</v>
      </c>
      <c r="P799" s="176"/>
      <c r="Q799" s="176"/>
      <c r="R799" s="176"/>
      <c r="S799" s="176"/>
      <c r="T799" s="176"/>
      <c r="U799" s="177" t="s">
        <v>10539</v>
      </c>
      <c r="V799" s="176"/>
      <c r="W799" s="176"/>
      <c r="X799" s="176"/>
      <c r="Y799" s="176"/>
      <c r="Z799" s="176"/>
      <c r="AA799" s="176"/>
      <c r="AB799" s="176"/>
      <c r="AC799" s="176"/>
      <c r="AD799" s="176"/>
      <c r="AE799" s="176"/>
      <c r="AF799" s="176"/>
      <c r="AG799" s="176"/>
      <c r="AH799" s="176"/>
      <c r="AI799" s="176"/>
      <c r="AJ799" s="176"/>
      <c r="AK799" s="176"/>
      <c r="AL799" s="176"/>
      <c r="AM799" s="176"/>
      <c r="AN799" s="176"/>
      <c r="AO799" s="70"/>
      <c r="AP799" s="70"/>
      <c r="AQ799" s="70"/>
      <c r="AR799" s="70"/>
      <c r="AS799" s="70"/>
      <c r="AT799" s="70"/>
      <c r="AU799" s="70"/>
      <c r="AV799" s="70"/>
      <c r="AW799" s="70"/>
      <c r="AX799" s="70"/>
    </row>
    <row r="800" ht="15.75" customHeight="1">
      <c r="A800" s="90" t="s">
        <v>78</v>
      </c>
      <c r="B800" s="92" t="s">
        <v>5601</v>
      </c>
      <c r="C800" s="28" t="s">
        <v>5602</v>
      </c>
      <c r="D800" s="28" t="s">
        <v>5603</v>
      </c>
      <c r="E800" s="28" t="s">
        <v>5604</v>
      </c>
      <c r="F800" s="28"/>
      <c r="G800" s="28"/>
      <c r="H800" s="28"/>
      <c r="I800" s="28"/>
      <c r="J800" s="28"/>
      <c r="K800" s="28"/>
      <c r="L800" s="28"/>
      <c r="M800" s="28"/>
      <c r="N800" s="28"/>
      <c r="O800" s="96"/>
      <c r="P800" s="96"/>
      <c r="Q800" s="96"/>
      <c r="R800" s="96"/>
      <c r="S800" s="96"/>
      <c r="T800" s="178" t="s">
        <v>10540</v>
      </c>
      <c r="U800" s="96"/>
      <c r="V800" s="96"/>
      <c r="W800" s="96"/>
      <c r="X800" s="96"/>
      <c r="Y800" s="96"/>
      <c r="Z800" s="96"/>
      <c r="AA800" s="96"/>
      <c r="AB800" s="96"/>
      <c r="AC800" s="96"/>
      <c r="AD800" s="96"/>
      <c r="AE800" s="96"/>
      <c r="AF800" s="96"/>
      <c r="AG800" s="96"/>
      <c r="AH800" s="96"/>
      <c r="AI800" s="96"/>
      <c r="AJ800" s="96"/>
      <c r="AK800" s="96"/>
      <c r="AL800" s="96"/>
      <c r="AM800" s="96"/>
      <c r="AN800" s="96"/>
      <c r="AO800" s="70"/>
      <c r="AP800" s="70"/>
      <c r="AQ800" s="70"/>
      <c r="AR800" s="70"/>
      <c r="AS800" s="70"/>
      <c r="AT800" s="70"/>
      <c r="AU800" s="70"/>
      <c r="AV800" s="70"/>
      <c r="AW800" s="70"/>
      <c r="AX800" s="70"/>
    </row>
    <row r="801" ht="15.75" customHeight="1">
      <c r="A801" s="170" t="s">
        <v>263</v>
      </c>
      <c r="B801" s="171" t="s">
        <v>5613</v>
      </c>
      <c r="C801" s="28" t="s">
        <v>5617</v>
      </c>
      <c r="D801" s="28" t="s">
        <v>5618</v>
      </c>
      <c r="E801" s="28" t="s">
        <v>5619</v>
      </c>
      <c r="F801" s="28"/>
      <c r="G801" s="28"/>
      <c r="H801" s="28"/>
      <c r="I801" s="28"/>
      <c r="J801" s="28"/>
      <c r="K801" s="28" t="s">
        <v>687</v>
      </c>
      <c r="L801" s="28"/>
      <c r="M801" s="28"/>
      <c r="N801" s="28"/>
      <c r="O801" s="173"/>
      <c r="P801" s="173"/>
      <c r="Q801" s="173" t="s">
        <v>145</v>
      </c>
      <c r="R801" s="173"/>
      <c r="S801" s="173"/>
      <c r="T801" s="173"/>
      <c r="U801" s="173"/>
      <c r="V801" s="173"/>
      <c r="W801" s="173"/>
      <c r="X801" s="173"/>
      <c r="Y801" s="173"/>
      <c r="Z801" s="173"/>
      <c r="AA801" s="173"/>
      <c r="AB801" s="173"/>
      <c r="AC801" s="173"/>
      <c r="AD801" s="173"/>
      <c r="AE801" s="173"/>
      <c r="AF801" s="173"/>
      <c r="AG801" s="173"/>
      <c r="AH801" s="173"/>
      <c r="AI801" s="173"/>
      <c r="AJ801" s="173"/>
      <c r="AK801" s="173"/>
      <c r="AL801" s="173"/>
      <c r="AM801" s="173"/>
      <c r="AN801" s="173"/>
      <c r="AO801" s="70"/>
      <c r="AP801" s="70"/>
      <c r="AQ801" s="70"/>
      <c r="AR801" s="70"/>
      <c r="AS801" s="70"/>
      <c r="AT801" s="70"/>
      <c r="AU801" s="70"/>
      <c r="AV801" s="70"/>
      <c r="AW801" s="70"/>
      <c r="AX801" s="70"/>
    </row>
    <row r="802" ht="15.75" customHeight="1">
      <c r="A802" s="174" t="s">
        <v>1015</v>
      </c>
      <c r="B802" s="204" t="s">
        <v>5597</v>
      </c>
      <c r="C802" s="28" t="s">
        <v>5598</v>
      </c>
      <c r="D802" s="28" t="s">
        <v>5599</v>
      </c>
      <c r="E802" s="28" t="s">
        <v>5600</v>
      </c>
      <c r="F802" s="28"/>
      <c r="G802" s="28"/>
      <c r="H802" s="28"/>
      <c r="I802" s="28"/>
      <c r="J802" s="28"/>
      <c r="K802" s="28"/>
      <c r="L802" s="28"/>
      <c r="M802" s="28"/>
      <c r="N802" s="28"/>
      <c r="O802" s="176"/>
      <c r="P802" s="176"/>
      <c r="Q802" s="176"/>
      <c r="R802" s="176"/>
      <c r="S802" s="176"/>
      <c r="T802" s="176"/>
      <c r="U802" s="176"/>
      <c r="V802" s="176"/>
      <c r="W802" s="176"/>
      <c r="X802" s="176"/>
      <c r="Y802" s="176"/>
      <c r="Z802" s="176"/>
      <c r="AA802" s="176"/>
      <c r="AB802" s="176"/>
      <c r="AC802" s="176"/>
      <c r="AD802" s="176"/>
      <c r="AE802" s="176"/>
      <c r="AF802" s="176"/>
      <c r="AG802" s="176"/>
      <c r="AH802" s="176"/>
      <c r="AI802" s="176"/>
      <c r="AJ802" s="176"/>
      <c r="AK802" s="176"/>
      <c r="AL802" s="176"/>
      <c r="AM802" s="176"/>
      <c r="AN802" s="176"/>
      <c r="AO802" s="70"/>
      <c r="AP802" s="70"/>
      <c r="AQ802" s="70"/>
      <c r="AR802" s="70"/>
      <c r="AS802" s="70"/>
      <c r="AT802" s="70"/>
      <c r="AU802" s="70"/>
      <c r="AV802" s="70"/>
      <c r="AW802" s="70"/>
      <c r="AX802" s="70"/>
    </row>
    <row r="803" ht="15.75" customHeight="1">
      <c r="A803" s="65" t="s">
        <v>5624</v>
      </c>
      <c r="B803" s="66" t="s">
        <v>5625</v>
      </c>
      <c r="C803" s="28" t="s">
        <v>5629</v>
      </c>
      <c r="D803" s="28" t="s">
        <v>5630</v>
      </c>
      <c r="E803" s="28" t="s">
        <v>5631</v>
      </c>
      <c r="F803" s="28"/>
      <c r="G803" s="28"/>
      <c r="H803" s="28"/>
      <c r="I803" s="28"/>
      <c r="J803" s="28"/>
      <c r="K803" s="28"/>
      <c r="L803" s="28"/>
      <c r="M803" s="28"/>
      <c r="N803" s="28"/>
      <c r="O803" s="177" t="s">
        <v>10538</v>
      </c>
      <c r="P803" s="65"/>
      <c r="Q803" s="65" t="s">
        <v>145</v>
      </c>
      <c r="R803" s="67"/>
      <c r="S803" s="67"/>
      <c r="T803" s="67"/>
      <c r="U803" s="67"/>
      <c r="V803" s="67"/>
      <c r="W803" s="67"/>
      <c r="X803" s="67"/>
      <c r="Y803" s="67"/>
      <c r="Z803" s="67"/>
      <c r="AA803" s="67"/>
      <c r="AB803" s="67"/>
      <c r="AC803" s="67"/>
      <c r="AD803" s="70"/>
      <c r="AE803" s="70"/>
      <c r="AF803" s="70"/>
      <c r="AG803" s="70"/>
      <c r="AH803" s="70"/>
      <c r="AI803" s="70"/>
      <c r="AJ803" s="70"/>
      <c r="AK803" s="70"/>
      <c r="AL803" s="70"/>
      <c r="AM803" s="70"/>
      <c r="AN803" s="70"/>
      <c r="AO803" s="70"/>
      <c r="AP803" s="70"/>
      <c r="AQ803" s="70"/>
      <c r="AR803" s="70"/>
      <c r="AS803" s="70"/>
      <c r="AT803" s="70"/>
      <c r="AU803" s="70"/>
      <c r="AV803" s="70"/>
      <c r="AW803" s="70"/>
      <c r="AX803" s="70"/>
    </row>
    <row r="804" ht="15.75" customHeight="1">
      <c r="A804" s="65" t="s">
        <v>246</v>
      </c>
      <c r="B804" s="66" t="s">
        <v>5632</v>
      </c>
      <c r="C804" s="28" t="s">
        <v>5638</v>
      </c>
      <c r="D804" s="28" t="s">
        <v>5639</v>
      </c>
      <c r="E804" s="28" t="s">
        <v>5640</v>
      </c>
      <c r="F804" s="28"/>
      <c r="G804" s="28"/>
      <c r="H804" s="28"/>
      <c r="I804" s="28"/>
      <c r="J804" s="28"/>
      <c r="K804" s="28"/>
      <c r="L804" s="28"/>
      <c r="M804" s="28"/>
      <c r="N804" s="28"/>
      <c r="O804" s="274" t="s">
        <v>10541</v>
      </c>
      <c r="P804" s="65"/>
      <c r="Q804" s="65" t="s">
        <v>145</v>
      </c>
      <c r="R804" s="67"/>
      <c r="S804" s="67"/>
      <c r="T804" s="67"/>
      <c r="U804" s="67"/>
      <c r="V804" s="67"/>
      <c r="W804" s="67"/>
      <c r="X804" s="67"/>
      <c r="Y804" s="67"/>
      <c r="Z804" s="67"/>
      <c r="AA804" s="67"/>
      <c r="AB804" s="67"/>
      <c r="AC804" s="67"/>
      <c r="AD804" s="70"/>
      <c r="AE804" s="70"/>
      <c r="AF804" s="70"/>
      <c r="AG804" s="70"/>
      <c r="AH804" s="70"/>
      <c r="AI804" s="70"/>
      <c r="AJ804" s="70"/>
      <c r="AK804" s="70"/>
      <c r="AL804" s="70"/>
      <c r="AM804" s="70"/>
      <c r="AN804" s="70"/>
      <c r="AO804" s="70"/>
      <c r="AP804" s="70"/>
      <c r="AQ804" s="70"/>
      <c r="AR804" s="70"/>
      <c r="AS804" s="70"/>
      <c r="AT804" s="70"/>
      <c r="AU804" s="70"/>
      <c r="AV804" s="70"/>
      <c r="AW804" s="70"/>
      <c r="AX804" s="70"/>
    </row>
    <row r="805" ht="15.75" customHeight="1">
      <c r="A805" s="65" t="s">
        <v>5641</v>
      </c>
      <c r="B805" s="66" t="s">
        <v>5642</v>
      </c>
      <c r="C805" s="28" t="s">
        <v>5646</v>
      </c>
      <c r="D805" s="28" t="s">
        <v>5647</v>
      </c>
      <c r="E805" s="28" t="s">
        <v>5648</v>
      </c>
      <c r="F805" s="28"/>
      <c r="G805" s="28"/>
      <c r="H805" s="28"/>
      <c r="I805" s="28"/>
      <c r="J805" s="28"/>
      <c r="K805" s="28"/>
      <c r="L805" s="28"/>
      <c r="M805" s="28"/>
      <c r="N805" s="28"/>
      <c r="O805" s="274" t="s">
        <v>10542</v>
      </c>
      <c r="P805" s="65"/>
      <c r="Q805" s="65" t="s">
        <v>145</v>
      </c>
      <c r="R805" s="67"/>
      <c r="S805" s="67"/>
      <c r="T805" s="67"/>
      <c r="U805" s="67"/>
      <c r="V805" s="67"/>
      <c r="W805" s="67"/>
      <c r="X805" s="67"/>
      <c r="Y805" s="67"/>
      <c r="Z805" s="67"/>
      <c r="AA805" s="67"/>
      <c r="AB805" s="67"/>
      <c r="AC805" s="67"/>
      <c r="AD805" s="70"/>
      <c r="AE805" s="70"/>
      <c r="AF805" s="70"/>
      <c r="AG805" s="70"/>
      <c r="AH805" s="70"/>
      <c r="AI805" s="70"/>
      <c r="AJ805" s="70"/>
      <c r="AK805" s="70"/>
      <c r="AL805" s="70"/>
      <c r="AM805" s="70"/>
      <c r="AN805" s="70"/>
      <c r="AO805" s="70"/>
      <c r="AP805" s="70"/>
      <c r="AQ805" s="70"/>
      <c r="AR805" s="70"/>
      <c r="AS805" s="70"/>
      <c r="AT805" s="70"/>
      <c r="AU805" s="70"/>
      <c r="AV805" s="70"/>
      <c r="AW805" s="70"/>
      <c r="AX805" s="70"/>
    </row>
    <row r="806" ht="15.75" customHeight="1">
      <c r="A806" s="65" t="s">
        <v>246</v>
      </c>
      <c r="B806" s="66" t="s">
        <v>5649</v>
      </c>
      <c r="C806" s="28" t="s">
        <v>5650</v>
      </c>
      <c r="D806" s="28" t="s">
        <v>5651</v>
      </c>
      <c r="E806" s="28" t="s">
        <v>5652</v>
      </c>
      <c r="F806" s="28"/>
      <c r="G806" s="28"/>
      <c r="H806" s="28"/>
      <c r="I806" s="28"/>
      <c r="J806" s="28"/>
      <c r="K806" s="28"/>
      <c r="L806" s="28"/>
      <c r="M806" s="28"/>
      <c r="N806" s="28"/>
      <c r="O806" s="274" t="s">
        <v>10543</v>
      </c>
      <c r="P806" s="65"/>
      <c r="Q806" s="65" t="s">
        <v>145</v>
      </c>
      <c r="R806" s="67"/>
      <c r="S806" s="67"/>
      <c r="T806" s="67"/>
      <c r="U806" s="67"/>
      <c r="V806" s="67"/>
      <c r="W806" s="67"/>
      <c r="X806" s="67"/>
      <c r="Y806" s="67"/>
      <c r="Z806" s="67"/>
      <c r="AA806" s="67"/>
      <c r="AB806" s="67"/>
      <c r="AC806" s="67"/>
      <c r="AD806" s="70"/>
      <c r="AE806" s="70"/>
      <c r="AF806" s="70"/>
      <c r="AG806" s="70"/>
      <c r="AH806" s="70"/>
      <c r="AI806" s="70"/>
      <c r="AJ806" s="70"/>
      <c r="AK806" s="70"/>
      <c r="AL806" s="70"/>
      <c r="AM806" s="70"/>
      <c r="AN806" s="70"/>
      <c r="AO806" s="70"/>
      <c r="AP806" s="70"/>
      <c r="AQ806" s="70"/>
      <c r="AR806" s="70"/>
      <c r="AS806" s="70"/>
      <c r="AT806" s="70"/>
      <c r="AU806" s="70"/>
      <c r="AV806" s="70"/>
      <c r="AW806" s="70"/>
      <c r="AX806" s="70"/>
    </row>
    <row r="807" ht="15.75" customHeight="1">
      <c r="A807" s="68" t="s">
        <v>463</v>
      </c>
      <c r="B807" s="69" t="s">
        <v>5653</v>
      </c>
      <c r="C807" s="28" t="s">
        <v>5657</v>
      </c>
      <c r="D807" s="28" t="s">
        <v>5658</v>
      </c>
      <c r="E807" s="28" t="s">
        <v>5659</v>
      </c>
      <c r="F807" s="28"/>
      <c r="G807" s="28"/>
      <c r="H807" s="28"/>
      <c r="I807" s="28"/>
      <c r="J807" s="28"/>
      <c r="K807" s="28"/>
      <c r="L807" s="28"/>
      <c r="M807" s="28"/>
      <c r="N807" s="28"/>
      <c r="O807" s="67"/>
      <c r="P807" s="65"/>
      <c r="Q807" s="65" t="s">
        <v>145</v>
      </c>
      <c r="R807" s="67"/>
      <c r="S807" s="67"/>
      <c r="T807" s="67"/>
      <c r="U807" s="67"/>
      <c r="V807" s="67"/>
      <c r="W807" s="67"/>
      <c r="X807" s="67"/>
      <c r="Y807" s="67"/>
      <c r="Z807" s="67"/>
      <c r="AA807" s="67"/>
      <c r="AB807" s="67"/>
      <c r="AC807" s="67"/>
      <c r="AD807" s="70"/>
      <c r="AE807" s="70"/>
      <c r="AF807" s="70"/>
      <c r="AG807" s="70"/>
      <c r="AH807" s="70"/>
      <c r="AI807" s="70"/>
      <c r="AJ807" s="70"/>
      <c r="AK807" s="70"/>
      <c r="AL807" s="70"/>
      <c r="AM807" s="70"/>
      <c r="AN807" s="70"/>
      <c r="AO807" s="70"/>
      <c r="AP807" s="70"/>
      <c r="AQ807" s="70"/>
      <c r="AR807" s="70"/>
      <c r="AS807" s="70"/>
      <c r="AT807" s="70"/>
      <c r="AU807" s="70"/>
      <c r="AV807" s="70"/>
      <c r="AW807" s="70"/>
      <c r="AX807" s="70"/>
    </row>
    <row r="808" ht="16.5" customHeight="1">
      <c r="A808" s="65" t="s">
        <v>134</v>
      </c>
      <c r="B808" s="66" t="s">
        <v>5660</v>
      </c>
      <c r="C808" s="28"/>
      <c r="D808" s="28"/>
      <c r="E808" s="28"/>
      <c r="F808" s="28"/>
      <c r="G808" s="28"/>
      <c r="H808" s="28"/>
      <c r="I808" s="28"/>
      <c r="J808" s="28"/>
      <c r="K808" s="28"/>
      <c r="L808" s="28"/>
      <c r="M808" s="28"/>
      <c r="N808" s="28"/>
      <c r="O808" s="67"/>
      <c r="P808" s="68"/>
      <c r="Q808" s="68"/>
      <c r="R808" s="67"/>
      <c r="S808" s="67"/>
      <c r="T808" s="65" t="s">
        <v>139</v>
      </c>
      <c r="U808" s="67"/>
      <c r="V808" s="67"/>
      <c r="W808" s="67"/>
      <c r="X808" s="67"/>
      <c r="Y808" s="67"/>
      <c r="Z808" s="67"/>
      <c r="AA808" s="67"/>
      <c r="AB808" s="67"/>
      <c r="AC808" s="67"/>
      <c r="AD808" s="67"/>
      <c r="AE808" s="67"/>
      <c r="AF808" s="67"/>
      <c r="AG808" s="67"/>
      <c r="AH808" s="67"/>
      <c r="AI808" s="67"/>
      <c r="AJ808" s="67"/>
      <c r="AK808" s="67"/>
      <c r="AL808" s="67"/>
      <c r="AM808" s="67"/>
      <c r="AN808" s="67"/>
      <c r="AO808" s="67"/>
      <c r="AP808" s="67"/>
      <c r="AQ808" s="67"/>
      <c r="AR808" s="67"/>
      <c r="AS808" s="67"/>
      <c r="AT808" s="67"/>
      <c r="AU808" s="67"/>
      <c r="AV808" s="67"/>
      <c r="AW808" s="67"/>
      <c r="AX808" s="67"/>
    </row>
    <row r="809" ht="15.0" customHeight="1">
      <c r="A809" s="58" t="s">
        <v>78</v>
      </c>
      <c r="B809" s="58" t="s">
        <v>5664</v>
      </c>
      <c r="C809" s="28"/>
      <c r="D809" s="28"/>
      <c r="E809" s="28"/>
      <c r="F809" s="28"/>
      <c r="G809" s="28"/>
      <c r="H809" s="28"/>
      <c r="I809" s="28"/>
      <c r="J809" s="28"/>
      <c r="K809" s="28"/>
      <c r="L809" s="28"/>
      <c r="M809" s="28"/>
      <c r="N809" s="28"/>
      <c r="O809" s="58"/>
      <c r="P809" s="24"/>
      <c r="Q809" s="24"/>
      <c r="R809" s="24"/>
      <c r="S809" s="24"/>
      <c r="T809" s="58" t="s">
        <v>10544</v>
      </c>
      <c r="U809" s="24"/>
      <c r="V809" s="24"/>
      <c r="W809" s="24"/>
      <c r="X809" s="24"/>
      <c r="Y809" s="24"/>
      <c r="Z809" s="24"/>
      <c r="AA809" s="24"/>
      <c r="AB809" s="24"/>
      <c r="AC809" s="24"/>
      <c r="AD809" s="24"/>
      <c r="AE809" s="24"/>
      <c r="AF809" s="24"/>
      <c r="AG809" s="24"/>
      <c r="AH809" s="24"/>
      <c r="AI809" s="24"/>
      <c r="AJ809" s="24"/>
      <c r="AK809" s="24"/>
      <c r="AL809" s="24"/>
      <c r="AM809" s="24"/>
      <c r="AN809" s="24"/>
      <c r="AO809" s="24"/>
      <c r="AP809" s="24"/>
      <c r="AQ809" s="24"/>
      <c r="AR809" s="24"/>
      <c r="AS809" s="24"/>
      <c r="AT809" s="24"/>
      <c r="AU809" s="24"/>
      <c r="AV809" s="24"/>
      <c r="AW809" s="24"/>
      <c r="AX809" s="24"/>
    </row>
    <row r="810" ht="15.75" customHeight="1">
      <c r="A810" s="221"/>
      <c r="B810" s="222"/>
      <c r="C810" s="28" t="s">
        <v>50</v>
      </c>
      <c r="D810" s="28" t="s">
        <v>50</v>
      </c>
      <c r="E810" s="28" t="s">
        <v>50</v>
      </c>
      <c r="F810" s="28"/>
      <c r="G810" s="28"/>
      <c r="H810" s="28"/>
      <c r="I810" s="28"/>
      <c r="J810" s="28"/>
      <c r="K810" s="28"/>
      <c r="L810" s="28"/>
      <c r="M810" s="28"/>
      <c r="N810" s="28"/>
      <c r="O810" s="70"/>
      <c r="P810" s="70"/>
      <c r="Q810" s="70"/>
      <c r="R810" s="70"/>
      <c r="S810" s="70"/>
      <c r="T810" s="70"/>
      <c r="U810" s="70"/>
      <c r="V810" s="70"/>
      <c r="W810" s="70"/>
      <c r="X810" s="70"/>
      <c r="Y810" s="70"/>
      <c r="Z810" s="70"/>
      <c r="AA810" s="70"/>
      <c r="AB810" s="70"/>
      <c r="AC810" s="70"/>
      <c r="AD810" s="70"/>
      <c r="AE810" s="70"/>
      <c r="AF810" s="70"/>
      <c r="AG810" s="70"/>
      <c r="AH810" s="70"/>
      <c r="AI810" s="70"/>
      <c r="AJ810" s="70"/>
      <c r="AK810" s="70"/>
      <c r="AL810" s="70"/>
      <c r="AM810" s="70"/>
      <c r="AN810" s="70"/>
      <c r="AO810" s="70"/>
      <c r="AP810" s="70"/>
      <c r="AQ810" s="70"/>
      <c r="AR810" s="70"/>
      <c r="AS810" s="70"/>
      <c r="AT810" s="70"/>
      <c r="AU810" s="70"/>
      <c r="AV810" s="70"/>
      <c r="AW810" s="70"/>
      <c r="AX810" s="70"/>
    </row>
    <row r="811" ht="16.5" customHeight="1">
      <c r="A811" s="65" t="s">
        <v>134</v>
      </c>
      <c r="B811" s="66" t="s">
        <v>5673</v>
      </c>
      <c r="C811" s="28"/>
      <c r="D811" s="28"/>
      <c r="E811" s="28"/>
      <c r="F811" s="28"/>
      <c r="G811" s="28"/>
      <c r="H811" s="28"/>
      <c r="I811" s="28"/>
      <c r="J811" s="28"/>
      <c r="K811" s="28"/>
      <c r="L811" s="28"/>
      <c r="M811" s="28"/>
      <c r="N811" s="28"/>
      <c r="O811" s="67"/>
      <c r="P811" s="68"/>
      <c r="Q811" s="68"/>
      <c r="R811" s="67"/>
      <c r="S811" s="67"/>
      <c r="T811" s="65" t="s">
        <v>139</v>
      </c>
      <c r="U811" s="67"/>
      <c r="V811" s="67"/>
      <c r="W811" s="67"/>
      <c r="X811" s="67"/>
      <c r="Y811" s="67"/>
      <c r="Z811" s="67"/>
      <c r="AA811" s="67"/>
      <c r="AB811" s="67"/>
      <c r="AC811" s="67"/>
      <c r="AD811" s="67"/>
      <c r="AE811" s="67"/>
      <c r="AF811" s="67"/>
      <c r="AG811" s="67"/>
      <c r="AH811" s="67"/>
      <c r="AI811" s="67"/>
      <c r="AJ811" s="67"/>
      <c r="AK811" s="67"/>
      <c r="AL811" s="67"/>
      <c r="AM811" s="67"/>
      <c r="AN811" s="67"/>
      <c r="AO811" s="67"/>
      <c r="AP811" s="67"/>
      <c r="AQ811" s="67"/>
      <c r="AR811" s="67"/>
      <c r="AS811" s="67"/>
      <c r="AT811" s="67"/>
      <c r="AU811" s="67"/>
      <c r="AV811" s="67"/>
      <c r="AW811" s="67"/>
      <c r="AX811" s="67"/>
    </row>
    <row r="812" ht="15.75" customHeight="1">
      <c r="A812" s="140" t="s">
        <v>131</v>
      </c>
      <c r="B812" s="164" t="s">
        <v>5677</v>
      </c>
      <c r="C812" s="28"/>
      <c r="D812" s="28"/>
      <c r="E812" s="28"/>
      <c r="F812" s="28"/>
      <c r="G812" s="28"/>
      <c r="H812" s="28"/>
      <c r="I812" s="28"/>
      <c r="J812" s="28" t="s">
        <v>931</v>
      </c>
      <c r="K812" s="28"/>
      <c r="L812" s="28"/>
      <c r="M812" s="28"/>
      <c r="N812" s="28"/>
      <c r="O812" s="190"/>
      <c r="P812" s="139"/>
      <c r="Q812" s="139"/>
      <c r="R812" s="139"/>
      <c r="S812" s="139"/>
      <c r="T812" s="139"/>
      <c r="U812" s="139"/>
      <c r="V812" s="139"/>
      <c r="W812" s="139"/>
      <c r="X812" s="139"/>
      <c r="Y812" s="139"/>
      <c r="Z812" s="139"/>
      <c r="AA812" s="139"/>
      <c r="AB812" s="139"/>
      <c r="AC812" s="139"/>
      <c r="AD812" s="139"/>
      <c r="AE812" s="139"/>
      <c r="AF812" s="139"/>
      <c r="AG812" s="139"/>
      <c r="AH812" s="139"/>
      <c r="AI812" s="139"/>
      <c r="AJ812" s="139"/>
      <c r="AK812" s="139"/>
      <c r="AL812" s="139"/>
      <c r="AM812" s="139"/>
      <c r="AN812" s="139"/>
      <c r="AO812" s="70"/>
      <c r="AP812" s="70"/>
      <c r="AQ812" s="70"/>
      <c r="AR812" s="70"/>
      <c r="AS812" s="70"/>
      <c r="AT812" s="70"/>
      <c r="AU812" s="70"/>
      <c r="AV812" s="70"/>
      <c r="AW812" s="70"/>
      <c r="AX812" s="70"/>
    </row>
    <row r="813" ht="15.75" customHeight="1">
      <c r="A813" s="68" t="s">
        <v>463</v>
      </c>
      <c r="B813" s="169" t="s">
        <v>5681</v>
      </c>
      <c r="C813" s="28" t="s">
        <v>5687</v>
      </c>
      <c r="D813" s="28" t="s">
        <v>5689</v>
      </c>
      <c r="E813" s="28" t="s">
        <v>5690</v>
      </c>
      <c r="F813" s="28"/>
      <c r="G813" s="28"/>
      <c r="H813" s="28"/>
      <c r="I813" s="28"/>
      <c r="J813" s="28" t="s">
        <v>8</v>
      </c>
      <c r="K813" s="28"/>
      <c r="L813" s="28"/>
      <c r="M813" s="28"/>
      <c r="N813" s="28"/>
      <c r="O813" s="67"/>
      <c r="P813" s="67"/>
      <c r="Q813" s="67"/>
      <c r="R813" s="67"/>
      <c r="S813" s="67"/>
      <c r="T813" s="67"/>
      <c r="U813" s="67"/>
      <c r="V813" s="67"/>
      <c r="W813" s="67"/>
      <c r="X813" s="67"/>
      <c r="Y813" s="67"/>
      <c r="Z813" s="67"/>
      <c r="AA813" s="67"/>
      <c r="AB813" s="67"/>
      <c r="AC813" s="67"/>
      <c r="AD813" s="67"/>
      <c r="AE813" s="67"/>
      <c r="AF813" s="67"/>
      <c r="AG813" s="67"/>
      <c r="AH813" s="67"/>
      <c r="AI813" s="67"/>
      <c r="AJ813" s="67"/>
      <c r="AK813" s="67"/>
      <c r="AL813" s="67"/>
      <c r="AM813" s="67"/>
      <c r="AN813" s="67"/>
      <c r="AO813" s="70"/>
      <c r="AP813" s="70"/>
      <c r="AQ813" s="70"/>
      <c r="AR813" s="70"/>
      <c r="AS813" s="70"/>
      <c r="AT813" s="70"/>
      <c r="AU813" s="70"/>
      <c r="AV813" s="70"/>
      <c r="AW813" s="70"/>
      <c r="AX813" s="70"/>
    </row>
    <row r="814" ht="15.75" customHeight="1">
      <c r="A814" s="68" t="s">
        <v>463</v>
      </c>
      <c r="B814" s="169" t="s">
        <v>5692</v>
      </c>
      <c r="C814" s="28" t="s">
        <v>5696</v>
      </c>
      <c r="D814" s="28" t="s">
        <v>5697</v>
      </c>
      <c r="E814" s="28" t="s">
        <v>5698</v>
      </c>
      <c r="F814" s="28"/>
      <c r="G814" s="28"/>
      <c r="H814" s="28"/>
      <c r="I814" s="28"/>
      <c r="J814" s="28" t="s">
        <v>958</v>
      </c>
      <c r="K814" s="28"/>
      <c r="L814" s="28"/>
      <c r="M814" s="28"/>
      <c r="N814" s="28"/>
      <c r="O814" s="67"/>
      <c r="P814" s="67"/>
      <c r="Q814" s="67" t="s">
        <v>145</v>
      </c>
      <c r="R814" s="67"/>
      <c r="S814" s="67"/>
      <c r="T814" s="67"/>
      <c r="U814" s="67"/>
      <c r="V814" s="67"/>
      <c r="W814" s="67"/>
      <c r="X814" s="67"/>
      <c r="Y814" s="67"/>
      <c r="Z814" s="67"/>
      <c r="AA814" s="67"/>
      <c r="AB814" s="67"/>
      <c r="AC814" s="67"/>
      <c r="AD814" s="67"/>
      <c r="AE814" s="67"/>
      <c r="AF814" s="67"/>
      <c r="AG814" s="67"/>
      <c r="AH814" s="67"/>
      <c r="AI814" s="67"/>
      <c r="AJ814" s="67"/>
      <c r="AK814" s="67"/>
      <c r="AL814" s="67"/>
      <c r="AM814" s="67"/>
      <c r="AN814" s="67"/>
      <c r="AO814" s="70"/>
      <c r="AP814" s="70"/>
      <c r="AQ814" s="70"/>
      <c r="AR814" s="70"/>
      <c r="AS814" s="70"/>
      <c r="AT814" s="70"/>
      <c r="AU814" s="70"/>
      <c r="AV814" s="70"/>
      <c r="AW814" s="70"/>
      <c r="AX814" s="70"/>
    </row>
    <row r="815" ht="15.75" customHeight="1">
      <c r="A815" s="68" t="s">
        <v>463</v>
      </c>
      <c r="B815" s="169" t="s">
        <v>5699</v>
      </c>
      <c r="C815" s="28" t="s">
        <v>5703</v>
      </c>
      <c r="D815" s="28" t="s">
        <v>5704</v>
      </c>
      <c r="E815" s="28" t="s">
        <v>5705</v>
      </c>
      <c r="F815" s="28"/>
      <c r="G815" s="28"/>
      <c r="H815" s="28"/>
      <c r="I815" s="28"/>
      <c r="J815" s="28" t="s">
        <v>958</v>
      </c>
      <c r="K815" s="28"/>
      <c r="L815" s="28"/>
      <c r="M815" s="28"/>
      <c r="N815" s="28"/>
      <c r="O815" s="67"/>
      <c r="P815" s="67"/>
      <c r="Q815" s="67" t="s">
        <v>145</v>
      </c>
      <c r="R815" s="67"/>
      <c r="S815" s="67"/>
      <c r="T815" s="67"/>
      <c r="U815" s="67"/>
      <c r="V815" s="67"/>
      <c r="W815" s="67"/>
      <c r="X815" s="67"/>
      <c r="Y815" s="67"/>
      <c r="Z815" s="67"/>
      <c r="AA815" s="67"/>
      <c r="AB815" s="67"/>
      <c r="AC815" s="67"/>
      <c r="AD815" s="67"/>
      <c r="AE815" s="67"/>
      <c r="AF815" s="67"/>
      <c r="AG815" s="67"/>
      <c r="AH815" s="67"/>
      <c r="AI815" s="67"/>
      <c r="AJ815" s="67"/>
      <c r="AK815" s="67"/>
      <c r="AL815" s="67"/>
      <c r="AM815" s="67"/>
      <c r="AN815" s="67"/>
      <c r="AO815" s="70"/>
      <c r="AP815" s="70"/>
      <c r="AQ815" s="70"/>
      <c r="AR815" s="70"/>
      <c r="AS815" s="70"/>
      <c r="AT815" s="70"/>
      <c r="AU815" s="70"/>
      <c r="AV815" s="70"/>
      <c r="AW815" s="70"/>
      <c r="AX815" s="70"/>
    </row>
    <row r="816" ht="15.75" customHeight="1">
      <c r="A816" s="68" t="s">
        <v>463</v>
      </c>
      <c r="B816" s="169" t="s">
        <v>5708</v>
      </c>
      <c r="C816" s="28" t="s">
        <v>5713</v>
      </c>
      <c r="D816" s="28" t="s">
        <v>5714</v>
      </c>
      <c r="E816" s="28" t="s">
        <v>5715</v>
      </c>
      <c r="F816" s="28"/>
      <c r="G816" s="28"/>
      <c r="H816" s="28"/>
      <c r="I816" s="28"/>
      <c r="J816" s="28" t="s">
        <v>958</v>
      </c>
      <c r="K816" s="28"/>
      <c r="L816" s="28"/>
      <c r="M816" s="28"/>
      <c r="N816" s="28"/>
      <c r="O816" s="67"/>
      <c r="P816" s="67"/>
      <c r="Q816" s="67" t="s">
        <v>145</v>
      </c>
      <c r="R816" s="67"/>
      <c r="S816" s="67"/>
      <c r="T816" s="67"/>
      <c r="U816" s="67"/>
      <c r="V816" s="67"/>
      <c r="W816" s="67"/>
      <c r="X816" s="67"/>
      <c r="Y816" s="67"/>
      <c r="Z816" s="67"/>
      <c r="AA816" s="67"/>
      <c r="AB816" s="67"/>
      <c r="AC816" s="67"/>
      <c r="AD816" s="67"/>
      <c r="AE816" s="67"/>
      <c r="AF816" s="67"/>
      <c r="AG816" s="67"/>
      <c r="AH816" s="67"/>
      <c r="AI816" s="67"/>
      <c r="AJ816" s="67"/>
      <c r="AK816" s="67"/>
      <c r="AL816" s="67"/>
      <c r="AM816" s="67"/>
      <c r="AN816" s="67"/>
      <c r="AO816" s="70"/>
      <c r="AP816" s="70"/>
      <c r="AQ816" s="70"/>
      <c r="AR816" s="70"/>
      <c r="AS816" s="70"/>
      <c r="AT816" s="70"/>
      <c r="AU816" s="70"/>
      <c r="AV816" s="70"/>
      <c r="AW816" s="70"/>
      <c r="AX816" s="70"/>
    </row>
    <row r="817" ht="15.75" customHeight="1">
      <c r="A817" s="140" t="s">
        <v>237</v>
      </c>
      <c r="B817" s="191" t="s">
        <v>5677</v>
      </c>
      <c r="C817" s="28"/>
      <c r="D817" s="28"/>
      <c r="E817" s="28"/>
      <c r="F817" s="28"/>
      <c r="G817" s="28"/>
      <c r="H817" s="28"/>
      <c r="I817" s="28"/>
      <c r="J817" s="28"/>
      <c r="K817" s="28"/>
      <c r="L817" s="28"/>
      <c r="M817" s="28"/>
      <c r="N817" s="28"/>
      <c r="O817" s="139"/>
      <c r="P817" s="139"/>
      <c r="Q817" s="139"/>
      <c r="R817" s="139"/>
      <c r="S817" s="139"/>
      <c r="T817" s="139"/>
      <c r="U817" s="139"/>
      <c r="V817" s="139"/>
      <c r="W817" s="139"/>
      <c r="X817" s="139"/>
      <c r="Y817" s="139"/>
      <c r="Z817" s="139"/>
      <c r="AA817" s="139"/>
      <c r="AB817" s="139"/>
      <c r="AC817" s="139"/>
      <c r="AD817" s="139"/>
      <c r="AE817" s="139"/>
      <c r="AF817" s="139"/>
      <c r="AG817" s="139"/>
      <c r="AH817" s="139"/>
      <c r="AI817" s="139"/>
      <c r="AJ817" s="139"/>
      <c r="AK817" s="139"/>
      <c r="AL817" s="139"/>
      <c r="AM817" s="139"/>
      <c r="AN817" s="139"/>
      <c r="AO817" s="70"/>
      <c r="AP817" s="70"/>
      <c r="AQ817" s="70"/>
      <c r="AR817" s="70"/>
      <c r="AS817" s="70"/>
      <c r="AT817" s="70"/>
      <c r="AU817" s="70"/>
      <c r="AV817" s="70"/>
      <c r="AW817" s="70"/>
      <c r="AX817" s="70"/>
    </row>
    <row r="818" ht="15.75" customHeight="1">
      <c r="A818" s="68" t="s">
        <v>5720</v>
      </c>
      <c r="B818" s="169" t="s">
        <v>5722</v>
      </c>
      <c r="C818" s="28" t="s">
        <v>5728</v>
      </c>
      <c r="D818" s="28" t="s">
        <v>5729</v>
      </c>
      <c r="E818" s="28" t="s">
        <v>5730</v>
      </c>
      <c r="F818" s="28"/>
      <c r="G818" s="28"/>
      <c r="H818" s="28"/>
      <c r="I818" s="28"/>
      <c r="J818" s="28"/>
      <c r="K818" s="28"/>
      <c r="L818" s="28"/>
      <c r="M818" s="28"/>
      <c r="N818" s="28"/>
      <c r="O818" s="67" t="s">
        <v>10545</v>
      </c>
      <c r="P818" s="67"/>
      <c r="Q818" s="67" t="s">
        <v>145</v>
      </c>
      <c r="R818" s="67"/>
      <c r="S818" s="67"/>
      <c r="T818" s="67"/>
      <c r="U818" s="67"/>
      <c r="V818" s="67"/>
      <c r="W818" s="67"/>
      <c r="X818" s="67"/>
      <c r="Y818" s="67"/>
      <c r="Z818" s="67"/>
      <c r="AA818" s="67"/>
      <c r="AB818" s="67"/>
      <c r="AC818" s="67"/>
      <c r="AD818" s="67"/>
      <c r="AE818" s="67"/>
      <c r="AF818" s="67"/>
      <c r="AG818" s="67"/>
      <c r="AH818" s="67"/>
      <c r="AI818" s="67"/>
      <c r="AJ818" s="67"/>
      <c r="AK818" s="67"/>
      <c r="AL818" s="67"/>
      <c r="AM818" s="67"/>
      <c r="AN818" s="67"/>
      <c r="AO818" s="70"/>
      <c r="AP818" s="70"/>
      <c r="AQ818" s="70"/>
      <c r="AR818" s="70"/>
      <c r="AS818" s="70"/>
      <c r="AT818" s="70"/>
      <c r="AU818" s="70"/>
      <c r="AV818" s="70"/>
      <c r="AW818" s="70"/>
      <c r="AX818" s="70"/>
    </row>
    <row r="819" ht="15.75" customHeight="1">
      <c r="A819" s="179" t="s">
        <v>246</v>
      </c>
      <c r="B819" s="180" t="s">
        <v>5731</v>
      </c>
      <c r="C819" s="28" t="s">
        <v>5735</v>
      </c>
      <c r="D819" s="28" t="s">
        <v>5736</v>
      </c>
      <c r="E819" s="28" t="s">
        <v>5737</v>
      </c>
      <c r="F819" s="28"/>
      <c r="G819" s="28"/>
      <c r="H819" s="28"/>
      <c r="I819" s="28"/>
      <c r="J819" s="28"/>
      <c r="K819" s="28"/>
      <c r="L819" s="28"/>
      <c r="M819" s="28"/>
      <c r="N819" s="28"/>
      <c r="O819" s="181" t="s">
        <v>10546</v>
      </c>
      <c r="P819" s="181"/>
      <c r="Q819" s="181" t="s">
        <v>145</v>
      </c>
      <c r="R819" s="181"/>
      <c r="S819" s="181"/>
      <c r="T819" s="181"/>
      <c r="U819" s="181"/>
      <c r="V819" s="181"/>
      <c r="W819" s="181"/>
      <c r="X819" s="181"/>
      <c r="Y819" s="181"/>
      <c r="Z819" s="181"/>
      <c r="AA819" s="181"/>
      <c r="AB819" s="181"/>
      <c r="AC819" s="181"/>
      <c r="AD819" s="181"/>
      <c r="AE819" s="181"/>
      <c r="AF819" s="181"/>
      <c r="AG819" s="181"/>
      <c r="AH819" s="181"/>
      <c r="AI819" s="181"/>
      <c r="AJ819" s="181"/>
      <c r="AK819" s="181"/>
      <c r="AL819" s="181"/>
      <c r="AM819" s="181"/>
      <c r="AN819" s="181"/>
      <c r="AO819" s="70"/>
      <c r="AP819" s="70"/>
      <c r="AQ819" s="70"/>
      <c r="AR819" s="70"/>
      <c r="AS819" s="70"/>
      <c r="AT819" s="70"/>
      <c r="AU819" s="70"/>
      <c r="AV819" s="70"/>
      <c r="AW819" s="70"/>
      <c r="AX819" s="70"/>
    </row>
    <row r="820" ht="15.75" customHeight="1">
      <c r="A820" s="170" t="s">
        <v>263</v>
      </c>
      <c r="B820" s="171" t="s">
        <v>5739</v>
      </c>
      <c r="C820" s="28" t="s">
        <v>5746</v>
      </c>
      <c r="D820" s="28" t="s">
        <v>5747</v>
      </c>
      <c r="E820" s="28" t="s">
        <v>5748</v>
      </c>
      <c r="F820" s="28"/>
      <c r="G820" s="28"/>
      <c r="H820" s="28"/>
      <c r="I820" s="28"/>
      <c r="J820" s="28"/>
      <c r="K820" s="28" t="s">
        <v>5385</v>
      </c>
      <c r="L820" s="28"/>
      <c r="M820" s="28"/>
      <c r="N820" s="28"/>
      <c r="O820" s="173" t="s">
        <v>10547</v>
      </c>
      <c r="P820" s="173"/>
      <c r="Q820" s="173" t="s">
        <v>145</v>
      </c>
      <c r="R820" s="173"/>
      <c r="S820" s="173"/>
      <c r="T820" s="173"/>
      <c r="U820" s="173"/>
      <c r="V820" s="173"/>
      <c r="W820" s="173"/>
      <c r="X820" s="173"/>
      <c r="Y820" s="173"/>
      <c r="Z820" s="173"/>
      <c r="AA820" s="173"/>
      <c r="AB820" s="173"/>
      <c r="AC820" s="173"/>
      <c r="AD820" s="173"/>
      <c r="AE820" s="173"/>
      <c r="AF820" s="173"/>
      <c r="AG820" s="173"/>
      <c r="AH820" s="173"/>
      <c r="AI820" s="173"/>
      <c r="AJ820" s="173"/>
      <c r="AK820" s="173"/>
      <c r="AL820" s="173"/>
      <c r="AM820" s="173"/>
      <c r="AN820" s="173"/>
      <c r="AO820" s="70"/>
      <c r="AP820" s="70"/>
      <c r="AQ820" s="70"/>
      <c r="AR820" s="70"/>
      <c r="AS820" s="70"/>
      <c r="AT820" s="70"/>
      <c r="AU820" s="70"/>
      <c r="AV820" s="70"/>
      <c r="AW820" s="70"/>
      <c r="AX820" s="70"/>
    </row>
    <row r="821" ht="15.75" customHeight="1">
      <c r="A821" s="170" t="s">
        <v>263</v>
      </c>
      <c r="B821" s="171" t="s">
        <v>5749</v>
      </c>
      <c r="C821" s="28" t="s">
        <v>5753</v>
      </c>
      <c r="D821" s="28" t="s">
        <v>5754</v>
      </c>
      <c r="E821" s="28" t="s">
        <v>5756</v>
      </c>
      <c r="F821" s="28"/>
      <c r="G821" s="28"/>
      <c r="H821" s="28"/>
      <c r="I821" s="28"/>
      <c r="J821" s="28"/>
      <c r="K821" s="28" t="s">
        <v>5385</v>
      </c>
      <c r="L821" s="28"/>
      <c r="M821" s="28"/>
      <c r="N821" s="28"/>
      <c r="O821" s="173" t="s">
        <v>10548</v>
      </c>
      <c r="P821" s="173"/>
      <c r="Q821" s="173" t="s">
        <v>145</v>
      </c>
      <c r="R821" s="173"/>
      <c r="S821" s="173"/>
      <c r="T821" s="173"/>
      <c r="U821" s="173"/>
      <c r="V821" s="173"/>
      <c r="W821" s="173"/>
      <c r="X821" s="173"/>
      <c r="Y821" s="173"/>
      <c r="Z821" s="173"/>
      <c r="AA821" s="173"/>
      <c r="AB821" s="173"/>
      <c r="AC821" s="173"/>
      <c r="AD821" s="173"/>
      <c r="AE821" s="173"/>
      <c r="AF821" s="173"/>
      <c r="AG821" s="173"/>
      <c r="AH821" s="173"/>
      <c r="AI821" s="173"/>
      <c r="AJ821" s="173"/>
      <c r="AK821" s="173"/>
      <c r="AL821" s="173"/>
      <c r="AM821" s="173"/>
      <c r="AN821" s="173"/>
      <c r="AO821" s="70"/>
      <c r="AP821" s="70"/>
      <c r="AQ821" s="70"/>
      <c r="AR821" s="70"/>
      <c r="AS821" s="70"/>
      <c r="AT821" s="70"/>
      <c r="AU821" s="70"/>
      <c r="AV821" s="70"/>
      <c r="AW821" s="70"/>
      <c r="AX821" s="70"/>
    </row>
    <row r="822" ht="15.75" customHeight="1">
      <c r="A822" s="170" t="s">
        <v>263</v>
      </c>
      <c r="B822" s="171" t="s">
        <v>5759</v>
      </c>
      <c r="C822" s="28" t="s">
        <v>5763</v>
      </c>
      <c r="D822" s="28" t="s">
        <v>5764</v>
      </c>
      <c r="E822" s="28" t="s">
        <v>5765</v>
      </c>
      <c r="F822" s="28"/>
      <c r="G822" s="28"/>
      <c r="H822" s="28"/>
      <c r="I822" s="28"/>
      <c r="J822" s="28"/>
      <c r="K822" s="28" t="s">
        <v>5385</v>
      </c>
      <c r="L822" s="28"/>
      <c r="M822" s="28"/>
      <c r="N822" s="28"/>
      <c r="O822" s="173" t="s">
        <v>10549</v>
      </c>
      <c r="P822" s="173"/>
      <c r="Q822" s="173" t="s">
        <v>145</v>
      </c>
      <c r="R822" s="173"/>
      <c r="S822" s="173"/>
      <c r="T822" s="173"/>
      <c r="U822" s="173"/>
      <c r="V822" s="173"/>
      <c r="W822" s="173"/>
      <c r="X822" s="173"/>
      <c r="Y822" s="173"/>
      <c r="Z822" s="173"/>
      <c r="AA822" s="173"/>
      <c r="AB822" s="173"/>
      <c r="AC822" s="173"/>
      <c r="AD822" s="173"/>
      <c r="AE822" s="173"/>
      <c r="AF822" s="173"/>
      <c r="AG822" s="173"/>
      <c r="AH822" s="173"/>
      <c r="AI822" s="173"/>
      <c r="AJ822" s="173"/>
      <c r="AK822" s="173"/>
      <c r="AL822" s="173"/>
      <c r="AM822" s="173"/>
      <c r="AN822" s="173"/>
      <c r="AO822" s="70"/>
      <c r="AP822" s="70"/>
      <c r="AQ822" s="70"/>
      <c r="AR822" s="70"/>
      <c r="AS822" s="70"/>
      <c r="AT822" s="70"/>
      <c r="AU822" s="70"/>
      <c r="AV822" s="70"/>
      <c r="AW822" s="70"/>
      <c r="AX822" s="70"/>
    </row>
    <row r="823" ht="15.75" customHeight="1">
      <c r="A823" s="170" t="s">
        <v>263</v>
      </c>
      <c r="B823" s="171" t="s">
        <v>5766</v>
      </c>
      <c r="C823" s="28" t="s">
        <v>5770</v>
      </c>
      <c r="D823" s="28" t="s">
        <v>5771</v>
      </c>
      <c r="E823" s="28" t="s">
        <v>5773</v>
      </c>
      <c r="F823" s="28"/>
      <c r="G823" s="28"/>
      <c r="H823" s="28"/>
      <c r="I823" s="28"/>
      <c r="J823" s="28"/>
      <c r="K823" s="28" t="s">
        <v>864</v>
      </c>
      <c r="L823" s="28"/>
      <c r="M823" s="28"/>
      <c r="N823" s="28"/>
      <c r="O823" s="173"/>
      <c r="P823" s="173"/>
      <c r="Q823" s="173" t="s">
        <v>145</v>
      </c>
      <c r="R823" s="173"/>
      <c r="S823" s="173"/>
      <c r="T823" s="173"/>
      <c r="U823" s="173"/>
      <c r="V823" s="173"/>
      <c r="W823" s="173"/>
      <c r="X823" s="173"/>
      <c r="Y823" s="173"/>
      <c r="Z823" s="173"/>
      <c r="AA823" s="173"/>
      <c r="AB823" s="173"/>
      <c r="AC823" s="173"/>
      <c r="AD823" s="173"/>
      <c r="AE823" s="173"/>
      <c r="AF823" s="173"/>
      <c r="AG823" s="173"/>
      <c r="AH823" s="173"/>
      <c r="AI823" s="173"/>
      <c r="AJ823" s="173"/>
      <c r="AK823" s="173"/>
      <c r="AL823" s="173"/>
      <c r="AM823" s="173"/>
      <c r="AN823" s="173"/>
      <c r="AO823" s="70"/>
      <c r="AP823" s="70"/>
      <c r="AQ823" s="70"/>
      <c r="AR823" s="70"/>
      <c r="AS823" s="70"/>
      <c r="AT823" s="70"/>
      <c r="AU823" s="70"/>
      <c r="AV823" s="70"/>
      <c r="AW823" s="70"/>
      <c r="AX823" s="70"/>
    </row>
    <row r="824" ht="15.75" customHeight="1">
      <c r="A824" s="68" t="s">
        <v>5775</v>
      </c>
      <c r="B824" s="169" t="s">
        <v>5776</v>
      </c>
      <c r="C824" s="28" t="s">
        <v>5782</v>
      </c>
      <c r="D824" s="28" t="s">
        <v>5783</v>
      </c>
      <c r="E824" s="28" t="s">
        <v>5784</v>
      </c>
      <c r="F824" s="28" t="s">
        <v>10550</v>
      </c>
      <c r="G824" s="28" t="s">
        <v>10551</v>
      </c>
      <c r="H824" s="28" t="s">
        <v>10552</v>
      </c>
      <c r="I824" s="28"/>
      <c r="J824" s="28"/>
      <c r="K824" s="28"/>
      <c r="L824" s="28"/>
      <c r="M824" s="28"/>
      <c r="N824" s="28"/>
      <c r="O824" s="67"/>
      <c r="P824" s="67"/>
      <c r="Q824" s="67" t="s">
        <v>145</v>
      </c>
      <c r="R824" s="67"/>
      <c r="S824" s="67"/>
      <c r="T824" s="67"/>
      <c r="U824" s="67"/>
      <c r="V824" s="67"/>
      <c r="W824" s="67"/>
      <c r="X824" s="67"/>
      <c r="Y824" s="67"/>
      <c r="Z824" s="67"/>
      <c r="AA824" s="67"/>
      <c r="AB824" s="67"/>
      <c r="AC824" s="67"/>
      <c r="AD824" s="67"/>
      <c r="AE824" s="67"/>
      <c r="AF824" s="67"/>
      <c r="AG824" s="67"/>
      <c r="AH824" s="67"/>
      <c r="AI824" s="67"/>
      <c r="AJ824" s="67"/>
      <c r="AK824" s="67"/>
      <c r="AL824" s="67"/>
      <c r="AM824" s="67"/>
      <c r="AN824" s="67"/>
      <c r="AO824" s="70"/>
      <c r="AP824" s="70"/>
      <c r="AQ824" s="70"/>
      <c r="AR824" s="70"/>
      <c r="AS824" s="70"/>
      <c r="AT824" s="70"/>
      <c r="AU824" s="70"/>
      <c r="AV824" s="70"/>
      <c r="AW824" s="70"/>
      <c r="AX824" s="70"/>
    </row>
    <row r="825" ht="15.75" customHeight="1">
      <c r="A825" s="68" t="s">
        <v>5785</v>
      </c>
      <c r="B825" s="169" t="s">
        <v>5786</v>
      </c>
      <c r="C825" s="28" t="s">
        <v>5790</v>
      </c>
      <c r="D825" s="28" t="s">
        <v>5791</v>
      </c>
      <c r="E825" s="28" t="s">
        <v>5792</v>
      </c>
      <c r="F825" s="28"/>
      <c r="G825" s="28"/>
      <c r="H825" s="28"/>
      <c r="I825" s="28"/>
      <c r="J825" s="28"/>
      <c r="K825" s="28"/>
      <c r="L825" s="28"/>
      <c r="M825" s="28"/>
      <c r="N825" s="28"/>
      <c r="O825" s="67" t="s">
        <v>10553</v>
      </c>
      <c r="P825" s="67"/>
      <c r="Q825" s="67" t="s">
        <v>145</v>
      </c>
      <c r="R825" s="67"/>
      <c r="S825" s="67"/>
      <c r="T825" s="67"/>
      <c r="U825" s="67"/>
      <c r="V825" s="67"/>
      <c r="W825" s="67"/>
      <c r="X825" s="67"/>
      <c r="Y825" s="67"/>
      <c r="Z825" s="67"/>
      <c r="AA825" s="67"/>
      <c r="AB825" s="67"/>
      <c r="AC825" s="67"/>
      <c r="AD825" s="67"/>
      <c r="AE825" s="67"/>
      <c r="AF825" s="67"/>
      <c r="AG825" s="67"/>
      <c r="AH825" s="67"/>
      <c r="AI825" s="67"/>
      <c r="AJ825" s="67"/>
      <c r="AK825" s="67"/>
      <c r="AL825" s="67"/>
      <c r="AM825" s="67"/>
      <c r="AN825" s="67"/>
      <c r="AO825" s="70"/>
      <c r="AP825" s="70"/>
      <c r="AQ825" s="70"/>
      <c r="AR825" s="70"/>
      <c r="AS825" s="70"/>
      <c r="AT825" s="70"/>
      <c r="AU825" s="70"/>
      <c r="AV825" s="70"/>
      <c r="AW825" s="70"/>
      <c r="AX825" s="70"/>
    </row>
    <row r="826" ht="15.75" customHeight="1">
      <c r="A826" s="179" t="s">
        <v>246</v>
      </c>
      <c r="B826" s="180" t="s">
        <v>5793</v>
      </c>
      <c r="C826" s="28" t="s">
        <v>5798</v>
      </c>
      <c r="D826" s="28" t="s">
        <v>5799</v>
      </c>
      <c r="E826" s="28" t="s">
        <v>5801</v>
      </c>
      <c r="F826" s="28"/>
      <c r="G826" s="28"/>
      <c r="H826" s="28"/>
      <c r="I826" s="28"/>
      <c r="J826" s="28"/>
      <c r="K826" s="28"/>
      <c r="L826" s="28"/>
      <c r="M826" s="28"/>
      <c r="N826" s="28"/>
      <c r="O826" s="181" t="s">
        <v>10554</v>
      </c>
      <c r="P826" s="181"/>
      <c r="Q826" s="181" t="s">
        <v>145</v>
      </c>
      <c r="R826" s="181"/>
      <c r="S826" s="181"/>
      <c r="T826" s="181"/>
      <c r="U826" s="181"/>
      <c r="V826" s="181"/>
      <c r="W826" s="181"/>
      <c r="X826" s="181"/>
      <c r="Y826" s="181"/>
      <c r="Z826" s="181"/>
      <c r="AA826" s="181"/>
      <c r="AB826" s="181"/>
      <c r="AC826" s="181"/>
      <c r="AD826" s="181"/>
      <c r="AE826" s="181"/>
      <c r="AF826" s="181"/>
      <c r="AG826" s="181"/>
      <c r="AH826" s="181"/>
      <c r="AI826" s="181"/>
      <c r="AJ826" s="181"/>
      <c r="AK826" s="181"/>
      <c r="AL826" s="181"/>
      <c r="AM826" s="181"/>
      <c r="AN826" s="181"/>
      <c r="AO826" s="70"/>
      <c r="AP826" s="70"/>
      <c r="AQ826" s="70"/>
      <c r="AR826" s="70"/>
      <c r="AS826" s="70"/>
      <c r="AT826" s="70"/>
      <c r="AU826" s="70"/>
      <c r="AV826" s="70"/>
      <c r="AW826" s="70"/>
      <c r="AX826" s="70"/>
    </row>
    <row r="827" ht="16.5" customHeight="1">
      <c r="A827" s="65" t="s">
        <v>134</v>
      </c>
      <c r="B827" s="66" t="s">
        <v>5803</v>
      </c>
      <c r="C827" s="28"/>
      <c r="D827" s="28"/>
      <c r="E827" s="28"/>
      <c r="F827" s="28"/>
      <c r="G827" s="28"/>
      <c r="H827" s="28"/>
      <c r="I827" s="28"/>
      <c r="J827" s="28"/>
      <c r="K827" s="28"/>
      <c r="L827" s="28"/>
      <c r="M827" s="28"/>
      <c r="N827" s="28"/>
      <c r="O827" s="67"/>
      <c r="P827" s="68"/>
      <c r="Q827" s="68"/>
      <c r="R827" s="67"/>
      <c r="S827" s="67"/>
      <c r="T827" s="65" t="s">
        <v>139</v>
      </c>
      <c r="U827" s="67"/>
      <c r="V827" s="67"/>
      <c r="W827" s="67"/>
      <c r="X827" s="67"/>
      <c r="Y827" s="67"/>
      <c r="Z827" s="67"/>
      <c r="AA827" s="67"/>
      <c r="AB827" s="67"/>
      <c r="AC827" s="67"/>
      <c r="AD827" s="67"/>
      <c r="AE827" s="67"/>
      <c r="AF827" s="67"/>
      <c r="AG827" s="67"/>
      <c r="AH827" s="67"/>
      <c r="AI827" s="67"/>
      <c r="AJ827" s="67"/>
      <c r="AK827" s="67"/>
      <c r="AL827" s="67"/>
      <c r="AM827" s="67"/>
      <c r="AN827" s="67"/>
      <c r="AO827" s="67"/>
      <c r="AP827" s="67"/>
      <c r="AQ827" s="67"/>
      <c r="AR827" s="67"/>
      <c r="AS827" s="67"/>
      <c r="AT827" s="67"/>
      <c r="AU827" s="67"/>
      <c r="AV827" s="67"/>
      <c r="AW827" s="67"/>
      <c r="AX827" s="67"/>
    </row>
    <row r="828" ht="15.0" customHeight="1">
      <c r="A828" s="58" t="s">
        <v>78</v>
      </c>
      <c r="B828" s="58" t="s">
        <v>5808</v>
      </c>
      <c r="C828" s="28"/>
      <c r="D828" s="28"/>
      <c r="E828" s="28"/>
      <c r="F828" s="28"/>
      <c r="G828" s="28"/>
      <c r="H828" s="28"/>
      <c r="I828" s="28"/>
      <c r="J828" s="28"/>
      <c r="K828" s="28"/>
      <c r="L828" s="28"/>
      <c r="M828" s="28"/>
      <c r="N828" s="28"/>
      <c r="O828" s="58"/>
      <c r="P828" s="24"/>
      <c r="Q828" s="24"/>
      <c r="R828" s="24"/>
      <c r="S828" s="24"/>
      <c r="T828" s="58" t="s">
        <v>10555</v>
      </c>
      <c r="U828" s="24"/>
      <c r="V828" s="24"/>
      <c r="W828" s="24"/>
      <c r="X828" s="24"/>
      <c r="Y828" s="24"/>
      <c r="Z828" s="24"/>
      <c r="AA828" s="24"/>
      <c r="AB828" s="24"/>
      <c r="AC828" s="24"/>
      <c r="AD828" s="24"/>
      <c r="AE828" s="24"/>
      <c r="AF828" s="24"/>
      <c r="AG828" s="24"/>
      <c r="AH828" s="24"/>
      <c r="AI828" s="24"/>
      <c r="AJ828" s="24"/>
      <c r="AK828" s="24"/>
      <c r="AL828" s="24"/>
      <c r="AM828" s="24"/>
      <c r="AN828" s="24"/>
      <c r="AO828" s="24"/>
      <c r="AP828" s="24"/>
      <c r="AQ828" s="24"/>
      <c r="AR828" s="24"/>
      <c r="AS828" s="24"/>
      <c r="AT828" s="24"/>
      <c r="AU828" s="24"/>
      <c r="AV828" s="24"/>
      <c r="AW828" s="24"/>
      <c r="AX828" s="24"/>
    </row>
    <row r="829" ht="15.75" customHeight="1">
      <c r="A829" s="221"/>
      <c r="B829" s="221"/>
      <c r="C829" s="28" t="s">
        <v>50</v>
      </c>
      <c r="D829" s="28" t="s">
        <v>50</v>
      </c>
      <c r="E829" s="28" t="s">
        <v>50</v>
      </c>
      <c r="F829" s="28"/>
      <c r="G829" s="28"/>
      <c r="H829" s="28"/>
      <c r="I829" s="28"/>
      <c r="J829" s="28"/>
      <c r="K829" s="28"/>
      <c r="L829" s="28"/>
      <c r="M829" s="28"/>
      <c r="N829" s="28"/>
      <c r="O829" s="70"/>
      <c r="P829" s="70"/>
      <c r="Q829" s="70"/>
      <c r="R829" s="70"/>
      <c r="S829" s="70"/>
      <c r="T829" s="70"/>
      <c r="U829" s="70"/>
      <c r="V829" s="70"/>
      <c r="W829" s="70"/>
      <c r="X829" s="70"/>
      <c r="Y829" s="70"/>
      <c r="Z829" s="70"/>
      <c r="AA829" s="70"/>
      <c r="AB829" s="70"/>
      <c r="AC829" s="70"/>
      <c r="AD829" s="70"/>
      <c r="AE829" s="70"/>
      <c r="AF829" s="70"/>
      <c r="AG829" s="70"/>
      <c r="AH829" s="70"/>
      <c r="AI829" s="70"/>
      <c r="AJ829" s="70"/>
      <c r="AK829" s="70"/>
      <c r="AL829" s="70"/>
      <c r="AM829" s="70"/>
      <c r="AN829" s="70"/>
      <c r="AO829" s="70"/>
      <c r="AP829" s="70"/>
      <c r="AQ829" s="70"/>
      <c r="AR829" s="70"/>
      <c r="AS829" s="70"/>
      <c r="AT829" s="70"/>
      <c r="AU829" s="70"/>
      <c r="AV829" s="70"/>
      <c r="AW829" s="70"/>
      <c r="AX829" s="70"/>
    </row>
    <row r="830" ht="16.5" customHeight="1">
      <c r="A830" s="65" t="s">
        <v>134</v>
      </c>
      <c r="B830" s="66" t="s">
        <v>5817</v>
      </c>
      <c r="C830" s="28"/>
      <c r="D830" s="28"/>
      <c r="E830" s="28"/>
      <c r="F830" s="28"/>
      <c r="G830" s="28"/>
      <c r="H830" s="28"/>
      <c r="I830" s="28"/>
      <c r="J830" s="28"/>
      <c r="K830" s="28"/>
      <c r="L830" s="28"/>
      <c r="M830" s="28"/>
      <c r="N830" s="28"/>
      <c r="O830" s="67"/>
      <c r="P830" s="68"/>
      <c r="Q830" s="68"/>
      <c r="R830" s="67"/>
      <c r="S830" s="67"/>
      <c r="T830" s="65" t="s">
        <v>139</v>
      </c>
      <c r="U830" s="67"/>
      <c r="V830" s="67"/>
      <c r="W830" s="67"/>
      <c r="X830" s="67"/>
      <c r="Y830" s="67"/>
      <c r="Z830" s="67"/>
      <c r="AA830" s="67"/>
      <c r="AB830" s="67"/>
      <c r="AC830" s="67"/>
      <c r="AD830" s="67"/>
      <c r="AE830" s="67"/>
      <c r="AF830" s="67"/>
      <c r="AG830" s="67"/>
      <c r="AH830" s="67"/>
      <c r="AI830" s="67"/>
      <c r="AJ830" s="67"/>
      <c r="AK830" s="67"/>
      <c r="AL830" s="67"/>
      <c r="AM830" s="67"/>
      <c r="AN830" s="67"/>
      <c r="AO830" s="67"/>
      <c r="AP830" s="67"/>
      <c r="AQ830" s="67"/>
      <c r="AR830" s="67"/>
      <c r="AS830" s="67"/>
      <c r="AT830" s="67"/>
      <c r="AU830" s="67"/>
      <c r="AV830" s="67"/>
      <c r="AW830" s="67"/>
      <c r="AX830" s="67"/>
    </row>
    <row r="831" ht="15.75" customHeight="1">
      <c r="A831" s="166" t="s">
        <v>41</v>
      </c>
      <c r="B831" s="167" t="s">
        <v>5823</v>
      </c>
      <c r="C831" s="28" t="s">
        <v>5827</v>
      </c>
      <c r="D831" s="28" t="s">
        <v>5828</v>
      </c>
      <c r="E831" s="28" t="s">
        <v>5829</v>
      </c>
      <c r="F831" s="28"/>
      <c r="G831" s="28"/>
      <c r="H831" s="28"/>
      <c r="I831" s="28"/>
      <c r="J831" s="28"/>
      <c r="K831" s="28"/>
      <c r="L831" s="28"/>
      <c r="M831" s="28"/>
      <c r="N831" s="28"/>
      <c r="O831" s="126"/>
      <c r="P831" s="126"/>
      <c r="Q831" s="126"/>
      <c r="R831" s="126"/>
      <c r="S831" s="126"/>
      <c r="T831" s="126"/>
      <c r="U831" s="126"/>
      <c r="V831" s="126"/>
      <c r="W831" s="126"/>
      <c r="X831" s="126"/>
      <c r="Y831" s="126"/>
      <c r="Z831" s="126"/>
      <c r="AA831" s="126"/>
      <c r="AB831" s="126"/>
      <c r="AC831" s="126"/>
      <c r="AD831" s="126"/>
      <c r="AE831" s="126"/>
      <c r="AF831" s="126"/>
      <c r="AG831" s="126"/>
      <c r="AH831" s="126"/>
      <c r="AI831" s="126"/>
      <c r="AJ831" s="126"/>
      <c r="AK831" s="126"/>
      <c r="AL831" s="126"/>
      <c r="AM831" s="126"/>
      <c r="AN831" s="126"/>
      <c r="AO831" s="70"/>
      <c r="AP831" s="70"/>
      <c r="AQ831" s="70"/>
      <c r="AR831" s="70"/>
      <c r="AS831" s="70"/>
      <c r="AT831" s="70"/>
      <c r="AU831" s="70"/>
      <c r="AV831" s="70"/>
      <c r="AW831" s="70"/>
      <c r="AX831" s="70"/>
    </row>
    <row r="832" ht="15.75" customHeight="1">
      <c r="A832" s="68" t="s">
        <v>5830</v>
      </c>
      <c r="B832" s="169" t="s">
        <v>5831</v>
      </c>
      <c r="C832" s="28" t="s">
        <v>5835</v>
      </c>
      <c r="D832" s="28" t="s">
        <v>5836</v>
      </c>
      <c r="E832" s="28" t="s">
        <v>5837</v>
      </c>
      <c r="F832" s="28"/>
      <c r="G832" s="28"/>
      <c r="H832" s="28"/>
      <c r="I832" s="28"/>
      <c r="J832" s="28"/>
      <c r="K832" s="28"/>
      <c r="L832" s="28"/>
      <c r="M832" s="28"/>
      <c r="N832" s="28"/>
      <c r="O832" s="67"/>
      <c r="P832" s="67"/>
      <c r="Q832" s="67" t="s">
        <v>145</v>
      </c>
      <c r="R832" s="67"/>
      <c r="S832" s="67"/>
      <c r="T832" s="67"/>
      <c r="U832" s="67"/>
      <c r="V832" s="67"/>
      <c r="W832" s="67"/>
      <c r="X832" s="67"/>
      <c r="Y832" s="67"/>
      <c r="Z832" s="67"/>
      <c r="AA832" s="67"/>
      <c r="AB832" s="67"/>
      <c r="AC832" s="67"/>
      <c r="AD832" s="67"/>
      <c r="AE832" s="67"/>
      <c r="AF832" s="67"/>
      <c r="AG832" s="67"/>
      <c r="AH832" s="67"/>
      <c r="AI832" s="67"/>
      <c r="AJ832" s="67"/>
      <c r="AK832" s="67"/>
      <c r="AL832" s="67"/>
      <c r="AM832" s="67"/>
      <c r="AN832" s="67"/>
      <c r="AO832" s="70"/>
      <c r="AP832" s="70"/>
      <c r="AQ832" s="70"/>
      <c r="AR832" s="70"/>
      <c r="AS832" s="70"/>
      <c r="AT832" s="70"/>
      <c r="AU832" s="70"/>
      <c r="AV832" s="70"/>
      <c r="AW832" s="70"/>
      <c r="AX832" s="70"/>
    </row>
    <row r="833" ht="15.75" customHeight="1">
      <c r="A833" s="68" t="s">
        <v>463</v>
      </c>
      <c r="B833" s="169" t="s">
        <v>5838</v>
      </c>
      <c r="C833" s="28" t="s">
        <v>5845</v>
      </c>
      <c r="D833" s="28" t="s">
        <v>5846</v>
      </c>
      <c r="E833" s="28" t="s">
        <v>5847</v>
      </c>
      <c r="F833" s="28"/>
      <c r="G833" s="28"/>
      <c r="H833" s="28"/>
      <c r="I833" s="28"/>
      <c r="J833" s="28"/>
      <c r="K833" s="28"/>
      <c r="L833" s="28"/>
      <c r="M833" s="28"/>
      <c r="N833" s="28"/>
      <c r="O833" s="67"/>
      <c r="P833" s="67"/>
      <c r="Q833" s="67" t="s">
        <v>145</v>
      </c>
      <c r="R833" s="67"/>
      <c r="S833" s="67"/>
      <c r="T833" s="67"/>
      <c r="U833" s="67"/>
      <c r="V833" s="67"/>
      <c r="W833" s="67"/>
      <c r="X833" s="67"/>
      <c r="Y833" s="67"/>
      <c r="Z833" s="67"/>
      <c r="AA833" s="67"/>
      <c r="AB833" s="67"/>
      <c r="AC833" s="67"/>
      <c r="AD833" s="67"/>
      <c r="AE833" s="67"/>
      <c r="AF833" s="67"/>
      <c r="AG833" s="67"/>
      <c r="AH833" s="67"/>
      <c r="AI833" s="67"/>
      <c r="AJ833" s="67"/>
      <c r="AK833" s="67"/>
      <c r="AL833" s="67"/>
      <c r="AM833" s="67"/>
      <c r="AN833" s="67"/>
      <c r="AO833" s="70"/>
      <c r="AP833" s="70"/>
      <c r="AQ833" s="70"/>
      <c r="AR833" s="70"/>
      <c r="AS833" s="70"/>
      <c r="AT833" s="70"/>
      <c r="AU833" s="70"/>
      <c r="AV833" s="70"/>
      <c r="AW833" s="70"/>
      <c r="AX833" s="70"/>
    </row>
    <row r="834" ht="15.75" customHeight="1">
      <c r="A834" s="65" t="s">
        <v>5848</v>
      </c>
      <c r="B834" s="169" t="s">
        <v>5849</v>
      </c>
      <c r="C834" s="28" t="s">
        <v>5853</v>
      </c>
      <c r="D834" s="28" t="s">
        <v>5854</v>
      </c>
      <c r="E834" s="28" t="s">
        <v>5855</v>
      </c>
      <c r="F834" s="28"/>
      <c r="G834" s="28"/>
      <c r="H834" s="28"/>
      <c r="I834" s="28"/>
      <c r="J834" s="28"/>
      <c r="K834" s="28"/>
      <c r="L834" s="28"/>
      <c r="M834" s="28"/>
      <c r="N834" s="28"/>
      <c r="O834" s="67" t="s">
        <v>10556</v>
      </c>
      <c r="P834" s="67"/>
      <c r="Q834" s="67" t="s">
        <v>145</v>
      </c>
      <c r="R834" s="67"/>
      <c r="S834" s="67"/>
      <c r="T834" s="67"/>
      <c r="U834" s="67"/>
      <c r="V834" s="67"/>
      <c r="W834" s="67"/>
      <c r="X834" s="67"/>
      <c r="Y834" s="67"/>
      <c r="Z834" s="67"/>
      <c r="AA834" s="67"/>
      <c r="AB834" s="67"/>
      <c r="AC834" s="67"/>
      <c r="AD834" s="126"/>
      <c r="AE834" s="126"/>
      <c r="AF834" s="126"/>
      <c r="AG834" s="126"/>
      <c r="AH834" s="126"/>
      <c r="AI834" s="126"/>
      <c r="AJ834" s="126"/>
      <c r="AK834" s="126"/>
      <c r="AL834" s="126"/>
      <c r="AM834" s="126"/>
      <c r="AN834" s="126"/>
      <c r="AO834" s="70"/>
      <c r="AP834" s="70"/>
      <c r="AQ834" s="70"/>
      <c r="AR834" s="70"/>
      <c r="AS834" s="70"/>
      <c r="AT834" s="70"/>
      <c r="AU834" s="70"/>
      <c r="AV834" s="70"/>
      <c r="AW834" s="70"/>
      <c r="AX834" s="70"/>
    </row>
    <row r="835" ht="15.75" customHeight="1">
      <c r="A835" s="179" t="s">
        <v>246</v>
      </c>
      <c r="B835" s="180" t="s">
        <v>5856</v>
      </c>
      <c r="C835" s="28" t="s">
        <v>5860</v>
      </c>
      <c r="D835" s="28" t="s">
        <v>5861</v>
      </c>
      <c r="E835" s="28" t="s">
        <v>5862</v>
      </c>
      <c r="F835" s="28"/>
      <c r="G835" s="28"/>
      <c r="H835" s="28"/>
      <c r="I835" s="28"/>
      <c r="J835" s="28"/>
      <c r="K835" s="28"/>
      <c r="L835" s="28"/>
      <c r="M835" s="28"/>
      <c r="N835" s="28"/>
      <c r="O835" s="274" t="s">
        <v>10557</v>
      </c>
      <c r="P835" s="181"/>
      <c r="Q835" s="181"/>
      <c r="R835" s="181"/>
      <c r="S835" s="181"/>
      <c r="T835" s="181"/>
      <c r="U835" s="181"/>
      <c r="V835" s="181"/>
      <c r="W835" s="181"/>
      <c r="X835" s="181"/>
      <c r="Y835" s="181"/>
      <c r="Z835" s="181"/>
      <c r="AA835" s="181"/>
      <c r="AB835" s="181"/>
      <c r="AC835" s="181"/>
      <c r="AD835" s="126"/>
      <c r="AE835" s="126"/>
      <c r="AF835" s="126"/>
      <c r="AG835" s="126"/>
      <c r="AH835" s="126"/>
      <c r="AI835" s="126"/>
      <c r="AJ835" s="126"/>
      <c r="AK835" s="126"/>
      <c r="AL835" s="126"/>
      <c r="AM835" s="126"/>
      <c r="AN835" s="126"/>
      <c r="AO835" s="70"/>
      <c r="AP835" s="70"/>
      <c r="AQ835" s="70"/>
      <c r="AR835" s="70"/>
      <c r="AS835" s="70"/>
      <c r="AT835" s="70"/>
      <c r="AU835" s="70"/>
      <c r="AV835" s="70"/>
      <c r="AW835" s="70"/>
      <c r="AX835" s="70"/>
    </row>
    <row r="836" ht="15.75" customHeight="1">
      <c r="A836" s="166" t="s">
        <v>41</v>
      </c>
      <c r="B836" s="167" t="s">
        <v>5863</v>
      </c>
      <c r="C836" s="28" t="s">
        <v>5867</v>
      </c>
      <c r="D836" s="28" t="s">
        <v>5868</v>
      </c>
      <c r="E836" s="28" t="s">
        <v>5869</v>
      </c>
      <c r="F836" s="28"/>
      <c r="G836" s="28"/>
      <c r="H836" s="28"/>
      <c r="I836" s="28"/>
      <c r="J836" s="28"/>
      <c r="K836" s="28"/>
      <c r="L836" s="28"/>
      <c r="M836" s="28"/>
      <c r="N836" s="28"/>
      <c r="O836" s="126"/>
      <c r="P836" s="126"/>
      <c r="Q836" s="126"/>
      <c r="R836" s="126"/>
      <c r="S836" s="126"/>
      <c r="T836" s="126"/>
      <c r="U836" s="126"/>
      <c r="V836" s="126"/>
      <c r="W836" s="126"/>
      <c r="X836" s="126"/>
      <c r="Y836" s="126"/>
      <c r="Z836" s="126"/>
      <c r="AA836" s="126"/>
      <c r="AB836" s="126"/>
      <c r="AC836" s="126"/>
      <c r="AD836" s="126"/>
      <c r="AE836" s="126"/>
      <c r="AF836" s="126"/>
      <c r="AG836" s="126"/>
      <c r="AH836" s="126"/>
      <c r="AI836" s="126"/>
      <c r="AJ836" s="126"/>
      <c r="AK836" s="126"/>
      <c r="AL836" s="126"/>
      <c r="AM836" s="126"/>
      <c r="AN836" s="126"/>
      <c r="AO836" s="70"/>
      <c r="AP836" s="70"/>
      <c r="AQ836" s="70"/>
      <c r="AR836" s="70"/>
      <c r="AS836" s="70"/>
      <c r="AT836" s="70"/>
      <c r="AU836" s="70"/>
      <c r="AV836" s="70"/>
      <c r="AW836" s="70"/>
      <c r="AX836" s="70"/>
    </row>
    <row r="837" ht="15.75" customHeight="1">
      <c r="A837" s="68" t="s">
        <v>463</v>
      </c>
      <c r="B837" s="169" t="s">
        <v>5870</v>
      </c>
      <c r="C837" s="28" t="s">
        <v>5875</v>
      </c>
      <c r="D837" s="28" t="s">
        <v>5876</v>
      </c>
      <c r="E837" s="28" t="s">
        <v>5877</v>
      </c>
      <c r="F837" s="28"/>
      <c r="G837" s="28"/>
      <c r="H837" s="28"/>
      <c r="I837" s="28"/>
      <c r="J837" s="28"/>
      <c r="K837" s="28"/>
      <c r="L837" s="28"/>
      <c r="M837" s="28"/>
      <c r="N837" s="28"/>
      <c r="O837" s="67"/>
      <c r="P837" s="67"/>
      <c r="Q837" s="67" t="s">
        <v>145</v>
      </c>
      <c r="R837" s="67"/>
      <c r="S837" s="67"/>
      <c r="T837" s="67"/>
      <c r="U837" s="67"/>
      <c r="V837" s="67"/>
      <c r="W837" s="67"/>
      <c r="X837" s="67"/>
      <c r="Y837" s="67"/>
      <c r="Z837" s="67"/>
      <c r="AA837" s="67"/>
      <c r="AB837" s="67"/>
      <c r="AC837" s="67"/>
      <c r="AD837" s="67"/>
      <c r="AE837" s="67"/>
      <c r="AF837" s="67"/>
      <c r="AG837" s="67"/>
      <c r="AH837" s="67"/>
      <c r="AI837" s="67"/>
      <c r="AJ837" s="67"/>
      <c r="AK837" s="67"/>
      <c r="AL837" s="67"/>
      <c r="AM837" s="67"/>
      <c r="AN837" s="67"/>
      <c r="AO837" s="70"/>
      <c r="AP837" s="70"/>
      <c r="AQ837" s="70"/>
      <c r="AR837" s="70"/>
      <c r="AS837" s="70"/>
      <c r="AT837" s="70"/>
      <c r="AU837" s="70"/>
      <c r="AV837" s="70"/>
      <c r="AW837" s="70"/>
      <c r="AX837" s="70"/>
    </row>
    <row r="838" ht="15.75" customHeight="1">
      <c r="A838" s="170" t="s">
        <v>263</v>
      </c>
      <c r="B838" s="171" t="s">
        <v>5878</v>
      </c>
      <c r="C838" s="28" t="s">
        <v>5883</v>
      </c>
      <c r="D838" s="28" t="s">
        <v>5884</v>
      </c>
      <c r="E838" s="28" t="s">
        <v>5885</v>
      </c>
      <c r="F838" s="28"/>
      <c r="G838" s="28"/>
      <c r="H838" s="28"/>
      <c r="I838" s="28"/>
      <c r="J838" s="28"/>
      <c r="K838" s="28" t="s">
        <v>907</v>
      </c>
      <c r="L838" s="28"/>
      <c r="M838" s="28"/>
      <c r="N838" s="28"/>
      <c r="O838" s="173" t="s">
        <v>10558</v>
      </c>
      <c r="P838" s="173"/>
      <c r="Q838" s="173" t="s">
        <v>145</v>
      </c>
      <c r="R838" s="173"/>
      <c r="S838" s="173"/>
      <c r="T838" s="173"/>
      <c r="U838" s="173"/>
      <c r="V838" s="173"/>
      <c r="W838" s="173"/>
      <c r="X838" s="173"/>
      <c r="Y838" s="173"/>
      <c r="Z838" s="173"/>
      <c r="AA838" s="173"/>
      <c r="AB838" s="173"/>
      <c r="AC838" s="173"/>
      <c r="AD838" s="173"/>
      <c r="AE838" s="173"/>
      <c r="AF838" s="173"/>
      <c r="AG838" s="173"/>
      <c r="AH838" s="173"/>
      <c r="AI838" s="173"/>
      <c r="AJ838" s="173"/>
      <c r="AK838" s="173"/>
      <c r="AL838" s="173"/>
      <c r="AM838" s="173"/>
      <c r="AN838" s="173"/>
      <c r="AO838" s="70"/>
      <c r="AP838" s="70"/>
      <c r="AQ838" s="70"/>
      <c r="AR838" s="70"/>
      <c r="AS838" s="70"/>
      <c r="AT838" s="70"/>
      <c r="AU838" s="70"/>
      <c r="AV838" s="70"/>
      <c r="AW838" s="70"/>
      <c r="AX838" s="70"/>
    </row>
    <row r="839" ht="15.75" customHeight="1">
      <c r="A839" s="170" t="s">
        <v>263</v>
      </c>
      <c r="B839" s="171" t="s">
        <v>5886</v>
      </c>
      <c r="C839" s="28" t="s">
        <v>5893</v>
      </c>
      <c r="D839" s="28" t="s">
        <v>5894</v>
      </c>
      <c r="E839" s="28" t="s">
        <v>5895</v>
      </c>
      <c r="F839" s="28"/>
      <c r="G839" s="28"/>
      <c r="H839" s="28"/>
      <c r="I839" s="28"/>
      <c r="J839" s="28"/>
      <c r="K839" s="28" t="s">
        <v>907</v>
      </c>
      <c r="L839" s="28"/>
      <c r="M839" s="28"/>
      <c r="N839" s="28"/>
      <c r="O839" s="173"/>
      <c r="P839" s="173"/>
      <c r="Q839" s="173" t="s">
        <v>145</v>
      </c>
      <c r="R839" s="173"/>
      <c r="S839" s="173"/>
      <c r="T839" s="173"/>
      <c r="U839" s="173"/>
      <c r="V839" s="173"/>
      <c r="W839" s="173"/>
      <c r="X839" s="173"/>
      <c r="Y839" s="173"/>
      <c r="Z839" s="173"/>
      <c r="AA839" s="173"/>
      <c r="AB839" s="173"/>
      <c r="AC839" s="173"/>
      <c r="AD839" s="173"/>
      <c r="AE839" s="173"/>
      <c r="AF839" s="173"/>
      <c r="AG839" s="173"/>
      <c r="AH839" s="173"/>
      <c r="AI839" s="173"/>
      <c r="AJ839" s="173"/>
      <c r="AK839" s="173"/>
      <c r="AL839" s="173"/>
      <c r="AM839" s="173"/>
      <c r="AN839" s="173"/>
      <c r="AO839" s="70"/>
      <c r="AP839" s="70"/>
      <c r="AQ839" s="70"/>
      <c r="AR839" s="70"/>
      <c r="AS839" s="70"/>
      <c r="AT839" s="70"/>
      <c r="AU839" s="70"/>
      <c r="AV839" s="70"/>
      <c r="AW839" s="70"/>
      <c r="AX839" s="70"/>
    </row>
    <row r="840" ht="15.75" customHeight="1">
      <c r="A840" s="170" t="s">
        <v>263</v>
      </c>
      <c r="B840" s="171" t="s">
        <v>5896</v>
      </c>
      <c r="C840" s="28" t="s">
        <v>5901</v>
      </c>
      <c r="D840" s="28" t="s">
        <v>5902</v>
      </c>
      <c r="E840" s="28" t="s">
        <v>5903</v>
      </c>
      <c r="F840" s="28"/>
      <c r="G840" s="28"/>
      <c r="H840" s="28"/>
      <c r="I840" s="28"/>
      <c r="J840" s="28"/>
      <c r="K840" s="28" t="s">
        <v>10559</v>
      </c>
      <c r="L840" s="28"/>
      <c r="M840" s="28"/>
      <c r="N840" s="28"/>
      <c r="O840" s="173"/>
      <c r="P840" s="173"/>
      <c r="Q840" s="173" t="s">
        <v>145</v>
      </c>
      <c r="R840" s="173"/>
      <c r="S840" s="173"/>
      <c r="T840" s="173"/>
      <c r="U840" s="173"/>
      <c r="V840" s="173"/>
      <c r="W840" s="173"/>
      <c r="X840" s="173"/>
      <c r="Y840" s="173"/>
      <c r="Z840" s="173"/>
      <c r="AA840" s="173"/>
      <c r="AB840" s="173"/>
      <c r="AC840" s="173"/>
      <c r="AD840" s="173"/>
      <c r="AE840" s="173"/>
      <c r="AF840" s="173"/>
      <c r="AG840" s="173"/>
      <c r="AH840" s="173"/>
      <c r="AI840" s="173"/>
      <c r="AJ840" s="173"/>
      <c r="AK840" s="173"/>
      <c r="AL840" s="173"/>
      <c r="AM840" s="173"/>
      <c r="AN840" s="173"/>
      <c r="AO840" s="70"/>
      <c r="AP840" s="70"/>
      <c r="AQ840" s="70"/>
      <c r="AR840" s="70"/>
      <c r="AS840" s="70"/>
      <c r="AT840" s="70"/>
      <c r="AU840" s="70"/>
      <c r="AV840" s="70"/>
      <c r="AW840" s="70"/>
      <c r="AX840" s="70"/>
    </row>
    <row r="841" ht="15.75" customHeight="1">
      <c r="A841" s="140" t="s">
        <v>131</v>
      </c>
      <c r="B841" s="190" t="s">
        <v>5904</v>
      </c>
      <c r="C841" s="28"/>
      <c r="D841" s="28"/>
      <c r="E841" s="28"/>
      <c r="F841" s="28"/>
      <c r="G841" s="28"/>
      <c r="H841" s="28"/>
      <c r="I841" s="28"/>
      <c r="J841" s="28" t="s">
        <v>931</v>
      </c>
      <c r="K841" s="28"/>
      <c r="L841" s="28"/>
      <c r="M841" s="28"/>
      <c r="N841" s="28"/>
      <c r="O841" s="190"/>
      <c r="P841" s="139"/>
      <c r="Q841" s="139"/>
      <c r="R841" s="139"/>
      <c r="S841" s="139"/>
      <c r="T841" s="139"/>
      <c r="U841" s="139"/>
      <c r="V841" s="139"/>
      <c r="W841" s="139"/>
      <c r="X841" s="139"/>
      <c r="Y841" s="139"/>
      <c r="Z841" s="139"/>
      <c r="AA841" s="139"/>
      <c r="AB841" s="139"/>
      <c r="AC841" s="139"/>
      <c r="AD841" s="70"/>
      <c r="AE841" s="70"/>
      <c r="AF841" s="70"/>
      <c r="AG841" s="70"/>
      <c r="AH841" s="70"/>
      <c r="AI841" s="70"/>
      <c r="AJ841" s="70"/>
      <c r="AK841" s="70"/>
      <c r="AL841" s="70"/>
      <c r="AM841" s="70"/>
      <c r="AN841" s="70"/>
      <c r="AO841" s="70"/>
      <c r="AP841" s="70"/>
      <c r="AQ841" s="70"/>
      <c r="AR841" s="70"/>
      <c r="AS841" s="70"/>
      <c r="AT841" s="70"/>
      <c r="AU841" s="70"/>
      <c r="AV841" s="70"/>
      <c r="AW841" s="70"/>
      <c r="AX841" s="70"/>
    </row>
    <row r="842" ht="15.75" customHeight="1">
      <c r="A842" s="68" t="s">
        <v>4632</v>
      </c>
      <c r="B842" s="289" t="s">
        <v>5908</v>
      </c>
      <c r="C842" s="28" t="s">
        <v>5914</v>
      </c>
      <c r="D842" s="28" t="s">
        <v>5915</v>
      </c>
      <c r="E842" s="28" t="s">
        <v>5916</v>
      </c>
      <c r="F842" s="28"/>
      <c r="G842" s="28"/>
      <c r="H842" s="28"/>
      <c r="I842" s="28"/>
      <c r="J842" s="28" t="s">
        <v>8</v>
      </c>
      <c r="K842" s="28"/>
      <c r="L842" s="28"/>
      <c r="M842" s="28"/>
      <c r="N842" s="28"/>
      <c r="O842" s="67"/>
      <c r="P842" s="67"/>
      <c r="Q842" s="67"/>
      <c r="R842" s="67"/>
      <c r="S842" s="67"/>
      <c r="T842" s="67"/>
      <c r="U842" s="67"/>
      <c r="V842" s="67"/>
      <c r="W842" s="67"/>
      <c r="X842" s="67"/>
      <c r="Y842" s="67"/>
      <c r="Z842" s="67"/>
      <c r="AA842" s="67"/>
      <c r="AB842" s="67"/>
      <c r="AC842" s="67"/>
      <c r="AD842" s="70"/>
      <c r="AE842" s="70"/>
      <c r="AF842" s="70"/>
      <c r="AG842" s="70"/>
      <c r="AH842" s="70"/>
      <c r="AI842" s="70"/>
      <c r="AJ842" s="70"/>
      <c r="AK842" s="70"/>
      <c r="AL842" s="70"/>
      <c r="AM842" s="70"/>
      <c r="AN842" s="70"/>
      <c r="AO842" s="70"/>
      <c r="AP842" s="70"/>
      <c r="AQ842" s="70"/>
      <c r="AR842" s="70"/>
      <c r="AS842" s="70"/>
      <c r="AT842" s="70"/>
      <c r="AU842" s="70"/>
      <c r="AV842" s="70"/>
      <c r="AW842" s="70"/>
      <c r="AX842" s="70"/>
    </row>
    <row r="843" ht="15.75" customHeight="1">
      <c r="A843" s="68" t="s">
        <v>4632</v>
      </c>
      <c r="B843" s="289" t="s">
        <v>5917</v>
      </c>
      <c r="C843" s="28" t="s">
        <v>5922</v>
      </c>
      <c r="D843" s="28" t="s">
        <v>5923</v>
      </c>
      <c r="E843" s="28" t="s">
        <v>5924</v>
      </c>
      <c r="F843" s="28"/>
      <c r="G843" s="28"/>
      <c r="H843" s="28"/>
      <c r="I843" s="28"/>
      <c r="J843" s="28" t="s">
        <v>958</v>
      </c>
      <c r="K843" s="28"/>
      <c r="L843" s="28"/>
      <c r="M843" s="28"/>
      <c r="N843" s="28"/>
      <c r="O843" s="67"/>
      <c r="P843" s="67"/>
      <c r="Q843" s="67" t="s">
        <v>145</v>
      </c>
      <c r="R843" s="67"/>
      <c r="S843" s="67"/>
      <c r="T843" s="67"/>
      <c r="U843" s="67"/>
      <c r="V843" s="67"/>
      <c r="W843" s="67"/>
      <c r="X843" s="67"/>
      <c r="Y843" s="67"/>
      <c r="Z843" s="67"/>
      <c r="AA843" s="67"/>
      <c r="AB843" s="67"/>
      <c r="AC843" s="67"/>
      <c r="AD843" s="70"/>
      <c r="AE843" s="70"/>
      <c r="AF843" s="70"/>
      <c r="AG843" s="70"/>
      <c r="AH843" s="70"/>
      <c r="AI843" s="70"/>
      <c r="AJ843" s="70"/>
      <c r="AK843" s="70"/>
      <c r="AL843" s="70"/>
      <c r="AM843" s="70"/>
      <c r="AN843" s="70"/>
      <c r="AO843" s="70"/>
      <c r="AP843" s="70"/>
      <c r="AQ843" s="70"/>
      <c r="AR843" s="70"/>
      <c r="AS843" s="70"/>
      <c r="AT843" s="70"/>
      <c r="AU843" s="70"/>
      <c r="AV843" s="70"/>
      <c r="AW843" s="70"/>
      <c r="AX843" s="70"/>
    </row>
    <row r="844" ht="15.75" customHeight="1">
      <c r="A844" s="68" t="s">
        <v>4632</v>
      </c>
      <c r="B844" s="289" t="s">
        <v>5925</v>
      </c>
      <c r="C844" s="28" t="s">
        <v>5930</v>
      </c>
      <c r="D844" s="28" t="s">
        <v>5931</v>
      </c>
      <c r="E844" s="28" t="s">
        <v>5932</v>
      </c>
      <c r="F844" s="28"/>
      <c r="G844" s="28"/>
      <c r="H844" s="28"/>
      <c r="I844" s="28"/>
      <c r="J844" s="28" t="s">
        <v>958</v>
      </c>
      <c r="K844" s="28"/>
      <c r="L844" s="28"/>
      <c r="M844" s="28"/>
      <c r="N844" s="28"/>
      <c r="O844" s="67"/>
      <c r="P844" s="67"/>
      <c r="Q844" s="67" t="s">
        <v>145</v>
      </c>
      <c r="R844" s="67"/>
      <c r="S844" s="67"/>
      <c r="T844" s="67"/>
      <c r="U844" s="67"/>
      <c r="V844" s="67"/>
      <c r="W844" s="67"/>
      <c r="X844" s="67"/>
      <c r="Y844" s="67"/>
      <c r="Z844" s="67"/>
      <c r="AA844" s="67"/>
      <c r="AB844" s="67"/>
      <c r="AC844" s="67"/>
      <c r="AD844" s="70"/>
      <c r="AE844" s="70"/>
      <c r="AF844" s="70"/>
      <c r="AG844" s="70"/>
      <c r="AH844" s="70"/>
      <c r="AI844" s="70"/>
      <c r="AJ844" s="70"/>
      <c r="AK844" s="70"/>
      <c r="AL844" s="70"/>
      <c r="AM844" s="70"/>
      <c r="AN844" s="70"/>
      <c r="AO844" s="70"/>
      <c r="AP844" s="70"/>
      <c r="AQ844" s="70"/>
      <c r="AR844" s="70"/>
      <c r="AS844" s="70"/>
      <c r="AT844" s="70"/>
      <c r="AU844" s="70"/>
      <c r="AV844" s="70"/>
      <c r="AW844" s="70"/>
      <c r="AX844" s="70"/>
    </row>
    <row r="845" ht="15.75" customHeight="1">
      <c r="A845" s="68" t="s">
        <v>4632</v>
      </c>
      <c r="B845" s="289" t="s">
        <v>5934</v>
      </c>
      <c r="C845" s="28" t="s">
        <v>5938</v>
      </c>
      <c r="D845" s="28" t="s">
        <v>5938</v>
      </c>
      <c r="E845" s="28" t="s">
        <v>5939</v>
      </c>
      <c r="F845" s="28"/>
      <c r="G845" s="28"/>
      <c r="H845" s="28"/>
      <c r="I845" s="28"/>
      <c r="J845" s="28" t="s">
        <v>958</v>
      </c>
      <c r="K845" s="28"/>
      <c r="L845" s="28"/>
      <c r="M845" s="28"/>
      <c r="N845" s="28"/>
      <c r="O845" s="67"/>
      <c r="P845" s="67"/>
      <c r="Q845" s="67" t="s">
        <v>145</v>
      </c>
      <c r="R845" s="67"/>
      <c r="S845" s="67"/>
      <c r="T845" s="67"/>
      <c r="U845" s="67"/>
      <c r="V845" s="67"/>
      <c r="W845" s="67"/>
      <c r="X845" s="67"/>
      <c r="Y845" s="67"/>
      <c r="Z845" s="67"/>
      <c r="AA845" s="67"/>
      <c r="AB845" s="67"/>
      <c r="AC845" s="67"/>
      <c r="AD845" s="70"/>
      <c r="AE845" s="70"/>
      <c r="AF845" s="70"/>
      <c r="AG845" s="70"/>
      <c r="AH845" s="70"/>
      <c r="AI845" s="70"/>
      <c r="AJ845" s="70"/>
      <c r="AK845" s="70"/>
      <c r="AL845" s="70"/>
      <c r="AM845" s="70"/>
      <c r="AN845" s="70"/>
      <c r="AO845" s="70"/>
      <c r="AP845" s="70"/>
      <c r="AQ845" s="70"/>
      <c r="AR845" s="70"/>
      <c r="AS845" s="70"/>
      <c r="AT845" s="70"/>
      <c r="AU845" s="70"/>
      <c r="AV845" s="70"/>
      <c r="AW845" s="70"/>
      <c r="AX845" s="70"/>
    </row>
    <row r="846" ht="15.75" customHeight="1">
      <c r="A846" s="68" t="s">
        <v>4632</v>
      </c>
      <c r="B846" s="289" t="s">
        <v>5940</v>
      </c>
      <c r="C846" s="28" t="s">
        <v>5944</v>
      </c>
      <c r="D846" s="28" t="s">
        <v>5945</v>
      </c>
      <c r="E846" s="28" t="s">
        <v>5946</v>
      </c>
      <c r="F846" s="28"/>
      <c r="G846" s="28"/>
      <c r="H846" s="28"/>
      <c r="I846" s="28"/>
      <c r="J846" s="28" t="s">
        <v>958</v>
      </c>
      <c r="K846" s="28"/>
      <c r="L846" s="28"/>
      <c r="M846" s="28"/>
      <c r="N846" s="28"/>
      <c r="O846" s="67"/>
      <c r="P846" s="67"/>
      <c r="Q846" s="67" t="s">
        <v>145</v>
      </c>
      <c r="R846" s="67"/>
      <c r="S846" s="67"/>
      <c r="T846" s="67"/>
      <c r="U846" s="67"/>
      <c r="V846" s="67"/>
      <c r="W846" s="67"/>
      <c r="X846" s="67"/>
      <c r="Y846" s="67"/>
      <c r="Z846" s="67"/>
      <c r="AA846" s="67"/>
      <c r="AB846" s="67"/>
      <c r="AC846" s="67"/>
      <c r="AD846" s="70"/>
      <c r="AE846" s="70"/>
      <c r="AF846" s="70"/>
      <c r="AG846" s="70"/>
      <c r="AH846" s="70"/>
      <c r="AI846" s="70"/>
      <c r="AJ846" s="70"/>
      <c r="AK846" s="70"/>
      <c r="AL846" s="70"/>
      <c r="AM846" s="70"/>
      <c r="AN846" s="70"/>
      <c r="AO846" s="70"/>
      <c r="AP846" s="70"/>
      <c r="AQ846" s="70"/>
      <c r="AR846" s="70"/>
      <c r="AS846" s="70"/>
      <c r="AT846" s="70"/>
      <c r="AU846" s="70"/>
      <c r="AV846" s="70"/>
      <c r="AW846" s="70"/>
      <c r="AX846" s="70"/>
    </row>
    <row r="847" ht="15.75" customHeight="1">
      <c r="A847" s="68" t="s">
        <v>4632</v>
      </c>
      <c r="B847" s="289" t="s">
        <v>5948</v>
      </c>
      <c r="C847" s="28" t="s">
        <v>5952</v>
      </c>
      <c r="D847" s="28" t="s">
        <v>5953</v>
      </c>
      <c r="E847" s="28" t="s">
        <v>5954</v>
      </c>
      <c r="F847" s="28"/>
      <c r="G847" s="28"/>
      <c r="H847" s="28"/>
      <c r="I847" s="28"/>
      <c r="J847" s="28" t="s">
        <v>958</v>
      </c>
      <c r="K847" s="28"/>
      <c r="L847" s="28"/>
      <c r="M847" s="28"/>
      <c r="N847" s="28"/>
      <c r="O847" s="67"/>
      <c r="P847" s="67"/>
      <c r="Q847" s="67" t="s">
        <v>145</v>
      </c>
      <c r="R847" s="67"/>
      <c r="S847" s="67"/>
      <c r="T847" s="67"/>
      <c r="U847" s="67"/>
      <c r="V847" s="67"/>
      <c r="W847" s="67"/>
      <c r="X847" s="67"/>
      <c r="Y847" s="67"/>
      <c r="Z847" s="67"/>
      <c r="AA847" s="67"/>
      <c r="AB847" s="67"/>
      <c r="AC847" s="67"/>
      <c r="AD847" s="70"/>
      <c r="AE847" s="70"/>
      <c r="AF847" s="70"/>
      <c r="AG847" s="70"/>
      <c r="AH847" s="70"/>
      <c r="AI847" s="70"/>
      <c r="AJ847" s="70"/>
      <c r="AK847" s="70"/>
      <c r="AL847" s="70"/>
      <c r="AM847" s="70"/>
      <c r="AN847" s="70"/>
      <c r="AO847" s="70"/>
      <c r="AP847" s="70"/>
      <c r="AQ847" s="70"/>
      <c r="AR847" s="70"/>
      <c r="AS847" s="70"/>
      <c r="AT847" s="70"/>
      <c r="AU847" s="70"/>
      <c r="AV847" s="70"/>
      <c r="AW847" s="70"/>
      <c r="AX847" s="70"/>
    </row>
    <row r="848" ht="15.75" customHeight="1">
      <c r="A848" s="68" t="s">
        <v>4632</v>
      </c>
      <c r="B848" s="289" t="s">
        <v>5955</v>
      </c>
      <c r="C848" s="28" t="s">
        <v>5959</v>
      </c>
      <c r="D848" s="28" t="s">
        <v>5960</v>
      </c>
      <c r="E848" s="28" t="s">
        <v>5961</v>
      </c>
      <c r="F848" s="28"/>
      <c r="G848" s="28"/>
      <c r="H848" s="28"/>
      <c r="I848" s="28"/>
      <c r="J848" s="28" t="s">
        <v>958</v>
      </c>
      <c r="K848" s="28"/>
      <c r="L848" s="28"/>
      <c r="M848" s="28"/>
      <c r="N848" s="28"/>
      <c r="O848" s="67"/>
      <c r="P848" s="67"/>
      <c r="Q848" s="67" t="s">
        <v>145</v>
      </c>
      <c r="R848" s="67"/>
      <c r="S848" s="67"/>
      <c r="T848" s="67"/>
      <c r="U848" s="67"/>
      <c r="V848" s="67"/>
      <c r="W848" s="67"/>
      <c r="X848" s="67"/>
      <c r="Y848" s="67"/>
      <c r="Z848" s="67"/>
      <c r="AA848" s="67"/>
      <c r="AB848" s="67"/>
      <c r="AC848" s="67"/>
      <c r="AD848" s="70"/>
      <c r="AE848" s="70"/>
      <c r="AF848" s="70"/>
      <c r="AG848" s="70"/>
      <c r="AH848" s="70"/>
      <c r="AI848" s="70"/>
      <c r="AJ848" s="70"/>
      <c r="AK848" s="70"/>
      <c r="AL848" s="70"/>
      <c r="AM848" s="70"/>
      <c r="AN848" s="70"/>
      <c r="AO848" s="70"/>
      <c r="AP848" s="70"/>
      <c r="AQ848" s="70"/>
      <c r="AR848" s="70"/>
      <c r="AS848" s="70"/>
      <c r="AT848" s="70"/>
      <c r="AU848" s="70"/>
      <c r="AV848" s="70"/>
      <c r="AW848" s="70"/>
      <c r="AX848" s="70"/>
    </row>
    <row r="849" ht="15.75" customHeight="1">
      <c r="A849" s="68" t="s">
        <v>4632</v>
      </c>
      <c r="B849" s="289" t="s">
        <v>5962</v>
      </c>
      <c r="C849" s="28" t="s">
        <v>5966</v>
      </c>
      <c r="D849" s="28" t="s">
        <v>5967</v>
      </c>
      <c r="E849" s="28" t="s">
        <v>5968</v>
      </c>
      <c r="F849" s="28"/>
      <c r="G849" s="28"/>
      <c r="H849" s="28"/>
      <c r="I849" s="28"/>
      <c r="J849" s="28" t="s">
        <v>958</v>
      </c>
      <c r="K849" s="28"/>
      <c r="L849" s="28"/>
      <c r="M849" s="28"/>
      <c r="N849" s="28"/>
      <c r="O849" s="67"/>
      <c r="P849" s="67"/>
      <c r="Q849" s="67" t="s">
        <v>145</v>
      </c>
      <c r="R849" s="67"/>
      <c r="S849" s="67"/>
      <c r="T849" s="67"/>
      <c r="U849" s="67"/>
      <c r="V849" s="67"/>
      <c r="W849" s="67"/>
      <c r="X849" s="67"/>
      <c r="Y849" s="67"/>
      <c r="Z849" s="67"/>
      <c r="AA849" s="67"/>
      <c r="AB849" s="67"/>
      <c r="AC849" s="67"/>
      <c r="AD849" s="70"/>
      <c r="AE849" s="70"/>
      <c r="AF849" s="70"/>
      <c r="AG849" s="70"/>
      <c r="AH849" s="70"/>
      <c r="AI849" s="70"/>
      <c r="AJ849" s="70"/>
      <c r="AK849" s="70"/>
      <c r="AL849" s="70"/>
      <c r="AM849" s="70"/>
      <c r="AN849" s="70"/>
      <c r="AO849" s="70"/>
      <c r="AP849" s="70"/>
      <c r="AQ849" s="70"/>
      <c r="AR849" s="70"/>
      <c r="AS849" s="70"/>
      <c r="AT849" s="70"/>
      <c r="AU849" s="70"/>
      <c r="AV849" s="70"/>
      <c r="AW849" s="70"/>
      <c r="AX849" s="70"/>
    </row>
    <row r="850" ht="15.75" customHeight="1">
      <c r="A850" s="140" t="s">
        <v>237</v>
      </c>
      <c r="B850" s="139" t="s">
        <v>5904</v>
      </c>
      <c r="C850" s="28"/>
      <c r="D850" s="28"/>
      <c r="E850" s="28"/>
      <c r="F850" s="28"/>
      <c r="G850" s="28"/>
      <c r="H850" s="28"/>
      <c r="I850" s="28"/>
      <c r="J850" s="28"/>
      <c r="K850" s="28"/>
      <c r="L850" s="28"/>
      <c r="M850" s="28"/>
      <c r="N850" s="28"/>
      <c r="O850" s="139"/>
      <c r="P850" s="139"/>
      <c r="Q850" s="139"/>
      <c r="R850" s="139"/>
      <c r="S850" s="139"/>
      <c r="T850" s="139"/>
      <c r="U850" s="139"/>
      <c r="V850" s="139"/>
      <c r="W850" s="139"/>
      <c r="X850" s="139"/>
      <c r="Y850" s="139"/>
      <c r="Z850" s="139"/>
      <c r="AA850" s="139"/>
      <c r="AB850" s="139"/>
      <c r="AC850" s="139"/>
      <c r="AD850" s="70"/>
      <c r="AE850" s="70"/>
      <c r="AF850" s="70"/>
      <c r="AG850" s="70"/>
      <c r="AH850" s="70"/>
      <c r="AI850" s="70"/>
      <c r="AJ850" s="70"/>
      <c r="AK850" s="70"/>
      <c r="AL850" s="70"/>
      <c r="AM850" s="70"/>
      <c r="AN850" s="70"/>
      <c r="AO850" s="70"/>
      <c r="AP850" s="70"/>
      <c r="AQ850" s="70"/>
      <c r="AR850" s="70"/>
      <c r="AS850" s="70"/>
      <c r="AT850" s="70"/>
      <c r="AU850" s="70"/>
      <c r="AV850" s="70"/>
      <c r="AW850" s="70"/>
      <c r="AX850" s="70"/>
    </row>
    <row r="851" ht="15.75" customHeight="1">
      <c r="A851" s="140" t="s">
        <v>131</v>
      </c>
      <c r="B851" s="190" t="s">
        <v>5975</v>
      </c>
      <c r="C851" s="28"/>
      <c r="D851" s="28"/>
      <c r="E851" s="28"/>
      <c r="F851" s="28"/>
      <c r="G851" s="28"/>
      <c r="H851" s="28"/>
      <c r="I851" s="28"/>
      <c r="J851" s="28" t="s">
        <v>931</v>
      </c>
      <c r="K851" s="28"/>
      <c r="L851" s="28"/>
      <c r="M851" s="28"/>
      <c r="N851" s="28"/>
      <c r="O851" s="190"/>
      <c r="P851" s="139"/>
      <c r="Q851" s="139"/>
      <c r="R851" s="139"/>
      <c r="S851" s="139"/>
      <c r="T851" s="139"/>
      <c r="U851" s="139"/>
      <c r="V851" s="139"/>
      <c r="W851" s="139"/>
      <c r="X851" s="139"/>
      <c r="Y851" s="139"/>
      <c r="Z851" s="139"/>
      <c r="AA851" s="139"/>
      <c r="AB851" s="139"/>
      <c r="AC851" s="139"/>
      <c r="AD851" s="70"/>
      <c r="AE851" s="70"/>
      <c r="AF851" s="70"/>
      <c r="AG851" s="70"/>
      <c r="AH851" s="70"/>
      <c r="AI851" s="70"/>
      <c r="AJ851" s="70"/>
      <c r="AK851" s="70"/>
      <c r="AL851" s="70"/>
      <c r="AM851" s="70"/>
      <c r="AN851" s="70"/>
      <c r="AO851" s="70"/>
      <c r="AP851" s="70"/>
      <c r="AQ851" s="70"/>
      <c r="AR851" s="70"/>
      <c r="AS851" s="70"/>
      <c r="AT851" s="70"/>
      <c r="AU851" s="70"/>
      <c r="AV851" s="70"/>
      <c r="AW851" s="70"/>
      <c r="AX851" s="70"/>
    </row>
    <row r="852" ht="15.75" customHeight="1">
      <c r="A852" s="68" t="s">
        <v>5775</v>
      </c>
      <c r="B852" s="289" t="s">
        <v>5981</v>
      </c>
      <c r="C852" s="28" t="s">
        <v>5985</v>
      </c>
      <c r="D852" s="28" t="s">
        <v>5986</v>
      </c>
      <c r="E852" s="28" t="s">
        <v>5987</v>
      </c>
      <c r="F852" s="28"/>
      <c r="G852" s="28"/>
      <c r="H852" s="28"/>
      <c r="I852" s="28"/>
      <c r="J852" s="28" t="s">
        <v>8</v>
      </c>
      <c r="K852" s="28"/>
      <c r="L852" s="28"/>
      <c r="M852" s="28"/>
      <c r="N852" s="28"/>
      <c r="O852" s="67"/>
      <c r="P852" s="67"/>
      <c r="Q852" s="67"/>
      <c r="R852" s="67"/>
      <c r="S852" s="67"/>
      <c r="T852" s="67"/>
      <c r="U852" s="67"/>
      <c r="V852" s="67"/>
      <c r="W852" s="67"/>
      <c r="X852" s="67"/>
      <c r="Y852" s="67"/>
      <c r="Z852" s="67"/>
      <c r="AA852" s="67"/>
      <c r="AB852" s="67"/>
      <c r="AC852" s="67"/>
      <c r="AD852" s="70"/>
      <c r="AE852" s="70"/>
      <c r="AF852" s="70"/>
      <c r="AG852" s="70"/>
      <c r="AH852" s="70"/>
      <c r="AI852" s="70"/>
      <c r="AJ852" s="70"/>
      <c r="AK852" s="70"/>
      <c r="AL852" s="70"/>
      <c r="AM852" s="70"/>
      <c r="AN852" s="70"/>
      <c r="AO852" s="70"/>
      <c r="AP852" s="70"/>
      <c r="AQ852" s="70"/>
      <c r="AR852" s="70"/>
      <c r="AS852" s="70"/>
      <c r="AT852" s="70"/>
      <c r="AU852" s="70"/>
      <c r="AV852" s="70"/>
      <c r="AW852" s="70"/>
      <c r="AX852" s="70"/>
    </row>
    <row r="853" ht="15.75" customHeight="1">
      <c r="A853" s="68" t="s">
        <v>5775</v>
      </c>
      <c r="B853" s="289" t="s">
        <v>5988</v>
      </c>
      <c r="C853" s="28" t="s">
        <v>5993</v>
      </c>
      <c r="D853" s="28" t="s">
        <v>5994</v>
      </c>
      <c r="E853" s="28" t="s">
        <v>5995</v>
      </c>
      <c r="F853" s="28"/>
      <c r="G853" s="28"/>
      <c r="H853" s="28"/>
      <c r="I853" s="28"/>
      <c r="J853" s="28" t="s">
        <v>958</v>
      </c>
      <c r="K853" s="28"/>
      <c r="L853" s="28"/>
      <c r="M853" s="28"/>
      <c r="N853" s="28"/>
      <c r="O853" s="67"/>
      <c r="P853" s="67"/>
      <c r="Q853" s="67" t="s">
        <v>145</v>
      </c>
      <c r="R853" s="67"/>
      <c r="S853" s="67"/>
      <c r="T853" s="67"/>
      <c r="U853" s="67"/>
      <c r="V853" s="67"/>
      <c r="W853" s="67"/>
      <c r="X853" s="67"/>
      <c r="Y853" s="67"/>
      <c r="Z853" s="67"/>
      <c r="AA853" s="67"/>
      <c r="AB853" s="67"/>
      <c r="AC853" s="67"/>
      <c r="AD853" s="70"/>
      <c r="AE853" s="70"/>
      <c r="AF853" s="70"/>
      <c r="AG853" s="70"/>
      <c r="AH853" s="70"/>
      <c r="AI853" s="70"/>
      <c r="AJ853" s="70"/>
      <c r="AK853" s="70"/>
      <c r="AL853" s="70"/>
      <c r="AM853" s="70"/>
      <c r="AN853" s="70"/>
      <c r="AO853" s="70"/>
      <c r="AP853" s="70"/>
      <c r="AQ853" s="70"/>
      <c r="AR853" s="70"/>
      <c r="AS853" s="70"/>
      <c r="AT853" s="70"/>
      <c r="AU853" s="70"/>
      <c r="AV853" s="70"/>
      <c r="AW853" s="70"/>
      <c r="AX853" s="70"/>
    </row>
    <row r="854" ht="15.75" customHeight="1">
      <c r="A854" s="68" t="s">
        <v>5775</v>
      </c>
      <c r="B854" s="289" t="s">
        <v>5996</v>
      </c>
      <c r="C854" s="28" t="s">
        <v>6000</v>
      </c>
      <c r="D854" s="28" t="s">
        <v>6001</v>
      </c>
      <c r="E854" s="28" t="s">
        <v>6003</v>
      </c>
      <c r="F854" s="28"/>
      <c r="G854" s="28"/>
      <c r="H854" s="28"/>
      <c r="I854" s="28"/>
      <c r="J854" s="28" t="s">
        <v>958</v>
      </c>
      <c r="K854" s="28"/>
      <c r="L854" s="28"/>
      <c r="M854" s="28"/>
      <c r="N854" s="28"/>
      <c r="O854" s="67"/>
      <c r="P854" s="67"/>
      <c r="Q854" s="67" t="s">
        <v>145</v>
      </c>
      <c r="R854" s="67"/>
      <c r="S854" s="67"/>
      <c r="T854" s="67"/>
      <c r="U854" s="67"/>
      <c r="V854" s="67"/>
      <c r="W854" s="67"/>
      <c r="X854" s="67"/>
      <c r="Y854" s="67"/>
      <c r="Z854" s="67"/>
      <c r="AA854" s="67"/>
      <c r="AB854" s="67"/>
      <c r="AC854" s="67"/>
      <c r="AD854" s="70"/>
      <c r="AE854" s="70"/>
      <c r="AF854" s="70"/>
      <c r="AG854" s="70"/>
      <c r="AH854" s="70"/>
      <c r="AI854" s="70"/>
      <c r="AJ854" s="70"/>
      <c r="AK854" s="70"/>
      <c r="AL854" s="70"/>
      <c r="AM854" s="70"/>
      <c r="AN854" s="70"/>
      <c r="AO854" s="70"/>
      <c r="AP854" s="70"/>
      <c r="AQ854" s="70"/>
      <c r="AR854" s="70"/>
      <c r="AS854" s="70"/>
      <c r="AT854" s="70"/>
      <c r="AU854" s="70"/>
      <c r="AV854" s="70"/>
      <c r="AW854" s="70"/>
      <c r="AX854" s="70"/>
    </row>
    <row r="855" ht="15.75" customHeight="1">
      <c r="A855" s="140" t="s">
        <v>237</v>
      </c>
      <c r="B855" s="139" t="s">
        <v>5975</v>
      </c>
      <c r="C855" s="28"/>
      <c r="D855" s="28"/>
      <c r="E855" s="28"/>
      <c r="F855" s="28"/>
      <c r="G855" s="28"/>
      <c r="H855" s="28"/>
      <c r="I855" s="28"/>
      <c r="J855" s="28"/>
      <c r="K855" s="28"/>
      <c r="L855" s="28"/>
      <c r="M855" s="28"/>
      <c r="N855" s="28"/>
      <c r="O855" s="139"/>
      <c r="P855" s="139"/>
      <c r="Q855" s="139"/>
      <c r="R855" s="139"/>
      <c r="S855" s="139"/>
      <c r="T855" s="139"/>
      <c r="U855" s="139"/>
      <c r="V855" s="139"/>
      <c r="W855" s="139"/>
      <c r="X855" s="139"/>
      <c r="Y855" s="139"/>
      <c r="Z855" s="139"/>
      <c r="AA855" s="139"/>
      <c r="AB855" s="139"/>
      <c r="AC855" s="139"/>
      <c r="AD855" s="70"/>
      <c r="AE855" s="70"/>
      <c r="AF855" s="70"/>
      <c r="AG855" s="70"/>
      <c r="AH855" s="70"/>
      <c r="AI855" s="70"/>
      <c r="AJ855" s="70"/>
      <c r="AK855" s="70"/>
      <c r="AL855" s="70"/>
      <c r="AM855" s="70"/>
      <c r="AN855" s="70"/>
      <c r="AO855" s="70"/>
      <c r="AP855" s="70"/>
      <c r="AQ855" s="70"/>
      <c r="AR855" s="70"/>
      <c r="AS855" s="70"/>
      <c r="AT855" s="70"/>
      <c r="AU855" s="70"/>
      <c r="AV855" s="70"/>
      <c r="AW855" s="70"/>
      <c r="AX855" s="70"/>
    </row>
    <row r="856" ht="15.75" customHeight="1">
      <c r="A856" s="170" t="s">
        <v>263</v>
      </c>
      <c r="B856" s="291" t="s">
        <v>6007</v>
      </c>
      <c r="C856" s="28" t="s">
        <v>6014</v>
      </c>
      <c r="D856" s="28" t="s">
        <v>6015</v>
      </c>
      <c r="E856" s="28" t="s">
        <v>6016</v>
      </c>
      <c r="F856" s="28" t="s">
        <v>10560</v>
      </c>
      <c r="G856" s="28" t="s">
        <v>10561</v>
      </c>
      <c r="H856" s="28" t="s">
        <v>10562</v>
      </c>
      <c r="I856" s="28"/>
      <c r="J856" s="28"/>
      <c r="K856" s="28" t="s">
        <v>10563</v>
      </c>
      <c r="L856" s="28"/>
      <c r="M856" s="28"/>
      <c r="N856" s="28"/>
      <c r="O856" s="173"/>
      <c r="P856" s="173"/>
      <c r="Q856" s="173" t="s">
        <v>145</v>
      </c>
      <c r="R856" s="173"/>
      <c r="S856" s="173"/>
      <c r="T856" s="173"/>
      <c r="U856" s="173"/>
      <c r="V856" s="173"/>
      <c r="W856" s="173"/>
      <c r="X856" s="173"/>
      <c r="Y856" s="173"/>
      <c r="Z856" s="173"/>
      <c r="AA856" s="173"/>
      <c r="AB856" s="173"/>
      <c r="AC856" s="173"/>
      <c r="AD856" s="70"/>
      <c r="AE856" s="70"/>
      <c r="AF856" s="70"/>
      <c r="AG856" s="70"/>
      <c r="AH856" s="70"/>
      <c r="AI856" s="70"/>
      <c r="AJ856" s="70"/>
      <c r="AK856" s="70"/>
      <c r="AL856" s="70"/>
      <c r="AM856" s="70"/>
      <c r="AN856" s="70"/>
      <c r="AO856" s="70"/>
      <c r="AP856" s="70"/>
      <c r="AQ856" s="70"/>
      <c r="AR856" s="70"/>
      <c r="AS856" s="70"/>
      <c r="AT856" s="70"/>
      <c r="AU856" s="70"/>
      <c r="AV856" s="70"/>
      <c r="AW856" s="70"/>
      <c r="AX856" s="70"/>
    </row>
    <row r="857" ht="16.5" customHeight="1">
      <c r="A857" s="65" t="s">
        <v>134</v>
      </c>
      <c r="B857" s="66" t="s">
        <v>6018</v>
      </c>
      <c r="C857" s="28"/>
      <c r="D857" s="28"/>
      <c r="E857" s="28"/>
      <c r="F857" s="28"/>
      <c r="G857" s="28"/>
      <c r="H857" s="28"/>
      <c r="I857" s="28"/>
      <c r="J857" s="28"/>
      <c r="K857" s="28"/>
      <c r="L857" s="28"/>
      <c r="M857" s="28"/>
      <c r="N857" s="28"/>
      <c r="O857" s="67"/>
      <c r="P857" s="68"/>
      <c r="Q857" s="68"/>
      <c r="R857" s="67"/>
      <c r="S857" s="67"/>
      <c r="T857" s="65" t="s">
        <v>139</v>
      </c>
      <c r="U857" s="67"/>
      <c r="V857" s="67"/>
      <c r="W857" s="67"/>
      <c r="X857" s="67"/>
      <c r="Y857" s="67"/>
      <c r="Z857" s="67"/>
      <c r="AA857" s="67"/>
      <c r="AB857" s="67"/>
      <c r="AC857" s="67"/>
      <c r="AD857" s="67"/>
      <c r="AE857" s="67"/>
      <c r="AF857" s="67"/>
      <c r="AG857" s="67"/>
      <c r="AH857" s="67"/>
      <c r="AI857" s="67"/>
      <c r="AJ857" s="67"/>
      <c r="AK857" s="67"/>
      <c r="AL857" s="67"/>
      <c r="AM857" s="67"/>
      <c r="AN857" s="67"/>
      <c r="AO857" s="67"/>
      <c r="AP857" s="67"/>
      <c r="AQ857" s="67"/>
      <c r="AR857" s="67"/>
      <c r="AS857" s="67"/>
      <c r="AT857" s="67"/>
      <c r="AU857" s="67"/>
      <c r="AV857" s="67"/>
      <c r="AW857" s="67"/>
      <c r="AX857" s="67"/>
    </row>
    <row r="858" ht="15.0" customHeight="1">
      <c r="A858" s="58" t="s">
        <v>78</v>
      </c>
      <c r="B858" s="58" t="s">
        <v>6023</v>
      </c>
      <c r="C858" s="28"/>
      <c r="D858" s="28"/>
      <c r="E858" s="28"/>
      <c r="F858" s="28"/>
      <c r="G858" s="28"/>
      <c r="H858" s="28"/>
      <c r="I858" s="28"/>
      <c r="J858" s="28"/>
      <c r="K858" s="28"/>
      <c r="L858" s="28"/>
      <c r="M858" s="28"/>
      <c r="N858" s="28"/>
      <c r="O858" s="58"/>
      <c r="P858" s="24"/>
      <c r="Q858" s="24"/>
      <c r="R858" s="24"/>
      <c r="S858" s="24"/>
      <c r="T858" s="58" t="s">
        <v>10564</v>
      </c>
      <c r="U858" s="24"/>
      <c r="V858" s="24"/>
      <c r="W858" s="24"/>
      <c r="X858" s="24"/>
      <c r="Y858" s="24"/>
      <c r="Z858" s="24"/>
      <c r="AA858" s="24"/>
      <c r="AB858" s="24"/>
      <c r="AC858" s="24"/>
      <c r="AD858" s="24"/>
      <c r="AE858" s="24"/>
      <c r="AF858" s="24"/>
      <c r="AG858" s="24"/>
      <c r="AH858" s="24"/>
      <c r="AI858" s="24"/>
      <c r="AJ858" s="24"/>
      <c r="AK858" s="24"/>
      <c r="AL858" s="24"/>
      <c r="AM858" s="24"/>
      <c r="AN858" s="24"/>
      <c r="AO858" s="24"/>
      <c r="AP858" s="24"/>
      <c r="AQ858" s="24"/>
      <c r="AR858" s="24"/>
      <c r="AS858" s="24"/>
      <c r="AT858" s="24"/>
      <c r="AU858" s="24"/>
      <c r="AV858" s="24"/>
      <c r="AW858" s="24"/>
      <c r="AX858" s="24"/>
    </row>
    <row r="859" ht="15.75" customHeight="1">
      <c r="A859" s="166"/>
      <c r="B859" s="167"/>
      <c r="C859" s="28"/>
      <c r="D859" s="28"/>
      <c r="E859" s="28"/>
      <c r="F859" s="28"/>
      <c r="G859" s="28"/>
      <c r="H859" s="28"/>
      <c r="I859" s="28"/>
      <c r="J859" s="28"/>
      <c r="K859" s="28"/>
      <c r="L859" s="28"/>
      <c r="M859" s="28"/>
      <c r="N859" s="28"/>
      <c r="O859" s="126"/>
      <c r="P859" s="126"/>
      <c r="Q859" s="126"/>
      <c r="R859" s="126"/>
      <c r="S859" s="126"/>
      <c r="T859" s="126"/>
      <c r="U859" s="126"/>
      <c r="V859" s="126"/>
      <c r="W859" s="126"/>
      <c r="X859" s="126"/>
      <c r="Y859" s="126"/>
      <c r="Z859" s="126"/>
      <c r="AA859" s="126"/>
      <c r="AB859" s="126"/>
      <c r="AC859" s="126"/>
      <c r="AD859" s="126"/>
      <c r="AE859" s="126"/>
      <c r="AF859" s="126"/>
      <c r="AG859" s="126"/>
      <c r="AH859" s="126"/>
      <c r="AI859" s="126"/>
      <c r="AJ859" s="126"/>
      <c r="AK859" s="126"/>
      <c r="AL859" s="126"/>
      <c r="AM859" s="126"/>
      <c r="AN859" s="126"/>
      <c r="AO859" s="70"/>
      <c r="AP859" s="70"/>
      <c r="AQ859" s="70"/>
      <c r="AR859" s="70"/>
      <c r="AS859" s="70"/>
      <c r="AT859" s="70"/>
      <c r="AU859" s="70"/>
      <c r="AV859" s="70"/>
      <c r="AW859" s="70"/>
      <c r="AX859" s="70"/>
    </row>
    <row r="860" ht="16.5" customHeight="1">
      <c r="A860" s="65" t="s">
        <v>134</v>
      </c>
      <c r="B860" s="66" t="s">
        <v>6032</v>
      </c>
      <c r="C860" s="28"/>
      <c r="D860" s="28"/>
      <c r="E860" s="28"/>
      <c r="F860" s="28"/>
      <c r="G860" s="28"/>
      <c r="H860" s="28"/>
      <c r="I860" s="28"/>
      <c r="J860" s="28"/>
      <c r="K860" s="28"/>
      <c r="L860" s="28"/>
      <c r="M860" s="28"/>
      <c r="N860" s="28"/>
      <c r="O860" s="67"/>
      <c r="P860" s="68"/>
      <c r="Q860" s="68"/>
      <c r="R860" s="67"/>
      <c r="S860" s="67"/>
      <c r="T860" s="65" t="s">
        <v>139</v>
      </c>
      <c r="U860" s="67"/>
      <c r="V860" s="67"/>
      <c r="W860" s="67"/>
      <c r="X860" s="67"/>
      <c r="Y860" s="67"/>
      <c r="Z860" s="67"/>
      <c r="AA860" s="67"/>
      <c r="AB860" s="67"/>
      <c r="AC860" s="67"/>
      <c r="AD860" s="67"/>
      <c r="AE860" s="67"/>
      <c r="AF860" s="67"/>
      <c r="AG860" s="67"/>
      <c r="AH860" s="67"/>
      <c r="AI860" s="67"/>
      <c r="AJ860" s="67"/>
      <c r="AK860" s="67"/>
      <c r="AL860" s="67"/>
      <c r="AM860" s="67"/>
      <c r="AN860" s="67"/>
      <c r="AO860" s="67"/>
      <c r="AP860" s="67"/>
      <c r="AQ860" s="67"/>
      <c r="AR860" s="67"/>
      <c r="AS860" s="67"/>
      <c r="AT860" s="67"/>
      <c r="AU860" s="67"/>
      <c r="AV860" s="67"/>
      <c r="AW860" s="67"/>
      <c r="AX860" s="67"/>
    </row>
    <row r="861" ht="15.75" customHeight="1">
      <c r="A861" s="166" t="s">
        <v>41</v>
      </c>
      <c r="B861" s="167" t="s">
        <v>6037</v>
      </c>
      <c r="C861" s="28" t="s">
        <v>6042</v>
      </c>
      <c r="D861" s="28" t="s">
        <v>6043</v>
      </c>
      <c r="E861" s="28" t="s">
        <v>6044</v>
      </c>
      <c r="F861" s="28"/>
      <c r="G861" s="28"/>
      <c r="H861" s="28"/>
      <c r="I861" s="28"/>
      <c r="J861" s="28"/>
      <c r="K861" s="28"/>
      <c r="L861" s="28"/>
      <c r="M861" s="28"/>
      <c r="N861" s="28"/>
      <c r="O861" s="126"/>
      <c r="P861" s="126"/>
      <c r="Q861" s="126"/>
      <c r="R861" s="126"/>
      <c r="S861" s="126"/>
      <c r="T861" s="126"/>
      <c r="U861" s="126"/>
      <c r="V861" s="126"/>
      <c r="W861" s="126"/>
      <c r="X861" s="126"/>
      <c r="Y861" s="126"/>
      <c r="Z861" s="126"/>
      <c r="AA861" s="126"/>
      <c r="AB861" s="126"/>
      <c r="AC861" s="126"/>
      <c r="AD861" s="126"/>
      <c r="AE861" s="126"/>
      <c r="AF861" s="126"/>
      <c r="AG861" s="126"/>
      <c r="AH861" s="126"/>
      <c r="AI861" s="126"/>
      <c r="AJ861" s="126"/>
      <c r="AK861" s="126"/>
      <c r="AL861" s="126"/>
      <c r="AM861" s="126"/>
      <c r="AN861" s="126"/>
      <c r="AO861" s="70"/>
      <c r="AP861" s="70"/>
      <c r="AQ861" s="70"/>
      <c r="AR861" s="70"/>
      <c r="AS861" s="70"/>
      <c r="AT861" s="70"/>
      <c r="AU861" s="70"/>
      <c r="AV861" s="70"/>
      <c r="AW861" s="70"/>
      <c r="AX861" s="70"/>
    </row>
    <row r="862" ht="15.75" customHeight="1">
      <c r="A862" s="65" t="s">
        <v>2625</v>
      </c>
      <c r="B862" s="169" t="s">
        <v>6045</v>
      </c>
      <c r="C862" s="28" t="s">
        <v>6049</v>
      </c>
      <c r="D862" s="28" t="s">
        <v>6050</v>
      </c>
      <c r="E862" s="28" t="s">
        <v>6051</v>
      </c>
      <c r="F862" s="28"/>
      <c r="G862" s="28"/>
      <c r="H862" s="28"/>
      <c r="I862" s="28"/>
      <c r="J862" s="28"/>
      <c r="K862" s="28"/>
      <c r="L862" s="28"/>
      <c r="M862" s="28"/>
      <c r="N862" s="28"/>
      <c r="O862" s="67"/>
      <c r="P862" s="67"/>
      <c r="Q862" s="67" t="s">
        <v>145</v>
      </c>
      <c r="R862" s="67"/>
      <c r="S862" s="67"/>
      <c r="T862" s="67"/>
      <c r="U862" s="67"/>
      <c r="V862" s="67"/>
      <c r="W862" s="67"/>
      <c r="X862" s="67"/>
      <c r="Y862" s="67"/>
      <c r="Z862" s="67"/>
      <c r="AA862" s="67"/>
      <c r="AB862" s="67"/>
      <c r="AC862" s="67"/>
      <c r="AD862" s="67"/>
      <c r="AE862" s="67"/>
      <c r="AF862" s="67"/>
      <c r="AG862" s="67"/>
      <c r="AH862" s="67"/>
      <c r="AI862" s="67"/>
      <c r="AJ862" s="67"/>
      <c r="AK862" s="67"/>
      <c r="AL862" s="67"/>
      <c r="AM862" s="67"/>
      <c r="AN862" s="67"/>
      <c r="AO862" s="70"/>
      <c r="AP862" s="70"/>
      <c r="AQ862" s="70"/>
      <c r="AR862" s="70"/>
      <c r="AS862" s="70"/>
      <c r="AT862" s="70"/>
      <c r="AU862" s="70"/>
      <c r="AV862" s="70"/>
      <c r="AW862" s="70"/>
      <c r="AX862" s="70"/>
    </row>
    <row r="863" ht="15.75" customHeight="1">
      <c r="A863" s="68" t="s">
        <v>463</v>
      </c>
      <c r="B863" s="218" t="s">
        <v>6053</v>
      </c>
      <c r="C863" s="28" t="s">
        <v>6057</v>
      </c>
      <c r="D863" s="28" t="s">
        <v>6058</v>
      </c>
      <c r="E863" s="28" t="s">
        <v>6059</v>
      </c>
      <c r="F863" s="28"/>
      <c r="G863" s="28"/>
      <c r="H863" s="28"/>
      <c r="I863" s="28"/>
      <c r="J863" s="28"/>
      <c r="K863" s="28"/>
      <c r="L863" s="28"/>
      <c r="M863" s="28" t="s">
        <v>9784</v>
      </c>
      <c r="N863" s="28"/>
      <c r="O863" s="67" t="s">
        <v>10565</v>
      </c>
      <c r="P863" s="67"/>
      <c r="Q863" s="67" t="s">
        <v>145</v>
      </c>
      <c r="R863" s="67"/>
      <c r="S863" s="67"/>
      <c r="T863" s="67"/>
      <c r="U863" s="67"/>
      <c r="V863" s="67"/>
      <c r="W863" s="67"/>
      <c r="X863" s="67"/>
      <c r="Y863" s="67"/>
      <c r="Z863" s="67"/>
      <c r="AA863" s="67"/>
      <c r="AB863" s="67"/>
      <c r="AC863" s="67"/>
      <c r="AD863" s="70"/>
      <c r="AE863" s="70"/>
      <c r="AF863" s="70"/>
      <c r="AG863" s="70"/>
      <c r="AH863" s="70"/>
      <c r="AI863" s="70"/>
      <c r="AJ863" s="70"/>
      <c r="AK863" s="70"/>
      <c r="AL863" s="70"/>
      <c r="AM863" s="70"/>
      <c r="AN863" s="70"/>
      <c r="AO863" s="70"/>
      <c r="AP863" s="70"/>
      <c r="AQ863" s="70"/>
      <c r="AR863" s="70"/>
      <c r="AS863" s="70"/>
      <c r="AT863" s="70"/>
      <c r="AU863" s="70"/>
      <c r="AV863" s="70"/>
      <c r="AW863" s="70"/>
      <c r="AX863" s="70"/>
    </row>
    <row r="864" ht="15.75" customHeight="1">
      <c r="A864" s="293" t="s">
        <v>600</v>
      </c>
      <c r="B864" s="294" t="s">
        <v>6061</v>
      </c>
      <c r="C864" s="28" t="s">
        <v>6063</v>
      </c>
      <c r="D864" s="28" t="s">
        <v>6064</v>
      </c>
      <c r="E864" s="28" t="s">
        <v>6065</v>
      </c>
      <c r="F864" s="28"/>
      <c r="G864" s="28"/>
      <c r="H864" s="28"/>
      <c r="I864" s="28"/>
      <c r="J864" s="28" t="s">
        <v>10566</v>
      </c>
      <c r="K864" s="28"/>
      <c r="L864" s="28"/>
      <c r="M864" s="28"/>
      <c r="N864" s="28"/>
      <c r="O864" s="367" t="s">
        <v>10567</v>
      </c>
      <c r="P864" s="368"/>
      <c r="Q864" s="368"/>
      <c r="R864" s="368"/>
      <c r="S864" s="368"/>
      <c r="T864" s="368"/>
      <c r="U864" s="368"/>
      <c r="V864" s="368"/>
      <c r="W864" s="368"/>
      <c r="X864" s="368"/>
      <c r="Y864" s="368"/>
      <c r="Z864" s="368"/>
      <c r="AA864" s="368"/>
      <c r="AB864" s="368"/>
      <c r="AC864" s="368"/>
      <c r="AD864" s="70"/>
      <c r="AE864" s="70"/>
      <c r="AF864" s="70"/>
      <c r="AG864" s="70"/>
      <c r="AH864" s="70"/>
      <c r="AI864" s="70"/>
      <c r="AJ864" s="70"/>
      <c r="AK864" s="70"/>
      <c r="AL864" s="70"/>
      <c r="AM864" s="70"/>
      <c r="AN864" s="70"/>
      <c r="AO864" s="70"/>
      <c r="AP864" s="70"/>
      <c r="AQ864" s="70"/>
      <c r="AR864" s="70"/>
      <c r="AS864" s="70"/>
      <c r="AT864" s="70"/>
      <c r="AU864" s="70"/>
      <c r="AV864" s="70"/>
      <c r="AW864" s="70"/>
      <c r="AX864" s="70"/>
    </row>
    <row r="865" ht="15.75" customHeight="1">
      <c r="A865" s="68" t="s">
        <v>2625</v>
      </c>
      <c r="B865" s="295" t="s">
        <v>6069</v>
      </c>
      <c r="C865" s="28" t="s">
        <v>6076</v>
      </c>
      <c r="D865" s="28" t="s">
        <v>6077</v>
      </c>
      <c r="E865" s="28" t="s">
        <v>6078</v>
      </c>
      <c r="F865" s="28"/>
      <c r="G865" s="28"/>
      <c r="H865" s="28"/>
      <c r="I865" s="28"/>
      <c r="J865" s="28"/>
      <c r="K865" s="28"/>
      <c r="L865" s="28"/>
      <c r="M865" s="28"/>
      <c r="N865" s="28"/>
      <c r="O865" s="67"/>
      <c r="P865" s="67"/>
      <c r="Q865" s="67" t="s">
        <v>145</v>
      </c>
      <c r="R865" s="67"/>
      <c r="S865" s="67"/>
      <c r="T865" s="67"/>
      <c r="U865" s="67"/>
      <c r="V865" s="67"/>
      <c r="W865" s="67"/>
      <c r="X865" s="67"/>
      <c r="Y865" s="67"/>
      <c r="Z865" s="67"/>
      <c r="AA865" s="67"/>
      <c r="AB865" s="67"/>
      <c r="AC865" s="67"/>
      <c r="AD865" s="70"/>
      <c r="AE865" s="70"/>
      <c r="AF865" s="70"/>
      <c r="AG865" s="70"/>
      <c r="AH865" s="70"/>
      <c r="AI865" s="70"/>
      <c r="AJ865" s="70"/>
      <c r="AK865" s="70"/>
      <c r="AL865" s="70"/>
      <c r="AM865" s="70"/>
      <c r="AN865" s="70"/>
      <c r="AO865" s="70"/>
      <c r="AP865" s="70"/>
      <c r="AQ865" s="70"/>
      <c r="AR865" s="70"/>
      <c r="AS865" s="70"/>
      <c r="AT865" s="70"/>
      <c r="AU865" s="70"/>
      <c r="AV865" s="70"/>
      <c r="AW865" s="70"/>
      <c r="AX865" s="70"/>
    </row>
    <row r="866" ht="15.75" customHeight="1">
      <c r="A866" s="68" t="s">
        <v>463</v>
      </c>
      <c r="B866" s="218" t="s">
        <v>6079</v>
      </c>
      <c r="C866" s="28" t="s">
        <v>6084</v>
      </c>
      <c r="D866" s="28" t="s">
        <v>6085</v>
      </c>
      <c r="E866" s="28" t="s">
        <v>6087</v>
      </c>
      <c r="F866" s="28"/>
      <c r="G866" s="28"/>
      <c r="H866" s="28"/>
      <c r="I866" s="28"/>
      <c r="J866" s="28"/>
      <c r="K866" s="28"/>
      <c r="L866" s="28"/>
      <c r="M866" s="28" t="s">
        <v>9784</v>
      </c>
      <c r="N866" s="28"/>
      <c r="O866" s="67" t="s">
        <v>10568</v>
      </c>
      <c r="P866" s="67"/>
      <c r="Q866" s="67" t="s">
        <v>145</v>
      </c>
      <c r="R866" s="67"/>
      <c r="S866" s="67"/>
      <c r="T866" s="67"/>
      <c r="U866" s="67"/>
      <c r="V866" s="67"/>
      <c r="W866" s="67"/>
      <c r="X866" s="67"/>
      <c r="Y866" s="67"/>
      <c r="Z866" s="67"/>
      <c r="AA866" s="67"/>
      <c r="AB866" s="67"/>
      <c r="AC866" s="67"/>
      <c r="AD866" s="70"/>
      <c r="AE866" s="70"/>
      <c r="AF866" s="70"/>
      <c r="AG866" s="70"/>
      <c r="AH866" s="70"/>
      <c r="AI866" s="70"/>
      <c r="AJ866" s="70"/>
      <c r="AK866" s="70"/>
      <c r="AL866" s="70"/>
      <c r="AM866" s="70"/>
      <c r="AN866" s="70"/>
      <c r="AO866" s="70"/>
      <c r="AP866" s="70"/>
      <c r="AQ866" s="70"/>
      <c r="AR866" s="70"/>
      <c r="AS866" s="70"/>
      <c r="AT866" s="70"/>
      <c r="AU866" s="70"/>
      <c r="AV866" s="70"/>
      <c r="AW866" s="70"/>
      <c r="AX866" s="70"/>
    </row>
    <row r="867" ht="15.75" customHeight="1">
      <c r="A867" s="229" t="s">
        <v>5775</v>
      </c>
      <c r="B867" s="283" t="s">
        <v>6089</v>
      </c>
      <c r="C867" s="28" t="s">
        <v>6093</v>
      </c>
      <c r="D867" s="28" t="s">
        <v>6094</v>
      </c>
      <c r="E867" s="28" t="s">
        <v>6095</v>
      </c>
      <c r="F867" s="28"/>
      <c r="G867" s="28"/>
      <c r="H867" s="28"/>
      <c r="I867" s="28"/>
      <c r="J867" s="28"/>
      <c r="K867" s="28"/>
      <c r="L867" s="28"/>
      <c r="M867" s="28"/>
      <c r="N867" s="28"/>
      <c r="O867" s="70"/>
      <c r="P867" s="229"/>
      <c r="Q867" s="229" t="s">
        <v>145</v>
      </c>
      <c r="R867" s="70"/>
      <c r="S867" s="70"/>
      <c r="T867" s="70"/>
      <c r="U867" s="70"/>
      <c r="V867" s="70"/>
      <c r="W867" s="70"/>
      <c r="X867" s="70"/>
      <c r="Y867" s="70"/>
      <c r="Z867" s="70"/>
      <c r="AA867" s="70"/>
      <c r="AB867" s="70"/>
      <c r="AC867" s="70"/>
      <c r="AD867" s="70"/>
      <c r="AE867" s="70"/>
      <c r="AF867" s="70"/>
      <c r="AG867" s="70"/>
      <c r="AH867" s="70"/>
      <c r="AI867" s="70"/>
      <c r="AJ867" s="70"/>
      <c r="AK867" s="70"/>
      <c r="AL867" s="70"/>
      <c r="AM867" s="70"/>
      <c r="AN867" s="70"/>
      <c r="AO867" s="70"/>
      <c r="AP867" s="70"/>
      <c r="AQ867" s="70"/>
      <c r="AR867" s="70"/>
      <c r="AS867" s="70"/>
      <c r="AT867" s="70"/>
      <c r="AU867" s="70"/>
      <c r="AV867" s="70"/>
      <c r="AW867" s="70"/>
      <c r="AX867" s="70"/>
    </row>
    <row r="868" ht="15.75" customHeight="1">
      <c r="A868" s="221"/>
      <c r="B868" s="222"/>
      <c r="C868" s="28" t="s">
        <v>50</v>
      </c>
      <c r="D868" s="28" t="s">
        <v>50</v>
      </c>
      <c r="E868" s="28" t="s">
        <v>50</v>
      </c>
      <c r="F868" s="28"/>
      <c r="G868" s="28"/>
      <c r="H868" s="28"/>
      <c r="I868" s="28"/>
      <c r="J868" s="28"/>
      <c r="K868" s="28"/>
      <c r="L868" s="28"/>
      <c r="M868" s="28"/>
      <c r="N868" s="28"/>
      <c r="O868" s="70"/>
      <c r="P868" s="70"/>
      <c r="Q868" s="70"/>
      <c r="R868" s="70"/>
      <c r="S868" s="70"/>
      <c r="T868" s="70"/>
      <c r="U868" s="70"/>
      <c r="V868" s="70"/>
      <c r="W868" s="70"/>
      <c r="X868" s="70"/>
      <c r="Y868" s="70"/>
      <c r="Z868" s="70"/>
      <c r="AA868" s="70"/>
      <c r="AB868" s="70"/>
      <c r="AC868" s="70"/>
      <c r="AD868" s="70"/>
      <c r="AE868" s="70"/>
      <c r="AF868" s="70"/>
      <c r="AG868" s="70"/>
      <c r="AH868" s="70"/>
      <c r="AI868" s="70"/>
      <c r="AJ868" s="70"/>
      <c r="AK868" s="70"/>
      <c r="AL868" s="70"/>
      <c r="AM868" s="70"/>
      <c r="AN868" s="70"/>
      <c r="AO868" s="70"/>
      <c r="AP868" s="70"/>
      <c r="AQ868" s="70"/>
      <c r="AR868" s="70"/>
      <c r="AS868" s="70"/>
      <c r="AT868" s="70"/>
      <c r="AU868" s="70"/>
      <c r="AV868" s="70"/>
      <c r="AW868" s="70"/>
      <c r="AX868" s="70"/>
    </row>
    <row r="869" ht="15.75" customHeight="1">
      <c r="A869" s="140" t="s">
        <v>131</v>
      </c>
      <c r="B869" s="164" t="s">
        <v>6101</v>
      </c>
      <c r="C869" s="28"/>
      <c r="D869" s="28"/>
      <c r="E869" s="28"/>
      <c r="F869" s="28"/>
      <c r="G869" s="28"/>
      <c r="H869" s="28"/>
      <c r="I869" s="28"/>
      <c r="J869" s="28" t="s">
        <v>931</v>
      </c>
      <c r="K869" s="28"/>
      <c r="L869" s="28"/>
      <c r="M869" s="28"/>
      <c r="N869" s="28"/>
      <c r="O869" s="138"/>
      <c r="P869" s="139"/>
      <c r="Q869" s="139"/>
      <c r="R869" s="139"/>
      <c r="S869" s="139"/>
      <c r="T869" s="139"/>
      <c r="U869" s="139"/>
      <c r="V869" s="139"/>
      <c r="W869" s="139"/>
      <c r="X869" s="139"/>
      <c r="Y869" s="139"/>
      <c r="Z869" s="139"/>
      <c r="AA869" s="139"/>
      <c r="AB869" s="139"/>
      <c r="AC869" s="139"/>
      <c r="AD869" s="139"/>
      <c r="AE869" s="139"/>
      <c r="AF869" s="139"/>
      <c r="AG869" s="139"/>
      <c r="AH869" s="139"/>
      <c r="AI869" s="139"/>
      <c r="AJ869" s="139"/>
      <c r="AK869" s="139"/>
      <c r="AL869" s="139"/>
      <c r="AM869" s="139"/>
      <c r="AN869" s="139"/>
      <c r="AO869" s="70"/>
      <c r="AP869" s="70"/>
      <c r="AQ869" s="70"/>
      <c r="AR869" s="70"/>
      <c r="AS869" s="70"/>
      <c r="AT869" s="70"/>
      <c r="AU869" s="70"/>
      <c r="AV869" s="70"/>
      <c r="AW869" s="70"/>
      <c r="AX869" s="70"/>
    </row>
    <row r="870" ht="15.75" customHeight="1">
      <c r="A870" s="166" t="s">
        <v>41</v>
      </c>
      <c r="B870" s="167" t="s">
        <v>6107</v>
      </c>
      <c r="C870" s="28" t="s">
        <v>6111</v>
      </c>
      <c r="D870" s="28" t="s">
        <v>6112</v>
      </c>
      <c r="E870" s="28" t="s">
        <v>6113</v>
      </c>
      <c r="F870" s="28"/>
      <c r="G870" s="28"/>
      <c r="H870" s="28"/>
      <c r="I870" s="28"/>
      <c r="J870" s="28" t="s">
        <v>8</v>
      </c>
      <c r="K870" s="28"/>
      <c r="L870" s="28"/>
      <c r="M870" s="28"/>
      <c r="N870" s="28"/>
      <c r="O870" s="126"/>
      <c r="P870" s="126"/>
      <c r="Q870" s="126"/>
      <c r="R870" s="126"/>
      <c r="S870" s="126"/>
      <c r="T870" s="126"/>
      <c r="U870" s="126"/>
      <c r="V870" s="126"/>
      <c r="W870" s="126"/>
      <c r="X870" s="126"/>
      <c r="Y870" s="126"/>
      <c r="Z870" s="126"/>
      <c r="AA870" s="126"/>
      <c r="AB870" s="126"/>
      <c r="AC870" s="126"/>
      <c r="AD870" s="126"/>
      <c r="AE870" s="126"/>
      <c r="AF870" s="126"/>
      <c r="AG870" s="126"/>
      <c r="AH870" s="126"/>
      <c r="AI870" s="126"/>
      <c r="AJ870" s="126"/>
      <c r="AK870" s="126"/>
      <c r="AL870" s="126"/>
      <c r="AM870" s="126"/>
      <c r="AN870" s="126"/>
      <c r="AO870" s="70"/>
      <c r="AP870" s="70"/>
      <c r="AQ870" s="70"/>
      <c r="AR870" s="70"/>
      <c r="AS870" s="70"/>
      <c r="AT870" s="70"/>
      <c r="AU870" s="70"/>
      <c r="AV870" s="70"/>
      <c r="AW870" s="70"/>
      <c r="AX870" s="70"/>
    </row>
    <row r="871" ht="15.75" customHeight="1">
      <c r="A871" s="170" t="s">
        <v>263</v>
      </c>
      <c r="B871" s="171" t="s">
        <v>6117</v>
      </c>
      <c r="C871" s="28" t="s">
        <v>6121</v>
      </c>
      <c r="D871" s="28" t="s">
        <v>6122</v>
      </c>
      <c r="E871" s="28" t="s">
        <v>6123</v>
      </c>
      <c r="F871" s="28"/>
      <c r="G871" s="28"/>
      <c r="H871" s="28"/>
      <c r="I871" s="28"/>
      <c r="J871" s="28" t="s">
        <v>958</v>
      </c>
      <c r="K871" s="28" t="s">
        <v>864</v>
      </c>
      <c r="L871" s="28"/>
      <c r="M871" s="28"/>
      <c r="N871" s="28"/>
      <c r="O871" s="173"/>
      <c r="P871" s="173"/>
      <c r="Q871" s="173" t="s">
        <v>145</v>
      </c>
      <c r="R871" s="173"/>
      <c r="S871" s="173"/>
      <c r="T871" s="173"/>
      <c r="U871" s="173"/>
      <c r="V871" s="173"/>
      <c r="W871" s="173"/>
      <c r="X871" s="173"/>
      <c r="Y871" s="173"/>
      <c r="Z871" s="173"/>
      <c r="AA871" s="173"/>
      <c r="AB871" s="173"/>
      <c r="AC871" s="173"/>
      <c r="AD871" s="173"/>
      <c r="AE871" s="173"/>
      <c r="AF871" s="173"/>
      <c r="AG871" s="173"/>
      <c r="AH871" s="173"/>
      <c r="AI871" s="173"/>
      <c r="AJ871" s="173"/>
      <c r="AK871" s="173"/>
      <c r="AL871" s="173"/>
      <c r="AM871" s="173"/>
      <c r="AN871" s="173"/>
      <c r="AO871" s="70"/>
      <c r="AP871" s="70"/>
      <c r="AQ871" s="70"/>
      <c r="AR871" s="70"/>
      <c r="AS871" s="70"/>
      <c r="AT871" s="70"/>
      <c r="AU871" s="70"/>
      <c r="AV871" s="70"/>
      <c r="AW871" s="70"/>
      <c r="AX871" s="70"/>
    </row>
    <row r="872" ht="15.75" customHeight="1">
      <c r="A872" s="170" t="s">
        <v>263</v>
      </c>
      <c r="B872" s="171" t="s">
        <v>6124</v>
      </c>
      <c r="C872" s="28" t="s">
        <v>6131</v>
      </c>
      <c r="D872" s="28" t="s">
        <v>6133</v>
      </c>
      <c r="E872" s="28" t="s">
        <v>6134</v>
      </c>
      <c r="F872" s="28"/>
      <c r="G872" s="28"/>
      <c r="H872" s="28"/>
      <c r="I872" s="28"/>
      <c r="J872" s="28" t="s">
        <v>958</v>
      </c>
      <c r="K872" s="28"/>
      <c r="L872" s="28"/>
      <c r="M872" s="28"/>
      <c r="N872" s="28"/>
      <c r="O872" s="173"/>
      <c r="P872" s="173"/>
      <c r="Q872" s="173" t="s">
        <v>145</v>
      </c>
      <c r="R872" s="173"/>
      <c r="S872" s="173"/>
      <c r="T872" s="173"/>
      <c r="U872" s="173"/>
      <c r="V872" s="173"/>
      <c r="W872" s="173"/>
      <c r="X872" s="173"/>
      <c r="Y872" s="173"/>
      <c r="Z872" s="173"/>
      <c r="AA872" s="173"/>
      <c r="AB872" s="173"/>
      <c r="AC872" s="173"/>
      <c r="AD872" s="173"/>
      <c r="AE872" s="173"/>
      <c r="AF872" s="173"/>
      <c r="AG872" s="173"/>
      <c r="AH872" s="173"/>
      <c r="AI872" s="173"/>
      <c r="AJ872" s="173"/>
      <c r="AK872" s="173"/>
      <c r="AL872" s="173"/>
      <c r="AM872" s="173"/>
      <c r="AN872" s="173"/>
      <c r="AO872" s="70"/>
      <c r="AP872" s="70"/>
      <c r="AQ872" s="70"/>
      <c r="AR872" s="70"/>
      <c r="AS872" s="70"/>
      <c r="AT872" s="70"/>
      <c r="AU872" s="70"/>
      <c r="AV872" s="70"/>
      <c r="AW872" s="70"/>
      <c r="AX872" s="70"/>
    </row>
    <row r="873" ht="15.75" customHeight="1">
      <c r="A873" s="170" t="s">
        <v>263</v>
      </c>
      <c r="B873" s="171" t="s">
        <v>6135</v>
      </c>
      <c r="C873" s="28" t="s">
        <v>6139</v>
      </c>
      <c r="D873" s="28" t="s">
        <v>6140</v>
      </c>
      <c r="E873" s="28" t="s">
        <v>6141</v>
      </c>
      <c r="F873" s="28"/>
      <c r="G873" s="28"/>
      <c r="H873" s="28"/>
      <c r="I873" s="28"/>
      <c r="J873" s="28" t="s">
        <v>958</v>
      </c>
      <c r="K873" s="28" t="s">
        <v>864</v>
      </c>
      <c r="L873" s="28"/>
      <c r="M873" s="28"/>
      <c r="N873" s="28"/>
      <c r="O873" s="173"/>
      <c r="P873" s="173"/>
      <c r="Q873" s="173" t="s">
        <v>145</v>
      </c>
      <c r="R873" s="173"/>
      <c r="S873" s="173"/>
      <c r="T873" s="173"/>
      <c r="U873" s="173"/>
      <c r="V873" s="173"/>
      <c r="W873" s="173"/>
      <c r="X873" s="173"/>
      <c r="Y873" s="173"/>
      <c r="Z873" s="173"/>
      <c r="AA873" s="173"/>
      <c r="AB873" s="173"/>
      <c r="AC873" s="173"/>
      <c r="AD873" s="173"/>
      <c r="AE873" s="173"/>
      <c r="AF873" s="173"/>
      <c r="AG873" s="173"/>
      <c r="AH873" s="173"/>
      <c r="AI873" s="173"/>
      <c r="AJ873" s="173"/>
      <c r="AK873" s="173"/>
      <c r="AL873" s="173"/>
      <c r="AM873" s="173"/>
      <c r="AN873" s="173"/>
      <c r="AO873" s="70"/>
      <c r="AP873" s="70"/>
      <c r="AQ873" s="70"/>
      <c r="AR873" s="70"/>
      <c r="AS873" s="70"/>
      <c r="AT873" s="70"/>
      <c r="AU873" s="70"/>
      <c r="AV873" s="70"/>
      <c r="AW873" s="70"/>
      <c r="AX873" s="70"/>
    </row>
    <row r="874" ht="15.75" customHeight="1">
      <c r="A874" s="170" t="s">
        <v>263</v>
      </c>
      <c r="B874" s="171" t="s">
        <v>6142</v>
      </c>
      <c r="C874" s="28" t="s">
        <v>6147</v>
      </c>
      <c r="D874" s="28" t="s">
        <v>6148</v>
      </c>
      <c r="E874" s="28" t="s">
        <v>6149</v>
      </c>
      <c r="F874" s="28"/>
      <c r="G874" s="28"/>
      <c r="H874" s="28"/>
      <c r="I874" s="28"/>
      <c r="J874" s="28" t="s">
        <v>958</v>
      </c>
      <c r="K874" s="28"/>
      <c r="L874" s="28"/>
      <c r="M874" s="28"/>
      <c r="N874" s="28"/>
      <c r="O874" s="173"/>
      <c r="P874" s="173"/>
      <c r="Q874" s="173" t="s">
        <v>145</v>
      </c>
      <c r="R874" s="173"/>
      <c r="S874" s="173"/>
      <c r="T874" s="173"/>
      <c r="U874" s="173"/>
      <c r="V874" s="173"/>
      <c r="W874" s="173"/>
      <c r="X874" s="173"/>
      <c r="Y874" s="173"/>
      <c r="Z874" s="173"/>
      <c r="AA874" s="173"/>
      <c r="AB874" s="173"/>
      <c r="AC874" s="173"/>
      <c r="AD874" s="173"/>
      <c r="AE874" s="173"/>
      <c r="AF874" s="173"/>
      <c r="AG874" s="173"/>
      <c r="AH874" s="173"/>
      <c r="AI874" s="173"/>
      <c r="AJ874" s="173"/>
      <c r="AK874" s="173"/>
      <c r="AL874" s="173"/>
      <c r="AM874" s="173"/>
      <c r="AN874" s="173"/>
      <c r="AO874" s="70"/>
      <c r="AP874" s="70"/>
      <c r="AQ874" s="70"/>
      <c r="AR874" s="70"/>
      <c r="AS874" s="70"/>
      <c r="AT874" s="70"/>
      <c r="AU874" s="70"/>
      <c r="AV874" s="70"/>
      <c r="AW874" s="70"/>
      <c r="AX874" s="70"/>
    </row>
    <row r="875" ht="15.75" customHeight="1">
      <c r="A875" s="170" t="s">
        <v>263</v>
      </c>
      <c r="B875" s="171" t="s">
        <v>6151</v>
      </c>
      <c r="C875" s="28" t="s">
        <v>6155</v>
      </c>
      <c r="D875" s="28" t="s">
        <v>6156</v>
      </c>
      <c r="E875" s="28" t="s">
        <v>6157</v>
      </c>
      <c r="F875" s="28"/>
      <c r="G875" s="28"/>
      <c r="H875" s="28"/>
      <c r="I875" s="28"/>
      <c r="J875" s="28" t="s">
        <v>958</v>
      </c>
      <c r="K875" s="28" t="s">
        <v>10569</v>
      </c>
      <c r="L875" s="28"/>
      <c r="M875" s="28"/>
      <c r="N875" s="28"/>
      <c r="O875" s="173"/>
      <c r="P875" s="173"/>
      <c r="Q875" s="173" t="s">
        <v>145</v>
      </c>
      <c r="R875" s="173"/>
      <c r="S875" s="173"/>
      <c r="T875" s="173"/>
      <c r="U875" s="173"/>
      <c r="V875" s="173"/>
      <c r="W875" s="173"/>
      <c r="X875" s="173"/>
      <c r="Y875" s="173"/>
      <c r="Z875" s="173"/>
      <c r="AA875" s="173"/>
      <c r="AB875" s="173"/>
      <c r="AC875" s="173"/>
      <c r="AD875" s="173"/>
      <c r="AE875" s="173"/>
      <c r="AF875" s="173"/>
      <c r="AG875" s="173"/>
      <c r="AH875" s="173"/>
      <c r="AI875" s="173"/>
      <c r="AJ875" s="173"/>
      <c r="AK875" s="173"/>
      <c r="AL875" s="173"/>
      <c r="AM875" s="173"/>
      <c r="AN875" s="173"/>
      <c r="AO875" s="70"/>
      <c r="AP875" s="70"/>
      <c r="AQ875" s="70"/>
      <c r="AR875" s="70"/>
      <c r="AS875" s="70"/>
      <c r="AT875" s="70"/>
      <c r="AU875" s="70"/>
      <c r="AV875" s="70"/>
      <c r="AW875" s="70"/>
      <c r="AX875" s="70"/>
    </row>
    <row r="876" ht="15.75" customHeight="1">
      <c r="A876" s="140" t="s">
        <v>237</v>
      </c>
      <c r="B876" s="191" t="s">
        <v>6101</v>
      </c>
      <c r="C876" s="28"/>
      <c r="D876" s="28"/>
      <c r="E876" s="28"/>
      <c r="F876" s="28"/>
      <c r="G876" s="28"/>
      <c r="H876" s="28"/>
      <c r="I876" s="28"/>
      <c r="J876" s="28"/>
      <c r="K876" s="28"/>
      <c r="L876" s="28"/>
      <c r="M876" s="28"/>
      <c r="N876" s="28"/>
      <c r="O876" s="139"/>
      <c r="P876" s="139"/>
      <c r="Q876" s="139"/>
      <c r="R876" s="139"/>
      <c r="S876" s="139"/>
      <c r="T876" s="139"/>
      <c r="U876" s="139"/>
      <c r="V876" s="139"/>
      <c r="W876" s="139"/>
      <c r="X876" s="139"/>
      <c r="Y876" s="139"/>
      <c r="Z876" s="139"/>
      <c r="AA876" s="139"/>
      <c r="AB876" s="139"/>
      <c r="AC876" s="139"/>
      <c r="AD876" s="139"/>
      <c r="AE876" s="139"/>
      <c r="AF876" s="139"/>
      <c r="AG876" s="139"/>
      <c r="AH876" s="139"/>
      <c r="AI876" s="139"/>
      <c r="AJ876" s="139"/>
      <c r="AK876" s="139"/>
      <c r="AL876" s="139"/>
      <c r="AM876" s="139"/>
      <c r="AN876" s="139"/>
      <c r="AO876" s="70"/>
      <c r="AP876" s="70"/>
      <c r="AQ876" s="70"/>
      <c r="AR876" s="70"/>
      <c r="AS876" s="70"/>
      <c r="AT876" s="70"/>
      <c r="AU876" s="70"/>
      <c r="AV876" s="70"/>
      <c r="AW876" s="70"/>
      <c r="AX876" s="70"/>
    </row>
    <row r="877" ht="15.75" customHeight="1">
      <c r="A877" s="170" t="s">
        <v>41</v>
      </c>
      <c r="B877" s="271" t="s">
        <v>6162</v>
      </c>
      <c r="C877" s="28" t="s">
        <v>6166</v>
      </c>
      <c r="D877" s="28" t="s">
        <v>6168</v>
      </c>
      <c r="E877" s="28" t="s">
        <v>6169</v>
      </c>
      <c r="F877" s="28"/>
      <c r="G877" s="28"/>
      <c r="H877" s="28"/>
      <c r="I877" s="28"/>
      <c r="J877" s="28"/>
      <c r="K877" s="28"/>
      <c r="L877" s="28"/>
      <c r="M877" s="28"/>
      <c r="N877" s="28"/>
      <c r="O877" s="173"/>
      <c r="P877" s="173"/>
      <c r="Q877" s="173"/>
      <c r="R877" s="173"/>
      <c r="S877" s="173"/>
      <c r="T877" s="173"/>
      <c r="U877" s="173"/>
      <c r="V877" s="173"/>
      <c r="W877" s="173"/>
      <c r="X877" s="173"/>
      <c r="Y877" s="173"/>
      <c r="Z877" s="173"/>
      <c r="AA877" s="173"/>
      <c r="AB877" s="173"/>
      <c r="AC877" s="173"/>
      <c r="AD877" s="173"/>
      <c r="AE877" s="173"/>
      <c r="AF877" s="173"/>
      <c r="AG877" s="173"/>
      <c r="AH877" s="173"/>
      <c r="AI877" s="173"/>
      <c r="AJ877" s="173"/>
      <c r="AK877" s="173"/>
      <c r="AL877" s="173"/>
      <c r="AM877" s="173"/>
      <c r="AN877" s="173"/>
      <c r="AO877" s="70"/>
      <c r="AP877" s="70"/>
      <c r="AQ877" s="70"/>
      <c r="AR877" s="70"/>
      <c r="AS877" s="70"/>
      <c r="AT877" s="70"/>
      <c r="AU877" s="70"/>
      <c r="AV877" s="70"/>
      <c r="AW877" s="70"/>
      <c r="AX877" s="70"/>
    </row>
    <row r="878" ht="15.75" customHeight="1">
      <c r="A878" s="170" t="s">
        <v>6170</v>
      </c>
      <c r="B878" s="271" t="s">
        <v>6171</v>
      </c>
      <c r="C878" s="28" t="s">
        <v>6178</v>
      </c>
      <c r="D878" s="28" t="s">
        <v>6179</v>
      </c>
      <c r="E878" s="28" t="s">
        <v>6180</v>
      </c>
      <c r="F878" s="28"/>
      <c r="G878" s="28"/>
      <c r="H878" s="28"/>
      <c r="I878" s="28"/>
      <c r="J878" s="28"/>
      <c r="K878" s="28"/>
      <c r="L878" s="28"/>
      <c r="M878" s="28"/>
      <c r="N878" s="28"/>
      <c r="O878" s="173"/>
      <c r="P878" s="173"/>
      <c r="Q878" s="173" t="s">
        <v>145</v>
      </c>
      <c r="R878" s="173"/>
      <c r="S878" s="173"/>
      <c r="T878" s="173"/>
      <c r="U878" s="173"/>
      <c r="V878" s="173"/>
      <c r="W878" s="173"/>
      <c r="X878" s="173"/>
      <c r="Y878" s="173"/>
      <c r="Z878" s="173"/>
      <c r="AA878" s="173"/>
      <c r="AB878" s="173"/>
      <c r="AC878" s="173"/>
      <c r="AD878" s="173"/>
      <c r="AE878" s="173"/>
      <c r="AF878" s="173"/>
      <c r="AG878" s="173"/>
      <c r="AH878" s="173"/>
      <c r="AI878" s="173"/>
      <c r="AJ878" s="173"/>
      <c r="AK878" s="173"/>
      <c r="AL878" s="173"/>
      <c r="AM878" s="173"/>
      <c r="AN878" s="173"/>
      <c r="AO878" s="70"/>
      <c r="AP878" s="70"/>
      <c r="AQ878" s="70"/>
      <c r="AR878" s="70"/>
      <c r="AS878" s="70"/>
      <c r="AT878" s="70"/>
      <c r="AU878" s="70"/>
      <c r="AV878" s="70"/>
      <c r="AW878" s="70"/>
      <c r="AX878" s="70"/>
    </row>
    <row r="879" ht="15.75" customHeight="1">
      <c r="A879" s="170" t="s">
        <v>6181</v>
      </c>
      <c r="B879" s="271" t="s">
        <v>6182</v>
      </c>
      <c r="C879" s="28" t="s">
        <v>6186</v>
      </c>
      <c r="D879" s="28" t="s">
        <v>6187</v>
      </c>
      <c r="E879" s="28" t="s">
        <v>6188</v>
      </c>
      <c r="F879" s="28"/>
      <c r="G879" s="28"/>
      <c r="H879" s="28"/>
      <c r="I879" s="28"/>
      <c r="J879" s="28"/>
      <c r="K879" s="28"/>
      <c r="L879" s="28"/>
      <c r="M879" s="28"/>
      <c r="N879" s="28"/>
      <c r="O879" s="173"/>
      <c r="P879" s="173"/>
      <c r="Q879" s="173" t="s">
        <v>145</v>
      </c>
      <c r="R879" s="173"/>
      <c r="S879" s="173"/>
      <c r="T879" s="173"/>
      <c r="U879" s="173"/>
      <c r="V879" s="173"/>
      <c r="W879" s="173"/>
      <c r="X879" s="173"/>
      <c r="Y879" s="173"/>
      <c r="Z879" s="173"/>
      <c r="AA879" s="173"/>
      <c r="AB879" s="173"/>
      <c r="AC879" s="173"/>
      <c r="AD879" s="173"/>
      <c r="AE879" s="173"/>
      <c r="AF879" s="173"/>
      <c r="AG879" s="173"/>
      <c r="AH879" s="173"/>
      <c r="AI879" s="173"/>
      <c r="AJ879" s="173"/>
      <c r="AK879" s="173"/>
      <c r="AL879" s="173"/>
      <c r="AM879" s="173"/>
      <c r="AN879" s="173"/>
      <c r="AO879" s="70"/>
      <c r="AP879" s="70"/>
      <c r="AQ879" s="70"/>
      <c r="AR879" s="70"/>
      <c r="AS879" s="70"/>
      <c r="AT879" s="70"/>
      <c r="AU879" s="70"/>
      <c r="AV879" s="70"/>
      <c r="AW879" s="70"/>
      <c r="AX879" s="70"/>
    </row>
    <row r="880" ht="15.75" customHeight="1">
      <c r="A880" s="170" t="s">
        <v>6189</v>
      </c>
      <c r="B880" s="271" t="s">
        <v>6190</v>
      </c>
      <c r="C880" s="28" t="s">
        <v>6197</v>
      </c>
      <c r="D880" s="28" t="s">
        <v>6198</v>
      </c>
      <c r="E880" s="28" t="s">
        <v>6199</v>
      </c>
      <c r="F880" s="28"/>
      <c r="G880" s="28"/>
      <c r="H880" s="28"/>
      <c r="I880" s="28"/>
      <c r="J880" s="28"/>
      <c r="K880" s="28"/>
      <c r="L880" s="28"/>
      <c r="M880" s="28"/>
      <c r="N880" s="28"/>
      <c r="O880" s="173"/>
      <c r="P880" s="173"/>
      <c r="Q880" s="173" t="s">
        <v>145</v>
      </c>
      <c r="R880" s="173"/>
      <c r="S880" s="173"/>
      <c r="T880" s="173"/>
      <c r="U880" s="173"/>
      <c r="V880" s="173"/>
      <c r="W880" s="173"/>
      <c r="X880" s="173"/>
      <c r="Y880" s="173"/>
      <c r="Z880" s="173"/>
      <c r="AA880" s="173"/>
      <c r="AB880" s="173"/>
      <c r="AC880" s="173"/>
      <c r="AD880" s="173"/>
      <c r="AE880" s="173"/>
      <c r="AF880" s="173"/>
      <c r="AG880" s="173"/>
      <c r="AH880" s="173"/>
      <c r="AI880" s="173"/>
      <c r="AJ880" s="173"/>
      <c r="AK880" s="173"/>
      <c r="AL880" s="173"/>
      <c r="AM880" s="173"/>
      <c r="AN880" s="173"/>
      <c r="AO880" s="70"/>
      <c r="AP880" s="70"/>
      <c r="AQ880" s="70"/>
      <c r="AR880" s="70"/>
      <c r="AS880" s="70"/>
      <c r="AT880" s="70"/>
      <c r="AU880" s="70"/>
      <c r="AV880" s="70"/>
      <c r="AW880" s="70"/>
      <c r="AX880" s="70"/>
    </row>
    <row r="881" ht="15.75" customHeight="1">
      <c r="A881" s="170" t="s">
        <v>6200</v>
      </c>
      <c r="B881" s="271" t="s">
        <v>6201</v>
      </c>
      <c r="C881" s="28" t="s">
        <v>6209</v>
      </c>
      <c r="D881" s="28" t="s">
        <v>6210</v>
      </c>
      <c r="E881" s="28" t="s">
        <v>6211</v>
      </c>
      <c r="F881" s="28"/>
      <c r="G881" s="28"/>
      <c r="H881" s="28"/>
      <c r="I881" s="28"/>
      <c r="J881" s="28"/>
      <c r="K881" s="28"/>
      <c r="L881" s="28"/>
      <c r="M881" s="28"/>
      <c r="N881" s="28"/>
      <c r="O881" s="173"/>
      <c r="P881" s="173"/>
      <c r="Q881" s="173" t="s">
        <v>145</v>
      </c>
      <c r="R881" s="173"/>
      <c r="S881" s="173"/>
      <c r="T881" s="173"/>
      <c r="U881" s="173"/>
      <c r="V881" s="173"/>
      <c r="W881" s="173"/>
      <c r="X881" s="173"/>
      <c r="Y881" s="173"/>
      <c r="Z881" s="173"/>
      <c r="AA881" s="173"/>
      <c r="AB881" s="173"/>
      <c r="AC881" s="173"/>
      <c r="AD881" s="173"/>
      <c r="AE881" s="173"/>
      <c r="AF881" s="173"/>
      <c r="AG881" s="173"/>
      <c r="AH881" s="173"/>
      <c r="AI881" s="173"/>
      <c r="AJ881" s="173"/>
      <c r="AK881" s="173"/>
      <c r="AL881" s="173"/>
      <c r="AM881" s="173"/>
      <c r="AN881" s="173"/>
      <c r="AO881" s="70"/>
      <c r="AP881" s="70"/>
      <c r="AQ881" s="70"/>
      <c r="AR881" s="70"/>
      <c r="AS881" s="70"/>
      <c r="AT881" s="70"/>
      <c r="AU881" s="70"/>
      <c r="AV881" s="70"/>
      <c r="AW881" s="70"/>
      <c r="AX881" s="70"/>
    </row>
    <row r="882" ht="15.75" customHeight="1">
      <c r="A882" s="170" t="s">
        <v>5519</v>
      </c>
      <c r="B882" s="271" t="s">
        <v>6212</v>
      </c>
      <c r="C882" s="28" t="s">
        <v>6216</v>
      </c>
      <c r="D882" s="28" t="s">
        <v>6217</v>
      </c>
      <c r="E882" s="28" t="s">
        <v>6218</v>
      </c>
      <c r="F882" s="28"/>
      <c r="G882" s="28"/>
      <c r="H882" s="28"/>
      <c r="I882" s="28"/>
      <c r="J882" s="28"/>
      <c r="K882" s="28"/>
      <c r="L882" s="28"/>
      <c r="M882" s="28"/>
      <c r="N882" s="28"/>
      <c r="O882" s="173"/>
      <c r="P882" s="173"/>
      <c r="Q882" s="173" t="s">
        <v>145</v>
      </c>
      <c r="R882" s="173"/>
      <c r="S882" s="173"/>
      <c r="T882" s="173"/>
      <c r="U882" s="173"/>
      <c r="V882" s="173"/>
      <c r="W882" s="173"/>
      <c r="X882" s="173"/>
      <c r="Y882" s="173"/>
      <c r="Z882" s="173"/>
      <c r="AA882" s="173"/>
      <c r="AB882" s="173"/>
      <c r="AC882" s="173"/>
      <c r="AD882" s="173"/>
      <c r="AE882" s="173"/>
      <c r="AF882" s="173"/>
      <c r="AG882" s="173"/>
      <c r="AH882" s="173"/>
      <c r="AI882" s="173"/>
      <c r="AJ882" s="173"/>
      <c r="AK882" s="173"/>
      <c r="AL882" s="173"/>
      <c r="AM882" s="173"/>
      <c r="AN882" s="173"/>
      <c r="AO882" s="70"/>
      <c r="AP882" s="70"/>
      <c r="AQ882" s="70"/>
      <c r="AR882" s="70"/>
      <c r="AS882" s="70"/>
      <c r="AT882" s="70"/>
      <c r="AU882" s="70"/>
      <c r="AV882" s="70"/>
      <c r="AW882" s="70"/>
      <c r="AX882" s="70"/>
    </row>
    <row r="883" ht="15.75" customHeight="1">
      <c r="A883" s="170" t="s">
        <v>246</v>
      </c>
      <c r="B883" s="271" t="s">
        <v>6222</v>
      </c>
      <c r="C883" s="28" t="s">
        <v>6226</v>
      </c>
      <c r="D883" s="28" t="s">
        <v>6227</v>
      </c>
      <c r="E883" s="28" t="s">
        <v>6228</v>
      </c>
      <c r="F883" s="28"/>
      <c r="G883" s="28"/>
      <c r="H883" s="28"/>
      <c r="I883" s="28"/>
      <c r="J883" s="28"/>
      <c r="K883" s="28"/>
      <c r="L883" s="28"/>
      <c r="M883" s="28"/>
      <c r="N883" s="28"/>
      <c r="O883" s="172" t="s">
        <v>10570</v>
      </c>
      <c r="P883" s="173"/>
      <c r="Q883" s="173" t="s">
        <v>145</v>
      </c>
      <c r="R883" s="173"/>
      <c r="S883" s="173"/>
      <c r="T883" s="173"/>
      <c r="U883" s="173"/>
      <c r="V883" s="173"/>
      <c r="W883" s="173"/>
      <c r="X883" s="173"/>
      <c r="Y883" s="173"/>
      <c r="Z883" s="173"/>
      <c r="AA883" s="173"/>
      <c r="AB883" s="173"/>
      <c r="AC883" s="173"/>
      <c r="AD883" s="173"/>
      <c r="AE883" s="173"/>
      <c r="AF883" s="173"/>
      <c r="AG883" s="173"/>
      <c r="AH883" s="173"/>
      <c r="AI883" s="173"/>
      <c r="AJ883" s="173"/>
      <c r="AK883" s="173"/>
      <c r="AL883" s="173"/>
      <c r="AM883" s="173"/>
      <c r="AN883" s="173"/>
      <c r="AO883" s="70"/>
      <c r="AP883" s="70"/>
      <c r="AQ883" s="70"/>
      <c r="AR883" s="70"/>
      <c r="AS883" s="70"/>
      <c r="AT883" s="70"/>
      <c r="AU883" s="70"/>
      <c r="AV883" s="70"/>
      <c r="AW883" s="70"/>
      <c r="AX883" s="70"/>
    </row>
    <row r="884" ht="15.75" customHeight="1">
      <c r="A884" s="170" t="s">
        <v>5519</v>
      </c>
      <c r="B884" s="271" t="s">
        <v>6230</v>
      </c>
      <c r="C884" s="28" t="s">
        <v>6237</v>
      </c>
      <c r="D884" s="28" t="s">
        <v>6238</v>
      </c>
      <c r="E884" s="28" t="s">
        <v>6239</v>
      </c>
      <c r="F884" s="28"/>
      <c r="G884" s="28"/>
      <c r="H884" s="28"/>
      <c r="I884" s="28"/>
      <c r="J884" s="28"/>
      <c r="K884" s="28"/>
      <c r="L884" s="28"/>
      <c r="M884" s="28"/>
      <c r="N884" s="28"/>
      <c r="O884" s="173"/>
      <c r="P884" s="173"/>
      <c r="Q884" s="173" t="s">
        <v>145</v>
      </c>
      <c r="R884" s="173"/>
      <c r="S884" s="173"/>
      <c r="T884" s="173"/>
      <c r="U884" s="173"/>
      <c r="V884" s="173"/>
      <c r="W884" s="173"/>
      <c r="X884" s="173"/>
      <c r="Y884" s="173"/>
      <c r="Z884" s="173"/>
      <c r="AA884" s="173"/>
      <c r="AB884" s="173"/>
      <c r="AC884" s="173"/>
      <c r="AD884" s="173"/>
      <c r="AE884" s="173"/>
      <c r="AF884" s="173"/>
      <c r="AG884" s="173"/>
      <c r="AH884" s="173"/>
      <c r="AI884" s="173"/>
      <c r="AJ884" s="173"/>
      <c r="AK884" s="173"/>
      <c r="AL884" s="173"/>
      <c r="AM884" s="173"/>
      <c r="AN884" s="173"/>
      <c r="AO884" s="70"/>
      <c r="AP884" s="70"/>
      <c r="AQ884" s="70"/>
      <c r="AR884" s="70"/>
      <c r="AS884" s="70"/>
      <c r="AT884" s="70"/>
      <c r="AU884" s="70"/>
      <c r="AV884" s="70"/>
      <c r="AW884" s="70"/>
      <c r="AX884" s="70"/>
    </row>
    <row r="885" ht="15.75" customHeight="1">
      <c r="A885" s="170" t="s">
        <v>246</v>
      </c>
      <c r="B885" s="271" t="s">
        <v>6240</v>
      </c>
      <c r="C885" s="28" t="s">
        <v>6244</v>
      </c>
      <c r="D885" s="28" t="s">
        <v>6245</v>
      </c>
      <c r="E885" s="28" t="s">
        <v>6246</v>
      </c>
      <c r="F885" s="28"/>
      <c r="G885" s="28"/>
      <c r="H885" s="28"/>
      <c r="I885" s="28"/>
      <c r="J885" s="28"/>
      <c r="K885" s="28"/>
      <c r="L885" s="28"/>
      <c r="M885" s="28"/>
      <c r="N885" s="28"/>
      <c r="O885" s="172" t="s">
        <v>10571</v>
      </c>
      <c r="P885" s="173"/>
      <c r="Q885" s="173" t="s">
        <v>145</v>
      </c>
      <c r="R885" s="173"/>
      <c r="S885" s="173"/>
      <c r="T885" s="173"/>
      <c r="U885" s="173"/>
      <c r="V885" s="173"/>
      <c r="W885" s="173"/>
      <c r="X885" s="173"/>
      <c r="Y885" s="173"/>
      <c r="Z885" s="173"/>
      <c r="AA885" s="173"/>
      <c r="AB885" s="173"/>
      <c r="AC885" s="173"/>
      <c r="AD885" s="173"/>
      <c r="AE885" s="173"/>
      <c r="AF885" s="173"/>
      <c r="AG885" s="173"/>
      <c r="AH885" s="173"/>
      <c r="AI885" s="173"/>
      <c r="AJ885" s="173"/>
      <c r="AK885" s="173"/>
      <c r="AL885" s="173"/>
      <c r="AM885" s="173"/>
      <c r="AN885" s="173"/>
      <c r="AO885" s="70"/>
      <c r="AP885" s="70"/>
      <c r="AQ885" s="70"/>
      <c r="AR885" s="70"/>
      <c r="AS885" s="70"/>
      <c r="AT885" s="70"/>
      <c r="AU885" s="70"/>
      <c r="AV885" s="70"/>
      <c r="AW885" s="70"/>
      <c r="AX885" s="70"/>
    </row>
    <row r="887" ht="15.75" customHeight="1">
      <c r="A887" s="221"/>
      <c r="B887" s="222"/>
      <c r="C887" s="28" t="s">
        <v>50</v>
      </c>
      <c r="D887" s="28" t="s">
        <v>50</v>
      </c>
      <c r="E887" s="28" t="s">
        <v>50</v>
      </c>
      <c r="F887" s="28"/>
      <c r="G887" s="28"/>
      <c r="H887" s="28"/>
      <c r="I887" s="28"/>
      <c r="J887" s="28"/>
      <c r="K887" s="28"/>
      <c r="L887" s="28"/>
      <c r="M887" s="28"/>
      <c r="N887" s="28"/>
      <c r="O887" s="70"/>
      <c r="P887" s="70"/>
      <c r="Q887" s="70"/>
      <c r="R887" s="70"/>
      <c r="S887" s="70"/>
      <c r="T887" s="70"/>
      <c r="U887" s="70"/>
      <c r="V887" s="70"/>
      <c r="W887" s="70"/>
      <c r="X887" s="70"/>
      <c r="Y887" s="70"/>
      <c r="Z887" s="70"/>
      <c r="AA887" s="70"/>
      <c r="AB887" s="70"/>
      <c r="AC887" s="70"/>
      <c r="AD887" s="70"/>
      <c r="AE887" s="70"/>
      <c r="AF887" s="70"/>
      <c r="AG887" s="70"/>
      <c r="AH887" s="70"/>
      <c r="AI887" s="70"/>
      <c r="AJ887" s="70"/>
      <c r="AK887" s="70"/>
      <c r="AL887" s="70"/>
      <c r="AM887" s="70"/>
      <c r="AN887" s="70"/>
      <c r="AO887" s="70"/>
      <c r="AP887" s="70"/>
      <c r="AQ887" s="70"/>
      <c r="AR887" s="70"/>
      <c r="AS887" s="70"/>
      <c r="AT887" s="70"/>
      <c r="AU887" s="70"/>
      <c r="AV887" s="70"/>
      <c r="AW887" s="70"/>
      <c r="AX887" s="70"/>
    </row>
    <row r="888" ht="15.75" customHeight="1">
      <c r="A888" s="140" t="s">
        <v>131</v>
      </c>
      <c r="B888" s="164" t="s">
        <v>6257</v>
      </c>
      <c r="C888" s="28"/>
      <c r="D888" s="28"/>
      <c r="E888" s="28"/>
      <c r="F888" s="28"/>
      <c r="G888" s="28"/>
      <c r="H888" s="28"/>
      <c r="I888" s="28"/>
      <c r="J888" s="28"/>
      <c r="K888" s="28"/>
      <c r="L888" s="28"/>
      <c r="M888" s="28"/>
      <c r="N888" s="28"/>
      <c r="O888" s="190"/>
      <c r="P888" s="139"/>
      <c r="Q888" s="139"/>
      <c r="R888" s="139"/>
      <c r="S888" s="139"/>
      <c r="T888" s="139"/>
      <c r="U888" s="139"/>
      <c r="V888" s="139"/>
      <c r="W888" s="139"/>
      <c r="X888" s="139"/>
      <c r="Y888" s="139"/>
      <c r="Z888" s="139"/>
      <c r="AA888" s="139"/>
      <c r="AB888" s="139"/>
      <c r="AC888" s="139"/>
      <c r="AD888" s="139"/>
      <c r="AE888" s="139"/>
      <c r="AF888" s="139"/>
      <c r="AG888" s="139"/>
      <c r="AH888" s="139"/>
      <c r="AI888" s="139"/>
      <c r="AJ888" s="139"/>
      <c r="AK888" s="139"/>
      <c r="AL888" s="139"/>
      <c r="AM888" s="139"/>
      <c r="AN888" s="139"/>
      <c r="AO888" s="70"/>
      <c r="AP888" s="70"/>
      <c r="AQ888" s="70"/>
      <c r="AR888" s="70"/>
      <c r="AS888" s="70"/>
      <c r="AT888" s="70"/>
      <c r="AU888" s="70"/>
      <c r="AV888" s="70"/>
      <c r="AW888" s="70"/>
      <c r="AX888" s="70"/>
    </row>
    <row r="889" ht="15.75" customHeight="1">
      <c r="A889" s="166" t="s">
        <v>41</v>
      </c>
      <c r="B889" s="167" t="s">
        <v>6261</v>
      </c>
      <c r="C889" s="28" t="s">
        <v>6265</v>
      </c>
      <c r="D889" s="28" t="s">
        <v>6266</v>
      </c>
      <c r="E889" s="28" t="s">
        <v>6267</v>
      </c>
      <c r="F889" s="28"/>
      <c r="G889" s="28"/>
      <c r="H889" s="28"/>
      <c r="I889" s="28"/>
      <c r="J889" s="28"/>
      <c r="K889" s="28"/>
      <c r="L889" s="28"/>
      <c r="M889" s="28"/>
      <c r="N889" s="28"/>
      <c r="O889" s="126"/>
      <c r="P889" s="126"/>
      <c r="Q889" s="126"/>
      <c r="R889" s="126"/>
      <c r="S889" s="126"/>
      <c r="T889" s="126"/>
      <c r="U889" s="126"/>
      <c r="V889" s="126"/>
      <c r="W889" s="126"/>
      <c r="X889" s="126"/>
      <c r="Y889" s="126"/>
      <c r="Z889" s="126"/>
      <c r="AA889" s="126"/>
      <c r="AB889" s="126"/>
      <c r="AC889" s="126"/>
      <c r="AD889" s="126"/>
      <c r="AE889" s="126"/>
      <c r="AF889" s="126"/>
      <c r="AG889" s="126"/>
      <c r="AH889" s="126"/>
      <c r="AI889" s="126"/>
      <c r="AJ889" s="126"/>
      <c r="AK889" s="126"/>
      <c r="AL889" s="126"/>
      <c r="AM889" s="126"/>
      <c r="AN889" s="126"/>
      <c r="AO889" s="70"/>
      <c r="AP889" s="70"/>
      <c r="AQ889" s="70"/>
      <c r="AR889" s="70"/>
      <c r="AS889" s="70"/>
      <c r="AT889" s="70"/>
      <c r="AU889" s="70"/>
      <c r="AV889" s="70"/>
      <c r="AW889" s="70"/>
      <c r="AX889" s="70"/>
    </row>
    <row r="890" ht="15.75" customHeight="1">
      <c r="A890" s="69" t="s">
        <v>463</v>
      </c>
      <c r="B890" s="69" t="s">
        <v>6271</v>
      </c>
      <c r="C890" s="28" t="s">
        <v>6276</v>
      </c>
      <c r="D890" s="28" t="s">
        <v>6277</v>
      </c>
      <c r="E890" s="28" t="s">
        <v>6278</v>
      </c>
      <c r="F890" s="28" t="s">
        <v>10572</v>
      </c>
      <c r="G890" s="28" t="s">
        <v>10573</v>
      </c>
      <c r="H890" s="28" t="s">
        <v>10574</v>
      </c>
      <c r="I890" s="28"/>
      <c r="J890" s="28"/>
      <c r="K890" s="28"/>
      <c r="L890" s="28"/>
      <c r="M890" s="28"/>
      <c r="N890" s="28"/>
      <c r="O890" s="67"/>
      <c r="P890" s="65"/>
      <c r="Q890" s="65" t="s">
        <v>145</v>
      </c>
      <c r="R890" s="67"/>
      <c r="S890" s="67"/>
      <c r="T890" s="67"/>
      <c r="U890" s="67"/>
      <c r="V890" s="67"/>
      <c r="W890" s="67"/>
      <c r="X890" s="67"/>
      <c r="Y890" s="67"/>
      <c r="Z890" s="67"/>
      <c r="AA890" s="67"/>
      <c r="AB890" s="67"/>
      <c r="AC890" s="67"/>
      <c r="AD890" s="70"/>
      <c r="AE890" s="70"/>
      <c r="AF890" s="70"/>
      <c r="AG890" s="70"/>
      <c r="AH890" s="70"/>
      <c r="AI890" s="70"/>
      <c r="AJ890" s="70"/>
      <c r="AK890" s="70"/>
      <c r="AL890" s="70"/>
      <c r="AM890" s="70"/>
      <c r="AN890" s="70"/>
      <c r="AO890" s="70"/>
      <c r="AP890" s="70"/>
      <c r="AQ890" s="70"/>
      <c r="AR890" s="70"/>
      <c r="AS890" s="70"/>
      <c r="AT890" s="70"/>
      <c r="AU890" s="70"/>
      <c r="AV890" s="70"/>
      <c r="AW890" s="70"/>
      <c r="AX890" s="70"/>
    </row>
    <row r="891" ht="15.75" customHeight="1">
      <c r="A891" s="69" t="s">
        <v>463</v>
      </c>
      <c r="B891" s="69" t="s">
        <v>6279</v>
      </c>
      <c r="C891" s="28" t="s">
        <v>6283</v>
      </c>
      <c r="D891" s="28" t="s">
        <v>6284</v>
      </c>
      <c r="E891" s="28" t="s">
        <v>6285</v>
      </c>
      <c r="F891" s="28"/>
      <c r="G891" s="28"/>
      <c r="H891" s="28"/>
      <c r="I891" s="28"/>
      <c r="J891" s="28"/>
      <c r="K891" s="28"/>
      <c r="L891" s="28"/>
      <c r="M891" s="28"/>
      <c r="N891" s="28"/>
      <c r="O891" s="67"/>
      <c r="P891" s="65"/>
      <c r="Q891" s="65" t="s">
        <v>145</v>
      </c>
      <c r="R891" s="67"/>
      <c r="S891" s="67"/>
      <c r="T891" s="67"/>
      <c r="U891" s="67"/>
      <c r="V891" s="67"/>
      <c r="W891" s="67"/>
      <c r="X891" s="67"/>
      <c r="Y891" s="67"/>
      <c r="Z891" s="67"/>
      <c r="AA891" s="67"/>
      <c r="AB891" s="67"/>
      <c r="AC891" s="67"/>
      <c r="AD891" s="70"/>
      <c r="AE891" s="70"/>
      <c r="AF891" s="70"/>
      <c r="AG891" s="70"/>
      <c r="AH891" s="70"/>
      <c r="AI891" s="70"/>
      <c r="AJ891" s="70"/>
      <c r="AK891" s="70"/>
      <c r="AL891" s="70"/>
      <c r="AM891" s="70"/>
      <c r="AN891" s="70"/>
      <c r="AO891" s="70"/>
      <c r="AP891" s="70"/>
      <c r="AQ891" s="70"/>
      <c r="AR891" s="70"/>
      <c r="AS891" s="70"/>
      <c r="AT891" s="70"/>
      <c r="AU891" s="70"/>
      <c r="AV891" s="70"/>
      <c r="AW891" s="70"/>
      <c r="AX891" s="70"/>
    </row>
    <row r="892" ht="15.75" customHeight="1">
      <c r="A892" s="65" t="s">
        <v>2625</v>
      </c>
      <c r="B892" s="169" t="s">
        <v>6289</v>
      </c>
      <c r="C892" s="28" t="s">
        <v>6294</v>
      </c>
      <c r="D892" s="28" t="s">
        <v>6295</v>
      </c>
      <c r="E892" s="28" t="s">
        <v>6296</v>
      </c>
      <c r="F892" s="28"/>
      <c r="G892" s="28"/>
      <c r="H892" s="28"/>
      <c r="I892" s="28"/>
      <c r="J892" s="28"/>
      <c r="K892" s="28"/>
      <c r="L892" s="28"/>
      <c r="M892" s="28"/>
      <c r="N892" s="28"/>
      <c r="O892" s="67"/>
      <c r="P892" s="67"/>
      <c r="Q892" s="67" t="s">
        <v>145</v>
      </c>
      <c r="R892" s="67"/>
      <c r="S892" s="67"/>
      <c r="T892" s="67"/>
      <c r="U892" s="67"/>
      <c r="V892" s="67"/>
      <c r="W892" s="67"/>
      <c r="X892" s="67"/>
      <c r="Y892" s="67"/>
      <c r="Z892" s="67"/>
      <c r="AA892" s="67"/>
      <c r="AB892" s="67"/>
      <c r="AC892" s="67"/>
      <c r="AD892" s="67"/>
      <c r="AE892" s="67"/>
      <c r="AF892" s="67"/>
      <c r="AG892" s="67"/>
      <c r="AH892" s="67"/>
      <c r="AI892" s="67"/>
      <c r="AJ892" s="67"/>
      <c r="AK892" s="67"/>
      <c r="AL892" s="67"/>
      <c r="AM892" s="67"/>
      <c r="AN892" s="67"/>
      <c r="AO892" s="70"/>
      <c r="AP892" s="70"/>
      <c r="AQ892" s="70"/>
      <c r="AR892" s="70"/>
      <c r="AS892" s="70"/>
      <c r="AT892" s="70"/>
      <c r="AU892" s="70"/>
      <c r="AV892" s="70"/>
      <c r="AW892" s="70"/>
      <c r="AX892" s="70"/>
    </row>
    <row r="893" ht="15.75" customHeight="1">
      <c r="A893" s="65" t="s">
        <v>2625</v>
      </c>
      <c r="B893" s="169" t="s">
        <v>6297</v>
      </c>
      <c r="C893" s="28" t="s">
        <v>6301</v>
      </c>
      <c r="D893" s="28" t="s">
        <v>6302</v>
      </c>
      <c r="E893" s="28" t="s">
        <v>6304</v>
      </c>
      <c r="F893" s="28"/>
      <c r="G893" s="28"/>
      <c r="H893" s="28"/>
      <c r="I893" s="28"/>
      <c r="J893" s="28"/>
      <c r="K893" s="28"/>
      <c r="L893" s="28"/>
      <c r="M893" s="28"/>
      <c r="N893" s="28"/>
      <c r="O893" s="67"/>
      <c r="P893" s="67"/>
      <c r="Q893" s="67" t="s">
        <v>145</v>
      </c>
      <c r="R893" s="67"/>
      <c r="S893" s="67"/>
      <c r="T893" s="67"/>
      <c r="U893" s="67"/>
      <c r="V893" s="67"/>
      <c r="W893" s="67"/>
      <c r="X893" s="67"/>
      <c r="Y893" s="67"/>
      <c r="Z893" s="67"/>
      <c r="AA893" s="67"/>
      <c r="AB893" s="67"/>
      <c r="AC893" s="67"/>
      <c r="AD893" s="67"/>
      <c r="AE893" s="67"/>
      <c r="AF893" s="67"/>
      <c r="AG893" s="67"/>
      <c r="AH893" s="67"/>
      <c r="AI893" s="67"/>
      <c r="AJ893" s="67"/>
      <c r="AK893" s="67"/>
      <c r="AL893" s="67"/>
      <c r="AM893" s="67"/>
      <c r="AN893" s="67"/>
      <c r="AO893" s="70"/>
      <c r="AP893" s="70"/>
      <c r="AQ893" s="70"/>
      <c r="AR893" s="70"/>
      <c r="AS893" s="70"/>
      <c r="AT893" s="70"/>
      <c r="AU893" s="70"/>
      <c r="AV893" s="70"/>
      <c r="AW893" s="70"/>
      <c r="AX893" s="70"/>
    </row>
    <row r="894" ht="15.75" customHeight="1">
      <c r="A894" s="65" t="s">
        <v>6305</v>
      </c>
      <c r="B894" s="218" t="s">
        <v>6307</v>
      </c>
      <c r="C894" s="28" t="s">
        <v>6313</v>
      </c>
      <c r="D894" s="28" t="s">
        <v>6314</v>
      </c>
      <c r="E894" s="28" t="s">
        <v>6315</v>
      </c>
      <c r="F894" s="28"/>
      <c r="G894" s="28"/>
      <c r="H894" s="28"/>
      <c r="I894" s="28"/>
      <c r="J894" s="28"/>
      <c r="K894" s="28" t="s">
        <v>10536</v>
      </c>
      <c r="L894" s="28"/>
      <c r="M894" s="28"/>
      <c r="N894" s="28"/>
      <c r="O894" s="67"/>
      <c r="P894" s="65"/>
      <c r="Q894" s="65" t="s">
        <v>145</v>
      </c>
      <c r="R894" s="67"/>
      <c r="S894" s="67"/>
      <c r="T894" s="67"/>
      <c r="U894" s="67"/>
      <c r="V894" s="67"/>
      <c r="W894" s="67"/>
      <c r="X894" s="67"/>
      <c r="Y894" s="67"/>
      <c r="Z894" s="67"/>
      <c r="AA894" s="67"/>
      <c r="AB894" s="67"/>
      <c r="AC894" s="67"/>
      <c r="AD894" s="67"/>
      <c r="AE894" s="67"/>
      <c r="AF894" s="67"/>
      <c r="AG894" s="67"/>
      <c r="AH894" s="67"/>
      <c r="AI894" s="67"/>
      <c r="AJ894" s="67"/>
      <c r="AK894" s="67"/>
      <c r="AL894" s="67"/>
      <c r="AM894" s="67"/>
      <c r="AN894" s="67"/>
      <c r="AO894" s="70"/>
      <c r="AP894" s="70"/>
      <c r="AQ894" s="70"/>
      <c r="AR894" s="70"/>
      <c r="AS894" s="70"/>
      <c r="AT894" s="70"/>
      <c r="AU894" s="70"/>
      <c r="AV894" s="70"/>
      <c r="AW894" s="70"/>
      <c r="AX894" s="70"/>
    </row>
    <row r="895" ht="15.75" customHeight="1">
      <c r="A895" s="65" t="s">
        <v>6316</v>
      </c>
      <c r="B895" s="218" t="s">
        <v>6317</v>
      </c>
      <c r="C895" s="28" t="s">
        <v>6321</v>
      </c>
      <c r="D895" s="28" t="s">
        <v>6322</v>
      </c>
      <c r="E895" s="28" t="s">
        <v>6323</v>
      </c>
      <c r="F895" s="28"/>
      <c r="G895" s="28"/>
      <c r="H895" s="28"/>
      <c r="I895" s="28"/>
      <c r="J895" s="28"/>
      <c r="K895" s="28"/>
      <c r="L895" s="28"/>
      <c r="M895" s="28"/>
      <c r="N895" s="28"/>
      <c r="O895" s="65" t="s">
        <v>10575</v>
      </c>
      <c r="P895" s="65"/>
      <c r="Q895" s="65" t="s">
        <v>145</v>
      </c>
      <c r="R895" s="67"/>
      <c r="S895" s="67"/>
      <c r="T895" s="67"/>
      <c r="U895" s="67"/>
      <c r="V895" s="67"/>
      <c r="W895" s="67"/>
      <c r="X895" s="67"/>
      <c r="Y895" s="67"/>
      <c r="Z895" s="67"/>
      <c r="AA895" s="67"/>
      <c r="AB895" s="67"/>
      <c r="AC895" s="67"/>
      <c r="AD895" s="67"/>
      <c r="AE895" s="67"/>
      <c r="AF895" s="67"/>
      <c r="AG895" s="67"/>
      <c r="AH895" s="67"/>
      <c r="AI895" s="67"/>
      <c r="AJ895" s="67"/>
      <c r="AK895" s="67"/>
      <c r="AL895" s="67"/>
      <c r="AM895" s="67"/>
      <c r="AN895" s="67"/>
      <c r="AO895" s="70"/>
      <c r="AP895" s="70"/>
      <c r="AQ895" s="70"/>
      <c r="AR895" s="70"/>
      <c r="AS895" s="70"/>
      <c r="AT895" s="70"/>
      <c r="AU895" s="70"/>
      <c r="AV895" s="70"/>
      <c r="AW895" s="70"/>
      <c r="AX895" s="70"/>
    </row>
    <row r="896" ht="15.75" customHeight="1">
      <c r="A896" s="65" t="s">
        <v>5262</v>
      </c>
      <c r="B896" s="218" t="s">
        <v>6324</v>
      </c>
      <c r="C896" s="28" t="s">
        <v>6331</v>
      </c>
      <c r="D896" s="28" t="s">
        <v>6332</v>
      </c>
      <c r="E896" s="28" t="s">
        <v>6333</v>
      </c>
      <c r="F896" s="28"/>
      <c r="G896" s="28"/>
      <c r="H896" s="28"/>
      <c r="I896" s="28"/>
      <c r="J896" s="28"/>
      <c r="K896" s="28"/>
      <c r="L896" s="28"/>
      <c r="M896" s="28"/>
      <c r="N896" s="28"/>
      <c r="O896" s="65" t="s">
        <v>10575</v>
      </c>
      <c r="P896" s="65"/>
      <c r="Q896" s="65" t="s">
        <v>145</v>
      </c>
      <c r="R896" s="67"/>
      <c r="S896" s="67"/>
      <c r="T896" s="67"/>
      <c r="U896" s="67"/>
      <c r="V896" s="67"/>
      <c r="W896" s="67"/>
      <c r="X896" s="67"/>
      <c r="Y896" s="67"/>
      <c r="Z896" s="67"/>
      <c r="AA896" s="67"/>
      <c r="AB896" s="67"/>
      <c r="AC896" s="67"/>
      <c r="AD896" s="67"/>
      <c r="AE896" s="67"/>
      <c r="AF896" s="67"/>
      <c r="AG896" s="67"/>
      <c r="AH896" s="67"/>
      <c r="AI896" s="67"/>
      <c r="AJ896" s="67"/>
      <c r="AK896" s="67"/>
      <c r="AL896" s="67"/>
      <c r="AM896" s="67"/>
      <c r="AN896" s="67"/>
      <c r="AO896" s="70"/>
      <c r="AP896" s="70"/>
      <c r="AQ896" s="70"/>
      <c r="AR896" s="70"/>
      <c r="AS896" s="70"/>
      <c r="AT896" s="70"/>
      <c r="AU896" s="70"/>
      <c r="AV896" s="70"/>
      <c r="AW896" s="70"/>
      <c r="AX896" s="70"/>
    </row>
    <row r="897" ht="15.75" customHeight="1">
      <c r="A897" s="69" t="s">
        <v>463</v>
      </c>
      <c r="B897" s="218" t="s">
        <v>6335</v>
      </c>
      <c r="C897" s="28" t="s">
        <v>6339</v>
      </c>
      <c r="D897" s="28" t="s">
        <v>6340</v>
      </c>
      <c r="E897" s="28" t="s">
        <v>6341</v>
      </c>
      <c r="F897" s="28"/>
      <c r="G897" s="28"/>
      <c r="H897" s="28"/>
      <c r="I897" s="28"/>
      <c r="J897" s="28"/>
      <c r="K897" s="28"/>
      <c r="L897" s="28"/>
      <c r="M897" s="28"/>
      <c r="N897" s="28"/>
      <c r="O897" s="67"/>
      <c r="P897" s="65"/>
      <c r="Q897" s="65" t="s">
        <v>145</v>
      </c>
      <c r="R897" s="67"/>
      <c r="S897" s="67"/>
      <c r="T897" s="67"/>
      <c r="U897" s="67"/>
      <c r="V897" s="67"/>
      <c r="W897" s="67"/>
      <c r="X897" s="67"/>
      <c r="Y897" s="67"/>
      <c r="Z897" s="67"/>
      <c r="AA897" s="67"/>
      <c r="AB897" s="67"/>
      <c r="AC897" s="67"/>
      <c r="AD897" s="67"/>
      <c r="AE897" s="67"/>
      <c r="AF897" s="67"/>
      <c r="AG897" s="67"/>
      <c r="AH897" s="67"/>
      <c r="AI897" s="67"/>
      <c r="AJ897" s="67"/>
      <c r="AK897" s="67"/>
      <c r="AL897" s="67"/>
      <c r="AM897" s="67"/>
      <c r="AN897" s="67"/>
      <c r="AO897" s="70"/>
      <c r="AP897" s="70"/>
      <c r="AQ897" s="70"/>
      <c r="AR897" s="70"/>
      <c r="AS897" s="70"/>
      <c r="AT897" s="70"/>
      <c r="AU897" s="70"/>
      <c r="AV897" s="70"/>
      <c r="AW897" s="70"/>
      <c r="AX897" s="70"/>
    </row>
    <row r="898" ht="15.75" customHeight="1">
      <c r="A898" s="65" t="s">
        <v>6342</v>
      </c>
      <c r="B898" s="218" t="s">
        <v>6343</v>
      </c>
      <c r="C898" s="28" t="s">
        <v>6347</v>
      </c>
      <c r="D898" s="28" t="s">
        <v>6348</v>
      </c>
      <c r="E898" s="28" t="s">
        <v>6349</v>
      </c>
      <c r="F898" s="28"/>
      <c r="G898" s="28"/>
      <c r="H898" s="28"/>
      <c r="I898" s="28"/>
      <c r="J898" s="28"/>
      <c r="K898" s="28"/>
      <c r="L898" s="28"/>
      <c r="M898" s="28"/>
      <c r="N898" s="28"/>
      <c r="O898" s="65" t="s">
        <v>10576</v>
      </c>
      <c r="P898" s="65"/>
      <c r="Q898" s="65" t="s">
        <v>145</v>
      </c>
      <c r="R898" s="67"/>
      <c r="S898" s="67"/>
      <c r="T898" s="67"/>
      <c r="U898" s="67"/>
      <c r="V898" s="67"/>
      <c r="W898" s="67"/>
      <c r="X898" s="67"/>
      <c r="Y898" s="67"/>
      <c r="Z898" s="67"/>
      <c r="AA898" s="67"/>
      <c r="AB898" s="67"/>
      <c r="AC898" s="67"/>
      <c r="AD898" s="67"/>
      <c r="AE898" s="67"/>
      <c r="AF898" s="67"/>
      <c r="AG898" s="67"/>
      <c r="AH898" s="67"/>
      <c r="AI898" s="67"/>
      <c r="AJ898" s="67"/>
      <c r="AK898" s="67"/>
      <c r="AL898" s="67"/>
      <c r="AM898" s="67"/>
      <c r="AN898" s="67"/>
      <c r="AO898" s="70"/>
      <c r="AP898" s="70"/>
      <c r="AQ898" s="70"/>
      <c r="AR898" s="70"/>
      <c r="AS898" s="70"/>
      <c r="AT898" s="70"/>
      <c r="AU898" s="70"/>
      <c r="AV898" s="70"/>
      <c r="AW898" s="70"/>
      <c r="AX898" s="70"/>
    </row>
    <row r="899" ht="15.75" customHeight="1">
      <c r="A899" s="69" t="s">
        <v>463</v>
      </c>
      <c r="B899" s="218" t="s">
        <v>6351</v>
      </c>
      <c r="C899" s="28" t="s">
        <v>6358</v>
      </c>
      <c r="D899" s="28" t="s">
        <v>6359</v>
      </c>
      <c r="E899" s="28" t="s">
        <v>6360</v>
      </c>
      <c r="F899" s="28"/>
      <c r="G899" s="28"/>
      <c r="H899" s="28"/>
      <c r="I899" s="28"/>
      <c r="J899" s="28"/>
      <c r="K899" s="28"/>
      <c r="L899" s="28"/>
      <c r="M899" s="28"/>
      <c r="N899" s="28"/>
      <c r="O899" s="65" t="s">
        <v>10576</v>
      </c>
      <c r="P899" s="65"/>
      <c r="Q899" s="65" t="s">
        <v>145</v>
      </c>
      <c r="R899" s="67"/>
      <c r="S899" s="67"/>
      <c r="T899" s="67"/>
      <c r="U899" s="67"/>
      <c r="V899" s="67"/>
      <c r="W899" s="67"/>
      <c r="X899" s="67"/>
      <c r="Y899" s="67"/>
      <c r="Z899" s="67"/>
      <c r="AA899" s="67"/>
      <c r="AB899" s="67"/>
      <c r="AC899" s="67"/>
      <c r="AD899" s="67"/>
      <c r="AE899" s="67"/>
      <c r="AF899" s="67"/>
      <c r="AG899" s="67"/>
      <c r="AH899" s="67"/>
      <c r="AI899" s="67"/>
      <c r="AJ899" s="67"/>
      <c r="AK899" s="67"/>
      <c r="AL899" s="67"/>
      <c r="AM899" s="67"/>
      <c r="AN899" s="67"/>
      <c r="AO899" s="70"/>
      <c r="AP899" s="70"/>
      <c r="AQ899" s="70"/>
      <c r="AR899" s="70"/>
      <c r="AS899" s="70"/>
      <c r="AT899" s="70"/>
      <c r="AU899" s="70"/>
      <c r="AV899" s="70"/>
      <c r="AW899" s="70"/>
      <c r="AX899" s="70"/>
    </row>
    <row r="900" ht="15.75" customHeight="1">
      <c r="A900" s="140" t="s">
        <v>131</v>
      </c>
      <c r="B900" s="164" t="s">
        <v>6361</v>
      </c>
      <c r="C900" s="28"/>
      <c r="D900" s="28"/>
      <c r="E900" s="28"/>
      <c r="F900" s="28"/>
      <c r="G900" s="28"/>
      <c r="H900" s="28"/>
      <c r="I900" s="28"/>
      <c r="J900" s="28"/>
      <c r="K900" s="28"/>
      <c r="L900" s="28"/>
      <c r="M900" s="28"/>
      <c r="N900" s="28"/>
      <c r="O900" s="138"/>
      <c r="P900" s="139"/>
      <c r="Q900" s="139"/>
      <c r="R900" s="139"/>
      <c r="S900" s="139"/>
      <c r="T900" s="139"/>
      <c r="U900" s="139"/>
      <c r="V900" s="139"/>
      <c r="W900" s="139"/>
      <c r="X900" s="139"/>
      <c r="Y900" s="139"/>
      <c r="Z900" s="139"/>
      <c r="AA900" s="139"/>
      <c r="AB900" s="139"/>
      <c r="AC900" s="139"/>
      <c r="AD900" s="139"/>
      <c r="AE900" s="139"/>
      <c r="AF900" s="139"/>
      <c r="AG900" s="139"/>
      <c r="AH900" s="139"/>
      <c r="AI900" s="139"/>
      <c r="AJ900" s="139"/>
      <c r="AK900" s="139"/>
      <c r="AL900" s="139"/>
      <c r="AM900" s="139"/>
      <c r="AN900" s="139"/>
      <c r="AO900" s="70"/>
      <c r="AP900" s="70"/>
      <c r="AQ900" s="70"/>
      <c r="AR900" s="70"/>
      <c r="AS900" s="70"/>
      <c r="AT900" s="70"/>
      <c r="AU900" s="70"/>
      <c r="AV900" s="70"/>
      <c r="AW900" s="70"/>
      <c r="AX900" s="70"/>
    </row>
    <row r="901" ht="15.75" customHeight="1">
      <c r="A901" s="166" t="s">
        <v>41</v>
      </c>
      <c r="B901" s="167" t="s">
        <v>6366</v>
      </c>
      <c r="C901" s="28" t="s">
        <v>6372</v>
      </c>
      <c r="D901" s="28" t="s">
        <v>6373</v>
      </c>
      <c r="E901" s="28" t="s">
        <v>6374</v>
      </c>
      <c r="F901" s="28"/>
      <c r="G901" s="28"/>
      <c r="H901" s="28"/>
      <c r="I901" s="28"/>
      <c r="J901" s="28"/>
      <c r="K901" s="28"/>
      <c r="L901" s="28"/>
      <c r="M901" s="28"/>
      <c r="N901" s="28"/>
      <c r="O901" s="126"/>
      <c r="P901" s="126"/>
      <c r="Q901" s="126"/>
      <c r="R901" s="126"/>
      <c r="S901" s="126"/>
      <c r="T901" s="126"/>
      <c r="U901" s="126"/>
      <c r="V901" s="126"/>
      <c r="W901" s="126"/>
      <c r="X901" s="126"/>
      <c r="Y901" s="126"/>
      <c r="Z901" s="126"/>
      <c r="AA901" s="126"/>
      <c r="AB901" s="126"/>
      <c r="AC901" s="126"/>
      <c r="AD901" s="126"/>
      <c r="AE901" s="126"/>
      <c r="AF901" s="126"/>
      <c r="AG901" s="126"/>
      <c r="AH901" s="126"/>
      <c r="AI901" s="126"/>
      <c r="AJ901" s="126"/>
      <c r="AK901" s="126"/>
      <c r="AL901" s="126"/>
      <c r="AM901" s="126"/>
      <c r="AN901" s="126"/>
      <c r="AO901" s="70"/>
      <c r="AP901" s="70"/>
      <c r="AQ901" s="70"/>
      <c r="AR901" s="70"/>
      <c r="AS901" s="70"/>
      <c r="AT901" s="70"/>
      <c r="AU901" s="70"/>
      <c r="AV901" s="70"/>
      <c r="AW901" s="70"/>
      <c r="AX901" s="70"/>
    </row>
    <row r="902" ht="15.75" customHeight="1">
      <c r="A902" s="65" t="s">
        <v>2625</v>
      </c>
      <c r="B902" s="218" t="s">
        <v>6375</v>
      </c>
      <c r="C902" s="28" t="s">
        <v>6379</v>
      </c>
      <c r="D902" s="28" t="s">
        <v>6380</v>
      </c>
      <c r="E902" s="28" t="s">
        <v>6381</v>
      </c>
      <c r="F902" s="28"/>
      <c r="G902" s="28"/>
      <c r="H902" s="28"/>
      <c r="I902" s="28"/>
      <c r="J902" s="28"/>
      <c r="K902" s="28"/>
      <c r="L902" s="28"/>
      <c r="M902" s="28"/>
      <c r="N902" s="28"/>
      <c r="O902" s="67"/>
      <c r="P902" s="67"/>
      <c r="Q902" s="67" t="s">
        <v>145</v>
      </c>
      <c r="R902" s="67"/>
      <c r="S902" s="67"/>
      <c r="T902" s="67"/>
      <c r="U902" s="67"/>
      <c r="V902" s="67"/>
      <c r="W902" s="67"/>
      <c r="X902" s="67"/>
      <c r="Y902" s="67"/>
      <c r="Z902" s="67"/>
      <c r="AA902" s="67"/>
      <c r="AB902" s="67"/>
      <c r="AC902" s="67"/>
      <c r="AD902" s="67"/>
      <c r="AE902" s="67"/>
      <c r="AF902" s="67"/>
      <c r="AG902" s="67"/>
      <c r="AH902" s="67"/>
      <c r="AI902" s="67"/>
      <c r="AJ902" s="67"/>
      <c r="AK902" s="67"/>
      <c r="AL902" s="67"/>
      <c r="AM902" s="67"/>
      <c r="AN902" s="67"/>
      <c r="AO902" s="70"/>
      <c r="AP902" s="70"/>
      <c r="AQ902" s="70"/>
      <c r="AR902" s="70"/>
      <c r="AS902" s="70"/>
      <c r="AT902" s="70"/>
      <c r="AU902" s="70"/>
      <c r="AV902" s="70"/>
      <c r="AW902" s="70"/>
      <c r="AX902" s="70"/>
    </row>
    <row r="903" ht="15.75" customHeight="1">
      <c r="A903" s="68" t="s">
        <v>3712</v>
      </c>
      <c r="B903" s="169" t="s">
        <v>6382</v>
      </c>
      <c r="C903" s="28" t="s">
        <v>6386</v>
      </c>
      <c r="D903" s="28" t="s">
        <v>6387</v>
      </c>
      <c r="E903" s="28" t="s">
        <v>6388</v>
      </c>
      <c r="F903" s="28" t="s">
        <v>7285</v>
      </c>
      <c r="G903" s="28" t="s">
        <v>7286</v>
      </c>
      <c r="H903" s="28" t="s">
        <v>7288</v>
      </c>
      <c r="I903" s="28"/>
      <c r="J903" s="28"/>
      <c r="K903" s="28" t="s">
        <v>10577</v>
      </c>
      <c r="L903" s="28"/>
      <c r="M903" s="28"/>
      <c r="N903" s="28"/>
      <c r="O903" s="67"/>
      <c r="P903" s="67"/>
      <c r="Q903" s="67" t="s">
        <v>145</v>
      </c>
      <c r="R903" s="67"/>
      <c r="S903" s="67"/>
      <c r="T903" s="67"/>
      <c r="U903" s="67"/>
      <c r="V903" s="67"/>
      <c r="W903" s="67"/>
      <c r="X903" s="67"/>
      <c r="Y903" s="67"/>
      <c r="Z903" s="67"/>
      <c r="AA903" s="67"/>
      <c r="AB903" s="67"/>
      <c r="AC903" s="67"/>
      <c r="AD903" s="67"/>
      <c r="AE903" s="67"/>
      <c r="AF903" s="67"/>
      <c r="AG903" s="67"/>
      <c r="AH903" s="67"/>
      <c r="AI903" s="67"/>
      <c r="AJ903" s="67"/>
      <c r="AK903" s="67"/>
      <c r="AL903" s="67"/>
      <c r="AM903" s="67"/>
      <c r="AN903" s="67"/>
      <c r="AO903" s="70"/>
      <c r="AP903" s="70"/>
      <c r="AQ903" s="70"/>
      <c r="AR903" s="70"/>
      <c r="AS903" s="70"/>
      <c r="AT903" s="70"/>
      <c r="AU903" s="70"/>
      <c r="AV903" s="70"/>
      <c r="AW903" s="70"/>
      <c r="AX903" s="70"/>
    </row>
    <row r="904" ht="15.75" customHeight="1">
      <c r="A904" s="68" t="s">
        <v>3712</v>
      </c>
      <c r="B904" s="169" t="s">
        <v>6389</v>
      </c>
      <c r="C904" s="28" t="s">
        <v>6395</v>
      </c>
      <c r="D904" s="28" t="s">
        <v>6396</v>
      </c>
      <c r="E904" s="28" t="s">
        <v>6397</v>
      </c>
      <c r="F904" s="28" t="s">
        <v>7285</v>
      </c>
      <c r="G904" s="28" t="s">
        <v>7286</v>
      </c>
      <c r="H904" s="28" t="s">
        <v>7288</v>
      </c>
      <c r="I904" s="28"/>
      <c r="J904" s="28"/>
      <c r="K904" s="28" t="s">
        <v>10577</v>
      </c>
      <c r="L904" s="28"/>
      <c r="M904" s="28"/>
      <c r="N904" s="28"/>
      <c r="O904" s="67"/>
      <c r="P904" s="67"/>
      <c r="Q904" s="67" t="s">
        <v>145</v>
      </c>
      <c r="R904" s="67"/>
      <c r="S904" s="67"/>
      <c r="T904" s="67"/>
      <c r="U904" s="67"/>
      <c r="V904" s="67"/>
      <c r="W904" s="67"/>
      <c r="X904" s="67"/>
      <c r="Y904" s="67"/>
      <c r="Z904" s="67"/>
      <c r="AA904" s="67"/>
      <c r="AB904" s="67"/>
      <c r="AC904" s="67"/>
      <c r="AD904" s="67"/>
      <c r="AE904" s="67"/>
      <c r="AF904" s="67"/>
      <c r="AG904" s="67"/>
      <c r="AH904" s="67"/>
      <c r="AI904" s="67"/>
      <c r="AJ904" s="67"/>
      <c r="AK904" s="67"/>
      <c r="AL904" s="67"/>
      <c r="AM904" s="67"/>
      <c r="AN904" s="67"/>
      <c r="AO904" s="70"/>
      <c r="AP904" s="70"/>
      <c r="AQ904" s="70"/>
      <c r="AR904" s="70"/>
      <c r="AS904" s="70"/>
      <c r="AT904" s="70"/>
      <c r="AU904" s="70"/>
      <c r="AV904" s="70"/>
      <c r="AW904" s="70"/>
      <c r="AX904" s="70"/>
    </row>
    <row r="905" ht="15.75" customHeight="1">
      <c r="A905" s="170" t="s">
        <v>263</v>
      </c>
      <c r="B905" s="171" t="s">
        <v>6398</v>
      </c>
      <c r="C905" s="28" t="s">
        <v>6402</v>
      </c>
      <c r="D905" s="28" t="s">
        <v>6403</v>
      </c>
      <c r="E905" s="28" t="s">
        <v>6404</v>
      </c>
      <c r="F905" s="28" t="s">
        <v>10578</v>
      </c>
      <c r="G905" s="28" t="s">
        <v>10579</v>
      </c>
      <c r="H905" s="28"/>
      <c r="I905" s="28"/>
      <c r="J905" s="28"/>
      <c r="K905" s="183" t="s">
        <v>10580</v>
      </c>
      <c r="L905" s="28"/>
      <c r="M905" s="28"/>
      <c r="N905" s="28"/>
      <c r="O905" s="173"/>
      <c r="P905" s="173"/>
      <c r="Q905" s="173" t="s">
        <v>145</v>
      </c>
      <c r="R905" s="173"/>
      <c r="S905" s="173"/>
      <c r="T905" s="173"/>
      <c r="U905" s="173"/>
      <c r="V905" s="173"/>
      <c r="W905" s="173"/>
      <c r="X905" s="173"/>
      <c r="Y905" s="173"/>
      <c r="Z905" s="173"/>
      <c r="AA905" s="173"/>
      <c r="AB905" s="173"/>
      <c r="AC905" s="173"/>
      <c r="AD905" s="173"/>
      <c r="AE905" s="173"/>
      <c r="AF905" s="173"/>
      <c r="AG905" s="173"/>
      <c r="AH905" s="173"/>
      <c r="AI905" s="173"/>
      <c r="AJ905" s="173"/>
      <c r="AK905" s="173"/>
      <c r="AL905" s="173"/>
      <c r="AM905" s="173"/>
      <c r="AN905" s="173"/>
      <c r="AO905" s="70"/>
      <c r="AP905" s="70"/>
      <c r="AQ905" s="70"/>
      <c r="AR905" s="70"/>
      <c r="AS905" s="70"/>
      <c r="AT905" s="70"/>
      <c r="AU905" s="70"/>
      <c r="AV905" s="70"/>
      <c r="AW905" s="70"/>
      <c r="AX905" s="70"/>
    </row>
    <row r="906" ht="15.75" customHeight="1">
      <c r="A906" s="68" t="s">
        <v>6405</v>
      </c>
      <c r="B906" s="169" t="s">
        <v>6406</v>
      </c>
      <c r="C906" s="28" t="s">
        <v>6414</v>
      </c>
      <c r="D906" s="28" t="s">
        <v>6415</v>
      </c>
      <c r="E906" s="28" t="s">
        <v>6416</v>
      </c>
      <c r="F906" s="28" t="s">
        <v>7285</v>
      </c>
      <c r="G906" s="28" t="s">
        <v>7286</v>
      </c>
      <c r="H906" s="28" t="s">
        <v>7288</v>
      </c>
      <c r="I906" s="28"/>
      <c r="J906" s="28"/>
      <c r="K906" s="28" t="s">
        <v>10577</v>
      </c>
      <c r="L906" s="28"/>
      <c r="M906" s="28"/>
      <c r="N906" s="28"/>
      <c r="O906" s="67"/>
      <c r="P906" s="67"/>
      <c r="Q906" s="67" t="s">
        <v>145</v>
      </c>
      <c r="R906" s="67"/>
      <c r="S906" s="67"/>
      <c r="T906" s="67"/>
      <c r="U906" s="67"/>
      <c r="V906" s="67"/>
      <c r="W906" s="67"/>
      <c r="X906" s="67"/>
      <c r="Y906" s="67"/>
      <c r="Z906" s="67"/>
      <c r="AA906" s="67"/>
      <c r="AB906" s="67"/>
      <c r="AC906" s="67"/>
      <c r="AD906" s="67"/>
      <c r="AE906" s="67"/>
      <c r="AF906" s="67"/>
      <c r="AG906" s="67"/>
      <c r="AH906" s="67"/>
      <c r="AI906" s="67"/>
      <c r="AJ906" s="67"/>
      <c r="AK906" s="67"/>
      <c r="AL906" s="67"/>
      <c r="AM906" s="67"/>
      <c r="AN906" s="67"/>
      <c r="AO906" s="70"/>
      <c r="AP906" s="70"/>
      <c r="AQ906" s="70"/>
      <c r="AR906" s="70"/>
      <c r="AS906" s="70"/>
      <c r="AT906" s="70"/>
      <c r="AU906" s="70"/>
      <c r="AV906" s="70"/>
      <c r="AW906" s="70"/>
      <c r="AX906" s="70"/>
    </row>
    <row r="907" ht="15.75" customHeight="1">
      <c r="A907" s="140" t="s">
        <v>237</v>
      </c>
      <c r="B907" s="191" t="s">
        <v>6361</v>
      </c>
      <c r="C907" s="28"/>
      <c r="D907" s="28"/>
      <c r="E907" s="28"/>
      <c r="F907" s="28"/>
      <c r="G907" s="28"/>
      <c r="H907" s="28"/>
      <c r="I907" s="28"/>
      <c r="J907" s="28"/>
      <c r="K907" s="28"/>
      <c r="L907" s="28"/>
      <c r="M907" s="28"/>
      <c r="N907" s="28"/>
      <c r="O907" s="139"/>
      <c r="P907" s="139"/>
      <c r="Q907" s="139"/>
      <c r="R907" s="139"/>
      <c r="S907" s="139"/>
      <c r="T907" s="139"/>
      <c r="U907" s="139"/>
      <c r="V907" s="139"/>
      <c r="W907" s="139"/>
      <c r="X907" s="139"/>
      <c r="Y907" s="139"/>
      <c r="Z907" s="139"/>
      <c r="AA907" s="139"/>
      <c r="AB907" s="139"/>
      <c r="AC907" s="139"/>
      <c r="AD907" s="139"/>
      <c r="AE907" s="139"/>
      <c r="AF907" s="139"/>
      <c r="AG907" s="139"/>
      <c r="AH907" s="139"/>
      <c r="AI907" s="139"/>
      <c r="AJ907" s="139"/>
      <c r="AK907" s="139"/>
      <c r="AL907" s="139"/>
      <c r="AM907" s="139"/>
      <c r="AN907" s="139"/>
      <c r="AO907" s="70"/>
      <c r="AP907" s="70"/>
      <c r="AQ907" s="70"/>
      <c r="AR907" s="70"/>
      <c r="AS907" s="70"/>
      <c r="AT907" s="70"/>
      <c r="AU907" s="70"/>
      <c r="AV907" s="70"/>
      <c r="AW907" s="70"/>
      <c r="AX907" s="70"/>
    </row>
    <row r="908" ht="16.5" customHeight="1">
      <c r="A908" s="65" t="s">
        <v>134</v>
      </c>
      <c r="B908" s="66" t="s">
        <v>6420</v>
      </c>
      <c r="C908" s="28"/>
      <c r="D908" s="28"/>
      <c r="E908" s="28"/>
      <c r="F908" s="28"/>
      <c r="G908" s="28"/>
      <c r="H908" s="28"/>
      <c r="I908" s="28"/>
      <c r="J908" s="28"/>
      <c r="K908" s="28"/>
      <c r="L908" s="28"/>
      <c r="M908" s="28"/>
      <c r="N908" s="28"/>
      <c r="O908" s="67"/>
      <c r="P908" s="68"/>
      <c r="Q908" s="68"/>
      <c r="R908" s="67"/>
      <c r="S908" s="67"/>
      <c r="T908" s="65" t="s">
        <v>139</v>
      </c>
      <c r="U908" s="67"/>
      <c r="V908" s="67"/>
      <c r="W908" s="67"/>
      <c r="X908" s="67"/>
      <c r="Y908" s="67"/>
      <c r="Z908" s="67"/>
      <c r="AA908" s="67"/>
      <c r="AB908" s="67"/>
      <c r="AC908" s="67"/>
      <c r="AD908" s="67"/>
      <c r="AE908" s="67"/>
      <c r="AF908" s="67"/>
      <c r="AG908" s="67"/>
      <c r="AH908" s="67"/>
      <c r="AI908" s="67"/>
      <c r="AJ908" s="67"/>
      <c r="AK908" s="67"/>
      <c r="AL908" s="67"/>
      <c r="AM908" s="67"/>
      <c r="AN908" s="67"/>
      <c r="AO908" s="67"/>
      <c r="AP908" s="67"/>
      <c r="AQ908" s="67"/>
      <c r="AR908" s="67"/>
      <c r="AS908" s="67"/>
      <c r="AT908" s="67"/>
      <c r="AU908" s="67"/>
      <c r="AV908" s="67"/>
      <c r="AW908" s="67"/>
      <c r="AX908" s="67"/>
    </row>
    <row r="909" ht="15.0" customHeight="1">
      <c r="A909" s="58" t="s">
        <v>78</v>
      </c>
      <c r="B909" s="58" t="s">
        <v>6428</v>
      </c>
      <c r="C909" s="28"/>
      <c r="D909" s="28"/>
      <c r="E909" s="28"/>
      <c r="F909" s="28"/>
      <c r="G909" s="28"/>
      <c r="H909" s="28"/>
      <c r="I909" s="28"/>
      <c r="J909" s="28"/>
      <c r="K909" s="28"/>
      <c r="L909" s="28"/>
      <c r="M909" s="28"/>
      <c r="N909" s="28"/>
      <c r="O909" s="58"/>
      <c r="P909" s="24"/>
      <c r="Q909" s="24"/>
      <c r="R909" s="24"/>
      <c r="S909" s="24"/>
      <c r="T909" s="58" t="s">
        <v>10581</v>
      </c>
      <c r="U909" s="24"/>
      <c r="V909" s="24"/>
      <c r="W909" s="24"/>
      <c r="X909" s="24"/>
      <c r="Y909" s="24"/>
      <c r="Z909" s="24"/>
      <c r="AA909" s="24"/>
      <c r="AB909" s="24"/>
      <c r="AC909" s="24"/>
      <c r="AD909" s="24"/>
      <c r="AE909" s="24"/>
      <c r="AF909" s="24"/>
      <c r="AG909" s="24"/>
      <c r="AH909" s="24"/>
      <c r="AI909" s="24"/>
      <c r="AJ909" s="24"/>
      <c r="AK909" s="24"/>
      <c r="AL909" s="24"/>
      <c r="AM909" s="24"/>
      <c r="AN909" s="24"/>
      <c r="AO909" s="24"/>
      <c r="AP909" s="24"/>
      <c r="AQ909" s="24"/>
      <c r="AR909" s="24"/>
      <c r="AS909" s="24"/>
      <c r="AT909" s="24"/>
      <c r="AU909" s="24"/>
      <c r="AV909" s="24"/>
      <c r="AW909" s="24"/>
      <c r="AX909" s="24"/>
    </row>
    <row r="910" ht="15.75" customHeight="1">
      <c r="A910" s="140"/>
      <c r="B910" s="191"/>
      <c r="C910" s="28"/>
      <c r="D910" s="28"/>
      <c r="E910" s="28"/>
      <c r="F910" s="28"/>
      <c r="G910" s="28"/>
      <c r="H910" s="28"/>
      <c r="I910" s="28"/>
      <c r="J910" s="28"/>
      <c r="K910" s="28"/>
      <c r="L910" s="28"/>
      <c r="M910" s="28"/>
      <c r="N910" s="28"/>
      <c r="O910" s="139"/>
      <c r="P910" s="139"/>
      <c r="Q910" s="139"/>
      <c r="R910" s="139"/>
      <c r="S910" s="139"/>
      <c r="T910" s="139"/>
      <c r="U910" s="139"/>
      <c r="V910" s="139"/>
      <c r="W910" s="139"/>
      <c r="X910" s="139"/>
      <c r="Y910" s="139"/>
      <c r="Z910" s="139"/>
      <c r="AA910" s="139"/>
      <c r="AB910" s="139"/>
      <c r="AC910" s="139"/>
      <c r="AD910" s="139"/>
      <c r="AE910" s="139"/>
      <c r="AF910" s="139"/>
      <c r="AG910" s="139"/>
      <c r="AH910" s="139"/>
      <c r="AI910" s="139"/>
      <c r="AJ910" s="139"/>
      <c r="AK910" s="139"/>
      <c r="AL910" s="139"/>
      <c r="AM910" s="139"/>
      <c r="AN910" s="139"/>
      <c r="AO910" s="70"/>
      <c r="AP910" s="70"/>
      <c r="AQ910" s="70"/>
      <c r="AR910" s="70"/>
      <c r="AS910" s="70"/>
      <c r="AT910" s="70"/>
      <c r="AU910" s="70"/>
      <c r="AV910" s="70"/>
      <c r="AW910" s="70"/>
      <c r="AX910" s="70"/>
    </row>
    <row r="911" ht="15.75" customHeight="1">
      <c r="A911" s="140" t="s">
        <v>237</v>
      </c>
      <c r="B911" s="191" t="s">
        <v>6257</v>
      </c>
      <c r="C911" s="28"/>
      <c r="D911" s="28"/>
      <c r="E911" s="28"/>
      <c r="F911" s="28"/>
      <c r="G911" s="28"/>
      <c r="H911" s="28"/>
      <c r="I911" s="28"/>
      <c r="J911" s="28"/>
      <c r="K911" s="28"/>
      <c r="L911" s="28"/>
      <c r="M911" s="28"/>
      <c r="N911" s="28"/>
      <c r="O911" s="139"/>
      <c r="P911" s="139"/>
      <c r="Q911" s="139"/>
      <c r="R911" s="139"/>
      <c r="S911" s="139"/>
      <c r="T911" s="139"/>
      <c r="U911" s="139"/>
      <c r="V911" s="139"/>
      <c r="W911" s="139"/>
      <c r="X911" s="139"/>
      <c r="Y911" s="139"/>
      <c r="Z911" s="139"/>
      <c r="AA911" s="139"/>
      <c r="AB911" s="139"/>
      <c r="AC911" s="139"/>
      <c r="AD911" s="139"/>
      <c r="AE911" s="139"/>
      <c r="AF911" s="139"/>
      <c r="AG911" s="139"/>
      <c r="AH911" s="139"/>
      <c r="AI911" s="139"/>
      <c r="AJ911" s="139"/>
      <c r="AK911" s="139"/>
      <c r="AL911" s="139"/>
      <c r="AM911" s="139"/>
      <c r="AN911" s="139"/>
      <c r="AO911" s="70"/>
      <c r="AP911" s="70"/>
      <c r="AQ911" s="70"/>
      <c r="AR911" s="70"/>
      <c r="AS911" s="70"/>
      <c r="AT911" s="70"/>
      <c r="AU911" s="70"/>
      <c r="AV911" s="70"/>
      <c r="AW911" s="70"/>
      <c r="AX911" s="70"/>
    </row>
    <row r="912" ht="15.75" customHeight="1">
      <c r="A912" s="65" t="s">
        <v>134</v>
      </c>
      <c r="B912" s="66" t="s">
        <v>6442</v>
      </c>
      <c r="C912" s="28"/>
      <c r="D912" s="28"/>
      <c r="E912" s="28"/>
      <c r="F912" s="28"/>
      <c r="G912" s="28"/>
      <c r="H912" s="28"/>
      <c r="I912" s="28"/>
      <c r="J912" s="28"/>
      <c r="K912" s="28"/>
      <c r="L912" s="28"/>
      <c r="M912" s="28"/>
      <c r="N912" s="28"/>
      <c r="O912" s="190"/>
      <c r="P912" s="139"/>
      <c r="Q912" s="139"/>
      <c r="R912" s="139"/>
      <c r="S912" s="139"/>
      <c r="T912" s="65" t="s">
        <v>139</v>
      </c>
      <c r="U912" s="139"/>
      <c r="V912" s="139"/>
      <c r="W912" s="139"/>
      <c r="X912" s="139"/>
      <c r="Y912" s="139"/>
      <c r="Z912" s="139"/>
      <c r="AA912" s="139"/>
      <c r="AB912" s="139"/>
      <c r="AC912" s="139"/>
      <c r="AD912" s="139"/>
      <c r="AE912" s="139"/>
      <c r="AF912" s="139"/>
      <c r="AG912" s="139"/>
      <c r="AH912" s="139"/>
      <c r="AI912" s="139"/>
      <c r="AJ912" s="139"/>
      <c r="AK912" s="139"/>
      <c r="AL912" s="139"/>
      <c r="AM912" s="139"/>
      <c r="AN912" s="139"/>
      <c r="AO912" s="70"/>
      <c r="AP912" s="70"/>
      <c r="AQ912" s="70"/>
      <c r="AR912" s="70"/>
      <c r="AS912" s="70"/>
      <c r="AT912" s="70"/>
      <c r="AU912" s="70"/>
      <c r="AV912" s="70"/>
      <c r="AW912" s="70"/>
      <c r="AX912" s="70"/>
    </row>
    <row r="913" ht="15.75" customHeight="1">
      <c r="A913" s="65" t="s">
        <v>78</v>
      </c>
      <c r="B913" s="272" t="s">
        <v>6449</v>
      </c>
      <c r="C913" s="28"/>
      <c r="D913" s="28"/>
      <c r="E913" s="28"/>
      <c r="F913" s="28"/>
      <c r="G913" s="28"/>
      <c r="H913" s="28"/>
      <c r="I913" s="28"/>
      <c r="J913" s="28"/>
      <c r="K913" s="28"/>
      <c r="L913" s="28"/>
      <c r="M913" s="28"/>
      <c r="N913" s="28"/>
      <c r="O913" s="370"/>
      <c r="P913" s="370"/>
      <c r="Q913" s="370"/>
      <c r="R913" s="370"/>
      <c r="S913" s="370"/>
      <c r="T913" s="371" t="s">
        <v>10582</v>
      </c>
      <c r="U913" s="370"/>
      <c r="V913" s="370"/>
      <c r="W913" s="370"/>
      <c r="X913" s="370"/>
      <c r="Y913" s="370"/>
      <c r="Z913" s="370"/>
      <c r="AA913" s="370"/>
      <c r="AB913" s="370"/>
      <c r="AC913" s="370"/>
      <c r="AD913" s="370"/>
      <c r="AE913" s="370"/>
      <c r="AF913" s="370"/>
      <c r="AG913" s="370"/>
      <c r="AH913" s="370"/>
      <c r="AI913" s="370"/>
      <c r="AJ913" s="370"/>
      <c r="AK913" s="370"/>
      <c r="AL913" s="370"/>
      <c r="AM913" s="370"/>
      <c r="AN913" s="370"/>
      <c r="AO913" s="370"/>
      <c r="AP913" s="370"/>
      <c r="AQ913" s="370"/>
      <c r="AR913" s="370"/>
      <c r="AS913" s="370"/>
      <c r="AT913" s="370"/>
      <c r="AU913" s="370"/>
      <c r="AV913" s="370"/>
      <c r="AW913" s="370"/>
      <c r="AX913" s="370"/>
    </row>
    <row r="914" ht="15.75" customHeight="1">
      <c r="A914" s="140" t="s">
        <v>237</v>
      </c>
      <c r="B914" s="272" t="s">
        <v>1362</v>
      </c>
      <c r="C914" s="28" t="s">
        <v>50</v>
      </c>
      <c r="D914" s="28" t="s">
        <v>50</v>
      </c>
      <c r="E914" s="28" t="s">
        <v>50</v>
      </c>
      <c r="F914" s="28"/>
      <c r="G914" s="28"/>
      <c r="H914" s="28"/>
      <c r="I914" s="28"/>
      <c r="J914" s="28"/>
      <c r="K914" s="28"/>
      <c r="L914" s="28"/>
      <c r="M914" s="28"/>
      <c r="N914" s="28"/>
      <c r="O914" s="370"/>
      <c r="P914" s="370"/>
      <c r="Q914" s="370"/>
      <c r="R914" s="370"/>
      <c r="S914" s="370"/>
      <c r="T914" s="370"/>
      <c r="U914" s="370"/>
      <c r="V914" s="370"/>
      <c r="W914" s="370"/>
      <c r="X914" s="370"/>
      <c r="Y914" s="370"/>
      <c r="Z914" s="370"/>
      <c r="AA914" s="370"/>
      <c r="AB914" s="370"/>
      <c r="AC914" s="370"/>
      <c r="AD914" s="370"/>
      <c r="AE914" s="370"/>
      <c r="AF914" s="370"/>
      <c r="AG914" s="370"/>
      <c r="AH914" s="370"/>
      <c r="AI914" s="370"/>
      <c r="AJ914" s="370"/>
      <c r="AK914" s="370"/>
      <c r="AL914" s="370"/>
      <c r="AM914" s="370"/>
      <c r="AN914" s="370"/>
      <c r="AO914" s="370"/>
      <c r="AP914" s="370"/>
      <c r="AQ914" s="370"/>
      <c r="AR914" s="370"/>
      <c r="AS914" s="370"/>
      <c r="AT914" s="370"/>
      <c r="AU914" s="370"/>
      <c r="AV914" s="370"/>
      <c r="AW914" s="370"/>
      <c r="AX914" s="370"/>
    </row>
    <row r="915">
      <c r="A915" s="136"/>
      <c r="B915" s="136"/>
      <c r="C915" s="28"/>
      <c r="D915" s="28"/>
      <c r="E915" s="28"/>
      <c r="F915" s="28"/>
      <c r="G915" s="28"/>
      <c r="H915" s="28"/>
      <c r="I915" s="28"/>
      <c r="J915" s="28"/>
      <c r="K915" s="28"/>
      <c r="L915" s="28"/>
      <c r="M915" s="28"/>
      <c r="N915" s="28"/>
      <c r="O915" s="136"/>
      <c r="P915" s="136"/>
      <c r="Q915" s="136"/>
      <c r="R915" s="136"/>
      <c r="S915" s="136"/>
      <c r="T915" s="136"/>
      <c r="U915" s="136"/>
      <c r="V915" s="136"/>
      <c r="W915" s="136"/>
      <c r="X915" s="136"/>
      <c r="Y915" s="136"/>
      <c r="Z915" s="136"/>
      <c r="AA915" s="136"/>
      <c r="AB915" s="136"/>
      <c r="AC915" s="136"/>
      <c r="AD915" s="136"/>
      <c r="AE915" s="136"/>
      <c r="AF915" s="136"/>
      <c r="AG915" s="136"/>
      <c r="AH915" s="136"/>
      <c r="AI915" s="136"/>
      <c r="AJ915" s="136"/>
      <c r="AK915" s="136"/>
      <c r="AL915" s="136"/>
      <c r="AM915" s="136"/>
      <c r="AN915" s="136"/>
      <c r="AO915" s="136"/>
      <c r="AP915" s="136"/>
      <c r="AQ915" s="136"/>
      <c r="AR915" s="136"/>
      <c r="AS915" s="136"/>
      <c r="AT915" s="136"/>
      <c r="AU915" s="136"/>
      <c r="AV915" s="136"/>
      <c r="AW915" s="136"/>
      <c r="AX915" s="136"/>
    </row>
    <row r="916" ht="15.75" customHeight="1">
      <c r="A916" s="140" t="s">
        <v>131</v>
      </c>
      <c r="B916" s="164" t="s">
        <v>6470</v>
      </c>
      <c r="C916" s="28" t="s">
        <v>6471</v>
      </c>
      <c r="D916" s="28"/>
      <c r="E916" s="28"/>
      <c r="F916" s="28"/>
      <c r="G916" s="28"/>
      <c r="H916" s="28"/>
      <c r="I916" s="28"/>
      <c r="J916" s="28" t="s">
        <v>931</v>
      </c>
      <c r="K916" s="28"/>
      <c r="L916" s="28"/>
      <c r="M916" s="28"/>
      <c r="N916" s="28"/>
      <c r="O916" s="190"/>
      <c r="P916" s="139"/>
      <c r="Q916" s="139"/>
      <c r="R916" s="139"/>
      <c r="S916" s="139"/>
      <c r="T916" s="139"/>
      <c r="U916" s="139"/>
      <c r="V916" s="139"/>
      <c r="W916" s="139"/>
      <c r="X916" s="139"/>
      <c r="Y916" s="139"/>
      <c r="Z916" s="139"/>
      <c r="AA916" s="139"/>
      <c r="AB916" s="139"/>
      <c r="AC916" s="139"/>
      <c r="AD916" s="139"/>
      <c r="AE916" s="139"/>
      <c r="AF916" s="139"/>
      <c r="AG916" s="139"/>
      <c r="AH916" s="139"/>
      <c r="AI916" s="139"/>
      <c r="AJ916" s="139"/>
      <c r="AK916" s="139"/>
      <c r="AL916" s="139"/>
      <c r="AM916" s="139"/>
      <c r="AN916" s="139"/>
      <c r="AO916" s="70"/>
      <c r="AP916" s="70"/>
      <c r="AQ916" s="70"/>
      <c r="AR916" s="70"/>
      <c r="AS916" s="70"/>
      <c r="AT916" s="70"/>
      <c r="AU916" s="70"/>
      <c r="AV916" s="70"/>
      <c r="AW916" s="70"/>
      <c r="AX916" s="70"/>
    </row>
    <row r="917" ht="15.75" customHeight="1">
      <c r="A917" s="166" t="s">
        <v>41</v>
      </c>
      <c r="B917" s="167" t="s">
        <v>6476</v>
      </c>
      <c r="C917" s="28" t="s">
        <v>6480</v>
      </c>
      <c r="D917" s="28" t="s">
        <v>6481</v>
      </c>
      <c r="E917" s="28" t="s">
        <v>6482</v>
      </c>
      <c r="F917" s="28"/>
      <c r="G917" s="28"/>
      <c r="H917" s="28"/>
      <c r="I917" s="28"/>
      <c r="J917" s="28"/>
      <c r="K917" s="28"/>
      <c r="L917" s="28"/>
      <c r="M917" s="28"/>
      <c r="N917" s="28"/>
      <c r="O917" s="126"/>
      <c r="P917" s="126"/>
      <c r="Q917" s="126"/>
      <c r="R917" s="126"/>
      <c r="S917" s="126"/>
      <c r="T917" s="126"/>
      <c r="U917" s="126"/>
      <c r="V917" s="126"/>
      <c r="W917" s="126"/>
      <c r="X917" s="126"/>
      <c r="Y917" s="126"/>
      <c r="Z917" s="126"/>
      <c r="AA917" s="126"/>
      <c r="AB917" s="126"/>
      <c r="AC917" s="126"/>
      <c r="AD917" s="67"/>
      <c r="AE917" s="67"/>
      <c r="AF917" s="67"/>
      <c r="AG917" s="67"/>
      <c r="AH917" s="67"/>
      <c r="AI917" s="67"/>
      <c r="AJ917" s="67"/>
      <c r="AK917" s="67"/>
      <c r="AL917" s="67"/>
      <c r="AM917" s="67"/>
      <c r="AN917" s="67"/>
      <c r="AO917" s="70"/>
      <c r="AP917" s="70"/>
      <c r="AQ917" s="70"/>
      <c r="AR917" s="70"/>
      <c r="AS917" s="70"/>
      <c r="AT917" s="70"/>
      <c r="AU917" s="70"/>
      <c r="AV917" s="70"/>
      <c r="AW917" s="70"/>
      <c r="AX917" s="70"/>
    </row>
    <row r="918" ht="15.75" customHeight="1">
      <c r="A918" s="68" t="s">
        <v>6483</v>
      </c>
      <c r="B918" s="169" t="s">
        <v>6484</v>
      </c>
      <c r="C918" s="28" t="s">
        <v>6493</v>
      </c>
      <c r="D918" s="28" t="s">
        <v>6494</v>
      </c>
      <c r="E918" s="28" t="s">
        <v>6495</v>
      </c>
      <c r="F918" s="28"/>
      <c r="G918" s="28"/>
      <c r="H918" s="28"/>
      <c r="I918" s="28"/>
      <c r="J918" s="28" t="s">
        <v>8</v>
      </c>
      <c r="K918" s="28"/>
      <c r="L918" s="28"/>
      <c r="M918" s="28"/>
      <c r="N918" s="28"/>
      <c r="O918" s="67"/>
      <c r="P918" s="67"/>
      <c r="Q918" s="67"/>
      <c r="R918" s="67"/>
      <c r="S918" s="67"/>
      <c r="T918" s="67"/>
      <c r="U918" s="67"/>
      <c r="V918" s="67"/>
      <c r="W918" s="67"/>
      <c r="X918" s="67"/>
      <c r="Y918" s="67"/>
      <c r="Z918" s="67"/>
      <c r="AA918" s="67"/>
      <c r="AB918" s="67"/>
      <c r="AC918" s="67"/>
      <c r="AD918" s="67"/>
      <c r="AE918" s="67"/>
      <c r="AF918" s="67"/>
      <c r="AG918" s="67"/>
      <c r="AH918" s="67"/>
      <c r="AI918" s="67"/>
      <c r="AJ918" s="67"/>
      <c r="AK918" s="67"/>
      <c r="AL918" s="67"/>
      <c r="AM918" s="67"/>
      <c r="AN918" s="67"/>
      <c r="AO918" s="70"/>
      <c r="AP918" s="70"/>
      <c r="AQ918" s="70"/>
      <c r="AR918" s="70"/>
      <c r="AS918" s="70"/>
      <c r="AT918" s="70"/>
      <c r="AU918" s="70"/>
      <c r="AV918" s="70"/>
      <c r="AW918" s="70"/>
      <c r="AX918" s="70"/>
    </row>
    <row r="919" ht="15.75" customHeight="1">
      <c r="A919" s="68" t="s">
        <v>6483</v>
      </c>
      <c r="B919" s="169" t="s">
        <v>6496</v>
      </c>
      <c r="C919" s="28" t="s">
        <v>6503</v>
      </c>
      <c r="D919" s="28" t="s">
        <v>6504</v>
      </c>
      <c r="E919" s="28" t="s">
        <v>6505</v>
      </c>
      <c r="F919" s="28"/>
      <c r="G919" s="28"/>
      <c r="H919" s="28"/>
      <c r="I919" s="28"/>
      <c r="J919" s="28" t="s">
        <v>958</v>
      </c>
      <c r="K919" s="28"/>
      <c r="L919" s="28"/>
      <c r="M919" s="28"/>
      <c r="N919" s="28"/>
      <c r="O919" s="67"/>
      <c r="P919" s="67"/>
      <c r="Q919" s="67" t="s">
        <v>145</v>
      </c>
      <c r="R919" s="67"/>
      <c r="S919" s="67"/>
      <c r="T919" s="67"/>
      <c r="U919" s="67"/>
      <c r="V919" s="67"/>
      <c r="W919" s="67"/>
      <c r="X919" s="67"/>
      <c r="Y919" s="67"/>
      <c r="Z919" s="67"/>
      <c r="AA919" s="67"/>
      <c r="AB919" s="67"/>
      <c r="AC919" s="67"/>
      <c r="AD919" s="67"/>
      <c r="AE919" s="67"/>
      <c r="AF919" s="67"/>
      <c r="AG919" s="67"/>
      <c r="AH919" s="67"/>
      <c r="AI919" s="67"/>
      <c r="AJ919" s="67"/>
      <c r="AK919" s="67"/>
      <c r="AL919" s="67"/>
      <c r="AM919" s="67"/>
      <c r="AN919" s="67"/>
      <c r="AO919" s="70"/>
      <c r="AP919" s="70"/>
      <c r="AQ919" s="70"/>
      <c r="AR919" s="70"/>
      <c r="AS919" s="70"/>
      <c r="AT919" s="70"/>
      <c r="AU919" s="70"/>
      <c r="AV919" s="70"/>
      <c r="AW919" s="70"/>
      <c r="AX919" s="70"/>
    </row>
    <row r="920" ht="15.75" customHeight="1">
      <c r="A920" s="68" t="s">
        <v>6483</v>
      </c>
      <c r="B920" s="169" t="s">
        <v>6507</v>
      </c>
      <c r="C920" s="28" t="s">
        <v>6511</v>
      </c>
      <c r="D920" s="28" t="s">
        <v>6512</v>
      </c>
      <c r="E920" s="28" t="s">
        <v>6513</v>
      </c>
      <c r="F920" s="28"/>
      <c r="G920" s="28"/>
      <c r="H920" s="28"/>
      <c r="I920" s="28"/>
      <c r="J920" s="28" t="s">
        <v>958</v>
      </c>
      <c r="K920" s="28"/>
      <c r="L920" s="28"/>
      <c r="M920" s="28"/>
      <c r="N920" s="28"/>
      <c r="O920" s="67"/>
      <c r="P920" s="67"/>
      <c r="Q920" s="67" t="s">
        <v>145</v>
      </c>
      <c r="R920" s="67"/>
      <c r="S920" s="67"/>
      <c r="T920" s="67"/>
      <c r="U920" s="67"/>
      <c r="V920" s="67"/>
      <c r="W920" s="67"/>
      <c r="X920" s="67"/>
      <c r="Y920" s="67"/>
      <c r="Z920" s="67"/>
      <c r="AA920" s="67"/>
      <c r="AB920" s="67"/>
      <c r="AC920" s="67"/>
      <c r="AD920" s="67"/>
      <c r="AE920" s="67"/>
      <c r="AF920" s="67"/>
      <c r="AG920" s="67"/>
      <c r="AH920" s="67"/>
      <c r="AI920" s="67"/>
      <c r="AJ920" s="67"/>
      <c r="AK920" s="67"/>
      <c r="AL920" s="67"/>
      <c r="AM920" s="67"/>
      <c r="AN920" s="67"/>
      <c r="AO920" s="70"/>
      <c r="AP920" s="70"/>
      <c r="AQ920" s="70"/>
      <c r="AR920" s="70"/>
      <c r="AS920" s="70"/>
      <c r="AT920" s="70"/>
      <c r="AU920" s="70"/>
      <c r="AV920" s="70"/>
      <c r="AW920" s="70"/>
      <c r="AX920" s="70"/>
    </row>
    <row r="921" ht="15.75" customHeight="1">
      <c r="A921" s="68" t="s">
        <v>6483</v>
      </c>
      <c r="B921" s="169" t="s">
        <v>6516</v>
      </c>
      <c r="C921" s="28" t="s">
        <v>6522</v>
      </c>
      <c r="D921" s="28" t="s">
        <v>6523</v>
      </c>
      <c r="E921" s="28" t="s">
        <v>6524</v>
      </c>
      <c r="F921" s="28"/>
      <c r="G921" s="28"/>
      <c r="H921" s="28"/>
      <c r="I921" s="28"/>
      <c r="J921" s="28" t="s">
        <v>958</v>
      </c>
      <c r="K921" s="28"/>
      <c r="L921" s="28"/>
      <c r="M921" s="28"/>
      <c r="N921" s="28"/>
      <c r="O921" s="67"/>
      <c r="P921" s="67"/>
      <c r="Q921" s="67" t="s">
        <v>145</v>
      </c>
      <c r="R921" s="67"/>
      <c r="S921" s="67"/>
      <c r="T921" s="67"/>
      <c r="U921" s="67"/>
      <c r="V921" s="67"/>
      <c r="W921" s="67"/>
      <c r="X921" s="67"/>
      <c r="Y921" s="67"/>
      <c r="Z921" s="67"/>
      <c r="AA921" s="67"/>
      <c r="AB921" s="67"/>
      <c r="AC921" s="67"/>
      <c r="AD921" s="67"/>
      <c r="AE921" s="67"/>
      <c r="AF921" s="67"/>
      <c r="AG921" s="67"/>
      <c r="AH921" s="67"/>
      <c r="AI921" s="67"/>
      <c r="AJ921" s="67"/>
      <c r="AK921" s="67"/>
      <c r="AL921" s="67"/>
      <c r="AM921" s="67"/>
      <c r="AN921" s="67"/>
      <c r="AO921" s="70"/>
      <c r="AP921" s="70"/>
      <c r="AQ921" s="70"/>
      <c r="AR921" s="70"/>
      <c r="AS921" s="70"/>
      <c r="AT921" s="70"/>
      <c r="AU921" s="70"/>
      <c r="AV921" s="70"/>
      <c r="AW921" s="70"/>
      <c r="AX921" s="70"/>
    </row>
    <row r="922" ht="15.75" customHeight="1">
      <c r="A922" s="68" t="s">
        <v>6483</v>
      </c>
      <c r="B922" s="218" t="s">
        <v>6527</v>
      </c>
      <c r="C922" s="28" t="s">
        <v>6532</v>
      </c>
      <c r="D922" s="28" t="s">
        <v>6533</v>
      </c>
      <c r="E922" s="28" t="s">
        <v>6535</v>
      </c>
      <c r="F922" s="28"/>
      <c r="G922" s="28"/>
      <c r="H922" s="28"/>
      <c r="I922" s="28"/>
      <c r="J922" s="28" t="s">
        <v>958</v>
      </c>
      <c r="K922" s="28"/>
      <c r="L922" s="28"/>
      <c r="M922" s="28"/>
      <c r="N922" s="28"/>
      <c r="O922" s="67"/>
      <c r="P922" s="65"/>
      <c r="Q922" s="65" t="s">
        <v>145</v>
      </c>
      <c r="R922" s="67"/>
      <c r="S922" s="67"/>
      <c r="T922" s="67"/>
      <c r="U922" s="67"/>
      <c r="V922" s="67"/>
      <c r="W922" s="67"/>
      <c r="X922" s="67"/>
      <c r="Y922" s="67"/>
      <c r="Z922" s="67"/>
      <c r="AA922" s="67"/>
      <c r="AB922" s="67"/>
      <c r="AC922" s="67"/>
      <c r="AD922" s="67"/>
      <c r="AE922" s="67"/>
      <c r="AF922" s="67"/>
      <c r="AG922" s="67"/>
      <c r="AH922" s="67"/>
      <c r="AI922" s="67"/>
      <c r="AJ922" s="67"/>
      <c r="AK922" s="67"/>
      <c r="AL922" s="67"/>
      <c r="AM922" s="67"/>
      <c r="AN922" s="67"/>
      <c r="AO922" s="70"/>
      <c r="AP922" s="70"/>
      <c r="AQ922" s="70"/>
      <c r="AR922" s="70"/>
      <c r="AS922" s="70"/>
      <c r="AT922" s="70"/>
      <c r="AU922" s="70"/>
      <c r="AV922" s="70"/>
      <c r="AW922" s="70"/>
      <c r="AX922" s="70"/>
    </row>
    <row r="923" ht="15.75" customHeight="1">
      <c r="A923" s="68" t="s">
        <v>6483</v>
      </c>
      <c r="B923" s="169" t="s">
        <v>6538</v>
      </c>
      <c r="C923" s="28" t="s">
        <v>6544</v>
      </c>
      <c r="D923" s="28" t="s">
        <v>6546</v>
      </c>
      <c r="E923" s="28" t="s">
        <v>6548</v>
      </c>
      <c r="F923" s="28"/>
      <c r="G923" s="28"/>
      <c r="H923" s="28"/>
      <c r="I923" s="28"/>
      <c r="J923" s="28" t="s">
        <v>958</v>
      </c>
      <c r="K923" s="28"/>
      <c r="L923" s="28"/>
      <c r="M923" s="28"/>
      <c r="N923" s="28"/>
      <c r="O923" s="67"/>
      <c r="P923" s="67"/>
      <c r="Q923" s="67" t="s">
        <v>145</v>
      </c>
      <c r="R923" s="67"/>
      <c r="S923" s="67"/>
      <c r="T923" s="67"/>
      <c r="U923" s="67"/>
      <c r="V923" s="67"/>
      <c r="W923" s="67"/>
      <c r="X923" s="67"/>
      <c r="Y923" s="67"/>
      <c r="Z923" s="67"/>
      <c r="AA923" s="67"/>
      <c r="AB923" s="67"/>
      <c r="AC923" s="67"/>
      <c r="AD923" s="67"/>
      <c r="AE923" s="67"/>
      <c r="AF923" s="67"/>
      <c r="AG923" s="67"/>
      <c r="AH923" s="67"/>
      <c r="AI923" s="67"/>
      <c r="AJ923" s="67"/>
      <c r="AK923" s="67"/>
      <c r="AL923" s="67"/>
      <c r="AM923" s="67"/>
      <c r="AN923" s="67"/>
      <c r="AO923" s="70"/>
      <c r="AP923" s="70"/>
      <c r="AQ923" s="70"/>
      <c r="AR923" s="70"/>
      <c r="AS923" s="70"/>
      <c r="AT923" s="70"/>
      <c r="AU923" s="70"/>
      <c r="AV923" s="70"/>
      <c r="AW923" s="70"/>
      <c r="AX923" s="70"/>
    </row>
    <row r="924" ht="15.75" customHeight="1">
      <c r="A924" s="68" t="s">
        <v>6483</v>
      </c>
      <c r="B924" s="169" t="s">
        <v>6549</v>
      </c>
      <c r="C924" s="28" t="s">
        <v>6556</v>
      </c>
      <c r="D924" s="28" t="s">
        <v>6558</v>
      </c>
      <c r="E924" s="28" t="s">
        <v>6559</v>
      </c>
      <c r="F924" s="28"/>
      <c r="G924" s="28"/>
      <c r="H924" s="28"/>
      <c r="I924" s="28"/>
      <c r="J924" s="28" t="s">
        <v>958</v>
      </c>
      <c r="K924" s="28"/>
      <c r="L924" s="28"/>
      <c r="M924" s="28"/>
      <c r="N924" s="28"/>
      <c r="O924" s="67"/>
      <c r="P924" s="67"/>
      <c r="Q924" s="67" t="s">
        <v>145</v>
      </c>
      <c r="R924" s="67"/>
      <c r="S924" s="67"/>
      <c r="T924" s="67"/>
      <c r="U924" s="67"/>
      <c r="V924" s="67"/>
      <c r="W924" s="67"/>
      <c r="X924" s="67"/>
      <c r="Y924" s="67"/>
      <c r="Z924" s="67"/>
      <c r="AA924" s="67"/>
      <c r="AB924" s="67"/>
      <c r="AC924" s="67"/>
      <c r="AD924" s="67"/>
      <c r="AE924" s="67"/>
      <c r="AF924" s="67"/>
      <c r="AG924" s="67"/>
      <c r="AH924" s="67"/>
      <c r="AI924" s="67"/>
      <c r="AJ924" s="67"/>
      <c r="AK924" s="67"/>
      <c r="AL924" s="67"/>
      <c r="AM924" s="67"/>
      <c r="AN924" s="67"/>
      <c r="AO924" s="70"/>
      <c r="AP924" s="70"/>
      <c r="AQ924" s="70"/>
      <c r="AR924" s="70"/>
      <c r="AS924" s="70"/>
      <c r="AT924" s="70"/>
      <c r="AU924" s="70"/>
      <c r="AV924" s="70"/>
      <c r="AW924" s="70"/>
      <c r="AX924" s="70"/>
    </row>
    <row r="925" ht="15.75" customHeight="1">
      <c r="A925" s="68" t="s">
        <v>6483</v>
      </c>
      <c r="B925" s="169" t="s">
        <v>6560</v>
      </c>
      <c r="C925" s="28" t="s">
        <v>6566</v>
      </c>
      <c r="D925" s="28" t="s">
        <v>6568</v>
      </c>
      <c r="E925" s="28" t="s">
        <v>6569</v>
      </c>
      <c r="F925" s="28"/>
      <c r="G925" s="28"/>
      <c r="H925" s="28"/>
      <c r="I925" s="28"/>
      <c r="J925" s="28" t="s">
        <v>958</v>
      </c>
      <c r="K925" s="28"/>
      <c r="L925" s="28"/>
      <c r="M925" s="28"/>
      <c r="N925" s="28"/>
      <c r="O925" s="67"/>
      <c r="P925" s="67"/>
      <c r="Q925" s="67" t="s">
        <v>145</v>
      </c>
      <c r="R925" s="67"/>
      <c r="S925" s="67"/>
      <c r="T925" s="67"/>
      <c r="U925" s="67"/>
      <c r="V925" s="67"/>
      <c r="W925" s="67"/>
      <c r="X925" s="67"/>
      <c r="Y925" s="67"/>
      <c r="Z925" s="67"/>
      <c r="AA925" s="67"/>
      <c r="AB925" s="67"/>
      <c r="AC925" s="67"/>
      <c r="AD925" s="67"/>
      <c r="AE925" s="67"/>
      <c r="AF925" s="67"/>
      <c r="AG925" s="67"/>
      <c r="AH925" s="67"/>
      <c r="AI925" s="67"/>
      <c r="AJ925" s="67"/>
      <c r="AK925" s="67"/>
      <c r="AL925" s="67"/>
      <c r="AM925" s="67"/>
      <c r="AN925" s="67"/>
      <c r="AO925" s="70"/>
      <c r="AP925" s="70"/>
      <c r="AQ925" s="70"/>
      <c r="AR925" s="70"/>
      <c r="AS925" s="70"/>
      <c r="AT925" s="70"/>
      <c r="AU925" s="70"/>
      <c r="AV925" s="70"/>
      <c r="AW925" s="70"/>
      <c r="AX925" s="70"/>
    </row>
    <row r="926" ht="15.75" customHeight="1">
      <c r="A926" s="68" t="s">
        <v>6483</v>
      </c>
      <c r="B926" s="169" t="s">
        <v>6570</v>
      </c>
      <c r="C926" s="28" t="s">
        <v>6575</v>
      </c>
      <c r="D926" s="28" t="s">
        <v>6576</v>
      </c>
      <c r="E926" s="28" t="s">
        <v>6577</v>
      </c>
      <c r="F926" s="28"/>
      <c r="G926" s="28"/>
      <c r="H926" s="28"/>
      <c r="I926" s="28"/>
      <c r="J926" s="28" t="s">
        <v>958</v>
      </c>
      <c r="K926" s="28"/>
      <c r="L926" s="28"/>
      <c r="M926" s="28"/>
      <c r="N926" s="28"/>
      <c r="O926" s="67"/>
      <c r="P926" s="67"/>
      <c r="Q926" s="67" t="s">
        <v>145</v>
      </c>
      <c r="R926" s="67"/>
      <c r="S926" s="67"/>
      <c r="T926" s="67"/>
      <c r="U926" s="67"/>
      <c r="V926" s="67"/>
      <c r="W926" s="67"/>
      <c r="X926" s="67"/>
      <c r="Y926" s="67"/>
      <c r="Z926" s="67"/>
      <c r="AA926" s="67"/>
      <c r="AB926" s="67"/>
      <c r="AC926" s="67"/>
      <c r="AD926" s="67"/>
      <c r="AE926" s="67"/>
      <c r="AF926" s="67"/>
      <c r="AG926" s="67"/>
      <c r="AH926" s="67"/>
      <c r="AI926" s="67"/>
      <c r="AJ926" s="67"/>
      <c r="AK926" s="67"/>
      <c r="AL926" s="67"/>
      <c r="AM926" s="67"/>
      <c r="AN926" s="67"/>
      <c r="AO926" s="70"/>
      <c r="AP926" s="70"/>
      <c r="AQ926" s="70"/>
      <c r="AR926" s="70"/>
      <c r="AS926" s="70"/>
      <c r="AT926" s="70"/>
      <c r="AU926" s="70"/>
      <c r="AV926" s="70"/>
      <c r="AW926" s="70"/>
      <c r="AX926" s="70"/>
    </row>
    <row r="927" ht="15.75" customHeight="1">
      <c r="A927" s="68" t="s">
        <v>6483</v>
      </c>
      <c r="B927" s="169" t="s">
        <v>6578</v>
      </c>
      <c r="C927" s="28" t="s">
        <v>6585</v>
      </c>
      <c r="D927" s="28" t="s">
        <v>6586</v>
      </c>
      <c r="E927" s="28" t="s">
        <v>6587</v>
      </c>
      <c r="F927" s="28"/>
      <c r="G927" s="28"/>
      <c r="H927" s="28"/>
      <c r="I927" s="28"/>
      <c r="J927" s="28" t="s">
        <v>958</v>
      </c>
      <c r="K927" s="28"/>
      <c r="L927" s="28"/>
      <c r="M927" s="28"/>
      <c r="N927" s="28"/>
      <c r="O927" s="67"/>
      <c r="P927" s="67"/>
      <c r="Q927" s="67" t="s">
        <v>145</v>
      </c>
      <c r="R927" s="67"/>
      <c r="S927" s="67"/>
      <c r="T927" s="67"/>
      <c r="U927" s="67"/>
      <c r="V927" s="67"/>
      <c r="W927" s="67"/>
      <c r="X927" s="67"/>
      <c r="Y927" s="67"/>
      <c r="Z927" s="67"/>
      <c r="AA927" s="67"/>
      <c r="AB927" s="67"/>
      <c r="AC927" s="67"/>
      <c r="AD927" s="67"/>
      <c r="AE927" s="67"/>
      <c r="AF927" s="67"/>
      <c r="AG927" s="67"/>
      <c r="AH927" s="67"/>
      <c r="AI927" s="67"/>
      <c r="AJ927" s="67"/>
      <c r="AK927" s="67"/>
      <c r="AL927" s="67"/>
      <c r="AM927" s="67"/>
      <c r="AN927" s="67"/>
      <c r="AO927" s="70"/>
      <c r="AP927" s="70"/>
      <c r="AQ927" s="70"/>
      <c r="AR927" s="70"/>
      <c r="AS927" s="70"/>
      <c r="AT927" s="70"/>
      <c r="AU927" s="70"/>
      <c r="AV927" s="70"/>
      <c r="AW927" s="70"/>
      <c r="AX927" s="70"/>
    </row>
    <row r="928" ht="15.75" customHeight="1">
      <c r="A928" s="68" t="s">
        <v>6483</v>
      </c>
      <c r="B928" s="169" t="s">
        <v>6588</v>
      </c>
      <c r="C928" s="28" t="s">
        <v>6596</v>
      </c>
      <c r="D928" s="28" t="s">
        <v>6597</v>
      </c>
      <c r="E928" s="28" t="s">
        <v>6598</v>
      </c>
      <c r="F928" s="28"/>
      <c r="G928" s="28"/>
      <c r="H928" s="28"/>
      <c r="I928" s="28"/>
      <c r="J928" s="28" t="s">
        <v>958</v>
      </c>
      <c r="K928" s="28"/>
      <c r="L928" s="28"/>
      <c r="M928" s="28"/>
      <c r="N928" s="28"/>
      <c r="O928" s="67"/>
      <c r="P928" s="67"/>
      <c r="Q928" s="67" t="s">
        <v>145</v>
      </c>
      <c r="R928" s="67"/>
      <c r="S928" s="67"/>
      <c r="T928" s="67"/>
      <c r="U928" s="67"/>
      <c r="V928" s="67"/>
      <c r="W928" s="67"/>
      <c r="X928" s="67"/>
      <c r="Y928" s="67"/>
      <c r="Z928" s="67"/>
      <c r="AA928" s="67"/>
      <c r="AB928" s="67"/>
      <c r="AC928" s="67"/>
      <c r="AD928" s="67"/>
      <c r="AE928" s="67"/>
      <c r="AF928" s="67"/>
      <c r="AG928" s="67"/>
      <c r="AH928" s="67"/>
      <c r="AI928" s="67"/>
      <c r="AJ928" s="67"/>
      <c r="AK928" s="67"/>
      <c r="AL928" s="67"/>
      <c r="AM928" s="67"/>
      <c r="AN928" s="67"/>
      <c r="AO928" s="70"/>
      <c r="AP928" s="70"/>
      <c r="AQ928" s="70"/>
      <c r="AR928" s="70"/>
      <c r="AS928" s="70"/>
      <c r="AT928" s="70"/>
      <c r="AU928" s="70"/>
      <c r="AV928" s="70"/>
      <c r="AW928" s="70"/>
      <c r="AX928" s="70"/>
    </row>
    <row r="929" ht="15.75" customHeight="1">
      <c r="A929" s="68" t="s">
        <v>6483</v>
      </c>
      <c r="B929" s="169" t="s">
        <v>6599</v>
      </c>
      <c r="C929" s="28" t="s">
        <v>6604</v>
      </c>
      <c r="D929" s="28" t="s">
        <v>6605</v>
      </c>
      <c r="E929" s="28" t="s">
        <v>6607</v>
      </c>
      <c r="F929" s="28"/>
      <c r="G929" s="28"/>
      <c r="H929" s="28"/>
      <c r="I929" s="28"/>
      <c r="J929" s="28" t="s">
        <v>958</v>
      </c>
      <c r="K929" s="28"/>
      <c r="L929" s="28"/>
      <c r="M929" s="28"/>
      <c r="N929" s="28"/>
      <c r="O929" s="67"/>
      <c r="P929" s="67"/>
      <c r="Q929" s="67" t="s">
        <v>145</v>
      </c>
      <c r="R929" s="67"/>
      <c r="S929" s="67"/>
      <c r="T929" s="67"/>
      <c r="U929" s="67"/>
      <c r="V929" s="67"/>
      <c r="W929" s="67"/>
      <c r="X929" s="67"/>
      <c r="Y929" s="67"/>
      <c r="Z929" s="67"/>
      <c r="AA929" s="67"/>
      <c r="AB929" s="67"/>
      <c r="AC929" s="67"/>
      <c r="AD929" s="67"/>
      <c r="AE929" s="67"/>
      <c r="AF929" s="67"/>
      <c r="AG929" s="67"/>
      <c r="AH929" s="67"/>
      <c r="AI929" s="67"/>
      <c r="AJ929" s="67"/>
      <c r="AK929" s="67"/>
      <c r="AL929" s="67"/>
      <c r="AM929" s="67"/>
      <c r="AN929" s="67"/>
      <c r="AO929" s="70"/>
      <c r="AP929" s="70"/>
      <c r="AQ929" s="70"/>
      <c r="AR929" s="70"/>
      <c r="AS929" s="70"/>
      <c r="AT929" s="70"/>
      <c r="AU929" s="70"/>
      <c r="AV929" s="70"/>
      <c r="AW929" s="70"/>
      <c r="AX929" s="70"/>
    </row>
    <row r="930" ht="15.75" customHeight="1">
      <c r="A930" s="140" t="s">
        <v>237</v>
      </c>
      <c r="B930" s="191" t="s">
        <v>6470</v>
      </c>
      <c r="C930" s="28" t="s">
        <v>6471</v>
      </c>
      <c r="D930" s="28"/>
      <c r="E930" s="28"/>
      <c r="F930" s="28"/>
      <c r="G930" s="28"/>
      <c r="H930" s="28"/>
      <c r="I930" s="28"/>
      <c r="J930" s="28" t="s">
        <v>931</v>
      </c>
      <c r="K930" s="28"/>
      <c r="L930" s="28"/>
      <c r="M930" s="28"/>
      <c r="N930" s="28"/>
      <c r="O930" s="139"/>
      <c r="P930" s="139"/>
      <c r="Q930" s="139"/>
      <c r="R930" s="139"/>
      <c r="S930" s="139"/>
      <c r="T930" s="139"/>
      <c r="U930" s="139"/>
      <c r="V930" s="139"/>
      <c r="W930" s="139"/>
      <c r="X930" s="139"/>
      <c r="Y930" s="139"/>
      <c r="Z930" s="139"/>
      <c r="AA930" s="139"/>
      <c r="AB930" s="139"/>
      <c r="AC930" s="139"/>
      <c r="AD930" s="139"/>
      <c r="AE930" s="139"/>
      <c r="AF930" s="139"/>
      <c r="AG930" s="139"/>
      <c r="AH930" s="139"/>
      <c r="AI930" s="139"/>
      <c r="AJ930" s="139"/>
      <c r="AK930" s="139"/>
      <c r="AL930" s="139"/>
      <c r="AM930" s="139"/>
      <c r="AN930" s="139"/>
      <c r="AO930" s="70"/>
      <c r="AP930" s="70"/>
      <c r="AQ930" s="70"/>
      <c r="AR930" s="70"/>
      <c r="AS930" s="70"/>
      <c r="AT930" s="70"/>
      <c r="AU930" s="70"/>
      <c r="AV930" s="70"/>
      <c r="AW930" s="70"/>
      <c r="AX930" s="70"/>
    </row>
    <row r="931" ht="15.75" customHeight="1">
      <c r="A931" s="68" t="s">
        <v>6614</v>
      </c>
      <c r="B931" s="169" t="s">
        <v>6615</v>
      </c>
      <c r="C931" s="28" t="s">
        <v>6622</v>
      </c>
      <c r="D931" s="28" t="s">
        <v>6624</v>
      </c>
      <c r="E931" s="28" t="s">
        <v>6626</v>
      </c>
      <c r="F931" s="28"/>
      <c r="G931" s="28"/>
      <c r="H931" s="28"/>
      <c r="I931" s="28"/>
      <c r="J931" s="28"/>
      <c r="K931" s="28"/>
      <c r="L931" s="28"/>
      <c r="M931" s="28"/>
      <c r="N931" s="28"/>
      <c r="O931" s="67"/>
      <c r="P931" s="67"/>
      <c r="Q931" s="67" t="s">
        <v>145</v>
      </c>
      <c r="R931" s="67"/>
      <c r="S931" s="67"/>
      <c r="T931" s="67"/>
      <c r="U931" s="67"/>
      <c r="V931" s="67"/>
      <c r="W931" s="67"/>
      <c r="X931" s="67"/>
      <c r="Y931" s="67"/>
      <c r="Z931" s="67"/>
      <c r="AA931" s="67"/>
      <c r="AB931" s="67"/>
      <c r="AC931" s="67"/>
      <c r="AD931" s="70"/>
      <c r="AE931" s="70"/>
      <c r="AF931" s="70"/>
      <c r="AG931" s="70"/>
      <c r="AH931" s="70"/>
      <c r="AI931" s="173"/>
      <c r="AJ931" s="173"/>
      <c r="AK931" s="173"/>
      <c r="AL931" s="173"/>
      <c r="AM931" s="173"/>
      <c r="AN931" s="173"/>
      <c r="AO931" s="70"/>
      <c r="AP931" s="70"/>
      <c r="AQ931" s="70"/>
      <c r="AR931" s="70"/>
      <c r="AS931" s="70"/>
      <c r="AT931" s="70"/>
      <c r="AU931" s="70"/>
      <c r="AV931" s="70"/>
      <c r="AW931" s="70"/>
      <c r="AX931" s="70"/>
    </row>
    <row r="932" ht="15.75" customHeight="1">
      <c r="A932" s="68" t="s">
        <v>6627</v>
      </c>
      <c r="B932" s="169" t="s">
        <v>6628</v>
      </c>
      <c r="C932" s="28" t="s">
        <v>6632</v>
      </c>
      <c r="D932" s="28" t="s">
        <v>6633</v>
      </c>
      <c r="E932" s="28" t="s">
        <v>6634</v>
      </c>
      <c r="F932" s="28"/>
      <c r="G932" s="28"/>
      <c r="H932" s="28"/>
      <c r="I932" s="28"/>
      <c r="J932" s="28"/>
      <c r="K932" s="28"/>
      <c r="L932" s="28"/>
      <c r="M932" s="28"/>
      <c r="N932" s="28"/>
      <c r="O932" s="67" t="s">
        <v>10583</v>
      </c>
      <c r="P932" s="67"/>
      <c r="Q932" s="67" t="s">
        <v>145</v>
      </c>
      <c r="R932" s="67"/>
      <c r="S932" s="67"/>
      <c r="T932" s="67"/>
      <c r="U932" s="67"/>
      <c r="V932" s="67"/>
      <c r="W932" s="67"/>
      <c r="X932" s="67"/>
      <c r="Y932" s="67"/>
      <c r="Z932" s="67"/>
      <c r="AA932" s="67"/>
      <c r="AB932" s="67"/>
      <c r="AC932" s="67"/>
      <c r="AD932" s="70"/>
      <c r="AE932" s="70"/>
      <c r="AF932" s="70"/>
      <c r="AG932" s="70"/>
      <c r="AH932" s="70"/>
      <c r="AI932" s="173"/>
      <c r="AJ932" s="173"/>
      <c r="AK932" s="173"/>
      <c r="AL932" s="173"/>
      <c r="AM932" s="173"/>
      <c r="AN932" s="173"/>
      <c r="AO932" s="70"/>
      <c r="AP932" s="70"/>
      <c r="AQ932" s="70"/>
      <c r="AR932" s="70"/>
      <c r="AS932" s="70"/>
      <c r="AT932" s="70"/>
      <c r="AU932" s="70"/>
      <c r="AV932" s="70"/>
      <c r="AW932" s="70"/>
      <c r="AX932" s="70"/>
    </row>
    <row r="933" ht="15.75" customHeight="1">
      <c r="A933" s="221"/>
      <c r="B933" s="221"/>
      <c r="C933" s="28"/>
      <c r="D933" s="28"/>
      <c r="E933" s="28"/>
      <c r="F933" s="28"/>
      <c r="G933" s="28"/>
      <c r="H933" s="28"/>
      <c r="I933" s="28"/>
      <c r="J933" s="28"/>
      <c r="K933" s="28"/>
      <c r="L933" s="28"/>
      <c r="M933" s="28"/>
      <c r="N933" s="28"/>
      <c r="O933" s="70"/>
      <c r="P933" s="70"/>
      <c r="Q933" s="70"/>
      <c r="R933" s="70"/>
      <c r="S933" s="70"/>
      <c r="T933" s="70"/>
      <c r="U933" s="70"/>
      <c r="V933" s="70"/>
      <c r="W933" s="70"/>
      <c r="X933" s="70"/>
      <c r="Y933" s="70"/>
      <c r="Z933" s="70"/>
      <c r="AA933" s="70"/>
      <c r="AB933" s="70"/>
      <c r="AC933" s="70"/>
      <c r="AD933" s="70"/>
      <c r="AE933" s="70"/>
      <c r="AF933" s="70"/>
      <c r="AG933" s="70"/>
      <c r="AH933" s="70"/>
      <c r="AI933" s="70"/>
      <c r="AJ933" s="70"/>
      <c r="AK933" s="70"/>
      <c r="AL933" s="70"/>
      <c r="AM933" s="70"/>
      <c r="AN933" s="70"/>
      <c r="AO933" s="70"/>
      <c r="AP933" s="70"/>
      <c r="AQ933" s="70"/>
      <c r="AR933" s="70"/>
      <c r="AS933" s="70"/>
      <c r="AT933" s="70"/>
      <c r="AU933" s="70"/>
      <c r="AV933" s="70"/>
      <c r="AW933" s="70"/>
      <c r="AX933" s="70"/>
    </row>
    <row r="934" ht="15.75" customHeight="1">
      <c r="A934" s="140"/>
      <c r="B934" s="298"/>
      <c r="C934" s="28"/>
      <c r="D934" s="28"/>
      <c r="E934" s="28"/>
      <c r="F934" s="28"/>
      <c r="G934" s="28"/>
      <c r="H934" s="28"/>
      <c r="I934" s="28"/>
      <c r="J934" s="28"/>
      <c r="K934" s="28"/>
      <c r="L934" s="28"/>
      <c r="M934" s="28"/>
      <c r="N934" s="28"/>
      <c r="O934" s="190"/>
      <c r="P934" s="139"/>
      <c r="Q934" s="139"/>
      <c r="R934" s="139"/>
      <c r="S934" s="139"/>
      <c r="T934" s="139"/>
      <c r="U934" s="139"/>
      <c r="V934" s="139"/>
      <c r="W934" s="139"/>
      <c r="X934" s="139"/>
      <c r="Y934" s="139"/>
      <c r="Z934" s="139"/>
      <c r="AA934" s="139"/>
      <c r="AB934" s="139"/>
      <c r="AC934" s="139"/>
      <c r="AD934" s="70"/>
      <c r="AE934" s="70"/>
      <c r="AF934" s="70"/>
      <c r="AG934" s="70"/>
      <c r="AH934" s="70"/>
      <c r="AI934" s="70"/>
      <c r="AJ934" s="70"/>
      <c r="AK934" s="70"/>
      <c r="AL934" s="70"/>
      <c r="AM934" s="70"/>
      <c r="AN934" s="70"/>
      <c r="AO934" s="70"/>
      <c r="AP934" s="70"/>
      <c r="AQ934" s="70"/>
      <c r="AR934" s="70"/>
      <c r="AS934" s="70"/>
      <c r="AT934" s="70"/>
      <c r="AU934" s="70"/>
      <c r="AV934" s="70"/>
      <c r="AW934" s="70"/>
      <c r="AX934" s="70"/>
    </row>
    <row r="935" ht="16.5" customHeight="1">
      <c r="A935" s="65" t="s">
        <v>134</v>
      </c>
      <c r="B935" s="66" t="s">
        <v>6647</v>
      </c>
      <c r="C935" s="28"/>
      <c r="D935" s="28"/>
      <c r="E935" s="28"/>
      <c r="F935" s="28"/>
      <c r="G935" s="28"/>
      <c r="H935" s="28"/>
      <c r="I935" s="28"/>
      <c r="J935" s="28"/>
      <c r="K935" s="28"/>
      <c r="L935" s="28"/>
      <c r="M935" s="28"/>
      <c r="N935" s="28"/>
      <c r="O935" s="67"/>
      <c r="P935" s="68"/>
      <c r="Q935" s="68"/>
      <c r="R935" s="67"/>
      <c r="S935" s="67"/>
      <c r="T935" s="65" t="s">
        <v>139</v>
      </c>
      <c r="U935" s="67"/>
      <c r="V935" s="67"/>
      <c r="W935" s="67"/>
      <c r="X935" s="67"/>
      <c r="Y935" s="67"/>
      <c r="Z935" s="67"/>
      <c r="AA935" s="67"/>
      <c r="AB935" s="67"/>
      <c r="AC935" s="67"/>
      <c r="AD935" s="67"/>
      <c r="AE935" s="67"/>
      <c r="AF935" s="67"/>
      <c r="AG935" s="67"/>
      <c r="AH935" s="67"/>
      <c r="AI935" s="67"/>
      <c r="AJ935" s="67"/>
      <c r="AK935" s="67"/>
      <c r="AL935" s="67"/>
      <c r="AM935" s="67"/>
      <c r="AN935" s="67"/>
      <c r="AO935" s="67"/>
      <c r="AP935" s="67"/>
      <c r="AQ935" s="67"/>
      <c r="AR935" s="67"/>
      <c r="AS935" s="67"/>
      <c r="AT935" s="67"/>
      <c r="AU935" s="67"/>
      <c r="AV935" s="67"/>
      <c r="AW935" s="67"/>
      <c r="AX935" s="67"/>
    </row>
    <row r="936" ht="15.75" customHeight="1">
      <c r="A936" s="140" t="s">
        <v>131</v>
      </c>
      <c r="B936" s="298" t="s">
        <v>6652</v>
      </c>
      <c r="C936" s="28" t="s">
        <v>6653</v>
      </c>
      <c r="D936" s="28"/>
      <c r="E936" s="28"/>
      <c r="F936" s="28"/>
      <c r="G936" s="28"/>
      <c r="H936" s="28"/>
      <c r="I936" s="28"/>
      <c r="J936" s="28"/>
      <c r="K936" s="28"/>
      <c r="L936" s="28"/>
      <c r="M936" s="28"/>
      <c r="N936" s="28"/>
      <c r="O936" s="190"/>
      <c r="P936" s="139"/>
      <c r="Q936" s="139"/>
      <c r="R936" s="139"/>
      <c r="S936" s="139"/>
      <c r="T936" s="139"/>
      <c r="U936" s="139"/>
      <c r="V936" s="139"/>
      <c r="W936" s="139"/>
      <c r="X936" s="139"/>
      <c r="Y936" s="139"/>
      <c r="Z936" s="139"/>
      <c r="AA936" s="139"/>
      <c r="AB936" s="139"/>
      <c r="AC936" s="139"/>
      <c r="AD936" s="70"/>
      <c r="AE936" s="70"/>
      <c r="AF936" s="70"/>
      <c r="AG936" s="70"/>
      <c r="AH936" s="70"/>
      <c r="AI936" s="70"/>
      <c r="AJ936" s="70"/>
      <c r="AK936" s="70"/>
      <c r="AL936" s="70"/>
      <c r="AM936" s="70"/>
      <c r="AN936" s="70"/>
      <c r="AO936" s="70"/>
      <c r="AP936" s="70"/>
      <c r="AQ936" s="70"/>
      <c r="AR936" s="70"/>
      <c r="AS936" s="70"/>
      <c r="AT936" s="70"/>
      <c r="AU936" s="70"/>
      <c r="AV936" s="70"/>
      <c r="AW936" s="70"/>
      <c r="AX936" s="70"/>
    </row>
    <row r="937" ht="15.75" customHeight="1">
      <c r="A937" s="68" t="s">
        <v>41</v>
      </c>
      <c r="B937" s="66" t="s">
        <v>6660</v>
      </c>
      <c r="C937" s="28" t="s">
        <v>6665</v>
      </c>
      <c r="D937" s="28" t="s">
        <v>6666</v>
      </c>
      <c r="E937" s="28" t="s">
        <v>6667</v>
      </c>
      <c r="F937" s="28" t="s">
        <v>10584</v>
      </c>
      <c r="G937" s="28" t="s">
        <v>10585</v>
      </c>
      <c r="H937" s="28" t="s">
        <v>10586</v>
      </c>
      <c r="I937" s="28"/>
      <c r="J937" s="28"/>
      <c r="K937" s="28"/>
      <c r="L937" s="28"/>
      <c r="M937" s="28"/>
      <c r="N937" s="28"/>
      <c r="O937" s="67"/>
      <c r="P937" s="67"/>
      <c r="Q937" s="67"/>
      <c r="R937" s="67"/>
      <c r="S937" s="67"/>
      <c r="T937" s="67"/>
      <c r="U937" s="67"/>
      <c r="V937" s="67"/>
      <c r="W937" s="67"/>
      <c r="X937" s="67"/>
      <c r="Y937" s="67"/>
      <c r="Z937" s="67"/>
      <c r="AA937" s="67"/>
      <c r="AB937" s="67"/>
      <c r="AC937" s="67"/>
      <c r="AD937" s="70"/>
      <c r="AE937" s="70"/>
      <c r="AF937" s="70"/>
      <c r="AG937" s="70"/>
      <c r="AH937" s="70"/>
      <c r="AI937" s="70"/>
      <c r="AJ937" s="70"/>
      <c r="AK937" s="70"/>
      <c r="AL937" s="70"/>
      <c r="AM937" s="70"/>
      <c r="AN937" s="70"/>
      <c r="AO937" s="70"/>
      <c r="AP937" s="70"/>
      <c r="AQ937" s="70"/>
      <c r="AR937" s="70"/>
      <c r="AS937" s="70"/>
      <c r="AT937" s="70"/>
      <c r="AU937" s="70"/>
      <c r="AV937" s="70"/>
      <c r="AW937" s="70"/>
      <c r="AX937" s="70"/>
    </row>
    <row r="938" ht="15.75" customHeight="1">
      <c r="A938" s="68" t="s">
        <v>5775</v>
      </c>
      <c r="B938" s="66" t="s">
        <v>6668</v>
      </c>
      <c r="C938" s="28" t="s">
        <v>6675</v>
      </c>
      <c r="D938" s="28" t="s">
        <v>6676</v>
      </c>
      <c r="E938" s="28" t="s">
        <v>6677</v>
      </c>
      <c r="F938" s="28"/>
      <c r="G938" s="28"/>
      <c r="H938" s="28"/>
      <c r="I938" s="28"/>
      <c r="J938" s="28"/>
      <c r="K938" s="28"/>
      <c r="L938" s="28"/>
      <c r="M938" s="28"/>
      <c r="N938" s="28"/>
      <c r="O938" s="67"/>
      <c r="P938" s="67"/>
      <c r="Q938" s="67" t="s">
        <v>145</v>
      </c>
      <c r="R938" s="67"/>
      <c r="S938" s="67"/>
      <c r="T938" s="67"/>
      <c r="U938" s="67"/>
      <c r="V938" s="67"/>
      <c r="W938" s="67"/>
      <c r="X938" s="67"/>
      <c r="Y938" s="67"/>
      <c r="Z938" s="67"/>
      <c r="AA938" s="67"/>
      <c r="AB938" s="67"/>
      <c r="AC938" s="67"/>
      <c r="AD938" s="70"/>
      <c r="AE938" s="70"/>
      <c r="AF938" s="70"/>
      <c r="AG938" s="70"/>
      <c r="AH938" s="70"/>
      <c r="AI938" s="70"/>
      <c r="AJ938" s="70"/>
      <c r="AK938" s="70"/>
      <c r="AL938" s="70"/>
      <c r="AM938" s="70"/>
      <c r="AN938" s="70"/>
      <c r="AO938" s="70"/>
      <c r="AP938" s="70"/>
      <c r="AQ938" s="70"/>
      <c r="AR938" s="70"/>
      <c r="AS938" s="70"/>
      <c r="AT938" s="70"/>
      <c r="AU938" s="70"/>
      <c r="AV938" s="70"/>
      <c r="AW938" s="70"/>
      <c r="AX938" s="70"/>
    </row>
    <row r="939" ht="15.75" customHeight="1">
      <c r="A939" s="68" t="s">
        <v>5775</v>
      </c>
      <c r="B939" s="66" t="s">
        <v>6678</v>
      </c>
      <c r="C939" s="28" t="s">
        <v>6683</v>
      </c>
      <c r="D939" s="28" t="s">
        <v>6684</v>
      </c>
      <c r="E939" s="28" t="s">
        <v>6685</v>
      </c>
      <c r="F939" s="28"/>
      <c r="G939" s="28"/>
      <c r="H939" s="28"/>
      <c r="I939" s="28"/>
      <c r="J939" s="28"/>
      <c r="K939" s="28"/>
      <c r="L939" s="28"/>
      <c r="M939" s="28"/>
      <c r="N939" s="28"/>
      <c r="O939" s="67"/>
      <c r="P939" s="67"/>
      <c r="Q939" s="67" t="s">
        <v>145</v>
      </c>
      <c r="R939" s="67"/>
      <c r="S939" s="67"/>
      <c r="T939" s="67"/>
      <c r="U939" s="67"/>
      <c r="V939" s="67"/>
      <c r="W939" s="67"/>
      <c r="X939" s="67"/>
      <c r="Y939" s="67"/>
      <c r="Z939" s="67"/>
      <c r="AA939" s="67"/>
      <c r="AB939" s="67"/>
      <c r="AC939" s="67"/>
      <c r="AD939" s="70"/>
      <c r="AE939" s="70"/>
      <c r="AF939" s="70"/>
      <c r="AG939" s="70"/>
      <c r="AH939" s="70"/>
      <c r="AI939" s="70"/>
      <c r="AJ939" s="70"/>
      <c r="AK939" s="70"/>
      <c r="AL939" s="70"/>
      <c r="AM939" s="70"/>
      <c r="AN939" s="70"/>
      <c r="AO939" s="70"/>
      <c r="AP939" s="70"/>
      <c r="AQ939" s="70"/>
      <c r="AR939" s="70"/>
      <c r="AS939" s="70"/>
      <c r="AT939" s="70"/>
      <c r="AU939" s="70"/>
      <c r="AV939" s="70"/>
      <c r="AW939" s="70"/>
      <c r="AX939" s="70"/>
    </row>
    <row r="940" ht="15.75" customHeight="1">
      <c r="A940" s="68" t="s">
        <v>41</v>
      </c>
      <c r="B940" s="66" t="s">
        <v>6687</v>
      </c>
      <c r="C940" s="28" t="s">
        <v>6693</v>
      </c>
      <c r="D940" s="28" t="s">
        <v>6694</v>
      </c>
      <c r="E940" s="28" t="s">
        <v>6695</v>
      </c>
      <c r="F940" s="28"/>
      <c r="G940" s="28"/>
      <c r="H940" s="28"/>
      <c r="I940" s="28"/>
      <c r="J940" s="28"/>
      <c r="K940" s="28"/>
      <c r="L940" s="28"/>
      <c r="M940" s="28"/>
      <c r="N940" s="28"/>
      <c r="O940" s="67"/>
      <c r="P940" s="67"/>
      <c r="Q940" s="67"/>
      <c r="R940" s="67"/>
      <c r="S940" s="67"/>
      <c r="T940" s="67"/>
      <c r="U940" s="67"/>
      <c r="V940" s="67"/>
      <c r="W940" s="67"/>
      <c r="X940" s="67"/>
      <c r="Y940" s="67"/>
      <c r="Z940" s="67"/>
      <c r="AA940" s="67"/>
      <c r="AB940" s="67"/>
      <c r="AC940" s="67"/>
      <c r="AD940" s="70"/>
      <c r="AE940" s="70"/>
      <c r="AF940" s="70"/>
      <c r="AG940" s="70"/>
      <c r="AH940" s="70"/>
      <c r="AI940" s="70"/>
      <c r="AJ940" s="70"/>
      <c r="AK940" s="70"/>
      <c r="AL940" s="70"/>
      <c r="AM940" s="70"/>
      <c r="AN940" s="70"/>
      <c r="AO940" s="70"/>
      <c r="AP940" s="70"/>
      <c r="AQ940" s="70"/>
      <c r="AR940" s="70"/>
      <c r="AS940" s="70"/>
      <c r="AT940" s="70"/>
      <c r="AU940" s="70"/>
      <c r="AV940" s="70"/>
      <c r="AW940" s="70"/>
      <c r="AX940" s="70"/>
    </row>
    <row r="941" ht="15.75" customHeight="1">
      <c r="A941" s="68" t="s">
        <v>6696</v>
      </c>
      <c r="B941" s="66" t="s">
        <v>6697</v>
      </c>
      <c r="C941" s="28" t="s">
        <v>6705</v>
      </c>
      <c r="D941" s="28" t="s">
        <v>6706</v>
      </c>
      <c r="E941" s="28" t="s">
        <v>6707</v>
      </c>
      <c r="F941" s="28"/>
      <c r="G941" s="28"/>
      <c r="H941" s="28"/>
      <c r="I941" s="28"/>
      <c r="J941" s="28"/>
      <c r="K941" s="28"/>
      <c r="L941" s="28"/>
      <c r="M941" s="28"/>
      <c r="N941" s="28"/>
      <c r="O941" s="67"/>
      <c r="P941" s="67"/>
      <c r="Q941" s="67" t="s">
        <v>145</v>
      </c>
      <c r="R941" s="67"/>
      <c r="S941" s="67"/>
      <c r="T941" s="67"/>
      <c r="U941" s="67"/>
      <c r="V941" s="67"/>
      <c r="W941" s="67"/>
      <c r="X941" s="67"/>
      <c r="Y941" s="67"/>
      <c r="Z941" s="67"/>
      <c r="AA941" s="67"/>
      <c r="AB941" s="67"/>
      <c r="AC941" s="67"/>
      <c r="AD941" s="70"/>
      <c r="AE941" s="70"/>
      <c r="AF941" s="70"/>
      <c r="AG941" s="70"/>
      <c r="AH941" s="70"/>
      <c r="AI941" s="70"/>
      <c r="AJ941" s="70"/>
      <c r="AK941" s="70"/>
      <c r="AL941" s="70"/>
      <c r="AM941" s="70"/>
      <c r="AN941" s="70"/>
      <c r="AO941" s="70"/>
      <c r="AP941" s="70"/>
      <c r="AQ941" s="70"/>
      <c r="AR941" s="70"/>
      <c r="AS941" s="70"/>
      <c r="AT941" s="70"/>
      <c r="AU941" s="70"/>
      <c r="AV941" s="70"/>
      <c r="AW941" s="70"/>
      <c r="AX941" s="70"/>
    </row>
    <row r="942" ht="15.75" customHeight="1">
      <c r="A942" s="68" t="s">
        <v>263</v>
      </c>
      <c r="B942" s="66" t="s">
        <v>6708</v>
      </c>
      <c r="C942" s="28" t="s">
        <v>6712</v>
      </c>
      <c r="D942" s="28" t="s">
        <v>6713</v>
      </c>
      <c r="E942" s="28" t="s">
        <v>6714</v>
      </c>
      <c r="F942" s="28" t="s">
        <v>10587</v>
      </c>
      <c r="G942" s="28" t="s">
        <v>10588</v>
      </c>
      <c r="H942" s="28" t="s">
        <v>10589</v>
      </c>
      <c r="I942" s="28"/>
      <c r="J942" s="28"/>
      <c r="K942" s="28" t="s">
        <v>10563</v>
      </c>
      <c r="L942" s="28"/>
      <c r="M942" s="28"/>
      <c r="N942" s="28"/>
      <c r="O942" s="67"/>
      <c r="P942" s="67"/>
      <c r="Q942" s="67" t="s">
        <v>145</v>
      </c>
      <c r="R942" s="67"/>
      <c r="S942" s="67"/>
      <c r="T942" s="67"/>
      <c r="U942" s="67"/>
      <c r="V942" s="67"/>
      <c r="W942" s="67"/>
      <c r="X942" s="67"/>
      <c r="Y942" s="67"/>
      <c r="Z942" s="67"/>
      <c r="AA942" s="67"/>
      <c r="AB942" s="67"/>
      <c r="AC942" s="67"/>
      <c r="AD942" s="70"/>
      <c r="AE942" s="70"/>
      <c r="AF942" s="70"/>
      <c r="AG942" s="70"/>
      <c r="AH942" s="70"/>
      <c r="AI942" s="70"/>
      <c r="AJ942" s="70"/>
      <c r="AK942" s="70"/>
      <c r="AL942" s="70"/>
      <c r="AM942" s="70"/>
      <c r="AN942" s="70"/>
      <c r="AO942" s="70"/>
      <c r="AP942" s="70"/>
      <c r="AQ942" s="70"/>
      <c r="AR942" s="70"/>
      <c r="AS942" s="70"/>
      <c r="AT942" s="70"/>
      <c r="AU942" s="70"/>
      <c r="AV942" s="70"/>
      <c r="AW942" s="70"/>
      <c r="AX942" s="70"/>
    </row>
    <row r="943" ht="15.75" customHeight="1">
      <c r="A943" s="68" t="s">
        <v>263</v>
      </c>
      <c r="B943" s="66" t="s">
        <v>6715</v>
      </c>
      <c r="C943" s="28" t="s">
        <v>6720</v>
      </c>
      <c r="D943" s="28" t="s">
        <v>6721</v>
      </c>
      <c r="E943" s="28" t="s">
        <v>6722</v>
      </c>
      <c r="F943" s="28" t="s">
        <v>10590</v>
      </c>
      <c r="G943" s="28" t="s">
        <v>10591</v>
      </c>
      <c r="H943" s="28" t="s">
        <v>10592</v>
      </c>
      <c r="I943" s="28"/>
      <c r="J943" s="28"/>
      <c r="K943" s="28" t="s">
        <v>10563</v>
      </c>
      <c r="L943" s="28"/>
      <c r="M943" s="28"/>
      <c r="N943" s="28"/>
      <c r="O943" s="67"/>
      <c r="P943" s="67"/>
      <c r="Q943" s="67" t="s">
        <v>145</v>
      </c>
      <c r="R943" s="67"/>
      <c r="S943" s="67"/>
      <c r="T943" s="67"/>
      <c r="U943" s="67"/>
      <c r="V943" s="67"/>
      <c r="W943" s="67"/>
      <c r="X943" s="67"/>
      <c r="Y943" s="67"/>
      <c r="Z943" s="67"/>
      <c r="AA943" s="67"/>
      <c r="AB943" s="67"/>
      <c r="AC943" s="67"/>
      <c r="AD943" s="70"/>
      <c r="AE943" s="70"/>
      <c r="AF943" s="70"/>
      <c r="AG943" s="70"/>
      <c r="AH943" s="70"/>
      <c r="AI943" s="70"/>
      <c r="AJ943" s="70"/>
      <c r="AK943" s="70"/>
      <c r="AL943" s="70"/>
      <c r="AM943" s="70"/>
      <c r="AN943" s="70"/>
      <c r="AO943" s="70"/>
      <c r="AP943" s="70"/>
      <c r="AQ943" s="70"/>
      <c r="AR943" s="70"/>
      <c r="AS943" s="70"/>
      <c r="AT943" s="70"/>
      <c r="AU943" s="70"/>
      <c r="AV943" s="70"/>
      <c r="AW943" s="70"/>
      <c r="AX943" s="70"/>
    </row>
    <row r="944" ht="15.75" customHeight="1">
      <c r="A944" s="68" t="s">
        <v>263</v>
      </c>
      <c r="B944" s="66" t="s">
        <v>6723</v>
      </c>
      <c r="C944" s="28" t="s">
        <v>6728</v>
      </c>
      <c r="D944" s="28" t="s">
        <v>6729</v>
      </c>
      <c r="E944" s="28" t="s">
        <v>6730</v>
      </c>
      <c r="F944" s="28" t="s">
        <v>10593</v>
      </c>
      <c r="G944" s="28" t="s">
        <v>10594</v>
      </c>
      <c r="H944" s="28" t="s">
        <v>10595</v>
      </c>
      <c r="I944" s="28"/>
      <c r="J944" s="28"/>
      <c r="K944" s="28" t="s">
        <v>10563</v>
      </c>
      <c r="L944" s="28"/>
      <c r="M944" s="28"/>
      <c r="N944" s="28"/>
      <c r="O944" s="67"/>
      <c r="P944" s="67"/>
      <c r="Q944" s="67" t="s">
        <v>145</v>
      </c>
      <c r="R944" s="67"/>
      <c r="S944" s="67"/>
      <c r="T944" s="67"/>
      <c r="U944" s="67"/>
      <c r="V944" s="67"/>
      <c r="W944" s="67"/>
      <c r="X944" s="67"/>
      <c r="Y944" s="67"/>
      <c r="Z944" s="67"/>
      <c r="AA944" s="67"/>
      <c r="AB944" s="67"/>
      <c r="AC944" s="67"/>
      <c r="AD944" s="70"/>
      <c r="AE944" s="70"/>
      <c r="AF944" s="70"/>
      <c r="AG944" s="70"/>
      <c r="AH944" s="70"/>
      <c r="AI944" s="70"/>
      <c r="AJ944" s="70"/>
      <c r="AK944" s="70"/>
      <c r="AL944" s="70"/>
      <c r="AM944" s="70"/>
      <c r="AN944" s="70"/>
      <c r="AO944" s="70"/>
      <c r="AP944" s="70"/>
      <c r="AQ944" s="70"/>
      <c r="AR944" s="70"/>
      <c r="AS944" s="70"/>
      <c r="AT944" s="70"/>
      <c r="AU944" s="70"/>
      <c r="AV944" s="70"/>
      <c r="AW944" s="70"/>
      <c r="AX944" s="70"/>
    </row>
    <row r="945" ht="15.75" customHeight="1">
      <c r="A945" s="68" t="s">
        <v>41</v>
      </c>
      <c r="B945" s="69" t="s">
        <v>6731</v>
      </c>
      <c r="C945" s="28" t="s">
        <v>6736</v>
      </c>
      <c r="D945" s="28" t="s">
        <v>6737</v>
      </c>
      <c r="E945" s="28" t="s">
        <v>6738</v>
      </c>
      <c r="F945" s="28"/>
      <c r="G945" s="28"/>
      <c r="H945" s="28"/>
      <c r="I945" s="28"/>
      <c r="J945" s="28"/>
      <c r="K945" s="28"/>
      <c r="L945" s="28"/>
      <c r="M945" s="28"/>
      <c r="N945" s="28"/>
      <c r="O945" s="67"/>
      <c r="P945" s="67"/>
      <c r="Q945" s="67"/>
      <c r="R945" s="67"/>
      <c r="S945" s="67"/>
      <c r="T945" s="67"/>
      <c r="U945" s="67"/>
      <c r="V945" s="67"/>
      <c r="W945" s="67"/>
      <c r="X945" s="67"/>
      <c r="Y945" s="67"/>
      <c r="Z945" s="67"/>
      <c r="AA945" s="67"/>
      <c r="AB945" s="67"/>
      <c r="AC945" s="67"/>
      <c r="AD945" s="70"/>
      <c r="AE945" s="70"/>
      <c r="AF945" s="70"/>
      <c r="AG945" s="70"/>
      <c r="AH945" s="70"/>
      <c r="AI945" s="70"/>
      <c r="AJ945" s="70"/>
      <c r="AK945" s="70"/>
      <c r="AL945" s="70"/>
      <c r="AM945" s="70"/>
      <c r="AN945" s="70"/>
      <c r="AO945" s="70"/>
      <c r="AP945" s="70"/>
      <c r="AQ945" s="70"/>
      <c r="AR945" s="70"/>
      <c r="AS945" s="70"/>
      <c r="AT945" s="70"/>
      <c r="AU945" s="70"/>
      <c r="AV945" s="70"/>
      <c r="AW945" s="70"/>
      <c r="AX945" s="70"/>
    </row>
    <row r="946" ht="15.75" customHeight="1">
      <c r="A946" s="68" t="s">
        <v>4632</v>
      </c>
      <c r="B946" s="69" t="s">
        <v>6739</v>
      </c>
      <c r="C946" s="28" t="s">
        <v>6743</v>
      </c>
      <c r="D946" s="28" t="s">
        <v>6744</v>
      </c>
      <c r="E946" s="28" t="s">
        <v>6745</v>
      </c>
      <c r="F946" s="28"/>
      <c r="G946" s="28"/>
      <c r="H946" s="28"/>
      <c r="I946" s="28"/>
      <c r="J946" s="28"/>
      <c r="K946" s="28"/>
      <c r="L946" s="28"/>
      <c r="M946" s="28"/>
      <c r="N946" s="28"/>
      <c r="O946" s="67"/>
      <c r="P946" s="67"/>
      <c r="Q946" s="67" t="s">
        <v>145</v>
      </c>
      <c r="R946" s="67"/>
      <c r="S946" s="67"/>
      <c r="T946" s="67"/>
      <c r="U946" s="67"/>
      <c r="V946" s="67"/>
      <c r="W946" s="67"/>
      <c r="X946" s="67"/>
      <c r="Y946" s="67"/>
      <c r="Z946" s="67"/>
      <c r="AA946" s="67"/>
      <c r="AB946" s="67"/>
      <c r="AC946" s="67"/>
      <c r="AD946" s="70"/>
      <c r="AE946" s="70"/>
      <c r="AF946" s="70"/>
      <c r="AG946" s="70"/>
      <c r="AH946" s="70"/>
      <c r="AI946" s="70"/>
      <c r="AJ946" s="70"/>
      <c r="AK946" s="70"/>
      <c r="AL946" s="70"/>
      <c r="AM946" s="70"/>
      <c r="AN946" s="70"/>
      <c r="AO946" s="70"/>
      <c r="AP946" s="70"/>
      <c r="AQ946" s="70"/>
      <c r="AR946" s="70"/>
      <c r="AS946" s="70"/>
      <c r="AT946" s="70"/>
      <c r="AU946" s="70"/>
      <c r="AV946" s="70"/>
      <c r="AW946" s="70"/>
      <c r="AX946" s="70"/>
    </row>
    <row r="947" ht="15.75" customHeight="1">
      <c r="A947" s="166" t="s">
        <v>41</v>
      </c>
      <c r="B947" s="299" t="s">
        <v>6746</v>
      </c>
      <c r="C947" s="28" t="s">
        <v>6752</v>
      </c>
      <c r="D947" s="28" t="s">
        <v>6753</v>
      </c>
      <c r="E947" s="28" t="s">
        <v>6754</v>
      </c>
      <c r="F947" s="28"/>
      <c r="G947" s="28"/>
      <c r="H947" s="28"/>
      <c r="I947" s="28"/>
      <c r="J947" s="28"/>
      <c r="K947" s="28"/>
      <c r="L947" s="28"/>
      <c r="M947" s="28"/>
      <c r="N947" s="28"/>
      <c r="O947" s="126"/>
      <c r="P947" s="126"/>
      <c r="Q947" s="126"/>
      <c r="R947" s="126"/>
      <c r="S947" s="126"/>
      <c r="T947" s="126"/>
      <c r="U947" s="126"/>
      <c r="V947" s="126"/>
      <c r="W947" s="126"/>
      <c r="X947" s="126"/>
      <c r="Y947" s="126"/>
      <c r="Z947" s="126"/>
      <c r="AA947" s="126"/>
      <c r="AB947" s="126"/>
      <c r="AC947" s="126"/>
      <c r="AD947" s="70"/>
      <c r="AE947" s="70"/>
      <c r="AF947" s="70"/>
      <c r="AG947" s="70"/>
      <c r="AH947" s="70"/>
      <c r="AI947" s="70"/>
      <c r="AJ947" s="70"/>
      <c r="AK947" s="70"/>
      <c r="AL947" s="70"/>
      <c r="AM947" s="70"/>
      <c r="AN947" s="70"/>
      <c r="AO947" s="70"/>
      <c r="AP947" s="70"/>
      <c r="AQ947" s="70"/>
      <c r="AR947" s="70"/>
      <c r="AS947" s="70"/>
      <c r="AT947" s="70"/>
      <c r="AU947" s="70"/>
      <c r="AV947" s="70"/>
      <c r="AW947" s="70"/>
      <c r="AX947" s="70"/>
    </row>
    <row r="948" ht="15.75" customHeight="1">
      <c r="A948" s="68" t="s">
        <v>6755</v>
      </c>
      <c r="B948" s="69" t="s">
        <v>6756</v>
      </c>
      <c r="C948" s="28" t="s">
        <v>6760</v>
      </c>
      <c r="D948" s="28" t="s">
        <v>6761</v>
      </c>
      <c r="E948" s="28" t="s">
        <v>6762</v>
      </c>
      <c r="F948" s="28"/>
      <c r="G948" s="28"/>
      <c r="H948" s="28"/>
      <c r="I948" s="28"/>
      <c r="J948" s="28"/>
      <c r="K948" s="28"/>
      <c r="L948" s="28"/>
      <c r="M948" s="28"/>
      <c r="N948" s="28"/>
      <c r="O948" s="67"/>
      <c r="P948" s="67"/>
      <c r="Q948" s="67" t="s">
        <v>145</v>
      </c>
      <c r="R948" s="67"/>
      <c r="S948" s="67"/>
      <c r="T948" s="67"/>
      <c r="U948" s="67"/>
      <c r="V948" s="67"/>
      <c r="W948" s="67"/>
      <c r="X948" s="67"/>
      <c r="Y948" s="67"/>
      <c r="Z948" s="67"/>
      <c r="AA948" s="67"/>
      <c r="AB948" s="67"/>
      <c r="AC948" s="67"/>
      <c r="AD948" s="70"/>
      <c r="AE948" s="70"/>
      <c r="AF948" s="70"/>
      <c r="AG948" s="70"/>
      <c r="AH948" s="70"/>
      <c r="AI948" s="70"/>
      <c r="AJ948" s="70"/>
      <c r="AK948" s="70"/>
      <c r="AL948" s="70"/>
      <c r="AM948" s="70"/>
      <c r="AN948" s="70"/>
      <c r="AO948" s="70"/>
      <c r="AP948" s="70"/>
      <c r="AQ948" s="70"/>
      <c r="AR948" s="70"/>
      <c r="AS948" s="70"/>
      <c r="AT948" s="70"/>
      <c r="AU948" s="70"/>
      <c r="AV948" s="70"/>
      <c r="AW948" s="70"/>
      <c r="AX948" s="70"/>
    </row>
    <row r="949" ht="15.75" customHeight="1">
      <c r="A949" s="68" t="s">
        <v>6755</v>
      </c>
      <c r="B949" s="69" t="s">
        <v>6763</v>
      </c>
      <c r="C949" s="28" t="s">
        <v>6771</v>
      </c>
      <c r="D949" s="28" t="s">
        <v>6772</v>
      </c>
      <c r="E949" s="28" t="s">
        <v>6773</v>
      </c>
      <c r="F949" s="28"/>
      <c r="G949" s="28"/>
      <c r="H949" s="28"/>
      <c r="I949" s="28"/>
      <c r="J949" s="28"/>
      <c r="K949" s="28"/>
      <c r="L949" s="28"/>
      <c r="M949" s="28"/>
      <c r="N949" s="28"/>
      <c r="O949" s="67"/>
      <c r="P949" s="67"/>
      <c r="Q949" s="67" t="s">
        <v>145</v>
      </c>
      <c r="R949" s="67"/>
      <c r="S949" s="67"/>
      <c r="T949" s="67"/>
      <c r="U949" s="67"/>
      <c r="V949" s="67"/>
      <c r="W949" s="67"/>
      <c r="X949" s="67"/>
      <c r="Y949" s="67"/>
      <c r="Z949" s="67"/>
      <c r="AA949" s="67"/>
      <c r="AB949" s="67"/>
      <c r="AC949" s="67"/>
      <c r="AD949" s="70"/>
      <c r="AE949" s="70"/>
      <c r="AF949" s="70"/>
      <c r="AG949" s="70"/>
      <c r="AH949" s="70"/>
      <c r="AI949" s="70"/>
      <c r="AJ949" s="70"/>
      <c r="AK949" s="70"/>
      <c r="AL949" s="70"/>
      <c r="AM949" s="70"/>
      <c r="AN949" s="70"/>
      <c r="AO949" s="70"/>
      <c r="AP949" s="70"/>
      <c r="AQ949" s="70"/>
      <c r="AR949" s="70"/>
      <c r="AS949" s="70"/>
      <c r="AT949" s="70"/>
      <c r="AU949" s="70"/>
      <c r="AV949" s="70"/>
      <c r="AW949" s="70"/>
      <c r="AX949" s="70"/>
    </row>
    <row r="950" ht="15.75" customHeight="1">
      <c r="A950" s="68" t="s">
        <v>6755</v>
      </c>
      <c r="B950" s="69" t="s">
        <v>6774</v>
      </c>
      <c r="C950" s="28" t="s">
        <v>6778</v>
      </c>
      <c r="D950" s="28" t="s">
        <v>6780</v>
      </c>
      <c r="E950" s="28" t="s">
        <v>6782</v>
      </c>
      <c r="F950" s="28"/>
      <c r="G950" s="28"/>
      <c r="H950" s="28"/>
      <c r="I950" s="28"/>
      <c r="J950" s="28"/>
      <c r="K950" s="28"/>
      <c r="L950" s="28"/>
      <c r="M950" s="28"/>
      <c r="N950" s="28"/>
      <c r="O950" s="67"/>
      <c r="P950" s="67"/>
      <c r="Q950" s="67" t="s">
        <v>145</v>
      </c>
      <c r="R950" s="67"/>
      <c r="S950" s="67"/>
      <c r="T950" s="67"/>
      <c r="U950" s="67"/>
      <c r="V950" s="67"/>
      <c r="W950" s="67"/>
      <c r="X950" s="67"/>
      <c r="Y950" s="67"/>
      <c r="Z950" s="67"/>
      <c r="AA950" s="67"/>
      <c r="AB950" s="67"/>
      <c r="AC950" s="67"/>
      <c r="AD950" s="70"/>
      <c r="AE950" s="70"/>
      <c r="AF950" s="70"/>
      <c r="AG950" s="70"/>
      <c r="AH950" s="70"/>
      <c r="AI950" s="70"/>
      <c r="AJ950" s="70"/>
      <c r="AK950" s="70"/>
      <c r="AL950" s="70"/>
      <c r="AM950" s="70"/>
      <c r="AN950" s="70"/>
      <c r="AO950" s="70"/>
      <c r="AP950" s="70"/>
      <c r="AQ950" s="70"/>
      <c r="AR950" s="70"/>
      <c r="AS950" s="70"/>
      <c r="AT950" s="70"/>
      <c r="AU950" s="70"/>
      <c r="AV950" s="70"/>
      <c r="AW950" s="70"/>
      <c r="AX950" s="70"/>
    </row>
    <row r="951" ht="15.75" customHeight="1">
      <c r="A951" s="68" t="s">
        <v>6755</v>
      </c>
      <c r="B951" s="69" t="s">
        <v>6784</v>
      </c>
      <c r="C951" s="28" t="s">
        <v>6788</v>
      </c>
      <c r="D951" s="28" t="s">
        <v>6789</v>
      </c>
      <c r="E951" s="28" t="s">
        <v>6790</v>
      </c>
      <c r="F951" s="28"/>
      <c r="G951" s="28"/>
      <c r="H951" s="28"/>
      <c r="I951" s="28"/>
      <c r="J951" s="28"/>
      <c r="K951" s="28"/>
      <c r="L951" s="28"/>
      <c r="M951" s="28"/>
      <c r="N951" s="28"/>
      <c r="O951" s="67"/>
      <c r="P951" s="67"/>
      <c r="Q951" s="67" t="s">
        <v>145</v>
      </c>
      <c r="R951" s="67"/>
      <c r="S951" s="67"/>
      <c r="T951" s="67"/>
      <c r="U951" s="67"/>
      <c r="V951" s="67"/>
      <c r="W951" s="67"/>
      <c r="X951" s="67"/>
      <c r="Y951" s="67"/>
      <c r="Z951" s="67"/>
      <c r="AA951" s="67"/>
      <c r="AB951" s="67"/>
      <c r="AC951" s="67"/>
      <c r="AD951" s="70"/>
      <c r="AE951" s="70"/>
      <c r="AF951" s="70"/>
      <c r="AG951" s="70"/>
      <c r="AH951" s="70"/>
      <c r="AI951" s="70"/>
      <c r="AJ951" s="70"/>
      <c r="AK951" s="70"/>
      <c r="AL951" s="70"/>
      <c r="AM951" s="70"/>
      <c r="AN951" s="70"/>
      <c r="AO951" s="70"/>
      <c r="AP951" s="70"/>
      <c r="AQ951" s="70"/>
      <c r="AR951" s="70"/>
      <c r="AS951" s="70"/>
      <c r="AT951" s="70"/>
      <c r="AU951" s="70"/>
      <c r="AV951" s="70"/>
      <c r="AW951" s="70"/>
      <c r="AX951" s="70"/>
    </row>
    <row r="952" ht="15.75" customHeight="1">
      <c r="A952" s="68" t="s">
        <v>6755</v>
      </c>
      <c r="B952" s="69" t="s">
        <v>6791</v>
      </c>
      <c r="C952" s="28" t="s">
        <v>6796</v>
      </c>
      <c r="D952" s="28" t="s">
        <v>6797</v>
      </c>
      <c r="E952" s="28" t="s">
        <v>6798</v>
      </c>
      <c r="F952" s="28"/>
      <c r="G952" s="28"/>
      <c r="H952" s="28"/>
      <c r="I952" s="28"/>
      <c r="J952" s="28"/>
      <c r="K952" s="28"/>
      <c r="L952" s="28"/>
      <c r="M952" s="28"/>
      <c r="N952" s="28"/>
      <c r="O952" s="67"/>
      <c r="P952" s="67"/>
      <c r="Q952" s="67" t="s">
        <v>145</v>
      </c>
      <c r="R952" s="67"/>
      <c r="S952" s="67"/>
      <c r="T952" s="67"/>
      <c r="U952" s="67"/>
      <c r="V952" s="67"/>
      <c r="W952" s="67"/>
      <c r="X952" s="67"/>
      <c r="Y952" s="67"/>
      <c r="Z952" s="67"/>
      <c r="AA952" s="67"/>
      <c r="AB952" s="67"/>
      <c r="AC952" s="67"/>
      <c r="AD952" s="70"/>
      <c r="AE952" s="70"/>
      <c r="AF952" s="70"/>
      <c r="AG952" s="70"/>
      <c r="AH952" s="70"/>
      <c r="AI952" s="70"/>
      <c r="AJ952" s="70"/>
      <c r="AK952" s="70"/>
      <c r="AL952" s="70"/>
      <c r="AM952" s="70"/>
      <c r="AN952" s="70"/>
      <c r="AO952" s="70"/>
      <c r="AP952" s="70"/>
      <c r="AQ952" s="70"/>
      <c r="AR952" s="70"/>
      <c r="AS952" s="70"/>
      <c r="AT952" s="70"/>
      <c r="AU952" s="70"/>
      <c r="AV952" s="70"/>
      <c r="AW952" s="70"/>
      <c r="AX952" s="70"/>
    </row>
    <row r="953" ht="15.75" customHeight="1">
      <c r="A953" s="68" t="s">
        <v>6755</v>
      </c>
      <c r="B953" s="69" t="s">
        <v>6799</v>
      </c>
      <c r="C953" s="28" t="s">
        <v>6804</v>
      </c>
      <c r="D953" s="28" t="s">
        <v>6805</v>
      </c>
      <c r="E953" s="28" t="s">
        <v>6806</v>
      </c>
      <c r="F953" s="28"/>
      <c r="G953" s="28"/>
      <c r="H953" s="28"/>
      <c r="I953" s="28"/>
      <c r="J953" s="28"/>
      <c r="K953" s="28"/>
      <c r="L953" s="28"/>
      <c r="M953" s="28"/>
      <c r="N953" s="28"/>
      <c r="O953" s="67"/>
      <c r="P953" s="67"/>
      <c r="Q953" s="67" t="s">
        <v>145</v>
      </c>
      <c r="R953" s="67"/>
      <c r="S953" s="67"/>
      <c r="T953" s="67"/>
      <c r="U953" s="67"/>
      <c r="V953" s="67"/>
      <c r="W953" s="67"/>
      <c r="X953" s="67"/>
      <c r="Y953" s="67"/>
      <c r="Z953" s="67"/>
      <c r="AA953" s="67"/>
      <c r="AB953" s="67"/>
      <c r="AC953" s="67"/>
      <c r="AD953" s="70"/>
      <c r="AE953" s="70"/>
      <c r="AF953" s="70"/>
      <c r="AG953" s="70"/>
      <c r="AH953" s="70"/>
      <c r="AI953" s="70"/>
      <c r="AJ953" s="70"/>
      <c r="AK953" s="70"/>
      <c r="AL953" s="70"/>
      <c r="AM953" s="70"/>
      <c r="AN953" s="70"/>
      <c r="AO953" s="70"/>
      <c r="AP953" s="70"/>
      <c r="AQ953" s="70"/>
      <c r="AR953" s="70"/>
      <c r="AS953" s="70"/>
      <c r="AT953" s="70"/>
      <c r="AU953" s="70"/>
      <c r="AV953" s="70"/>
      <c r="AW953" s="70"/>
      <c r="AX953" s="70"/>
    </row>
    <row r="954" ht="15.75" customHeight="1">
      <c r="A954" s="68" t="s">
        <v>6755</v>
      </c>
      <c r="B954" s="69" t="s">
        <v>6807</v>
      </c>
      <c r="C954" s="28" t="s">
        <v>6812</v>
      </c>
      <c r="D954" s="28" t="s">
        <v>6814</v>
      </c>
      <c r="E954" s="28" t="s">
        <v>6815</v>
      </c>
      <c r="F954" s="28"/>
      <c r="G954" s="28"/>
      <c r="H954" s="28"/>
      <c r="I954" s="28"/>
      <c r="J954" s="28"/>
      <c r="K954" s="28"/>
      <c r="L954" s="28"/>
      <c r="M954" s="28"/>
      <c r="N954" s="28"/>
      <c r="O954" s="67"/>
      <c r="P954" s="67"/>
      <c r="Q954" s="67" t="s">
        <v>145</v>
      </c>
      <c r="R954" s="67"/>
      <c r="S954" s="67"/>
      <c r="T954" s="67"/>
      <c r="U954" s="67"/>
      <c r="V954" s="67"/>
      <c r="W954" s="67"/>
      <c r="X954" s="67"/>
      <c r="Y954" s="67"/>
      <c r="Z954" s="67"/>
      <c r="AA954" s="67"/>
      <c r="AB954" s="67"/>
      <c r="AC954" s="67"/>
      <c r="AD954" s="70"/>
      <c r="AE954" s="70"/>
      <c r="AF954" s="70"/>
      <c r="AG954" s="70"/>
      <c r="AH954" s="70"/>
      <c r="AI954" s="70"/>
      <c r="AJ954" s="70"/>
      <c r="AK954" s="70"/>
      <c r="AL954" s="70"/>
      <c r="AM954" s="70"/>
      <c r="AN954" s="70"/>
      <c r="AO954" s="70"/>
      <c r="AP954" s="70"/>
      <c r="AQ954" s="70"/>
      <c r="AR954" s="70"/>
      <c r="AS954" s="70"/>
      <c r="AT954" s="70"/>
      <c r="AU954" s="70"/>
      <c r="AV954" s="70"/>
      <c r="AW954" s="70"/>
      <c r="AX954" s="70"/>
    </row>
    <row r="955" ht="15.75" customHeight="1">
      <c r="A955" s="140" t="s">
        <v>237</v>
      </c>
      <c r="B955" s="140" t="s">
        <v>6652</v>
      </c>
      <c r="C955" s="28" t="s">
        <v>6653</v>
      </c>
      <c r="D955" s="28"/>
      <c r="E955" s="28"/>
      <c r="F955" s="28"/>
      <c r="G955" s="28"/>
      <c r="H955" s="28"/>
      <c r="I955" s="28"/>
      <c r="J955" s="28"/>
      <c r="K955" s="28"/>
      <c r="L955" s="28"/>
      <c r="M955" s="28"/>
      <c r="N955" s="28"/>
      <c r="O955" s="139"/>
      <c r="P955" s="139"/>
      <c r="Q955" s="139"/>
      <c r="R955" s="139"/>
      <c r="S955" s="139"/>
      <c r="T955" s="139"/>
      <c r="U955" s="139"/>
      <c r="V955" s="139"/>
      <c r="W955" s="139"/>
      <c r="X955" s="139"/>
      <c r="Y955" s="139"/>
      <c r="Z955" s="139"/>
      <c r="AA955" s="139"/>
      <c r="AB955" s="139"/>
      <c r="AC955" s="139"/>
      <c r="AD955" s="70"/>
      <c r="AE955" s="70"/>
      <c r="AF955" s="70"/>
      <c r="AG955" s="70"/>
      <c r="AH955" s="70"/>
      <c r="AI955" s="70"/>
      <c r="AJ955" s="70"/>
      <c r="AK955" s="70"/>
      <c r="AL955" s="70"/>
      <c r="AM955" s="70"/>
      <c r="AN955" s="70"/>
      <c r="AO955" s="70"/>
      <c r="AP955" s="70"/>
      <c r="AQ955" s="70"/>
      <c r="AR955" s="70"/>
      <c r="AS955" s="70"/>
      <c r="AT955" s="70"/>
      <c r="AU955" s="70"/>
      <c r="AV955" s="70"/>
      <c r="AW955" s="70"/>
      <c r="AX955" s="70"/>
    </row>
    <row r="956" ht="15.75" customHeight="1">
      <c r="A956" s="221"/>
      <c r="B956" s="221"/>
      <c r="C956" s="28"/>
      <c r="D956" s="28"/>
      <c r="E956" s="28"/>
      <c r="F956" s="28"/>
      <c r="G956" s="28"/>
      <c r="H956" s="28"/>
      <c r="I956" s="28"/>
      <c r="J956" s="28"/>
      <c r="K956" s="28"/>
      <c r="L956" s="28"/>
      <c r="M956" s="28"/>
      <c r="N956" s="28"/>
      <c r="O956" s="70"/>
      <c r="P956" s="70"/>
      <c r="Q956" s="70"/>
      <c r="R956" s="70"/>
      <c r="S956" s="70"/>
      <c r="T956" s="70"/>
      <c r="U956" s="70"/>
      <c r="V956" s="70"/>
      <c r="W956" s="70"/>
      <c r="X956" s="70"/>
      <c r="Y956" s="70"/>
      <c r="Z956" s="70"/>
      <c r="AA956" s="70"/>
      <c r="AB956" s="70"/>
      <c r="AC956" s="70"/>
      <c r="AD956" s="70"/>
      <c r="AE956" s="70"/>
      <c r="AF956" s="70"/>
      <c r="AG956" s="70"/>
      <c r="AH956" s="70"/>
      <c r="AI956" s="70"/>
      <c r="AJ956" s="70"/>
      <c r="AK956" s="70"/>
      <c r="AL956" s="70"/>
      <c r="AM956" s="70"/>
      <c r="AN956" s="70"/>
      <c r="AO956" s="70"/>
      <c r="AP956" s="70"/>
      <c r="AQ956" s="70"/>
      <c r="AR956" s="70"/>
      <c r="AS956" s="70"/>
      <c r="AT956" s="70"/>
      <c r="AU956" s="70"/>
      <c r="AV956" s="70"/>
      <c r="AW956" s="70"/>
      <c r="AX956" s="70"/>
    </row>
    <row r="957" ht="15.75" customHeight="1">
      <c r="A957" s="140" t="s">
        <v>131</v>
      </c>
      <c r="B957" s="193" t="s">
        <v>6825</v>
      </c>
      <c r="C957" s="28"/>
      <c r="D957" s="28"/>
      <c r="E957" s="28"/>
      <c r="F957" s="28"/>
      <c r="G957" s="28"/>
      <c r="H957" s="28"/>
      <c r="I957" s="28"/>
      <c r="J957" s="28" t="s">
        <v>931</v>
      </c>
      <c r="K957" s="28"/>
      <c r="L957" s="28"/>
      <c r="M957" s="28"/>
      <c r="N957" s="28"/>
      <c r="O957" s="379"/>
      <c r="P957" s="160"/>
      <c r="Q957" s="160"/>
      <c r="R957" s="160"/>
      <c r="S957" s="160"/>
      <c r="T957" s="160"/>
      <c r="U957" s="160"/>
      <c r="V957" s="160"/>
      <c r="W957" s="160"/>
      <c r="X957" s="160"/>
      <c r="Y957" s="160"/>
      <c r="Z957" s="160"/>
      <c r="AA957" s="160"/>
      <c r="AB957" s="160"/>
      <c r="AC957" s="160"/>
      <c r="AD957" s="121"/>
      <c r="AE957" s="121"/>
      <c r="AF957" s="121"/>
      <c r="AG957" s="121"/>
      <c r="AH957" s="121"/>
      <c r="AI957" s="121"/>
      <c r="AJ957" s="121"/>
      <c r="AK957" s="121"/>
      <c r="AL957" s="121"/>
      <c r="AM957" s="121"/>
      <c r="AN957" s="121"/>
      <c r="AO957" s="121"/>
      <c r="AP957" s="121"/>
      <c r="AQ957" s="121"/>
      <c r="AR957" s="121"/>
      <c r="AS957" s="121"/>
      <c r="AT957" s="121"/>
      <c r="AU957" s="121"/>
      <c r="AV957" s="121"/>
      <c r="AW957" s="121"/>
      <c r="AX957" s="121"/>
    </row>
    <row r="958" ht="15.75" customHeight="1">
      <c r="A958" s="68" t="s">
        <v>463</v>
      </c>
      <c r="B958" s="218" t="s">
        <v>6829</v>
      </c>
      <c r="C958" s="28" t="s">
        <v>6834</v>
      </c>
      <c r="D958" s="28" t="s">
        <v>6835</v>
      </c>
      <c r="E958" s="28" t="s">
        <v>6836</v>
      </c>
      <c r="F958" s="28"/>
      <c r="G958" s="28"/>
      <c r="H958" s="28"/>
      <c r="I958" s="28"/>
      <c r="J958" s="28" t="s">
        <v>8</v>
      </c>
      <c r="K958" s="28"/>
      <c r="L958" s="28"/>
      <c r="M958" s="28"/>
      <c r="N958" s="28"/>
      <c r="O958" s="276"/>
      <c r="P958" s="276"/>
      <c r="Q958" s="276"/>
      <c r="R958" s="276"/>
      <c r="S958" s="276"/>
      <c r="T958" s="276"/>
      <c r="U958" s="276"/>
      <c r="V958" s="276"/>
      <c r="W958" s="276"/>
      <c r="X958" s="276"/>
      <c r="Y958" s="276"/>
      <c r="Z958" s="276"/>
      <c r="AA958" s="276"/>
      <c r="AB958" s="276"/>
      <c r="AC958" s="276"/>
      <c r="AD958" s="121"/>
      <c r="AE958" s="121"/>
      <c r="AF958" s="121"/>
      <c r="AG958" s="121"/>
      <c r="AH958" s="121"/>
      <c r="AI958" s="121"/>
      <c r="AJ958" s="121"/>
      <c r="AK958" s="121"/>
      <c r="AL958" s="121"/>
      <c r="AM958" s="121"/>
      <c r="AN958" s="121"/>
      <c r="AO958" s="121"/>
      <c r="AP958" s="121"/>
      <c r="AQ958" s="121"/>
      <c r="AR958" s="121"/>
      <c r="AS958" s="121"/>
      <c r="AT958" s="121"/>
      <c r="AU958" s="121"/>
      <c r="AV958" s="121"/>
      <c r="AW958" s="121"/>
      <c r="AX958" s="121"/>
    </row>
    <row r="959" ht="15.75" customHeight="1">
      <c r="A959" s="68" t="s">
        <v>463</v>
      </c>
      <c r="B959" s="218" t="s">
        <v>6837</v>
      </c>
      <c r="C959" s="28" t="s">
        <v>6844</v>
      </c>
      <c r="D959" s="28" t="s">
        <v>6845</v>
      </c>
      <c r="E959" s="28" t="s">
        <v>6846</v>
      </c>
      <c r="F959" s="28"/>
      <c r="G959" s="28"/>
      <c r="H959" s="28"/>
      <c r="I959" s="28"/>
      <c r="J959" s="28" t="s">
        <v>958</v>
      </c>
      <c r="K959" s="28"/>
      <c r="L959" s="28"/>
      <c r="M959" s="28"/>
      <c r="N959" s="28"/>
      <c r="O959" s="276"/>
      <c r="P959" s="67"/>
      <c r="Q959" s="67" t="s">
        <v>145</v>
      </c>
      <c r="R959" s="276"/>
      <c r="S959" s="276"/>
      <c r="T959" s="276"/>
      <c r="U959" s="276"/>
      <c r="V959" s="276"/>
      <c r="W959" s="276"/>
      <c r="X959" s="276"/>
      <c r="Y959" s="276"/>
      <c r="Z959" s="276"/>
      <c r="AA959" s="276"/>
      <c r="AB959" s="276"/>
      <c r="AC959" s="276"/>
      <c r="AD959" s="121"/>
      <c r="AE959" s="121"/>
      <c r="AF959" s="121"/>
      <c r="AG959" s="121"/>
      <c r="AH959" s="121"/>
      <c r="AI959" s="121"/>
      <c r="AJ959" s="121"/>
      <c r="AK959" s="121"/>
      <c r="AL959" s="121"/>
      <c r="AM959" s="121"/>
      <c r="AN959" s="121"/>
      <c r="AO959" s="121"/>
      <c r="AP959" s="121"/>
      <c r="AQ959" s="121"/>
      <c r="AR959" s="121"/>
      <c r="AS959" s="121"/>
      <c r="AT959" s="121"/>
      <c r="AU959" s="121"/>
      <c r="AV959" s="121"/>
      <c r="AW959" s="121"/>
      <c r="AX959" s="121"/>
    </row>
    <row r="960" ht="15.75" customHeight="1">
      <c r="A960" s="68" t="s">
        <v>463</v>
      </c>
      <c r="B960" s="218" t="s">
        <v>6847</v>
      </c>
      <c r="C960" s="28" t="s">
        <v>6852</v>
      </c>
      <c r="D960" s="28" t="s">
        <v>6853</v>
      </c>
      <c r="E960" s="28" t="s">
        <v>6854</v>
      </c>
      <c r="F960" s="28"/>
      <c r="G960" s="28"/>
      <c r="H960" s="28"/>
      <c r="I960" s="28"/>
      <c r="J960" s="28" t="s">
        <v>958</v>
      </c>
      <c r="K960" s="28"/>
      <c r="L960" s="28"/>
      <c r="M960" s="28"/>
      <c r="N960" s="28"/>
      <c r="O960" s="276"/>
      <c r="P960" s="67"/>
      <c r="Q960" s="67" t="s">
        <v>145</v>
      </c>
      <c r="R960" s="276"/>
      <c r="S960" s="276"/>
      <c r="T960" s="276"/>
      <c r="U960" s="276"/>
      <c r="V960" s="276"/>
      <c r="W960" s="276"/>
      <c r="X960" s="276"/>
      <c r="Y960" s="276"/>
      <c r="Z960" s="276"/>
      <c r="AA960" s="276"/>
      <c r="AB960" s="276"/>
      <c r="AC960" s="276"/>
      <c r="AD960" s="121"/>
      <c r="AE960" s="121"/>
      <c r="AF960" s="121"/>
      <c r="AG960" s="121"/>
      <c r="AH960" s="121"/>
      <c r="AI960" s="121"/>
      <c r="AJ960" s="121"/>
      <c r="AK960" s="121"/>
      <c r="AL960" s="121"/>
      <c r="AM960" s="121"/>
      <c r="AN960" s="121"/>
      <c r="AO960" s="121"/>
      <c r="AP960" s="121"/>
      <c r="AQ960" s="121"/>
      <c r="AR960" s="121"/>
      <c r="AS960" s="121"/>
      <c r="AT960" s="121"/>
      <c r="AU960" s="121"/>
      <c r="AV960" s="121"/>
      <c r="AW960" s="121"/>
      <c r="AX960" s="121"/>
    </row>
    <row r="961" ht="15.75" customHeight="1">
      <c r="A961" s="68" t="s">
        <v>463</v>
      </c>
      <c r="B961" s="218" t="s">
        <v>6855</v>
      </c>
      <c r="C961" s="28" t="s">
        <v>6862</v>
      </c>
      <c r="D961" s="28" t="s">
        <v>6863</v>
      </c>
      <c r="E961" s="28" t="s">
        <v>6864</v>
      </c>
      <c r="F961" s="28"/>
      <c r="G961" s="28"/>
      <c r="H961" s="28"/>
      <c r="I961" s="28"/>
      <c r="J961" s="28" t="s">
        <v>958</v>
      </c>
      <c r="K961" s="28"/>
      <c r="L961" s="28"/>
      <c r="M961" s="28"/>
      <c r="N961" s="28"/>
      <c r="O961" s="276"/>
      <c r="P961" s="67"/>
      <c r="Q961" s="67" t="s">
        <v>145</v>
      </c>
      <c r="R961" s="276"/>
      <c r="S961" s="276"/>
      <c r="T961" s="276"/>
      <c r="U961" s="276"/>
      <c r="V961" s="276"/>
      <c r="W961" s="276"/>
      <c r="X961" s="276"/>
      <c r="Y961" s="276"/>
      <c r="Z961" s="276"/>
      <c r="AA961" s="276"/>
      <c r="AB961" s="276"/>
      <c r="AC961" s="276"/>
      <c r="AD961" s="121"/>
      <c r="AE961" s="121"/>
      <c r="AF961" s="121"/>
      <c r="AG961" s="121"/>
      <c r="AH961" s="121"/>
      <c r="AI961" s="121"/>
      <c r="AJ961" s="121"/>
      <c r="AK961" s="121"/>
      <c r="AL961" s="121"/>
      <c r="AM961" s="121"/>
      <c r="AN961" s="121"/>
      <c r="AO961" s="121"/>
      <c r="AP961" s="121"/>
      <c r="AQ961" s="121"/>
      <c r="AR961" s="121"/>
      <c r="AS961" s="121"/>
      <c r="AT961" s="121"/>
      <c r="AU961" s="121"/>
      <c r="AV961" s="121"/>
      <c r="AW961" s="121"/>
      <c r="AX961" s="121"/>
    </row>
    <row r="962" ht="15.75" customHeight="1">
      <c r="A962" s="68" t="s">
        <v>463</v>
      </c>
      <c r="B962" s="218" t="s">
        <v>6865</v>
      </c>
      <c r="C962" s="28" t="s">
        <v>6869</v>
      </c>
      <c r="D962" s="28" t="s">
        <v>6870</v>
      </c>
      <c r="E962" s="28" t="s">
        <v>6871</v>
      </c>
      <c r="F962" s="28"/>
      <c r="G962" s="28"/>
      <c r="H962" s="28"/>
      <c r="I962" s="28"/>
      <c r="J962" s="28" t="s">
        <v>958</v>
      </c>
      <c r="K962" s="28"/>
      <c r="L962" s="28"/>
      <c r="M962" s="28"/>
      <c r="N962" s="28"/>
      <c r="O962" s="276"/>
      <c r="P962" s="67"/>
      <c r="Q962" s="67" t="s">
        <v>145</v>
      </c>
      <c r="R962" s="276"/>
      <c r="S962" s="276"/>
      <c r="T962" s="276"/>
      <c r="U962" s="276"/>
      <c r="V962" s="276"/>
      <c r="W962" s="276"/>
      <c r="X962" s="276"/>
      <c r="Y962" s="276"/>
      <c r="Z962" s="276"/>
      <c r="AA962" s="276"/>
      <c r="AB962" s="276"/>
      <c r="AC962" s="276"/>
      <c r="AD962" s="121"/>
      <c r="AE962" s="121"/>
      <c r="AF962" s="121"/>
      <c r="AG962" s="121"/>
      <c r="AH962" s="121"/>
      <c r="AI962" s="121"/>
      <c r="AJ962" s="121"/>
      <c r="AK962" s="121"/>
      <c r="AL962" s="121"/>
      <c r="AM962" s="121"/>
      <c r="AN962" s="121"/>
      <c r="AO962" s="121"/>
      <c r="AP962" s="121"/>
      <c r="AQ962" s="121"/>
      <c r="AR962" s="121"/>
      <c r="AS962" s="121"/>
      <c r="AT962" s="121"/>
      <c r="AU962" s="121"/>
      <c r="AV962" s="121"/>
      <c r="AW962" s="121"/>
      <c r="AX962" s="121"/>
    </row>
    <row r="963" ht="15.75" customHeight="1">
      <c r="A963" s="140" t="s">
        <v>237</v>
      </c>
      <c r="B963" s="272" t="s">
        <v>6825</v>
      </c>
      <c r="C963" s="28"/>
      <c r="D963" s="28"/>
      <c r="E963" s="28"/>
      <c r="F963" s="28"/>
      <c r="G963" s="28"/>
      <c r="H963" s="28"/>
      <c r="I963" s="28"/>
      <c r="J963" s="28"/>
      <c r="K963" s="28"/>
      <c r="L963" s="28"/>
      <c r="M963" s="28"/>
      <c r="N963" s="28"/>
      <c r="O963" s="160"/>
      <c r="P963" s="160"/>
      <c r="Q963" s="160"/>
      <c r="R963" s="160"/>
      <c r="S963" s="160"/>
      <c r="T963" s="160"/>
      <c r="U963" s="160"/>
      <c r="V963" s="160"/>
      <c r="W963" s="160"/>
      <c r="X963" s="160"/>
      <c r="Y963" s="160"/>
      <c r="Z963" s="160"/>
      <c r="AA963" s="160"/>
      <c r="AB963" s="160"/>
      <c r="AC963" s="160"/>
      <c r="AD963" s="121"/>
      <c r="AE963" s="121"/>
      <c r="AF963" s="121"/>
      <c r="AG963" s="121"/>
      <c r="AH963" s="121"/>
      <c r="AI963" s="121"/>
      <c r="AJ963" s="121"/>
      <c r="AK963" s="121"/>
      <c r="AL963" s="121"/>
      <c r="AM963" s="121"/>
      <c r="AN963" s="121"/>
      <c r="AO963" s="121"/>
      <c r="AP963" s="121"/>
      <c r="AQ963" s="121"/>
      <c r="AR963" s="121"/>
      <c r="AS963" s="121"/>
      <c r="AT963" s="121"/>
      <c r="AU963" s="121"/>
      <c r="AV963" s="121"/>
      <c r="AW963" s="121"/>
      <c r="AX963" s="121"/>
    </row>
    <row r="964" ht="15.75" customHeight="1">
      <c r="A964" s="221"/>
      <c r="B964" s="221"/>
      <c r="C964" s="28" t="s">
        <v>50</v>
      </c>
      <c r="D964" s="28" t="s">
        <v>50</v>
      </c>
      <c r="E964" s="28" t="s">
        <v>50</v>
      </c>
      <c r="F964" s="28"/>
      <c r="G964" s="28"/>
      <c r="H964" s="28"/>
      <c r="I964" s="28"/>
      <c r="J964" s="28"/>
      <c r="K964" s="28"/>
      <c r="L964" s="28"/>
      <c r="M964" s="28"/>
      <c r="N964" s="28"/>
      <c r="O964" s="70"/>
      <c r="P964" s="70"/>
      <c r="Q964" s="70"/>
      <c r="R964" s="70"/>
      <c r="S964" s="70"/>
      <c r="T964" s="70"/>
      <c r="U964" s="70"/>
      <c r="V964" s="70"/>
      <c r="W964" s="70"/>
      <c r="X964" s="70"/>
      <c r="Y964" s="70"/>
      <c r="Z964" s="70"/>
      <c r="AA964" s="70"/>
      <c r="AB964" s="70"/>
      <c r="AC964" s="70"/>
      <c r="AD964" s="70"/>
      <c r="AE964" s="70"/>
      <c r="AF964" s="70"/>
      <c r="AG964" s="70"/>
      <c r="AH964" s="70"/>
      <c r="AI964" s="70"/>
      <c r="AJ964" s="70"/>
      <c r="AK964" s="70"/>
      <c r="AL964" s="70"/>
      <c r="AM964" s="70"/>
      <c r="AN964" s="70"/>
      <c r="AO964" s="70"/>
      <c r="AP964" s="70"/>
      <c r="AQ964" s="70"/>
      <c r="AR964" s="70"/>
      <c r="AS964" s="70"/>
      <c r="AT964" s="70"/>
      <c r="AU964" s="70"/>
      <c r="AV964" s="70"/>
      <c r="AW964" s="70"/>
      <c r="AX964" s="70"/>
    </row>
    <row r="965" ht="15.75" customHeight="1">
      <c r="A965" s="140" t="s">
        <v>131</v>
      </c>
      <c r="B965" s="298" t="s">
        <v>6879</v>
      </c>
      <c r="C965" s="28" t="s">
        <v>6880</v>
      </c>
      <c r="D965" s="28"/>
      <c r="E965" s="28"/>
      <c r="F965" s="28"/>
      <c r="G965" s="28"/>
      <c r="H965" s="28"/>
      <c r="I965" s="28"/>
      <c r="J965" s="28"/>
      <c r="K965" s="28"/>
      <c r="L965" s="28"/>
      <c r="M965" s="28"/>
      <c r="N965" s="28"/>
      <c r="O965" s="190"/>
      <c r="P965" s="139"/>
      <c r="Q965" s="139"/>
      <c r="R965" s="139"/>
      <c r="S965" s="139"/>
      <c r="T965" s="139"/>
      <c r="U965" s="139"/>
      <c r="V965" s="139"/>
      <c r="W965" s="139"/>
      <c r="X965" s="139"/>
      <c r="Y965" s="139"/>
      <c r="Z965" s="139"/>
      <c r="AA965" s="139"/>
      <c r="AB965" s="139"/>
      <c r="AC965" s="139"/>
      <c r="AD965" s="70"/>
      <c r="AE965" s="70"/>
      <c r="AF965" s="70"/>
      <c r="AG965" s="70"/>
      <c r="AH965" s="70"/>
      <c r="AI965" s="70"/>
      <c r="AJ965" s="70"/>
      <c r="AK965" s="70"/>
      <c r="AL965" s="70"/>
      <c r="AM965" s="70"/>
      <c r="AN965" s="70"/>
      <c r="AO965" s="70"/>
      <c r="AP965" s="70"/>
      <c r="AQ965" s="70"/>
      <c r="AR965" s="70"/>
      <c r="AS965" s="70"/>
      <c r="AT965" s="70"/>
      <c r="AU965" s="70"/>
      <c r="AV965" s="70"/>
      <c r="AW965" s="70"/>
      <c r="AX965" s="70"/>
    </row>
    <row r="966" ht="15.75" customHeight="1">
      <c r="A966" s="299" t="s">
        <v>41</v>
      </c>
      <c r="B966" s="299" t="s">
        <v>6886</v>
      </c>
      <c r="C966" s="28" t="s">
        <v>6890</v>
      </c>
      <c r="D966" s="28" t="s">
        <v>6891</v>
      </c>
      <c r="E966" s="28" t="s">
        <v>6892</v>
      </c>
      <c r="F966" s="28"/>
      <c r="G966" s="28"/>
      <c r="H966" s="28"/>
      <c r="I966" s="28"/>
      <c r="J966" s="28"/>
      <c r="K966" s="28"/>
      <c r="L966" s="28"/>
      <c r="M966" s="28"/>
      <c r="N966" s="28"/>
      <c r="O966" s="126"/>
      <c r="P966" s="126"/>
      <c r="Q966" s="126"/>
      <c r="R966" s="126"/>
      <c r="S966" s="126"/>
      <c r="T966" s="126"/>
      <c r="U966" s="126"/>
      <c r="V966" s="126"/>
      <c r="W966" s="126"/>
      <c r="X966" s="126"/>
      <c r="Y966" s="126"/>
      <c r="Z966" s="126"/>
      <c r="AA966" s="126"/>
      <c r="AB966" s="126"/>
      <c r="AC966" s="126"/>
      <c r="AD966" s="70"/>
      <c r="AE966" s="70"/>
      <c r="AF966" s="70"/>
      <c r="AG966" s="70"/>
      <c r="AH966" s="70"/>
      <c r="AI966" s="70"/>
      <c r="AJ966" s="70"/>
      <c r="AK966" s="70"/>
      <c r="AL966" s="70"/>
      <c r="AM966" s="70"/>
      <c r="AN966" s="70"/>
      <c r="AO966" s="70"/>
      <c r="AP966" s="70"/>
      <c r="AQ966" s="70"/>
      <c r="AR966" s="70"/>
      <c r="AS966" s="70"/>
      <c r="AT966" s="70"/>
      <c r="AU966" s="70"/>
      <c r="AV966" s="70"/>
      <c r="AW966" s="70"/>
      <c r="AX966" s="70"/>
    </row>
    <row r="967" ht="15.75" customHeight="1">
      <c r="A967" s="69" t="s">
        <v>4632</v>
      </c>
      <c r="B967" s="69" t="s">
        <v>6893</v>
      </c>
      <c r="C967" s="28" t="s">
        <v>6897</v>
      </c>
      <c r="D967" s="28" t="s">
        <v>6898</v>
      </c>
      <c r="E967" s="28" t="s">
        <v>6899</v>
      </c>
      <c r="F967" s="28"/>
      <c r="G967" s="28"/>
      <c r="H967" s="28"/>
      <c r="I967" s="28"/>
      <c r="J967" s="28"/>
      <c r="K967" s="28"/>
      <c r="L967" s="28"/>
      <c r="M967" s="28"/>
      <c r="N967" s="28"/>
      <c r="O967" s="67"/>
      <c r="P967" s="67"/>
      <c r="Q967" s="67" t="s">
        <v>145</v>
      </c>
      <c r="R967" s="67"/>
      <c r="S967" s="67"/>
      <c r="T967" s="67"/>
      <c r="U967" s="67"/>
      <c r="V967" s="67"/>
      <c r="W967" s="67"/>
      <c r="X967" s="67"/>
      <c r="Y967" s="67"/>
      <c r="Z967" s="67"/>
      <c r="AA967" s="67"/>
      <c r="AB967" s="67"/>
      <c r="AC967" s="67"/>
      <c r="AD967" s="70"/>
      <c r="AE967" s="70"/>
      <c r="AF967" s="70"/>
      <c r="AG967" s="70"/>
      <c r="AH967" s="70"/>
      <c r="AI967" s="70"/>
      <c r="AJ967" s="70"/>
      <c r="AK967" s="70"/>
      <c r="AL967" s="70"/>
      <c r="AM967" s="70"/>
      <c r="AN967" s="70"/>
      <c r="AO967" s="70"/>
      <c r="AP967" s="70"/>
      <c r="AQ967" s="70"/>
      <c r="AR967" s="70"/>
      <c r="AS967" s="70"/>
      <c r="AT967" s="70"/>
      <c r="AU967" s="70"/>
      <c r="AV967" s="70"/>
      <c r="AW967" s="70"/>
      <c r="AX967" s="70"/>
    </row>
    <row r="968" ht="15.75" customHeight="1">
      <c r="A968" s="69" t="s">
        <v>4632</v>
      </c>
      <c r="B968" s="69" t="s">
        <v>6900</v>
      </c>
      <c r="C968" s="28" t="s">
        <v>6904</v>
      </c>
      <c r="D968" s="28" t="s">
        <v>6905</v>
      </c>
      <c r="E968" s="28" t="s">
        <v>6906</v>
      </c>
      <c r="F968" s="28"/>
      <c r="G968" s="28"/>
      <c r="H968" s="28"/>
      <c r="I968" s="28"/>
      <c r="J968" s="28"/>
      <c r="K968" s="28"/>
      <c r="L968" s="28"/>
      <c r="M968" s="28"/>
      <c r="N968" s="28"/>
      <c r="O968" s="67"/>
      <c r="P968" s="67"/>
      <c r="Q968" s="67" t="s">
        <v>145</v>
      </c>
      <c r="R968" s="67"/>
      <c r="S968" s="67"/>
      <c r="T968" s="67"/>
      <c r="U968" s="67"/>
      <c r="V968" s="67"/>
      <c r="W968" s="67"/>
      <c r="X968" s="67"/>
      <c r="Y968" s="67"/>
      <c r="Z968" s="67"/>
      <c r="AA968" s="67"/>
      <c r="AB968" s="67"/>
      <c r="AC968" s="67"/>
      <c r="AD968" s="70"/>
      <c r="AE968" s="70"/>
      <c r="AF968" s="70"/>
      <c r="AG968" s="70"/>
      <c r="AH968" s="70"/>
      <c r="AI968" s="70"/>
      <c r="AJ968" s="70"/>
      <c r="AK968" s="70"/>
      <c r="AL968" s="70"/>
      <c r="AM968" s="70"/>
      <c r="AN968" s="70"/>
      <c r="AO968" s="70"/>
      <c r="AP968" s="70"/>
      <c r="AQ968" s="70"/>
      <c r="AR968" s="70"/>
      <c r="AS968" s="70"/>
      <c r="AT968" s="70"/>
      <c r="AU968" s="70"/>
      <c r="AV968" s="70"/>
      <c r="AW968" s="70"/>
      <c r="AX968" s="70"/>
    </row>
    <row r="969" ht="15.75" customHeight="1">
      <c r="A969" s="69" t="s">
        <v>4632</v>
      </c>
      <c r="B969" s="69" t="s">
        <v>6907</v>
      </c>
      <c r="C969" s="28" t="s">
        <v>6911</v>
      </c>
      <c r="D969" s="28" t="s">
        <v>6912</v>
      </c>
      <c r="E969" s="28" t="s">
        <v>6913</v>
      </c>
      <c r="F969" s="28"/>
      <c r="G969" s="28"/>
      <c r="H969" s="28"/>
      <c r="I969" s="28"/>
      <c r="J969" s="28"/>
      <c r="K969" s="28"/>
      <c r="L969" s="28"/>
      <c r="M969" s="28"/>
      <c r="N969" s="28"/>
      <c r="O969" s="67"/>
      <c r="P969" s="67"/>
      <c r="Q969" s="67" t="s">
        <v>145</v>
      </c>
      <c r="R969" s="67"/>
      <c r="S969" s="67"/>
      <c r="T969" s="67"/>
      <c r="U969" s="67"/>
      <c r="V969" s="67"/>
      <c r="W969" s="67"/>
      <c r="X969" s="67"/>
      <c r="Y969" s="67"/>
      <c r="Z969" s="67"/>
      <c r="AA969" s="67"/>
      <c r="AB969" s="67"/>
      <c r="AC969" s="67"/>
      <c r="AD969" s="70"/>
      <c r="AE969" s="70"/>
      <c r="AF969" s="70"/>
      <c r="AG969" s="70"/>
      <c r="AH969" s="70"/>
      <c r="AI969" s="70"/>
      <c r="AJ969" s="70"/>
      <c r="AK969" s="70"/>
      <c r="AL969" s="70"/>
      <c r="AM969" s="70"/>
      <c r="AN969" s="70"/>
      <c r="AO969" s="70"/>
      <c r="AP969" s="70"/>
      <c r="AQ969" s="70"/>
      <c r="AR969" s="70"/>
      <c r="AS969" s="70"/>
      <c r="AT969" s="70"/>
      <c r="AU969" s="70"/>
      <c r="AV969" s="70"/>
      <c r="AW969" s="70"/>
      <c r="AX969" s="70"/>
    </row>
    <row r="970" ht="15.75" customHeight="1">
      <c r="A970" s="69" t="s">
        <v>4632</v>
      </c>
      <c r="B970" s="69" t="s">
        <v>6915</v>
      </c>
      <c r="C970" s="28" t="s">
        <v>6920</v>
      </c>
      <c r="D970" s="28" t="s">
        <v>6921</v>
      </c>
      <c r="E970" s="28" t="s">
        <v>6922</v>
      </c>
      <c r="F970" s="28"/>
      <c r="G970" s="28"/>
      <c r="H970" s="28"/>
      <c r="I970" s="28"/>
      <c r="J970" s="28"/>
      <c r="K970" s="28"/>
      <c r="L970" s="28"/>
      <c r="M970" s="28"/>
      <c r="N970" s="28"/>
      <c r="O970" s="67"/>
      <c r="P970" s="67"/>
      <c r="Q970" s="67" t="s">
        <v>145</v>
      </c>
      <c r="R970" s="67"/>
      <c r="S970" s="67"/>
      <c r="T970" s="67"/>
      <c r="U970" s="67"/>
      <c r="V970" s="67"/>
      <c r="W970" s="67"/>
      <c r="X970" s="67"/>
      <c r="Y970" s="67"/>
      <c r="Z970" s="67"/>
      <c r="AA970" s="67"/>
      <c r="AB970" s="67"/>
      <c r="AC970" s="67"/>
      <c r="AD970" s="70"/>
      <c r="AE970" s="70"/>
      <c r="AF970" s="70"/>
      <c r="AG970" s="70"/>
      <c r="AH970" s="70"/>
      <c r="AI970" s="70"/>
      <c r="AJ970" s="70"/>
      <c r="AK970" s="70"/>
      <c r="AL970" s="70"/>
      <c r="AM970" s="70"/>
      <c r="AN970" s="70"/>
      <c r="AO970" s="70"/>
      <c r="AP970" s="70"/>
      <c r="AQ970" s="70"/>
      <c r="AR970" s="70"/>
      <c r="AS970" s="70"/>
      <c r="AT970" s="70"/>
      <c r="AU970" s="70"/>
      <c r="AV970" s="70"/>
      <c r="AW970" s="70"/>
      <c r="AX970" s="70"/>
    </row>
    <row r="971" ht="15.75" customHeight="1">
      <c r="A971" s="68" t="s">
        <v>4632</v>
      </c>
      <c r="B971" s="66" t="s">
        <v>6923</v>
      </c>
      <c r="C971" s="28" t="s">
        <v>6927</v>
      </c>
      <c r="D971" s="28" t="s">
        <v>6928</v>
      </c>
      <c r="E971" s="28" t="s">
        <v>6929</v>
      </c>
      <c r="F971" s="28"/>
      <c r="G971" s="28"/>
      <c r="H971" s="28"/>
      <c r="I971" s="28"/>
      <c r="J971" s="28"/>
      <c r="K971" s="28"/>
      <c r="L971" s="28"/>
      <c r="M971" s="28"/>
      <c r="N971" s="28"/>
      <c r="O971" s="67" t="s">
        <v>3951</v>
      </c>
      <c r="P971" s="67"/>
      <c r="Q971" s="67" t="s">
        <v>145</v>
      </c>
      <c r="R971" s="67"/>
      <c r="S971" s="67"/>
      <c r="T971" s="67"/>
      <c r="U971" s="67"/>
      <c r="V971" s="67"/>
      <c r="W971" s="67"/>
      <c r="X971" s="67"/>
      <c r="Y971" s="67"/>
      <c r="Z971" s="67"/>
      <c r="AA971" s="67"/>
      <c r="AB971" s="67"/>
      <c r="AC971" s="67"/>
      <c r="AD971" s="70"/>
      <c r="AE971" s="70"/>
      <c r="AF971" s="70"/>
      <c r="AG971" s="70"/>
      <c r="AH971" s="70"/>
      <c r="AI971" s="70"/>
      <c r="AJ971" s="70"/>
      <c r="AK971" s="70"/>
      <c r="AL971" s="70"/>
      <c r="AM971" s="70"/>
      <c r="AN971" s="70"/>
      <c r="AO971" s="70"/>
      <c r="AP971" s="70"/>
      <c r="AQ971" s="70"/>
      <c r="AR971" s="70"/>
      <c r="AS971" s="70"/>
      <c r="AT971" s="70"/>
      <c r="AU971" s="70"/>
      <c r="AV971" s="70"/>
      <c r="AW971" s="70"/>
      <c r="AX971" s="70"/>
    </row>
    <row r="972" ht="15.75" customHeight="1">
      <c r="A972" s="69" t="s">
        <v>4632</v>
      </c>
      <c r="B972" s="69" t="s">
        <v>6930</v>
      </c>
      <c r="C972" s="28" t="s">
        <v>6935</v>
      </c>
      <c r="D972" s="28" t="s">
        <v>6936</v>
      </c>
      <c r="E972" s="28" t="s">
        <v>6937</v>
      </c>
      <c r="F972" s="28"/>
      <c r="G972" s="28"/>
      <c r="H972" s="28"/>
      <c r="I972" s="28"/>
      <c r="J972" s="28"/>
      <c r="K972" s="28"/>
      <c r="L972" s="28"/>
      <c r="M972" s="28"/>
      <c r="N972" s="28"/>
      <c r="O972" s="67"/>
      <c r="P972" s="67"/>
      <c r="Q972" s="67" t="s">
        <v>145</v>
      </c>
      <c r="R972" s="67"/>
      <c r="S972" s="67"/>
      <c r="T972" s="67"/>
      <c r="U972" s="67"/>
      <c r="V972" s="67"/>
      <c r="W972" s="67"/>
      <c r="X972" s="67"/>
      <c r="Y972" s="67"/>
      <c r="Z972" s="67"/>
      <c r="AA972" s="67"/>
      <c r="AB972" s="67"/>
      <c r="AC972" s="67"/>
      <c r="AD972" s="70"/>
      <c r="AE972" s="70"/>
      <c r="AF972" s="70"/>
      <c r="AG972" s="70"/>
      <c r="AH972" s="70"/>
      <c r="AI972" s="70"/>
      <c r="AJ972" s="70"/>
      <c r="AK972" s="70"/>
      <c r="AL972" s="70"/>
      <c r="AM972" s="70"/>
      <c r="AN972" s="70"/>
      <c r="AO972" s="70"/>
      <c r="AP972" s="70"/>
      <c r="AQ972" s="70"/>
      <c r="AR972" s="70"/>
      <c r="AS972" s="70"/>
      <c r="AT972" s="70"/>
      <c r="AU972" s="70"/>
      <c r="AV972" s="70"/>
      <c r="AW972" s="70"/>
      <c r="AX972" s="70"/>
    </row>
    <row r="973" ht="15.75" customHeight="1">
      <c r="A973" s="69" t="s">
        <v>463</v>
      </c>
      <c r="B973" s="69" t="s">
        <v>6938</v>
      </c>
      <c r="C973" s="28" t="s">
        <v>6942</v>
      </c>
      <c r="D973" s="28" t="s">
        <v>6943</v>
      </c>
      <c r="E973" s="28" t="s">
        <v>6944</v>
      </c>
      <c r="F973" s="28"/>
      <c r="G973" s="28"/>
      <c r="H973" s="28"/>
      <c r="I973" s="28"/>
      <c r="J973" s="28"/>
      <c r="K973" s="28"/>
      <c r="L973" s="28"/>
      <c r="M973" s="28"/>
      <c r="N973" s="28"/>
      <c r="O973" s="67"/>
      <c r="P973" s="67"/>
      <c r="Q973" s="67" t="s">
        <v>145</v>
      </c>
      <c r="R973" s="67"/>
      <c r="S973" s="67"/>
      <c r="T973" s="67"/>
      <c r="U973" s="67"/>
      <c r="V973" s="67"/>
      <c r="W973" s="67"/>
      <c r="X973" s="67"/>
      <c r="Y973" s="67"/>
      <c r="Z973" s="67"/>
      <c r="AA973" s="67"/>
      <c r="AB973" s="67"/>
      <c r="AC973" s="67"/>
      <c r="AD973" s="70"/>
      <c r="AE973" s="70"/>
      <c r="AF973" s="70"/>
      <c r="AG973" s="70"/>
      <c r="AH973" s="70"/>
      <c r="AI973" s="70"/>
      <c r="AJ973" s="70"/>
      <c r="AK973" s="70"/>
      <c r="AL973" s="70"/>
      <c r="AM973" s="70"/>
      <c r="AN973" s="70"/>
      <c r="AO973" s="70"/>
      <c r="AP973" s="70"/>
      <c r="AQ973" s="70"/>
      <c r="AR973" s="70"/>
      <c r="AS973" s="70"/>
      <c r="AT973" s="70"/>
      <c r="AU973" s="70"/>
      <c r="AV973" s="70"/>
      <c r="AW973" s="70"/>
      <c r="AX973" s="70"/>
    </row>
    <row r="974" ht="15.75" customHeight="1">
      <c r="A974" s="69" t="s">
        <v>463</v>
      </c>
      <c r="B974" s="69" t="s">
        <v>6945</v>
      </c>
      <c r="C974" s="28" t="s">
        <v>6950</v>
      </c>
      <c r="D974" s="28" t="s">
        <v>6951</v>
      </c>
      <c r="E974" s="28" t="s">
        <v>6952</v>
      </c>
      <c r="F974" s="28"/>
      <c r="G974" s="28"/>
      <c r="H974" s="28"/>
      <c r="I974" s="28"/>
      <c r="J974" s="28"/>
      <c r="K974" s="28"/>
      <c r="L974" s="28"/>
      <c r="M974" s="28"/>
      <c r="N974" s="28"/>
      <c r="O974" s="67" t="s">
        <v>10596</v>
      </c>
      <c r="P974" s="67"/>
      <c r="Q974" s="67" t="s">
        <v>145</v>
      </c>
      <c r="R974" s="67"/>
      <c r="S974" s="67"/>
      <c r="T974" s="67"/>
      <c r="U974" s="67"/>
      <c r="V974" s="67"/>
      <c r="W974" s="67"/>
      <c r="X974" s="67"/>
      <c r="Y974" s="67"/>
      <c r="Z974" s="67"/>
      <c r="AA974" s="67"/>
      <c r="AB974" s="67"/>
      <c r="AC974" s="67"/>
      <c r="AD974" s="70"/>
      <c r="AE974" s="70"/>
      <c r="AF974" s="70"/>
      <c r="AG974" s="70"/>
      <c r="AH974" s="70"/>
      <c r="AI974" s="70"/>
      <c r="AJ974" s="70"/>
      <c r="AK974" s="70"/>
      <c r="AL974" s="70"/>
      <c r="AM974" s="70"/>
      <c r="AN974" s="70"/>
      <c r="AO974" s="70"/>
      <c r="AP974" s="70"/>
      <c r="AQ974" s="70"/>
      <c r="AR974" s="70"/>
      <c r="AS974" s="70"/>
      <c r="AT974" s="70"/>
      <c r="AU974" s="70"/>
      <c r="AV974" s="70"/>
      <c r="AW974" s="70"/>
      <c r="AX974" s="70"/>
    </row>
    <row r="975" ht="15.75" customHeight="1">
      <c r="A975" s="140" t="s">
        <v>237</v>
      </c>
      <c r="B975" s="140" t="s">
        <v>6879</v>
      </c>
      <c r="C975" s="28" t="s">
        <v>6880</v>
      </c>
      <c r="D975" s="28"/>
      <c r="E975" s="28"/>
      <c r="F975" s="28"/>
      <c r="G975" s="28"/>
      <c r="H975" s="28"/>
      <c r="I975" s="28"/>
      <c r="J975" s="28"/>
      <c r="K975" s="28"/>
      <c r="L975" s="28"/>
      <c r="M975" s="28"/>
      <c r="N975" s="28"/>
      <c r="O975" s="139"/>
      <c r="P975" s="139"/>
      <c r="Q975" s="139"/>
      <c r="R975" s="139"/>
      <c r="S975" s="139"/>
      <c r="T975" s="139"/>
      <c r="U975" s="139"/>
      <c r="V975" s="139"/>
      <c r="W975" s="139"/>
      <c r="X975" s="139"/>
      <c r="Y975" s="139"/>
      <c r="Z975" s="139"/>
      <c r="AA975" s="139"/>
      <c r="AB975" s="139"/>
      <c r="AC975" s="139"/>
      <c r="AD975" s="70"/>
      <c r="AE975" s="70"/>
      <c r="AF975" s="70"/>
      <c r="AG975" s="70"/>
      <c r="AH975" s="70"/>
      <c r="AI975" s="70"/>
      <c r="AJ975" s="70"/>
      <c r="AK975" s="70"/>
      <c r="AL975" s="70"/>
      <c r="AM975" s="70"/>
      <c r="AN975" s="70"/>
      <c r="AO975" s="70"/>
      <c r="AP975" s="70"/>
      <c r="AQ975" s="70"/>
      <c r="AR975" s="70"/>
      <c r="AS975" s="70"/>
      <c r="AT975" s="70"/>
      <c r="AU975" s="70"/>
      <c r="AV975" s="70"/>
      <c r="AW975" s="70"/>
      <c r="AX975" s="70"/>
    </row>
    <row r="976" ht="15.75" customHeight="1">
      <c r="A976" s="65" t="s">
        <v>134</v>
      </c>
      <c r="B976" s="66" t="s">
        <v>6954</v>
      </c>
      <c r="C976" s="28"/>
      <c r="D976" s="28"/>
      <c r="E976" s="28"/>
      <c r="F976" s="28"/>
      <c r="G976" s="28"/>
      <c r="H976" s="28"/>
      <c r="I976" s="28"/>
      <c r="J976" s="28"/>
      <c r="K976" s="28"/>
      <c r="L976" s="28"/>
      <c r="M976" s="28"/>
      <c r="N976" s="28"/>
      <c r="O976" s="190"/>
      <c r="P976" s="139"/>
      <c r="Q976" s="139"/>
      <c r="R976" s="139"/>
      <c r="S976" s="139"/>
      <c r="T976" s="65" t="s">
        <v>139</v>
      </c>
      <c r="U976" s="139"/>
      <c r="V976" s="139"/>
      <c r="W976" s="139"/>
      <c r="X976" s="139"/>
      <c r="Y976" s="139"/>
      <c r="Z976" s="139"/>
      <c r="AA976" s="139"/>
      <c r="AB976" s="139"/>
      <c r="AC976" s="139"/>
      <c r="AD976" s="139"/>
      <c r="AE976" s="139"/>
      <c r="AF976" s="139"/>
      <c r="AG976" s="139"/>
      <c r="AH976" s="139"/>
      <c r="AI976" s="139"/>
      <c r="AJ976" s="139"/>
      <c r="AK976" s="139"/>
      <c r="AL976" s="139"/>
      <c r="AM976" s="139"/>
      <c r="AN976" s="139"/>
      <c r="AO976" s="70"/>
      <c r="AP976" s="70"/>
      <c r="AQ976" s="70"/>
      <c r="AR976" s="70"/>
      <c r="AS976" s="70"/>
      <c r="AT976" s="70"/>
      <c r="AU976" s="70"/>
      <c r="AV976" s="70"/>
      <c r="AW976" s="70"/>
      <c r="AX976" s="70"/>
    </row>
    <row r="977" ht="15.75" customHeight="1">
      <c r="A977" s="65" t="s">
        <v>78</v>
      </c>
      <c r="B977" s="272" t="s">
        <v>6955</v>
      </c>
      <c r="C977" s="28"/>
      <c r="D977" s="28"/>
      <c r="E977" s="28"/>
      <c r="F977" s="28"/>
      <c r="G977" s="28"/>
      <c r="H977" s="28"/>
      <c r="I977" s="28"/>
      <c r="J977" s="28"/>
      <c r="K977" s="28"/>
      <c r="L977" s="28"/>
      <c r="M977" s="28"/>
      <c r="N977" s="28"/>
      <c r="O977" s="370"/>
      <c r="P977" s="370"/>
      <c r="Q977" s="370"/>
      <c r="R977" s="370"/>
      <c r="S977" s="370"/>
      <c r="T977" s="371" t="s">
        <v>10597</v>
      </c>
      <c r="U977" s="370"/>
      <c r="V977" s="370"/>
      <c r="W977" s="370"/>
      <c r="X977" s="370"/>
      <c r="Y977" s="370"/>
      <c r="Z977" s="370"/>
      <c r="AA977" s="370"/>
      <c r="AB977" s="370"/>
      <c r="AC977" s="370"/>
      <c r="AD977" s="370"/>
      <c r="AE977" s="370"/>
      <c r="AF977" s="370"/>
      <c r="AG977" s="370"/>
      <c r="AH977" s="370"/>
      <c r="AI977" s="370"/>
      <c r="AJ977" s="370"/>
      <c r="AK977" s="370"/>
      <c r="AL977" s="370"/>
      <c r="AM977" s="370"/>
      <c r="AN977" s="370"/>
      <c r="AO977" s="370"/>
      <c r="AP977" s="370"/>
      <c r="AQ977" s="370"/>
      <c r="AR977" s="370"/>
      <c r="AS977" s="370"/>
      <c r="AT977" s="370"/>
      <c r="AU977" s="370"/>
      <c r="AV977" s="370"/>
      <c r="AW977" s="370"/>
      <c r="AX977" s="370"/>
    </row>
    <row r="978" ht="15.75" customHeight="1">
      <c r="A978" s="221"/>
      <c r="B978" s="221"/>
      <c r="C978" s="28" t="s">
        <v>50</v>
      </c>
      <c r="D978" s="28" t="s">
        <v>50</v>
      </c>
      <c r="E978" s="28" t="s">
        <v>50</v>
      </c>
      <c r="F978" s="28"/>
      <c r="G978" s="28"/>
      <c r="H978" s="28"/>
      <c r="I978" s="28"/>
      <c r="J978" s="28"/>
      <c r="K978" s="28"/>
      <c r="L978" s="28"/>
      <c r="M978" s="28"/>
      <c r="N978" s="28"/>
      <c r="O978" s="70"/>
      <c r="P978" s="70"/>
      <c r="Q978" s="70"/>
      <c r="R978" s="70"/>
      <c r="S978" s="70"/>
      <c r="T978" s="70"/>
      <c r="U978" s="70"/>
      <c r="V978" s="70"/>
      <c r="W978" s="70"/>
      <c r="X978" s="70"/>
      <c r="Y978" s="70"/>
      <c r="Z978" s="70"/>
      <c r="AA978" s="70"/>
      <c r="AB978" s="70"/>
      <c r="AC978" s="70"/>
      <c r="AD978" s="70"/>
      <c r="AE978" s="70"/>
      <c r="AF978" s="70"/>
      <c r="AG978" s="70"/>
      <c r="AH978" s="70"/>
      <c r="AI978" s="70"/>
      <c r="AJ978" s="70"/>
      <c r="AK978" s="70"/>
      <c r="AL978" s="70"/>
      <c r="AM978" s="70"/>
      <c r="AN978" s="70"/>
      <c r="AO978" s="70"/>
      <c r="AP978" s="70"/>
      <c r="AQ978" s="70"/>
      <c r="AR978" s="70"/>
      <c r="AS978" s="70"/>
      <c r="AT978" s="70"/>
      <c r="AU978" s="70"/>
      <c r="AV978" s="70"/>
      <c r="AW978" s="70"/>
      <c r="AX978" s="70"/>
    </row>
    <row r="979" ht="15.75" customHeight="1">
      <c r="A979" s="140" t="s">
        <v>131</v>
      </c>
      <c r="B979" s="298" t="s">
        <v>6961</v>
      </c>
      <c r="C979" s="28" t="s">
        <v>6962</v>
      </c>
      <c r="D979" s="28"/>
      <c r="E979" s="28"/>
      <c r="F979" s="28"/>
      <c r="G979" s="28"/>
      <c r="H979" s="28"/>
      <c r="I979" s="28"/>
      <c r="J979" s="28"/>
      <c r="K979" s="28"/>
      <c r="L979" s="28"/>
      <c r="M979" s="28"/>
      <c r="N979" s="28"/>
      <c r="O979" s="190"/>
      <c r="P979" s="139"/>
      <c r="Q979" s="139"/>
      <c r="R979" s="139"/>
      <c r="S979" s="139"/>
      <c r="T979" s="139"/>
      <c r="U979" s="139"/>
      <c r="V979" s="139"/>
      <c r="W979" s="139"/>
      <c r="X979" s="139"/>
      <c r="Y979" s="139"/>
      <c r="Z979" s="139"/>
      <c r="AA979" s="139"/>
      <c r="AB979" s="139"/>
      <c r="AC979" s="139"/>
      <c r="AD979" s="70"/>
      <c r="AE979" s="70"/>
      <c r="AF979" s="70"/>
      <c r="AG979" s="70"/>
      <c r="AH979" s="70"/>
      <c r="AI979" s="70"/>
      <c r="AJ979" s="70"/>
      <c r="AK979" s="70"/>
      <c r="AL979" s="70"/>
      <c r="AM979" s="70"/>
      <c r="AN979" s="70"/>
      <c r="AO979" s="70"/>
      <c r="AP979" s="70"/>
      <c r="AQ979" s="70"/>
      <c r="AR979" s="70"/>
      <c r="AS979" s="70"/>
      <c r="AT979" s="70"/>
      <c r="AU979" s="70"/>
      <c r="AV979" s="70"/>
      <c r="AW979" s="70"/>
      <c r="AX979" s="70"/>
    </row>
    <row r="980" ht="15.75" customHeight="1">
      <c r="A980" s="166" t="s">
        <v>41</v>
      </c>
      <c r="B980" s="299" t="s">
        <v>6966</v>
      </c>
      <c r="C980" s="28" t="s">
        <v>6970</v>
      </c>
      <c r="D980" s="28" t="s">
        <v>6971</v>
      </c>
      <c r="E980" s="28" t="s">
        <v>6972</v>
      </c>
      <c r="F980" s="28"/>
      <c r="G980" s="28"/>
      <c r="H980" s="28"/>
      <c r="I980" s="28"/>
      <c r="J980" s="28"/>
      <c r="K980" s="28"/>
      <c r="L980" s="28"/>
      <c r="M980" s="28"/>
      <c r="N980" s="28"/>
      <c r="O980" s="126"/>
      <c r="P980" s="126"/>
      <c r="Q980" s="126"/>
      <c r="R980" s="126"/>
      <c r="S980" s="126"/>
      <c r="T980" s="126"/>
      <c r="U980" s="126"/>
      <c r="V980" s="126"/>
      <c r="W980" s="126"/>
      <c r="X980" s="126"/>
      <c r="Y980" s="126"/>
      <c r="Z980" s="126"/>
      <c r="AA980" s="126"/>
      <c r="AB980" s="126"/>
      <c r="AC980" s="126"/>
      <c r="AD980" s="70"/>
      <c r="AE980" s="70"/>
      <c r="AF980" s="70"/>
      <c r="AG980" s="70"/>
      <c r="AH980" s="70"/>
      <c r="AI980" s="70"/>
      <c r="AJ980" s="70"/>
      <c r="AK980" s="70"/>
      <c r="AL980" s="70"/>
      <c r="AM980" s="70"/>
      <c r="AN980" s="70"/>
      <c r="AO980" s="70"/>
      <c r="AP980" s="70"/>
      <c r="AQ980" s="70"/>
      <c r="AR980" s="70"/>
      <c r="AS980" s="70"/>
      <c r="AT980" s="70"/>
      <c r="AU980" s="70"/>
      <c r="AV980" s="70"/>
      <c r="AW980" s="70"/>
      <c r="AX980" s="70"/>
    </row>
    <row r="981" ht="15.75" customHeight="1">
      <c r="A981" s="166" t="s">
        <v>41</v>
      </c>
      <c r="B981" s="167" t="s">
        <v>6973</v>
      </c>
      <c r="C981" s="28" t="s">
        <v>6977</v>
      </c>
      <c r="D981" s="28" t="s">
        <v>6979</v>
      </c>
      <c r="E981" s="28" t="s">
        <v>6980</v>
      </c>
      <c r="F981" s="28"/>
      <c r="G981" s="28"/>
      <c r="H981" s="28"/>
      <c r="I981" s="28"/>
      <c r="J981" s="28"/>
      <c r="K981" s="28"/>
      <c r="L981" s="28"/>
      <c r="M981" s="28"/>
      <c r="N981" s="28"/>
      <c r="O981" s="126"/>
      <c r="P981" s="126"/>
      <c r="Q981" s="126"/>
      <c r="R981" s="126"/>
      <c r="S981" s="126"/>
      <c r="T981" s="126"/>
      <c r="U981" s="126"/>
      <c r="V981" s="126"/>
      <c r="W981" s="126"/>
      <c r="X981" s="126"/>
      <c r="Y981" s="126"/>
      <c r="Z981" s="126"/>
      <c r="AA981" s="126"/>
      <c r="AB981" s="126"/>
      <c r="AC981" s="126"/>
      <c r="AD981" s="70"/>
      <c r="AE981" s="70"/>
      <c r="AF981" s="70"/>
      <c r="AG981" s="70"/>
      <c r="AH981" s="70"/>
      <c r="AI981" s="70"/>
      <c r="AJ981" s="70"/>
      <c r="AK981" s="70"/>
      <c r="AL981" s="70"/>
      <c r="AM981" s="70"/>
      <c r="AN981" s="70"/>
      <c r="AO981" s="70"/>
      <c r="AP981" s="70"/>
      <c r="AQ981" s="70"/>
      <c r="AR981" s="70"/>
      <c r="AS981" s="70"/>
      <c r="AT981" s="70"/>
      <c r="AU981" s="70"/>
      <c r="AV981" s="70"/>
      <c r="AW981" s="70"/>
      <c r="AX981" s="70"/>
    </row>
    <row r="982" ht="15.75" customHeight="1">
      <c r="A982" s="170" t="s">
        <v>263</v>
      </c>
      <c r="B982" s="171" t="s">
        <v>6981</v>
      </c>
      <c r="C982" s="28" t="s">
        <v>6986</v>
      </c>
      <c r="D982" s="28" t="s">
        <v>6987</v>
      </c>
      <c r="E982" s="28" t="s">
        <v>6988</v>
      </c>
      <c r="F982" s="28" t="s">
        <v>10598</v>
      </c>
      <c r="G982" s="28" t="s">
        <v>10599</v>
      </c>
      <c r="H982" s="28" t="s">
        <v>10600</v>
      </c>
      <c r="I982" s="28"/>
      <c r="J982" s="28"/>
      <c r="K982" s="28" t="s">
        <v>10563</v>
      </c>
      <c r="L982" s="28"/>
      <c r="M982" s="28"/>
      <c r="N982" s="28"/>
      <c r="O982" s="173"/>
      <c r="P982" s="173"/>
      <c r="Q982" s="173" t="s">
        <v>145</v>
      </c>
      <c r="R982" s="173"/>
      <c r="S982" s="173"/>
      <c r="T982" s="173"/>
      <c r="U982" s="173"/>
      <c r="V982" s="173"/>
      <c r="W982" s="173"/>
      <c r="X982" s="173"/>
      <c r="Y982" s="173"/>
      <c r="Z982" s="173"/>
      <c r="AA982" s="173"/>
      <c r="AB982" s="173"/>
      <c r="AC982" s="173"/>
      <c r="AD982" s="70"/>
      <c r="AE982" s="70"/>
      <c r="AF982" s="70"/>
      <c r="AG982" s="70"/>
      <c r="AH982" s="70"/>
      <c r="AI982" s="70"/>
      <c r="AJ982" s="70"/>
      <c r="AK982" s="70"/>
      <c r="AL982" s="70"/>
      <c r="AM982" s="70"/>
      <c r="AN982" s="70"/>
      <c r="AO982" s="70"/>
      <c r="AP982" s="70"/>
      <c r="AQ982" s="70"/>
      <c r="AR982" s="70"/>
      <c r="AS982" s="70"/>
      <c r="AT982" s="70"/>
      <c r="AU982" s="70"/>
      <c r="AV982" s="70"/>
      <c r="AW982" s="70"/>
      <c r="AX982" s="70"/>
    </row>
    <row r="983" ht="15.75" customHeight="1">
      <c r="A983" s="170" t="s">
        <v>263</v>
      </c>
      <c r="B983" s="171" t="s">
        <v>6990</v>
      </c>
      <c r="C983" s="28" t="s">
        <v>6996</v>
      </c>
      <c r="D983" s="28" t="s">
        <v>6997</v>
      </c>
      <c r="E983" s="28" t="s">
        <v>6998</v>
      </c>
      <c r="F983" s="28" t="s">
        <v>10598</v>
      </c>
      <c r="G983" s="28" t="s">
        <v>10599</v>
      </c>
      <c r="H983" s="28" t="s">
        <v>10600</v>
      </c>
      <c r="I983" s="28"/>
      <c r="J983" s="28"/>
      <c r="K983" s="28" t="s">
        <v>10563</v>
      </c>
      <c r="L983" s="28"/>
      <c r="M983" s="28"/>
      <c r="N983" s="28"/>
      <c r="O983" s="173"/>
      <c r="P983" s="173"/>
      <c r="Q983" s="173" t="s">
        <v>145</v>
      </c>
      <c r="R983" s="173"/>
      <c r="S983" s="173"/>
      <c r="T983" s="173"/>
      <c r="U983" s="173"/>
      <c r="V983" s="173"/>
      <c r="W983" s="173"/>
      <c r="X983" s="173"/>
      <c r="Y983" s="173"/>
      <c r="Z983" s="173"/>
      <c r="AA983" s="173"/>
      <c r="AB983" s="173"/>
      <c r="AC983" s="173"/>
      <c r="AD983" s="70"/>
      <c r="AE983" s="70"/>
      <c r="AF983" s="70"/>
      <c r="AG983" s="70"/>
      <c r="AH983" s="70"/>
      <c r="AI983" s="70"/>
      <c r="AJ983" s="70"/>
      <c r="AK983" s="70"/>
      <c r="AL983" s="70"/>
      <c r="AM983" s="70"/>
      <c r="AN983" s="70"/>
      <c r="AO983" s="70"/>
      <c r="AP983" s="70"/>
      <c r="AQ983" s="70"/>
      <c r="AR983" s="70"/>
      <c r="AS983" s="70"/>
      <c r="AT983" s="70"/>
      <c r="AU983" s="70"/>
      <c r="AV983" s="70"/>
      <c r="AW983" s="70"/>
      <c r="AX983" s="70"/>
    </row>
    <row r="984" ht="15.75" customHeight="1">
      <c r="A984" s="170" t="s">
        <v>263</v>
      </c>
      <c r="B984" s="171" t="s">
        <v>6999</v>
      </c>
      <c r="C984" s="28" t="s">
        <v>7003</v>
      </c>
      <c r="D984" s="28" t="s">
        <v>7004</v>
      </c>
      <c r="E984" s="28" t="s">
        <v>7005</v>
      </c>
      <c r="F984" s="28" t="s">
        <v>10598</v>
      </c>
      <c r="G984" s="28" t="s">
        <v>10599</v>
      </c>
      <c r="H984" s="28" t="s">
        <v>10600</v>
      </c>
      <c r="I984" s="28"/>
      <c r="J984" s="28"/>
      <c r="K984" s="28" t="s">
        <v>10563</v>
      </c>
      <c r="L984" s="28"/>
      <c r="M984" s="28"/>
      <c r="N984" s="28"/>
      <c r="O984" s="173"/>
      <c r="P984" s="173"/>
      <c r="Q984" s="173" t="s">
        <v>145</v>
      </c>
      <c r="R984" s="173"/>
      <c r="S984" s="173"/>
      <c r="T984" s="173"/>
      <c r="U984" s="173"/>
      <c r="V984" s="173"/>
      <c r="W984" s="173"/>
      <c r="X984" s="173"/>
      <c r="Y984" s="173"/>
      <c r="Z984" s="173"/>
      <c r="AA984" s="173"/>
      <c r="AB984" s="173"/>
      <c r="AC984" s="173"/>
      <c r="AD984" s="70"/>
      <c r="AE984" s="70"/>
      <c r="AF984" s="70"/>
      <c r="AG984" s="70"/>
      <c r="AH984" s="70"/>
      <c r="AI984" s="70"/>
      <c r="AJ984" s="70"/>
      <c r="AK984" s="70"/>
      <c r="AL984" s="70"/>
      <c r="AM984" s="70"/>
      <c r="AN984" s="70"/>
      <c r="AO984" s="70"/>
      <c r="AP984" s="70"/>
      <c r="AQ984" s="70"/>
      <c r="AR984" s="70"/>
      <c r="AS984" s="70"/>
      <c r="AT984" s="70"/>
      <c r="AU984" s="70"/>
      <c r="AV984" s="70"/>
      <c r="AW984" s="70"/>
      <c r="AX984" s="70"/>
    </row>
    <row r="985" ht="15.75" customHeight="1">
      <c r="A985" s="170" t="s">
        <v>263</v>
      </c>
      <c r="B985" s="171" t="s">
        <v>7007</v>
      </c>
      <c r="C985" s="28" t="s">
        <v>7014</v>
      </c>
      <c r="D985" s="28" t="s">
        <v>7015</v>
      </c>
      <c r="E985" s="28" t="s">
        <v>7016</v>
      </c>
      <c r="F985" s="28" t="s">
        <v>10598</v>
      </c>
      <c r="G985" s="28" t="s">
        <v>10599</v>
      </c>
      <c r="H985" s="28" t="s">
        <v>10600</v>
      </c>
      <c r="I985" s="28"/>
      <c r="J985" s="28"/>
      <c r="K985" s="28" t="s">
        <v>10563</v>
      </c>
      <c r="L985" s="28"/>
      <c r="M985" s="28"/>
      <c r="N985" s="28"/>
      <c r="O985" s="173"/>
      <c r="P985" s="173"/>
      <c r="Q985" s="173" t="s">
        <v>145</v>
      </c>
      <c r="R985" s="173"/>
      <c r="S985" s="173"/>
      <c r="T985" s="173"/>
      <c r="U985" s="173"/>
      <c r="V985" s="173"/>
      <c r="W985" s="173"/>
      <c r="X985" s="173"/>
      <c r="Y985" s="173"/>
      <c r="Z985" s="173"/>
      <c r="AA985" s="173"/>
      <c r="AB985" s="173"/>
      <c r="AC985" s="173"/>
      <c r="AD985" s="70"/>
      <c r="AE985" s="70"/>
      <c r="AF985" s="70"/>
      <c r="AG985" s="70"/>
      <c r="AH985" s="70"/>
      <c r="AI985" s="70"/>
      <c r="AJ985" s="70"/>
      <c r="AK985" s="70"/>
      <c r="AL985" s="70"/>
      <c r="AM985" s="70"/>
      <c r="AN985" s="70"/>
      <c r="AO985" s="70"/>
      <c r="AP985" s="70"/>
      <c r="AQ985" s="70"/>
      <c r="AR985" s="70"/>
      <c r="AS985" s="70"/>
      <c r="AT985" s="70"/>
      <c r="AU985" s="70"/>
      <c r="AV985" s="70"/>
      <c r="AW985" s="70"/>
      <c r="AX985" s="70"/>
    </row>
    <row r="986" ht="15.75" customHeight="1">
      <c r="A986" s="68" t="s">
        <v>463</v>
      </c>
      <c r="B986" s="169" t="s">
        <v>7017</v>
      </c>
      <c r="C986" s="28" t="s">
        <v>7024</v>
      </c>
      <c r="D986" s="28" t="s">
        <v>7025</v>
      </c>
      <c r="E986" s="28" t="s">
        <v>7026</v>
      </c>
      <c r="F986" s="28"/>
      <c r="G986" s="28"/>
      <c r="H986" s="28"/>
      <c r="I986" s="28"/>
      <c r="J986" s="28"/>
      <c r="K986" s="28"/>
      <c r="L986" s="28"/>
      <c r="M986" s="28"/>
      <c r="N986" s="28"/>
      <c r="O986" s="67"/>
      <c r="P986" s="67"/>
      <c r="Q986" s="67" t="s">
        <v>145</v>
      </c>
      <c r="R986" s="67"/>
      <c r="S986" s="67"/>
      <c r="T986" s="67"/>
      <c r="U986" s="67"/>
      <c r="V986" s="67"/>
      <c r="W986" s="67"/>
      <c r="X986" s="67"/>
      <c r="Y986" s="67"/>
      <c r="Z986" s="67"/>
      <c r="AA986" s="67"/>
      <c r="AB986" s="67"/>
      <c r="AC986" s="67"/>
      <c r="AD986" s="70"/>
      <c r="AE986" s="70"/>
      <c r="AF986" s="70"/>
      <c r="AG986" s="70"/>
      <c r="AH986" s="70"/>
      <c r="AI986" s="70"/>
      <c r="AJ986" s="70"/>
      <c r="AK986" s="70"/>
      <c r="AL986" s="70"/>
      <c r="AM986" s="70"/>
      <c r="AN986" s="70"/>
      <c r="AO986" s="70"/>
      <c r="AP986" s="70"/>
      <c r="AQ986" s="70"/>
      <c r="AR986" s="70"/>
      <c r="AS986" s="70"/>
      <c r="AT986" s="70"/>
      <c r="AU986" s="70"/>
      <c r="AV986" s="70"/>
      <c r="AW986" s="70"/>
      <c r="AX986" s="70"/>
    </row>
    <row r="987" ht="15.75" customHeight="1">
      <c r="A987" s="68" t="s">
        <v>463</v>
      </c>
      <c r="B987" s="169" t="s">
        <v>7027</v>
      </c>
      <c r="C987" s="28" t="s">
        <v>7031</v>
      </c>
      <c r="D987" s="28" t="s">
        <v>7032</v>
      </c>
      <c r="E987" s="28" t="s">
        <v>7033</v>
      </c>
      <c r="F987" s="28"/>
      <c r="G987" s="28"/>
      <c r="H987" s="28"/>
      <c r="I987" s="28"/>
      <c r="J987" s="28"/>
      <c r="K987" s="28"/>
      <c r="L987" s="28"/>
      <c r="M987" s="28"/>
      <c r="N987" s="28"/>
      <c r="O987" s="67"/>
      <c r="P987" s="67"/>
      <c r="Q987" s="67" t="s">
        <v>145</v>
      </c>
      <c r="R987" s="67"/>
      <c r="S987" s="67"/>
      <c r="T987" s="67"/>
      <c r="U987" s="67"/>
      <c r="V987" s="67"/>
      <c r="W987" s="67"/>
      <c r="X987" s="67"/>
      <c r="Y987" s="67"/>
      <c r="Z987" s="67"/>
      <c r="AA987" s="67"/>
      <c r="AB987" s="67"/>
      <c r="AC987" s="67"/>
      <c r="AD987" s="70"/>
      <c r="AE987" s="70"/>
      <c r="AF987" s="70"/>
      <c r="AG987" s="70"/>
      <c r="AH987" s="70"/>
      <c r="AI987" s="70"/>
      <c r="AJ987" s="70"/>
      <c r="AK987" s="70"/>
      <c r="AL987" s="70"/>
      <c r="AM987" s="70"/>
      <c r="AN987" s="70"/>
      <c r="AO987" s="70"/>
      <c r="AP987" s="70"/>
      <c r="AQ987" s="70"/>
      <c r="AR987" s="70"/>
      <c r="AS987" s="70"/>
      <c r="AT987" s="70"/>
      <c r="AU987" s="70"/>
      <c r="AV987" s="70"/>
      <c r="AW987" s="70"/>
      <c r="AX987" s="70"/>
    </row>
    <row r="988" ht="15.75" customHeight="1">
      <c r="A988" s="68" t="s">
        <v>463</v>
      </c>
      <c r="B988" s="169" t="s">
        <v>7035</v>
      </c>
      <c r="C988" s="28" t="s">
        <v>7040</v>
      </c>
      <c r="D988" s="28" t="s">
        <v>7041</v>
      </c>
      <c r="E988" s="28" t="s">
        <v>7042</v>
      </c>
      <c r="F988" s="28"/>
      <c r="G988" s="28"/>
      <c r="H988" s="28"/>
      <c r="I988" s="28"/>
      <c r="J988" s="28"/>
      <c r="K988" s="28"/>
      <c r="L988" s="28"/>
      <c r="M988" s="28"/>
      <c r="N988" s="28"/>
      <c r="O988" s="67"/>
      <c r="P988" s="67"/>
      <c r="Q988" s="67" t="s">
        <v>145</v>
      </c>
      <c r="R988" s="67"/>
      <c r="S988" s="67"/>
      <c r="T988" s="67"/>
      <c r="U988" s="67"/>
      <c r="V988" s="67"/>
      <c r="W988" s="67"/>
      <c r="X988" s="67"/>
      <c r="Y988" s="67"/>
      <c r="Z988" s="67"/>
      <c r="AA988" s="67"/>
      <c r="AB988" s="67"/>
      <c r="AC988" s="67"/>
      <c r="AD988" s="70"/>
      <c r="AE988" s="70"/>
      <c r="AF988" s="70"/>
      <c r="AG988" s="70"/>
      <c r="AH988" s="70"/>
      <c r="AI988" s="70"/>
      <c r="AJ988" s="70"/>
      <c r="AK988" s="70"/>
      <c r="AL988" s="70"/>
      <c r="AM988" s="70"/>
      <c r="AN988" s="70"/>
      <c r="AO988" s="70"/>
      <c r="AP988" s="70"/>
      <c r="AQ988" s="70"/>
      <c r="AR988" s="70"/>
      <c r="AS988" s="70"/>
      <c r="AT988" s="70"/>
      <c r="AU988" s="70"/>
      <c r="AV988" s="70"/>
      <c r="AW988" s="70"/>
      <c r="AX988" s="70"/>
    </row>
    <row r="989" ht="15.75" customHeight="1">
      <c r="A989" s="68" t="s">
        <v>463</v>
      </c>
      <c r="B989" s="169" t="s">
        <v>7043</v>
      </c>
      <c r="C989" s="28" t="s">
        <v>7050</v>
      </c>
      <c r="D989" s="28" t="s">
        <v>7051</v>
      </c>
      <c r="E989" s="28" t="s">
        <v>7052</v>
      </c>
      <c r="F989" s="28"/>
      <c r="G989" s="28"/>
      <c r="H989" s="28"/>
      <c r="I989" s="28"/>
      <c r="J989" s="28"/>
      <c r="K989" s="28"/>
      <c r="L989" s="28"/>
      <c r="M989" s="28"/>
      <c r="N989" s="28"/>
      <c r="O989" s="67"/>
      <c r="P989" s="67"/>
      <c r="Q989" s="67" t="s">
        <v>145</v>
      </c>
      <c r="R989" s="67"/>
      <c r="S989" s="67"/>
      <c r="T989" s="67"/>
      <c r="U989" s="67"/>
      <c r="V989" s="67"/>
      <c r="W989" s="67"/>
      <c r="X989" s="67"/>
      <c r="Y989" s="67"/>
      <c r="Z989" s="67"/>
      <c r="AA989" s="67"/>
      <c r="AB989" s="67"/>
      <c r="AC989" s="67"/>
      <c r="AD989" s="70"/>
      <c r="AE989" s="70"/>
      <c r="AF989" s="70"/>
      <c r="AG989" s="70"/>
      <c r="AH989" s="70"/>
      <c r="AI989" s="70"/>
      <c r="AJ989" s="70"/>
      <c r="AK989" s="70"/>
      <c r="AL989" s="70"/>
      <c r="AM989" s="70"/>
      <c r="AN989" s="70"/>
      <c r="AO989" s="70"/>
      <c r="AP989" s="70"/>
      <c r="AQ989" s="70"/>
      <c r="AR989" s="70"/>
      <c r="AS989" s="70"/>
      <c r="AT989" s="70"/>
      <c r="AU989" s="70"/>
      <c r="AV989" s="70"/>
      <c r="AW989" s="70"/>
      <c r="AX989" s="70"/>
    </row>
    <row r="990" ht="15.75" customHeight="1">
      <c r="A990" s="68" t="s">
        <v>7053</v>
      </c>
      <c r="B990" s="69" t="s">
        <v>7054</v>
      </c>
      <c r="C990" s="28" t="s">
        <v>7058</v>
      </c>
      <c r="D990" s="28" t="s">
        <v>7060</v>
      </c>
      <c r="E990" s="28" t="s">
        <v>7062</v>
      </c>
      <c r="F990" s="28"/>
      <c r="G990" s="28"/>
      <c r="H990" s="28"/>
      <c r="I990" s="28"/>
      <c r="J990" s="28"/>
      <c r="K990" s="28"/>
      <c r="L990" s="28"/>
      <c r="M990" s="28"/>
      <c r="N990" s="28"/>
      <c r="O990" s="67"/>
      <c r="P990" s="67"/>
      <c r="Q990" s="67" t="s">
        <v>145</v>
      </c>
      <c r="R990" s="67"/>
      <c r="S990" s="67"/>
      <c r="T990" s="67"/>
      <c r="U990" s="67"/>
      <c r="V990" s="67"/>
      <c r="W990" s="67"/>
      <c r="X990" s="67"/>
      <c r="Y990" s="67"/>
      <c r="Z990" s="67"/>
      <c r="AA990" s="67"/>
      <c r="AB990" s="67"/>
      <c r="AC990" s="67"/>
      <c r="AD990" s="70"/>
      <c r="AE990" s="70"/>
      <c r="AF990" s="70"/>
      <c r="AG990" s="70"/>
      <c r="AH990" s="70"/>
      <c r="AI990" s="70"/>
      <c r="AJ990" s="70"/>
      <c r="AK990" s="70"/>
      <c r="AL990" s="70"/>
      <c r="AM990" s="70"/>
      <c r="AN990" s="70"/>
      <c r="AO990" s="70"/>
      <c r="AP990" s="70"/>
      <c r="AQ990" s="70"/>
      <c r="AR990" s="70"/>
      <c r="AS990" s="70"/>
      <c r="AT990" s="70"/>
      <c r="AU990" s="70"/>
      <c r="AV990" s="70"/>
      <c r="AW990" s="70"/>
      <c r="AX990" s="70"/>
    </row>
    <row r="991" ht="15.75" customHeight="1">
      <c r="A991" s="68" t="s">
        <v>7064</v>
      </c>
      <c r="B991" s="69" t="s">
        <v>7065</v>
      </c>
      <c r="C991" s="28" t="s">
        <v>7072</v>
      </c>
      <c r="D991" s="28" t="s">
        <v>7073</v>
      </c>
      <c r="E991" s="28" t="s">
        <v>7074</v>
      </c>
      <c r="F991" s="183" t="s">
        <v>10601</v>
      </c>
      <c r="G991" s="183" t="s">
        <v>10602</v>
      </c>
      <c r="H991" s="183" t="s">
        <v>10603</v>
      </c>
      <c r="I991" s="183"/>
      <c r="J991" s="183"/>
      <c r="K991" s="183"/>
      <c r="L991" s="183"/>
      <c r="M991" s="183"/>
      <c r="N991" s="183"/>
      <c r="O991" s="67"/>
      <c r="P991" s="67"/>
      <c r="Q991" s="67" t="s">
        <v>145</v>
      </c>
      <c r="R991" s="67"/>
      <c r="S991" s="67"/>
      <c r="T991" s="67"/>
      <c r="U991" s="67"/>
      <c r="V991" s="67"/>
      <c r="W991" s="67"/>
      <c r="X991" s="67"/>
      <c r="Y991" s="67"/>
      <c r="Z991" s="67"/>
      <c r="AA991" s="67"/>
      <c r="AB991" s="67"/>
      <c r="AC991" s="67"/>
      <c r="AD991" s="70"/>
      <c r="AE991" s="70"/>
      <c r="AF991" s="70"/>
      <c r="AG991" s="70"/>
      <c r="AH991" s="70"/>
      <c r="AI991" s="70"/>
      <c r="AJ991" s="70"/>
      <c r="AK991" s="70"/>
      <c r="AL991" s="70"/>
      <c r="AM991" s="70"/>
      <c r="AN991" s="70"/>
      <c r="AO991" s="70"/>
      <c r="AP991" s="70"/>
      <c r="AQ991" s="70"/>
      <c r="AR991" s="70"/>
      <c r="AS991" s="70"/>
      <c r="AT991" s="70"/>
      <c r="AU991" s="70"/>
      <c r="AV991" s="70"/>
      <c r="AW991" s="70"/>
      <c r="AX991" s="70"/>
    </row>
    <row r="992" ht="15.75" customHeight="1">
      <c r="A992" s="68" t="s">
        <v>7064</v>
      </c>
      <c r="B992" s="69" t="s">
        <v>7075</v>
      </c>
      <c r="C992" s="28" t="s">
        <v>7079</v>
      </c>
      <c r="D992" s="28" t="s">
        <v>7080</v>
      </c>
      <c r="E992" s="28" t="s">
        <v>7081</v>
      </c>
      <c r="F992" s="183" t="s">
        <v>10601</v>
      </c>
      <c r="G992" s="183" t="s">
        <v>10602</v>
      </c>
      <c r="H992" s="183" t="s">
        <v>10603</v>
      </c>
      <c r="I992" s="183"/>
      <c r="J992" s="183"/>
      <c r="K992" s="183"/>
      <c r="L992" s="183"/>
      <c r="M992" s="183"/>
      <c r="N992" s="183"/>
      <c r="O992" s="67"/>
      <c r="P992" s="67"/>
      <c r="Q992" s="67" t="s">
        <v>145</v>
      </c>
      <c r="R992" s="67"/>
      <c r="S992" s="67"/>
      <c r="T992" s="67"/>
      <c r="U992" s="67"/>
      <c r="V992" s="67"/>
      <c r="W992" s="67"/>
      <c r="X992" s="67"/>
      <c r="Y992" s="67"/>
      <c r="Z992" s="67"/>
      <c r="AA992" s="67"/>
      <c r="AB992" s="67"/>
      <c r="AC992" s="67"/>
      <c r="AD992" s="70"/>
      <c r="AE992" s="70"/>
      <c r="AF992" s="70"/>
      <c r="AG992" s="70"/>
      <c r="AH992" s="70"/>
      <c r="AI992" s="70"/>
      <c r="AJ992" s="70"/>
      <c r="AK992" s="70"/>
      <c r="AL992" s="70"/>
      <c r="AM992" s="70"/>
      <c r="AN992" s="70"/>
      <c r="AO992" s="70"/>
      <c r="AP992" s="70"/>
      <c r="AQ992" s="70"/>
      <c r="AR992" s="70"/>
      <c r="AS992" s="70"/>
      <c r="AT992" s="70"/>
      <c r="AU992" s="70"/>
      <c r="AV992" s="70"/>
      <c r="AW992" s="70"/>
      <c r="AX992" s="70"/>
    </row>
    <row r="993" ht="15.75" customHeight="1">
      <c r="A993" s="68" t="s">
        <v>7082</v>
      </c>
      <c r="B993" s="66" t="s">
        <v>7083</v>
      </c>
      <c r="C993" s="28" t="s">
        <v>7091</v>
      </c>
      <c r="D993" s="28" t="s">
        <v>7092</v>
      </c>
      <c r="E993" s="28" t="s">
        <v>7093</v>
      </c>
      <c r="F993" s="28"/>
      <c r="G993" s="28"/>
      <c r="H993" s="28"/>
      <c r="I993" s="28"/>
      <c r="J993" s="28"/>
      <c r="K993" s="28"/>
      <c r="L993" s="28"/>
      <c r="M993" s="28"/>
      <c r="N993" s="28"/>
      <c r="O993" s="67"/>
      <c r="P993" s="67"/>
      <c r="Q993" s="67" t="s">
        <v>145</v>
      </c>
      <c r="R993" s="67"/>
      <c r="S993" s="67"/>
      <c r="T993" s="67"/>
      <c r="U993" s="67"/>
      <c r="V993" s="67"/>
      <c r="W993" s="67"/>
      <c r="X993" s="67"/>
      <c r="Y993" s="67"/>
      <c r="Z993" s="67"/>
      <c r="AA993" s="67"/>
      <c r="AB993" s="67"/>
      <c r="AC993" s="67"/>
      <c r="AD993" s="70"/>
      <c r="AE993" s="70"/>
      <c r="AF993" s="70"/>
      <c r="AG993" s="70"/>
      <c r="AH993" s="70"/>
      <c r="AI993" s="70"/>
      <c r="AJ993" s="70"/>
      <c r="AK993" s="70"/>
      <c r="AL993" s="70"/>
      <c r="AM993" s="70"/>
      <c r="AN993" s="70"/>
      <c r="AO993" s="70"/>
      <c r="AP993" s="70"/>
      <c r="AQ993" s="70"/>
      <c r="AR993" s="70"/>
      <c r="AS993" s="70"/>
      <c r="AT993" s="70"/>
      <c r="AU993" s="70"/>
      <c r="AV993" s="70"/>
      <c r="AW993" s="70"/>
      <c r="AX993" s="70"/>
    </row>
    <row r="994" ht="15.75" customHeight="1">
      <c r="A994" s="68" t="s">
        <v>7094</v>
      </c>
      <c r="B994" s="66" t="s">
        <v>7095</v>
      </c>
      <c r="C994" s="28" t="s">
        <v>7103</v>
      </c>
      <c r="D994" s="28" t="s">
        <v>7104</v>
      </c>
      <c r="E994" s="28" t="s">
        <v>7105</v>
      </c>
      <c r="F994" s="28"/>
      <c r="G994" s="28"/>
      <c r="H994" s="28"/>
      <c r="I994" s="28"/>
      <c r="J994" s="28"/>
      <c r="K994" s="28"/>
      <c r="L994" s="28"/>
      <c r="M994" s="28"/>
      <c r="N994" s="28"/>
      <c r="O994" s="67"/>
      <c r="P994" s="67"/>
      <c r="Q994" s="67" t="s">
        <v>145</v>
      </c>
      <c r="R994" s="67"/>
      <c r="S994" s="67"/>
      <c r="T994" s="67"/>
      <c r="U994" s="67"/>
      <c r="V994" s="67"/>
      <c r="W994" s="67"/>
      <c r="X994" s="67"/>
      <c r="Y994" s="67"/>
      <c r="Z994" s="67"/>
      <c r="AA994" s="67"/>
      <c r="AB994" s="67"/>
      <c r="AC994" s="67"/>
      <c r="AD994" s="70"/>
      <c r="AE994" s="70"/>
      <c r="AF994" s="70"/>
      <c r="AG994" s="70"/>
      <c r="AH994" s="70"/>
      <c r="AI994" s="70"/>
      <c r="AJ994" s="70"/>
      <c r="AK994" s="70"/>
      <c r="AL994" s="70"/>
      <c r="AM994" s="70"/>
      <c r="AN994" s="70"/>
      <c r="AO994" s="70"/>
      <c r="AP994" s="70"/>
      <c r="AQ994" s="70"/>
      <c r="AR994" s="70"/>
      <c r="AS994" s="70"/>
      <c r="AT994" s="70"/>
      <c r="AU994" s="70"/>
      <c r="AV994" s="70"/>
      <c r="AW994" s="70"/>
      <c r="AX994" s="70"/>
    </row>
    <row r="995" ht="15.75" customHeight="1">
      <c r="A995" s="68" t="s">
        <v>7106</v>
      </c>
      <c r="B995" s="66" t="s">
        <v>7107</v>
      </c>
      <c r="C995" s="28" t="s">
        <v>7114</v>
      </c>
      <c r="D995" s="28" t="s">
        <v>7115</v>
      </c>
      <c r="E995" s="28" t="s">
        <v>7116</v>
      </c>
      <c r="F995" s="28"/>
      <c r="G995" s="28"/>
      <c r="H995" s="28"/>
      <c r="I995" s="28"/>
      <c r="J995" s="28"/>
      <c r="K995" s="28"/>
      <c r="L995" s="28"/>
      <c r="M995" s="28"/>
      <c r="N995" s="28"/>
      <c r="O995" s="67"/>
      <c r="P995" s="67"/>
      <c r="Q995" s="67" t="s">
        <v>145</v>
      </c>
      <c r="R995" s="67"/>
      <c r="S995" s="67"/>
      <c r="T995" s="67"/>
      <c r="U995" s="67"/>
      <c r="V995" s="67"/>
      <c r="W995" s="67"/>
      <c r="X995" s="67"/>
      <c r="Y995" s="67"/>
      <c r="Z995" s="67"/>
      <c r="AA995" s="67"/>
      <c r="AB995" s="67"/>
      <c r="AC995" s="67"/>
      <c r="AD995" s="70"/>
      <c r="AE995" s="70"/>
      <c r="AF995" s="70"/>
      <c r="AG995" s="70"/>
      <c r="AH995" s="70"/>
      <c r="AI995" s="70"/>
      <c r="AJ995" s="70"/>
      <c r="AK995" s="70"/>
      <c r="AL995" s="70"/>
      <c r="AM995" s="70"/>
      <c r="AN995" s="70"/>
      <c r="AO995" s="70"/>
      <c r="AP995" s="70"/>
      <c r="AQ995" s="70"/>
      <c r="AR995" s="70"/>
      <c r="AS995" s="70"/>
      <c r="AT995" s="70"/>
      <c r="AU995" s="70"/>
      <c r="AV995" s="70"/>
      <c r="AW995" s="70"/>
      <c r="AX995" s="70"/>
    </row>
    <row r="996" ht="15.75" customHeight="1">
      <c r="A996" s="68" t="s">
        <v>7064</v>
      </c>
      <c r="B996" s="66" t="s">
        <v>7117</v>
      </c>
      <c r="C996" s="28" t="s">
        <v>7122</v>
      </c>
      <c r="D996" s="28" t="s">
        <v>7123</v>
      </c>
      <c r="E996" s="28" t="s">
        <v>7124</v>
      </c>
      <c r="F996" s="28" t="s">
        <v>10601</v>
      </c>
      <c r="G996" s="28" t="s">
        <v>10602</v>
      </c>
      <c r="H996" s="28" t="s">
        <v>10603</v>
      </c>
      <c r="I996" s="28"/>
      <c r="J996" s="28"/>
      <c r="K996" s="28"/>
      <c r="L996" s="28"/>
      <c r="M996" s="28"/>
      <c r="N996" s="28"/>
      <c r="O996" s="67"/>
      <c r="P996" s="67"/>
      <c r="Q996" s="67" t="s">
        <v>145</v>
      </c>
      <c r="R996" s="67"/>
      <c r="S996" s="67"/>
      <c r="T996" s="67"/>
      <c r="U996" s="67"/>
      <c r="V996" s="67"/>
      <c r="W996" s="67"/>
      <c r="X996" s="67"/>
      <c r="Y996" s="67"/>
      <c r="Z996" s="67"/>
      <c r="AA996" s="67"/>
      <c r="AB996" s="67"/>
      <c r="AC996" s="67"/>
      <c r="AD996" s="70"/>
      <c r="AE996" s="70"/>
      <c r="AF996" s="70"/>
      <c r="AG996" s="70"/>
      <c r="AH996" s="70"/>
      <c r="AI996" s="70"/>
      <c r="AJ996" s="70"/>
      <c r="AK996" s="70"/>
      <c r="AL996" s="70"/>
      <c r="AM996" s="70"/>
      <c r="AN996" s="70"/>
      <c r="AO996" s="70"/>
      <c r="AP996" s="70"/>
      <c r="AQ996" s="70"/>
      <c r="AR996" s="70"/>
      <c r="AS996" s="70"/>
      <c r="AT996" s="70"/>
      <c r="AU996" s="70"/>
      <c r="AV996" s="70"/>
      <c r="AW996" s="70"/>
      <c r="AX996" s="70"/>
    </row>
    <row r="997" ht="15.75" customHeight="1">
      <c r="A997" s="140" t="s">
        <v>237</v>
      </c>
      <c r="B997" s="140" t="s">
        <v>6961</v>
      </c>
      <c r="C997" s="28" t="s">
        <v>6962</v>
      </c>
      <c r="D997" s="28"/>
      <c r="E997" s="28"/>
      <c r="F997" s="28"/>
      <c r="G997" s="28"/>
      <c r="H997" s="28"/>
      <c r="I997" s="28"/>
      <c r="J997" s="28"/>
      <c r="K997" s="28"/>
      <c r="L997" s="28"/>
      <c r="M997" s="28"/>
      <c r="N997" s="28"/>
      <c r="O997" s="139"/>
      <c r="P997" s="139"/>
      <c r="Q997" s="139"/>
      <c r="R997" s="139"/>
      <c r="S997" s="139"/>
      <c r="T997" s="139"/>
      <c r="U997" s="139"/>
      <c r="V997" s="139"/>
      <c r="W997" s="139"/>
      <c r="X997" s="139"/>
      <c r="Y997" s="139"/>
      <c r="Z997" s="139"/>
      <c r="AA997" s="139"/>
      <c r="AB997" s="139"/>
      <c r="AC997" s="139"/>
      <c r="AD997" s="70"/>
      <c r="AE997" s="70"/>
      <c r="AF997" s="70"/>
      <c r="AG997" s="70"/>
      <c r="AH997" s="70"/>
      <c r="AI997" s="70"/>
      <c r="AJ997" s="70"/>
      <c r="AK997" s="70"/>
      <c r="AL997" s="70"/>
      <c r="AM997" s="70"/>
      <c r="AN997" s="70"/>
      <c r="AO997" s="70"/>
      <c r="AP997" s="70"/>
      <c r="AQ997" s="70"/>
      <c r="AR997" s="70"/>
      <c r="AS997" s="70"/>
      <c r="AT997" s="70"/>
      <c r="AU997" s="70"/>
      <c r="AV997" s="70"/>
      <c r="AW997" s="70"/>
      <c r="AX997" s="70"/>
    </row>
    <row r="998" ht="15.75" customHeight="1">
      <c r="A998" s="58"/>
      <c r="B998" s="58"/>
      <c r="C998" s="28"/>
      <c r="D998" s="28"/>
      <c r="E998" s="28"/>
      <c r="F998" s="28"/>
      <c r="G998" s="28"/>
      <c r="H998" s="28"/>
      <c r="I998" s="28"/>
      <c r="J998" s="28"/>
      <c r="K998" s="28"/>
      <c r="L998" s="28"/>
      <c r="M998" s="28"/>
      <c r="N998" s="28"/>
      <c r="O998" s="24"/>
      <c r="P998" s="24"/>
      <c r="Q998" s="24"/>
      <c r="R998" s="24"/>
      <c r="S998" s="24"/>
      <c r="T998" s="24"/>
      <c r="U998" s="24"/>
      <c r="V998" s="24"/>
      <c r="W998" s="24"/>
      <c r="X998" s="24"/>
      <c r="Y998" s="24"/>
      <c r="Z998" s="24"/>
      <c r="AA998" s="24"/>
      <c r="AB998" s="24"/>
      <c r="AC998" s="24"/>
      <c r="AD998" s="24"/>
      <c r="AE998" s="24"/>
      <c r="AF998" s="24"/>
      <c r="AG998" s="24"/>
      <c r="AH998" s="24"/>
      <c r="AI998" s="24"/>
      <c r="AJ998" s="24"/>
      <c r="AK998" s="24"/>
      <c r="AL998" s="24"/>
      <c r="AM998" s="24"/>
      <c r="AN998" s="24"/>
      <c r="AO998" s="24"/>
      <c r="AP998" s="24"/>
      <c r="AQ998" s="24"/>
      <c r="AR998" s="24"/>
      <c r="AS998" s="24"/>
      <c r="AT998" s="24"/>
      <c r="AU998" s="24"/>
      <c r="AV998" s="24"/>
      <c r="AW998" s="24"/>
      <c r="AX998" s="24"/>
    </row>
    <row r="999" ht="15.75" customHeight="1">
      <c r="A999" s="221"/>
      <c r="B999" s="221"/>
      <c r="C999" s="28" t="s">
        <v>50</v>
      </c>
      <c r="D999" s="28" t="s">
        <v>50</v>
      </c>
      <c r="E999" s="28" t="s">
        <v>50</v>
      </c>
      <c r="F999" s="28"/>
      <c r="G999" s="28"/>
      <c r="H999" s="28"/>
      <c r="I999" s="28"/>
      <c r="J999" s="28"/>
      <c r="K999" s="28"/>
      <c r="L999" s="28"/>
      <c r="M999" s="28"/>
      <c r="N999" s="28"/>
      <c r="O999" s="70"/>
      <c r="P999" s="70"/>
      <c r="Q999" s="70"/>
      <c r="R999" s="70"/>
      <c r="S999" s="70"/>
      <c r="T999" s="70"/>
      <c r="U999" s="70"/>
      <c r="V999" s="70"/>
      <c r="W999" s="70"/>
      <c r="X999" s="70"/>
      <c r="Y999" s="70"/>
      <c r="Z999" s="70"/>
      <c r="AA999" s="70"/>
      <c r="AB999" s="70"/>
      <c r="AC999" s="70"/>
      <c r="AD999" s="70"/>
      <c r="AE999" s="70"/>
      <c r="AF999" s="70"/>
      <c r="AG999" s="70"/>
      <c r="AH999" s="70"/>
      <c r="AI999" s="70"/>
      <c r="AJ999" s="70"/>
      <c r="AK999" s="70"/>
      <c r="AL999" s="70"/>
      <c r="AM999" s="70"/>
      <c r="AN999" s="70"/>
      <c r="AO999" s="70"/>
      <c r="AP999" s="70"/>
      <c r="AQ999" s="70"/>
      <c r="AR999" s="70"/>
      <c r="AS999" s="70"/>
      <c r="AT999" s="70"/>
      <c r="AU999" s="70"/>
      <c r="AV999" s="70"/>
      <c r="AW999" s="70"/>
      <c r="AX999" s="70"/>
    </row>
    <row r="1000" ht="15.75" customHeight="1">
      <c r="A1000" s="140" t="s">
        <v>131</v>
      </c>
      <c r="B1000" s="164" t="s">
        <v>7134</v>
      </c>
      <c r="C1000" s="28" t="s">
        <v>7135</v>
      </c>
      <c r="D1000" s="28"/>
      <c r="E1000" s="28"/>
      <c r="F1000" s="28"/>
      <c r="G1000" s="28"/>
      <c r="H1000" s="28"/>
      <c r="I1000" s="28"/>
      <c r="J1000" s="28"/>
      <c r="K1000" s="28"/>
      <c r="L1000" s="28"/>
      <c r="M1000" s="28"/>
      <c r="N1000" s="28"/>
      <c r="O1000" s="138" t="s">
        <v>10604</v>
      </c>
      <c r="P1000" s="139" t="s">
        <v>145</v>
      </c>
      <c r="Q1000" s="139"/>
      <c r="R1000" s="139"/>
      <c r="S1000" s="139"/>
      <c r="T1000" s="139"/>
      <c r="U1000" s="139"/>
      <c r="V1000" s="139"/>
      <c r="W1000" s="139"/>
      <c r="X1000" s="139"/>
      <c r="Y1000" s="139"/>
      <c r="Z1000" s="139"/>
      <c r="AA1000" s="139"/>
      <c r="AB1000" s="139"/>
      <c r="AC1000" s="139"/>
      <c r="AD1000" s="139"/>
      <c r="AE1000" s="139"/>
      <c r="AF1000" s="139"/>
      <c r="AG1000" s="139"/>
      <c r="AH1000" s="139"/>
      <c r="AI1000" s="139"/>
      <c r="AJ1000" s="139"/>
      <c r="AK1000" s="139"/>
      <c r="AL1000" s="139"/>
      <c r="AM1000" s="139"/>
      <c r="AN1000" s="139"/>
      <c r="AO1000" s="70"/>
      <c r="AP1000" s="70"/>
      <c r="AQ1000" s="70"/>
      <c r="AR1000" s="70"/>
      <c r="AS1000" s="70"/>
      <c r="AT1000" s="70"/>
      <c r="AU1000" s="70"/>
      <c r="AV1000" s="70"/>
      <c r="AW1000" s="70"/>
      <c r="AX1000" s="70"/>
    </row>
    <row r="1001" ht="16.5" customHeight="1">
      <c r="A1001" s="65" t="s">
        <v>134</v>
      </c>
      <c r="B1001" s="66" t="s">
        <v>7140</v>
      </c>
      <c r="C1001" s="28"/>
      <c r="D1001" s="28"/>
      <c r="E1001" s="28"/>
      <c r="F1001" s="28"/>
      <c r="G1001" s="28"/>
      <c r="H1001" s="28"/>
      <c r="I1001" s="28"/>
      <c r="J1001" s="28"/>
      <c r="K1001" s="28"/>
      <c r="L1001" s="28"/>
      <c r="M1001" s="28"/>
      <c r="N1001" s="28"/>
      <c r="O1001" s="67"/>
      <c r="P1001" s="68" t="s">
        <v>145</v>
      </c>
      <c r="Q1001" s="68"/>
      <c r="R1001" s="67"/>
      <c r="S1001" s="67"/>
      <c r="T1001" s="65" t="s">
        <v>139</v>
      </c>
      <c r="U1001" s="67"/>
      <c r="V1001" s="67"/>
      <c r="W1001" s="67"/>
      <c r="X1001" s="67"/>
      <c r="Y1001" s="67"/>
      <c r="Z1001" s="67"/>
      <c r="AA1001" s="67"/>
      <c r="AB1001" s="67"/>
      <c r="AC1001" s="67"/>
      <c r="AD1001" s="67"/>
      <c r="AE1001" s="67"/>
      <c r="AF1001" s="67"/>
      <c r="AG1001" s="67"/>
      <c r="AH1001" s="67"/>
      <c r="AI1001" s="67"/>
      <c r="AJ1001" s="67"/>
      <c r="AK1001" s="67"/>
      <c r="AL1001" s="67"/>
      <c r="AM1001" s="67"/>
      <c r="AN1001" s="67"/>
      <c r="AO1001" s="67"/>
      <c r="AP1001" s="67"/>
      <c r="AQ1001" s="67"/>
      <c r="AR1001" s="67"/>
      <c r="AS1001" s="67"/>
      <c r="AT1001" s="67"/>
      <c r="AU1001" s="67"/>
      <c r="AV1001" s="67"/>
      <c r="AW1001" s="67"/>
      <c r="AX1001" s="67"/>
    </row>
    <row r="1002" ht="15.75" customHeight="1">
      <c r="A1002" s="166" t="s">
        <v>41</v>
      </c>
      <c r="B1002" s="167" t="s">
        <v>7144</v>
      </c>
      <c r="C1002" s="28" t="s">
        <v>7151</v>
      </c>
      <c r="D1002" s="28" t="s">
        <v>7152</v>
      </c>
      <c r="E1002" s="28" t="s">
        <v>7153</v>
      </c>
      <c r="F1002" s="28"/>
      <c r="G1002" s="28"/>
      <c r="H1002" s="28"/>
      <c r="I1002" s="28"/>
      <c r="J1002" s="28"/>
      <c r="K1002" s="28"/>
      <c r="L1002" s="28"/>
      <c r="M1002" s="28"/>
      <c r="N1002" s="28"/>
      <c r="O1002" s="126"/>
      <c r="P1002" s="126" t="s">
        <v>145</v>
      </c>
      <c r="Q1002" s="126"/>
      <c r="R1002" s="126"/>
      <c r="S1002" s="126"/>
      <c r="T1002" s="126"/>
      <c r="U1002" s="126"/>
      <c r="V1002" s="126"/>
      <c r="W1002" s="126"/>
      <c r="X1002" s="126"/>
      <c r="Y1002" s="126"/>
      <c r="Z1002" s="126"/>
      <c r="AA1002" s="126"/>
      <c r="AB1002" s="126"/>
      <c r="AC1002" s="126"/>
      <c r="AD1002" s="126"/>
      <c r="AE1002" s="126"/>
      <c r="AF1002" s="126"/>
      <c r="AG1002" s="126"/>
      <c r="AH1002" s="126"/>
      <c r="AI1002" s="126"/>
      <c r="AJ1002" s="126"/>
      <c r="AK1002" s="126"/>
      <c r="AL1002" s="126"/>
      <c r="AM1002" s="126"/>
      <c r="AN1002" s="126"/>
      <c r="AO1002" s="70"/>
      <c r="AP1002" s="70"/>
      <c r="AQ1002" s="70"/>
      <c r="AR1002" s="70"/>
      <c r="AS1002" s="70"/>
      <c r="AT1002" s="70"/>
      <c r="AU1002" s="70"/>
      <c r="AV1002" s="70"/>
      <c r="AW1002" s="70"/>
      <c r="AX1002" s="70"/>
    </row>
    <row r="1003" ht="15.75" customHeight="1">
      <c r="A1003" s="170" t="s">
        <v>263</v>
      </c>
      <c r="B1003" s="171" t="s">
        <v>7154</v>
      </c>
      <c r="C1003" s="28" t="s">
        <v>7159</v>
      </c>
      <c r="D1003" s="28" t="s">
        <v>7160</v>
      </c>
      <c r="E1003" s="28" t="s">
        <v>7161</v>
      </c>
      <c r="F1003" s="28"/>
      <c r="G1003" s="28"/>
      <c r="H1003" s="28"/>
      <c r="I1003" s="28"/>
      <c r="J1003" s="28"/>
      <c r="K1003" s="28" t="s">
        <v>10605</v>
      </c>
      <c r="L1003" s="28"/>
      <c r="M1003" s="28"/>
      <c r="N1003" s="28"/>
      <c r="O1003" s="173"/>
      <c r="P1003" s="173" t="s">
        <v>145</v>
      </c>
      <c r="Q1003" s="173" t="s">
        <v>145</v>
      </c>
      <c r="R1003" s="173"/>
      <c r="S1003" s="173"/>
      <c r="T1003" s="173"/>
      <c r="U1003" s="173"/>
      <c r="V1003" s="173"/>
      <c r="W1003" s="173"/>
      <c r="X1003" s="173"/>
      <c r="Y1003" s="173"/>
      <c r="Z1003" s="173"/>
      <c r="AA1003" s="173"/>
      <c r="AB1003" s="173"/>
      <c r="AC1003" s="173"/>
      <c r="AD1003" s="173"/>
      <c r="AE1003" s="173"/>
      <c r="AF1003" s="173"/>
      <c r="AG1003" s="173"/>
      <c r="AH1003" s="173"/>
      <c r="AI1003" s="173"/>
      <c r="AJ1003" s="173"/>
      <c r="AK1003" s="173"/>
      <c r="AL1003" s="173"/>
      <c r="AM1003" s="173"/>
      <c r="AN1003" s="173"/>
      <c r="AO1003" s="70"/>
      <c r="AP1003" s="70"/>
      <c r="AQ1003" s="70"/>
      <c r="AR1003" s="70"/>
      <c r="AS1003" s="70"/>
      <c r="AT1003" s="70"/>
      <c r="AU1003" s="70"/>
      <c r="AV1003" s="70"/>
      <c r="AW1003" s="70"/>
      <c r="AX1003" s="70"/>
    </row>
    <row r="1004" ht="15.75" customHeight="1">
      <c r="A1004" s="140" t="s">
        <v>131</v>
      </c>
      <c r="B1004" s="164" t="s">
        <v>7162</v>
      </c>
      <c r="C1004" s="28"/>
      <c r="D1004" s="28"/>
      <c r="E1004" s="28"/>
      <c r="F1004" s="28"/>
      <c r="G1004" s="28"/>
      <c r="H1004" s="28"/>
      <c r="I1004" s="28"/>
      <c r="J1004" s="28"/>
      <c r="K1004" s="28"/>
      <c r="L1004" s="28"/>
      <c r="M1004" s="28"/>
      <c r="N1004" s="28"/>
      <c r="O1004" s="190" t="s">
        <v>10606</v>
      </c>
      <c r="P1004" s="139" t="s">
        <v>145</v>
      </c>
      <c r="Q1004" s="139"/>
      <c r="R1004" s="139"/>
      <c r="S1004" s="139"/>
      <c r="T1004" s="139"/>
      <c r="U1004" s="139"/>
      <c r="V1004" s="139"/>
      <c r="W1004" s="139"/>
      <c r="X1004" s="139"/>
      <c r="Y1004" s="139"/>
      <c r="Z1004" s="139"/>
      <c r="AA1004" s="139"/>
      <c r="AB1004" s="139"/>
      <c r="AC1004" s="139"/>
      <c r="AD1004" s="67"/>
      <c r="AE1004" s="67"/>
      <c r="AF1004" s="67"/>
      <c r="AG1004" s="67"/>
      <c r="AH1004" s="67"/>
      <c r="AI1004" s="67"/>
      <c r="AJ1004" s="67"/>
      <c r="AK1004" s="67"/>
      <c r="AL1004" s="67"/>
      <c r="AM1004" s="67"/>
      <c r="AN1004" s="67"/>
      <c r="AO1004" s="70"/>
      <c r="AP1004" s="70"/>
      <c r="AQ1004" s="70"/>
      <c r="AR1004" s="70"/>
      <c r="AS1004" s="70"/>
      <c r="AT1004" s="70"/>
      <c r="AU1004" s="70"/>
      <c r="AV1004" s="70"/>
      <c r="AW1004" s="70"/>
      <c r="AX1004" s="70"/>
    </row>
    <row r="1005" ht="15.75" customHeight="1">
      <c r="A1005" s="68" t="s">
        <v>7167</v>
      </c>
      <c r="B1005" s="169" t="s">
        <v>7168</v>
      </c>
      <c r="C1005" s="28" t="s">
        <v>7176</v>
      </c>
      <c r="D1005" s="28" t="s">
        <v>7177</v>
      </c>
      <c r="E1005" s="28" t="s">
        <v>7178</v>
      </c>
      <c r="F1005" s="28"/>
      <c r="G1005" s="28"/>
      <c r="H1005" s="28"/>
      <c r="I1005" s="28"/>
      <c r="J1005" s="28"/>
      <c r="K1005" s="28"/>
      <c r="L1005" s="28"/>
      <c r="M1005" s="28"/>
      <c r="N1005" s="28"/>
      <c r="O1005" s="67"/>
      <c r="P1005" s="67" t="s">
        <v>145</v>
      </c>
      <c r="Q1005" s="67" t="s">
        <v>145</v>
      </c>
      <c r="R1005" s="67"/>
      <c r="S1005" s="67"/>
      <c r="T1005" s="67"/>
      <c r="U1005" s="67"/>
      <c r="V1005" s="67"/>
      <c r="W1005" s="67"/>
      <c r="X1005" s="67"/>
      <c r="Y1005" s="67"/>
      <c r="Z1005" s="67"/>
      <c r="AA1005" s="67"/>
      <c r="AB1005" s="67"/>
      <c r="AC1005" s="67"/>
      <c r="AD1005" s="67"/>
      <c r="AE1005" s="67"/>
      <c r="AF1005" s="67"/>
      <c r="AG1005" s="67"/>
      <c r="AH1005" s="67"/>
      <c r="AI1005" s="67"/>
      <c r="AJ1005" s="67"/>
      <c r="AK1005" s="67"/>
      <c r="AL1005" s="67"/>
      <c r="AM1005" s="67"/>
      <c r="AN1005" s="67"/>
      <c r="AO1005" s="70"/>
      <c r="AP1005" s="70"/>
      <c r="AQ1005" s="70"/>
      <c r="AR1005" s="70"/>
      <c r="AS1005" s="70"/>
      <c r="AT1005" s="70"/>
      <c r="AU1005" s="70"/>
      <c r="AV1005" s="70"/>
      <c r="AW1005" s="70"/>
      <c r="AX1005" s="70"/>
    </row>
    <row r="1006" ht="15.75" customHeight="1">
      <c r="A1006" s="166" t="s">
        <v>41</v>
      </c>
      <c r="B1006" s="167" t="s">
        <v>7179</v>
      </c>
      <c r="C1006" s="28" t="s">
        <v>7186</v>
      </c>
      <c r="D1006" s="28" t="s">
        <v>7187</v>
      </c>
      <c r="E1006" s="28" t="s">
        <v>7188</v>
      </c>
      <c r="F1006" s="28"/>
      <c r="G1006" s="28"/>
      <c r="H1006" s="28"/>
      <c r="I1006" s="28"/>
      <c r="J1006" s="28"/>
      <c r="K1006" s="28"/>
      <c r="L1006" s="28"/>
      <c r="M1006" s="28"/>
      <c r="N1006" s="28"/>
      <c r="O1006" s="126"/>
      <c r="P1006" s="126" t="s">
        <v>145</v>
      </c>
      <c r="Q1006" s="126"/>
      <c r="R1006" s="126"/>
      <c r="S1006" s="126"/>
      <c r="T1006" s="126"/>
      <c r="U1006" s="126"/>
      <c r="V1006" s="126"/>
      <c r="W1006" s="126"/>
      <c r="X1006" s="126"/>
      <c r="Y1006" s="126"/>
      <c r="Z1006" s="126"/>
      <c r="AA1006" s="126"/>
      <c r="AB1006" s="126"/>
      <c r="AC1006" s="126"/>
      <c r="AD1006" s="126"/>
      <c r="AE1006" s="126"/>
      <c r="AF1006" s="126"/>
      <c r="AG1006" s="126"/>
      <c r="AH1006" s="126"/>
      <c r="AI1006" s="126"/>
      <c r="AJ1006" s="126"/>
      <c r="AK1006" s="126"/>
      <c r="AL1006" s="126"/>
      <c r="AM1006" s="126"/>
      <c r="AN1006" s="126"/>
      <c r="AO1006" s="70"/>
      <c r="AP1006" s="70"/>
      <c r="AQ1006" s="70"/>
      <c r="AR1006" s="70"/>
      <c r="AS1006" s="70"/>
      <c r="AT1006" s="70"/>
      <c r="AU1006" s="70"/>
      <c r="AV1006" s="70"/>
      <c r="AW1006" s="70"/>
      <c r="AX1006" s="70"/>
    </row>
    <row r="1007" ht="15.75" customHeight="1">
      <c r="A1007" s="68" t="s">
        <v>7189</v>
      </c>
      <c r="B1007" s="169" t="s">
        <v>7190</v>
      </c>
      <c r="C1007" s="28" t="s">
        <v>7197</v>
      </c>
      <c r="D1007" s="28" t="s">
        <v>7198</v>
      </c>
      <c r="E1007" s="28" t="s">
        <v>7199</v>
      </c>
      <c r="F1007" s="28"/>
      <c r="G1007" s="28"/>
      <c r="H1007" s="28"/>
      <c r="I1007" s="28"/>
      <c r="J1007" s="28"/>
      <c r="K1007" s="28" t="s">
        <v>10607</v>
      </c>
      <c r="L1007" s="28" t="s">
        <v>10608</v>
      </c>
      <c r="M1007" s="28"/>
      <c r="N1007" s="28"/>
      <c r="O1007" s="67"/>
      <c r="P1007" s="67" t="s">
        <v>145</v>
      </c>
      <c r="Q1007" s="67" t="s">
        <v>145</v>
      </c>
      <c r="R1007" s="67"/>
      <c r="S1007" s="67"/>
      <c r="T1007" s="67"/>
      <c r="U1007" s="67"/>
      <c r="V1007" s="67"/>
      <c r="W1007" s="67"/>
      <c r="X1007" s="67"/>
      <c r="Y1007" s="67"/>
      <c r="Z1007" s="67"/>
      <c r="AA1007" s="67"/>
      <c r="AB1007" s="67"/>
      <c r="AC1007" s="67"/>
      <c r="AD1007" s="67"/>
      <c r="AE1007" s="67"/>
      <c r="AF1007" s="67"/>
      <c r="AG1007" s="67"/>
      <c r="AH1007" s="67"/>
      <c r="AI1007" s="67"/>
      <c r="AJ1007" s="67"/>
      <c r="AK1007" s="67"/>
      <c r="AL1007" s="67"/>
      <c r="AM1007" s="67"/>
      <c r="AN1007" s="67"/>
      <c r="AO1007" s="70"/>
      <c r="AP1007" s="70"/>
      <c r="AQ1007" s="70"/>
      <c r="AR1007" s="70"/>
      <c r="AS1007" s="70"/>
      <c r="AT1007" s="70"/>
      <c r="AU1007" s="70"/>
      <c r="AV1007" s="70"/>
      <c r="AW1007" s="70"/>
      <c r="AX1007" s="70"/>
    </row>
    <row r="1008" ht="15.75" customHeight="1">
      <c r="A1008" s="65" t="s">
        <v>246</v>
      </c>
      <c r="B1008" s="218" t="s">
        <v>7200</v>
      </c>
      <c r="C1008" s="28" t="s">
        <v>7205</v>
      </c>
      <c r="D1008" s="28" t="s">
        <v>7206</v>
      </c>
      <c r="E1008" s="28" t="s">
        <v>7207</v>
      </c>
      <c r="F1008" s="28"/>
      <c r="G1008" s="28"/>
      <c r="H1008" s="28"/>
      <c r="I1008" s="28"/>
      <c r="J1008" s="28"/>
      <c r="K1008" s="28"/>
      <c r="L1008" s="28"/>
      <c r="M1008" s="28"/>
      <c r="N1008" s="28"/>
      <c r="O1008" s="65" t="s">
        <v>10609</v>
      </c>
      <c r="P1008" s="137" t="s">
        <v>145</v>
      </c>
      <c r="Q1008" s="137" t="s">
        <v>145</v>
      </c>
      <c r="R1008" s="67"/>
      <c r="S1008" s="67"/>
      <c r="T1008" s="67"/>
      <c r="U1008" s="67"/>
      <c r="V1008" s="67"/>
      <c r="W1008" s="67"/>
      <c r="X1008" s="67"/>
      <c r="Y1008" s="67"/>
      <c r="Z1008" s="67"/>
      <c r="AA1008" s="67"/>
      <c r="AB1008" s="67"/>
      <c r="AC1008" s="67"/>
      <c r="AD1008" s="67"/>
      <c r="AE1008" s="67"/>
      <c r="AF1008" s="67"/>
      <c r="AG1008" s="67"/>
      <c r="AH1008" s="67"/>
      <c r="AI1008" s="67"/>
      <c r="AJ1008" s="67"/>
      <c r="AK1008" s="67"/>
      <c r="AL1008" s="67"/>
      <c r="AM1008" s="67"/>
      <c r="AN1008" s="67"/>
      <c r="AO1008" s="70"/>
      <c r="AP1008" s="70"/>
      <c r="AQ1008" s="70"/>
      <c r="AR1008" s="70"/>
      <c r="AS1008" s="70"/>
      <c r="AT1008" s="70"/>
      <c r="AU1008" s="70"/>
      <c r="AV1008" s="70"/>
      <c r="AW1008" s="70"/>
      <c r="AX1008" s="70"/>
    </row>
    <row r="1009" ht="15.75" customHeight="1">
      <c r="A1009" s="68" t="s">
        <v>463</v>
      </c>
      <c r="B1009" s="218" t="s">
        <v>7208</v>
      </c>
      <c r="C1009" s="28" t="s">
        <v>7215</v>
      </c>
      <c r="D1009" s="28" t="s">
        <v>7216</v>
      </c>
      <c r="E1009" s="28" t="s">
        <v>7217</v>
      </c>
      <c r="F1009" s="28"/>
      <c r="G1009" s="28"/>
      <c r="H1009" s="28"/>
      <c r="I1009" s="28"/>
      <c r="J1009" s="28"/>
      <c r="K1009" s="28"/>
      <c r="L1009" s="28"/>
      <c r="M1009" s="28"/>
      <c r="N1009" s="28"/>
      <c r="O1009" s="67"/>
      <c r="P1009" s="67" t="s">
        <v>145</v>
      </c>
      <c r="Q1009" s="67" t="s">
        <v>145</v>
      </c>
      <c r="R1009" s="67"/>
      <c r="S1009" s="67"/>
      <c r="T1009" s="67"/>
      <c r="U1009" s="67"/>
      <c r="V1009" s="67"/>
      <c r="W1009" s="67"/>
      <c r="X1009" s="67"/>
      <c r="Y1009" s="67"/>
      <c r="Z1009" s="67"/>
      <c r="AA1009" s="67"/>
      <c r="AB1009" s="67"/>
      <c r="AC1009" s="67"/>
      <c r="AD1009" s="67"/>
      <c r="AE1009" s="67"/>
      <c r="AF1009" s="67"/>
      <c r="AG1009" s="67"/>
      <c r="AH1009" s="67"/>
      <c r="AI1009" s="67"/>
      <c r="AJ1009" s="67"/>
      <c r="AK1009" s="67"/>
      <c r="AL1009" s="67"/>
      <c r="AM1009" s="67"/>
      <c r="AN1009" s="67"/>
      <c r="AO1009" s="70"/>
      <c r="AP1009" s="70"/>
      <c r="AQ1009" s="70"/>
      <c r="AR1009" s="70"/>
      <c r="AS1009" s="70"/>
      <c r="AT1009" s="70"/>
      <c r="AU1009" s="70"/>
      <c r="AV1009" s="70"/>
      <c r="AW1009" s="70"/>
      <c r="AX1009" s="70"/>
    </row>
    <row r="1010" ht="15.75" customHeight="1">
      <c r="A1010" s="68" t="s">
        <v>7218</v>
      </c>
      <c r="B1010" s="218" t="s">
        <v>7219</v>
      </c>
      <c r="C1010" s="28" t="s">
        <v>7223</v>
      </c>
      <c r="D1010" s="28" t="s">
        <v>7224</v>
      </c>
      <c r="E1010" s="28" t="s">
        <v>7225</v>
      </c>
      <c r="F1010" s="28"/>
      <c r="G1010" s="28"/>
      <c r="H1010" s="28"/>
      <c r="I1010" s="28"/>
      <c r="J1010" s="28"/>
      <c r="K1010" s="28"/>
      <c r="L1010" s="28"/>
      <c r="M1010" s="28"/>
      <c r="N1010" s="28"/>
      <c r="O1010" s="65" t="s">
        <v>10610</v>
      </c>
      <c r="P1010" s="67" t="s">
        <v>145</v>
      </c>
      <c r="Q1010" s="67" t="s">
        <v>145</v>
      </c>
      <c r="R1010" s="67"/>
      <c r="S1010" s="67"/>
      <c r="T1010" s="67"/>
      <c r="U1010" s="67"/>
      <c r="V1010" s="67"/>
      <c r="W1010" s="67"/>
      <c r="X1010" s="67"/>
      <c r="Y1010" s="67"/>
      <c r="Z1010" s="67"/>
      <c r="AA1010" s="67"/>
      <c r="AB1010" s="67"/>
      <c r="AC1010" s="67"/>
      <c r="AD1010" s="67"/>
      <c r="AE1010" s="67"/>
      <c r="AF1010" s="67"/>
      <c r="AG1010" s="67"/>
      <c r="AH1010" s="67"/>
      <c r="AI1010" s="67"/>
      <c r="AJ1010" s="67"/>
      <c r="AK1010" s="67"/>
      <c r="AL1010" s="67"/>
      <c r="AM1010" s="67"/>
      <c r="AN1010" s="67"/>
      <c r="AO1010" s="70"/>
      <c r="AP1010" s="70"/>
      <c r="AQ1010" s="70"/>
      <c r="AR1010" s="70"/>
      <c r="AS1010" s="70"/>
      <c r="AT1010" s="70"/>
      <c r="AU1010" s="70"/>
      <c r="AV1010" s="70"/>
      <c r="AW1010" s="70"/>
      <c r="AX1010" s="70"/>
    </row>
    <row r="1011" ht="16.5" customHeight="1">
      <c r="A1011" s="65" t="s">
        <v>134</v>
      </c>
      <c r="B1011" s="66" t="s">
        <v>7227</v>
      </c>
      <c r="C1011" s="28"/>
      <c r="D1011" s="28"/>
      <c r="E1011" s="28"/>
      <c r="F1011" s="28"/>
      <c r="G1011" s="28"/>
      <c r="H1011" s="28"/>
      <c r="I1011" s="28"/>
      <c r="J1011" s="28"/>
      <c r="K1011" s="28"/>
      <c r="L1011" s="28"/>
      <c r="M1011" s="28"/>
      <c r="N1011" s="28"/>
      <c r="O1011" s="67"/>
      <c r="P1011" s="68" t="s">
        <v>145</v>
      </c>
      <c r="Q1011" s="68"/>
      <c r="R1011" s="67"/>
      <c r="S1011" s="67"/>
      <c r="T1011" s="65" t="s">
        <v>139</v>
      </c>
      <c r="U1011" s="67"/>
      <c r="V1011" s="67"/>
      <c r="W1011" s="67"/>
      <c r="X1011" s="67"/>
      <c r="Y1011" s="67"/>
      <c r="Z1011" s="67"/>
      <c r="AA1011" s="67"/>
      <c r="AB1011" s="67"/>
      <c r="AC1011" s="67"/>
      <c r="AD1011" s="67"/>
      <c r="AE1011" s="67"/>
      <c r="AF1011" s="67"/>
      <c r="AG1011" s="67"/>
      <c r="AH1011" s="67"/>
      <c r="AI1011" s="67"/>
      <c r="AJ1011" s="67"/>
      <c r="AK1011" s="67"/>
      <c r="AL1011" s="67"/>
      <c r="AM1011" s="67"/>
      <c r="AN1011" s="67"/>
      <c r="AO1011" s="67"/>
      <c r="AP1011" s="67"/>
      <c r="AQ1011" s="67"/>
      <c r="AR1011" s="67"/>
      <c r="AS1011" s="67"/>
      <c r="AT1011" s="67"/>
      <c r="AU1011" s="67"/>
      <c r="AV1011" s="67"/>
      <c r="AW1011" s="67"/>
      <c r="AX1011" s="67"/>
    </row>
    <row r="1012" ht="15.75" customHeight="1">
      <c r="A1012" s="174" t="s">
        <v>698</v>
      </c>
      <c r="B1012" s="215" t="s">
        <v>7231</v>
      </c>
      <c r="C1012" s="28" t="s">
        <v>7232</v>
      </c>
      <c r="D1012" s="28"/>
      <c r="E1012" s="28"/>
      <c r="F1012" s="28"/>
      <c r="G1012" s="28"/>
      <c r="H1012" s="28"/>
      <c r="I1012" s="28"/>
      <c r="J1012" s="28"/>
      <c r="K1012" s="28"/>
      <c r="L1012" s="28"/>
      <c r="M1012" s="28"/>
      <c r="N1012" s="28"/>
      <c r="O1012" s="65" t="s">
        <v>10610</v>
      </c>
      <c r="P1012" s="176" t="s">
        <v>145</v>
      </c>
      <c r="Q1012" s="176"/>
      <c r="R1012" s="176"/>
      <c r="S1012" s="176"/>
      <c r="T1012" s="176"/>
      <c r="U1012" s="217" t="s">
        <v>10611</v>
      </c>
      <c r="V1012" s="176"/>
      <c r="W1012" s="176"/>
      <c r="X1012" s="176"/>
      <c r="Y1012" s="176"/>
      <c r="Z1012" s="176"/>
      <c r="AA1012" s="176"/>
      <c r="AB1012" s="176"/>
      <c r="AC1012" s="176"/>
      <c r="AD1012" s="176"/>
      <c r="AE1012" s="176"/>
      <c r="AF1012" s="176"/>
      <c r="AG1012" s="176"/>
      <c r="AH1012" s="176"/>
      <c r="AI1012" s="176"/>
      <c r="AJ1012" s="176"/>
      <c r="AK1012" s="176"/>
      <c r="AL1012" s="176"/>
      <c r="AM1012" s="176"/>
      <c r="AN1012" s="176"/>
      <c r="AO1012" s="70"/>
      <c r="AP1012" s="70"/>
      <c r="AQ1012" s="70"/>
      <c r="AR1012" s="70"/>
      <c r="AS1012" s="70"/>
      <c r="AT1012" s="70"/>
      <c r="AU1012" s="70"/>
      <c r="AV1012" s="70"/>
      <c r="AW1012" s="70"/>
      <c r="AX1012" s="70"/>
    </row>
    <row r="1013" ht="15.75" customHeight="1">
      <c r="A1013" s="90" t="s">
        <v>78</v>
      </c>
      <c r="B1013" s="216" t="s">
        <v>7236</v>
      </c>
      <c r="C1013" s="28"/>
      <c r="D1013" s="28"/>
      <c r="E1013" s="28"/>
      <c r="F1013" s="28"/>
      <c r="G1013" s="28"/>
      <c r="H1013" s="28"/>
      <c r="I1013" s="28"/>
      <c r="J1013" s="28"/>
      <c r="K1013" s="28"/>
      <c r="L1013" s="28"/>
      <c r="M1013" s="28"/>
      <c r="N1013" s="28"/>
      <c r="O1013" s="96"/>
      <c r="P1013" s="96" t="s">
        <v>145</v>
      </c>
      <c r="Q1013" s="96"/>
      <c r="R1013" s="96"/>
      <c r="S1013" s="96"/>
      <c r="T1013" s="119" t="s">
        <v>10612</v>
      </c>
      <c r="U1013" s="96"/>
      <c r="V1013" s="96"/>
      <c r="W1013" s="96"/>
      <c r="X1013" s="96"/>
      <c r="Y1013" s="96"/>
      <c r="Z1013" s="96"/>
      <c r="AA1013" s="96"/>
      <c r="AB1013" s="96"/>
      <c r="AC1013" s="96"/>
      <c r="AD1013" s="96"/>
      <c r="AE1013" s="96"/>
      <c r="AF1013" s="96"/>
      <c r="AG1013" s="96"/>
      <c r="AH1013" s="96"/>
      <c r="AI1013" s="96"/>
      <c r="AJ1013" s="96"/>
      <c r="AK1013" s="96"/>
      <c r="AL1013" s="96"/>
      <c r="AM1013" s="96"/>
      <c r="AN1013" s="96"/>
      <c r="AO1013" s="70"/>
      <c r="AP1013" s="70"/>
      <c r="AQ1013" s="70"/>
      <c r="AR1013" s="70"/>
      <c r="AS1013" s="70"/>
      <c r="AT1013" s="70"/>
      <c r="AU1013" s="70"/>
      <c r="AV1013" s="70"/>
      <c r="AW1013" s="70"/>
      <c r="AX1013" s="70"/>
    </row>
    <row r="1014" ht="15.75" customHeight="1">
      <c r="A1014" s="170" t="s">
        <v>263</v>
      </c>
      <c r="B1014" s="271" t="s">
        <v>7242</v>
      </c>
      <c r="C1014" s="28" t="s">
        <v>7246</v>
      </c>
      <c r="D1014" s="28" t="s">
        <v>7247</v>
      </c>
      <c r="E1014" s="28" t="s">
        <v>7248</v>
      </c>
      <c r="F1014" s="28"/>
      <c r="G1014" s="28"/>
      <c r="H1014" s="28"/>
      <c r="I1014" s="28"/>
      <c r="J1014" s="28"/>
      <c r="K1014" s="28" t="s">
        <v>5608</v>
      </c>
      <c r="L1014" s="28"/>
      <c r="M1014" s="28"/>
      <c r="N1014" s="28"/>
      <c r="O1014" s="173"/>
      <c r="P1014" s="173" t="s">
        <v>145</v>
      </c>
      <c r="Q1014" s="173" t="s">
        <v>145</v>
      </c>
      <c r="R1014" s="173"/>
      <c r="S1014" s="173"/>
      <c r="T1014" s="173"/>
      <c r="U1014" s="173"/>
      <c r="V1014" s="173"/>
      <c r="W1014" s="173"/>
      <c r="X1014" s="173"/>
      <c r="Y1014" s="173"/>
      <c r="Z1014" s="173"/>
      <c r="AA1014" s="173"/>
      <c r="AB1014" s="173"/>
      <c r="AC1014" s="173"/>
      <c r="AD1014" s="173"/>
      <c r="AE1014" s="173"/>
      <c r="AF1014" s="173"/>
      <c r="AG1014" s="173"/>
      <c r="AH1014" s="173"/>
      <c r="AI1014" s="173"/>
      <c r="AJ1014" s="173"/>
      <c r="AK1014" s="173"/>
      <c r="AL1014" s="173"/>
      <c r="AM1014" s="173"/>
      <c r="AN1014" s="173"/>
      <c r="AO1014" s="70"/>
      <c r="AP1014" s="70"/>
      <c r="AQ1014" s="70"/>
      <c r="AR1014" s="70"/>
      <c r="AS1014" s="70"/>
      <c r="AT1014" s="70"/>
      <c r="AU1014" s="70"/>
      <c r="AV1014" s="70"/>
      <c r="AW1014" s="70"/>
      <c r="AX1014" s="70"/>
    </row>
    <row r="1015" ht="15.75" customHeight="1">
      <c r="A1015" s="123" t="s">
        <v>7249</v>
      </c>
      <c r="B1015" s="284" t="s">
        <v>7250</v>
      </c>
      <c r="C1015" s="28" t="s">
        <v>7257</v>
      </c>
      <c r="D1015" s="28" t="s">
        <v>7259</v>
      </c>
      <c r="E1015" s="28" t="s">
        <v>7260</v>
      </c>
      <c r="F1015" s="28"/>
      <c r="G1015" s="28"/>
      <c r="H1015" s="28"/>
      <c r="I1015" s="28"/>
      <c r="J1015" s="28"/>
      <c r="K1015" s="28"/>
      <c r="L1015" s="28"/>
      <c r="M1015" s="28"/>
      <c r="N1015" s="28"/>
      <c r="O1015" s="126"/>
      <c r="P1015" s="123" t="s">
        <v>145</v>
      </c>
      <c r="Q1015" s="123" t="s">
        <v>145</v>
      </c>
      <c r="R1015" s="126"/>
      <c r="S1015" s="126"/>
      <c r="T1015" s="126"/>
      <c r="U1015" s="126"/>
      <c r="V1015" s="126"/>
      <c r="W1015" s="126"/>
      <c r="X1015" s="126"/>
      <c r="Y1015" s="126"/>
      <c r="Z1015" s="126"/>
      <c r="AA1015" s="126"/>
      <c r="AB1015" s="126"/>
      <c r="AC1015" s="126"/>
      <c r="AD1015" s="126"/>
      <c r="AE1015" s="126"/>
      <c r="AF1015" s="126"/>
      <c r="AG1015" s="126"/>
      <c r="AH1015" s="126"/>
      <c r="AI1015" s="126"/>
      <c r="AJ1015" s="126"/>
      <c r="AK1015" s="126"/>
      <c r="AL1015" s="126"/>
      <c r="AM1015" s="126"/>
      <c r="AN1015" s="126"/>
      <c r="AO1015" s="70"/>
      <c r="AP1015" s="70"/>
      <c r="AQ1015" s="70"/>
      <c r="AR1015" s="70"/>
      <c r="AS1015" s="70"/>
      <c r="AT1015" s="70"/>
      <c r="AU1015" s="70"/>
      <c r="AV1015" s="70"/>
      <c r="AW1015" s="70"/>
      <c r="AX1015" s="70"/>
    </row>
    <row r="1016" ht="15.75" customHeight="1">
      <c r="A1016" s="137" t="s">
        <v>246</v>
      </c>
      <c r="B1016" s="284" t="s">
        <v>7261</v>
      </c>
      <c r="C1016" s="28" t="s">
        <v>7268</v>
      </c>
      <c r="D1016" s="28" t="s">
        <v>7269</v>
      </c>
      <c r="E1016" s="28" t="s">
        <v>7270</v>
      </c>
      <c r="F1016" s="28"/>
      <c r="G1016" s="28"/>
      <c r="H1016" s="28"/>
      <c r="I1016" s="28"/>
      <c r="J1016" s="28"/>
      <c r="K1016" s="28"/>
      <c r="L1016" s="28"/>
      <c r="M1016" s="28"/>
      <c r="N1016" s="28"/>
      <c r="O1016" s="172" t="s">
        <v>10613</v>
      </c>
      <c r="P1016" s="137" t="s">
        <v>145</v>
      </c>
      <c r="Q1016" s="137" t="s">
        <v>145</v>
      </c>
      <c r="R1016" s="139"/>
      <c r="S1016" s="139"/>
      <c r="T1016" s="139"/>
      <c r="U1016" s="139"/>
      <c r="V1016" s="139"/>
      <c r="W1016" s="139"/>
      <c r="X1016" s="139"/>
      <c r="Y1016" s="139"/>
      <c r="Z1016" s="139"/>
      <c r="AA1016" s="139"/>
      <c r="AB1016" s="139"/>
      <c r="AC1016" s="139"/>
      <c r="AD1016" s="139"/>
      <c r="AE1016" s="139"/>
      <c r="AF1016" s="139"/>
      <c r="AG1016" s="139"/>
      <c r="AH1016" s="139"/>
      <c r="AI1016" s="139"/>
      <c r="AJ1016" s="139"/>
      <c r="AK1016" s="139"/>
      <c r="AL1016" s="139"/>
      <c r="AM1016" s="139"/>
      <c r="AN1016" s="139"/>
      <c r="AO1016" s="70"/>
      <c r="AP1016" s="70"/>
      <c r="AQ1016" s="70"/>
      <c r="AR1016" s="70"/>
      <c r="AS1016" s="70"/>
      <c r="AT1016" s="70"/>
      <c r="AU1016" s="70"/>
      <c r="AV1016" s="70"/>
      <c r="AW1016" s="70"/>
      <c r="AX1016" s="70"/>
    </row>
    <row r="1017" ht="15.75" customHeight="1">
      <c r="A1017" s="140" t="s">
        <v>131</v>
      </c>
      <c r="B1017" s="193" t="s">
        <v>7271</v>
      </c>
      <c r="C1017" s="28"/>
      <c r="D1017" s="28"/>
      <c r="E1017" s="28"/>
      <c r="F1017" s="28"/>
      <c r="G1017" s="28"/>
      <c r="H1017" s="28"/>
      <c r="I1017" s="28"/>
      <c r="J1017" s="28" t="s">
        <v>931</v>
      </c>
      <c r="K1017" s="28"/>
      <c r="L1017" s="28"/>
      <c r="M1017" s="28"/>
      <c r="N1017" s="28"/>
      <c r="O1017" s="172" t="s">
        <v>10614</v>
      </c>
      <c r="P1017" s="139" t="s">
        <v>145</v>
      </c>
      <c r="Q1017" s="139"/>
      <c r="R1017" s="139"/>
      <c r="S1017" s="139"/>
      <c r="T1017" s="139"/>
      <c r="U1017" s="139"/>
      <c r="V1017" s="139"/>
      <c r="W1017" s="139"/>
      <c r="X1017" s="139"/>
      <c r="Y1017" s="139"/>
      <c r="Z1017" s="139"/>
      <c r="AA1017" s="139"/>
      <c r="AB1017" s="139"/>
      <c r="AC1017" s="139"/>
      <c r="AD1017" s="139"/>
      <c r="AE1017" s="139"/>
      <c r="AF1017" s="139"/>
      <c r="AG1017" s="139"/>
      <c r="AH1017" s="139"/>
      <c r="AI1017" s="139"/>
      <c r="AJ1017" s="139"/>
      <c r="AK1017" s="139"/>
      <c r="AL1017" s="139"/>
      <c r="AM1017" s="139"/>
      <c r="AN1017" s="139"/>
      <c r="AO1017" s="70"/>
      <c r="AP1017" s="70"/>
      <c r="AQ1017" s="70"/>
      <c r="AR1017" s="70"/>
      <c r="AS1017" s="70"/>
      <c r="AT1017" s="70"/>
      <c r="AU1017" s="70"/>
      <c r="AV1017" s="70"/>
      <c r="AW1017" s="70"/>
      <c r="AX1017" s="70"/>
    </row>
    <row r="1018" ht="15.75" customHeight="1">
      <c r="A1018" s="172" t="s">
        <v>41</v>
      </c>
      <c r="B1018" s="271" t="s">
        <v>7275</v>
      </c>
      <c r="C1018" s="28" t="s">
        <v>7282</v>
      </c>
      <c r="D1018" s="28" t="s">
        <v>7283</v>
      </c>
      <c r="E1018" s="28" t="s">
        <v>7284</v>
      </c>
      <c r="F1018" s="28"/>
      <c r="G1018" s="28"/>
      <c r="H1018" s="28"/>
      <c r="I1018" s="28"/>
      <c r="J1018" s="28"/>
      <c r="K1018" s="28"/>
      <c r="L1018" s="28"/>
      <c r="M1018" s="28"/>
      <c r="N1018" s="28"/>
      <c r="O1018" s="172"/>
      <c r="P1018" s="173" t="s">
        <v>145</v>
      </c>
      <c r="Q1018" s="173"/>
      <c r="R1018" s="173"/>
      <c r="S1018" s="173"/>
      <c r="T1018" s="173"/>
      <c r="U1018" s="173"/>
      <c r="V1018" s="173"/>
      <c r="W1018" s="173"/>
      <c r="X1018" s="173"/>
      <c r="Y1018" s="173"/>
      <c r="Z1018" s="173"/>
      <c r="AA1018" s="173"/>
      <c r="AB1018" s="173"/>
      <c r="AC1018" s="173"/>
      <c r="AD1018" s="173"/>
      <c r="AE1018" s="173"/>
      <c r="AF1018" s="173"/>
      <c r="AG1018" s="173"/>
      <c r="AH1018" s="173"/>
      <c r="AI1018" s="173"/>
      <c r="AJ1018" s="173"/>
      <c r="AK1018" s="173"/>
      <c r="AL1018" s="173"/>
      <c r="AM1018" s="173"/>
      <c r="AN1018" s="173"/>
      <c r="AO1018" s="70"/>
      <c r="AP1018" s="70"/>
      <c r="AQ1018" s="70"/>
      <c r="AR1018" s="70"/>
      <c r="AS1018" s="70"/>
      <c r="AT1018" s="70"/>
      <c r="AU1018" s="70"/>
      <c r="AV1018" s="70"/>
      <c r="AW1018" s="70"/>
      <c r="AX1018" s="70"/>
    </row>
    <row r="1019" ht="15.75" customHeight="1">
      <c r="A1019" s="170" t="s">
        <v>263</v>
      </c>
      <c r="B1019" s="271" t="s">
        <v>7287</v>
      </c>
      <c r="C1019" s="28" t="s">
        <v>7292</v>
      </c>
      <c r="D1019" s="28" t="s">
        <v>7293</v>
      </c>
      <c r="E1019" s="28" t="s">
        <v>7294</v>
      </c>
      <c r="F1019" s="28"/>
      <c r="G1019" s="28"/>
      <c r="H1019" s="28"/>
      <c r="I1019" s="28"/>
      <c r="J1019" s="28" t="s">
        <v>958</v>
      </c>
      <c r="K1019" s="28" t="s">
        <v>10615</v>
      </c>
      <c r="L1019" s="28" t="s">
        <v>10616</v>
      </c>
      <c r="M1019" s="28"/>
      <c r="N1019" s="28"/>
      <c r="O1019" s="172" t="s">
        <v>10617</v>
      </c>
      <c r="P1019" s="173" t="s">
        <v>145</v>
      </c>
      <c r="Q1019" s="173" t="s">
        <v>145</v>
      </c>
      <c r="R1019" s="173"/>
      <c r="S1019" s="173"/>
      <c r="T1019" s="173"/>
      <c r="U1019" s="173"/>
      <c r="V1019" s="173"/>
      <c r="W1019" s="173"/>
      <c r="X1019" s="173"/>
      <c r="Y1019" s="173"/>
      <c r="Z1019" s="173"/>
      <c r="AA1019" s="173"/>
      <c r="AB1019" s="173"/>
      <c r="AC1019" s="173"/>
      <c r="AD1019" s="173"/>
      <c r="AE1019" s="173"/>
      <c r="AF1019" s="173"/>
      <c r="AG1019" s="173"/>
      <c r="AH1019" s="173"/>
      <c r="AI1019" s="173"/>
      <c r="AJ1019" s="173"/>
      <c r="AK1019" s="173"/>
      <c r="AL1019" s="173"/>
      <c r="AM1019" s="173"/>
      <c r="AN1019" s="173"/>
      <c r="AO1019" s="70"/>
      <c r="AP1019" s="70"/>
      <c r="AQ1019" s="70"/>
      <c r="AR1019" s="70"/>
      <c r="AS1019" s="70"/>
      <c r="AT1019" s="70"/>
      <c r="AU1019" s="70"/>
      <c r="AV1019" s="70"/>
      <c r="AW1019" s="70"/>
      <c r="AX1019" s="70"/>
    </row>
    <row r="1020" ht="15.75" customHeight="1">
      <c r="A1020" s="170" t="s">
        <v>263</v>
      </c>
      <c r="B1020" s="271" t="s">
        <v>7295</v>
      </c>
      <c r="C1020" s="28" t="s">
        <v>7299</v>
      </c>
      <c r="D1020" s="28" t="s">
        <v>7300</v>
      </c>
      <c r="E1020" s="28" t="s">
        <v>7301</v>
      </c>
      <c r="F1020" s="28"/>
      <c r="G1020" s="28"/>
      <c r="H1020" s="28"/>
      <c r="I1020" s="28"/>
      <c r="J1020" s="28" t="s">
        <v>958</v>
      </c>
      <c r="K1020" s="28" t="s">
        <v>10615</v>
      </c>
      <c r="L1020" s="28" t="s">
        <v>10616</v>
      </c>
      <c r="M1020" s="28"/>
      <c r="N1020" s="28"/>
      <c r="O1020" s="172" t="s">
        <v>10618</v>
      </c>
      <c r="P1020" s="173" t="s">
        <v>145</v>
      </c>
      <c r="Q1020" s="173" t="s">
        <v>145</v>
      </c>
      <c r="R1020" s="173"/>
      <c r="S1020" s="173"/>
      <c r="T1020" s="173"/>
      <c r="U1020" s="173"/>
      <c r="V1020" s="173"/>
      <c r="W1020" s="173"/>
      <c r="X1020" s="173"/>
      <c r="Y1020" s="173"/>
      <c r="Z1020" s="173"/>
      <c r="AA1020" s="173"/>
      <c r="AB1020" s="173"/>
      <c r="AC1020" s="173"/>
      <c r="AD1020" s="173"/>
      <c r="AE1020" s="173"/>
      <c r="AF1020" s="173"/>
      <c r="AG1020" s="173"/>
      <c r="AH1020" s="173"/>
      <c r="AI1020" s="173"/>
      <c r="AJ1020" s="173"/>
      <c r="AK1020" s="173"/>
      <c r="AL1020" s="173"/>
      <c r="AM1020" s="173"/>
      <c r="AN1020" s="173"/>
      <c r="AO1020" s="70"/>
      <c r="AP1020" s="70"/>
      <c r="AQ1020" s="70"/>
      <c r="AR1020" s="70"/>
      <c r="AS1020" s="70"/>
      <c r="AT1020" s="70"/>
      <c r="AU1020" s="70"/>
      <c r="AV1020" s="70"/>
      <c r="AW1020" s="70"/>
      <c r="AX1020" s="70"/>
    </row>
    <row r="1021" ht="15.75" customHeight="1">
      <c r="A1021" s="170" t="s">
        <v>263</v>
      </c>
      <c r="B1021" s="271" t="s">
        <v>7302</v>
      </c>
      <c r="C1021" s="28" t="s">
        <v>7310</v>
      </c>
      <c r="D1021" s="28" t="s">
        <v>7311</v>
      </c>
      <c r="E1021" s="28" t="s">
        <v>7312</v>
      </c>
      <c r="F1021" s="28"/>
      <c r="G1021" s="28"/>
      <c r="H1021" s="28"/>
      <c r="I1021" s="28"/>
      <c r="J1021" s="28" t="s">
        <v>958</v>
      </c>
      <c r="K1021" s="28" t="s">
        <v>10615</v>
      </c>
      <c r="L1021" s="28" t="s">
        <v>10616</v>
      </c>
      <c r="M1021" s="28"/>
      <c r="N1021" s="28"/>
      <c r="O1021" s="172" t="s">
        <v>10619</v>
      </c>
      <c r="P1021" s="173" t="s">
        <v>145</v>
      </c>
      <c r="Q1021" s="173" t="s">
        <v>145</v>
      </c>
      <c r="R1021" s="173"/>
      <c r="S1021" s="173"/>
      <c r="T1021" s="173"/>
      <c r="U1021" s="173"/>
      <c r="V1021" s="173"/>
      <c r="W1021" s="173"/>
      <c r="X1021" s="173"/>
      <c r="Y1021" s="173"/>
      <c r="Z1021" s="173"/>
      <c r="AA1021" s="173"/>
      <c r="AB1021" s="173"/>
      <c r="AC1021" s="173"/>
      <c r="AD1021" s="173"/>
      <c r="AE1021" s="173"/>
      <c r="AF1021" s="173"/>
      <c r="AG1021" s="173"/>
      <c r="AH1021" s="173"/>
      <c r="AI1021" s="173"/>
      <c r="AJ1021" s="173"/>
      <c r="AK1021" s="173"/>
      <c r="AL1021" s="173"/>
      <c r="AM1021" s="173"/>
      <c r="AN1021" s="173"/>
      <c r="AO1021" s="70"/>
      <c r="AP1021" s="70"/>
      <c r="AQ1021" s="70"/>
      <c r="AR1021" s="70"/>
      <c r="AS1021" s="70"/>
      <c r="AT1021" s="70"/>
      <c r="AU1021" s="70"/>
      <c r="AV1021" s="70"/>
      <c r="AW1021" s="70"/>
      <c r="AX1021" s="70"/>
    </row>
    <row r="1022" ht="15.75" customHeight="1">
      <c r="A1022" s="170" t="s">
        <v>263</v>
      </c>
      <c r="B1022" s="271" t="s">
        <v>7313</v>
      </c>
      <c r="C1022" s="28" t="s">
        <v>7317</v>
      </c>
      <c r="D1022" s="28" t="s">
        <v>7318</v>
      </c>
      <c r="E1022" s="28" t="s">
        <v>7319</v>
      </c>
      <c r="F1022" s="28"/>
      <c r="G1022" s="28"/>
      <c r="H1022" s="28"/>
      <c r="I1022" s="28"/>
      <c r="J1022" s="28" t="s">
        <v>958</v>
      </c>
      <c r="K1022" s="28" t="s">
        <v>10615</v>
      </c>
      <c r="L1022" s="28" t="s">
        <v>10616</v>
      </c>
      <c r="M1022" s="28"/>
      <c r="N1022" s="28"/>
      <c r="O1022" s="172" t="s">
        <v>10620</v>
      </c>
      <c r="P1022" s="173" t="s">
        <v>145</v>
      </c>
      <c r="Q1022" s="173" t="s">
        <v>145</v>
      </c>
      <c r="R1022" s="173"/>
      <c r="S1022" s="173"/>
      <c r="T1022" s="173"/>
      <c r="U1022" s="173"/>
      <c r="V1022" s="173"/>
      <c r="W1022" s="173"/>
      <c r="X1022" s="173"/>
      <c r="Y1022" s="173"/>
      <c r="Z1022" s="173"/>
      <c r="AA1022" s="173"/>
      <c r="AB1022" s="173"/>
      <c r="AC1022" s="173"/>
      <c r="AD1022" s="173"/>
      <c r="AE1022" s="173"/>
      <c r="AF1022" s="173"/>
      <c r="AG1022" s="173"/>
      <c r="AH1022" s="173"/>
      <c r="AI1022" s="173"/>
      <c r="AJ1022" s="173"/>
      <c r="AK1022" s="173"/>
      <c r="AL1022" s="173"/>
      <c r="AM1022" s="173"/>
      <c r="AN1022" s="173"/>
      <c r="AO1022" s="70"/>
      <c r="AP1022" s="70"/>
      <c r="AQ1022" s="70"/>
      <c r="AR1022" s="70"/>
      <c r="AS1022" s="70"/>
      <c r="AT1022" s="70"/>
      <c r="AU1022" s="70"/>
      <c r="AV1022" s="70"/>
      <c r="AW1022" s="70"/>
      <c r="AX1022" s="70"/>
    </row>
    <row r="1023" ht="15.75" customHeight="1">
      <c r="A1023" s="170" t="s">
        <v>263</v>
      </c>
      <c r="B1023" s="271" t="s">
        <v>7320</v>
      </c>
      <c r="C1023" s="28" t="s">
        <v>7328</v>
      </c>
      <c r="D1023" s="28" t="s">
        <v>7329</v>
      </c>
      <c r="E1023" s="28" t="s">
        <v>7330</v>
      </c>
      <c r="F1023" s="28"/>
      <c r="G1023" s="28"/>
      <c r="H1023" s="28"/>
      <c r="I1023" s="28"/>
      <c r="J1023" s="28" t="s">
        <v>958</v>
      </c>
      <c r="K1023" s="28" t="s">
        <v>10615</v>
      </c>
      <c r="L1023" s="28" t="s">
        <v>10616</v>
      </c>
      <c r="M1023" s="28"/>
      <c r="N1023" s="28"/>
      <c r="O1023" s="172" t="s">
        <v>10621</v>
      </c>
      <c r="P1023" s="173" t="s">
        <v>145</v>
      </c>
      <c r="Q1023" s="173" t="s">
        <v>145</v>
      </c>
      <c r="R1023" s="173"/>
      <c r="S1023" s="173"/>
      <c r="T1023" s="173"/>
      <c r="U1023" s="173"/>
      <c r="V1023" s="173"/>
      <c r="W1023" s="173"/>
      <c r="X1023" s="173"/>
      <c r="Y1023" s="173"/>
      <c r="Z1023" s="173"/>
      <c r="AA1023" s="173"/>
      <c r="AB1023" s="173"/>
      <c r="AC1023" s="173"/>
      <c r="AD1023" s="173"/>
      <c r="AE1023" s="173"/>
      <c r="AF1023" s="173"/>
      <c r="AG1023" s="173"/>
      <c r="AH1023" s="173"/>
      <c r="AI1023" s="173"/>
      <c r="AJ1023" s="173"/>
      <c r="AK1023" s="173"/>
      <c r="AL1023" s="173"/>
      <c r="AM1023" s="173"/>
      <c r="AN1023" s="173"/>
      <c r="AO1023" s="70"/>
      <c r="AP1023" s="70"/>
      <c r="AQ1023" s="70"/>
      <c r="AR1023" s="70"/>
      <c r="AS1023" s="70"/>
      <c r="AT1023" s="70"/>
      <c r="AU1023" s="70"/>
      <c r="AV1023" s="70"/>
      <c r="AW1023" s="70"/>
      <c r="AX1023" s="70"/>
    </row>
    <row r="1024" ht="15.75" customHeight="1">
      <c r="A1024" s="170" t="s">
        <v>263</v>
      </c>
      <c r="B1024" s="271" t="s">
        <v>7331</v>
      </c>
      <c r="C1024" s="28" t="s">
        <v>7335</v>
      </c>
      <c r="D1024" s="28" t="s">
        <v>7336</v>
      </c>
      <c r="E1024" s="28" t="s">
        <v>7337</v>
      </c>
      <c r="F1024" s="28"/>
      <c r="G1024" s="28"/>
      <c r="H1024" s="28"/>
      <c r="I1024" s="28"/>
      <c r="J1024" s="28" t="s">
        <v>958</v>
      </c>
      <c r="K1024" s="28" t="s">
        <v>10615</v>
      </c>
      <c r="L1024" s="28" t="s">
        <v>10616</v>
      </c>
      <c r="M1024" s="28"/>
      <c r="N1024" s="28"/>
      <c r="O1024" s="172" t="s">
        <v>10622</v>
      </c>
      <c r="P1024" s="173" t="s">
        <v>145</v>
      </c>
      <c r="Q1024" s="173" t="s">
        <v>145</v>
      </c>
      <c r="R1024" s="173"/>
      <c r="S1024" s="173"/>
      <c r="T1024" s="173"/>
      <c r="U1024" s="173"/>
      <c r="V1024" s="173"/>
      <c r="W1024" s="173"/>
      <c r="X1024" s="173"/>
      <c r="Y1024" s="173"/>
      <c r="Z1024" s="173"/>
      <c r="AA1024" s="173"/>
      <c r="AB1024" s="173"/>
      <c r="AC1024" s="173"/>
      <c r="AD1024" s="173"/>
      <c r="AE1024" s="173"/>
      <c r="AF1024" s="173"/>
      <c r="AG1024" s="173"/>
      <c r="AH1024" s="173"/>
      <c r="AI1024" s="173"/>
      <c r="AJ1024" s="173"/>
      <c r="AK1024" s="173"/>
      <c r="AL1024" s="173"/>
      <c r="AM1024" s="173"/>
      <c r="AN1024" s="173"/>
      <c r="AO1024" s="70"/>
      <c r="AP1024" s="70"/>
      <c r="AQ1024" s="70"/>
      <c r="AR1024" s="70"/>
      <c r="AS1024" s="70"/>
      <c r="AT1024" s="70"/>
      <c r="AU1024" s="70"/>
      <c r="AV1024" s="70"/>
      <c r="AW1024" s="70"/>
      <c r="AX1024" s="70"/>
    </row>
    <row r="1025" ht="15.75" customHeight="1">
      <c r="A1025" s="170" t="s">
        <v>263</v>
      </c>
      <c r="B1025" s="271" t="s">
        <v>7338</v>
      </c>
      <c r="C1025" s="28" t="s">
        <v>7345</v>
      </c>
      <c r="D1025" s="28" t="s">
        <v>7346</v>
      </c>
      <c r="E1025" s="28" t="s">
        <v>7347</v>
      </c>
      <c r="F1025" s="28"/>
      <c r="G1025" s="28"/>
      <c r="H1025" s="28"/>
      <c r="I1025" s="28"/>
      <c r="J1025" s="28" t="s">
        <v>958</v>
      </c>
      <c r="K1025" s="28" t="s">
        <v>10615</v>
      </c>
      <c r="L1025" s="28" t="s">
        <v>10616</v>
      </c>
      <c r="M1025" s="28"/>
      <c r="N1025" s="28"/>
      <c r="O1025" s="172" t="s">
        <v>10623</v>
      </c>
      <c r="P1025" s="173" t="s">
        <v>145</v>
      </c>
      <c r="Q1025" s="173" t="s">
        <v>145</v>
      </c>
      <c r="R1025" s="173"/>
      <c r="S1025" s="173"/>
      <c r="T1025" s="173"/>
      <c r="U1025" s="173"/>
      <c r="V1025" s="173"/>
      <c r="W1025" s="173"/>
      <c r="X1025" s="173"/>
      <c r="Y1025" s="173"/>
      <c r="Z1025" s="173"/>
      <c r="AA1025" s="173"/>
      <c r="AB1025" s="173"/>
      <c r="AC1025" s="173"/>
      <c r="AD1025" s="173"/>
      <c r="AE1025" s="173"/>
      <c r="AF1025" s="173"/>
      <c r="AG1025" s="173"/>
      <c r="AH1025" s="173"/>
      <c r="AI1025" s="173"/>
      <c r="AJ1025" s="173"/>
      <c r="AK1025" s="173"/>
      <c r="AL1025" s="173"/>
      <c r="AM1025" s="173"/>
      <c r="AN1025" s="173"/>
      <c r="AO1025" s="70"/>
      <c r="AP1025" s="70"/>
      <c r="AQ1025" s="70"/>
      <c r="AR1025" s="70"/>
      <c r="AS1025" s="70"/>
      <c r="AT1025" s="70"/>
      <c r="AU1025" s="70"/>
      <c r="AV1025" s="70"/>
      <c r="AW1025" s="70"/>
      <c r="AX1025" s="70"/>
    </row>
    <row r="1026" ht="15.75" customHeight="1">
      <c r="A1026" s="170" t="s">
        <v>263</v>
      </c>
      <c r="B1026" s="271" t="s">
        <v>7348</v>
      </c>
      <c r="C1026" s="28" t="s">
        <v>7352</v>
      </c>
      <c r="D1026" s="28" t="s">
        <v>7353</v>
      </c>
      <c r="E1026" s="28" t="s">
        <v>7354</v>
      </c>
      <c r="F1026" s="28"/>
      <c r="G1026" s="28"/>
      <c r="H1026" s="28"/>
      <c r="I1026" s="28"/>
      <c r="J1026" s="28" t="s">
        <v>958</v>
      </c>
      <c r="K1026" s="28" t="s">
        <v>10615</v>
      </c>
      <c r="L1026" s="28" t="s">
        <v>10616</v>
      </c>
      <c r="M1026" s="28"/>
      <c r="N1026" s="28"/>
      <c r="O1026" s="172" t="s">
        <v>10624</v>
      </c>
      <c r="P1026" s="173" t="s">
        <v>145</v>
      </c>
      <c r="Q1026" s="173" t="s">
        <v>145</v>
      </c>
      <c r="R1026" s="173"/>
      <c r="S1026" s="173"/>
      <c r="T1026" s="173"/>
      <c r="U1026" s="173"/>
      <c r="V1026" s="173"/>
      <c r="W1026" s="173"/>
      <c r="X1026" s="173"/>
      <c r="Y1026" s="173"/>
      <c r="Z1026" s="173"/>
      <c r="AA1026" s="173"/>
      <c r="AB1026" s="173"/>
      <c r="AC1026" s="173"/>
      <c r="AD1026" s="173"/>
      <c r="AE1026" s="173"/>
      <c r="AF1026" s="173"/>
      <c r="AG1026" s="173"/>
      <c r="AH1026" s="173"/>
      <c r="AI1026" s="173"/>
      <c r="AJ1026" s="173"/>
      <c r="AK1026" s="173"/>
      <c r="AL1026" s="173"/>
      <c r="AM1026" s="173"/>
      <c r="AN1026" s="173"/>
      <c r="AO1026" s="70"/>
      <c r="AP1026" s="70"/>
      <c r="AQ1026" s="70"/>
      <c r="AR1026" s="70"/>
      <c r="AS1026" s="70"/>
      <c r="AT1026" s="70"/>
      <c r="AU1026" s="70"/>
      <c r="AV1026" s="70"/>
      <c r="AW1026" s="70"/>
      <c r="AX1026" s="70"/>
    </row>
    <row r="1027" ht="15.75" customHeight="1">
      <c r="A1027" s="170" t="s">
        <v>263</v>
      </c>
      <c r="B1027" s="271" t="s">
        <v>7355</v>
      </c>
      <c r="C1027" s="28" t="s">
        <v>7362</v>
      </c>
      <c r="D1027" s="28" t="s">
        <v>7363</v>
      </c>
      <c r="E1027" s="28" t="s">
        <v>7364</v>
      </c>
      <c r="F1027" s="28"/>
      <c r="G1027" s="28"/>
      <c r="H1027" s="28"/>
      <c r="I1027" s="28"/>
      <c r="J1027" s="28" t="s">
        <v>958</v>
      </c>
      <c r="K1027" s="28" t="s">
        <v>10615</v>
      </c>
      <c r="L1027" s="28" t="s">
        <v>10616</v>
      </c>
      <c r="M1027" s="28"/>
      <c r="N1027" s="28"/>
      <c r="O1027" s="172" t="s">
        <v>10625</v>
      </c>
      <c r="P1027" s="173" t="s">
        <v>145</v>
      </c>
      <c r="Q1027" s="173" t="s">
        <v>145</v>
      </c>
      <c r="R1027" s="173"/>
      <c r="S1027" s="173"/>
      <c r="T1027" s="173"/>
      <c r="U1027" s="173"/>
      <c r="V1027" s="173"/>
      <c r="W1027" s="173"/>
      <c r="X1027" s="173"/>
      <c r="Y1027" s="173"/>
      <c r="Z1027" s="173"/>
      <c r="AA1027" s="173"/>
      <c r="AB1027" s="173"/>
      <c r="AC1027" s="173"/>
      <c r="AD1027" s="173"/>
      <c r="AE1027" s="173"/>
      <c r="AF1027" s="173"/>
      <c r="AG1027" s="173"/>
      <c r="AH1027" s="173"/>
      <c r="AI1027" s="173"/>
      <c r="AJ1027" s="173"/>
      <c r="AK1027" s="173"/>
      <c r="AL1027" s="173"/>
      <c r="AM1027" s="173"/>
      <c r="AN1027" s="173"/>
      <c r="AO1027" s="70"/>
      <c r="AP1027" s="70"/>
      <c r="AQ1027" s="70"/>
      <c r="AR1027" s="70"/>
      <c r="AS1027" s="70"/>
      <c r="AT1027" s="70"/>
      <c r="AU1027" s="70"/>
      <c r="AV1027" s="70"/>
      <c r="AW1027" s="70"/>
      <c r="AX1027" s="70"/>
    </row>
    <row r="1028" ht="15.75" customHeight="1">
      <c r="A1028" s="170" t="s">
        <v>263</v>
      </c>
      <c r="B1028" s="271" t="s">
        <v>7365</v>
      </c>
      <c r="C1028" s="28" t="s">
        <v>7369</v>
      </c>
      <c r="D1028" s="28" t="s">
        <v>7370</v>
      </c>
      <c r="E1028" s="28" t="s">
        <v>7372</v>
      </c>
      <c r="F1028" s="28"/>
      <c r="G1028" s="28"/>
      <c r="H1028" s="28"/>
      <c r="I1028" s="28"/>
      <c r="J1028" s="28" t="s">
        <v>958</v>
      </c>
      <c r="K1028" s="28" t="s">
        <v>10615</v>
      </c>
      <c r="L1028" s="28" t="s">
        <v>10616</v>
      </c>
      <c r="M1028" s="28"/>
      <c r="N1028" s="28"/>
      <c r="O1028" s="172" t="s">
        <v>10626</v>
      </c>
      <c r="P1028" s="173" t="s">
        <v>145</v>
      </c>
      <c r="Q1028" s="173" t="s">
        <v>145</v>
      </c>
      <c r="R1028" s="173"/>
      <c r="S1028" s="173"/>
      <c r="T1028" s="173"/>
      <c r="U1028" s="173"/>
      <c r="V1028" s="173"/>
      <c r="W1028" s="173"/>
      <c r="X1028" s="173"/>
      <c r="Y1028" s="173"/>
      <c r="Z1028" s="173"/>
      <c r="AA1028" s="173"/>
      <c r="AB1028" s="173"/>
      <c r="AC1028" s="173"/>
      <c r="AD1028" s="173"/>
      <c r="AE1028" s="173"/>
      <c r="AF1028" s="173"/>
      <c r="AG1028" s="173"/>
      <c r="AH1028" s="173"/>
      <c r="AI1028" s="173"/>
      <c r="AJ1028" s="173"/>
      <c r="AK1028" s="173"/>
      <c r="AL1028" s="173"/>
      <c r="AM1028" s="173"/>
      <c r="AN1028" s="173"/>
      <c r="AO1028" s="70"/>
      <c r="AP1028" s="70"/>
      <c r="AQ1028" s="70"/>
      <c r="AR1028" s="70"/>
      <c r="AS1028" s="70"/>
      <c r="AT1028" s="70"/>
      <c r="AU1028" s="70"/>
      <c r="AV1028" s="70"/>
      <c r="AW1028" s="70"/>
      <c r="AX1028" s="70"/>
    </row>
    <row r="1029" ht="15.75" customHeight="1">
      <c r="A1029" s="170" t="s">
        <v>263</v>
      </c>
      <c r="B1029" s="271" t="s">
        <v>7374</v>
      </c>
      <c r="C1029" s="28" t="s">
        <v>7380</v>
      </c>
      <c r="D1029" s="28" t="s">
        <v>7381</v>
      </c>
      <c r="E1029" s="28" t="s">
        <v>7382</v>
      </c>
      <c r="F1029" s="28"/>
      <c r="G1029" s="28"/>
      <c r="H1029" s="28"/>
      <c r="I1029" s="28"/>
      <c r="J1029" s="28" t="s">
        <v>958</v>
      </c>
      <c r="K1029" s="28" t="s">
        <v>10615</v>
      </c>
      <c r="L1029" s="28" t="s">
        <v>10616</v>
      </c>
      <c r="M1029" s="28"/>
      <c r="N1029" s="28"/>
      <c r="O1029" s="172" t="s">
        <v>10613</v>
      </c>
      <c r="P1029" s="173" t="s">
        <v>145</v>
      </c>
      <c r="Q1029" s="173" t="s">
        <v>145</v>
      </c>
      <c r="R1029" s="173"/>
      <c r="S1029" s="173"/>
      <c r="T1029" s="173"/>
      <c r="U1029" s="173"/>
      <c r="V1029" s="173"/>
      <c r="W1029" s="173"/>
      <c r="X1029" s="173"/>
      <c r="Y1029" s="173"/>
      <c r="Z1029" s="173"/>
      <c r="AA1029" s="173"/>
      <c r="AB1029" s="173"/>
      <c r="AC1029" s="173"/>
      <c r="AD1029" s="173"/>
      <c r="AE1029" s="173"/>
      <c r="AF1029" s="173"/>
      <c r="AG1029" s="173"/>
      <c r="AH1029" s="173"/>
      <c r="AI1029" s="173"/>
      <c r="AJ1029" s="173"/>
      <c r="AK1029" s="173"/>
      <c r="AL1029" s="173"/>
      <c r="AM1029" s="173"/>
      <c r="AN1029" s="173"/>
      <c r="AO1029" s="70"/>
      <c r="AP1029" s="70"/>
      <c r="AQ1029" s="70"/>
      <c r="AR1029" s="70"/>
      <c r="AS1029" s="70"/>
      <c r="AT1029" s="70"/>
      <c r="AU1029" s="70"/>
      <c r="AV1029" s="70"/>
      <c r="AW1029" s="70"/>
      <c r="AX1029" s="70"/>
    </row>
    <row r="1030" ht="15.75" customHeight="1">
      <c r="A1030" s="140" t="s">
        <v>237</v>
      </c>
      <c r="B1030" s="193" t="s">
        <v>7271</v>
      </c>
      <c r="C1030" s="28"/>
      <c r="D1030" s="28"/>
      <c r="E1030" s="28"/>
      <c r="F1030" s="28"/>
      <c r="G1030" s="28"/>
      <c r="H1030" s="28"/>
      <c r="I1030" s="28"/>
      <c r="J1030" s="28"/>
      <c r="K1030" s="28"/>
      <c r="L1030" s="28"/>
      <c r="M1030" s="28"/>
      <c r="N1030" s="28"/>
      <c r="O1030" s="139"/>
      <c r="P1030" s="139" t="s">
        <v>145</v>
      </c>
      <c r="Q1030" s="139"/>
      <c r="R1030" s="139"/>
      <c r="S1030" s="139"/>
      <c r="T1030" s="139"/>
      <c r="U1030" s="139"/>
      <c r="V1030" s="139"/>
      <c r="W1030" s="139"/>
      <c r="X1030" s="139"/>
      <c r="Y1030" s="139"/>
      <c r="Z1030" s="139"/>
      <c r="AA1030" s="139"/>
      <c r="AB1030" s="139"/>
      <c r="AC1030" s="139"/>
      <c r="AD1030" s="139"/>
      <c r="AE1030" s="139"/>
      <c r="AF1030" s="139"/>
      <c r="AG1030" s="139"/>
      <c r="AH1030" s="139"/>
      <c r="AI1030" s="139"/>
      <c r="AJ1030" s="139"/>
      <c r="AK1030" s="139"/>
      <c r="AL1030" s="139"/>
      <c r="AM1030" s="139"/>
      <c r="AN1030" s="139"/>
      <c r="AO1030" s="70"/>
      <c r="AP1030" s="70"/>
      <c r="AQ1030" s="70"/>
      <c r="AR1030" s="70"/>
      <c r="AS1030" s="70"/>
      <c r="AT1030" s="70"/>
      <c r="AU1030" s="70"/>
      <c r="AV1030" s="70"/>
      <c r="AW1030" s="70"/>
      <c r="AX1030" s="70"/>
    </row>
    <row r="1031" ht="15.75" customHeight="1">
      <c r="A1031" s="270" t="s">
        <v>78</v>
      </c>
      <c r="B1031" s="215" t="s">
        <v>7389</v>
      </c>
      <c r="C1031" s="28"/>
      <c r="D1031" s="28"/>
      <c r="E1031" s="28"/>
      <c r="F1031" s="28"/>
      <c r="G1031" s="28"/>
      <c r="H1031" s="28"/>
      <c r="I1031" s="28"/>
      <c r="J1031" s="28"/>
      <c r="K1031" s="28"/>
      <c r="L1031" s="28"/>
      <c r="M1031" s="28"/>
      <c r="N1031" s="28"/>
      <c r="O1031" s="391" t="s">
        <v>10614</v>
      </c>
      <c r="P1031" s="176" t="s">
        <v>145</v>
      </c>
      <c r="Q1031" s="176"/>
      <c r="R1031" s="176"/>
      <c r="S1031" s="176"/>
      <c r="T1031" s="270" t="s">
        <v>10627</v>
      </c>
      <c r="U1031" s="176"/>
      <c r="V1031" s="176"/>
      <c r="W1031" s="176"/>
      <c r="X1031" s="176"/>
      <c r="Y1031" s="176"/>
      <c r="Z1031" s="176"/>
      <c r="AA1031" s="176"/>
      <c r="AB1031" s="176"/>
      <c r="AC1031" s="176"/>
      <c r="AD1031" s="176"/>
      <c r="AE1031" s="176"/>
      <c r="AF1031" s="176"/>
      <c r="AG1031" s="176"/>
      <c r="AH1031" s="176"/>
      <c r="AI1031" s="176"/>
      <c r="AJ1031" s="176"/>
      <c r="AK1031" s="176"/>
      <c r="AL1031" s="176"/>
      <c r="AM1031" s="176"/>
      <c r="AN1031" s="176"/>
      <c r="AO1031" s="70"/>
      <c r="AP1031" s="70"/>
      <c r="AQ1031" s="70"/>
      <c r="AR1031" s="70"/>
      <c r="AS1031" s="70"/>
      <c r="AT1031" s="70"/>
      <c r="AU1031" s="70"/>
      <c r="AV1031" s="70"/>
      <c r="AW1031" s="70"/>
      <c r="AX1031" s="70"/>
    </row>
    <row r="1032" ht="15.75" customHeight="1">
      <c r="A1032" s="270" t="s">
        <v>41</v>
      </c>
      <c r="B1032" s="215" t="s">
        <v>7395</v>
      </c>
      <c r="C1032" s="28" t="s">
        <v>7401</v>
      </c>
      <c r="D1032" s="28" t="s">
        <v>7402</v>
      </c>
      <c r="E1032" s="28" t="s">
        <v>7403</v>
      </c>
      <c r="F1032" s="28"/>
      <c r="G1032" s="28"/>
      <c r="H1032" s="28"/>
      <c r="I1032" s="28"/>
      <c r="J1032" s="28"/>
      <c r="K1032" s="28"/>
      <c r="L1032" s="28"/>
      <c r="M1032" s="28"/>
      <c r="N1032" s="28"/>
      <c r="O1032" s="172" t="s">
        <v>10628</v>
      </c>
      <c r="P1032" s="270" t="s">
        <v>145</v>
      </c>
      <c r="Q1032" s="270" t="s">
        <v>145</v>
      </c>
      <c r="R1032" s="136"/>
      <c r="S1032" s="176"/>
      <c r="T1032" s="176"/>
      <c r="U1032" s="176"/>
      <c r="V1032" s="176"/>
      <c r="W1032" s="176"/>
      <c r="X1032" s="176"/>
      <c r="Y1032" s="176"/>
      <c r="Z1032" s="176"/>
      <c r="AA1032" s="176"/>
      <c r="AB1032" s="176"/>
      <c r="AC1032" s="176"/>
      <c r="AD1032" s="176"/>
      <c r="AE1032" s="176"/>
      <c r="AF1032" s="176"/>
      <c r="AG1032" s="176"/>
      <c r="AH1032" s="176"/>
      <c r="AI1032" s="176"/>
      <c r="AJ1032" s="176"/>
      <c r="AK1032" s="176"/>
      <c r="AL1032" s="176"/>
      <c r="AM1032" s="176"/>
      <c r="AN1032" s="176"/>
      <c r="AO1032" s="70"/>
      <c r="AP1032" s="70"/>
      <c r="AQ1032" s="70"/>
      <c r="AR1032" s="70"/>
      <c r="AS1032" s="70"/>
      <c r="AT1032" s="70"/>
      <c r="AU1032" s="70"/>
      <c r="AV1032" s="70"/>
      <c r="AW1032" s="70"/>
      <c r="AX1032" s="70"/>
    </row>
    <row r="1033" ht="15.75" customHeight="1">
      <c r="A1033" s="174" t="s">
        <v>1015</v>
      </c>
      <c r="B1033" s="215" t="s">
        <v>7231</v>
      </c>
      <c r="C1033" s="28" t="s">
        <v>7232</v>
      </c>
      <c r="D1033" s="28"/>
      <c r="E1033" s="28"/>
      <c r="F1033" s="28"/>
      <c r="G1033" s="28"/>
      <c r="H1033" s="28"/>
      <c r="I1033" s="28"/>
      <c r="J1033" s="28"/>
      <c r="K1033" s="28"/>
      <c r="L1033" s="28"/>
      <c r="M1033" s="28"/>
      <c r="N1033" s="28"/>
      <c r="O1033" s="176"/>
      <c r="P1033" s="176" t="s">
        <v>145</v>
      </c>
      <c r="Q1033" s="176"/>
      <c r="R1033" s="176"/>
      <c r="S1033" s="176"/>
      <c r="T1033" s="176"/>
      <c r="U1033" s="176"/>
      <c r="V1033" s="176"/>
      <c r="W1033" s="176"/>
      <c r="X1033" s="176"/>
      <c r="Y1033" s="176"/>
      <c r="Z1033" s="176"/>
      <c r="AA1033" s="176"/>
      <c r="AB1033" s="176"/>
      <c r="AC1033" s="176"/>
      <c r="AD1033" s="176"/>
      <c r="AE1033" s="176"/>
      <c r="AF1033" s="176"/>
      <c r="AG1033" s="176"/>
      <c r="AH1033" s="176"/>
      <c r="AI1033" s="176"/>
      <c r="AJ1033" s="176"/>
      <c r="AK1033" s="176"/>
      <c r="AL1033" s="176"/>
      <c r="AM1033" s="176"/>
      <c r="AN1033" s="176"/>
      <c r="AO1033" s="70"/>
      <c r="AP1033" s="70"/>
      <c r="AQ1033" s="70"/>
      <c r="AR1033" s="70"/>
      <c r="AS1033" s="70"/>
      <c r="AT1033" s="70"/>
      <c r="AU1033" s="70"/>
      <c r="AV1033" s="70"/>
      <c r="AW1033" s="70"/>
      <c r="AX1033" s="70"/>
    </row>
    <row r="1034" ht="15.75" customHeight="1">
      <c r="A1034" s="65" t="s">
        <v>463</v>
      </c>
      <c r="B1034" s="218" t="s">
        <v>7410</v>
      </c>
      <c r="C1034" s="28" t="s">
        <v>7414</v>
      </c>
      <c r="D1034" s="28" t="s">
        <v>7415</v>
      </c>
      <c r="E1034" s="28" t="s">
        <v>7416</v>
      </c>
      <c r="F1034" s="28"/>
      <c r="G1034" s="28"/>
      <c r="H1034" s="28"/>
      <c r="I1034" s="28"/>
      <c r="J1034" s="28"/>
      <c r="K1034" s="28"/>
      <c r="L1034" s="28"/>
      <c r="M1034" s="28"/>
      <c r="N1034" s="28"/>
      <c r="O1034" s="65" t="s">
        <v>10629</v>
      </c>
      <c r="P1034" s="67" t="s">
        <v>145</v>
      </c>
      <c r="Q1034" s="67" t="s">
        <v>145</v>
      </c>
      <c r="R1034" s="67"/>
      <c r="S1034" s="67"/>
      <c r="T1034" s="67"/>
      <c r="U1034" s="67"/>
      <c r="V1034" s="67"/>
      <c r="W1034" s="67"/>
      <c r="X1034" s="67"/>
      <c r="Y1034" s="67"/>
      <c r="Z1034" s="67"/>
      <c r="AA1034" s="67"/>
      <c r="AB1034" s="67"/>
      <c r="AC1034" s="67"/>
      <c r="AD1034" s="67"/>
      <c r="AE1034" s="67"/>
      <c r="AF1034" s="67"/>
      <c r="AG1034" s="67"/>
      <c r="AH1034" s="67"/>
      <c r="AI1034" s="67"/>
      <c r="AJ1034" s="67"/>
      <c r="AK1034" s="67"/>
      <c r="AL1034" s="67"/>
      <c r="AM1034" s="67"/>
      <c r="AN1034" s="67"/>
      <c r="AO1034" s="70"/>
      <c r="AP1034" s="70"/>
      <c r="AQ1034" s="70"/>
      <c r="AR1034" s="70"/>
      <c r="AS1034" s="70"/>
      <c r="AT1034" s="70"/>
      <c r="AU1034" s="70"/>
      <c r="AV1034" s="70"/>
      <c r="AW1034" s="70"/>
      <c r="AX1034" s="70"/>
    </row>
    <row r="1035" ht="15.75" customHeight="1">
      <c r="A1035" s="65" t="s">
        <v>7417</v>
      </c>
      <c r="B1035" s="218" t="s">
        <v>7418</v>
      </c>
      <c r="C1035" s="28" t="s">
        <v>7423</v>
      </c>
      <c r="D1035" s="28" t="s">
        <v>7424</v>
      </c>
      <c r="E1035" s="28" t="s">
        <v>7425</v>
      </c>
      <c r="F1035" s="28"/>
      <c r="G1035" s="28"/>
      <c r="H1035" s="28"/>
      <c r="I1035" s="28"/>
      <c r="J1035" s="28"/>
      <c r="K1035" s="28"/>
      <c r="L1035" s="28"/>
      <c r="M1035" s="28"/>
      <c r="N1035" s="28"/>
      <c r="O1035" s="65" t="s">
        <v>10630</v>
      </c>
      <c r="P1035" s="67" t="s">
        <v>145</v>
      </c>
      <c r="Q1035" s="67" t="s">
        <v>145</v>
      </c>
      <c r="R1035" s="67"/>
      <c r="S1035" s="67"/>
      <c r="T1035" s="67"/>
      <c r="U1035" s="67"/>
      <c r="V1035" s="67"/>
      <c r="W1035" s="67"/>
      <c r="X1035" s="67"/>
      <c r="Y1035" s="67"/>
      <c r="Z1035" s="67"/>
      <c r="AA1035" s="67"/>
      <c r="AB1035" s="67"/>
      <c r="AC1035" s="67"/>
      <c r="AD1035" s="67"/>
      <c r="AE1035" s="67"/>
      <c r="AF1035" s="67"/>
      <c r="AG1035" s="67"/>
      <c r="AH1035" s="67"/>
      <c r="AI1035" s="67"/>
      <c r="AJ1035" s="67"/>
      <c r="AK1035" s="67"/>
      <c r="AL1035" s="67"/>
      <c r="AM1035" s="67"/>
      <c r="AN1035" s="67"/>
      <c r="AO1035" s="70"/>
      <c r="AP1035" s="70"/>
      <c r="AQ1035" s="70"/>
      <c r="AR1035" s="70"/>
      <c r="AS1035" s="70"/>
      <c r="AT1035" s="70"/>
      <c r="AU1035" s="70"/>
      <c r="AV1035" s="70"/>
      <c r="AW1035" s="70"/>
      <c r="AX1035" s="70"/>
    </row>
    <row r="1036" ht="15.75" customHeight="1">
      <c r="A1036" s="65" t="s">
        <v>134</v>
      </c>
      <c r="B1036" s="66" t="s">
        <v>7426</v>
      </c>
      <c r="C1036" s="28"/>
      <c r="D1036" s="28"/>
      <c r="E1036" s="28"/>
      <c r="F1036" s="28"/>
      <c r="G1036" s="28"/>
      <c r="H1036" s="28"/>
      <c r="I1036" s="28"/>
      <c r="J1036" s="28"/>
      <c r="K1036" s="28"/>
      <c r="L1036" s="28"/>
      <c r="M1036" s="28"/>
      <c r="N1036" s="28"/>
      <c r="O1036" s="190"/>
      <c r="P1036" s="139" t="s">
        <v>145</v>
      </c>
      <c r="Q1036" s="139"/>
      <c r="R1036" s="139"/>
      <c r="S1036" s="139"/>
      <c r="T1036" s="65" t="s">
        <v>139</v>
      </c>
      <c r="U1036" s="139"/>
      <c r="V1036" s="139"/>
      <c r="W1036" s="139"/>
      <c r="X1036" s="139"/>
      <c r="Y1036" s="139"/>
      <c r="Z1036" s="139"/>
      <c r="AA1036" s="139"/>
      <c r="AB1036" s="139"/>
      <c r="AC1036" s="139"/>
      <c r="AD1036" s="139"/>
      <c r="AE1036" s="139"/>
      <c r="AF1036" s="139"/>
      <c r="AG1036" s="139"/>
      <c r="AH1036" s="139"/>
      <c r="AI1036" s="139"/>
      <c r="AJ1036" s="139"/>
      <c r="AK1036" s="139"/>
      <c r="AL1036" s="139"/>
      <c r="AM1036" s="139"/>
      <c r="AN1036" s="139"/>
      <c r="AO1036" s="70"/>
      <c r="AP1036" s="70"/>
      <c r="AQ1036" s="70"/>
      <c r="AR1036" s="70"/>
      <c r="AS1036" s="70"/>
      <c r="AT1036" s="70"/>
      <c r="AU1036" s="70"/>
      <c r="AV1036" s="70"/>
      <c r="AW1036" s="70"/>
      <c r="AX1036" s="70"/>
    </row>
    <row r="1037" ht="15.75" customHeight="1">
      <c r="A1037" s="65" t="s">
        <v>78</v>
      </c>
      <c r="B1037" s="272" t="s">
        <v>7431</v>
      </c>
      <c r="C1037" s="28"/>
      <c r="D1037" s="28"/>
      <c r="E1037" s="28"/>
      <c r="F1037" s="28"/>
      <c r="G1037" s="28"/>
      <c r="H1037" s="28"/>
      <c r="I1037" s="28"/>
      <c r="J1037" s="28"/>
      <c r="K1037" s="28"/>
      <c r="L1037" s="28"/>
      <c r="M1037" s="28"/>
      <c r="N1037" s="28"/>
      <c r="O1037" s="370"/>
      <c r="P1037" s="370" t="s">
        <v>145</v>
      </c>
      <c r="Q1037" s="370"/>
      <c r="R1037" s="370"/>
      <c r="S1037" s="370"/>
      <c r="T1037" s="371" t="s">
        <v>10631</v>
      </c>
      <c r="U1037" s="370"/>
      <c r="V1037" s="370"/>
      <c r="W1037" s="370"/>
      <c r="X1037" s="370"/>
      <c r="Y1037" s="370"/>
      <c r="Z1037" s="370"/>
      <c r="AA1037" s="370"/>
      <c r="AB1037" s="370"/>
      <c r="AC1037" s="370"/>
      <c r="AD1037" s="370"/>
      <c r="AE1037" s="370"/>
      <c r="AF1037" s="370"/>
      <c r="AG1037" s="370"/>
      <c r="AH1037" s="370"/>
      <c r="AI1037" s="370"/>
      <c r="AJ1037" s="370"/>
      <c r="AK1037" s="370"/>
      <c r="AL1037" s="370"/>
      <c r="AM1037" s="370"/>
      <c r="AN1037" s="370"/>
      <c r="AO1037" s="370"/>
      <c r="AP1037" s="370"/>
      <c r="AQ1037" s="370"/>
      <c r="AR1037" s="370"/>
      <c r="AS1037" s="370"/>
      <c r="AT1037" s="370"/>
      <c r="AU1037" s="370"/>
      <c r="AV1037" s="370"/>
      <c r="AW1037" s="370"/>
      <c r="AX1037" s="370"/>
    </row>
    <row r="1038" ht="16.5" customHeight="1">
      <c r="A1038" s="65" t="s">
        <v>134</v>
      </c>
      <c r="B1038" s="66" t="s">
        <v>7435</v>
      </c>
      <c r="C1038" s="28"/>
      <c r="D1038" s="28"/>
      <c r="E1038" s="28"/>
      <c r="F1038" s="28"/>
      <c r="G1038" s="28"/>
      <c r="H1038" s="28"/>
      <c r="I1038" s="28"/>
      <c r="J1038" s="28"/>
      <c r="K1038" s="28"/>
      <c r="L1038" s="28"/>
      <c r="M1038" s="28"/>
      <c r="N1038" s="28"/>
      <c r="O1038" s="67"/>
      <c r="P1038" s="68" t="s">
        <v>145</v>
      </c>
      <c r="Q1038" s="68"/>
      <c r="R1038" s="67"/>
      <c r="S1038" s="67"/>
      <c r="T1038" s="65" t="s">
        <v>139</v>
      </c>
      <c r="U1038" s="67"/>
      <c r="V1038" s="67"/>
      <c r="W1038" s="67"/>
      <c r="X1038" s="67"/>
      <c r="Y1038" s="67"/>
      <c r="Z1038" s="67"/>
      <c r="AA1038" s="67"/>
      <c r="AB1038" s="67"/>
      <c r="AC1038" s="67"/>
      <c r="AD1038" s="67"/>
      <c r="AE1038" s="67"/>
      <c r="AF1038" s="67"/>
      <c r="AG1038" s="67"/>
      <c r="AH1038" s="67"/>
      <c r="AI1038" s="67"/>
      <c r="AJ1038" s="67"/>
      <c r="AK1038" s="67"/>
      <c r="AL1038" s="67"/>
      <c r="AM1038" s="67"/>
      <c r="AN1038" s="67"/>
      <c r="AO1038" s="67"/>
      <c r="AP1038" s="67"/>
      <c r="AQ1038" s="67"/>
      <c r="AR1038" s="67"/>
      <c r="AS1038" s="67"/>
      <c r="AT1038" s="67"/>
      <c r="AU1038" s="67"/>
      <c r="AV1038" s="67"/>
      <c r="AW1038" s="67"/>
      <c r="AX1038" s="67"/>
    </row>
    <row r="1039" ht="15.75" customHeight="1">
      <c r="A1039" s="68" t="s">
        <v>463</v>
      </c>
      <c r="B1039" s="218" t="s">
        <v>7439</v>
      </c>
      <c r="C1039" s="28" t="s">
        <v>7447</v>
      </c>
      <c r="D1039" s="28" t="s">
        <v>7448</v>
      </c>
      <c r="E1039" s="28" t="s">
        <v>7449</v>
      </c>
      <c r="F1039" s="28"/>
      <c r="G1039" s="28"/>
      <c r="H1039" s="28"/>
      <c r="I1039" s="28"/>
      <c r="J1039" s="28"/>
      <c r="K1039" s="28"/>
      <c r="L1039" s="28"/>
      <c r="M1039" s="28"/>
      <c r="N1039" s="28"/>
      <c r="O1039" s="67"/>
      <c r="P1039" s="67" t="s">
        <v>145</v>
      </c>
      <c r="Q1039" s="67" t="s">
        <v>145</v>
      </c>
      <c r="R1039" s="67"/>
      <c r="S1039" s="67"/>
      <c r="T1039" s="67"/>
      <c r="U1039" s="67"/>
      <c r="V1039" s="67"/>
      <c r="W1039" s="67"/>
      <c r="X1039" s="67"/>
      <c r="Y1039" s="67"/>
      <c r="Z1039" s="67"/>
      <c r="AA1039" s="67"/>
      <c r="AB1039" s="67"/>
      <c r="AC1039" s="67"/>
      <c r="AD1039" s="67"/>
      <c r="AE1039" s="67"/>
      <c r="AF1039" s="67"/>
      <c r="AG1039" s="67"/>
      <c r="AH1039" s="67"/>
      <c r="AI1039" s="67"/>
      <c r="AJ1039" s="67"/>
      <c r="AK1039" s="67"/>
      <c r="AL1039" s="67"/>
      <c r="AM1039" s="67"/>
      <c r="AN1039" s="67"/>
      <c r="AO1039" s="70"/>
      <c r="AP1039" s="70"/>
      <c r="AQ1039" s="70"/>
      <c r="AR1039" s="70"/>
      <c r="AS1039" s="70"/>
      <c r="AT1039" s="70"/>
      <c r="AU1039" s="70"/>
      <c r="AV1039" s="70"/>
      <c r="AW1039" s="70"/>
      <c r="AX1039" s="70"/>
    </row>
    <row r="1040" ht="15.75" customHeight="1">
      <c r="A1040" s="68" t="s">
        <v>7218</v>
      </c>
      <c r="B1040" s="218" t="s">
        <v>7450</v>
      </c>
      <c r="C1040" s="28" t="s">
        <v>7454</v>
      </c>
      <c r="D1040" s="28" t="s">
        <v>7455</v>
      </c>
      <c r="E1040" s="28" t="s">
        <v>7456</v>
      </c>
      <c r="F1040" s="28"/>
      <c r="G1040" s="28"/>
      <c r="H1040" s="28"/>
      <c r="I1040" s="28"/>
      <c r="J1040" s="28"/>
      <c r="K1040" s="28"/>
      <c r="L1040" s="28"/>
      <c r="M1040" s="28"/>
      <c r="N1040" s="28"/>
      <c r="O1040" s="65" t="s">
        <v>10632</v>
      </c>
      <c r="P1040" s="67" t="s">
        <v>145</v>
      </c>
      <c r="Q1040" s="67" t="s">
        <v>145</v>
      </c>
      <c r="R1040" s="67"/>
      <c r="S1040" s="67"/>
      <c r="T1040" s="67"/>
      <c r="U1040" s="67"/>
      <c r="V1040" s="67"/>
      <c r="W1040" s="67"/>
      <c r="X1040" s="67"/>
      <c r="Y1040" s="65" t="s">
        <v>10633</v>
      </c>
      <c r="Z1040" s="67"/>
      <c r="AA1040" s="67"/>
      <c r="AB1040" s="67"/>
      <c r="AC1040" s="67"/>
      <c r="AD1040" s="67"/>
      <c r="AE1040" s="67"/>
      <c r="AF1040" s="67"/>
      <c r="AG1040" s="67"/>
      <c r="AH1040" s="67"/>
      <c r="AI1040" s="67"/>
      <c r="AJ1040" s="67"/>
      <c r="AK1040" s="67"/>
      <c r="AL1040" s="67"/>
      <c r="AM1040" s="67"/>
      <c r="AN1040" s="67"/>
      <c r="AO1040" s="70"/>
      <c r="AP1040" s="70"/>
      <c r="AQ1040" s="70"/>
      <c r="AR1040" s="70"/>
      <c r="AS1040" s="70"/>
      <c r="AT1040" s="70"/>
      <c r="AU1040" s="70"/>
      <c r="AV1040" s="70"/>
      <c r="AW1040" s="70"/>
      <c r="AX1040" s="70"/>
    </row>
    <row r="1041" ht="15.75" customHeight="1">
      <c r="A1041" s="174" t="s">
        <v>698</v>
      </c>
      <c r="B1041" s="215" t="s">
        <v>7457</v>
      </c>
      <c r="C1041" s="28" t="s">
        <v>7458</v>
      </c>
      <c r="D1041" s="28"/>
      <c r="E1041" s="28"/>
      <c r="F1041" s="28"/>
      <c r="G1041" s="28"/>
      <c r="H1041" s="28"/>
      <c r="I1041" s="28"/>
      <c r="J1041" s="28"/>
      <c r="K1041" s="28"/>
      <c r="L1041" s="28"/>
      <c r="M1041" s="28"/>
      <c r="N1041" s="28"/>
      <c r="O1041" s="65" t="s">
        <v>10632</v>
      </c>
      <c r="P1041" s="176" t="s">
        <v>145</v>
      </c>
      <c r="Q1041" s="176"/>
      <c r="R1041" s="176"/>
      <c r="S1041" s="176"/>
      <c r="T1041" s="176"/>
      <c r="U1041" s="217" t="s">
        <v>10634</v>
      </c>
      <c r="V1041" s="176"/>
      <c r="W1041" s="176"/>
      <c r="X1041" s="176"/>
      <c r="Y1041" s="176"/>
      <c r="Z1041" s="176"/>
      <c r="AA1041" s="176"/>
      <c r="AB1041" s="176"/>
      <c r="AC1041" s="176"/>
      <c r="AD1041" s="176"/>
      <c r="AE1041" s="176"/>
      <c r="AF1041" s="176"/>
      <c r="AG1041" s="176"/>
      <c r="AH1041" s="176"/>
      <c r="AI1041" s="176"/>
      <c r="AJ1041" s="176"/>
      <c r="AK1041" s="176"/>
      <c r="AL1041" s="176"/>
      <c r="AM1041" s="176"/>
      <c r="AN1041" s="176"/>
      <c r="AO1041" s="70"/>
      <c r="AP1041" s="70"/>
      <c r="AQ1041" s="70"/>
      <c r="AR1041" s="70"/>
      <c r="AS1041" s="70"/>
      <c r="AT1041" s="70"/>
      <c r="AU1041" s="70"/>
      <c r="AV1041" s="70"/>
      <c r="AW1041" s="70"/>
      <c r="AX1041" s="70"/>
    </row>
    <row r="1042" ht="15.75" customHeight="1">
      <c r="A1042" s="90" t="s">
        <v>78</v>
      </c>
      <c r="B1042" s="216" t="s">
        <v>7464</v>
      </c>
      <c r="C1042" s="28"/>
      <c r="D1042" s="28"/>
      <c r="E1042" s="28"/>
      <c r="F1042" s="28"/>
      <c r="G1042" s="28"/>
      <c r="H1042" s="28"/>
      <c r="I1042" s="28"/>
      <c r="J1042" s="28"/>
      <c r="K1042" s="28"/>
      <c r="L1042" s="28"/>
      <c r="M1042" s="28"/>
      <c r="N1042" s="28"/>
      <c r="O1042" s="96"/>
      <c r="P1042" s="96" t="s">
        <v>145</v>
      </c>
      <c r="Q1042" s="96"/>
      <c r="R1042" s="96"/>
      <c r="S1042" s="96"/>
      <c r="T1042" s="119" t="s">
        <v>10635</v>
      </c>
      <c r="U1042" s="96"/>
      <c r="V1042" s="96"/>
      <c r="W1042" s="96"/>
      <c r="X1042" s="96"/>
      <c r="Y1042" s="96"/>
      <c r="Z1042" s="96"/>
      <c r="AA1042" s="96"/>
      <c r="AB1042" s="96"/>
      <c r="AC1042" s="96"/>
      <c r="AD1042" s="96"/>
      <c r="AE1042" s="96"/>
      <c r="AF1042" s="96"/>
      <c r="AG1042" s="96"/>
      <c r="AH1042" s="96"/>
      <c r="AI1042" s="96"/>
      <c r="AJ1042" s="96"/>
      <c r="AK1042" s="96"/>
      <c r="AL1042" s="96"/>
      <c r="AM1042" s="96"/>
      <c r="AN1042" s="96"/>
      <c r="AO1042" s="70"/>
      <c r="AP1042" s="70"/>
      <c r="AQ1042" s="70"/>
      <c r="AR1042" s="70"/>
      <c r="AS1042" s="70"/>
      <c r="AT1042" s="70"/>
      <c r="AU1042" s="70"/>
      <c r="AV1042" s="70"/>
      <c r="AW1042" s="70"/>
      <c r="AX1042" s="70"/>
    </row>
    <row r="1043" ht="15.75" customHeight="1">
      <c r="A1043" s="170" t="s">
        <v>263</v>
      </c>
      <c r="B1043" s="271" t="s">
        <v>7466</v>
      </c>
      <c r="C1043" s="28" t="s">
        <v>7470</v>
      </c>
      <c r="D1043" s="28" t="s">
        <v>7471</v>
      </c>
      <c r="E1043" s="28" t="s">
        <v>7472</v>
      </c>
      <c r="F1043" s="28"/>
      <c r="G1043" s="28"/>
      <c r="H1043" s="28"/>
      <c r="I1043" s="28"/>
      <c r="J1043" s="28"/>
      <c r="K1043" s="28" t="s">
        <v>5608</v>
      </c>
      <c r="L1043" s="28"/>
      <c r="M1043" s="28"/>
      <c r="N1043" s="28"/>
      <c r="O1043" s="173"/>
      <c r="P1043" s="173" t="s">
        <v>145</v>
      </c>
      <c r="Q1043" s="173" t="s">
        <v>145</v>
      </c>
      <c r="R1043" s="173"/>
      <c r="S1043" s="173"/>
      <c r="T1043" s="173"/>
      <c r="U1043" s="173"/>
      <c r="V1043" s="173"/>
      <c r="W1043" s="173"/>
      <c r="X1043" s="173"/>
      <c r="Y1043" s="173"/>
      <c r="Z1043" s="173"/>
      <c r="AA1043" s="173"/>
      <c r="AB1043" s="173"/>
      <c r="AC1043" s="173"/>
      <c r="AD1043" s="173"/>
      <c r="AE1043" s="173"/>
      <c r="AF1043" s="173"/>
      <c r="AG1043" s="173"/>
      <c r="AH1043" s="173"/>
      <c r="AI1043" s="173"/>
      <c r="AJ1043" s="173"/>
      <c r="AK1043" s="173"/>
      <c r="AL1043" s="173"/>
      <c r="AM1043" s="173"/>
      <c r="AN1043" s="173"/>
      <c r="AO1043" s="70"/>
      <c r="AP1043" s="70"/>
      <c r="AQ1043" s="70"/>
      <c r="AR1043" s="70"/>
      <c r="AS1043" s="70"/>
      <c r="AT1043" s="70"/>
      <c r="AU1043" s="70"/>
      <c r="AV1043" s="70"/>
      <c r="AW1043" s="70"/>
      <c r="AX1043" s="70"/>
    </row>
    <row r="1044" ht="15.75" customHeight="1">
      <c r="A1044" s="123" t="s">
        <v>7249</v>
      </c>
      <c r="B1044" s="284" t="s">
        <v>7473</v>
      </c>
      <c r="C1044" s="28" t="s">
        <v>7480</v>
      </c>
      <c r="D1044" s="28" t="s">
        <v>7481</v>
      </c>
      <c r="E1044" s="28" t="s">
        <v>7482</v>
      </c>
      <c r="F1044" s="28"/>
      <c r="G1044" s="28"/>
      <c r="H1044" s="28"/>
      <c r="I1044" s="28"/>
      <c r="J1044" s="28"/>
      <c r="K1044" s="28"/>
      <c r="L1044" s="28"/>
      <c r="M1044" s="28"/>
      <c r="N1044" s="28"/>
      <c r="O1044" s="126"/>
      <c r="P1044" s="123" t="s">
        <v>145</v>
      </c>
      <c r="Q1044" s="123" t="s">
        <v>145</v>
      </c>
      <c r="R1044" s="126"/>
      <c r="S1044" s="126"/>
      <c r="T1044" s="126"/>
      <c r="U1044" s="126"/>
      <c r="V1044" s="126"/>
      <c r="W1044" s="126"/>
      <c r="X1044" s="126"/>
      <c r="Y1044" s="126"/>
      <c r="Z1044" s="126"/>
      <c r="AA1044" s="126"/>
      <c r="AB1044" s="126"/>
      <c r="AC1044" s="126"/>
      <c r="AD1044" s="126"/>
      <c r="AE1044" s="126"/>
      <c r="AF1044" s="126"/>
      <c r="AG1044" s="126"/>
      <c r="AH1044" s="126"/>
      <c r="AI1044" s="126"/>
      <c r="AJ1044" s="126"/>
      <c r="AK1044" s="126"/>
      <c r="AL1044" s="126"/>
      <c r="AM1044" s="126"/>
      <c r="AN1044" s="126"/>
      <c r="AO1044" s="70"/>
      <c r="AP1044" s="70"/>
      <c r="AQ1044" s="70"/>
      <c r="AR1044" s="70"/>
      <c r="AS1044" s="70"/>
      <c r="AT1044" s="70"/>
      <c r="AU1044" s="70"/>
      <c r="AV1044" s="70"/>
      <c r="AW1044" s="70"/>
      <c r="AX1044" s="70"/>
    </row>
    <row r="1045" ht="15.75" customHeight="1">
      <c r="A1045" s="137" t="s">
        <v>246</v>
      </c>
      <c r="B1045" s="284" t="s">
        <v>7483</v>
      </c>
      <c r="C1045" s="28" t="s">
        <v>7487</v>
      </c>
      <c r="D1045" s="28" t="s">
        <v>7488</v>
      </c>
      <c r="E1045" s="28" t="s">
        <v>7489</v>
      </c>
      <c r="F1045" s="28"/>
      <c r="G1045" s="28"/>
      <c r="H1045" s="28"/>
      <c r="I1045" s="28"/>
      <c r="J1045" s="28"/>
      <c r="K1045" s="28"/>
      <c r="L1045" s="28"/>
      <c r="M1045" s="28"/>
      <c r="N1045" s="28"/>
      <c r="O1045" s="172" t="s">
        <v>10636</v>
      </c>
      <c r="P1045" s="139" t="s">
        <v>145</v>
      </c>
      <c r="Q1045" s="139"/>
      <c r="R1045" s="139"/>
      <c r="S1045" s="139"/>
      <c r="T1045" s="139"/>
      <c r="U1045" s="139"/>
      <c r="V1045" s="139"/>
      <c r="W1045" s="139"/>
      <c r="X1045" s="139"/>
      <c r="Y1045" s="139"/>
      <c r="Z1045" s="139"/>
      <c r="AA1045" s="139"/>
      <c r="AB1045" s="139"/>
      <c r="AC1045" s="139"/>
      <c r="AD1045" s="139"/>
      <c r="AE1045" s="139"/>
      <c r="AF1045" s="139"/>
      <c r="AG1045" s="139"/>
      <c r="AH1045" s="139"/>
      <c r="AI1045" s="139"/>
      <c r="AJ1045" s="139"/>
      <c r="AK1045" s="139"/>
      <c r="AL1045" s="139"/>
      <c r="AM1045" s="139"/>
      <c r="AN1045" s="139"/>
      <c r="AO1045" s="70"/>
      <c r="AP1045" s="70"/>
      <c r="AQ1045" s="70"/>
      <c r="AR1045" s="70"/>
      <c r="AS1045" s="70"/>
      <c r="AT1045" s="70"/>
      <c r="AU1045" s="70"/>
      <c r="AV1045" s="70"/>
      <c r="AW1045" s="70"/>
      <c r="AX1045" s="70"/>
    </row>
    <row r="1046" ht="15.75" customHeight="1">
      <c r="A1046" s="140" t="s">
        <v>131</v>
      </c>
      <c r="B1046" s="193" t="s">
        <v>7490</v>
      </c>
      <c r="C1046" s="28"/>
      <c r="D1046" s="28"/>
      <c r="E1046" s="28"/>
      <c r="F1046" s="28"/>
      <c r="G1046" s="28"/>
      <c r="H1046" s="28"/>
      <c r="I1046" s="28"/>
      <c r="J1046" s="28" t="s">
        <v>931</v>
      </c>
      <c r="K1046" s="28"/>
      <c r="L1046" s="28"/>
      <c r="M1046" s="28"/>
      <c r="N1046" s="28"/>
      <c r="O1046" s="172" t="s">
        <v>10637</v>
      </c>
      <c r="P1046" s="139" t="s">
        <v>145</v>
      </c>
      <c r="Q1046" s="139"/>
      <c r="R1046" s="139"/>
      <c r="S1046" s="139"/>
      <c r="T1046" s="139"/>
      <c r="U1046" s="139"/>
      <c r="V1046" s="139"/>
      <c r="W1046" s="139"/>
      <c r="X1046" s="139"/>
      <c r="Y1046" s="139"/>
      <c r="Z1046" s="139"/>
      <c r="AA1046" s="139"/>
      <c r="AB1046" s="139"/>
      <c r="AC1046" s="139"/>
      <c r="AD1046" s="139"/>
      <c r="AE1046" s="139"/>
      <c r="AF1046" s="139"/>
      <c r="AG1046" s="139"/>
      <c r="AH1046" s="139"/>
      <c r="AI1046" s="139"/>
      <c r="AJ1046" s="139"/>
      <c r="AK1046" s="139"/>
      <c r="AL1046" s="139"/>
      <c r="AM1046" s="139"/>
      <c r="AN1046" s="139"/>
      <c r="AO1046" s="70"/>
      <c r="AP1046" s="70"/>
      <c r="AQ1046" s="70"/>
      <c r="AR1046" s="70"/>
      <c r="AS1046" s="70"/>
      <c r="AT1046" s="70"/>
      <c r="AU1046" s="70"/>
      <c r="AV1046" s="70"/>
      <c r="AW1046" s="70"/>
      <c r="AX1046" s="70"/>
    </row>
    <row r="1047" ht="15.75" customHeight="1">
      <c r="A1047" s="170" t="s">
        <v>263</v>
      </c>
      <c r="B1047" s="271" t="s">
        <v>7497</v>
      </c>
      <c r="C1047" s="28" t="s">
        <v>7502</v>
      </c>
      <c r="D1047" s="28" t="s">
        <v>7503</v>
      </c>
      <c r="E1047" s="28" t="s">
        <v>7504</v>
      </c>
      <c r="F1047" s="28"/>
      <c r="G1047" s="28"/>
      <c r="H1047" s="28"/>
      <c r="I1047" s="28"/>
      <c r="J1047" s="28" t="s">
        <v>958</v>
      </c>
      <c r="K1047" s="28" t="s">
        <v>10638</v>
      </c>
      <c r="L1047" s="28" t="s">
        <v>10616</v>
      </c>
      <c r="M1047" s="28"/>
      <c r="N1047" s="28"/>
      <c r="O1047" s="172" t="s">
        <v>10639</v>
      </c>
      <c r="P1047" s="173" t="s">
        <v>145</v>
      </c>
      <c r="Q1047" s="173" t="s">
        <v>145</v>
      </c>
      <c r="R1047" s="173"/>
      <c r="S1047" s="173"/>
      <c r="T1047" s="173"/>
      <c r="U1047" s="173"/>
      <c r="V1047" s="173"/>
      <c r="W1047" s="173"/>
      <c r="X1047" s="173"/>
      <c r="Y1047" s="173"/>
      <c r="Z1047" s="173"/>
      <c r="AA1047" s="173"/>
      <c r="AB1047" s="173"/>
      <c r="AC1047" s="173"/>
      <c r="AD1047" s="173"/>
      <c r="AE1047" s="173"/>
      <c r="AF1047" s="173"/>
      <c r="AG1047" s="173"/>
      <c r="AH1047" s="173"/>
      <c r="AI1047" s="173"/>
      <c r="AJ1047" s="173"/>
      <c r="AK1047" s="173"/>
      <c r="AL1047" s="173"/>
      <c r="AM1047" s="173"/>
      <c r="AN1047" s="173"/>
      <c r="AO1047" s="70"/>
      <c r="AP1047" s="70"/>
      <c r="AQ1047" s="70"/>
      <c r="AR1047" s="70"/>
      <c r="AS1047" s="70"/>
      <c r="AT1047" s="70"/>
      <c r="AU1047" s="70"/>
      <c r="AV1047" s="70"/>
      <c r="AW1047" s="70"/>
      <c r="AX1047" s="70"/>
    </row>
    <row r="1048" ht="15.75" customHeight="1">
      <c r="A1048" s="170" t="s">
        <v>263</v>
      </c>
      <c r="B1048" s="271" t="s">
        <v>7505</v>
      </c>
      <c r="C1048" s="28" t="s">
        <v>7509</v>
      </c>
      <c r="D1048" s="28" t="s">
        <v>7510</v>
      </c>
      <c r="E1048" s="28" t="s">
        <v>7511</v>
      </c>
      <c r="F1048" s="28"/>
      <c r="G1048" s="28"/>
      <c r="H1048" s="28"/>
      <c r="I1048" s="28"/>
      <c r="J1048" s="28" t="s">
        <v>958</v>
      </c>
      <c r="K1048" s="28" t="s">
        <v>10638</v>
      </c>
      <c r="L1048" s="28" t="s">
        <v>10616</v>
      </c>
      <c r="M1048" s="28"/>
      <c r="N1048" s="28"/>
      <c r="O1048" s="172" t="s">
        <v>10640</v>
      </c>
      <c r="P1048" s="173" t="s">
        <v>145</v>
      </c>
      <c r="Q1048" s="173" t="s">
        <v>145</v>
      </c>
      <c r="R1048" s="173"/>
      <c r="S1048" s="173"/>
      <c r="T1048" s="173"/>
      <c r="U1048" s="173"/>
      <c r="V1048" s="173"/>
      <c r="W1048" s="173"/>
      <c r="X1048" s="173"/>
      <c r="Y1048" s="173"/>
      <c r="Z1048" s="173"/>
      <c r="AA1048" s="173"/>
      <c r="AB1048" s="173"/>
      <c r="AC1048" s="173"/>
      <c r="AD1048" s="173"/>
      <c r="AE1048" s="173"/>
      <c r="AF1048" s="173"/>
      <c r="AG1048" s="173"/>
      <c r="AH1048" s="173"/>
      <c r="AI1048" s="173"/>
      <c r="AJ1048" s="173"/>
      <c r="AK1048" s="173"/>
      <c r="AL1048" s="173"/>
      <c r="AM1048" s="173"/>
      <c r="AN1048" s="173"/>
      <c r="AO1048" s="70"/>
      <c r="AP1048" s="70"/>
      <c r="AQ1048" s="70"/>
      <c r="AR1048" s="70"/>
      <c r="AS1048" s="70"/>
      <c r="AT1048" s="70"/>
      <c r="AU1048" s="70"/>
      <c r="AV1048" s="70"/>
      <c r="AW1048" s="70"/>
      <c r="AX1048" s="70"/>
    </row>
    <row r="1049" ht="15.75" customHeight="1">
      <c r="A1049" s="170" t="s">
        <v>263</v>
      </c>
      <c r="B1049" s="271" t="s">
        <v>7512</v>
      </c>
      <c r="C1049" s="28" t="s">
        <v>7516</v>
      </c>
      <c r="D1049" s="28" t="s">
        <v>7517</v>
      </c>
      <c r="E1049" s="28" t="s">
        <v>7518</v>
      </c>
      <c r="F1049" s="28"/>
      <c r="G1049" s="28"/>
      <c r="H1049" s="28"/>
      <c r="I1049" s="28"/>
      <c r="J1049" s="28" t="s">
        <v>958</v>
      </c>
      <c r="K1049" s="28" t="s">
        <v>10638</v>
      </c>
      <c r="L1049" s="28" t="s">
        <v>10616</v>
      </c>
      <c r="M1049" s="28"/>
      <c r="N1049" s="28"/>
      <c r="O1049" s="172" t="s">
        <v>10641</v>
      </c>
      <c r="P1049" s="173" t="s">
        <v>145</v>
      </c>
      <c r="Q1049" s="173" t="s">
        <v>145</v>
      </c>
      <c r="R1049" s="173"/>
      <c r="S1049" s="173"/>
      <c r="T1049" s="173"/>
      <c r="U1049" s="173"/>
      <c r="V1049" s="173"/>
      <c r="W1049" s="173"/>
      <c r="X1049" s="173"/>
      <c r="Y1049" s="173"/>
      <c r="Z1049" s="173"/>
      <c r="AA1049" s="173"/>
      <c r="AB1049" s="173"/>
      <c r="AC1049" s="173"/>
      <c r="AD1049" s="173"/>
      <c r="AE1049" s="173"/>
      <c r="AF1049" s="173"/>
      <c r="AG1049" s="173"/>
      <c r="AH1049" s="173"/>
      <c r="AI1049" s="173"/>
      <c r="AJ1049" s="173"/>
      <c r="AK1049" s="173"/>
      <c r="AL1049" s="173"/>
      <c r="AM1049" s="173"/>
      <c r="AN1049" s="173"/>
      <c r="AO1049" s="70"/>
      <c r="AP1049" s="70"/>
      <c r="AQ1049" s="70"/>
      <c r="AR1049" s="70"/>
      <c r="AS1049" s="70"/>
      <c r="AT1049" s="70"/>
      <c r="AU1049" s="70"/>
      <c r="AV1049" s="70"/>
      <c r="AW1049" s="70"/>
      <c r="AX1049" s="70"/>
    </row>
    <row r="1050" ht="15.75" customHeight="1">
      <c r="A1050" s="170" t="s">
        <v>263</v>
      </c>
      <c r="B1050" s="271" t="s">
        <v>7519</v>
      </c>
      <c r="C1050" s="28" t="s">
        <v>7523</v>
      </c>
      <c r="D1050" s="28" t="s">
        <v>7524</v>
      </c>
      <c r="E1050" s="28" t="s">
        <v>7525</v>
      </c>
      <c r="F1050" s="28"/>
      <c r="G1050" s="28"/>
      <c r="H1050" s="28"/>
      <c r="I1050" s="28"/>
      <c r="J1050" s="28" t="s">
        <v>958</v>
      </c>
      <c r="K1050" s="28" t="s">
        <v>10638</v>
      </c>
      <c r="L1050" s="28" t="s">
        <v>10616</v>
      </c>
      <c r="M1050" s="28"/>
      <c r="N1050" s="28"/>
      <c r="O1050" s="172" t="s">
        <v>10642</v>
      </c>
      <c r="P1050" s="173" t="s">
        <v>145</v>
      </c>
      <c r="Q1050" s="173" t="s">
        <v>145</v>
      </c>
      <c r="R1050" s="173"/>
      <c r="S1050" s="173"/>
      <c r="T1050" s="173"/>
      <c r="U1050" s="173"/>
      <c r="V1050" s="173"/>
      <c r="W1050" s="173"/>
      <c r="X1050" s="173"/>
      <c r="Y1050" s="173"/>
      <c r="Z1050" s="173"/>
      <c r="AA1050" s="173"/>
      <c r="AB1050" s="173"/>
      <c r="AC1050" s="173"/>
      <c r="AD1050" s="173"/>
      <c r="AE1050" s="173"/>
      <c r="AF1050" s="173"/>
      <c r="AG1050" s="173"/>
      <c r="AH1050" s="173"/>
      <c r="AI1050" s="173"/>
      <c r="AJ1050" s="173"/>
      <c r="AK1050" s="173"/>
      <c r="AL1050" s="173"/>
      <c r="AM1050" s="173"/>
      <c r="AN1050" s="173"/>
      <c r="AO1050" s="70"/>
      <c r="AP1050" s="70"/>
      <c r="AQ1050" s="70"/>
      <c r="AR1050" s="70"/>
      <c r="AS1050" s="70"/>
      <c r="AT1050" s="70"/>
      <c r="AU1050" s="70"/>
      <c r="AV1050" s="70"/>
      <c r="AW1050" s="70"/>
      <c r="AX1050" s="70"/>
    </row>
    <row r="1051" ht="15.75" customHeight="1">
      <c r="A1051" s="170" t="s">
        <v>263</v>
      </c>
      <c r="B1051" s="271" t="s">
        <v>7526</v>
      </c>
      <c r="C1051" s="28" t="s">
        <v>7530</v>
      </c>
      <c r="D1051" s="28" t="s">
        <v>7532</v>
      </c>
      <c r="E1051" s="28" t="s">
        <v>7533</v>
      </c>
      <c r="F1051" s="28"/>
      <c r="G1051" s="28"/>
      <c r="H1051" s="28"/>
      <c r="I1051" s="28"/>
      <c r="J1051" s="28" t="s">
        <v>958</v>
      </c>
      <c r="K1051" s="28" t="s">
        <v>10638</v>
      </c>
      <c r="L1051" s="28" t="s">
        <v>10616</v>
      </c>
      <c r="M1051" s="28"/>
      <c r="N1051" s="28"/>
      <c r="O1051" s="172" t="s">
        <v>10643</v>
      </c>
      <c r="P1051" s="173" t="s">
        <v>145</v>
      </c>
      <c r="Q1051" s="173" t="s">
        <v>145</v>
      </c>
      <c r="R1051" s="173"/>
      <c r="S1051" s="173"/>
      <c r="T1051" s="173"/>
      <c r="U1051" s="173"/>
      <c r="V1051" s="173"/>
      <c r="W1051" s="173"/>
      <c r="X1051" s="173"/>
      <c r="Y1051" s="173"/>
      <c r="Z1051" s="173"/>
      <c r="AA1051" s="173"/>
      <c r="AB1051" s="173"/>
      <c r="AC1051" s="173"/>
      <c r="AD1051" s="173"/>
      <c r="AE1051" s="173"/>
      <c r="AF1051" s="173"/>
      <c r="AG1051" s="173"/>
      <c r="AH1051" s="173"/>
      <c r="AI1051" s="173"/>
      <c r="AJ1051" s="173"/>
      <c r="AK1051" s="173"/>
      <c r="AL1051" s="173"/>
      <c r="AM1051" s="173"/>
      <c r="AN1051" s="173"/>
      <c r="AO1051" s="70"/>
      <c r="AP1051" s="70"/>
      <c r="AQ1051" s="70"/>
      <c r="AR1051" s="70"/>
      <c r="AS1051" s="70"/>
      <c r="AT1051" s="70"/>
      <c r="AU1051" s="70"/>
      <c r="AV1051" s="70"/>
      <c r="AW1051" s="70"/>
      <c r="AX1051" s="70"/>
    </row>
    <row r="1052" ht="15.75" customHeight="1">
      <c r="A1052" s="170" t="s">
        <v>263</v>
      </c>
      <c r="B1052" s="271" t="s">
        <v>7535</v>
      </c>
      <c r="C1052" s="28" t="s">
        <v>7541</v>
      </c>
      <c r="D1052" s="28" t="s">
        <v>7542</v>
      </c>
      <c r="E1052" s="28" t="s">
        <v>7543</v>
      </c>
      <c r="F1052" s="28"/>
      <c r="G1052" s="28"/>
      <c r="H1052" s="28"/>
      <c r="I1052" s="28"/>
      <c r="J1052" s="28" t="s">
        <v>958</v>
      </c>
      <c r="K1052" s="28" t="s">
        <v>10638</v>
      </c>
      <c r="L1052" s="28" t="s">
        <v>10616</v>
      </c>
      <c r="M1052" s="28"/>
      <c r="N1052" s="28"/>
      <c r="O1052" s="172" t="s">
        <v>10644</v>
      </c>
      <c r="P1052" s="173" t="s">
        <v>145</v>
      </c>
      <c r="Q1052" s="173" t="s">
        <v>145</v>
      </c>
      <c r="R1052" s="173"/>
      <c r="S1052" s="173"/>
      <c r="T1052" s="173"/>
      <c r="U1052" s="173"/>
      <c r="V1052" s="173"/>
      <c r="W1052" s="173"/>
      <c r="X1052" s="173"/>
      <c r="Y1052" s="173"/>
      <c r="Z1052" s="173"/>
      <c r="AA1052" s="173"/>
      <c r="AB1052" s="173"/>
      <c r="AC1052" s="173"/>
      <c r="AD1052" s="173"/>
      <c r="AE1052" s="173"/>
      <c r="AF1052" s="173"/>
      <c r="AG1052" s="173"/>
      <c r="AH1052" s="173"/>
      <c r="AI1052" s="173"/>
      <c r="AJ1052" s="173"/>
      <c r="AK1052" s="173"/>
      <c r="AL1052" s="173"/>
      <c r="AM1052" s="173"/>
      <c r="AN1052" s="173"/>
      <c r="AO1052" s="70"/>
      <c r="AP1052" s="70"/>
      <c r="AQ1052" s="70"/>
      <c r="AR1052" s="70"/>
      <c r="AS1052" s="70"/>
      <c r="AT1052" s="70"/>
      <c r="AU1052" s="70"/>
      <c r="AV1052" s="70"/>
      <c r="AW1052" s="70"/>
      <c r="AX1052" s="70"/>
    </row>
    <row r="1053" ht="15.75" customHeight="1">
      <c r="A1053" s="170" t="s">
        <v>263</v>
      </c>
      <c r="B1053" s="271" t="s">
        <v>7544</v>
      </c>
      <c r="C1053" s="28" t="s">
        <v>7548</v>
      </c>
      <c r="D1053" s="28" t="s">
        <v>7549</v>
      </c>
      <c r="E1053" s="28" t="s">
        <v>7551</v>
      </c>
      <c r="F1053" s="28"/>
      <c r="G1053" s="28"/>
      <c r="H1053" s="28"/>
      <c r="I1053" s="28"/>
      <c r="J1053" s="28" t="s">
        <v>958</v>
      </c>
      <c r="K1053" s="28" t="s">
        <v>10638</v>
      </c>
      <c r="L1053" s="28" t="s">
        <v>10616</v>
      </c>
      <c r="M1053" s="28"/>
      <c r="N1053" s="28"/>
      <c r="O1053" s="172" t="s">
        <v>10645</v>
      </c>
      <c r="P1053" s="173" t="s">
        <v>145</v>
      </c>
      <c r="Q1053" s="173" t="s">
        <v>145</v>
      </c>
      <c r="R1053" s="173"/>
      <c r="S1053" s="173"/>
      <c r="T1053" s="173"/>
      <c r="U1053" s="173"/>
      <c r="V1053" s="173"/>
      <c r="W1053" s="173"/>
      <c r="X1053" s="173"/>
      <c r="Y1053" s="173"/>
      <c r="Z1053" s="173"/>
      <c r="AA1053" s="173"/>
      <c r="AB1053" s="173"/>
      <c r="AC1053" s="173"/>
      <c r="AD1053" s="173"/>
      <c r="AE1053" s="173"/>
      <c r="AF1053" s="173"/>
      <c r="AG1053" s="173"/>
      <c r="AH1053" s="173"/>
      <c r="AI1053" s="173"/>
      <c r="AJ1053" s="173"/>
      <c r="AK1053" s="173"/>
      <c r="AL1053" s="173"/>
      <c r="AM1053" s="173"/>
      <c r="AN1053" s="173"/>
      <c r="AO1053" s="70"/>
      <c r="AP1053" s="70"/>
      <c r="AQ1053" s="70"/>
      <c r="AR1053" s="70"/>
      <c r="AS1053" s="70"/>
      <c r="AT1053" s="70"/>
      <c r="AU1053" s="70"/>
      <c r="AV1053" s="70"/>
      <c r="AW1053" s="70"/>
      <c r="AX1053" s="70"/>
    </row>
    <row r="1054" ht="15.75" customHeight="1">
      <c r="A1054" s="170" t="s">
        <v>263</v>
      </c>
      <c r="B1054" s="271" t="s">
        <v>7554</v>
      </c>
      <c r="C1054" s="28" t="s">
        <v>7558</v>
      </c>
      <c r="D1054" s="28" t="s">
        <v>7559</v>
      </c>
      <c r="E1054" s="28" t="s">
        <v>7560</v>
      </c>
      <c r="F1054" s="28"/>
      <c r="G1054" s="28"/>
      <c r="H1054" s="28"/>
      <c r="I1054" s="28"/>
      <c r="J1054" s="28" t="s">
        <v>958</v>
      </c>
      <c r="K1054" s="28" t="s">
        <v>10638</v>
      </c>
      <c r="L1054" s="28" t="s">
        <v>10616</v>
      </c>
      <c r="M1054" s="28"/>
      <c r="N1054" s="28"/>
      <c r="O1054" s="172" t="s">
        <v>10646</v>
      </c>
      <c r="P1054" s="173" t="s">
        <v>145</v>
      </c>
      <c r="Q1054" s="173" t="s">
        <v>145</v>
      </c>
      <c r="R1054" s="173"/>
      <c r="S1054" s="173"/>
      <c r="T1054" s="173"/>
      <c r="U1054" s="173"/>
      <c r="V1054" s="173"/>
      <c r="W1054" s="173"/>
      <c r="X1054" s="173"/>
      <c r="Y1054" s="173"/>
      <c r="Z1054" s="173"/>
      <c r="AA1054" s="173"/>
      <c r="AB1054" s="173"/>
      <c r="AC1054" s="173"/>
      <c r="AD1054" s="173"/>
      <c r="AE1054" s="173"/>
      <c r="AF1054" s="173"/>
      <c r="AG1054" s="173"/>
      <c r="AH1054" s="173"/>
      <c r="AI1054" s="173"/>
      <c r="AJ1054" s="173"/>
      <c r="AK1054" s="173"/>
      <c r="AL1054" s="173"/>
      <c r="AM1054" s="173"/>
      <c r="AN1054" s="173"/>
      <c r="AO1054" s="70"/>
      <c r="AP1054" s="70"/>
      <c r="AQ1054" s="70"/>
      <c r="AR1054" s="70"/>
      <c r="AS1054" s="70"/>
      <c r="AT1054" s="70"/>
      <c r="AU1054" s="70"/>
      <c r="AV1054" s="70"/>
      <c r="AW1054" s="70"/>
      <c r="AX1054" s="70"/>
    </row>
    <row r="1055" ht="15.75" customHeight="1">
      <c r="A1055" s="170" t="s">
        <v>263</v>
      </c>
      <c r="B1055" s="271" t="s">
        <v>7561</v>
      </c>
      <c r="C1055" s="28" t="s">
        <v>7565</v>
      </c>
      <c r="D1055" s="28" t="s">
        <v>7566</v>
      </c>
      <c r="E1055" s="28" t="s">
        <v>7567</v>
      </c>
      <c r="F1055" s="28"/>
      <c r="G1055" s="28"/>
      <c r="H1055" s="28"/>
      <c r="I1055" s="28"/>
      <c r="J1055" s="28" t="s">
        <v>958</v>
      </c>
      <c r="K1055" s="28" t="s">
        <v>10638</v>
      </c>
      <c r="L1055" s="28" t="s">
        <v>10616</v>
      </c>
      <c r="M1055" s="28"/>
      <c r="N1055" s="28"/>
      <c r="O1055" s="172" t="s">
        <v>10647</v>
      </c>
      <c r="P1055" s="173" t="s">
        <v>145</v>
      </c>
      <c r="Q1055" s="173" t="s">
        <v>145</v>
      </c>
      <c r="R1055" s="173"/>
      <c r="S1055" s="173"/>
      <c r="T1055" s="173"/>
      <c r="U1055" s="173"/>
      <c r="V1055" s="173"/>
      <c r="W1055" s="173"/>
      <c r="X1055" s="173"/>
      <c r="Y1055" s="173"/>
      <c r="Z1055" s="173"/>
      <c r="AA1055" s="173"/>
      <c r="AB1055" s="173"/>
      <c r="AC1055" s="173"/>
      <c r="AD1055" s="173"/>
      <c r="AE1055" s="173"/>
      <c r="AF1055" s="173"/>
      <c r="AG1055" s="173"/>
      <c r="AH1055" s="173"/>
      <c r="AI1055" s="173"/>
      <c r="AJ1055" s="173"/>
      <c r="AK1055" s="173"/>
      <c r="AL1055" s="173"/>
      <c r="AM1055" s="173"/>
      <c r="AN1055" s="173"/>
      <c r="AO1055" s="70"/>
      <c r="AP1055" s="70"/>
      <c r="AQ1055" s="70"/>
      <c r="AR1055" s="70"/>
      <c r="AS1055" s="70"/>
      <c r="AT1055" s="70"/>
      <c r="AU1055" s="70"/>
      <c r="AV1055" s="70"/>
      <c r="AW1055" s="70"/>
      <c r="AX1055" s="70"/>
    </row>
    <row r="1056" ht="15.75" customHeight="1">
      <c r="A1056" s="170" t="s">
        <v>263</v>
      </c>
      <c r="B1056" s="271" t="s">
        <v>7568</v>
      </c>
      <c r="C1056" s="28" t="s">
        <v>7575</v>
      </c>
      <c r="D1056" s="28" t="s">
        <v>7576</v>
      </c>
      <c r="E1056" s="28" t="s">
        <v>7577</v>
      </c>
      <c r="F1056" s="28"/>
      <c r="G1056" s="28"/>
      <c r="H1056" s="28"/>
      <c r="I1056" s="28"/>
      <c r="J1056" s="28" t="s">
        <v>958</v>
      </c>
      <c r="K1056" s="28" t="s">
        <v>10638</v>
      </c>
      <c r="L1056" s="28" t="s">
        <v>10616</v>
      </c>
      <c r="M1056" s="28"/>
      <c r="N1056" s="28"/>
      <c r="O1056" s="172" t="s">
        <v>10648</v>
      </c>
      <c r="P1056" s="173" t="s">
        <v>145</v>
      </c>
      <c r="Q1056" s="173" t="s">
        <v>145</v>
      </c>
      <c r="R1056" s="173"/>
      <c r="S1056" s="173"/>
      <c r="T1056" s="173"/>
      <c r="U1056" s="173"/>
      <c r="V1056" s="173"/>
      <c r="W1056" s="173"/>
      <c r="X1056" s="173"/>
      <c r="Y1056" s="173"/>
      <c r="Z1056" s="173"/>
      <c r="AA1056" s="173"/>
      <c r="AB1056" s="173"/>
      <c r="AC1056" s="173"/>
      <c r="AD1056" s="173"/>
      <c r="AE1056" s="173"/>
      <c r="AF1056" s="173"/>
      <c r="AG1056" s="173"/>
      <c r="AH1056" s="173"/>
      <c r="AI1056" s="173"/>
      <c r="AJ1056" s="173"/>
      <c r="AK1056" s="173"/>
      <c r="AL1056" s="173"/>
      <c r="AM1056" s="173"/>
      <c r="AN1056" s="173"/>
      <c r="AO1056" s="70"/>
      <c r="AP1056" s="70"/>
      <c r="AQ1056" s="70"/>
      <c r="AR1056" s="70"/>
      <c r="AS1056" s="70"/>
      <c r="AT1056" s="70"/>
      <c r="AU1056" s="70"/>
      <c r="AV1056" s="70"/>
      <c r="AW1056" s="70"/>
      <c r="AX1056" s="70"/>
    </row>
    <row r="1057" ht="15.75" customHeight="1">
      <c r="A1057" s="170" t="s">
        <v>263</v>
      </c>
      <c r="B1057" s="271" t="s">
        <v>7578</v>
      </c>
      <c r="C1057" s="28" t="s">
        <v>7582</v>
      </c>
      <c r="D1057" s="28" t="s">
        <v>7584</v>
      </c>
      <c r="E1057" s="28" t="s">
        <v>7585</v>
      </c>
      <c r="F1057" s="28"/>
      <c r="G1057" s="28"/>
      <c r="H1057" s="28"/>
      <c r="I1057" s="28"/>
      <c r="J1057" s="28" t="s">
        <v>958</v>
      </c>
      <c r="K1057" s="28" t="s">
        <v>10638</v>
      </c>
      <c r="L1057" s="28" t="s">
        <v>10616</v>
      </c>
      <c r="M1057" s="28"/>
      <c r="N1057" s="28"/>
      <c r="O1057" s="172" t="s">
        <v>10636</v>
      </c>
      <c r="P1057" s="137" t="s">
        <v>145</v>
      </c>
      <c r="Q1057" s="137" t="s">
        <v>145</v>
      </c>
      <c r="R1057" s="139"/>
      <c r="S1057" s="139"/>
      <c r="T1057" s="139"/>
      <c r="U1057" s="139"/>
      <c r="V1057" s="139"/>
      <c r="W1057" s="139"/>
      <c r="X1057" s="139"/>
      <c r="Y1057" s="139"/>
      <c r="Z1057" s="139"/>
      <c r="AA1057" s="139"/>
      <c r="AB1057" s="139"/>
      <c r="AC1057" s="139"/>
      <c r="AD1057" s="139"/>
      <c r="AE1057" s="139"/>
      <c r="AF1057" s="139"/>
      <c r="AG1057" s="139"/>
      <c r="AH1057" s="139"/>
      <c r="AI1057" s="139"/>
      <c r="AJ1057" s="139"/>
      <c r="AK1057" s="139"/>
      <c r="AL1057" s="139"/>
      <c r="AM1057" s="139"/>
      <c r="AN1057" s="139"/>
      <c r="AO1057" s="70"/>
      <c r="AP1057" s="70"/>
      <c r="AQ1057" s="70"/>
      <c r="AR1057" s="70"/>
      <c r="AS1057" s="70"/>
      <c r="AT1057" s="70"/>
      <c r="AU1057" s="70"/>
      <c r="AV1057" s="70"/>
      <c r="AW1057" s="70"/>
      <c r="AX1057" s="70"/>
    </row>
    <row r="1058" ht="15.75" customHeight="1">
      <c r="A1058" s="140" t="s">
        <v>237</v>
      </c>
      <c r="B1058" s="193" t="s">
        <v>7490</v>
      </c>
      <c r="C1058" s="28"/>
      <c r="D1058" s="28"/>
      <c r="E1058" s="28"/>
      <c r="F1058" s="28"/>
      <c r="G1058" s="28"/>
      <c r="H1058" s="28"/>
      <c r="I1058" s="28"/>
      <c r="J1058" s="28"/>
      <c r="K1058" s="28"/>
      <c r="L1058" s="28"/>
      <c r="M1058" s="28"/>
      <c r="N1058" s="28"/>
      <c r="O1058" s="139"/>
      <c r="P1058" s="139" t="s">
        <v>145</v>
      </c>
      <c r="Q1058" s="139"/>
      <c r="R1058" s="139"/>
      <c r="S1058" s="139"/>
      <c r="T1058" s="139"/>
      <c r="U1058" s="139"/>
      <c r="V1058" s="139"/>
      <c r="W1058" s="139"/>
      <c r="X1058" s="139"/>
      <c r="Y1058" s="139"/>
      <c r="Z1058" s="139"/>
      <c r="AA1058" s="139"/>
      <c r="AB1058" s="139"/>
      <c r="AC1058" s="139"/>
      <c r="AD1058" s="139"/>
      <c r="AE1058" s="139"/>
      <c r="AF1058" s="139"/>
      <c r="AG1058" s="139"/>
      <c r="AH1058" s="139"/>
      <c r="AI1058" s="139"/>
      <c r="AJ1058" s="139"/>
      <c r="AK1058" s="139"/>
      <c r="AL1058" s="139"/>
      <c r="AM1058" s="139"/>
      <c r="AN1058" s="139"/>
      <c r="AO1058" s="70"/>
      <c r="AP1058" s="70"/>
      <c r="AQ1058" s="70"/>
      <c r="AR1058" s="70"/>
      <c r="AS1058" s="70"/>
      <c r="AT1058" s="70"/>
      <c r="AU1058" s="70"/>
      <c r="AV1058" s="70"/>
      <c r="AW1058" s="70"/>
      <c r="AX1058" s="70"/>
    </row>
    <row r="1059" ht="15.75" customHeight="1">
      <c r="A1059" s="270" t="s">
        <v>78</v>
      </c>
      <c r="B1059" s="215" t="s">
        <v>7591</v>
      </c>
      <c r="C1059" s="28"/>
      <c r="D1059" s="28"/>
      <c r="E1059" s="28"/>
      <c r="F1059" s="28"/>
      <c r="G1059" s="28"/>
      <c r="H1059" s="28"/>
      <c r="I1059" s="28"/>
      <c r="J1059" s="28"/>
      <c r="K1059" s="28"/>
      <c r="L1059" s="28"/>
      <c r="M1059" s="28"/>
      <c r="N1059" s="28"/>
      <c r="O1059" s="391" t="s">
        <v>10637</v>
      </c>
      <c r="P1059" s="176" t="s">
        <v>145</v>
      </c>
      <c r="Q1059" s="176"/>
      <c r="R1059" s="176"/>
      <c r="S1059" s="176"/>
      <c r="T1059" s="270" t="s">
        <v>10649</v>
      </c>
      <c r="U1059" s="136"/>
      <c r="V1059" s="176"/>
      <c r="W1059" s="176"/>
      <c r="X1059" s="176"/>
      <c r="Y1059" s="176"/>
      <c r="Z1059" s="176"/>
      <c r="AA1059" s="176"/>
      <c r="AB1059" s="176"/>
      <c r="AC1059" s="176"/>
      <c r="AD1059" s="176"/>
      <c r="AE1059" s="176"/>
      <c r="AF1059" s="176"/>
      <c r="AG1059" s="176"/>
      <c r="AH1059" s="176"/>
      <c r="AI1059" s="176"/>
      <c r="AJ1059" s="176"/>
      <c r="AK1059" s="176"/>
      <c r="AL1059" s="176"/>
      <c r="AM1059" s="176"/>
      <c r="AN1059" s="176"/>
      <c r="AO1059" s="70"/>
      <c r="AP1059" s="70"/>
      <c r="AQ1059" s="70"/>
      <c r="AR1059" s="70"/>
      <c r="AS1059" s="70"/>
      <c r="AT1059" s="70"/>
      <c r="AU1059" s="70"/>
      <c r="AV1059" s="70"/>
      <c r="AW1059" s="70"/>
      <c r="AX1059" s="70"/>
    </row>
    <row r="1060" ht="15.75" customHeight="1">
      <c r="A1060" s="270" t="s">
        <v>41</v>
      </c>
      <c r="B1060" s="215" t="s">
        <v>7596</v>
      </c>
      <c r="C1060" s="28" t="s">
        <v>7600</v>
      </c>
      <c r="D1060" s="28" t="s">
        <v>7601</v>
      </c>
      <c r="E1060" s="28" t="s">
        <v>7602</v>
      </c>
      <c r="F1060" s="28"/>
      <c r="G1060" s="28"/>
      <c r="H1060" s="28"/>
      <c r="I1060" s="28"/>
      <c r="J1060" s="28"/>
      <c r="K1060" s="28"/>
      <c r="L1060" s="28"/>
      <c r="M1060" s="28"/>
      <c r="N1060" s="28"/>
      <c r="O1060" s="172" t="s">
        <v>10650</v>
      </c>
      <c r="P1060" s="270" t="s">
        <v>145</v>
      </c>
      <c r="Q1060" s="270" t="s">
        <v>145</v>
      </c>
      <c r="R1060" s="176"/>
      <c r="S1060" s="176"/>
      <c r="T1060" s="176"/>
      <c r="U1060" s="176"/>
      <c r="V1060" s="176"/>
      <c r="W1060" s="176"/>
      <c r="X1060" s="176"/>
      <c r="Y1060" s="176"/>
      <c r="Z1060" s="176"/>
      <c r="AA1060" s="176"/>
      <c r="AB1060" s="176"/>
      <c r="AC1060" s="176"/>
      <c r="AD1060" s="176"/>
      <c r="AE1060" s="176"/>
      <c r="AF1060" s="176"/>
      <c r="AG1060" s="176"/>
      <c r="AH1060" s="176"/>
      <c r="AI1060" s="176"/>
      <c r="AJ1060" s="176"/>
      <c r="AK1060" s="176"/>
      <c r="AL1060" s="176"/>
      <c r="AM1060" s="176"/>
      <c r="AN1060" s="176"/>
      <c r="AO1060" s="70"/>
      <c r="AP1060" s="70"/>
      <c r="AQ1060" s="70"/>
      <c r="AR1060" s="70"/>
      <c r="AS1060" s="70"/>
      <c r="AT1060" s="70"/>
      <c r="AU1060" s="70"/>
      <c r="AV1060" s="70"/>
      <c r="AW1060" s="70"/>
      <c r="AX1060" s="70"/>
    </row>
    <row r="1061" ht="15.75" customHeight="1">
      <c r="A1061" s="174" t="s">
        <v>1015</v>
      </c>
      <c r="B1061" s="215" t="s">
        <v>7457</v>
      </c>
      <c r="C1061" s="28" t="s">
        <v>7458</v>
      </c>
      <c r="D1061" s="28"/>
      <c r="E1061" s="28"/>
      <c r="F1061" s="28"/>
      <c r="G1061" s="28"/>
      <c r="H1061" s="28"/>
      <c r="I1061" s="28"/>
      <c r="J1061" s="28"/>
      <c r="K1061" s="28"/>
      <c r="L1061" s="28"/>
      <c r="M1061" s="28"/>
      <c r="N1061" s="28"/>
      <c r="O1061" s="176"/>
      <c r="P1061" s="176" t="s">
        <v>145</v>
      </c>
      <c r="Q1061" s="176"/>
      <c r="R1061" s="176"/>
      <c r="S1061" s="176"/>
      <c r="T1061" s="176"/>
      <c r="U1061" s="176"/>
      <c r="V1061" s="176"/>
      <c r="W1061" s="176"/>
      <c r="X1061" s="176"/>
      <c r="Y1061" s="176"/>
      <c r="Z1061" s="176"/>
      <c r="AA1061" s="176"/>
      <c r="AB1061" s="176"/>
      <c r="AC1061" s="176"/>
      <c r="AD1061" s="176"/>
      <c r="AE1061" s="176"/>
      <c r="AF1061" s="176"/>
      <c r="AG1061" s="176"/>
      <c r="AH1061" s="176"/>
      <c r="AI1061" s="176"/>
      <c r="AJ1061" s="176"/>
      <c r="AK1061" s="176"/>
      <c r="AL1061" s="176"/>
      <c r="AM1061" s="176"/>
      <c r="AN1061" s="176"/>
      <c r="AO1061" s="70"/>
      <c r="AP1061" s="70"/>
      <c r="AQ1061" s="70"/>
      <c r="AR1061" s="70"/>
      <c r="AS1061" s="70"/>
      <c r="AT1061" s="70"/>
      <c r="AU1061" s="70"/>
      <c r="AV1061" s="70"/>
      <c r="AW1061" s="70"/>
      <c r="AX1061" s="70"/>
    </row>
    <row r="1062" ht="15.75" customHeight="1">
      <c r="A1062" s="150" t="s">
        <v>78</v>
      </c>
      <c r="B1062" s="216" t="s">
        <v>7607</v>
      </c>
      <c r="C1062" s="28"/>
      <c r="D1062" s="28"/>
      <c r="E1062" s="28"/>
      <c r="F1062" s="28"/>
      <c r="G1062" s="28"/>
      <c r="H1062" s="28"/>
      <c r="I1062" s="28"/>
      <c r="J1062" s="28"/>
      <c r="K1062" s="28"/>
      <c r="L1062" s="28"/>
      <c r="M1062" s="28"/>
      <c r="N1062" s="28"/>
      <c r="O1062" s="96"/>
      <c r="P1062" s="96" t="s">
        <v>145</v>
      </c>
      <c r="Q1062" s="96"/>
      <c r="R1062" s="96"/>
      <c r="S1062" s="96"/>
      <c r="T1062" s="119" t="s">
        <v>10651</v>
      </c>
      <c r="U1062" s="96"/>
      <c r="V1062" s="96"/>
      <c r="W1062" s="96"/>
      <c r="X1062" s="96"/>
      <c r="Y1062" s="96"/>
      <c r="Z1062" s="96"/>
      <c r="AA1062" s="96"/>
      <c r="AB1062" s="96"/>
      <c r="AC1062" s="96"/>
      <c r="AD1062" s="96"/>
      <c r="AE1062" s="96"/>
      <c r="AF1062" s="96"/>
      <c r="AG1062" s="96"/>
      <c r="AH1062" s="96"/>
      <c r="AI1062" s="96"/>
      <c r="AJ1062" s="96"/>
      <c r="AK1062" s="96"/>
      <c r="AL1062" s="96"/>
      <c r="AM1062" s="96"/>
      <c r="AN1062" s="96"/>
      <c r="AO1062" s="70"/>
      <c r="AP1062" s="70"/>
      <c r="AQ1062" s="70"/>
      <c r="AR1062" s="70"/>
      <c r="AS1062" s="70"/>
      <c r="AT1062" s="70"/>
      <c r="AU1062" s="70"/>
      <c r="AV1062" s="70"/>
      <c r="AW1062" s="70"/>
      <c r="AX1062" s="70"/>
    </row>
    <row r="1063" ht="15.75" customHeight="1">
      <c r="A1063" s="150" t="s">
        <v>78</v>
      </c>
      <c r="B1063" s="216" t="s">
        <v>7611</v>
      </c>
      <c r="C1063" s="28"/>
      <c r="D1063" s="28"/>
      <c r="E1063" s="28"/>
      <c r="F1063" s="28"/>
      <c r="G1063" s="28"/>
      <c r="H1063" s="28"/>
      <c r="I1063" s="28"/>
      <c r="J1063" s="28"/>
      <c r="K1063" s="28"/>
      <c r="L1063" s="28"/>
      <c r="M1063" s="28"/>
      <c r="N1063" s="28"/>
      <c r="O1063" s="96"/>
      <c r="P1063" s="96" t="s">
        <v>145</v>
      </c>
      <c r="Q1063" s="96"/>
      <c r="R1063" s="96"/>
      <c r="S1063" s="96"/>
      <c r="T1063" s="119" t="s">
        <v>10652</v>
      </c>
      <c r="U1063" s="96"/>
      <c r="V1063" s="96"/>
      <c r="W1063" s="96"/>
      <c r="X1063" s="96"/>
      <c r="Y1063" s="96"/>
      <c r="Z1063" s="96"/>
      <c r="AA1063" s="96"/>
      <c r="AB1063" s="96"/>
      <c r="AC1063" s="96"/>
      <c r="AD1063" s="96"/>
      <c r="AE1063" s="96"/>
      <c r="AF1063" s="96"/>
      <c r="AG1063" s="96"/>
      <c r="AH1063" s="96"/>
      <c r="AI1063" s="96"/>
      <c r="AJ1063" s="96"/>
      <c r="AK1063" s="96"/>
      <c r="AL1063" s="96"/>
      <c r="AM1063" s="96"/>
      <c r="AN1063" s="96"/>
      <c r="AO1063" s="70"/>
      <c r="AP1063" s="70"/>
      <c r="AQ1063" s="70"/>
      <c r="AR1063" s="70"/>
      <c r="AS1063" s="70"/>
      <c r="AT1063" s="70"/>
      <c r="AU1063" s="70"/>
      <c r="AV1063" s="70"/>
      <c r="AW1063" s="70"/>
      <c r="AX1063" s="70"/>
    </row>
    <row r="1064" ht="15.75" customHeight="1">
      <c r="A1064" s="150" t="s">
        <v>78</v>
      </c>
      <c r="B1064" s="216" t="s">
        <v>7615</v>
      </c>
      <c r="C1064" s="28"/>
      <c r="D1064" s="28"/>
      <c r="E1064" s="28"/>
      <c r="F1064" s="28"/>
      <c r="G1064" s="28"/>
      <c r="H1064" s="28"/>
      <c r="I1064" s="28"/>
      <c r="J1064" s="28"/>
      <c r="K1064" s="28"/>
      <c r="L1064" s="28"/>
      <c r="M1064" s="28"/>
      <c r="N1064" s="28"/>
      <c r="O1064" s="96"/>
      <c r="P1064" s="96" t="s">
        <v>145</v>
      </c>
      <c r="Q1064" s="96"/>
      <c r="R1064" s="96"/>
      <c r="S1064" s="96"/>
      <c r="T1064" s="119" t="s">
        <v>10653</v>
      </c>
      <c r="U1064" s="96"/>
      <c r="V1064" s="96"/>
      <c r="W1064" s="96"/>
      <c r="X1064" s="96"/>
      <c r="Y1064" s="96"/>
      <c r="Z1064" s="96"/>
      <c r="AA1064" s="96"/>
      <c r="AB1064" s="96"/>
      <c r="AC1064" s="96"/>
      <c r="AD1064" s="96"/>
      <c r="AE1064" s="96"/>
      <c r="AF1064" s="96"/>
      <c r="AG1064" s="96"/>
      <c r="AH1064" s="96"/>
      <c r="AI1064" s="96"/>
      <c r="AJ1064" s="96"/>
      <c r="AK1064" s="96"/>
      <c r="AL1064" s="96"/>
      <c r="AM1064" s="96"/>
      <c r="AN1064" s="96"/>
      <c r="AO1064" s="70"/>
      <c r="AP1064" s="70"/>
      <c r="AQ1064" s="70"/>
      <c r="AR1064" s="70"/>
      <c r="AS1064" s="70"/>
      <c r="AT1064" s="70"/>
      <c r="AU1064" s="70"/>
      <c r="AV1064" s="70"/>
      <c r="AW1064" s="70"/>
      <c r="AX1064" s="70"/>
    </row>
    <row r="1065" ht="15.75" customHeight="1">
      <c r="A1065" s="150" t="s">
        <v>78</v>
      </c>
      <c r="B1065" s="92" t="s">
        <v>7616</v>
      </c>
      <c r="C1065" s="28"/>
      <c r="D1065" s="28"/>
      <c r="E1065" s="28"/>
      <c r="F1065" s="28"/>
      <c r="G1065" s="28"/>
      <c r="H1065" s="28"/>
      <c r="I1065" s="28"/>
      <c r="J1065" s="28"/>
      <c r="K1065" s="28"/>
      <c r="L1065" s="28"/>
      <c r="M1065" s="28"/>
      <c r="N1065" s="28"/>
      <c r="O1065" s="96"/>
      <c r="P1065" s="96" t="s">
        <v>145</v>
      </c>
      <c r="Q1065" s="96"/>
      <c r="R1065" s="96"/>
      <c r="S1065" s="96"/>
      <c r="T1065" s="178" t="s">
        <v>10654</v>
      </c>
      <c r="U1065" s="96"/>
      <c r="V1065" s="96"/>
      <c r="W1065" s="96"/>
      <c r="X1065" s="96"/>
      <c r="Y1065" s="96"/>
      <c r="Z1065" s="96"/>
      <c r="AA1065" s="96"/>
      <c r="AB1065" s="96"/>
      <c r="AC1065" s="96"/>
      <c r="AD1065" s="96"/>
      <c r="AE1065" s="96"/>
      <c r="AF1065" s="96"/>
      <c r="AG1065" s="96"/>
      <c r="AH1065" s="96"/>
      <c r="AI1065" s="96"/>
      <c r="AJ1065" s="96"/>
      <c r="AK1065" s="96"/>
      <c r="AL1065" s="96"/>
      <c r="AM1065" s="96"/>
      <c r="AN1065" s="96"/>
      <c r="AO1065" s="70"/>
      <c r="AP1065" s="70"/>
      <c r="AQ1065" s="70"/>
      <c r="AR1065" s="70"/>
      <c r="AS1065" s="70"/>
      <c r="AT1065" s="70"/>
      <c r="AU1065" s="70"/>
      <c r="AV1065" s="70"/>
      <c r="AW1065" s="70"/>
      <c r="AX1065" s="70"/>
    </row>
    <row r="1066" ht="15.75" customHeight="1">
      <c r="A1066" s="166" t="s">
        <v>41</v>
      </c>
      <c r="B1066" s="167" t="s">
        <v>7619</v>
      </c>
      <c r="C1066" s="28" t="s">
        <v>7625</v>
      </c>
      <c r="D1066" s="28" t="s">
        <v>7626</v>
      </c>
      <c r="E1066" s="28" t="s">
        <v>7627</v>
      </c>
      <c r="F1066" s="28"/>
      <c r="G1066" s="28"/>
      <c r="H1066" s="28"/>
      <c r="I1066" s="28"/>
      <c r="J1066" s="28"/>
      <c r="K1066" s="28"/>
      <c r="L1066" s="28"/>
      <c r="M1066" s="28"/>
      <c r="N1066" s="28"/>
      <c r="O1066" s="126" t="s">
        <v>10655</v>
      </c>
      <c r="P1066" s="126" t="s">
        <v>145</v>
      </c>
      <c r="Q1066" s="126" t="s">
        <v>145</v>
      </c>
      <c r="R1066" s="126"/>
      <c r="S1066" s="126"/>
      <c r="T1066" s="126"/>
      <c r="U1066" s="126"/>
      <c r="V1066" s="126"/>
      <c r="W1066" s="126"/>
      <c r="X1066" s="126"/>
      <c r="Y1066" s="126"/>
      <c r="Z1066" s="126"/>
      <c r="AA1066" s="126"/>
      <c r="AB1066" s="126"/>
      <c r="AC1066" s="126"/>
      <c r="AD1066" s="139"/>
      <c r="AE1066" s="139"/>
      <c r="AF1066" s="139"/>
      <c r="AG1066" s="139"/>
      <c r="AH1066" s="139"/>
      <c r="AI1066" s="139"/>
      <c r="AJ1066" s="139"/>
      <c r="AK1066" s="139"/>
      <c r="AL1066" s="139"/>
      <c r="AM1066" s="139"/>
      <c r="AN1066" s="139"/>
      <c r="AO1066" s="70"/>
      <c r="AP1066" s="70"/>
      <c r="AQ1066" s="70"/>
      <c r="AR1066" s="70"/>
      <c r="AS1066" s="70"/>
      <c r="AT1066" s="70"/>
      <c r="AU1066" s="70"/>
      <c r="AV1066" s="70"/>
      <c r="AW1066" s="70"/>
      <c r="AX1066" s="70"/>
    </row>
    <row r="1067" ht="15.75" customHeight="1">
      <c r="A1067" s="65" t="s">
        <v>134</v>
      </c>
      <c r="B1067" s="66" t="s">
        <v>7628</v>
      </c>
      <c r="C1067" s="28"/>
      <c r="D1067" s="28"/>
      <c r="E1067" s="28"/>
      <c r="F1067" s="28"/>
      <c r="G1067" s="28"/>
      <c r="H1067" s="28"/>
      <c r="I1067" s="28"/>
      <c r="J1067" s="28"/>
      <c r="K1067" s="28"/>
      <c r="L1067" s="28"/>
      <c r="M1067" s="28"/>
      <c r="N1067" s="28"/>
      <c r="O1067" s="190"/>
      <c r="P1067" s="139" t="s">
        <v>145</v>
      </c>
      <c r="Q1067" s="139"/>
      <c r="R1067" s="139"/>
      <c r="S1067" s="139"/>
      <c r="T1067" s="65" t="s">
        <v>139</v>
      </c>
      <c r="U1067" s="139"/>
      <c r="V1067" s="139"/>
      <c r="W1067" s="139"/>
      <c r="X1067" s="139"/>
      <c r="Y1067" s="139"/>
      <c r="Z1067" s="139"/>
      <c r="AA1067" s="139"/>
      <c r="AB1067" s="139"/>
      <c r="AC1067" s="139"/>
      <c r="AD1067" s="139"/>
      <c r="AE1067" s="139"/>
      <c r="AF1067" s="139"/>
      <c r="AG1067" s="139"/>
      <c r="AH1067" s="139"/>
      <c r="AI1067" s="139"/>
      <c r="AJ1067" s="139"/>
      <c r="AK1067" s="139"/>
      <c r="AL1067" s="139"/>
      <c r="AM1067" s="139"/>
      <c r="AN1067" s="139"/>
      <c r="AO1067" s="70"/>
      <c r="AP1067" s="70"/>
      <c r="AQ1067" s="70"/>
      <c r="AR1067" s="70"/>
      <c r="AS1067" s="70"/>
      <c r="AT1067" s="70"/>
      <c r="AU1067" s="70"/>
      <c r="AV1067" s="70"/>
      <c r="AW1067" s="70"/>
      <c r="AX1067" s="70"/>
    </row>
    <row r="1068" ht="15.75" customHeight="1">
      <c r="A1068" s="65" t="s">
        <v>78</v>
      </c>
      <c r="B1068" s="272" t="s">
        <v>7632</v>
      </c>
      <c r="C1068" s="28"/>
      <c r="D1068" s="28"/>
      <c r="E1068" s="28"/>
      <c r="F1068" s="28"/>
      <c r="G1068" s="28"/>
      <c r="H1068" s="28"/>
      <c r="I1068" s="28"/>
      <c r="J1068" s="28"/>
      <c r="K1068" s="28"/>
      <c r="L1068" s="28"/>
      <c r="M1068" s="28"/>
      <c r="N1068" s="28"/>
      <c r="O1068" s="370"/>
      <c r="P1068" s="370" t="s">
        <v>145</v>
      </c>
      <c r="Q1068" s="370"/>
      <c r="R1068" s="370"/>
      <c r="S1068" s="370"/>
      <c r="T1068" s="371" t="s">
        <v>10656</v>
      </c>
      <c r="U1068" s="370"/>
      <c r="V1068" s="370"/>
      <c r="W1068" s="370"/>
      <c r="X1068" s="370"/>
      <c r="Y1068" s="370"/>
      <c r="Z1068" s="370"/>
      <c r="AA1068" s="370"/>
      <c r="AB1068" s="370"/>
      <c r="AC1068" s="370"/>
      <c r="AD1068" s="370"/>
      <c r="AE1068" s="370"/>
      <c r="AF1068" s="370"/>
      <c r="AG1068" s="370"/>
      <c r="AH1068" s="370"/>
      <c r="AI1068" s="370"/>
      <c r="AJ1068" s="370"/>
      <c r="AK1068" s="370"/>
      <c r="AL1068" s="370"/>
      <c r="AM1068" s="370"/>
      <c r="AN1068" s="370"/>
      <c r="AO1068" s="370"/>
      <c r="AP1068" s="370"/>
      <c r="AQ1068" s="370"/>
      <c r="AR1068" s="370"/>
      <c r="AS1068" s="370"/>
      <c r="AT1068" s="370"/>
      <c r="AU1068" s="370"/>
      <c r="AV1068" s="370"/>
      <c r="AW1068" s="370"/>
      <c r="AX1068" s="370"/>
    </row>
    <row r="1069" ht="15.75" customHeight="1">
      <c r="A1069" s="140" t="s">
        <v>131</v>
      </c>
      <c r="B1069" s="164" t="s">
        <v>7634</v>
      </c>
      <c r="C1069" s="28"/>
      <c r="D1069" s="28"/>
      <c r="E1069" s="28"/>
      <c r="F1069" s="28"/>
      <c r="G1069" s="28"/>
      <c r="H1069" s="28"/>
      <c r="I1069" s="28"/>
      <c r="J1069" s="28" t="s">
        <v>931</v>
      </c>
      <c r="K1069" s="28"/>
      <c r="L1069" s="28"/>
      <c r="M1069" s="28"/>
      <c r="N1069" s="28"/>
      <c r="O1069" s="190"/>
      <c r="P1069" s="139" t="s">
        <v>145</v>
      </c>
      <c r="Q1069" s="139"/>
      <c r="R1069" s="139"/>
      <c r="S1069" s="139"/>
      <c r="T1069" s="139"/>
      <c r="U1069" s="139"/>
      <c r="V1069" s="139"/>
      <c r="W1069" s="139"/>
      <c r="X1069" s="139"/>
      <c r="Y1069" s="139"/>
      <c r="Z1069" s="139"/>
      <c r="AA1069" s="139"/>
      <c r="AB1069" s="139"/>
      <c r="AC1069" s="139"/>
      <c r="AD1069" s="139"/>
      <c r="AE1069" s="139"/>
      <c r="AF1069" s="139"/>
      <c r="AG1069" s="139"/>
      <c r="AH1069" s="139"/>
      <c r="AI1069" s="139"/>
      <c r="AJ1069" s="139"/>
      <c r="AK1069" s="139"/>
      <c r="AL1069" s="139"/>
      <c r="AM1069" s="139"/>
      <c r="AN1069" s="139"/>
      <c r="AO1069" s="70"/>
      <c r="AP1069" s="70"/>
      <c r="AQ1069" s="70"/>
      <c r="AR1069" s="70"/>
      <c r="AS1069" s="70"/>
      <c r="AT1069" s="70"/>
      <c r="AU1069" s="70"/>
      <c r="AV1069" s="70"/>
      <c r="AW1069" s="70"/>
      <c r="AX1069" s="70"/>
    </row>
    <row r="1070" ht="16.5" customHeight="1">
      <c r="A1070" s="65" t="s">
        <v>134</v>
      </c>
      <c r="B1070" s="66" t="s">
        <v>7638</v>
      </c>
      <c r="C1070" s="28"/>
      <c r="D1070" s="28"/>
      <c r="E1070" s="28"/>
      <c r="F1070" s="28"/>
      <c r="G1070" s="28"/>
      <c r="H1070" s="28"/>
      <c r="I1070" s="28"/>
      <c r="J1070" s="28"/>
      <c r="K1070" s="28"/>
      <c r="L1070" s="28"/>
      <c r="M1070" s="28"/>
      <c r="N1070" s="28"/>
      <c r="O1070" s="67"/>
      <c r="P1070" s="68" t="s">
        <v>145</v>
      </c>
      <c r="Q1070" s="68"/>
      <c r="R1070" s="67"/>
      <c r="S1070" s="67"/>
      <c r="T1070" s="65" t="s">
        <v>139</v>
      </c>
      <c r="U1070" s="67"/>
      <c r="V1070" s="67"/>
      <c r="W1070" s="67"/>
      <c r="X1070" s="67"/>
      <c r="Y1070" s="67"/>
      <c r="Z1070" s="67"/>
      <c r="AA1070" s="67"/>
      <c r="AB1070" s="67"/>
      <c r="AC1070" s="67"/>
      <c r="AD1070" s="67"/>
      <c r="AE1070" s="67"/>
      <c r="AF1070" s="67"/>
      <c r="AG1070" s="67"/>
      <c r="AH1070" s="67"/>
      <c r="AI1070" s="67"/>
      <c r="AJ1070" s="67"/>
      <c r="AK1070" s="67"/>
      <c r="AL1070" s="67"/>
      <c r="AM1070" s="67"/>
      <c r="AN1070" s="67"/>
      <c r="AO1070" s="67"/>
      <c r="AP1070" s="67"/>
      <c r="AQ1070" s="67"/>
      <c r="AR1070" s="67"/>
      <c r="AS1070" s="67"/>
      <c r="AT1070" s="67"/>
      <c r="AU1070" s="67"/>
      <c r="AV1070" s="67"/>
      <c r="AW1070" s="67"/>
      <c r="AX1070" s="67"/>
    </row>
    <row r="1071" ht="15.75" customHeight="1">
      <c r="A1071" s="166" t="s">
        <v>41</v>
      </c>
      <c r="B1071" s="167" t="s">
        <v>7645</v>
      </c>
      <c r="C1071" s="28" t="s">
        <v>7651</v>
      </c>
      <c r="D1071" s="28" t="s">
        <v>7653</v>
      </c>
      <c r="E1071" s="28" t="s">
        <v>7654</v>
      </c>
      <c r="F1071" s="28"/>
      <c r="G1071" s="28"/>
      <c r="H1071" s="28"/>
      <c r="I1071" s="28"/>
      <c r="J1071" s="28" t="s">
        <v>8</v>
      </c>
      <c r="K1071" s="28"/>
      <c r="L1071" s="28"/>
      <c r="M1071" s="28"/>
      <c r="N1071" s="28"/>
      <c r="O1071" s="126"/>
      <c r="P1071" s="126" t="s">
        <v>145</v>
      </c>
      <c r="Q1071" s="126"/>
      <c r="R1071" s="126"/>
      <c r="S1071" s="126"/>
      <c r="T1071" s="126"/>
      <c r="U1071" s="126"/>
      <c r="V1071" s="126"/>
      <c r="W1071" s="126"/>
      <c r="X1071" s="126"/>
      <c r="Y1071" s="126"/>
      <c r="Z1071" s="126"/>
      <c r="AA1071" s="126"/>
      <c r="AB1071" s="126"/>
      <c r="AC1071" s="126"/>
      <c r="AD1071" s="126"/>
      <c r="AE1071" s="126"/>
      <c r="AF1071" s="126"/>
      <c r="AG1071" s="126"/>
      <c r="AH1071" s="126"/>
      <c r="AI1071" s="126"/>
      <c r="AJ1071" s="126"/>
      <c r="AK1071" s="126"/>
      <c r="AL1071" s="126"/>
      <c r="AM1071" s="126"/>
      <c r="AN1071" s="126"/>
      <c r="AO1071" s="70"/>
      <c r="AP1071" s="70"/>
      <c r="AQ1071" s="70"/>
      <c r="AR1071" s="70"/>
      <c r="AS1071" s="70"/>
      <c r="AT1071" s="70"/>
      <c r="AU1071" s="70"/>
      <c r="AV1071" s="70"/>
      <c r="AW1071" s="70"/>
      <c r="AX1071" s="70"/>
    </row>
    <row r="1072" ht="15.75" customHeight="1">
      <c r="A1072" s="170" t="s">
        <v>263</v>
      </c>
      <c r="B1072" s="271" t="s">
        <v>7655</v>
      </c>
      <c r="C1072" s="28" t="s">
        <v>7659</v>
      </c>
      <c r="D1072" s="28" t="s">
        <v>7660</v>
      </c>
      <c r="E1072" s="28" t="s">
        <v>7661</v>
      </c>
      <c r="F1072" s="28"/>
      <c r="G1072" s="28"/>
      <c r="H1072" s="28"/>
      <c r="I1072" s="28"/>
      <c r="J1072" s="28" t="s">
        <v>958</v>
      </c>
      <c r="K1072" s="28" t="s">
        <v>10638</v>
      </c>
      <c r="L1072" s="28" t="s">
        <v>10616</v>
      </c>
      <c r="M1072" s="28"/>
      <c r="N1072" s="28"/>
      <c r="O1072" s="173"/>
      <c r="P1072" s="173" t="s">
        <v>145</v>
      </c>
      <c r="Q1072" s="173" t="s">
        <v>145</v>
      </c>
      <c r="R1072" s="173"/>
      <c r="S1072" s="173"/>
      <c r="T1072" s="173"/>
      <c r="U1072" s="173"/>
      <c r="V1072" s="173"/>
      <c r="W1072" s="173"/>
      <c r="X1072" s="173"/>
      <c r="Y1072" s="173"/>
      <c r="Z1072" s="173"/>
      <c r="AA1072" s="173"/>
      <c r="AB1072" s="173"/>
      <c r="AC1072" s="173"/>
      <c r="AD1072" s="173"/>
      <c r="AE1072" s="173"/>
      <c r="AF1072" s="173"/>
      <c r="AG1072" s="173"/>
      <c r="AH1072" s="173"/>
      <c r="AI1072" s="173"/>
      <c r="AJ1072" s="173"/>
      <c r="AK1072" s="173"/>
      <c r="AL1072" s="173"/>
      <c r="AM1072" s="173"/>
      <c r="AN1072" s="173"/>
      <c r="AO1072" s="70"/>
      <c r="AP1072" s="70"/>
      <c r="AQ1072" s="70"/>
      <c r="AR1072" s="70"/>
      <c r="AS1072" s="70"/>
      <c r="AT1072" s="70"/>
      <c r="AU1072" s="70"/>
      <c r="AV1072" s="70"/>
      <c r="AW1072" s="70"/>
      <c r="AX1072" s="70"/>
    </row>
    <row r="1073" ht="15.75" customHeight="1">
      <c r="A1073" s="170" t="s">
        <v>263</v>
      </c>
      <c r="B1073" s="171" t="s">
        <v>7662</v>
      </c>
      <c r="C1073" s="28" t="s">
        <v>7666</v>
      </c>
      <c r="D1073" s="28" t="s">
        <v>7667</v>
      </c>
      <c r="E1073" s="28" t="s">
        <v>7668</v>
      </c>
      <c r="F1073" s="28"/>
      <c r="G1073" s="28"/>
      <c r="H1073" s="28"/>
      <c r="I1073" s="28"/>
      <c r="J1073" s="28" t="s">
        <v>958</v>
      </c>
      <c r="K1073" s="28" t="s">
        <v>10638</v>
      </c>
      <c r="L1073" s="28" t="s">
        <v>10616</v>
      </c>
      <c r="M1073" s="28"/>
      <c r="N1073" s="28"/>
      <c r="O1073" s="173"/>
      <c r="P1073" s="173" t="s">
        <v>145</v>
      </c>
      <c r="Q1073" s="173" t="s">
        <v>145</v>
      </c>
      <c r="R1073" s="173"/>
      <c r="S1073" s="173"/>
      <c r="T1073" s="173"/>
      <c r="U1073" s="173"/>
      <c r="V1073" s="173"/>
      <c r="W1073" s="173"/>
      <c r="X1073" s="173"/>
      <c r="Y1073" s="173"/>
      <c r="Z1073" s="173"/>
      <c r="AA1073" s="173"/>
      <c r="AB1073" s="173"/>
      <c r="AC1073" s="173"/>
      <c r="AD1073" s="173"/>
      <c r="AE1073" s="173"/>
      <c r="AF1073" s="173"/>
      <c r="AG1073" s="173"/>
      <c r="AH1073" s="173"/>
      <c r="AI1073" s="173"/>
      <c r="AJ1073" s="173"/>
      <c r="AK1073" s="173"/>
      <c r="AL1073" s="173"/>
      <c r="AM1073" s="173"/>
      <c r="AN1073" s="173"/>
      <c r="AO1073" s="70"/>
      <c r="AP1073" s="70"/>
      <c r="AQ1073" s="70"/>
      <c r="AR1073" s="70"/>
      <c r="AS1073" s="70"/>
      <c r="AT1073" s="70"/>
      <c r="AU1073" s="70"/>
      <c r="AV1073" s="70"/>
      <c r="AW1073" s="70"/>
      <c r="AX1073" s="70"/>
    </row>
    <row r="1074" ht="15.75" customHeight="1">
      <c r="A1074" s="170" t="s">
        <v>263</v>
      </c>
      <c r="B1074" s="171" t="s">
        <v>7670</v>
      </c>
      <c r="C1074" s="28" t="s">
        <v>7674</v>
      </c>
      <c r="D1074" s="28" t="s">
        <v>7675</v>
      </c>
      <c r="E1074" s="28" t="s">
        <v>7676</v>
      </c>
      <c r="F1074" s="28"/>
      <c r="G1074" s="28"/>
      <c r="H1074" s="28"/>
      <c r="I1074" s="28"/>
      <c r="J1074" s="28" t="s">
        <v>958</v>
      </c>
      <c r="K1074" s="28" t="s">
        <v>10638</v>
      </c>
      <c r="L1074" s="28" t="s">
        <v>10616</v>
      </c>
      <c r="M1074" s="28"/>
      <c r="N1074" s="28"/>
      <c r="O1074" s="173"/>
      <c r="P1074" s="173" t="s">
        <v>145</v>
      </c>
      <c r="Q1074" s="173" t="s">
        <v>145</v>
      </c>
      <c r="R1074" s="173"/>
      <c r="S1074" s="173"/>
      <c r="T1074" s="173"/>
      <c r="U1074" s="173"/>
      <c r="V1074" s="173"/>
      <c r="W1074" s="173"/>
      <c r="X1074" s="173"/>
      <c r="Y1074" s="173"/>
      <c r="Z1074" s="173"/>
      <c r="AA1074" s="173"/>
      <c r="AB1074" s="173"/>
      <c r="AC1074" s="173"/>
      <c r="AD1074" s="173"/>
      <c r="AE1074" s="173"/>
      <c r="AF1074" s="173"/>
      <c r="AG1074" s="173"/>
      <c r="AH1074" s="173"/>
      <c r="AI1074" s="173"/>
      <c r="AJ1074" s="173"/>
      <c r="AK1074" s="173"/>
      <c r="AL1074" s="173"/>
      <c r="AM1074" s="173"/>
      <c r="AN1074" s="173"/>
      <c r="AO1074" s="70"/>
      <c r="AP1074" s="70"/>
      <c r="AQ1074" s="70"/>
      <c r="AR1074" s="70"/>
      <c r="AS1074" s="70"/>
      <c r="AT1074" s="70"/>
      <c r="AU1074" s="70"/>
      <c r="AV1074" s="70"/>
      <c r="AW1074" s="70"/>
      <c r="AX1074" s="70"/>
    </row>
    <row r="1075" ht="15.75" customHeight="1">
      <c r="A1075" s="170" t="s">
        <v>263</v>
      </c>
      <c r="B1075" s="171" t="s">
        <v>7677</v>
      </c>
      <c r="C1075" s="28" t="s">
        <v>7682</v>
      </c>
      <c r="D1075" s="28" t="s">
        <v>7683</v>
      </c>
      <c r="E1075" s="28" t="s">
        <v>7685</v>
      </c>
      <c r="F1075" s="28"/>
      <c r="G1075" s="28"/>
      <c r="H1075" s="28"/>
      <c r="I1075" s="28"/>
      <c r="J1075" s="28" t="s">
        <v>958</v>
      </c>
      <c r="K1075" s="28" t="s">
        <v>10638</v>
      </c>
      <c r="L1075" s="28" t="s">
        <v>10616</v>
      </c>
      <c r="M1075" s="28"/>
      <c r="N1075" s="28"/>
      <c r="O1075" s="173"/>
      <c r="P1075" s="173" t="s">
        <v>145</v>
      </c>
      <c r="Q1075" s="173" t="s">
        <v>145</v>
      </c>
      <c r="R1075" s="173"/>
      <c r="S1075" s="173"/>
      <c r="T1075" s="173"/>
      <c r="U1075" s="173"/>
      <c r="V1075" s="173"/>
      <c r="W1075" s="173"/>
      <c r="X1075" s="173"/>
      <c r="Y1075" s="173"/>
      <c r="Z1075" s="173"/>
      <c r="AA1075" s="173"/>
      <c r="AB1075" s="173"/>
      <c r="AC1075" s="173"/>
      <c r="AD1075" s="173"/>
      <c r="AE1075" s="173"/>
      <c r="AF1075" s="173"/>
      <c r="AG1075" s="173"/>
      <c r="AH1075" s="173"/>
      <c r="AI1075" s="173"/>
      <c r="AJ1075" s="173"/>
      <c r="AK1075" s="173"/>
      <c r="AL1075" s="173"/>
      <c r="AM1075" s="173"/>
      <c r="AN1075" s="173"/>
      <c r="AO1075" s="70"/>
      <c r="AP1075" s="70"/>
      <c r="AQ1075" s="70"/>
      <c r="AR1075" s="70"/>
      <c r="AS1075" s="70"/>
      <c r="AT1075" s="70"/>
      <c r="AU1075" s="70"/>
      <c r="AV1075" s="70"/>
      <c r="AW1075" s="70"/>
      <c r="AX1075" s="70"/>
    </row>
    <row r="1076" ht="15.75" customHeight="1">
      <c r="A1076" s="170" t="s">
        <v>263</v>
      </c>
      <c r="B1076" s="171" t="s">
        <v>7687</v>
      </c>
      <c r="C1076" s="28" t="s">
        <v>7691</v>
      </c>
      <c r="D1076" s="28" t="s">
        <v>7692</v>
      </c>
      <c r="E1076" s="28" t="s">
        <v>7693</v>
      </c>
      <c r="F1076" s="28"/>
      <c r="G1076" s="28"/>
      <c r="H1076" s="28"/>
      <c r="I1076" s="28"/>
      <c r="J1076" s="28" t="s">
        <v>958</v>
      </c>
      <c r="K1076" s="28" t="s">
        <v>10638</v>
      </c>
      <c r="L1076" s="28" t="s">
        <v>10616</v>
      </c>
      <c r="M1076" s="28"/>
      <c r="N1076" s="28"/>
      <c r="O1076" s="173"/>
      <c r="P1076" s="173" t="s">
        <v>145</v>
      </c>
      <c r="Q1076" s="173" t="s">
        <v>145</v>
      </c>
      <c r="R1076" s="173"/>
      <c r="S1076" s="173"/>
      <c r="T1076" s="173"/>
      <c r="U1076" s="173"/>
      <c r="V1076" s="173"/>
      <c r="W1076" s="173"/>
      <c r="X1076" s="173"/>
      <c r="Y1076" s="173"/>
      <c r="Z1076" s="173"/>
      <c r="AA1076" s="173"/>
      <c r="AB1076" s="173"/>
      <c r="AC1076" s="173"/>
      <c r="AD1076" s="173"/>
      <c r="AE1076" s="173"/>
      <c r="AF1076" s="173"/>
      <c r="AG1076" s="173"/>
      <c r="AH1076" s="173"/>
      <c r="AI1076" s="173"/>
      <c r="AJ1076" s="173"/>
      <c r="AK1076" s="173"/>
      <c r="AL1076" s="173"/>
      <c r="AM1076" s="173"/>
      <c r="AN1076" s="173"/>
      <c r="AO1076" s="70"/>
      <c r="AP1076" s="70"/>
      <c r="AQ1076" s="70"/>
      <c r="AR1076" s="70"/>
      <c r="AS1076" s="70"/>
      <c r="AT1076" s="70"/>
      <c r="AU1076" s="70"/>
      <c r="AV1076" s="70"/>
      <c r="AW1076" s="70"/>
      <c r="AX1076" s="70"/>
    </row>
    <row r="1077" ht="15.75" customHeight="1">
      <c r="A1077" s="170" t="s">
        <v>263</v>
      </c>
      <c r="B1077" s="171" t="s">
        <v>7694</v>
      </c>
      <c r="C1077" s="28" t="s">
        <v>7698</v>
      </c>
      <c r="D1077" s="28" t="s">
        <v>7699</v>
      </c>
      <c r="E1077" s="28" t="s">
        <v>7700</v>
      </c>
      <c r="F1077" s="28"/>
      <c r="G1077" s="28"/>
      <c r="H1077" s="28"/>
      <c r="I1077" s="28"/>
      <c r="J1077" s="28" t="s">
        <v>958</v>
      </c>
      <c r="K1077" s="28" t="s">
        <v>10638</v>
      </c>
      <c r="L1077" s="28" t="s">
        <v>10616</v>
      </c>
      <c r="M1077" s="28"/>
      <c r="N1077" s="28"/>
      <c r="O1077" s="173"/>
      <c r="P1077" s="172" t="s">
        <v>145</v>
      </c>
      <c r="Q1077" s="172" t="s">
        <v>145</v>
      </c>
      <c r="R1077" s="173"/>
      <c r="S1077" s="173"/>
      <c r="T1077" s="173"/>
      <c r="U1077" s="173"/>
      <c r="V1077" s="173"/>
      <c r="W1077" s="173"/>
      <c r="X1077" s="173"/>
      <c r="Y1077" s="173"/>
      <c r="Z1077" s="173"/>
      <c r="AA1077" s="173"/>
      <c r="AB1077" s="173"/>
      <c r="AC1077" s="173"/>
      <c r="AD1077" s="173"/>
      <c r="AE1077" s="173"/>
      <c r="AF1077" s="173"/>
      <c r="AG1077" s="173"/>
      <c r="AH1077" s="173"/>
      <c r="AI1077" s="173"/>
      <c r="AJ1077" s="173"/>
      <c r="AK1077" s="173"/>
      <c r="AL1077" s="173"/>
      <c r="AM1077" s="173"/>
      <c r="AN1077" s="173"/>
      <c r="AO1077" s="70"/>
      <c r="AP1077" s="70"/>
      <c r="AQ1077" s="70"/>
      <c r="AR1077" s="70"/>
      <c r="AS1077" s="70"/>
      <c r="AT1077" s="70"/>
      <c r="AU1077" s="70"/>
      <c r="AV1077" s="70"/>
      <c r="AW1077" s="70"/>
      <c r="AX1077" s="70"/>
    </row>
    <row r="1078" ht="15.75" customHeight="1">
      <c r="A1078" s="170" t="s">
        <v>263</v>
      </c>
      <c r="B1078" s="171" t="s">
        <v>7701</v>
      </c>
      <c r="C1078" s="28" t="s">
        <v>7705</v>
      </c>
      <c r="D1078" s="28" t="s">
        <v>7706</v>
      </c>
      <c r="E1078" s="28" t="s">
        <v>7707</v>
      </c>
      <c r="F1078" s="28"/>
      <c r="G1078" s="28"/>
      <c r="H1078" s="28"/>
      <c r="I1078" s="28"/>
      <c r="J1078" s="28" t="s">
        <v>958</v>
      </c>
      <c r="K1078" s="28" t="s">
        <v>10638</v>
      </c>
      <c r="L1078" s="28" t="s">
        <v>10616</v>
      </c>
      <c r="M1078" s="28"/>
      <c r="N1078" s="28"/>
      <c r="O1078" s="173"/>
      <c r="P1078" s="173" t="s">
        <v>145</v>
      </c>
      <c r="Q1078" s="173" t="s">
        <v>145</v>
      </c>
      <c r="R1078" s="173"/>
      <c r="S1078" s="173"/>
      <c r="T1078" s="173"/>
      <c r="U1078" s="173"/>
      <c r="V1078" s="173"/>
      <c r="W1078" s="173"/>
      <c r="X1078" s="173"/>
      <c r="Y1078" s="173"/>
      <c r="Z1078" s="173"/>
      <c r="AA1078" s="173"/>
      <c r="AB1078" s="173"/>
      <c r="AC1078" s="173"/>
      <c r="AD1078" s="173"/>
      <c r="AE1078" s="173"/>
      <c r="AF1078" s="173"/>
      <c r="AG1078" s="173"/>
      <c r="AH1078" s="173"/>
      <c r="AI1078" s="173"/>
      <c r="AJ1078" s="173"/>
      <c r="AK1078" s="173"/>
      <c r="AL1078" s="173"/>
      <c r="AM1078" s="173"/>
      <c r="AN1078" s="173"/>
      <c r="AO1078" s="70"/>
      <c r="AP1078" s="70"/>
      <c r="AQ1078" s="70"/>
      <c r="AR1078" s="70"/>
      <c r="AS1078" s="70"/>
      <c r="AT1078" s="70"/>
      <c r="AU1078" s="70"/>
      <c r="AV1078" s="70"/>
      <c r="AW1078" s="70"/>
      <c r="AX1078" s="70"/>
    </row>
    <row r="1079" ht="15.75" customHeight="1">
      <c r="A1079" s="170" t="s">
        <v>263</v>
      </c>
      <c r="B1079" s="271" t="s">
        <v>7708</v>
      </c>
      <c r="C1079" s="28" t="s">
        <v>7712</v>
      </c>
      <c r="D1079" s="28" t="s">
        <v>7713</v>
      </c>
      <c r="E1079" s="28" t="s">
        <v>7714</v>
      </c>
      <c r="F1079" s="28"/>
      <c r="G1079" s="28"/>
      <c r="H1079" s="28"/>
      <c r="I1079" s="28"/>
      <c r="J1079" s="28" t="s">
        <v>958</v>
      </c>
      <c r="K1079" s="28" t="s">
        <v>10638</v>
      </c>
      <c r="L1079" s="28" t="s">
        <v>10616</v>
      </c>
      <c r="M1079" s="28"/>
      <c r="N1079" s="28"/>
      <c r="O1079" s="173"/>
      <c r="P1079" s="173" t="s">
        <v>145</v>
      </c>
      <c r="Q1079" s="173" t="s">
        <v>145</v>
      </c>
      <c r="R1079" s="173"/>
      <c r="S1079" s="173"/>
      <c r="T1079" s="173"/>
      <c r="U1079" s="173"/>
      <c r="V1079" s="173"/>
      <c r="W1079" s="173"/>
      <c r="X1079" s="173"/>
      <c r="Y1079" s="173"/>
      <c r="Z1079" s="173"/>
      <c r="AA1079" s="173"/>
      <c r="AB1079" s="173"/>
      <c r="AC1079" s="173"/>
      <c r="AD1079" s="173"/>
      <c r="AE1079" s="173"/>
      <c r="AF1079" s="173"/>
      <c r="AG1079" s="173"/>
      <c r="AH1079" s="173"/>
      <c r="AI1079" s="173"/>
      <c r="AJ1079" s="173"/>
      <c r="AK1079" s="173"/>
      <c r="AL1079" s="173"/>
      <c r="AM1079" s="173"/>
      <c r="AN1079" s="173"/>
      <c r="AO1079" s="70"/>
      <c r="AP1079" s="70"/>
      <c r="AQ1079" s="70"/>
      <c r="AR1079" s="70"/>
      <c r="AS1079" s="70"/>
      <c r="AT1079" s="70"/>
      <c r="AU1079" s="70"/>
      <c r="AV1079" s="70"/>
      <c r="AW1079" s="70"/>
      <c r="AX1079" s="70"/>
    </row>
    <row r="1080" ht="15.75" customHeight="1">
      <c r="A1080" s="170" t="s">
        <v>263</v>
      </c>
      <c r="B1080" s="171" t="s">
        <v>7715</v>
      </c>
      <c r="C1080" s="28" t="s">
        <v>7719</v>
      </c>
      <c r="D1080" s="28" t="s">
        <v>7720</v>
      </c>
      <c r="E1080" s="28" t="s">
        <v>7721</v>
      </c>
      <c r="F1080" s="28"/>
      <c r="G1080" s="28"/>
      <c r="H1080" s="28"/>
      <c r="I1080" s="28"/>
      <c r="J1080" s="28" t="s">
        <v>958</v>
      </c>
      <c r="K1080" s="28" t="s">
        <v>10638</v>
      </c>
      <c r="L1080" s="28" t="s">
        <v>10616</v>
      </c>
      <c r="M1080" s="28"/>
      <c r="N1080" s="28"/>
      <c r="O1080" s="173"/>
      <c r="P1080" s="173" t="s">
        <v>145</v>
      </c>
      <c r="Q1080" s="173" t="s">
        <v>145</v>
      </c>
      <c r="R1080" s="173"/>
      <c r="S1080" s="173"/>
      <c r="T1080" s="173"/>
      <c r="U1080" s="173"/>
      <c r="V1080" s="173"/>
      <c r="W1080" s="173"/>
      <c r="X1080" s="173"/>
      <c r="Y1080" s="173"/>
      <c r="Z1080" s="173"/>
      <c r="AA1080" s="173"/>
      <c r="AB1080" s="173"/>
      <c r="AC1080" s="173"/>
      <c r="AD1080" s="173"/>
      <c r="AE1080" s="173"/>
      <c r="AF1080" s="173"/>
      <c r="AG1080" s="173"/>
      <c r="AH1080" s="173"/>
      <c r="AI1080" s="173"/>
      <c r="AJ1080" s="173"/>
      <c r="AK1080" s="173"/>
      <c r="AL1080" s="173"/>
      <c r="AM1080" s="173"/>
      <c r="AN1080" s="173"/>
      <c r="AO1080" s="70"/>
      <c r="AP1080" s="70"/>
      <c r="AQ1080" s="70"/>
      <c r="AR1080" s="70"/>
      <c r="AS1080" s="70"/>
      <c r="AT1080" s="70"/>
      <c r="AU1080" s="70"/>
      <c r="AV1080" s="70"/>
      <c r="AW1080" s="70"/>
      <c r="AX1080" s="70"/>
    </row>
    <row r="1081" ht="15.75" customHeight="1">
      <c r="A1081" s="170" t="s">
        <v>263</v>
      </c>
      <c r="B1081" s="271" t="s">
        <v>7722</v>
      </c>
      <c r="C1081" s="28" t="s">
        <v>7726</v>
      </c>
      <c r="D1081" s="28" t="s">
        <v>7727</v>
      </c>
      <c r="E1081" s="28" t="s">
        <v>7728</v>
      </c>
      <c r="F1081" s="28"/>
      <c r="G1081" s="28"/>
      <c r="H1081" s="28"/>
      <c r="I1081" s="28"/>
      <c r="J1081" s="28" t="s">
        <v>958</v>
      </c>
      <c r="K1081" s="28" t="s">
        <v>10638</v>
      </c>
      <c r="L1081" s="28" t="s">
        <v>10616</v>
      </c>
      <c r="M1081" s="28"/>
      <c r="N1081" s="28"/>
      <c r="O1081" s="139"/>
      <c r="P1081" s="173" t="s">
        <v>145</v>
      </c>
      <c r="Q1081" s="173" t="s">
        <v>145</v>
      </c>
      <c r="R1081" s="139"/>
      <c r="S1081" s="139"/>
      <c r="T1081" s="139"/>
      <c r="U1081" s="139"/>
      <c r="V1081" s="139"/>
      <c r="W1081" s="139"/>
      <c r="X1081" s="139"/>
      <c r="Y1081" s="139"/>
      <c r="Z1081" s="139"/>
      <c r="AA1081" s="139"/>
      <c r="AB1081" s="139"/>
      <c r="AC1081" s="139"/>
      <c r="AD1081" s="139"/>
      <c r="AE1081" s="139"/>
      <c r="AF1081" s="139"/>
      <c r="AG1081" s="139"/>
      <c r="AH1081" s="139"/>
      <c r="AI1081" s="139"/>
      <c r="AJ1081" s="139"/>
      <c r="AK1081" s="139"/>
      <c r="AL1081" s="139"/>
      <c r="AM1081" s="139"/>
      <c r="AN1081" s="139"/>
      <c r="AO1081" s="70"/>
      <c r="AP1081" s="70"/>
      <c r="AQ1081" s="70"/>
      <c r="AR1081" s="70"/>
      <c r="AS1081" s="70"/>
      <c r="AT1081" s="70"/>
      <c r="AU1081" s="70"/>
      <c r="AV1081" s="70"/>
      <c r="AW1081" s="70"/>
      <c r="AX1081" s="70"/>
    </row>
    <row r="1082" ht="15.75" customHeight="1">
      <c r="A1082" s="170" t="s">
        <v>263</v>
      </c>
      <c r="B1082" s="271" t="s">
        <v>7729</v>
      </c>
      <c r="C1082" s="28" t="s">
        <v>7733</v>
      </c>
      <c r="D1082" s="28" t="s">
        <v>7734</v>
      </c>
      <c r="E1082" s="28" t="s">
        <v>7735</v>
      </c>
      <c r="F1082" s="28"/>
      <c r="G1082" s="28"/>
      <c r="H1082" s="28"/>
      <c r="I1082" s="28"/>
      <c r="J1082" s="28" t="s">
        <v>958</v>
      </c>
      <c r="K1082" s="28" t="s">
        <v>10638</v>
      </c>
      <c r="L1082" s="28" t="s">
        <v>10616</v>
      </c>
      <c r="M1082" s="28"/>
      <c r="N1082" s="28"/>
      <c r="O1082" s="139"/>
      <c r="P1082" s="173" t="s">
        <v>145</v>
      </c>
      <c r="Q1082" s="173" t="s">
        <v>145</v>
      </c>
      <c r="R1082" s="139"/>
      <c r="S1082" s="139"/>
      <c r="T1082" s="139"/>
      <c r="U1082" s="139"/>
      <c r="V1082" s="139"/>
      <c r="W1082" s="139"/>
      <c r="X1082" s="139"/>
      <c r="Y1082" s="139"/>
      <c r="Z1082" s="139"/>
      <c r="AA1082" s="139"/>
      <c r="AB1082" s="139"/>
      <c r="AC1082" s="139"/>
      <c r="AD1082" s="139"/>
      <c r="AE1082" s="139"/>
      <c r="AF1082" s="139"/>
      <c r="AG1082" s="139"/>
      <c r="AH1082" s="139"/>
      <c r="AI1082" s="139"/>
      <c r="AJ1082" s="139"/>
      <c r="AK1082" s="139"/>
      <c r="AL1082" s="139"/>
      <c r="AM1082" s="139"/>
      <c r="AN1082" s="139"/>
      <c r="AO1082" s="70"/>
      <c r="AP1082" s="70"/>
      <c r="AQ1082" s="70"/>
      <c r="AR1082" s="70"/>
      <c r="AS1082" s="70"/>
      <c r="AT1082" s="70"/>
      <c r="AU1082" s="70"/>
      <c r="AV1082" s="70"/>
      <c r="AW1082" s="70"/>
      <c r="AX1082" s="70"/>
    </row>
    <row r="1083" ht="15.75" customHeight="1">
      <c r="A1083" s="140" t="s">
        <v>237</v>
      </c>
      <c r="B1083" s="191" t="s">
        <v>7634</v>
      </c>
      <c r="C1083" s="28"/>
      <c r="D1083" s="28"/>
      <c r="E1083" s="28"/>
      <c r="F1083" s="28"/>
      <c r="G1083" s="28"/>
      <c r="H1083" s="28"/>
      <c r="I1083" s="28"/>
      <c r="J1083" s="28"/>
      <c r="K1083" s="28"/>
      <c r="L1083" s="28"/>
      <c r="M1083" s="28"/>
      <c r="N1083" s="28"/>
      <c r="O1083" s="139"/>
      <c r="P1083" s="139" t="s">
        <v>145</v>
      </c>
      <c r="Q1083" s="139"/>
      <c r="R1083" s="139"/>
      <c r="S1083" s="139"/>
      <c r="T1083" s="139"/>
      <c r="U1083" s="139"/>
      <c r="V1083" s="139"/>
      <c r="W1083" s="139"/>
      <c r="X1083" s="139"/>
      <c r="Y1083" s="139"/>
      <c r="Z1083" s="139"/>
      <c r="AA1083" s="139"/>
      <c r="AB1083" s="139"/>
      <c r="AC1083" s="139"/>
      <c r="AD1083" s="139"/>
      <c r="AE1083" s="139"/>
      <c r="AF1083" s="139"/>
      <c r="AG1083" s="139"/>
      <c r="AH1083" s="139"/>
      <c r="AI1083" s="139"/>
      <c r="AJ1083" s="139"/>
      <c r="AK1083" s="139"/>
      <c r="AL1083" s="139"/>
      <c r="AM1083" s="139"/>
      <c r="AN1083" s="139"/>
      <c r="AO1083" s="70"/>
      <c r="AP1083" s="70"/>
      <c r="AQ1083" s="70"/>
      <c r="AR1083" s="70"/>
      <c r="AS1083" s="70"/>
      <c r="AT1083" s="70"/>
      <c r="AU1083" s="70"/>
      <c r="AV1083" s="70"/>
      <c r="AW1083" s="70"/>
      <c r="AX1083" s="70"/>
    </row>
    <row r="1084" ht="15.75" customHeight="1">
      <c r="A1084" s="90" t="s">
        <v>134</v>
      </c>
      <c r="B1084" s="92" t="s">
        <v>7743</v>
      </c>
      <c r="C1084" s="28"/>
      <c r="D1084" s="28"/>
      <c r="E1084" s="28"/>
      <c r="F1084" s="28"/>
      <c r="G1084" s="28"/>
      <c r="H1084" s="28"/>
      <c r="I1084" s="28"/>
      <c r="J1084" s="28"/>
      <c r="K1084" s="28"/>
      <c r="L1084" s="28"/>
      <c r="M1084" s="28"/>
      <c r="N1084" s="28"/>
      <c r="O1084" s="96"/>
      <c r="P1084" s="96" t="s">
        <v>145</v>
      </c>
      <c r="Q1084" s="96"/>
      <c r="R1084" s="96"/>
      <c r="S1084" s="96"/>
      <c r="T1084" s="119" t="s">
        <v>10657</v>
      </c>
      <c r="U1084" s="96"/>
      <c r="V1084" s="96"/>
      <c r="W1084" s="96"/>
      <c r="X1084" s="96"/>
      <c r="Y1084" s="96"/>
      <c r="Z1084" s="96"/>
      <c r="AA1084" s="96"/>
      <c r="AB1084" s="96"/>
      <c r="AC1084" s="96"/>
      <c r="AD1084" s="139"/>
      <c r="AE1084" s="139"/>
      <c r="AF1084" s="139"/>
      <c r="AG1084" s="139"/>
      <c r="AH1084" s="139"/>
      <c r="AI1084" s="139"/>
      <c r="AJ1084" s="139"/>
      <c r="AK1084" s="139"/>
      <c r="AL1084" s="139"/>
      <c r="AM1084" s="139"/>
      <c r="AN1084" s="139"/>
      <c r="AO1084" s="70"/>
      <c r="AP1084" s="70"/>
      <c r="AQ1084" s="70"/>
      <c r="AR1084" s="70"/>
      <c r="AS1084" s="70"/>
      <c r="AT1084" s="70"/>
      <c r="AU1084" s="70"/>
      <c r="AV1084" s="70"/>
      <c r="AW1084" s="70"/>
      <c r="AX1084" s="70"/>
    </row>
    <row r="1085" ht="15.75" customHeight="1">
      <c r="A1085" s="123" t="s">
        <v>246</v>
      </c>
      <c r="B1085" s="284" t="s">
        <v>7747</v>
      </c>
      <c r="C1085" s="28" t="s">
        <v>7749</v>
      </c>
      <c r="D1085" s="28" t="s">
        <v>7749</v>
      </c>
      <c r="E1085" s="28" t="s">
        <v>7749</v>
      </c>
      <c r="F1085" s="28"/>
      <c r="G1085" s="28"/>
      <c r="H1085" s="28"/>
      <c r="I1085" s="28"/>
      <c r="J1085" s="28"/>
      <c r="K1085" s="28"/>
      <c r="L1085" s="28"/>
      <c r="M1085" s="28"/>
      <c r="N1085" s="28"/>
      <c r="O1085" s="123" t="s">
        <v>10658</v>
      </c>
      <c r="P1085" s="123" t="s">
        <v>145</v>
      </c>
      <c r="Q1085" s="123" t="s">
        <v>145</v>
      </c>
      <c r="R1085" s="126"/>
      <c r="S1085" s="126"/>
      <c r="T1085" s="126"/>
      <c r="U1085" s="126"/>
      <c r="V1085" s="126"/>
      <c r="W1085" s="126"/>
      <c r="X1085" s="126"/>
      <c r="Y1085" s="126"/>
      <c r="Z1085" s="126"/>
      <c r="AA1085" s="126"/>
      <c r="AB1085" s="126"/>
      <c r="AC1085" s="126"/>
      <c r="AD1085" s="139"/>
      <c r="AE1085" s="139"/>
      <c r="AF1085" s="139"/>
      <c r="AG1085" s="139"/>
      <c r="AH1085" s="139"/>
      <c r="AI1085" s="139"/>
      <c r="AJ1085" s="139"/>
      <c r="AK1085" s="139"/>
      <c r="AL1085" s="139"/>
      <c r="AM1085" s="139"/>
      <c r="AN1085" s="139"/>
      <c r="AO1085" s="70"/>
      <c r="AP1085" s="70"/>
      <c r="AQ1085" s="70"/>
      <c r="AR1085" s="70"/>
      <c r="AS1085" s="70"/>
      <c r="AT1085" s="70"/>
      <c r="AU1085" s="70"/>
      <c r="AV1085" s="70"/>
      <c r="AW1085" s="70"/>
      <c r="AX1085" s="70"/>
    </row>
    <row r="1086" ht="15.75" customHeight="1">
      <c r="A1086" s="166" t="s">
        <v>41</v>
      </c>
      <c r="B1086" s="167" t="s">
        <v>7750</v>
      </c>
      <c r="C1086" s="28" t="s">
        <v>7757</v>
      </c>
      <c r="D1086" s="28" t="s">
        <v>7758</v>
      </c>
      <c r="E1086" s="28" t="s">
        <v>7759</v>
      </c>
      <c r="F1086" s="28"/>
      <c r="G1086" s="28"/>
      <c r="H1086" s="28"/>
      <c r="I1086" s="28"/>
      <c r="J1086" s="28"/>
      <c r="K1086" s="28"/>
      <c r="L1086" s="28"/>
      <c r="M1086" s="28"/>
      <c r="N1086" s="28"/>
      <c r="O1086" s="126" t="s">
        <v>10659</v>
      </c>
      <c r="P1086" s="126" t="s">
        <v>145</v>
      </c>
      <c r="Q1086" s="126" t="s">
        <v>145</v>
      </c>
      <c r="R1086" s="126"/>
      <c r="S1086" s="126"/>
      <c r="T1086" s="126"/>
      <c r="U1086" s="126"/>
      <c r="V1086" s="126"/>
      <c r="W1086" s="126"/>
      <c r="X1086" s="126"/>
      <c r="Y1086" s="126"/>
      <c r="Z1086" s="126"/>
      <c r="AA1086" s="126"/>
      <c r="AB1086" s="126"/>
      <c r="AC1086" s="126"/>
      <c r="AD1086" s="139"/>
      <c r="AE1086" s="139"/>
      <c r="AF1086" s="139"/>
      <c r="AG1086" s="139"/>
      <c r="AH1086" s="139"/>
      <c r="AI1086" s="139"/>
      <c r="AJ1086" s="139"/>
      <c r="AK1086" s="139"/>
      <c r="AL1086" s="139"/>
      <c r="AM1086" s="139"/>
      <c r="AN1086" s="139"/>
      <c r="AO1086" s="70"/>
      <c r="AP1086" s="70"/>
      <c r="AQ1086" s="70"/>
      <c r="AR1086" s="70"/>
      <c r="AS1086" s="70"/>
      <c r="AT1086" s="70"/>
      <c r="AU1086" s="70"/>
      <c r="AV1086" s="70"/>
      <c r="AW1086" s="70"/>
      <c r="AX1086" s="70"/>
    </row>
    <row r="1087" ht="15.75" customHeight="1">
      <c r="A1087" s="65" t="s">
        <v>134</v>
      </c>
      <c r="B1087" s="66" t="s">
        <v>7760</v>
      </c>
      <c r="C1087" s="28"/>
      <c r="D1087" s="28"/>
      <c r="E1087" s="28"/>
      <c r="F1087" s="28"/>
      <c r="G1087" s="28"/>
      <c r="H1087" s="28"/>
      <c r="I1087" s="28"/>
      <c r="J1087" s="28"/>
      <c r="K1087" s="28"/>
      <c r="L1087" s="28"/>
      <c r="M1087" s="28"/>
      <c r="N1087" s="28"/>
      <c r="O1087" s="190"/>
      <c r="P1087" s="139" t="s">
        <v>145</v>
      </c>
      <c r="Q1087" s="139"/>
      <c r="R1087" s="139"/>
      <c r="S1087" s="139"/>
      <c r="T1087" s="65" t="s">
        <v>139</v>
      </c>
      <c r="U1087" s="139"/>
      <c r="V1087" s="139"/>
      <c r="W1087" s="139"/>
      <c r="X1087" s="139"/>
      <c r="Y1087" s="139"/>
      <c r="Z1087" s="139"/>
      <c r="AA1087" s="139"/>
      <c r="AB1087" s="139"/>
      <c r="AC1087" s="139"/>
      <c r="AD1087" s="139"/>
      <c r="AE1087" s="139"/>
      <c r="AF1087" s="139"/>
      <c r="AG1087" s="139"/>
      <c r="AH1087" s="139"/>
      <c r="AI1087" s="139"/>
      <c r="AJ1087" s="139"/>
      <c r="AK1087" s="139"/>
      <c r="AL1087" s="139"/>
      <c r="AM1087" s="139"/>
      <c r="AN1087" s="139"/>
      <c r="AO1087" s="70"/>
      <c r="AP1087" s="70"/>
      <c r="AQ1087" s="70"/>
      <c r="AR1087" s="70"/>
      <c r="AS1087" s="70"/>
      <c r="AT1087" s="70"/>
      <c r="AU1087" s="70"/>
      <c r="AV1087" s="70"/>
      <c r="AW1087" s="70"/>
      <c r="AX1087" s="70"/>
    </row>
    <row r="1088" ht="15.75" customHeight="1">
      <c r="A1088" s="65" t="s">
        <v>78</v>
      </c>
      <c r="B1088" s="272" t="s">
        <v>7764</v>
      </c>
      <c r="C1088" s="28"/>
      <c r="D1088" s="28"/>
      <c r="E1088" s="28"/>
      <c r="F1088" s="28"/>
      <c r="G1088" s="28"/>
      <c r="H1088" s="28"/>
      <c r="I1088" s="28"/>
      <c r="J1088" s="28"/>
      <c r="K1088" s="28"/>
      <c r="L1088" s="28"/>
      <c r="M1088" s="28"/>
      <c r="N1088" s="28"/>
      <c r="O1088" s="370"/>
      <c r="P1088" s="370" t="s">
        <v>145</v>
      </c>
      <c r="Q1088" s="370"/>
      <c r="R1088" s="370"/>
      <c r="S1088" s="370"/>
      <c r="T1088" s="371" t="s">
        <v>10660</v>
      </c>
      <c r="U1088" s="370"/>
      <c r="V1088" s="370"/>
      <c r="W1088" s="370"/>
      <c r="X1088" s="370"/>
      <c r="Y1088" s="370"/>
      <c r="Z1088" s="370"/>
      <c r="AA1088" s="370"/>
      <c r="AB1088" s="370"/>
      <c r="AC1088" s="370"/>
      <c r="AD1088" s="370"/>
      <c r="AE1088" s="370"/>
      <c r="AF1088" s="370"/>
      <c r="AG1088" s="370"/>
      <c r="AH1088" s="370"/>
      <c r="AI1088" s="370"/>
      <c r="AJ1088" s="370"/>
      <c r="AK1088" s="370"/>
      <c r="AL1088" s="370"/>
      <c r="AM1088" s="370"/>
      <c r="AN1088" s="370"/>
      <c r="AO1088" s="370"/>
      <c r="AP1088" s="370"/>
      <c r="AQ1088" s="370"/>
      <c r="AR1088" s="370"/>
      <c r="AS1088" s="370"/>
      <c r="AT1088" s="370"/>
      <c r="AU1088" s="370"/>
      <c r="AV1088" s="370"/>
      <c r="AW1088" s="370"/>
      <c r="AX1088" s="370"/>
    </row>
    <row r="1089" ht="15.75" customHeight="1">
      <c r="A1089" s="65" t="s">
        <v>2625</v>
      </c>
      <c r="B1089" s="169" t="s">
        <v>7771</v>
      </c>
      <c r="C1089" s="28" t="s">
        <v>7775</v>
      </c>
      <c r="D1089" s="28" t="s">
        <v>7776</v>
      </c>
      <c r="E1089" s="28" t="s">
        <v>7777</v>
      </c>
      <c r="F1089" s="28"/>
      <c r="G1089" s="28"/>
      <c r="H1089" s="28"/>
      <c r="I1089" s="28"/>
      <c r="J1089" s="28"/>
      <c r="K1089" s="28"/>
      <c r="L1089" s="28"/>
      <c r="M1089" s="28"/>
      <c r="N1089" s="28"/>
      <c r="O1089" s="67"/>
      <c r="P1089" s="289" t="s">
        <v>145</v>
      </c>
      <c r="Q1089" s="289" t="s">
        <v>145</v>
      </c>
      <c r="R1089" s="67"/>
      <c r="S1089" s="67"/>
      <c r="T1089" s="67"/>
      <c r="U1089" s="67"/>
      <c r="V1089" s="67"/>
      <c r="W1089" s="67"/>
      <c r="X1089" s="67"/>
      <c r="Y1089" s="67"/>
      <c r="Z1089" s="67"/>
      <c r="AA1089" s="67"/>
      <c r="AB1089" s="67"/>
      <c r="AC1089" s="67"/>
      <c r="AD1089" s="67"/>
      <c r="AE1089" s="67"/>
      <c r="AF1089" s="67"/>
      <c r="AG1089" s="67"/>
      <c r="AH1089" s="67"/>
      <c r="AI1089" s="67"/>
      <c r="AJ1089" s="67"/>
      <c r="AK1089" s="67"/>
      <c r="AL1089" s="67"/>
      <c r="AM1089" s="67"/>
      <c r="AN1089" s="67"/>
      <c r="AO1089" s="70"/>
      <c r="AP1089" s="70"/>
      <c r="AQ1089" s="70"/>
      <c r="AR1089" s="70"/>
      <c r="AS1089" s="70"/>
      <c r="AT1089" s="70"/>
      <c r="AU1089" s="70"/>
      <c r="AV1089" s="70"/>
      <c r="AW1089" s="70"/>
      <c r="AX1089" s="70"/>
    </row>
    <row r="1090" ht="15.75" customHeight="1">
      <c r="A1090" s="68" t="s">
        <v>7189</v>
      </c>
      <c r="B1090" s="169" t="s">
        <v>7778</v>
      </c>
      <c r="C1090" s="28" t="s">
        <v>7782</v>
      </c>
      <c r="D1090" s="28" t="s">
        <v>7783</v>
      </c>
      <c r="E1090" s="28" t="s">
        <v>7784</v>
      </c>
      <c r="F1090" s="28"/>
      <c r="G1090" s="28"/>
      <c r="H1090" s="28"/>
      <c r="I1090" s="28"/>
      <c r="J1090" s="28"/>
      <c r="K1090" s="28"/>
      <c r="L1090" s="28"/>
      <c r="M1090" s="28"/>
      <c r="N1090" s="28"/>
      <c r="O1090" s="67" t="s">
        <v>10661</v>
      </c>
      <c r="P1090" s="289" t="s">
        <v>145</v>
      </c>
      <c r="Q1090" s="289" t="s">
        <v>145</v>
      </c>
      <c r="R1090" s="67"/>
      <c r="S1090" s="67"/>
      <c r="T1090" s="67"/>
      <c r="U1090" s="67"/>
      <c r="V1090" s="67"/>
      <c r="W1090" s="67"/>
      <c r="X1090" s="67"/>
      <c r="Y1090" s="67"/>
      <c r="Z1090" s="67"/>
      <c r="AA1090" s="67"/>
      <c r="AB1090" s="67"/>
      <c r="AC1090" s="67"/>
      <c r="AD1090" s="67"/>
      <c r="AE1090" s="67"/>
      <c r="AF1090" s="67"/>
      <c r="AG1090" s="67"/>
      <c r="AH1090" s="67"/>
      <c r="AI1090" s="67"/>
      <c r="AJ1090" s="67"/>
      <c r="AK1090" s="67"/>
      <c r="AL1090" s="67"/>
      <c r="AM1090" s="67"/>
      <c r="AN1090" s="67"/>
      <c r="AO1090" s="70"/>
      <c r="AP1090" s="70"/>
      <c r="AQ1090" s="70"/>
      <c r="AR1090" s="70"/>
      <c r="AS1090" s="70"/>
      <c r="AT1090" s="70"/>
      <c r="AU1090" s="70"/>
      <c r="AV1090" s="70"/>
      <c r="AW1090" s="70"/>
      <c r="AX1090" s="70"/>
    </row>
    <row r="1091" ht="15.75" customHeight="1">
      <c r="A1091" s="68" t="s">
        <v>7785</v>
      </c>
      <c r="B1091" s="169" t="s">
        <v>7786</v>
      </c>
      <c r="C1091" s="28" t="s">
        <v>7793</v>
      </c>
      <c r="D1091" s="28" t="s">
        <v>7794</v>
      </c>
      <c r="E1091" s="28" t="s">
        <v>7795</v>
      </c>
      <c r="F1091" s="28"/>
      <c r="G1091" s="28"/>
      <c r="H1091" s="28"/>
      <c r="I1091" s="28"/>
      <c r="J1091" s="28"/>
      <c r="K1091" s="28"/>
      <c r="L1091" s="28"/>
      <c r="M1091" s="28"/>
      <c r="N1091" s="28"/>
      <c r="O1091" s="67"/>
      <c r="P1091" s="289" t="s">
        <v>145</v>
      </c>
      <c r="Q1091" s="289" t="s">
        <v>145</v>
      </c>
      <c r="R1091" s="67"/>
      <c r="S1091" s="67"/>
      <c r="T1091" s="67"/>
      <c r="U1091" s="67"/>
      <c r="V1091" s="67"/>
      <c r="W1091" s="67"/>
      <c r="X1091" s="67"/>
      <c r="Y1091" s="67"/>
      <c r="Z1091" s="67"/>
      <c r="AA1091" s="67"/>
      <c r="AB1091" s="67"/>
      <c r="AC1091" s="67"/>
      <c r="AD1091" s="67"/>
      <c r="AE1091" s="67"/>
      <c r="AF1091" s="67"/>
      <c r="AG1091" s="67"/>
      <c r="AH1091" s="67"/>
      <c r="AI1091" s="67"/>
      <c r="AJ1091" s="67"/>
      <c r="AK1091" s="67"/>
      <c r="AL1091" s="67"/>
      <c r="AM1091" s="67"/>
      <c r="AN1091" s="67"/>
      <c r="AO1091" s="70"/>
      <c r="AP1091" s="70"/>
      <c r="AQ1091" s="70"/>
      <c r="AR1091" s="70"/>
      <c r="AS1091" s="70"/>
      <c r="AT1091" s="70"/>
      <c r="AU1091" s="70"/>
      <c r="AV1091" s="70"/>
      <c r="AW1091" s="70"/>
      <c r="AX1091" s="70"/>
    </row>
    <row r="1092" ht="15.75" customHeight="1">
      <c r="A1092" s="140" t="s">
        <v>237</v>
      </c>
      <c r="B1092" s="191" t="s">
        <v>7162</v>
      </c>
      <c r="C1092" s="28"/>
      <c r="D1092" s="28"/>
      <c r="E1092" s="28"/>
      <c r="F1092" s="28"/>
      <c r="G1092" s="28"/>
      <c r="H1092" s="28"/>
      <c r="I1092" s="28"/>
      <c r="J1092" s="28"/>
      <c r="K1092" s="28"/>
      <c r="L1092" s="28"/>
      <c r="M1092" s="28"/>
      <c r="N1092" s="28"/>
      <c r="O1092" s="139"/>
      <c r="P1092" s="139" t="s">
        <v>145</v>
      </c>
      <c r="Q1092" s="139"/>
      <c r="R1092" s="139"/>
      <c r="S1092" s="139"/>
      <c r="T1092" s="139"/>
      <c r="U1092" s="139"/>
      <c r="V1092" s="139"/>
      <c r="W1092" s="139"/>
      <c r="X1092" s="139"/>
      <c r="Y1092" s="139"/>
      <c r="Z1092" s="139"/>
      <c r="AA1092" s="139"/>
      <c r="AB1092" s="139"/>
      <c r="AC1092" s="139"/>
      <c r="AD1092" s="67"/>
      <c r="AE1092" s="67"/>
      <c r="AF1092" s="67"/>
      <c r="AG1092" s="67"/>
      <c r="AH1092" s="67"/>
      <c r="AI1092" s="67"/>
      <c r="AJ1092" s="67"/>
      <c r="AK1092" s="67"/>
      <c r="AL1092" s="67"/>
      <c r="AM1092" s="67"/>
      <c r="AN1092" s="67"/>
      <c r="AO1092" s="70"/>
      <c r="AP1092" s="70"/>
      <c r="AQ1092" s="70"/>
      <c r="AR1092" s="70"/>
      <c r="AS1092" s="70"/>
      <c r="AT1092" s="70"/>
      <c r="AU1092" s="70"/>
      <c r="AV1092" s="70"/>
      <c r="AW1092" s="70"/>
      <c r="AX1092" s="70"/>
    </row>
    <row r="1093" ht="15.75" customHeight="1">
      <c r="A1093" s="65" t="s">
        <v>134</v>
      </c>
      <c r="B1093" s="66" t="s">
        <v>7796</v>
      </c>
      <c r="C1093" s="28"/>
      <c r="D1093" s="28"/>
      <c r="E1093" s="28"/>
      <c r="F1093" s="28"/>
      <c r="G1093" s="28"/>
      <c r="H1093" s="28"/>
      <c r="I1093" s="28"/>
      <c r="J1093" s="28"/>
      <c r="K1093" s="28"/>
      <c r="L1093" s="28"/>
      <c r="M1093" s="28"/>
      <c r="N1093" s="28"/>
      <c r="O1093" s="190"/>
      <c r="P1093" s="139" t="s">
        <v>145</v>
      </c>
      <c r="Q1093" s="139"/>
      <c r="R1093" s="139"/>
      <c r="S1093" s="139"/>
      <c r="T1093" s="65" t="s">
        <v>139</v>
      </c>
      <c r="U1093" s="139"/>
      <c r="V1093" s="139"/>
      <c r="W1093" s="139"/>
      <c r="X1093" s="139"/>
      <c r="Y1093" s="139"/>
      <c r="Z1093" s="139"/>
      <c r="AA1093" s="139"/>
      <c r="AB1093" s="139"/>
      <c r="AC1093" s="139"/>
      <c r="AD1093" s="139"/>
      <c r="AE1093" s="139"/>
      <c r="AF1093" s="139"/>
      <c r="AG1093" s="139"/>
      <c r="AH1093" s="139"/>
      <c r="AI1093" s="139"/>
      <c r="AJ1093" s="139"/>
      <c r="AK1093" s="139"/>
      <c r="AL1093" s="139"/>
      <c r="AM1093" s="139"/>
      <c r="AN1093" s="139"/>
      <c r="AO1093" s="70"/>
      <c r="AP1093" s="70"/>
      <c r="AQ1093" s="70"/>
      <c r="AR1093" s="70"/>
      <c r="AS1093" s="70"/>
      <c r="AT1093" s="70"/>
      <c r="AU1093" s="70"/>
      <c r="AV1093" s="70"/>
      <c r="AW1093" s="70"/>
      <c r="AX1093" s="70"/>
    </row>
    <row r="1094" ht="15.75" customHeight="1">
      <c r="A1094" s="65" t="s">
        <v>78</v>
      </c>
      <c r="B1094" s="272" t="s">
        <v>7797</v>
      </c>
      <c r="C1094" s="28"/>
      <c r="D1094" s="28"/>
      <c r="E1094" s="28"/>
      <c r="F1094" s="28"/>
      <c r="G1094" s="28"/>
      <c r="H1094" s="28"/>
      <c r="I1094" s="28"/>
      <c r="J1094" s="28"/>
      <c r="K1094" s="28"/>
      <c r="L1094" s="28"/>
      <c r="M1094" s="28"/>
      <c r="N1094" s="28"/>
      <c r="O1094" s="370"/>
      <c r="P1094" s="370" t="s">
        <v>145</v>
      </c>
      <c r="Q1094" s="370"/>
      <c r="R1094" s="370"/>
      <c r="S1094" s="370"/>
      <c r="T1094" s="371" t="s">
        <v>10662</v>
      </c>
      <c r="U1094" s="370"/>
      <c r="V1094" s="370"/>
      <c r="W1094" s="370"/>
      <c r="X1094" s="370"/>
      <c r="Y1094" s="370"/>
      <c r="Z1094" s="370"/>
      <c r="AA1094" s="370"/>
      <c r="AB1094" s="370"/>
      <c r="AC1094" s="370"/>
      <c r="AD1094" s="370"/>
      <c r="AE1094" s="370"/>
      <c r="AF1094" s="370"/>
      <c r="AG1094" s="370"/>
      <c r="AH1094" s="370"/>
      <c r="AI1094" s="370"/>
      <c r="AJ1094" s="370"/>
      <c r="AK1094" s="370"/>
      <c r="AL1094" s="370"/>
      <c r="AM1094" s="370"/>
      <c r="AN1094" s="370"/>
      <c r="AO1094" s="370"/>
      <c r="AP1094" s="370"/>
      <c r="AQ1094" s="370"/>
      <c r="AR1094" s="370"/>
      <c r="AS1094" s="370"/>
      <c r="AT1094" s="370"/>
      <c r="AU1094" s="370"/>
      <c r="AV1094" s="370"/>
      <c r="AW1094" s="370"/>
      <c r="AX1094" s="370"/>
    </row>
    <row r="1095" ht="15.75" customHeight="1">
      <c r="A1095" s="140" t="s">
        <v>237</v>
      </c>
      <c r="B1095" s="191" t="s">
        <v>7134</v>
      </c>
      <c r="C1095" s="28" t="s">
        <v>7135</v>
      </c>
      <c r="D1095" s="28"/>
      <c r="E1095" s="28"/>
      <c r="F1095" s="28"/>
      <c r="G1095" s="28"/>
      <c r="H1095" s="28"/>
      <c r="I1095" s="28"/>
      <c r="J1095" s="28"/>
      <c r="K1095" s="28"/>
      <c r="L1095" s="28"/>
      <c r="M1095" s="28"/>
      <c r="N1095" s="28"/>
      <c r="O1095" s="139"/>
      <c r="P1095" s="139" t="s">
        <v>145</v>
      </c>
      <c r="Q1095" s="139"/>
      <c r="R1095" s="139"/>
      <c r="S1095" s="139"/>
      <c r="T1095" s="139"/>
      <c r="U1095" s="139"/>
      <c r="V1095" s="139"/>
      <c r="W1095" s="139"/>
      <c r="X1095" s="139"/>
      <c r="Y1095" s="139"/>
      <c r="Z1095" s="139"/>
      <c r="AA1095" s="139"/>
      <c r="AB1095" s="139"/>
      <c r="AC1095" s="139"/>
      <c r="AD1095" s="139"/>
      <c r="AE1095" s="139"/>
      <c r="AF1095" s="139"/>
      <c r="AG1095" s="139"/>
      <c r="AH1095" s="139"/>
      <c r="AI1095" s="139"/>
      <c r="AJ1095" s="139"/>
      <c r="AK1095" s="139"/>
      <c r="AL1095" s="139"/>
      <c r="AM1095" s="139"/>
      <c r="AN1095" s="139"/>
      <c r="AO1095" s="70"/>
      <c r="AP1095" s="70"/>
      <c r="AQ1095" s="70"/>
      <c r="AR1095" s="70"/>
      <c r="AS1095" s="70"/>
      <c r="AT1095" s="70"/>
      <c r="AU1095" s="70"/>
      <c r="AV1095" s="70"/>
      <c r="AW1095" s="70"/>
      <c r="AX1095" s="70"/>
    </row>
    <row r="1096" ht="15.75" customHeight="1">
      <c r="A1096" s="58" t="s">
        <v>237</v>
      </c>
      <c r="B1096" s="58" t="s">
        <v>608</v>
      </c>
      <c r="C1096" s="28" t="s">
        <v>609</v>
      </c>
      <c r="D1096" s="28"/>
      <c r="E1096" s="28"/>
      <c r="F1096" s="28"/>
      <c r="G1096" s="28"/>
      <c r="H1096" s="28"/>
      <c r="I1096" s="28"/>
      <c r="J1096" s="28"/>
      <c r="K1096" s="28"/>
      <c r="L1096" s="28"/>
      <c r="M1096" s="28"/>
      <c r="N1096" s="28"/>
      <c r="O1096" s="24"/>
      <c r="P1096" s="24"/>
      <c r="Q1096" s="24"/>
      <c r="R1096" s="24"/>
      <c r="S1096" s="24"/>
      <c r="T1096" s="24"/>
      <c r="U1096" s="24"/>
      <c r="V1096" s="24"/>
      <c r="W1096" s="24"/>
      <c r="X1096" s="24"/>
      <c r="Y1096" s="24"/>
      <c r="Z1096" s="24"/>
      <c r="AA1096" s="24"/>
      <c r="AB1096" s="24"/>
      <c r="AC1096" s="24"/>
      <c r="AD1096" s="24"/>
      <c r="AE1096" s="24"/>
      <c r="AF1096" s="24"/>
      <c r="AG1096" s="24"/>
      <c r="AH1096" s="24"/>
      <c r="AI1096" s="24"/>
      <c r="AJ1096" s="24"/>
      <c r="AK1096" s="24"/>
      <c r="AL1096" s="24"/>
      <c r="AM1096" s="24"/>
      <c r="AN1096" s="24"/>
      <c r="AO1096" s="24"/>
      <c r="AP1096" s="24"/>
      <c r="AQ1096" s="24"/>
      <c r="AR1096" s="24"/>
      <c r="AS1096" s="24"/>
      <c r="AT1096" s="24"/>
      <c r="AU1096" s="24"/>
      <c r="AV1096" s="24"/>
      <c r="AW1096" s="24"/>
      <c r="AX1096" s="24"/>
    </row>
    <row r="1097" ht="15.75" customHeight="1">
      <c r="A1097" s="65" t="s">
        <v>134</v>
      </c>
      <c r="B1097" s="66" t="s">
        <v>7803</v>
      </c>
      <c r="C1097" s="28"/>
      <c r="D1097" s="28"/>
      <c r="E1097" s="28"/>
      <c r="F1097" s="28"/>
      <c r="G1097" s="28"/>
      <c r="H1097" s="28"/>
      <c r="I1097" s="28"/>
      <c r="J1097" s="28"/>
      <c r="K1097" s="28"/>
      <c r="L1097" s="28"/>
      <c r="M1097" s="28"/>
      <c r="N1097" s="28"/>
      <c r="O1097" s="67"/>
      <c r="P1097" s="68"/>
      <c r="Q1097" s="68"/>
      <c r="R1097" s="67"/>
      <c r="S1097" s="67"/>
      <c r="T1097" s="65" t="s">
        <v>139</v>
      </c>
      <c r="U1097" s="67"/>
      <c r="V1097" s="67"/>
      <c r="W1097" s="67"/>
      <c r="X1097" s="67"/>
      <c r="Y1097" s="67"/>
      <c r="Z1097" s="67"/>
      <c r="AA1097" s="67"/>
      <c r="AB1097" s="67"/>
      <c r="AC1097" s="67"/>
      <c r="AD1097" s="67"/>
      <c r="AE1097" s="67"/>
      <c r="AF1097" s="67"/>
      <c r="AG1097" s="67"/>
      <c r="AH1097" s="67"/>
      <c r="AI1097" s="67"/>
      <c r="AJ1097" s="67"/>
      <c r="AK1097" s="67"/>
      <c r="AL1097" s="67"/>
      <c r="AM1097" s="67"/>
      <c r="AN1097" s="67"/>
      <c r="AO1097" s="67"/>
      <c r="AP1097" s="67"/>
      <c r="AQ1097" s="67"/>
      <c r="AR1097" s="67"/>
      <c r="AS1097" s="67"/>
      <c r="AT1097" s="67"/>
      <c r="AU1097" s="67"/>
      <c r="AV1097" s="67"/>
      <c r="AW1097" s="67"/>
      <c r="AX1097" s="67"/>
    </row>
    <row r="1098" ht="15.75" customHeight="1">
      <c r="A1098" s="58" t="s">
        <v>78</v>
      </c>
      <c r="B1098" s="272" t="s">
        <v>7807</v>
      </c>
      <c r="C1098" s="28"/>
      <c r="D1098" s="28"/>
      <c r="E1098" s="28"/>
      <c r="F1098" s="28"/>
      <c r="G1098" s="28"/>
      <c r="H1098" s="28"/>
      <c r="I1098" s="28"/>
      <c r="J1098" s="28"/>
      <c r="K1098" s="28"/>
      <c r="L1098" s="28"/>
      <c r="M1098" s="28"/>
      <c r="N1098" s="28"/>
      <c r="O1098" s="24"/>
      <c r="P1098" s="24"/>
      <c r="Q1098" s="24"/>
      <c r="R1098" s="24"/>
      <c r="S1098" s="24"/>
      <c r="T1098" s="371" t="s">
        <v>10663</v>
      </c>
      <c r="U1098" s="24"/>
      <c r="V1098" s="24"/>
      <c r="W1098" s="24"/>
      <c r="X1098" s="24"/>
      <c r="Y1098" s="24"/>
      <c r="Z1098" s="24"/>
      <c r="AA1098" s="24"/>
      <c r="AB1098" s="24"/>
      <c r="AC1098" s="24"/>
      <c r="AD1098" s="24"/>
      <c r="AE1098" s="24"/>
      <c r="AF1098" s="24"/>
      <c r="AG1098" s="24"/>
      <c r="AH1098" s="24"/>
      <c r="AI1098" s="24"/>
      <c r="AJ1098" s="24"/>
      <c r="AK1098" s="24"/>
      <c r="AL1098" s="24"/>
      <c r="AM1098" s="24"/>
      <c r="AN1098" s="24"/>
      <c r="AO1098" s="24"/>
      <c r="AP1098" s="24"/>
      <c r="AQ1098" s="24"/>
      <c r="AR1098" s="24"/>
      <c r="AS1098" s="24"/>
      <c r="AT1098" s="24"/>
      <c r="AU1098" s="24"/>
      <c r="AV1098" s="24"/>
      <c r="AW1098" s="24"/>
      <c r="AX1098" s="24"/>
    </row>
    <row r="1099" ht="15.75" customHeight="1">
      <c r="A1099" s="24"/>
      <c r="B1099" s="24"/>
      <c r="C1099" s="28"/>
      <c r="D1099" s="28"/>
      <c r="E1099" s="28"/>
      <c r="F1099" s="28"/>
      <c r="G1099" s="28"/>
      <c r="H1099" s="28"/>
      <c r="I1099" s="28"/>
      <c r="J1099" s="28"/>
      <c r="K1099" s="28"/>
      <c r="L1099" s="28"/>
      <c r="M1099" s="28"/>
      <c r="N1099" s="28"/>
      <c r="O1099" s="24"/>
      <c r="P1099" s="24"/>
      <c r="Q1099" s="24"/>
      <c r="R1099" s="24"/>
      <c r="S1099" s="24"/>
      <c r="T1099" s="24"/>
      <c r="U1099" s="24"/>
      <c r="V1099" s="24"/>
      <c r="W1099" s="24"/>
      <c r="X1099" s="24"/>
      <c r="Y1099" s="24"/>
      <c r="Z1099" s="24"/>
      <c r="AA1099" s="24"/>
      <c r="AB1099" s="24"/>
      <c r="AC1099" s="24"/>
      <c r="AD1099" s="24"/>
      <c r="AE1099" s="24"/>
      <c r="AF1099" s="24"/>
      <c r="AG1099" s="24"/>
      <c r="AH1099" s="24"/>
      <c r="AI1099" s="24"/>
      <c r="AJ1099" s="24"/>
      <c r="AK1099" s="24"/>
      <c r="AL1099" s="24"/>
      <c r="AM1099" s="24"/>
      <c r="AN1099" s="24"/>
      <c r="AO1099" s="24"/>
      <c r="AP1099" s="24"/>
      <c r="AQ1099" s="24"/>
      <c r="AR1099" s="24"/>
      <c r="AS1099" s="24"/>
      <c r="AT1099" s="24"/>
      <c r="AU1099" s="24"/>
      <c r="AV1099" s="24"/>
      <c r="AW1099" s="24"/>
      <c r="AX1099" s="24"/>
    </row>
    <row r="1100" ht="15.75" customHeight="1">
      <c r="A1100" s="90" t="s">
        <v>134</v>
      </c>
      <c r="B1100" s="92" t="s">
        <v>7815</v>
      </c>
      <c r="C1100" s="28"/>
      <c r="D1100" s="28"/>
      <c r="E1100" s="28"/>
      <c r="F1100" s="28"/>
      <c r="G1100" s="28"/>
      <c r="H1100" s="28"/>
      <c r="I1100" s="28"/>
      <c r="J1100" s="28"/>
      <c r="K1100" s="28"/>
      <c r="L1100" s="28"/>
      <c r="M1100" s="28"/>
      <c r="N1100" s="28"/>
      <c r="O1100" s="96"/>
      <c r="P1100" s="96"/>
      <c r="Q1100" s="96"/>
      <c r="R1100" s="96"/>
      <c r="S1100" s="96"/>
      <c r="T1100" s="178" t="s">
        <v>139</v>
      </c>
      <c r="U1100" s="96"/>
      <c r="V1100" s="96"/>
      <c r="W1100" s="96"/>
      <c r="X1100" s="96"/>
      <c r="Y1100" s="96"/>
      <c r="Z1100" s="96"/>
      <c r="AA1100" s="96"/>
      <c r="AB1100" s="96"/>
      <c r="AC1100" s="96"/>
      <c r="AD1100" s="70"/>
      <c r="AE1100" s="70"/>
      <c r="AF1100" s="70"/>
      <c r="AG1100" s="70"/>
      <c r="AH1100" s="70"/>
      <c r="AI1100" s="70"/>
      <c r="AJ1100" s="70"/>
      <c r="AK1100" s="70"/>
      <c r="AL1100" s="70"/>
      <c r="AM1100" s="70"/>
      <c r="AN1100" s="70"/>
      <c r="AO1100" s="70"/>
      <c r="AP1100" s="70"/>
      <c r="AQ1100" s="70"/>
      <c r="AR1100" s="70"/>
      <c r="AS1100" s="70"/>
      <c r="AT1100" s="70"/>
      <c r="AU1100" s="70"/>
      <c r="AV1100" s="70"/>
      <c r="AW1100" s="70"/>
      <c r="AX1100" s="70"/>
    </row>
    <row r="1101" ht="15.75" customHeight="1">
      <c r="A1101" s="58" t="s">
        <v>131</v>
      </c>
      <c r="B1101" s="58" t="s">
        <v>7819</v>
      </c>
      <c r="C1101" s="28" t="s">
        <v>7820</v>
      </c>
      <c r="D1101" s="28"/>
      <c r="E1101" s="28"/>
      <c r="F1101" s="28"/>
      <c r="G1101" s="28"/>
      <c r="H1101" s="28"/>
      <c r="I1101" s="28"/>
      <c r="J1101" s="28"/>
      <c r="K1101" s="28"/>
      <c r="L1101" s="28"/>
      <c r="M1101" s="28"/>
      <c r="N1101" s="28"/>
      <c r="O1101" s="58" t="s">
        <v>10664</v>
      </c>
      <c r="P1101" s="24"/>
      <c r="Q1101" s="24"/>
      <c r="R1101" s="24"/>
      <c r="S1101" s="24"/>
      <c r="T1101" s="24"/>
      <c r="U1101" s="24"/>
      <c r="V1101" s="24"/>
      <c r="W1101" s="24"/>
      <c r="X1101" s="24"/>
      <c r="Y1101" s="24"/>
      <c r="Z1101" s="24"/>
      <c r="AA1101" s="24"/>
      <c r="AB1101" s="24"/>
      <c r="AC1101" s="24"/>
      <c r="AD1101" s="24"/>
      <c r="AE1101" s="24"/>
      <c r="AF1101" s="24"/>
      <c r="AG1101" s="24"/>
      <c r="AH1101" s="24"/>
      <c r="AI1101" s="24"/>
      <c r="AJ1101" s="24"/>
      <c r="AK1101" s="24"/>
      <c r="AL1101" s="24"/>
      <c r="AM1101" s="24"/>
      <c r="AN1101" s="24"/>
      <c r="AO1101" s="24"/>
      <c r="AP1101" s="24"/>
      <c r="AQ1101" s="24"/>
      <c r="AR1101" s="24"/>
      <c r="AS1101" s="24"/>
      <c r="AT1101" s="24"/>
      <c r="AU1101" s="24"/>
      <c r="AV1101" s="24"/>
      <c r="AW1101" s="24"/>
      <c r="AX1101" s="24"/>
    </row>
    <row r="1102" ht="15.75" customHeight="1">
      <c r="A1102" s="166" t="s">
        <v>41</v>
      </c>
      <c r="B1102" s="299" t="s">
        <v>7821</v>
      </c>
      <c r="C1102" s="28" t="s">
        <v>7825</v>
      </c>
      <c r="D1102" s="28" t="s">
        <v>7825</v>
      </c>
      <c r="E1102" s="28" t="s">
        <v>7825</v>
      </c>
      <c r="F1102" s="28"/>
      <c r="G1102" s="28"/>
      <c r="H1102" s="28"/>
      <c r="I1102" s="28"/>
      <c r="J1102" s="28"/>
      <c r="K1102" s="28"/>
      <c r="L1102" s="28"/>
      <c r="M1102" s="28"/>
      <c r="N1102" s="28"/>
      <c r="O1102" s="126"/>
      <c r="P1102" s="126"/>
      <c r="Q1102" s="126"/>
      <c r="R1102" s="126"/>
      <c r="S1102" s="126"/>
      <c r="T1102" s="126"/>
      <c r="U1102" s="126"/>
      <c r="V1102" s="126"/>
      <c r="W1102" s="126"/>
      <c r="X1102" s="126"/>
      <c r="Y1102" s="126"/>
      <c r="Z1102" s="126"/>
      <c r="AA1102" s="126"/>
      <c r="AB1102" s="126"/>
      <c r="AC1102" s="126"/>
      <c r="AD1102" s="70"/>
      <c r="AE1102" s="70"/>
      <c r="AF1102" s="70"/>
      <c r="AG1102" s="70"/>
      <c r="AH1102" s="70"/>
      <c r="AI1102" s="70"/>
      <c r="AJ1102" s="70"/>
      <c r="AK1102" s="70"/>
      <c r="AL1102" s="70"/>
      <c r="AM1102" s="70"/>
      <c r="AN1102" s="70"/>
      <c r="AO1102" s="70"/>
      <c r="AP1102" s="70"/>
      <c r="AQ1102" s="70"/>
      <c r="AR1102" s="70"/>
      <c r="AS1102" s="70"/>
      <c r="AT1102" s="70"/>
      <c r="AU1102" s="70"/>
      <c r="AV1102" s="70"/>
      <c r="AW1102" s="70"/>
      <c r="AX1102" s="70"/>
    </row>
    <row r="1103" ht="15.75" customHeight="1">
      <c r="A1103" s="90" t="s">
        <v>134</v>
      </c>
      <c r="B1103" s="92" t="s">
        <v>7828</v>
      </c>
      <c r="C1103" s="28"/>
      <c r="D1103" s="28"/>
      <c r="E1103" s="28"/>
      <c r="F1103" s="28"/>
      <c r="G1103" s="28"/>
      <c r="H1103" s="28"/>
      <c r="I1103" s="28"/>
      <c r="J1103" s="28"/>
      <c r="K1103" s="28"/>
      <c r="L1103" s="28"/>
      <c r="M1103" s="28"/>
      <c r="N1103" s="28"/>
      <c r="O1103" s="96"/>
      <c r="P1103" s="96"/>
      <c r="Q1103" s="96"/>
      <c r="R1103" s="96"/>
      <c r="S1103" s="96"/>
      <c r="T1103" s="178" t="s">
        <v>139</v>
      </c>
      <c r="U1103" s="96"/>
      <c r="V1103" s="96"/>
      <c r="W1103" s="96"/>
      <c r="X1103" s="96"/>
      <c r="Y1103" s="96"/>
      <c r="Z1103" s="96"/>
      <c r="AA1103" s="96"/>
      <c r="AB1103" s="96"/>
      <c r="AC1103" s="96"/>
      <c r="AD1103" s="70"/>
      <c r="AE1103" s="70"/>
      <c r="AF1103" s="70"/>
      <c r="AG1103" s="70"/>
      <c r="AH1103" s="70"/>
      <c r="AI1103" s="70"/>
      <c r="AJ1103" s="70"/>
      <c r="AK1103" s="70"/>
      <c r="AL1103" s="70"/>
      <c r="AM1103" s="70"/>
      <c r="AN1103" s="70"/>
      <c r="AO1103" s="70"/>
      <c r="AP1103" s="70"/>
      <c r="AQ1103" s="70"/>
      <c r="AR1103" s="70"/>
      <c r="AS1103" s="70"/>
      <c r="AT1103" s="70"/>
      <c r="AU1103" s="70"/>
      <c r="AV1103" s="70"/>
      <c r="AW1103" s="70"/>
      <c r="AX1103" s="70"/>
    </row>
    <row r="1104" ht="15.75" customHeight="1">
      <c r="A1104" s="166" t="s">
        <v>41</v>
      </c>
      <c r="B1104" s="167" t="s">
        <v>7832</v>
      </c>
      <c r="C1104" s="28" t="s">
        <v>7836</v>
      </c>
      <c r="D1104" s="28" t="s">
        <v>7837</v>
      </c>
      <c r="E1104" s="28" t="s">
        <v>7838</v>
      </c>
      <c r="F1104" s="28"/>
      <c r="G1104" s="28"/>
      <c r="H1104" s="28"/>
      <c r="I1104" s="28"/>
      <c r="J1104" s="28"/>
      <c r="K1104" s="28"/>
      <c r="L1104" s="28"/>
      <c r="M1104" s="28"/>
      <c r="N1104" s="28"/>
      <c r="O1104" s="126"/>
      <c r="P1104" s="126"/>
      <c r="Q1104" s="126"/>
      <c r="R1104" s="126"/>
      <c r="S1104" s="126"/>
      <c r="T1104" s="126"/>
      <c r="U1104" s="126"/>
      <c r="V1104" s="126"/>
      <c r="W1104" s="126"/>
      <c r="X1104" s="126"/>
      <c r="Y1104" s="126"/>
      <c r="Z1104" s="126"/>
      <c r="AA1104" s="126"/>
      <c r="AB1104" s="126"/>
      <c r="AC1104" s="126"/>
      <c r="AD1104" s="139"/>
      <c r="AE1104" s="139"/>
      <c r="AF1104" s="139"/>
      <c r="AG1104" s="139"/>
      <c r="AH1104" s="139"/>
      <c r="AI1104" s="139"/>
      <c r="AJ1104" s="139"/>
      <c r="AK1104" s="139"/>
      <c r="AL1104" s="139"/>
      <c r="AM1104" s="139"/>
      <c r="AN1104" s="139"/>
      <c r="AO1104" s="70"/>
      <c r="AP1104" s="70"/>
      <c r="AQ1104" s="70"/>
      <c r="AR1104" s="70"/>
      <c r="AS1104" s="70"/>
      <c r="AT1104" s="70"/>
      <c r="AU1104" s="70"/>
      <c r="AV1104" s="70"/>
      <c r="AW1104" s="70"/>
      <c r="AX1104" s="70"/>
    </row>
    <row r="1105" ht="15.75" customHeight="1">
      <c r="A1105" s="68" t="s">
        <v>463</v>
      </c>
      <c r="B1105" s="169" t="s">
        <v>7839</v>
      </c>
      <c r="C1105" s="28" t="s">
        <v>7844</v>
      </c>
      <c r="D1105" s="28" t="s">
        <v>7845</v>
      </c>
      <c r="E1105" s="28" t="s">
        <v>7846</v>
      </c>
      <c r="F1105" s="28"/>
      <c r="G1105" s="28" t="s">
        <v>10665</v>
      </c>
      <c r="H1105" s="28" t="s">
        <v>10666</v>
      </c>
      <c r="I1105" s="28"/>
      <c r="J1105" s="28"/>
      <c r="K1105" s="28"/>
      <c r="L1105" s="28"/>
      <c r="M1105" s="28"/>
      <c r="N1105" s="28"/>
      <c r="O1105" s="67"/>
      <c r="P1105" s="67"/>
      <c r="Q1105" s="67" t="s">
        <v>145</v>
      </c>
      <c r="R1105" s="67"/>
      <c r="S1105" s="67"/>
      <c r="T1105" s="67"/>
      <c r="U1105" s="67"/>
      <c r="V1105" s="67"/>
      <c r="W1105" s="67"/>
      <c r="X1105" s="67"/>
      <c r="Y1105" s="67"/>
      <c r="Z1105" s="67"/>
      <c r="AA1105" s="67"/>
      <c r="AB1105" s="67"/>
      <c r="AC1105" s="67"/>
      <c r="AD1105" s="139"/>
      <c r="AE1105" s="139"/>
      <c r="AF1105" s="139"/>
      <c r="AG1105" s="139"/>
      <c r="AH1105" s="139"/>
      <c r="AI1105" s="139"/>
      <c r="AJ1105" s="139"/>
      <c r="AK1105" s="139"/>
      <c r="AL1105" s="139"/>
      <c r="AM1105" s="139"/>
      <c r="AN1105" s="139"/>
      <c r="AO1105" s="70"/>
      <c r="AP1105" s="70"/>
      <c r="AQ1105" s="70"/>
      <c r="AR1105" s="70"/>
      <c r="AS1105" s="70"/>
      <c r="AT1105" s="70"/>
      <c r="AU1105" s="70"/>
      <c r="AV1105" s="70"/>
      <c r="AW1105" s="70"/>
      <c r="AX1105" s="70"/>
    </row>
    <row r="1106" ht="15.75" customHeight="1">
      <c r="A1106" s="170" t="s">
        <v>263</v>
      </c>
      <c r="B1106" s="171" t="s">
        <v>7847</v>
      </c>
      <c r="C1106" s="28" t="s">
        <v>7851</v>
      </c>
      <c r="D1106" s="28" t="s">
        <v>7852</v>
      </c>
      <c r="E1106" s="28" t="s">
        <v>7853</v>
      </c>
      <c r="F1106" s="28"/>
      <c r="G1106" s="28"/>
      <c r="H1106" s="28"/>
      <c r="I1106" s="28"/>
      <c r="J1106" s="28"/>
      <c r="K1106" s="28" t="s">
        <v>687</v>
      </c>
      <c r="L1106" s="28" t="s">
        <v>10667</v>
      </c>
      <c r="M1106" s="28"/>
      <c r="N1106" s="28"/>
      <c r="O1106" s="173" t="s">
        <v>10668</v>
      </c>
      <c r="P1106" s="173"/>
      <c r="Q1106" s="173" t="s">
        <v>145</v>
      </c>
      <c r="R1106" s="173"/>
      <c r="S1106" s="173"/>
      <c r="T1106" s="173"/>
      <c r="U1106" s="173"/>
      <c r="V1106" s="173"/>
      <c r="W1106" s="173"/>
      <c r="X1106" s="173"/>
      <c r="Y1106" s="173"/>
      <c r="Z1106" s="173"/>
      <c r="AA1106" s="173"/>
      <c r="AB1106" s="173"/>
      <c r="AC1106" s="173"/>
      <c r="AD1106" s="139"/>
      <c r="AE1106" s="139"/>
      <c r="AF1106" s="139"/>
      <c r="AG1106" s="139"/>
      <c r="AH1106" s="139"/>
      <c r="AI1106" s="139"/>
      <c r="AJ1106" s="139"/>
      <c r="AK1106" s="139"/>
      <c r="AL1106" s="139"/>
      <c r="AM1106" s="139"/>
      <c r="AN1106" s="139"/>
      <c r="AO1106" s="70"/>
      <c r="AP1106" s="70"/>
      <c r="AQ1106" s="70"/>
      <c r="AR1106" s="70"/>
      <c r="AS1106" s="70"/>
      <c r="AT1106" s="70"/>
      <c r="AU1106" s="70"/>
      <c r="AV1106" s="70"/>
      <c r="AW1106" s="70"/>
      <c r="AX1106" s="70"/>
    </row>
    <row r="1107" ht="15.75" customHeight="1">
      <c r="A1107" s="174" t="s">
        <v>698</v>
      </c>
      <c r="B1107" s="175" t="s">
        <v>7854</v>
      </c>
      <c r="C1107" s="28" t="s">
        <v>7855</v>
      </c>
      <c r="D1107" s="28"/>
      <c r="E1107" s="28"/>
      <c r="F1107" s="28"/>
      <c r="G1107" s="28"/>
      <c r="H1107" s="28"/>
      <c r="I1107" s="28"/>
      <c r="J1107" s="28"/>
      <c r="K1107" s="28"/>
      <c r="L1107" s="28"/>
      <c r="M1107" s="28"/>
      <c r="N1107" s="28"/>
      <c r="O1107" s="177" t="s">
        <v>10668</v>
      </c>
      <c r="P1107" s="176"/>
      <c r="Q1107" s="176"/>
      <c r="R1107" s="176"/>
      <c r="S1107" s="176"/>
      <c r="T1107" s="176"/>
      <c r="U1107" s="175" t="s">
        <v>10669</v>
      </c>
      <c r="V1107" s="176"/>
      <c r="W1107" s="176"/>
      <c r="X1107" s="176"/>
      <c r="Y1107" s="176"/>
      <c r="Z1107" s="176"/>
      <c r="AA1107" s="176"/>
      <c r="AB1107" s="176"/>
      <c r="AC1107" s="176"/>
      <c r="AD1107" s="139"/>
      <c r="AE1107" s="139"/>
      <c r="AF1107" s="139"/>
      <c r="AG1107" s="139"/>
      <c r="AH1107" s="139"/>
      <c r="AI1107" s="139"/>
      <c r="AJ1107" s="139"/>
      <c r="AK1107" s="139"/>
      <c r="AL1107" s="139"/>
      <c r="AM1107" s="139"/>
      <c r="AN1107" s="139"/>
      <c r="AO1107" s="70"/>
      <c r="AP1107" s="70"/>
      <c r="AQ1107" s="70"/>
      <c r="AR1107" s="70"/>
      <c r="AS1107" s="70"/>
      <c r="AT1107" s="70"/>
      <c r="AU1107" s="70"/>
      <c r="AV1107" s="70"/>
      <c r="AW1107" s="70"/>
      <c r="AX1107" s="70"/>
    </row>
    <row r="1108" ht="15.75" customHeight="1">
      <c r="A1108" s="90" t="s">
        <v>78</v>
      </c>
      <c r="B1108" s="92" t="s">
        <v>7862</v>
      </c>
      <c r="C1108" s="28" t="s">
        <v>7864</v>
      </c>
      <c r="D1108" s="28"/>
      <c r="E1108" s="28"/>
      <c r="F1108" s="28"/>
      <c r="G1108" s="28"/>
      <c r="H1108" s="28"/>
      <c r="I1108" s="28"/>
      <c r="J1108" s="28"/>
      <c r="K1108" s="28"/>
      <c r="L1108" s="28"/>
      <c r="M1108" s="28"/>
      <c r="N1108" s="28"/>
      <c r="O1108" s="96"/>
      <c r="P1108" s="96"/>
      <c r="Q1108" s="96"/>
      <c r="R1108" s="96"/>
      <c r="S1108" s="96"/>
      <c r="T1108" s="178" t="s">
        <v>719</v>
      </c>
      <c r="U1108" s="96"/>
      <c r="V1108" s="96"/>
      <c r="W1108" s="96"/>
      <c r="X1108" s="96"/>
      <c r="Y1108" s="96"/>
      <c r="Z1108" s="96"/>
      <c r="AA1108" s="96"/>
      <c r="AB1108" s="96"/>
      <c r="AC1108" s="96"/>
      <c r="AD1108" s="70"/>
      <c r="AE1108" s="70"/>
      <c r="AF1108" s="70"/>
      <c r="AG1108" s="70"/>
      <c r="AH1108" s="70"/>
      <c r="AI1108" s="70"/>
      <c r="AJ1108" s="70"/>
      <c r="AK1108" s="70"/>
      <c r="AL1108" s="139"/>
      <c r="AM1108" s="139"/>
      <c r="AN1108" s="139"/>
      <c r="AO1108" s="70"/>
      <c r="AP1108" s="70"/>
      <c r="AQ1108" s="70"/>
      <c r="AR1108" s="70"/>
      <c r="AS1108" s="70"/>
      <c r="AT1108" s="70"/>
      <c r="AU1108" s="70"/>
      <c r="AV1108" s="70"/>
      <c r="AW1108" s="70"/>
      <c r="AX1108" s="70"/>
    </row>
    <row r="1109" ht="15.75" customHeight="1">
      <c r="A1109" s="90" t="s">
        <v>78</v>
      </c>
      <c r="B1109" s="92" t="s">
        <v>7869</v>
      </c>
      <c r="C1109" s="28"/>
      <c r="D1109" s="28"/>
      <c r="E1109" s="28"/>
      <c r="F1109" s="28"/>
      <c r="G1109" s="28"/>
      <c r="H1109" s="28"/>
      <c r="I1109" s="28"/>
      <c r="J1109" s="28"/>
      <c r="K1109" s="28"/>
      <c r="L1109" s="28"/>
      <c r="M1109" s="28"/>
      <c r="N1109" s="28"/>
      <c r="O1109" s="96"/>
      <c r="P1109" s="96"/>
      <c r="Q1109" s="96"/>
      <c r="R1109" s="96"/>
      <c r="S1109" s="96"/>
      <c r="T1109" s="178" t="s">
        <v>10670</v>
      </c>
      <c r="U1109" s="96"/>
      <c r="V1109" s="96"/>
      <c r="W1109" s="96"/>
      <c r="X1109" s="96"/>
      <c r="Y1109" s="96"/>
      <c r="Z1109" s="96"/>
      <c r="AA1109" s="96"/>
      <c r="AB1109" s="96"/>
      <c r="AC1109" s="96"/>
      <c r="AD1109" s="70"/>
      <c r="AE1109" s="70"/>
      <c r="AF1109" s="70"/>
      <c r="AG1109" s="70"/>
      <c r="AH1109" s="70"/>
      <c r="AI1109" s="70"/>
      <c r="AJ1109" s="70"/>
      <c r="AK1109" s="70"/>
      <c r="AL1109" s="139"/>
      <c r="AM1109" s="139"/>
      <c r="AN1109" s="139"/>
      <c r="AO1109" s="70"/>
      <c r="AP1109" s="70"/>
      <c r="AQ1109" s="70"/>
      <c r="AR1109" s="70"/>
      <c r="AS1109" s="70"/>
      <c r="AT1109" s="70"/>
      <c r="AU1109" s="70"/>
      <c r="AV1109" s="70"/>
      <c r="AW1109" s="70"/>
      <c r="AX1109" s="70"/>
    </row>
    <row r="1110" ht="15.75" customHeight="1">
      <c r="A1110" s="90" t="s">
        <v>78</v>
      </c>
      <c r="B1110" s="92" t="s">
        <v>7876</v>
      </c>
      <c r="C1110" s="28"/>
      <c r="D1110" s="28"/>
      <c r="E1110" s="28"/>
      <c r="F1110" s="28"/>
      <c r="G1110" s="28"/>
      <c r="H1110" s="28"/>
      <c r="I1110" s="28"/>
      <c r="J1110" s="28"/>
      <c r="K1110" s="28"/>
      <c r="L1110" s="28"/>
      <c r="M1110" s="28"/>
      <c r="N1110" s="28"/>
      <c r="O1110" s="96"/>
      <c r="P1110" s="96"/>
      <c r="Q1110" s="96"/>
      <c r="R1110" s="96"/>
      <c r="S1110" s="96"/>
      <c r="T1110" s="178" t="s">
        <v>10671</v>
      </c>
      <c r="U1110" s="96"/>
      <c r="V1110" s="96"/>
      <c r="W1110" s="96"/>
      <c r="X1110" s="96"/>
      <c r="Y1110" s="96"/>
      <c r="Z1110" s="96"/>
      <c r="AA1110" s="96"/>
      <c r="AB1110" s="96"/>
      <c r="AC1110" s="96"/>
      <c r="AD1110" s="70"/>
      <c r="AE1110" s="70"/>
      <c r="AF1110" s="70"/>
      <c r="AG1110" s="70"/>
      <c r="AH1110" s="70"/>
      <c r="AI1110" s="70"/>
      <c r="AJ1110" s="70"/>
      <c r="AK1110" s="70"/>
      <c r="AL1110" s="139"/>
      <c r="AM1110" s="139"/>
      <c r="AN1110" s="139"/>
      <c r="AO1110" s="70"/>
      <c r="AP1110" s="70"/>
      <c r="AQ1110" s="70"/>
      <c r="AR1110" s="70"/>
      <c r="AS1110" s="70"/>
      <c r="AT1110" s="70"/>
      <c r="AU1110" s="70"/>
      <c r="AV1110" s="70"/>
      <c r="AW1110" s="70"/>
      <c r="AX1110" s="70"/>
    </row>
    <row r="1111" ht="15.75" customHeight="1">
      <c r="A1111" s="90" t="s">
        <v>78</v>
      </c>
      <c r="B1111" s="92" t="s">
        <v>7880</v>
      </c>
      <c r="C1111" s="28"/>
      <c r="D1111" s="28"/>
      <c r="E1111" s="28"/>
      <c r="F1111" s="28"/>
      <c r="G1111" s="28"/>
      <c r="H1111" s="28"/>
      <c r="I1111" s="28"/>
      <c r="J1111" s="28"/>
      <c r="K1111" s="28"/>
      <c r="L1111" s="28"/>
      <c r="M1111" s="28"/>
      <c r="N1111" s="28"/>
      <c r="O1111" s="96"/>
      <c r="P1111" s="96"/>
      <c r="Q1111" s="96"/>
      <c r="R1111" s="96"/>
      <c r="S1111" s="96"/>
      <c r="T1111" s="178" t="s">
        <v>10672</v>
      </c>
      <c r="U1111" s="96"/>
      <c r="V1111" s="96"/>
      <c r="W1111" s="96"/>
      <c r="X1111" s="96"/>
      <c r="Y1111" s="96"/>
      <c r="Z1111" s="96"/>
      <c r="AA1111" s="96"/>
      <c r="AB1111" s="96"/>
      <c r="AC1111" s="96"/>
      <c r="AD1111" s="70"/>
      <c r="AE1111" s="70"/>
      <c r="AF1111" s="70"/>
      <c r="AG1111" s="70"/>
      <c r="AH1111" s="70"/>
      <c r="AI1111" s="70"/>
      <c r="AJ1111" s="70"/>
      <c r="AK1111" s="70"/>
      <c r="AL1111" s="139"/>
      <c r="AM1111" s="139"/>
      <c r="AN1111" s="139"/>
      <c r="AO1111" s="70"/>
      <c r="AP1111" s="70"/>
      <c r="AQ1111" s="70"/>
      <c r="AR1111" s="70"/>
      <c r="AS1111" s="70"/>
      <c r="AT1111" s="70"/>
      <c r="AU1111" s="70"/>
      <c r="AV1111" s="70"/>
      <c r="AW1111" s="70"/>
      <c r="AX1111" s="70"/>
    </row>
    <row r="1112" ht="15.75" customHeight="1">
      <c r="A1112" s="140" t="s">
        <v>131</v>
      </c>
      <c r="B1112" s="164" t="s">
        <v>7884</v>
      </c>
      <c r="C1112" s="28" t="s">
        <v>7885</v>
      </c>
      <c r="D1112" s="28"/>
      <c r="E1112" s="28"/>
      <c r="F1112" s="28"/>
      <c r="G1112" s="28"/>
      <c r="H1112" s="28"/>
      <c r="I1112" s="28"/>
      <c r="J1112" s="28" t="s">
        <v>931</v>
      </c>
      <c r="K1112" s="28"/>
      <c r="L1112" s="28"/>
      <c r="M1112" s="28"/>
      <c r="N1112" s="28"/>
      <c r="O1112" s="190"/>
      <c r="P1112" s="139"/>
      <c r="Q1112" s="139"/>
      <c r="R1112" s="139"/>
      <c r="S1112" s="139"/>
      <c r="T1112" s="139"/>
      <c r="U1112" s="139"/>
      <c r="V1112" s="139"/>
      <c r="W1112" s="139"/>
      <c r="X1112" s="139"/>
      <c r="Y1112" s="139"/>
      <c r="Z1112" s="139"/>
      <c r="AA1112" s="139"/>
      <c r="AB1112" s="139"/>
      <c r="AC1112" s="139"/>
      <c r="AD1112" s="70"/>
      <c r="AE1112" s="70"/>
      <c r="AF1112" s="70"/>
      <c r="AG1112" s="70"/>
      <c r="AH1112" s="70"/>
      <c r="AI1112" s="70"/>
      <c r="AJ1112" s="70"/>
      <c r="AK1112" s="70"/>
      <c r="AL1112" s="139"/>
      <c r="AM1112" s="139"/>
      <c r="AN1112" s="139"/>
      <c r="AO1112" s="70"/>
      <c r="AP1112" s="70"/>
      <c r="AQ1112" s="70"/>
      <c r="AR1112" s="70"/>
      <c r="AS1112" s="70"/>
      <c r="AT1112" s="70"/>
      <c r="AU1112" s="70"/>
      <c r="AV1112" s="70"/>
      <c r="AW1112" s="70"/>
      <c r="AX1112" s="70"/>
    </row>
    <row r="1113" ht="15.75" customHeight="1">
      <c r="A1113" s="179" t="s">
        <v>246</v>
      </c>
      <c r="B1113" s="180" t="s">
        <v>7889</v>
      </c>
      <c r="C1113" s="28" t="s">
        <v>7893</v>
      </c>
      <c r="D1113" s="28" t="s">
        <v>7894</v>
      </c>
      <c r="E1113" s="28" t="s">
        <v>7895</v>
      </c>
      <c r="F1113" s="28"/>
      <c r="G1113" s="28"/>
      <c r="H1113" s="28"/>
      <c r="I1113" s="28"/>
      <c r="J1113" s="28"/>
      <c r="K1113" s="28"/>
      <c r="L1113" s="28"/>
      <c r="M1113" s="28"/>
      <c r="N1113" s="28"/>
      <c r="O1113" s="181"/>
      <c r="P1113" s="181"/>
      <c r="Q1113" s="181" t="s">
        <v>145</v>
      </c>
      <c r="R1113" s="181"/>
      <c r="S1113" s="181"/>
      <c r="T1113" s="181"/>
      <c r="U1113" s="181"/>
      <c r="V1113" s="181"/>
      <c r="W1113" s="181"/>
      <c r="X1113" s="181"/>
      <c r="Y1113" s="181"/>
      <c r="Z1113" s="181"/>
      <c r="AA1113" s="181"/>
      <c r="AB1113" s="181"/>
      <c r="AC1113" s="181"/>
      <c r="AD1113" s="70"/>
      <c r="AE1113" s="70"/>
      <c r="AF1113" s="70"/>
      <c r="AG1113" s="70"/>
      <c r="AH1113" s="70"/>
      <c r="AI1113" s="70"/>
      <c r="AJ1113" s="70"/>
      <c r="AK1113" s="70"/>
      <c r="AL1113" s="139"/>
      <c r="AM1113" s="139"/>
      <c r="AN1113" s="139"/>
      <c r="AO1113" s="70"/>
      <c r="AP1113" s="70"/>
      <c r="AQ1113" s="70"/>
      <c r="AR1113" s="70"/>
      <c r="AS1113" s="70"/>
      <c r="AT1113" s="70"/>
      <c r="AU1113" s="70"/>
      <c r="AV1113" s="70"/>
      <c r="AW1113" s="70"/>
      <c r="AX1113" s="70"/>
    </row>
    <row r="1114" ht="15.75" customHeight="1">
      <c r="A1114" s="179" t="s">
        <v>246</v>
      </c>
      <c r="B1114" s="180" t="s">
        <v>7896</v>
      </c>
      <c r="C1114" s="28" t="s">
        <v>7903</v>
      </c>
      <c r="D1114" s="28" t="s">
        <v>7904</v>
      </c>
      <c r="E1114" s="28" t="s">
        <v>7905</v>
      </c>
      <c r="F1114" s="28"/>
      <c r="G1114" s="28"/>
      <c r="H1114" s="28"/>
      <c r="I1114" s="28"/>
      <c r="J1114" s="28"/>
      <c r="K1114" s="28"/>
      <c r="L1114" s="28"/>
      <c r="M1114" s="28"/>
      <c r="N1114" s="28"/>
      <c r="O1114" s="181"/>
      <c r="P1114" s="181"/>
      <c r="Q1114" s="181" t="s">
        <v>145</v>
      </c>
      <c r="R1114" s="181"/>
      <c r="S1114" s="181"/>
      <c r="T1114" s="181"/>
      <c r="U1114" s="181"/>
      <c r="V1114" s="181"/>
      <c r="W1114" s="181"/>
      <c r="X1114" s="181"/>
      <c r="Y1114" s="181"/>
      <c r="Z1114" s="181"/>
      <c r="AA1114" s="181"/>
      <c r="AB1114" s="181"/>
      <c r="AC1114" s="181"/>
      <c r="AD1114" s="70"/>
      <c r="AE1114" s="70"/>
      <c r="AF1114" s="70"/>
      <c r="AG1114" s="70"/>
      <c r="AH1114" s="70"/>
      <c r="AI1114" s="70"/>
      <c r="AJ1114" s="70"/>
      <c r="AK1114" s="70"/>
      <c r="AL1114" s="139"/>
      <c r="AM1114" s="139"/>
      <c r="AN1114" s="139"/>
      <c r="AO1114" s="70"/>
      <c r="AP1114" s="70"/>
      <c r="AQ1114" s="70"/>
      <c r="AR1114" s="70"/>
      <c r="AS1114" s="70"/>
      <c r="AT1114" s="70"/>
      <c r="AU1114" s="70"/>
      <c r="AV1114" s="70"/>
      <c r="AW1114" s="70"/>
      <c r="AX1114" s="70"/>
    </row>
    <row r="1115" ht="15.75" customHeight="1">
      <c r="A1115" s="140" t="s">
        <v>237</v>
      </c>
      <c r="B1115" s="191" t="s">
        <v>7884</v>
      </c>
      <c r="C1115" s="28"/>
      <c r="D1115" s="28"/>
      <c r="E1115" s="28"/>
      <c r="F1115" s="28"/>
      <c r="G1115" s="28"/>
      <c r="H1115" s="28"/>
      <c r="I1115" s="28"/>
      <c r="J1115" s="28"/>
      <c r="K1115" s="28"/>
      <c r="L1115" s="28"/>
      <c r="M1115" s="28"/>
      <c r="N1115" s="28"/>
      <c r="O1115" s="139"/>
      <c r="P1115" s="139"/>
      <c r="Q1115" s="139"/>
      <c r="R1115" s="139"/>
      <c r="S1115" s="139"/>
      <c r="T1115" s="139"/>
      <c r="U1115" s="139"/>
      <c r="V1115" s="139"/>
      <c r="W1115" s="139"/>
      <c r="X1115" s="139"/>
      <c r="Y1115" s="139"/>
      <c r="Z1115" s="139"/>
      <c r="AA1115" s="139"/>
      <c r="AB1115" s="139"/>
      <c r="AC1115" s="139"/>
      <c r="AD1115" s="70"/>
      <c r="AE1115" s="70"/>
      <c r="AF1115" s="70"/>
      <c r="AG1115" s="70"/>
      <c r="AH1115" s="70"/>
      <c r="AI1115" s="70"/>
      <c r="AJ1115" s="70"/>
      <c r="AK1115" s="70"/>
      <c r="AL1115" s="139"/>
      <c r="AM1115" s="139"/>
      <c r="AN1115" s="139"/>
      <c r="AO1115" s="70"/>
      <c r="AP1115" s="70"/>
      <c r="AQ1115" s="70"/>
      <c r="AR1115" s="70"/>
      <c r="AS1115" s="70"/>
      <c r="AT1115" s="70"/>
      <c r="AU1115" s="70"/>
      <c r="AV1115" s="70"/>
      <c r="AW1115" s="70"/>
      <c r="AX1115" s="70"/>
    </row>
    <row r="1116" ht="15.75" customHeight="1">
      <c r="A1116" s="90" t="s">
        <v>78</v>
      </c>
      <c r="B1116" s="92" t="s">
        <v>7906</v>
      </c>
      <c r="C1116" s="28"/>
      <c r="D1116" s="28"/>
      <c r="E1116" s="28"/>
      <c r="F1116" s="28"/>
      <c r="G1116" s="28"/>
      <c r="H1116" s="28"/>
      <c r="I1116" s="28"/>
      <c r="J1116" s="28"/>
      <c r="K1116" s="28"/>
      <c r="L1116" s="28"/>
      <c r="M1116" s="28"/>
      <c r="N1116" s="28"/>
      <c r="O1116" s="96"/>
      <c r="P1116" s="96"/>
      <c r="Q1116" s="96"/>
      <c r="R1116" s="96"/>
      <c r="S1116" s="96"/>
      <c r="T1116" s="178" t="s">
        <v>10673</v>
      </c>
      <c r="U1116" s="96"/>
      <c r="V1116" s="96"/>
      <c r="W1116" s="96"/>
      <c r="X1116" s="96"/>
      <c r="Y1116" s="96"/>
      <c r="Z1116" s="96"/>
      <c r="AA1116" s="96"/>
      <c r="AB1116" s="96"/>
      <c r="AC1116" s="96"/>
      <c r="AD1116" s="70"/>
      <c r="AE1116" s="70"/>
      <c r="AF1116" s="70"/>
      <c r="AG1116" s="70"/>
      <c r="AH1116" s="70"/>
      <c r="AI1116" s="70"/>
      <c r="AJ1116" s="70"/>
      <c r="AK1116" s="70"/>
      <c r="AL1116" s="139"/>
      <c r="AM1116" s="139"/>
      <c r="AN1116" s="139"/>
      <c r="AO1116" s="70"/>
      <c r="AP1116" s="70"/>
      <c r="AQ1116" s="70"/>
      <c r="AR1116" s="70"/>
      <c r="AS1116" s="70"/>
      <c r="AT1116" s="70"/>
      <c r="AU1116" s="70"/>
      <c r="AV1116" s="70"/>
      <c r="AW1116" s="70"/>
      <c r="AX1116" s="70"/>
    </row>
    <row r="1117" ht="15.75" customHeight="1">
      <c r="A1117" s="68" t="s">
        <v>7910</v>
      </c>
      <c r="B1117" s="169" t="s">
        <v>7911</v>
      </c>
      <c r="C1117" s="28" t="s">
        <v>7918</v>
      </c>
      <c r="D1117" s="28" t="s">
        <v>7919</v>
      </c>
      <c r="E1117" s="28" t="s">
        <v>7920</v>
      </c>
      <c r="F1117" s="28" t="s">
        <v>7285</v>
      </c>
      <c r="G1117" s="28" t="s">
        <v>7286</v>
      </c>
      <c r="H1117" s="28" t="s">
        <v>7288</v>
      </c>
      <c r="I1117" s="28"/>
      <c r="J1117" s="28"/>
      <c r="K1117" s="28"/>
      <c r="L1117" s="28"/>
      <c r="M1117" s="28"/>
      <c r="N1117" s="28"/>
      <c r="O1117" s="67"/>
      <c r="P1117" s="67"/>
      <c r="Q1117" s="67" t="s">
        <v>145</v>
      </c>
      <c r="R1117" s="67"/>
      <c r="S1117" s="67"/>
      <c r="T1117" s="67"/>
      <c r="U1117" s="67"/>
      <c r="V1117" s="67"/>
      <c r="W1117" s="67"/>
      <c r="X1117" s="67"/>
      <c r="Y1117" s="67"/>
      <c r="Z1117" s="67"/>
      <c r="AA1117" s="67"/>
      <c r="AB1117" s="67"/>
      <c r="AC1117" s="67"/>
      <c r="AD1117" s="70"/>
      <c r="AE1117" s="70"/>
      <c r="AF1117" s="70"/>
      <c r="AG1117" s="70"/>
      <c r="AH1117" s="70"/>
      <c r="AI1117" s="70"/>
      <c r="AJ1117" s="70"/>
      <c r="AK1117" s="70"/>
      <c r="AL1117" s="139"/>
      <c r="AM1117" s="139"/>
      <c r="AN1117" s="139"/>
      <c r="AO1117" s="70"/>
      <c r="AP1117" s="70"/>
      <c r="AQ1117" s="70"/>
      <c r="AR1117" s="70"/>
      <c r="AS1117" s="70"/>
      <c r="AT1117" s="70"/>
      <c r="AU1117" s="70"/>
      <c r="AV1117" s="70"/>
      <c r="AW1117" s="70"/>
      <c r="AX1117" s="70"/>
    </row>
    <row r="1118" ht="15.75" customHeight="1">
      <c r="A1118" s="68" t="s">
        <v>7921</v>
      </c>
      <c r="B1118" s="169" t="s">
        <v>7922</v>
      </c>
      <c r="C1118" s="28" t="s">
        <v>7926</v>
      </c>
      <c r="D1118" s="28" t="s">
        <v>7927</v>
      </c>
      <c r="E1118" s="28" t="s">
        <v>7928</v>
      </c>
      <c r="F1118" s="28"/>
      <c r="G1118" s="28"/>
      <c r="H1118" s="28"/>
      <c r="I1118" s="28"/>
      <c r="J1118" s="28"/>
      <c r="K1118" s="28"/>
      <c r="L1118" s="28"/>
      <c r="M1118" s="28"/>
      <c r="N1118" s="28"/>
      <c r="O1118" s="67"/>
      <c r="P1118" s="67"/>
      <c r="Q1118" s="67" t="s">
        <v>145</v>
      </c>
      <c r="R1118" s="67"/>
      <c r="S1118" s="67"/>
      <c r="T1118" s="67"/>
      <c r="U1118" s="67"/>
      <c r="V1118" s="67"/>
      <c r="W1118" s="67"/>
      <c r="X1118" s="67"/>
      <c r="Y1118" s="67"/>
      <c r="Z1118" s="67"/>
      <c r="AA1118" s="67"/>
      <c r="AB1118" s="67"/>
      <c r="AC1118" s="67"/>
      <c r="AD1118" s="70"/>
      <c r="AE1118" s="70"/>
      <c r="AF1118" s="70"/>
      <c r="AG1118" s="70"/>
      <c r="AH1118" s="70"/>
      <c r="AI1118" s="70"/>
      <c r="AJ1118" s="70"/>
      <c r="AK1118" s="70"/>
      <c r="AL1118" s="139"/>
      <c r="AM1118" s="139"/>
      <c r="AN1118" s="139"/>
      <c r="AO1118" s="70"/>
      <c r="AP1118" s="70"/>
      <c r="AQ1118" s="70"/>
      <c r="AR1118" s="70"/>
      <c r="AS1118" s="70"/>
      <c r="AT1118" s="70"/>
      <c r="AU1118" s="70"/>
      <c r="AV1118" s="70"/>
      <c r="AW1118" s="70"/>
      <c r="AX1118" s="70"/>
    </row>
    <row r="1119" ht="15.75" customHeight="1">
      <c r="A1119" s="170" t="s">
        <v>263</v>
      </c>
      <c r="B1119" s="171" t="s">
        <v>7929</v>
      </c>
      <c r="C1119" s="28" t="s">
        <v>7937</v>
      </c>
      <c r="D1119" s="28" t="s">
        <v>7938</v>
      </c>
      <c r="E1119" s="28" t="s">
        <v>7939</v>
      </c>
      <c r="F1119" s="28"/>
      <c r="G1119" s="28"/>
      <c r="H1119" s="28"/>
      <c r="I1119" s="28"/>
      <c r="J1119" s="28"/>
      <c r="K1119" s="28" t="s">
        <v>10569</v>
      </c>
      <c r="L1119" s="28"/>
      <c r="M1119" s="28"/>
      <c r="N1119" s="28"/>
      <c r="O1119" s="173"/>
      <c r="P1119" s="173"/>
      <c r="Q1119" s="173" t="s">
        <v>145</v>
      </c>
      <c r="R1119" s="173"/>
      <c r="S1119" s="173"/>
      <c r="T1119" s="173"/>
      <c r="U1119" s="173"/>
      <c r="V1119" s="173"/>
      <c r="W1119" s="173"/>
      <c r="X1119" s="173"/>
      <c r="Y1119" s="173"/>
      <c r="Z1119" s="173"/>
      <c r="AA1119" s="173"/>
      <c r="AB1119" s="173"/>
      <c r="AC1119" s="173"/>
      <c r="AD1119" s="70"/>
      <c r="AE1119" s="70"/>
      <c r="AF1119" s="70"/>
      <c r="AG1119" s="70"/>
      <c r="AH1119" s="70"/>
      <c r="AI1119" s="70"/>
      <c r="AJ1119" s="70"/>
      <c r="AK1119" s="70"/>
      <c r="AL1119" s="139"/>
      <c r="AM1119" s="139"/>
      <c r="AN1119" s="139"/>
      <c r="AO1119" s="70"/>
      <c r="AP1119" s="70"/>
      <c r="AQ1119" s="70"/>
      <c r="AR1119" s="70"/>
      <c r="AS1119" s="70"/>
      <c r="AT1119" s="70"/>
      <c r="AU1119" s="70"/>
      <c r="AV1119" s="70"/>
      <c r="AW1119" s="70"/>
      <c r="AX1119" s="70"/>
    </row>
    <row r="1120" ht="15.75" customHeight="1">
      <c r="A1120" s="174" t="s">
        <v>1015</v>
      </c>
      <c r="B1120" s="204" t="s">
        <v>7854</v>
      </c>
      <c r="C1120" s="28" t="s">
        <v>7855</v>
      </c>
      <c r="D1120" s="28"/>
      <c r="E1120" s="28"/>
      <c r="F1120" s="28"/>
      <c r="G1120" s="28"/>
      <c r="H1120" s="28"/>
      <c r="I1120" s="28"/>
      <c r="J1120" s="28"/>
      <c r="K1120" s="28"/>
      <c r="L1120" s="28"/>
      <c r="M1120" s="28"/>
      <c r="N1120" s="28"/>
      <c r="O1120" s="176"/>
      <c r="P1120" s="176"/>
      <c r="Q1120" s="176"/>
      <c r="R1120" s="176"/>
      <c r="S1120" s="176"/>
      <c r="T1120" s="176"/>
      <c r="U1120" s="176"/>
      <c r="V1120" s="176"/>
      <c r="W1120" s="176"/>
      <c r="X1120" s="176"/>
      <c r="Y1120" s="176"/>
      <c r="Z1120" s="176"/>
      <c r="AA1120" s="176"/>
      <c r="AB1120" s="176"/>
      <c r="AC1120" s="176"/>
      <c r="AD1120" s="139"/>
      <c r="AE1120" s="139"/>
      <c r="AF1120" s="139"/>
      <c r="AG1120" s="139"/>
      <c r="AH1120" s="139"/>
      <c r="AI1120" s="139"/>
      <c r="AJ1120" s="139"/>
      <c r="AK1120" s="139"/>
      <c r="AL1120" s="139"/>
      <c r="AM1120" s="139"/>
      <c r="AN1120" s="139"/>
      <c r="AO1120" s="70"/>
      <c r="AP1120" s="70"/>
      <c r="AQ1120" s="70"/>
      <c r="AR1120" s="70"/>
      <c r="AS1120" s="70"/>
      <c r="AT1120" s="70"/>
      <c r="AU1120" s="70"/>
      <c r="AV1120" s="70"/>
      <c r="AW1120" s="70"/>
      <c r="AX1120" s="70"/>
    </row>
    <row r="1121" ht="15.75" customHeight="1">
      <c r="A1121" s="90" t="s">
        <v>134</v>
      </c>
      <c r="B1121" s="92" t="s">
        <v>7943</v>
      </c>
      <c r="C1121" s="28"/>
      <c r="D1121" s="28"/>
      <c r="E1121" s="28"/>
      <c r="F1121" s="28"/>
      <c r="G1121" s="28"/>
      <c r="H1121" s="28"/>
      <c r="I1121" s="28"/>
      <c r="J1121" s="28"/>
      <c r="K1121" s="28"/>
      <c r="L1121" s="28"/>
      <c r="M1121" s="28"/>
      <c r="N1121" s="28"/>
      <c r="O1121" s="96"/>
      <c r="P1121" s="96"/>
      <c r="Q1121" s="96"/>
      <c r="R1121" s="96"/>
      <c r="S1121" s="96"/>
      <c r="T1121" s="178" t="s">
        <v>139</v>
      </c>
      <c r="U1121" s="96"/>
      <c r="V1121" s="96"/>
      <c r="W1121" s="96"/>
      <c r="X1121" s="96"/>
      <c r="Y1121" s="96"/>
      <c r="Z1121" s="96"/>
      <c r="AA1121" s="96"/>
      <c r="AB1121" s="96"/>
      <c r="AC1121" s="96"/>
      <c r="AD1121" s="70"/>
      <c r="AE1121" s="70"/>
      <c r="AF1121" s="70"/>
      <c r="AG1121" s="70"/>
      <c r="AH1121" s="70"/>
      <c r="AI1121" s="70"/>
      <c r="AJ1121" s="70"/>
      <c r="AK1121" s="70"/>
      <c r="AL1121" s="70"/>
      <c r="AM1121" s="70"/>
      <c r="AN1121" s="70"/>
      <c r="AO1121" s="70"/>
      <c r="AP1121" s="70"/>
      <c r="AQ1121" s="70"/>
      <c r="AR1121" s="70"/>
      <c r="AS1121" s="70"/>
      <c r="AT1121" s="70"/>
      <c r="AU1121" s="70"/>
      <c r="AV1121" s="70"/>
      <c r="AW1121" s="70"/>
      <c r="AX1121" s="70"/>
    </row>
    <row r="1122" ht="15.75" customHeight="1">
      <c r="A1122" s="90" t="s">
        <v>78</v>
      </c>
      <c r="B1122" s="92" t="s">
        <v>7947</v>
      </c>
      <c r="C1122" s="28"/>
      <c r="D1122" s="28"/>
      <c r="E1122" s="28"/>
      <c r="F1122" s="28"/>
      <c r="G1122" s="28"/>
      <c r="H1122" s="28"/>
      <c r="I1122" s="28"/>
      <c r="J1122" s="28"/>
      <c r="K1122" s="28"/>
      <c r="L1122" s="28"/>
      <c r="M1122" s="28"/>
      <c r="N1122" s="28"/>
      <c r="O1122" s="96"/>
      <c r="P1122" s="96"/>
      <c r="Q1122" s="96"/>
      <c r="R1122" s="96"/>
      <c r="S1122" s="96"/>
      <c r="T1122" s="178" t="s">
        <v>10674</v>
      </c>
      <c r="U1122" s="96"/>
      <c r="V1122" s="96"/>
      <c r="W1122" s="96"/>
      <c r="X1122" s="96"/>
      <c r="Y1122" s="96"/>
      <c r="Z1122" s="96"/>
      <c r="AA1122" s="96"/>
      <c r="AB1122" s="96"/>
      <c r="AC1122" s="96"/>
      <c r="AD1122" s="70"/>
      <c r="AE1122" s="70"/>
      <c r="AF1122" s="70"/>
      <c r="AG1122" s="70"/>
      <c r="AH1122" s="70"/>
      <c r="AI1122" s="70"/>
      <c r="AJ1122" s="70"/>
      <c r="AK1122" s="70"/>
      <c r="AL1122" s="70"/>
      <c r="AM1122" s="70"/>
      <c r="AN1122" s="70"/>
      <c r="AO1122" s="70"/>
      <c r="AP1122" s="70"/>
      <c r="AQ1122" s="70"/>
      <c r="AR1122" s="70"/>
      <c r="AS1122" s="70"/>
      <c r="AT1122" s="70"/>
      <c r="AU1122" s="70"/>
      <c r="AV1122" s="70"/>
      <c r="AW1122" s="70"/>
      <c r="AX1122" s="70"/>
    </row>
    <row r="1123" ht="15.75" customHeight="1">
      <c r="A1123" s="90" t="s">
        <v>78</v>
      </c>
      <c r="B1123" s="154" t="s">
        <v>7952</v>
      </c>
      <c r="C1123" s="28"/>
      <c r="D1123" s="28"/>
      <c r="E1123" s="28"/>
      <c r="F1123" s="28"/>
      <c r="G1123" s="28"/>
      <c r="H1123" s="28"/>
      <c r="I1123" s="28"/>
      <c r="J1123" s="28"/>
      <c r="K1123" s="28"/>
      <c r="L1123" s="28"/>
      <c r="M1123" s="28"/>
      <c r="N1123" s="28"/>
      <c r="O1123" s="96"/>
      <c r="P1123" s="96"/>
      <c r="Q1123" s="96"/>
      <c r="R1123" s="96"/>
      <c r="S1123" s="96"/>
      <c r="T1123" s="178" t="s">
        <v>10675</v>
      </c>
      <c r="U1123" s="96"/>
      <c r="V1123" s="96"/>
      <c r="W1123" s="96"/>
      <c r="X1123" s="96"/>
      <c r="Y1123" s="96"/>
      <c r="Z1123" s="96"/>
      <c r="AA1123" s="96"/>
      <c r="AB1123" s="96"/>
      <c r="AC1123" s="96"/>
      <c r="AD1123" s="126"/>
      <c r="AE1123" s="126"/>
      <c r="AF1123" s="126"/>
      <c r="AG1123" s="126"/>
      <c r="AH1123" s="126"/>
      <c r="AI1123" s="126"/>
      <c r="AJ1123" s="126"/>
      <c r="AK1123" s="126"/>
      <c r="AL1123" s="126"/>
      <c r="AM1123" s="126"/>
      <c r="AN1123" s="126"/>
      <c r="AO1123" s="70"/>
      <c r="AP1123" s="70"/>
      <c r="AQ1123" s="70"/>
      <c r="AR1123" s="70"/>
      <c r="AS1123" s="70"/>
      <c r="AT1123" s="70"/>
      <c r="AU1123" s="70"/>
      <c r="AV1123" s="70"/>
      <c r="AW1123" s="70"/>
      <c r="AX1123" s="70"/>
    </row>
    <row r="1124" ht="15.75" customHeight="1">
      <c r="A1124" s="166" t="s">
        <v>41</v>
      </c>
      <c r="B1124" s="167" t="s">
        <v>7958</v>
      </c>
      <c r="C1124" s="28" t="s">
        <v>7963</v>
      </c>
      <c r="D1124" s="28" t="s">
        <v>7964</v>
      </c>
      <c r="E1124" s="28" t="s">
        <v>7965</v>
      </c>
      <c r="F1124" s="28"/>
      <c r="G1124" s="28"/>
      <c r="H1124" s="28"/>
      <c r="I1124" s="28"/>
      <c r="J1124" s="28"/>
      <c r="K1124" s="28"/>
      <c r="L1124" s="28"/>
      <c r="M1124" s="28"/>
      <c r="N1124" s="28"/>
      <c r="O1124" s="126"/>
      <c r="P1124" s="126"/>
      <c r="Q1124" s="126"/>
      <c r="R1124" s="126"/>
      <c r="S1124" s="126"/>
      <c r="T1124" s="126"/>
      <c r="U1124" s="126"/>
      <c r="V1124" s="126"/>
      <c r="W1124" s="126"/>
      <c r="X1124" s="126"/>
      <c r="Y1124" s="126"/>
      <c r="Z1124" s="126"/>
      <c r="AA1124" s="126"/>
      <c r="AB1124" s="126"/>
      <c r="AC1124" s="126"/>
      <c r="AD1124" s="126"/>
      <c r="AE1124" s="126"/>
      <c r="AF1124" s="126"/>
      <c r="AG1124" s="126"/>
      <c r="AH1124" s="126"/>
      <c r="AI1124" s="126"/>
      <c r="AJ1124" s="126"/>
      <c r="AK1124" s="126"/>
      <c r="AL1124" s="126"/>
      <c r="AM1124" s="126"/>
      <c r="AN1124" s="126"/>
      <c r="AO1124" s="70"/>
      <c r="AP1124" s="70"/>
      <c r="AQ1124" s="70"/>
      <c r="AR1124" s="70"/>
      <c r="AS1124" s="70"/>
      <c r="AT1124" s="70"/>
      <c r="AU1124" s="70"/>
      <c r="AV1124" s="70"/>
      <c r="AW1124" s="70"/>
      <c r="AX1124" s="70"/>
    </row>
    <row r="1125">
      <c r="A1125" s="118"/>
      <c r="B1125" s="118"/>
      <c r="C1125" s="28"/>
      <c r="D1125" s="28"/>
      <c r="E1125" s="28"/>
      <c r="F1125" s="28"/>
      <c r="G1125" s="28"/>
      <c r="H1125" s="28"/>
      <c r="I1125" s="28"/>
      <c r="J1125" s="28"/>
      <c r="K1125" s="28"/>
      <c r="L1125" s="28"/>
      <c r="M1125" s="28"/>
      <c r="N1125" s="28"/>
      <c r="O1125" s="118"/>
      <c r="P1125" s="118"/>
      <c r="Q1125" s="118"/>
      <c r="R1125" s="118"/>
      <c r="S1125" s="118"/>
      <c r="T1125" s="136"/>
      <c r="U1125" s="118"/>
      <c r="V1125" s="118"/>
      <c r="W1125" s="118"/>
      <c r="X1125" s="118"/>
      <c r="Y1125" s="118"/>
      <c r="Z1125" s="118"/>
      <c r="AA1125" s="118"/>
      <c r="AB1125" s="118"/>
      <c r="AC1125" s="118"/>
      <c r="AD1125" s="118"/>
      <c r="AE1125" s="118"/>
      <c r="AF1125" s="118"/>
      <c r="AG1125" s="118"/>
      <c r="AH1125" s="118"/>
      <c r="AI1125" s="118"/>
      <c r="AJ1125" s="118"/>
      <c r="AK1125" s="118"/>
      <c r="AL1125" s="118"/>
      <c r="AM1125" s="118"/>
      <c r="AN1125" s="118"/>
      <c r="AO1125" s="118"/>
      <c r="AP1125" s="118"/>
      <c r="AQ1125" s="118"/>
      <c r="AR1125" s="118"/>
      <c r="AS1125" s="118"/>
      <c r="AT1125" s="118"/>
      <c r="AU1125" s="118"/>
      <c r="AV1125" s="118"/>
      <c r="AW1125" s="118"/>
      <c r="AX1125" s="118"/>
    </row>
    <row r="1126" ht="15.75" customHeight="1">
      <c r="A1126" s="174" t="s">
        <v>698</v>
      </c>
      <c r="B1126" s="175" t="s">
        <v>7972</v>
      </c>
      <c r="C1126" s="28" t="s">
        <v>1389</v>
      </c>
      <c r="D1126" s="28"/>
      <c r="E1126" s="28"/>
      <c r="F1126" s="28"/>
      <c r="G1126" s="28"/>
      <c r="H1126" s="28"/>
      <c r="I1126" s="28"/>
      <c r="J1126" s="28"/>
      <c r="K1126" s="28"/>
      <c r="L1126" s="28"/>
      <c r="M1126" s="28"/>
      <c r="N1126" s="28"/>
      <c r="O1126" s="177"/>
      <c r="P1126" s="176"/>
      <c r="Q1126" s="176"/>
      <c r="R1126" s="176"/>
      <c r="S1126" s="176"/>
      <c r="T1126" s="176"/>
      <c r="U1126" s="177" t="s">
        <v>10676</v>
      </c>
      <c r="V1126" s="176"/>
      <c r="W1126" s="176"/>
      <c r="X1126" s="176"/>
      <c r="Y1126" s="176"/>
      <c r="Z1126" s="176"/>
      <c r="AA1126" s="176"/>
      <c r="AB1126" s="176"/>
      <c r="AC1126" s="176"/>
      <c r="AD1126" s="176"/>
      <c r="AE1126" s="176"/>
      <c r="AF1126" s="176"/>
      <c r="AG1126" s="176"/>
      <c r="AH1126" s="176"/>
      <c r="AI1126" s="176"/>
      <c r="AJ1126" s="176"/>
      <c r="AK1126" s="176"/>
      <c r="AL1126" s="176"/>
      <c r="AM1126" s="176"/>
      <c r="AN1126" s="176"/>
      <c r="AO1126" s="70"/>
      <c r="AP1126" s="70"/>
      <c r="AQ1126" s="70"/>
      <c r="AR1126" s="70"/>
      <c r="AS1126" s="70"/>
      <c r="AT1126" s="70"/>
      <c r="AU1126" s="70"/>
      <c r="AV1126" s="70"/>
      <c r="AW1126" s="70"/>
      <c r="AX1126" s="70"/>
    </row>
    <row r="1127" ht="15.75" customHeight="1">
      <c r="A1127" s="90" t="s">
        <v>134</v>
      </c>
      <c r="B1127" s="92" t="s">
        <v>7976</v>
      </c>
      <c r="C1127" s="28"/>
      <c r="D1127" s="28"/>
      <c r="E1127" s="28"/>
      <c r="F1127" s="28"/>
      <c r="G1127" s="28"/>
      <c r="H1127" s="28"/>
      <c r="I1127" s="28"/>
      <c r="J1127" s="28"/>
      <c r="K1127" s="28"/>
      <c r="L1127" s="28"/>
      <c r="M1127" s="28"/>
      <c r="N1127" s="28"/>
      <c r="O1127" s="96"/>
      <c r="P1127" s="96"/>
      <c r="Q1127" s="96"/>
      <c r="R1127" s="96"/>
      <c r="S1127" s="96"/>
      <c r="T1127" s="178" t="s">
        <v>139</v>
      </c>
      <c r="U1127" s="96"/>
      <c r="V1127" s="96"/>
      <c r="W1127" s="96"/>
      <c r="X1127" s="96"/>
      <c r="Y1127" s="96"/>
      <c r="Z1127" s="96"/>
      <c r="AA1127" s="96"/>
      <c r="AB1127" s="96"/>
      <c r="AC1127" s="96"/>
      <c r="AD1127" s="70"/>
      <c r="AE1127" s="70"/>
      <c r="AF1127" s="70"/>
      <c r="AG1127" s="70"/>
      <c r="AH1127" s="70"/>
      <c r="AI1127" s="70"/>
      <c r="AJ1127" s="70"/>
      <c r="AK1127" s="70"/>
      <c r="AL1127" s="70"/>
      <c r="AM1127" s="70"/>
      <c r="AN1127" s="70"/>
      <c r="AO1127" s="70"/>
      <c r="AP1127" s="70"/>
      <c r="AQ1127" s="70"/>
      <c r="AR1127" s="70"/>
      <c r="AS1127" s="70"/>
      <c r="AT1127" s="70"/>
      <c r="AU1127" s="70"/>
      <c r="AV1127" s="70"/>
      <c r="AW1127" s="70"/>
      <c r="AX1127" s="70"/>
    </row>
    <row r="1128" ht="15.75" customHeight="1">
      <c r="A1128" s="90" t="s">
        <v>78</v>
      </c>
      <c r="B1128" s="92" t="s">
        <v>7981</v>
      </c>
      <c r="C1128" s="28"/>
      <c r="D1128" s="28"/>
      <c r="E1128" s="28"/>
      <c r="F1128" s="28"/>
      <c r="G1128" s="28"/>
      <c r="H1128" s="28"/>
      <c r="I1128" s="28"/>
      <c r="J1128" s="28"/>
      <c r="K1128" s="28"/>
      <c r="L1128" s="28"/>
      <c r="M1128" s="28"/>
      <c r="N1128" s="28"/>
      <c r="O1128" s="96"/>
      <c r="P1128" s="96"/>
      <c r="Q1128" s="96"/>
      <c r="R1128" s="96"/>
      <c r="S1128" s="96"/>
      <c r="T1128" s="178" t="s">
        <v>719</v>
      </c>
      <c r="U1128" s="96"/>
      <c r="V1128" s="96"/>
      <c r="W1128" s="96"/>
      <c r="X1128" s="96"/>
      <c r="Y1128" s="96"/>
      <c r="Z1128" s="96"/>
      <c r="AA1128" s="96"/>
      <c r="AB1128" s="96"/>
      <c r="AC1128" s="96"/>
      <c r="AD1128" s="96"/>
      <c r="AE1128" s="96"/>
      <c r="AF1128" s="96"/>
      <c r="AG1128" s="96"/>
      <c r="AH1128" s="96"/>
      <c r="AI1128" s="96"/>
      <c r="AJ1128" s="96"/>
      <c r="AK1128" s="96"/>
      <c r="AL1128" s="96"/>
      <c r="AM1128" s="96"/>
      <c r="AN1128" s="96"/>
      <c r="AO1128" s="70"/>
      <c r="AP1128" s="70"/>
      <c r="AQ1128" s="70"/>
      <c r="AR1128" s="70"/>
      <c r="AS1128" s="70"/>
      <c r="AT1128" s="70"/>
      <c r="AU1128" s="70"/>
      <c r="AV1128" s="70"/>
      <c r="AW1128" s="70"/>
      <c r="AX1128" s="70"/>
    </row>
    <row r="1129" ht="15.75" customHeight="1">
      <c r="A1129" s="90" t="s">
        <v>78</v>
      </c>
      <c r="B1129" s="92" t="s">
        <v>7988</v>
      </c>
      <c r="C1129" s="28" t="s">
        <v>1405</v>
      </c>
      <c r="D1129" s="28"/>
      <c r="E1129" s="28"/>
      <c r="F1129" s="28"/>
      <c r="G1129" s="28"/>
      <c r="H1129" s="28"/>
      <c r="I1129" s="28"/>
      <c r="J1129" s="28"/>
      <c r="K1129" s="28"/>
      <c r="L1129" s="28"/>
      <c r="M1129" s="28"/>
      <c r="N1129" s="28"/>
      <c r="O1129" s="96"/>
      <c r="P1129" s="96"/>
      <c r="Q1129" s="96"/>
      <c r="R1129" s="96"/>
      <c r="S1129" s="96"/>
      <c r="T1129" s="119" t="s">
        <v>10677</v>
      </c>
      <c r="U1129" s="96"/>
      <c r="V1129" s="96"/>
      <c r="W1129" s="96"/>
      <c r="X1129" s="96"/>
      <c r="Y1129" s="96"/>
      <c r="Z1129" s="96"/>
      <c r="AA1129" s="96"/>
      <c r="AB1129" s="96"/>
      <c r="AC1129" s="96"/>
      <c r="AD1129" s="96"/>
      <c r="AE1129" s="96"/>
      <c r="AF1129" s="96"/>
      <c r="AG1129" s="96"/>
      <c r="AH1129" s="96"/>
      <c r="AI1129" s="96"/>
      <c r="AJ1129" s="96"/>
      <c r="AK1129" s="96"/>
      <c r="AL1129" s="96"/>
      <c r="AM1129" s="96"/>
      <c r="AN1129" s="96"/>
      <c r="AO1129" s="70"/>
      <c r="AP1129" s="70"/>
      <c r="AQ1129" s="70"/>
      <c r="AR1129" s="70"/>
      <c r="AS1129" s="70"/>
      <c r="AT1129" s="70"/>
      <c r="AU1129" s="70"/>
      <c r="AV1129" s="70"/>
      <c r="AW1129" s="70"/>
      <c r="AX1129" s="70"/>
    </row>
    <row r="1130" ht="15.75" customHeight="1">
      <c r="A1130" s="90" t="s">
        <v>78</v>
      </c>
      <c r="B1130" s="92" t="s">
        <v>7990</v>
      </c>
      <c r="C1130" s="28" t="s">
        <v>1413</v>
      </c>
      <c r="D1130" s="28"/>
      <c r="E1130" s="28"/>
      <c r="F1130" s="28"/>
      <c r="G1130" s="28"/>
      <c r="H1130" s="28"/>
      <c r="I1130" s="28"/>
      <c r="J1130" s="28"/>
      <c r="K1130" s="28"/>
      <c r="L1130" s="28"/>
      <c r="M1130" s="28"/>
      <c r="N1130" s="28"/>
      <c r="O1130" s="96"/>
      <c r="P1130" s="96"/>
      <c r="Q1130" s="96"/>
      <c r="R1130" s="96"/>
      <c r="S1130" s="96"/>
      <c r="T1130" s="119" t="s">
        <v>10678</v>
      </c>
      <c r="U1130" s="96"/>
      <c r="V1130" s="96"/>
      <c r="W1130" s="96"/>
      <c r="X1130" s="96"/>
      <c r="Y1130" s="96"/>
      <c r="Z1130" s="96"/>
      <c r="AA1130" s="96"/>
      <c r="AB1130" s="96"/>
      <c r="AC1130" s="96"/>
      <c r="AD1130" s="96"/>
      <c r="AE1130" s="96"/>
      <c r="AF1130" s="96"/>
      <c r="AG1130" s="96"/>
      <c r="AH1130" s="96"/>
      <c r="AI1130" s="96"/>
      <c r="AJ1130" s="96"/>
      <c r="AK1130" s="96"/>
      <c r="AL1130" s="96"/>
      <c r="AM1130" s="96"/>
      <c r="AN1130" s="96"/>
      <c r="AO1130" s="70"/>
      <c r="AP1130" s="70"/>
      <c r="AQ1130" s="70"/>
      <c r="AR1130" s="70"/>
      <c r="AS1130" s="70"/>
      <c r="AT1130" s="70"/>
      <c r="AU1130" s="70"/>
      <c r="AV1130" s="70"/>
      <c r="AW1130" s="70"/>
      <c r="AX1130" s="70"/>
    </row>
    <row r="1131" ht="15.75" customHeight="1">
      <c r="A1131" s="90" t="s">
        <v>78</v>
      </c>
      <c r="B1131" s="92" t="s">
        <v>7994</v>
      </c>
      <c r="C1131" s="28" t="s">
        <v>1420</v>
      </c>
      <c r="D1131" s="28"/>
      <c r="E1131" s="28"/>
      <c r="F1131" s="28"/>
      <c r="G1131" s="28"/>
      <c r="H1131" s="28"/>
      <c r="I1131" s="28"/>
      <c r="J1131" s="28"/>
      <c r="K1131" s="28"/>
      <c r="L1131" s="28"/>
      <c r="M1131" s="28"/>
      <c r="N1131" s="28"/>
      <c r="O1131" s="96"/>
      <c r="P1131" s="96"/>
      <c r="Q1131" s="96"/>
      <c r="R1131" s="96"/>
      <c r="S1131" s="96"/>
      <c r="T1131" s="119" t="s">
        <v>10679</v>
      </c>
      <c r="U1131" s="96"/>
      <c r="V1131" s="96"/>
      <c r="W1131" s="96"/>
      <c r="X1131" s="96"/>
      <c r="Y1131" s="96"/>
      <c r="Z1131" s="96"/>
      <c r="AA1131" s="96"/>
      <c r="AB1131" s="96"/>
      <c r="AC1131" s="96"/>
      <c r="AD1131" s="96"/>
      <c r="AE1131" s="96"/>
      <c r="AF1131" s="96"/>
      <c r="AG1131" s="96"/>
      <c r="AH1131" s="96"/>
      <c r="AI1131" s="96"/>
      <c r="AJ1131" s="96"/>
      <c r="AK1131" s="96"/>
      <c r="AL1131" s="96"/>
      <c r="AM1131" s="96"/>
      <c r="AN1131" s="96"/>
      <c r="AO1131" s="70"/>
      <c r="AP1131" s="70"/>
      <c r="AQ1131" s="70"/>
      <c r="AR1131" s="70"/>
      <c r="AS1131" s="70"/>
      <c r="AT1131" s="70"/>
      <c r="AU1131" s="70"/>
      <c r="AV1131" s="70"/>
      <c r="AW1131" s="70"/>
      <c r="AX1131" s="70"/>
    </row>
    <row r="1132" ht="15.75" customHeight="1">
      <c r="A1132" s="90" t="s">
        <v>78</v>
      </c>
      <c r="B1132" s="92" t="s">
        <v>7995</v>
      </c>
      <c r="C1132" s="28"/>
      <c r="D1132" s="28"/>
      <c r="E1132" s="28"/>
      <c r="F1132" s="28"/>
      <c r="G1132" s="28"/>
      <c r="H1132" s="28"/>
      <c r="I1132" s="28"/>
      <c r="J1132" s="28"/>
      <c r="K1132" s="28"/>
      <c r="L1132" s="28"/>
      <c r="M1132" s="28"/>
      <c r="N1132" s="28"/>
      <c r="O1132" s="392" t="s">
        <v>10680</v>
      </c>
      <c r="P1132" s="96"/>
      <c r="Q1132" s="96"/>
      <c r="R1132" s="96"/>
      <c r="S1132" s="96"/>
      <c r="T1132" s="178" t="s">
        <v>10681</v>
      </c>
      <c r="U1132" s="96"/>
      <c r="V1132" s="96"/>
      <c r="W1132" s="96"/>
      <c r="X1132" s="96"/>
      <c r="Y1132" s="96"/>
      <c r="Z1132" s="96"/>
      <c r="AA1132" s="96"/>
      <c r="AB1132" s="96"/>
      <c r="AC1132" s="96"/>
      <c r="AD1132" s="126"/>
      <c r="AE1132" s="126"/>
      <c r="AF1132" s="126"/>
      <c r="AG1132" s="126"/>
      <c r="AH1132" s="126"/>
      <c r="AI1132" s="126"/>
      <c r="AJ1132" s="126"/>
      <c r="AK1132" s="126"/>
      <c r="AL1132" s="126"/>
      <c r="AM1132" s="126"/>
      <c r="AN1132" s="126"/>
      <c r="AO1132" s="70"/>
      <c r="AP1132" s="70"/>
      <c r="AQ1132" s="70"/>
      <c r="AR1132" s="70"/>
      <c r="AS1132" s="70"/>
      <c r="AT1132" s="70"/>
      <c r="AU1132" s="70"/>
      <c r="AV1132" s="70"/>
      <c r="AW1132" s="70"/>
      <c r="AX1132" s="70"/>
    </row>
    <row r="1133" ht="15.75" customHeight="1">
      <c r="A1133" s="90" t="s">
        <v>78</v>
      </c>
      <c r="B1133" s="92" t="s">
        <v>8002</v>
      </c>
      <c r="C1133" s="28" t="s">
        <v>8003</v>
      </c>
      <c r="D1133" s="28"/>
      <c r="E1133" s="28"/>
      <c r="F1133" s="28"/>
      <c r="G1133" s="28"/>
      <c r="H1133" s="28"/>
      <c r="I1133" s="28"/>
      <c r="J1133" s="28"/>
      <c r="K1133" s="28"/>
      <c r="L1133" s="28"/>
      <c r="M1133" s="28"/>
      <c r="N1133" s="28"/>
      <c r="O1133" s="392" t="s">
        <v>10680</v>
      </c>
      <c r="P1133" s="96"/>
      <c r="Q1133" s="96"/>
      <c r="R1133" s="96"/>
      <c r="S1133" s="96"/>
      <c r="T1133" s="178" t="s">
        <v>10682</v>
      </c>
      <c r="U1133" s="96"/>
      <c r="V1133" s="96"/>
      <c r="W1133" s="96"/>
      <c r="X1133" s="96"/>
      <c r="Y1133" s="96"/>
      <c r="Z1133" s="96"/>
      <c r="AA1133" s="96"/>
      <c r="AB1133" s="96"/>
      <c r="AC1133" s="96"/>
      <c r="AD1133" s="126"/>
      <c r="AE1133" s="126"/>
      <c r="AF1133" s="126"/>
      <c r="AG1133" s="126"/>
      <c r="AH1133" s="126"/>
      <c r="AI1133" s="126"/>
      <c r="AJ1133" s="126"/>
      <c r="AK1133" s="126"/>
      <c r="AL1133" s="126"/>
      <c r="AM1133" s="126"/>
      <c r="AN1133" s="126"/>
      <c r="AO1133" s="70"/>
      <c r="AP1133" s="70"/>
      <c r="AQ1133" s="70"/>
      <c r="AR1133" s="70"/>
      <c r="AS1133" s="70"/>
      <c r="AT1133" s="70"/>
      <c r="AU1133" s="70"/>
      <c r="AV1133" s="70"/>
      <c r="AW1133" s="70"/>
      <c r="AX1133" s="70"/>
    </row>
    <row r="1134" ht="15.75" customHeight="1">
      <c r="A1134" s="90" t="s">
        <v>78</v>
      </c>
      <c r="B1134" s="92" t="s">
        <v>8007</v>
      </c>
      <c r="C1134" s="28" t="s">
        <v>8008</v>
      </c>
      <c r="D1134" s="28"/>
      <c r="E1134" s="28"/>
      <c r="F1134" s="28"/>
      <c r="G1134" s="28"/>
      <c r="H1134" s="28"/>
      <c r="I1134" s="28"/>
      <c r="J1134" s="28"/>
      <c r="K1134" s="28"/>
      <c r="L1134" s="28"/>
      <c r="M1134" s="28"/>
      <c r="N1134" s="28"/>
      <c r="O1134" s="392" t="s">
        <v>10680</v>
      </c>
      <c r="P1134" s="96"/>
      <c r="Q1134" s="96"/>
      <c r="R1134" s="96"/>
      <c r="S1134" s="96"/>
      <c r="T1134" s="178" t="s">
        <v>10683</v>
      </c>
      <c r="U1134" s="96"/>
      <c r="V1134" s="96"/>
      <c r="W1134" s="96"/>
      <c r="X1134" s="96"/>
      <c r="Y1134" s="96"/>
      <c r="Z1134" s="96"/>
      <c r="AA1134" s="96"/>
      <c r="AB1134" s="96"/>
      <c r="AC1134" s="96"/>
      <c r="AD1134" s="126"/>
      <c r="AE1134" s="126"/>
      <c r="AF1134" s="126"/>
      <c r="AG1134" s="126"/>
      <c r="AH1134" s="126"/>
      <c r="AI1134" s="126"/>
      <c r="AJ1134" s="126"/>
      <c r="AK1134" s="126"/>
      <c r="AL1134" s="126"/>
      <c r="AM1134" s="126"/>
      <c r="AN1134" s="126"/>
      <c r="AO1134" s="70"/>
      <c r="AP1134" s="70"/>
      <c r="AQ1134" s="70"/>
      <c r="AR1134" s="70"/>
      <c r="AS1134" s="70"/>
      <c r="AT1134" s="70"/>
      <c r="AU1134" s="70"/>
      <c r="AV1134" s="70"/>
      <c r="AW1134" s="70"/>
      <c r="AX1134" s="70"/>
    </row>
    <row r="1135" ht="15.75" customHeight="1">
      <c r="A1135" s="90" t="s">
        <v>78</v>
      </c>
      <c r="B1135" s="92" t="s">
        <v>8015</v>
      </c>
      <c r="C1135" s="28" t="s">
        <v>8016</v>
      </c>
      <c r="D1135" s="28"/>
      <c r="E1135" s="28"/>
      <c r="F1135" s="28"/>
      <c r="G1135" s="28"/>
      <c r="H1135" s="28"/>
      <c r="I1135" s="28"/>
      <c r="J1135" s="28"/>
      <c r="K1135" s="28"/>
      <c r="L1135" s="28"/>
      <c r="M1135" s="28"/>
      <c r="N1135" s="28"/>
      <c r="O1135" s="392" t="s">
        <v>10680</v>
      </c>
      <c r="P1135" s="96"/>
      <c r="Q1135" s="96"/>
      <c r="R1135" s="96"/>
      <c r="S1135" s="96"/>
      <c r="T1135" s="178" t="s">
        <v>10684</v>
      </c>
      <c r="U1135" s="96"/>
      <c r="V1135" s="96"/>
      <c r="W1135" s="96"/>
      <c r="X1135" s="96"/>
      <c r="Y1135" s="96"/>
      <c r="Z1135" s="96"/>
      <c r="AA1135" s="96"/>
      <c r="AB1135" s="96"/>
      <c r="AC1135" s="96"/>
      <c r="AD1135" s="126"/>
      <c r="AE1135" s="126"/>
      <c r="AF1135" s="126"/>
      <c r="AG1135" s="126"/>
      <c r="AH1135" s="126"/>
      <c r="AI1135" s="126"/>
      <c r="AJ1135" s="126"/>
      <c r="AK1135" s="126"/>
      <c r="AL1135" s="126"/>
      <c r="AM1135" s="126"/>
      <c r="AN1135" s="126"/>
      <c r="AO1135" s="70"/>
      <c r="AP1135" s="70"/>
      <c r="AQ1135" s="70"/>
      <c r="AR1135" s="70"/>
      <c r="AS1135" s="70"/>
      <c r="AT1135" s="70"/>
      <c r="AU1135" s="70"/>
      <c r="AV1135" s="70"/>
      <c r="AW1135" s="70"/>
      <c r="AX1135" s="70"/>
    </row>
    <row r="1136" ht="15.75" customHeight="1">
      <c r="A1136" s="90" t="s">
        <v>78</v>
      </c>
      <c r="B1136" s="92" t="s">
        <v>8023</v>
      </c>
      <c r="C1136" s="28"/>
      <c r="D1136" s="28"/>
      <c r="E1136" s="28"/>
      <c r="F1136" s="28"/>
      <c r="G1136" s="28"/>
      <c r="H1136" s="28"/>
      <c r="I1136" s="28"/>
      <c r="J1136" s="28"/>
      <c r="K1136" s="28"/>
      <c r="L1136" s="28"/>
      <c r="M1136" s="28"/>
      <c r="N1136" s="28"/>
      <c r="O1136" s="96"/>
      <c r="P1136" s="96"/>
      <c r="Q1136" s="96"/>
      <c r="R1136" s="96"/>
      <c r="S1136" s="96"/>
      <c r="T1136" s="178" t="s">
        <v>10685</v>
      </c>
      <c r="U1136" s="96"/>
      <c r="V1136" s="96"/>
      <c r="W1136" s="96"/>
      <c r="X1136" s="96"/>
      <c r="Y1136" s="96"/>
      <c r="Z1136" s="96"/>
      <c r="AA1136" s="96"/>
      <c r="AB1136" s="96"/>
      <c r="AC1136" s="96"/>
      <c r="AD1136" s="126"/>
      <c r="AE1136" s="126"/>
      <c r="AF1136" s="126"/>
      <c r="AG1136" s="126"/>
      <c r="AH1136" s="126"/>
      <c r="AI1136" s="126"/>
      <c r="AJ1136" s="126"/>
      <c r="AK1136" s="126"/>
      <c r="AL1136" s="126"/>
      <c r="AM1136" s="126"/>
      <c r="AN1136" s="126"/>
      <c r="AO1136" s="70"/>
      <c r="AP1136" s="70"/>
      <c r="AQ1136" s="70"/>
      <c r="AR1136" s="70"/>
      <c r="AS1136" s="70"/>
      <c r="AT1136" s="70"/>
      <c r="AU1136" s="70"/>
      <c r="AV1136" s="70"/>
      <c r="AW1136" s="70"/>
      <c r="AX1136" s="70"/>
    </row>
    <row r="1137" ht="15.75" customHeight="1">
      <c r="A1137" s="90" t="s">
        <v>78</v>
      </c>
      <c r="B1137" s="92" t="s">
        <v>8028</v>
      </c>
      <c r="C1137" s="28"/>
      <c r="D1137" s="28"/>
      <c r="E1137" s="28"/>
      <c r="F1137" s="28"/>
      <c r="G1137" s="28"/>
      <c r="H1137" s="28"/>
      <c r="I1137" s="28"/>
      <c r="J1137" s="28"/>
      <c r="K1137" s="28"/>
      <c r="L1137" s="28"/>
      <c r="M1137" s="28"/>
      <c r="N1137" s="28"/>
      <c r="O1137" s="96"/>
      <c r="P1137" s="96"/>
      <c r="Q1137" s="96"/>
      <c r="R1137" s="96"/>
      <c r="S1137" s="96"/>
      <c r="T1137" s="178" t="s">
        <v>10686</v>
      </c>
      <c r="U1137" s="96"/>
      <c r="V1137" s="96"/>
      <c r="W1137" s="96"/>
      <c r="X1137" s="96"/>
      <c r="Y1137" s="96"/>
      <c r="Z1137" s="96"/>
      <c r="AA1137" s="96"/>
      <c r="AB1137" s="96"/>
      <c r="AC1137" s="96"/>
      <c r="AD1137" s="126"/>
      <c r="AE1137" s="126"/>
      <c r="AF1137" s="126"/>
      <c r="AG1137" s="126"/>
      <c r="AH1137" s="126"/>
      <c r="AI1137" s="126"/>
      <c r="AJ1137" s="126"/>
      <c r="AK1137" s="126"/>
      <c r="AL1137" s="126"/>
      <c r="AM1137" s="126"/>
      <c r="AN1137" s="126"/>
      <c r="AO1137" s="70"/>
      <c r="AP1137" s="70"/>
      <c r="AQ1137" s="70"/>
      <c r="AR1137" s="70"/>
      <c r="AS1137" s="70"/>
      <c r="AT1137" s="70"/>
      <c r="AU1137" s="70"/>
      <c r="AV1137" s="70"/>
      <c r="AW1137" s="70"/>
      <c r="AX1137" s="70"/>
    </row>
    <row r="1138" ht="15.75" customHeight="1">
      <c r="A1138" s="90" t="s">
        <v>78</v>
      </c>
      <c r="B1138" s="92" t="s">
        <v>8035</v>
      </c>
      <c r="C1138" s="28"/>
      <c r="D1138" s="28"/>
      <c r="E1138" s="28"/>
      <c r="F1138" s="28"/>
      <c r="G1138" s="28"/>
      <c r="H1138" s="28"/>
      <c r="I1138" s="28"/>
      <c r="J1138" s="28"/>
      <c r="K1138" s="28"/>
      <c r="L1138" s="28"/>
      <c r="M1138" s="28"/>
      <c r="N1138" s="28"/>
      <c r="O1138" s="96"/>
      <c r="P1138" s="96"/>
      <c r="Q1138" s="96"/>
      <c r="R1138" s="96"/>
      <c r="S1138" s="96"/>
      <c r="T1138" s="178" t="s">
        <v>10687</v>
      </c>
      <c r="U1138" s="96"/>
      <c r="V1138" s="96"/>
      <c r="W1138" s="96"/>
      <c r="X1138" s="96"/>
      <c r="Y1138" s="96"/>
      <c r="Z1138" s="96"/>
      <c r="AA1138" s="96"/>
      <c r="AB1138" s="96"/>
      <c r="AC1138" s="96"/>
      <c r="AD1138" s="126"/>
      <c r="AE1138" s="126"/>
      <c r="AF1138" s="126"/>
      <c r="AG1138" s="126"/>
      <c r="AH1138" s="126"/>
      <c r="AI1138" s="126"/>
      <c r="AJ1138" s="126"/>
      <c r="AK1138" s="126"/>
      <c r="AL1138" s="126"/>
      <c r="AM1138" s="126"/>
      <c r="AN1138" s="126"/>
      <c r="AO1138" s="70"/>
      <c r="AP1138" s="70"/>
      <c r="AQ1138" s="70"/>
      <c r="AR1138" s="70"/>
      <c r="AS1138" s="70"/>
      <c r="AT1138" s="70"/>
      <c r="AU1138" s="70"/>
      <c r="AV1138" s="70"/>
      <c r="AW1138" s="70"/>
      <c r="AX1138" s="70"/>
    </row>
    <row r="1139" ht="15.75" customHeight="1">
      <c r="A1139" s="166" t="s">
        <v>41</v>
      </c>
      <c r="B1139" s="167" t="s">
        <v>8042</v>
      </c>
      <c r="C1139" s="28" t="s">
        <v>8044</v>
      </c>
      <c r="D1139" s="28" t="s">
        <v>8044</v>
      </c>
      <c r="E1139" s="28" t="s">
        <v>8044</v>
      </c>
      <c r="F1139" s="28"/>
      <c r="G1139" s="28"/>
      <c r="H1139" s="28"/>
      <c r="I1139" s="28"/>
      <c r="J1139" s="28"/>
      <c r="K1139" s="28"/>
      <c r="L1139" s="28"/>
      <c r="M1139" s="28"/>
      <c r="N1139" s="28"/>
      <c r="O1139" s="126"/>
      <c r="P1139" s="126"/>
      <c r="Q1139" s="126"/>
      <c r="R1139" s="126"/>
      <c r="S1139" s="126"/>
      <c r="T1139" s="126"/>
      <c r="U1139" s="126"/>
      <c r="V1139" s="126"/>
      <c r="W1139" s="126"/>
      <c r="X1139" s="126"/>
      <c r="Y1139" s="126"/>
      <c r="Z1139" s="126"/>
      <c r="AA1139" s="126"/>
      <c r="AB1139" s="126"/>
      <c r="AC1139" s="126"/>
      <c r="AD1139" s="126"/>
      <c r="AE1139" s="126"/>
      <c r="AF1139" s="126"/>
      <c r="AG1139" s="126"/>
      <c r="AH1139" s="126"/>
      <c r="AI1139" s="126"/>
      <c r="AJ1139" s="126"/>
      <c r="AK1139" s="126"/>
      <c r="AL1139" s="126"/>
      <c r="AM1139" s="126"/>
      <c r="AN1139" s="126"/>
      <c r="AO1139" s="70"/>
      <c r="AP1139" s="70"/>
      <c r="AQ1139" s="70"/>
      <c r="AR1139" s="70"/>
      <c r="AS1139" s="70"/>
      <c r="AT1139" s="70"/>
      <c r="AU1139" s="70"/>
      <c r="AV1139" s="70"/>
      <c r="AW1139" s="70"/>
      <c r="AX1139" s="70"/>
    </row>
    <row r="1140" ht="15.75" customHeight="1">
      <c r="A1140" s="68" t="s">
        <v>2625</v>
      </c>
      <c r="B1140" s="169" t="s">
        <v>8045</v>
      </c>
      <c r="C1140" s="28" t="s">
        <v>8049</v>
      </c>
      <c r="D1140" s="28" t="s">
        <v>8050</v>
      </c>
      <c r="E1140" s="28" t="s">
        <v>8051</v>
      </c>
      <c r="F1140" s="28"/>
      <c r="G1140" s="28"/>
      <c r="H1140" s="28"/>
      <c r="I1140" s="28"/>
      <c r="J1140" s="28"/>
      <c r="K1140" s="28"/>
      <c r="L1140" s="28"/>
      <c r="M1140" s="28"/>
      <c r="N1140" s="28"/>
      <c r="O1140" s="67" t="s">
        <v>10680</v>
      </c>
      <c r="P1140" s="67"/>
      <c r="Q1140" s="67" t="s">
        <v>145</v>
      </c>
      <c r="R1140" s="67"/>
      <c r="S1140" s="67"/>
      <c r="T1140" s="67"/>
      <c r="U1140" s="67"/>
      <c r="V1140" s="67"/>
      <c r="W1140" s="67"/>
      <c r="X1140" s="67"/>
      <c r="Y1140" s="67"/>
      <c r="Z1140" s="67"/>
      <c r="AA1140" s="67"/>
      <c r="AB1140" s="67"/>
      <c r="AC1140" s="67"/>
      <c r="AD1140" s="70"/>
      <c r="AE1140" s="70"/>
      <c r="AF1140" s="70"/>
      <c r="AG1140" s="70"/>
      <c r="AH1140" s="70"/>
      <c r="AI1140" s="70"/>
      <c r="AJ1140" s="70"/>
      <c r="AK1140" s="70"/>
      <c r="AL1140" s="139"/>
      <c r="AM1140" s="139"/>
      <c r="AN1140" s="139"/>
      <c r="AO1140" s="70"/>
      <c r="AP1140" s="70"/>
      <c r="AQ1140" s="70"/>
      <c r="AR1140" s="70"/>
      <c r="AS1140" s="70"/>
      <c r="AT1140" s="70"/>
      <c r="AU1140" s="70"/>
      <c r="AV1140" s="70"/>
      <c r="AW1140" s="70"/>
      <c r="AX1140" s="70"/>
    </row>
    <row r="1141" ht="15.75" customHeight="1">
      <c r="A1141" s="68" t="s">
        <v>749</v>
      </c>
      <c r="B1141" s="169" t="s">
        <v>8052</v>
      </c>
      <c r="C1141" s="28" t="s">
        <v>8058</v>
      </c>
      <c r="D1141" s="28" t="s">
        <v>8060</v>
      </c>
      <c r="E1141" s="28" t="s">
        <v>8063</v>
      </c>
      <c r="F1141" s="28"/>
      <c r="G1141" s="28"/>
      <c r="H1141" s="28"/>
      <c r="I1141" s="28"/>
      <c r="J1141" s="28"/>
      <c r="K1141" s="28"/>
      <c r="L1141" s="28"/>
      <c r="M1141" s="28"/>
      <c r="N1141" s="28"/>
      <c r="O1141" s="67" t="s">
        <v>10688</v>
      </c>
      <c r="P1141" s="67"/>
      <c r="Q1141" s="67" t="s">
        <v>145</v>
      </c>
      <c r="R1141" s="67"/>
      <c r="S1141" s="67"/>
      <c r="T1141" s="67"/>
      <c r="U1141" s="67"/>
      <c r="V1141" s="67"/>
      <c r="W1141" s="67"/>
      <c r="X1141" s="67"/>
      <c r="Y1141" s="67" t="s">
        <v>4203</v>
      </c>
      <c r="Z1141" s="67"/>
      <c r="AA1141" s="67"/>
      <c r="AB1141" s="67"/>
      <c r="AC1141" s="67"/>
      <c r="AD1141" s="67"/>
      <c r="AE1141" s="67"/>
      <c r="AF1141" s="67"/>
      <c r="AG1141" s="67"/>
      <c r="AH1141" s="67"/>
      <c r="AI1141" s="67"/>
      <c r="AJ1141" s="67"/>
      <c r="AK1141" s="67"/>
      <c r="AL1141" s="67"/>
      <c r="AM1141" s="67"/>
      <c r="AN1141" s="67"/>
      <c r="AO1141" s="70"/>
      <c r="AP1141" s="70"/>
      <c r="AQ1141" s="70"/>
      <c r="AR1141" s="70"/>
      <c r="AS1141" s="70"/>
      <c r="AT1141" s="70"/>
      <c r="AU1141" s="70"/>
      <c r="AV1141" s="70"/>
      <c r="AW1141" s="70"/>
      <c r="AX1141" s="70"/>
    </row>
    <row r="1142" ht="15.75" customHeight="1">
      <c r="A1142" s="179" t="s">
        <v>246</v>
      </c>
      <c r="B1142" s="180" t="s">
        <v>8064</v>
      </c>
      <c r="C1142" s="28" t="s">
        <v>8068</v>
      </c>
      <c r="D1142" s="28" t="s">
        <v>8069</v>
      </c>
      <c r="E1142" s="28" t="s">
        <v>8070</v>
      </c>
      <c r="F1142" s="28"/>
      <c r="G1142" s="28"/>
      <c r="H1142" s="28"/>
      <c r="I1142" s="28"/>
      <c r="J1142" s="28"/>
      <c r="K1142" s="28"/>
      <c r="L1142" s="28"/>
      <c r="M1142" s="28"/>
      <c r="N1142" s="28"/>
      <c r="O1142" s="181" t="s">
        <v>10689</v>
      </c>
      <c r="P1142" s="181"/>
      <c r="Q1142" s="181" t="s">
        <v>145</v>
      </c>
      <c r="R1142" s="181"/>
      <c r="S1142" s="181"/>
      <c r="T1142" s="181"/>
      <c r="U1142" s="181"/>
      <c r="V1142" s="181"/>
      <c r="W1142" s="181"/>
      <c r="X1142" s="181"/>
      <c r="Y1142" s="181"/>
      <c r="Z1142" s="181"/>
      <c r="AA1142" s="181"/>
      <c r="AB1142" s="181"/>
      <c r="AC1142" s="181"/>
      <c r="AD1142" s="67"/>
      <c r="AE1142" s="67"/>
      <c r="AF1142" s="67"/>
      <c r="AG1142" s="67"/>
      <c r="AH1142" s="67"/>
      <c r="AI1142" s="67"/>
      <c r="AJ1142" s="67"/>
      <c r="AK1142" s="67"/>
      <c r="AL1142" s="67"/>
      <c r="AM1142" s="67"/>
      <c r="AN1142" s="67"/>
      <c r="AO1142" s="70"/>
      <c r="AP1142" s="70"/>
      <c r="AQ1142" s="70"/>
      <c r="AR1142" s="70"/>
      <c r="AS1142" s="70"/>
      <c r="AT1142" s="70"/>
      <c r="AU1142" s="70"/>
      <c r="AV1142" s="70"/>
      <c r="AW1142" s="70"/>
      <c r="AX1142" s="70"/>
    </row>
    <row r="1143" ht="15.75" customHeight="1">
      <c r="A1143" s="68" t="s">
        <v>463</v>
      </c>
      <c r="B1143" s="169" t="s">
        <v>8071</v>
      </c>
      <c r="C1143" s="28" t="s">
        <v>8078</v>
      </c>
      <c r="D1143" s="28" t="s">
        <v>8079</v>
      </c>
      <c r="E1143" s="28" t="s">
        <v>8080</v>
      </c>
      <c r="F1143" s="28"/>
      <c r="G1143" s="28" t="s">
        <v>10665</v>
      </c>
      <c r="H1143" s="28" t="s">
        <v>10666</v>
      </c>
      <c r="I1143" s="28"/>
      <c r="J1143" s="28"/>
      <c r="K1143" s="28"/>
      <c r="L1143" s="28"/>
      <c r="M1143" s="28"/>
      <c r="N1143" s="28"/>
      <c r="O1143" s="67" t="s">
        <v>10690</v>
      </c>
      <c r="P1143" s="67"/>
      <c r="Q1143" s="67" t="s">
        <v>145</v>
      </c>
      <c r="R1143" s="67"/>
      <c r="S1143" s="67"/>
      <c r="T1143" s="67"/>
      <c r="U1143" s="67"/>
      <c r="V1143" s="67"/>
      <c r="W1143" s="67"/>
      <c r="X1143" s="67"/>
      <c r="Y1143" s="67"/>
      <c r="Z1143" s="67"/>
      <c r="AA1143" s="67"/>
      <c r="AB1143" s="67"/>
      <c r="AC1143" s="67"/>
      <c r="AD1143" s="67"/>
      <c r="AE1143" s="67"/>
      <c r="AF1143" s="67"/>
      <c r="AG1143" s="67"/>
      <c r="AH1143" s="67"/>
      <c r="AI1143" s="67"/>
      <c r="AJ1143" s="67"/>
      <c r="AK1143" s="67"/>
      <c r="AL1143" s="67"/>
      <c r="AM1143" s="67"/>
      <c r="AN1143" s="67"/>
      <c r="AO1143" s="70"/>
      <c r="AP1143" s="70"/>
      <c r="AQ1143" s="70"/>
      <c r="AR1143" s="70"/>
      <c r="AS1143" s="70"/>
      <c r="AT1143" s="70"/>
      <c r="AU1143" s="70"/>
      <c r="AV1143" s="70"/>
      <c r="AW1143" s="70"/>
      <c r="AX1143" s="70"/>
    </row>
    <row r="1144" ht="15.75" customHeight="1">
      <c r="A1144" s="68" t="s">
        <v>8081</v>
      </c>
      <c r="B1144" s="169" t="s">
        <v>8082</v>
      </c>
      <c r="C1144" s="28" t="s">
        <v>8087</v>
      </c>
      <c r="D1144" s="28" t="s">
        <v>8088</v>
      </c>
      <c r="E1144" s="28" t="s">
        <v>8089</v>
      </c>
      <c r="F1144" s="28"/>
      <c r="G1144" s="28"/>
      <c r="H1144" s="28"/>
      <c r="I1144" s="28"/>
      <c r="J1144" s="28"/>
      <c r="K1144" s="28"/>
      <c r="L1144" s="28"/>
      <c r="M1144" s="28"/>
      <c r="N1144" s="28"/>
      <c r="O1144" s="67" t="s">
        <v>10691</v>
      </c>
      <c r="P1144" s="67"/>
      <c r="Q1144" s="67" t="s">
        <v>145</v>
      </c>
      <c r="R1144" s="67"/>
      <c r="S1144" s="67"/>
      <c r="T1144" s="67"/>
      <c r="U1144" s="67"/>
      <c r="V1144" s="67"/>
      <c r="W1144" s="67"/>
      <c r="X1144" s="67"/>
      <c r="Y1144" s="67"/>
      <c r="Z1144" s="67"/>
      <c r="AA1144" s="67"/>
      <c r="AB1144" s="67"/>
      <c r="AC1144" s="67"/>
      <c r="AD1144" s="67"/>
      <c r="AE1144" s="67"/>
      <c r="AF1144" s="67"/>
      <c r="AG1144" s="67"/>
      <c r="AH1144" s="67"/>
      <c r="AI1144" s="67"/>
      <c r="AJ1144" s="67"/>
      <c r="AK1144" s="67"/>
      <c r="AL1144" s="67"/>
      <c r="AM1144" s="67"/>
      <c r="AN1144" s="67"/>
      <c r="AO1144" s="70"/>
      <c r="AP1144" s="70"/>
      <c r="AQ1144" s="70"/>
      <c r="AR1144" s="70"/>
      <c r="AS1144" s="70"/>
      <c r="AT1144" s="70"/>
      <c r="AU1144" s="70"/>
      <c r="AV1144" s="70"/>
      <c r="AW1144" s="70"/>
      <c r="AX1144" s="70"/>
    </row>
    <row r="1145" ht="15.75" customHeight="1">
      <c r="A1145" s="179" t="s">
        <v>246</v>
      </c>
      <c r="B1145" s="180" t="s">
        <v>8090</v>
      </c>
      <c r="C1145" s="28" t="s">
        <v>8094</v>
      </c>
      <c r="D1145" s="28" t="s">
        <v>8095</v>
      </c>
      <c r="E1145" s="28" t="s">
        <v>8096</v>
      </c>
      <c r="F1145" s="28"/>
      <c r="G1145" s="28"/>
      <c r="H1145" s="28"/>
      <c r="I1145" s="28"/>
      <c r="J1145" s="28"/>
      <c r="K1145" s="28"/>
      <c r="L1145" s="28"/>
      <c r="M1145" s="28"/>
      <c r="N1145" s="28"/>
      <c r="O1145" s="181" t="s">
        <v>10692</v>
      </c>
      <c r="P1145" s="181"/>
      <c r="Q1145" s="181" t="s">
        <v>145</v>
      </c>
      <c r="R1145" s="181"/>
      <c r="S1145" s="181"/>
      <c r="T1145" s="181"/>
      <c r="U1145" s="181"/>
      <c r="V1145" s="181"/>
      <c r="W1145" s="181"/>
      <c r="X1145" s="181"/>
      <c r="Y1145" s="181"/>
      <c r="Z1145" s="181"/>
      <c r="AA1145" s="181"/>
      <c r="AB1145" s="181"/>
      <c r="AC1145" s="181"/>
      <c r="AD1145" s="67"/>
      <c r="AE1145" s="67"/>
      <c r="AF1145" s="67"/>
      <c r="AG1145" s="67"/>
      <c r="AH1145" s="67"/>
      <c r="AI1145" s="67"/>
      <c r="AJ1145" s="67"/>
      <c r="AK1145" s="67"/>
      <c r="AL1145" s="67"/>
      <c r="AM1145" s="67"/>
      <c r="AN1145" s="67"/>
      <c r="AO1145" s="70"/>
      <c r="AP1145" s="70"/>
      <c r="AQ1145" s="70"/>
      <c r="AR1145" s="70"/>
      <c r="AS1145" s="70"/>
      <c r="AT1145" s="70"/>
      <c r="AU1145" s="70"/>
      <c r="AV1145" s="70"/>
      <c r="AW1145" s="70"/>
      <c r="AX1145" s="70"/>
    </row>
    <row r="1146" ht="15.75" customHeight="1">
      <c r="A1146" s="68" t="s">
        <v>7910</v>
      </c>
      <c r="B1146" s="169" t="s">
        <v>8097</v>
      </c>
      <c r="C1146" s="28" t="s">
        <v>8101</v>
      </c>
      <c r="D1146" s="28" t="s">
        <v>8102</v>
      </c>
      <c r="E1146" s="28" t="s">
        <v>8103</v>
      </c>
      <c r="F1146" s="28"/>
      <c r="G1146" s="28"/>
      <c r="H1146" s="28"/>
      <c r="I1146" s="28"/>
      <c r="J1146" s="28"/>
      <c r="K1146" s="28"/>
      <c r="L1146" s="28"/>
      <c r="M1146" s="28"/>
      <c r="N1146" s="28"/>
      <c r="O1146" s="67" t="s">
        <v>10693</v>
      </c>
      <c r="P1146" s="67"/>
      <c r="Q1146" s="67" t="s">
        <v>145</v>
      </c>
      <c r="R1146" s="276"/>
      <c r="S1146" s="276"/>
      <c r="T1146" s="278"/>
      <c r="U1146" s="276"/>
      <c r="V1146" s="276"/>
      <c r="W1146" s="276"/>
      <c r="X1146" s="276"/>
      <c r="Y1146" s="276"/>
      <c r="Z1146" s="276"/>
      <c r="AA1146" s="276"/>
      <c r="AB1146" s="276"/>
      <c r="AC1146" s="276"/>
      <c r="AD1146" s="276"/>
      <c r="AE1146" s="276"/>
      <c r="AF1146" s="276"/>
      <c r="AG1146" s="276"/>
      <c r="AH1146" s="276"/>
      <c r="AI1146" s="276"/>
      <c r="AJ1146" s="276"/>
      <c r="AK1146" s="276"/>
      <c r="AL1146" s="276"/>
      <c r="AM1146" s="276"/>
      <c r="AN1146" s="276"/>
      <c r="AO1146" s="121"/>
      <c r="AP1146" s="121"/>
      <c r="AQ1146" s="121"/>
      <c r="AR1146" s="121"/>
      <c r="AS1146" s="121"/>
      <c r="AT1146" s="121"/>
      <c r="AU1146" s="121"/>
      <c r="AV1146" s="121"/>
      <c r="AW1146" s="121"/>
      <c r="AX1146" s="121"/>
    </row>
    <row r="1147" ht="15.75" customHeight="1">
      <c r="A1147" s="179" t="s">
        <v>246</v>
      </c>
      <c r="B1147" s="180" t="s">
        <v>8104</v>
      </c>
      <c r="C1147" s="28" t="s">
        <v>8108</v>
      </c>
      <c r="D1147" s="28" t="s">
        <v>8109</v>
      </c>
      <c r="E1147" s="28" t="s">
        <v>8109</v>
      </c>
      <c r="F1147" s="28"/>
      <c r="G1147" s="28"/>
      <c r="H1147" s="28"/>
      <c r="I1147" s="28"/>
      <c r="J1147" s="28"/>
      <c r="K1147" s="28"/>
      <c r="L1147" s="28"/>
      <c r="M1147" s="28"/>
      <c r="N1147" s="28"/>
      <c r="O1147" s="181" t="s">
        <v>10693</v>
      </c>
      <c r="P1147" s="181"/>
      <c r="Q1147" s="181" t="s">
        <v>145</v>
      </c>
      <c r="R1147" s="181"/>
      <c r="S1147" s="181"/>
      <c r="T1147" s="181"/>
      <c r="U1147" s="181"/>
      <c r="V1147" s="181"/>
      <c r="W1147" s="181"/>
      <c r="X1147" s="181"/>
      <c r="Y1147" s="181"/>
      <c r="Z1147" s="181"/>
      <c r="AA1147" s="181"/>
      <c r="AB1147" s="181"/>
      <c r="AC1147" s="181"/>
      <c r="AD1147" s="67"/>
      <c r="AE1147" s="67"/>
      <c r="AF1147" s="67"/>
      <c r="AG1147" s="67"/>
      <c r="AH1147" s="67"/>
      <c r="AI1147" s="67"/>
      <c r="AJ1147" s="67"/>
      <c r="AK1147" s="67"/>
      <c r="AL1147" s="67"/>
      <c r="AM1147" s="67"/>
      <c r="AN1147" s="67"/>
      <c r="AO1147" s="70"/>
      <c r="AP1147" s="70"/>
      <c r="AQ1147" s="70"/>
      <c r="AR1147" s="70"/>
      <c r="AS1147" s="70"/>
      <c r="AT1147" s="70"/>
      <c r="AU1147" s="70"/>
      <c r="AV1147" s="70"/>
      <c r="AW1147" s="70"/>
      <c r="AX1147" s="70"/>
    </row>
    <row r="1148" ht="15.75" customHeight="1">
      <c r="A1148" s="68" t="s">
        <v>463</v>
      </c>
      <c r="B1148" s="169" t="s">
        <v>8110</v>
      </c>
      <c r="C1148" s="28" t="s">
        <v>8114</v>
      </c>
      <c r="D1148" s="28" t="s">
        <v>8115</v>
      </c>
      <c r="E1148" s="28" t="s">
        <v>8116</v>
      </c>
      <c r="F1148" s="28"/>
      <c r="G1148" s="28"/>
      <c r="H1148" s="28"/>
      <c r="I1148" s="28"/>
      <c r="J1148" s="28"/>
      <c r="K1148" s="28"/>
      <c r="L1148" s="28"/>
      <c r="M1148" s="28"/>
      <c r="N1148" s="28"/>
      <c r="O1148" s="67" t="s">
        <v>10694</v>
      </c>
      <c r="P1148" s="67"/>
      <c r="Q1148" s="67" t="s">
        <v>145</v>
      </c>
      <c r="R1148" s="67"/>
      <c r="S1148" s="67"/>
      <c r="T1148" s="67"/>
      <c r="U1148" s="67"/>
      <c r="V1148" s="67"/>
      <c r="W1148" s="67"/>
      <c r="X1148" s="67"/>
      <c r="Y1148" s="67"/>
      <c r="Z1148" s="67"/>
      <c r="AA1148" s="67"/>
      <c r="AB1148" s="67"/>
      <c r="AC1148" s="67"/>
      <c r="AD1148" s="70"/>
      <c r="AE1148" s="70"/>
      <c r="AF1148" s="70"/>
      <c r="AG1148" s="70"/>
      <c r="AH1148" s="70"/>
      <c r="AI1148" s="70"/>
      <c r="AJ1148" s="70"/>
      <c r="AK1148" s="70"/>
      <c r="AL1148" s="139"/>
      <c r="AM1148" s="139"/>
      <c r="AN1148" s="139"/>
      <c r="AO1148" s="70"/>
      <c r="AP1148" s="70"/>
      <c r="AQ1148" s="70"/>
      <c r="AR1148" s="70"/>
      <c r="AS1148" s="70"/>
      <c r="AT1148" s="70"/>
      <c r="AU1148" s="70"/>
      <c r="AV1148" s="70"/>
      <c r="AW1148" s="70"/>
      <c r="AX1148" s="70"/>
    </row>
    <row r="1149" ht="15.75" customHeight="1">
      <c r="A1149" s="68" t="s">
        <v>2625</v>
      </c>
      <c r="B1149" s="169" t="s">
        <v>8117</v>
      </c>
      <c r="C1149" s="28" t="s">
        <v>8121</v>
      </c>
      <c r="D1149" s="28" t="s">
        <v>8122</v>
      </c>
      <c r="E1149" s="28" t="s">
        <v>8123</v>
      </c>
      <c r="F1149" s="28"/>
      <c r="G1149" s="28"/>
      <c r="H1149" s="28"/>
      <c r="I1149" s="28"/>
      <c r="J1149" s="28"/>
      <c r="K1149" s="28"/>
      <c r="L1149" s="28"/>
      <c r="M1149" s="28"/>
      <c r="N1149" s="28"/>
      <c r="O1149" s="67" t="s">
        <v>10695</v>
      </c>
      <c r="P1149" s="67"/>
      <c r="Q1149" s="67" t="s">
        <v>145</v>
      </c>
      <c r="R1149" s="67"/>
      <c r="S1149" s="67"/>
      <c r="T1149" s="67"/>
      <c r="U1149" s="67"/>
      <c r="V1149" s="67"/>
      <c r="W1149" s="67"/>
      <c r="X1149" s="67"/>
      <c r="Y1149" s="67"/>
      <c r="Z1149" s="67"/>
      <c r="AA1149" s="67"/>
      <c r="AB1149" s="67"/>
      <c r="AC1149" s="67"/>
      <c r="AD1149" s="70"/>
      <c r="AE1149" s="70"/>
      <c r="AF1149" s="70"/>
      <c r="AG1149" s="70"/>
      <c r="AH1149" s="70"/>
      <c r="AI1149" s="70"/>
      <c r="AJ1149" s="70"/>
      <c r="AK1149" s="70"/>
      <c r="AL1149" s="139"/>
      <c r="AM1149" s="139"/>
      <c r="AN1149" s="139"/>
      <c r="AO1149" s="70"/>
      <c r="AP1149" s="70"/>
      <c r="AQ1149" s="70"/>
      <c r="AR1149" s="70"/>
      <c r="AS1149" s="70"/>
      <c r="AT1149" s="70"/>
      <c r="AU1149" s="70"/>
      <c r="AV1149" s="70"/>
      <c r="AW1149" s="70"/>
      <c r="AX1149" s="70"/>
    </row>
    <row r="1150" ht="15.75" customHeight="1">
      <c r="A1150" s="68" t="s">
        <v>738</v>
      </c>
      <c r="B1150" s="169" t="s">
        <v>8124</v>
      </c>
      <c r="C1150" s="28" t="s">
        <v>8128</v>
      </c>
      <c r="D1150" s="28" t="s">
        <v>8129</v>
      </c>
      <c r="E1150" s="28" t="s">
        <v>8130</v>
      </c>
      <c r="F1150" s="28"/>
      <c r="G1150" s="28"/>
      <c r="H1150" s="28"/>
      <c r="I1150" s="28"/>
      <c r="J1150" s="28"/>
      <c r="K1150" s="28"/>
      <c r="L1150" s="28"/>
      <c r="M1150" s="28"/>
      <c r="N1150" s="28"/>
      <c r="O1150" s="67" t="s">
        <v>10696</v>
      </c>
      <c r="P1150" s="67"/>
      <c r="Q1150" s="67" t="s">
        <v>145</v>
      </c>
      <c r="R1150" s="67"/>
      <c r="S1150" s="67"/>
      <c r="T1150" s="67"/>
      <c r="U1150" s="67"/>
      <c r="V1150" s="67"/>
      <c r="W1150" s="67"/>
      <c r="X1150" s="67"/>
      <c r="Y1150" s="67"/>
      <c r="Z1150" s="67"/>
      <c r="AA1150" s="67"/>
      <c r="AB1150" s="67"/>
      <c r="AC1150" s="67"/>
      <c r="AD1150" s="70"/>
      <c r="AE1150" s="70"/>
      <c r="AF1150" s="70"/>
      <c r="AG1150" s="70"/>
      <c r="AH1150" s="70"/>
      <c r="AI1150" s="70"/>
      <c r="AJ1150" s="70"/>
      <c r="AK1150" s="70"/>
      <c r="AL1150" s="139"/>
      <c r="AM1150" s="139"/>
      <c r="AN1150" s="139"/>
      <c r="AO1150" s="70"/>
      <c r="AP1150" s="70"/>
      <c r="AQ1150" s="70"/>
      <c r="AR1150" s="70"/>
      <c r="AS1150" s="70"/>
      <c r="AT1150" s="70"/>
      <c r="AU1150" s="70"/>
      <c r="AV1150" s="70"/>
      <c r="AW1150" s="70"/>
      <c r="AX1150" s="70"/>
    </row>
    <row r="1151" ht="15.75" customHeight="1">
      <c r="A1151" s="68" t="s">
        <v>5346</v>
      </c>
      <c r="B1151" s="169" t="s">
        <v>8131</v>
      </c>
      <c r="C1151" s="28" t="s">
        <v>8135</v>
      </c>
      <c r="D1151" s="28" t="s">
        <v>8137</v>
      </c>
      <c r="E1151" s="28" t="s">
        <v>8138</v>
      </c>
      <c r="F1151" s="28" t="s">
        <v>7285</v>
      </c>
      <c r="G1151" s="28" t="s">
        <v>7286</v>
      </c>
      <c r="H1151" s="28" t="s">
        <v>7288</v>
      </c>
      <c r="I1151" s="28"/>
      <c r="J1151" s="28"/>
      <c r="K1151" s="28"/>
      <c r="L1151" s="28"/>
      <c r="M1151" s="28"/>
      <c r="N1151" s="28"/>
      <c r="O1151" s="67" t="s">
        <v>10697</v>
      </c>
      <c r="P1151" s="67"/>
      <c r="Q1151" s="67" t="s">
        <v>145</v>
      </c>
      <c r="R1151" s="67"/>
      <c r="S1151" s="67"/>
      <c r="T1151" s="67"/>
      <c r="U1151" s="295"/>
      <c r="V1151" s="67"/>
      <c r="W1151" s="67"/>
      <c r="X1151" s="67"/>
      <c r="Y1151" s="67" t="s">
        <v>10698</v>
      </c>
      <c r="Z1151" s="67"/>
      <c r="AA1151" s="67"/>
      <c r="AB1151" s="67"/>
      <c r="AC1151" s="67"/>
      <c r="AD1151" s="70"/>
      <c r="AE1151" s="70"/>
      <c r="AF1151" s="70"/>
      <c r="AG1151" s="70"/>
      <c r="AH1151" s="70"/>
      <c r="AI1151" s="70"/>
      <c r="AJ1151" s="70"/>
      <c r="AK1151" s="70"/>
      <c r="AL1151" s="139"/>
      <c r="AM1151" s="139"/>
      <c r="AN1151" s="139"/>
      <c r="AO1151" s="70"/>
      <c r="AP1151" s="70"/>
      <c r="AQ1151" s="70"/>
      <c r="AR1151" s="70"/>
      <c r="AS1151" s="70"/>
      <c r="AT1151" s="70"/>
      <c r="AU1151" s="70"/>
      <c r="AV1151" s="70"/>
      <c r="AW1151" s="70"/>
      <c r="AX1151" s="70"/>
    </row>
    <row r="1152" ht="15.75" customHeight="1">
      <c r="A1152" s="179" t="s">
        <v>246</v>
      </c>
      <c r="B1152" s="180" t="s">
        <v>8139</v>
      </c>
      <c r="C1152" s="28" t="s">
        <v>8143</v>
      </c>
      <c r="D1152" s="28" t="s">
        <v>8144</v>
      </c>
      <c r="E1152" s="28" t="s">
        <v>8145</v>
      </c>
      <c r="F1152" s="28"/>
      <c r="G1152" s="28"/>
      <c r="H1152" s="28"/>
      <c r="I1152" s="28"/>
      <c r="J1152" s="28"/>
      <c r="K1152" s="28"/>
      <c r="L1152" s="28"/>
      <c r="M1152" s="28"/>
      <c r="N1152" s="28"/>
      <c r="O1152" s="181" t="s">
        <v>10699</v>
      </c>
      <c r="P1152" s="181"/>
      <c r="Q1152" s="181" t="s">
        <v>145</v>
      </c>
      <c r="R1152" s="181"/>
      <c r="S1152" s="181"/>
      <c r="T1152" s="181"/>
      <c r="U1152" s="181"/>
      <c r="V1152" s="181"/>
      <c r="W1152" s="181"/>
      <c r="X1152" s="181"/>
      <c r="Y1152" s="181"/>
      <c r="Z1152" s="181"/>
      <c r="AA1152" s="181"/>
      <c r="AB1152" s="181"/>
      <c r="AC1152" s="181"/>
      <c r="AD1152" s="70"/>
      <c r="AE1152" s="70"/>
      <c r="AF1152" s="70"/>
      <c r="AG1152" s="70"/>
      <c r="AH1152" s="70"/>
      <c r="AI1152" s="70"/>
      <c r="AJ1152" s="70"/>
      <c r="AK1152" s="70"/>
      <c r="AL1152" s="139"/>
      <c r="AM1152" s="139"/>
      <c r="AN1152" s="139"/>
      <c r="AO1152" s="70"/>
      <c r="AP1152" s="70"/>
      <c r="AQ1152" s="70"/>
      <c r="AR1152" s="70"/>
      <c r="AS1152" s="70"/>
      <c r="AT1152" s="70"/>
      <c r="AU1152" s="70"/>
      <c r="AV1152" s="70"/>
      <c r="AW1152" s="70"/>
      <c r="AX1152" s="70"/>
    </row>
    <row r="1153" ht="15.75" customHeight="1">
      <c r="A1153" s="68" t="s">
        <v>785</v>
      </c>
      <c r="B1153" s="169" t="s">
        <v>8146</v>
      </c>
      <c r="C1153" s="28" t="s">
        <v>8150</v>
      </c>
      <c r="D1153" s="28" t="s">
        <v>8151</v>
      </c>
      <c r="E1153" s="28" t="s">
        <v>8152</v>
      </c>
      <c r="F1153" s="28"/>
      <c r="G1153" s="28"/>
      <c r="H1153" s="28"/>
      <c r="I1153" s="28"/>
      <c r="J1153" s="28" t="s">
        <v>10700</v>
      </c>
      <c r="K1153" s="28"/>
      <c r="L1153" s="28"/>
      <c r="M1153" s="28"/>
      <c r="N1153" s="28"/>
      <c r="O1153" s="68" t="s">
        <v>10701</v>
      </c>
      <c r="P1153" s="67"/>
      <c r="Q1153" s="67" t="s">
        <v>145</v>
      </c>
      <c r="R1153" s="67"/>
      <c r="S1153" s="67"/>
      <c r="T1153" s="67"/>
      <c r="U1153" s="67"/>
      <c r="V1153" s="67"/>
      <c r="W1153" s="67"/>
      <c r="X1153" s="67"/>
      <c r="Y1153" s="67"/>
      <c r="Z1153" s="67"/>
      <c r="AA1153" s="67"/>
      <c r="AB1153" s="67"/>
      <c r="AC1153" s="67"/>
      <c r="AD1153" s="67"/>
      <c r="AE1153" s="67"/>
      <c r="AF1153" s="67"/>
      <c r="AG1153" s="67"/>
      <c r="AH1153" s="67"/>
      <c r="AI1153" s="67"/>
      <c r="AJ1153" s="67"/>
      <c r="AK1153" s="67"/>
      <c r="AL1153" s="67"/>
      <c r="AM1153" s="67"/>
      <c r="AN1153" s="67"/>
      <c r="AO1153" s="70"/>
      <c r="AP1153" s="70"/>
      <c r="AQ1153" s="70"/>
      <c r="AR1153" s="70"/>
      <c r="AS1153" s="70"/>
      <c r="AT1153" s="70"/>
      <c r="AU1153" s="70"/>
      <c r="AV1153" s="70"/>
      <c r="AW1153" s="70"/>
      <c r="AX1153" s="70"/>
    </row>
    <row r="1154" ht="15.75" customHeight="1">
      <c r="A1154" s="179" t="s">
        <v>246</v>
      </c>
      <c r="B1154" s="180" t="s">
        <v>8153</v>
      </c>
      <c r="C1154" s="28" t="s">
        <v>8157</v>
      </c>
      <c r="D1154" s="28" t="s">
        <v>8158</v>
      </c>
      <c r="E1154" s="28" t="s">
        <v>8159</v>
      </c>
      <c r="F1154" s="28"/>
      <c r="G1154" s="28"/>
      <c r="H1154" s="28"/>
      <c r="I1154" s="28"/>
      <c r="J1154" s="28"/>
      <c r="K1154" s="28"/>
      <c r="L1154" s="28"/>
      <c r="M1154" s="28"/>
      <c r="N1154" s="28"/>
      <c r="O1154" s="181" t="s">
        <v>10702</v>
      </c>
      <c r="P1154" s="181"/>
      <c r="Q1154" s="181" t="s">
        <v>145</v>
      </c>
      <c r="R1154" s="181"/>
      <c r="S1154" s="181"/>
      <c r="T1154" s="181"/>
      <c r="U1154" s="181"/>
      <c r="V1154" s="181"/>
      <c r="W1154" s="181"/>
      <c r="X1154" s="181"/>
      <c r="Y1154" s="181"/>
      <c r="Z1154" s="181"/>
      <c r="AA1154" s="181"/>
      <c r="AB1154" s="181"/>
      <c r="AC1154" s="181"/>
      <c r="AD1154" s="67"/>
      <c r="AE1154" s="67"/>
      <c r="AF1154" s="67"/>
      <c r="AG1154" s="67"/>
      <c r="AH1154" s="67"/>
      <c r="AI1154" s="67"/>
      <c r="AJ1154" s="67"/>
      <c r="AK1154" s="67"/>
      <c r="AL1154" s="67"/>
      <c r="AM1154" s="67"/>
      <c r="AN1154" s="67"/>
      <c r="AO1154" s="70"/>
      <c r="AP1154" s="70"/>
      <c r="AQ1154" s="70"/>
      <c r="AR1154" s="70"/>
      <c r="AS1154" s="70"/>
      <c r="AT1154" s="70"/>
      <c r="AU1154" s="70"/>
      <c r="AV1154" s="70"/>
      <c r="AW1154" s="70"/>
      <c r="AX1154" s="70"/>
    </row>
    <row r="1155" ht="15.75" customHeight="1">
      <c r="A1155" s="140" t="s">
        <v>131</v>
      </c>
      <c r="B1155" s="164" t="s">
        <v>8160</v>
      </c>
      <c r="C1155" s="28"/>
      <c r="D1155" s="28"/>
      <c r="E1155" s="28"/>
      <c r="F1155" s="28"/>
      <c r="G1155" s="28"/>
      <c r="H1155" s="28"/>
      <c r="I1155" s="28"/>
      <c r="J1155" s="28"/>
      <c r="K1155" s="28"/>
      <c r="L1155" s="28"/>
      <c r="M1155" s="28"/>
      <c r="N1155" s="28"/>
      <c r="O1155" s="190" t="s">
        <v>10703</v>
      </c>
      <c r="P1155" s="139"/>
      <c r="Q1155" s="139"/>
      <c r="R1155" s="139"/>
      <c r="S1155" s="139"/>
      <c r="T1155" s="139"/>
      <c r="U1155" s="139"/>
      <c r="V1155" s="139"/>
      <c r="W1155" s="139"/>
      <c r="X1155" s="139"/>
      <c r="Y1155" s="139"/>
      <c r="Z1155" s="139"/>
      <c r="AA1155" s="139"/>
      <c r="AB1155" s="139"/>
      <c r="AC1155" s="139"/>
      <c r="AD1155" s="67"/>
      <c r="AE1155" s="67"/>
      <c r="AF1155" s="67"/>
      <c r="AG1155" s="67"/>
      <c r="AH1155" s="67"/>
      <c r="AI1155" s="67"/>
      <c r="AJ1155" s="67"/>
      <c r="AK1155" s="67"/>
      <c r="AL1155" s="67"/>
      <c r="AM1155" s="67"/>
      <c r="AN1155" s="67"/>
      <c r="AO1155" s="70"/>
      <c r="AP1155" s="70"/>
      <c r="AQ1155" s="70"/>
      <c r="AR1155" s="70"/>
      <c r="AS1155" s="70"/>
      <c r="AT1155" s="70"/>
      <c r="AU1155" s="70"/>
      <c r="AV1155" s="70"/>
      <c r="AW1155" s="70"/>
      <c r="AX1155" s="70"/>
    </row>
    <row r="1156" ht="15.75" customHeight="1">
      <c r="A1156" s="68" t="s">
        <v>463</v>
      </c>
      <c r="B1156" s="169" t="s">
        <v>8162</v>
      </c>
      <c r="C1156" s="28" t="s">
        <v>8166</v>
      </c>
      <c r="D1156" s="28" t="s">
        <v>8167</v>
      </c>
      <c r="E1156" s="28" t="s">
        <v>8168</v>
      </c>
      <c r="F1156" s="28"/>
      <c r="G1156" s="28"/>
      <c r="H1156" s="28"/>
      <c r="I1156" s="28"/>
      <c r="J1156" s="28"/>
      <c r="K1156" s="28"/>
      <c r="L1156" s="28"/>
      <c r="M1156" s="28"/>
      <c r="N1156" s="28"/>
      <c r="O1156" s="67" t="s">
        <v>10704</v>
      </c>
      <c r="P1156" s="67"/>
      <c r="Q1156" s="67" t="s">
        <v>145</v>
      </c>
      <c r="R1156" s="67"/>
      <c r="S1156" s="67"/>
      <c r="T1156" s="67"/>
      <c r="U1156" s="67"/>
      <c r="V1156" s="67"/>
      <c r="W1156" s="67"/>
      <c r="X1156" s="67"/>
      <c r="Y1156" s="67"/>
      <c r="Z1156" s="67"/>
      <c r="AA1156" s="67"/>
      <c r="AB1156" s="67"/>
      <c r="AC1156" s="67"/>
      <c r="AD1156" s="67"/>
      <c r="AE1156" s="67"/>
      <c r="AF1156" s="67"/>
      <c r="AG1156" s="67"/>
      <c r="AH1156" s="67"/>
      <c r="AI1156" s="67"/>
      <c r="AJ1156" s="67"/>
      <c r="AK1156" s="67"/>
      <c r="AL1156" s="67"/>
      <c r="AM1156" s="67"/>
      <c r="AN1156" s="67"/>
      <c r="AO1156" s="70"/>
      <c r="AP1156" s="70"/>
      <c r="AQ1156" s="70"/>
      <c r="AR1156" s="70"/>
      <c r="AS1156" s="70"/>
      <c r="AT1156" s="70"/>
      <c r="AU1156" s="70"/>
      <c r="AV1156" s="70"/>
      <c r="AW1156" s="70"/>
      <c r="AX1156" s="70"/>
    </row>
    <row r="1157" ht="15.75" customHeight="1">
      <c r="A1157" s="68" t="s">
        <v>5848</v>
      </c>
      <c r="B1157" s="169" t="s">
        <v>8169</v>
      </c>
      <c r="C1157" s="28" t="s">
        <v>8176</v>
      </c>
      <c r="D1157" s="28" t="s">
        <v>8177</v>
      </c>
      <c r="E1157" s="28" t="s">
        <v>8178</v>
      </c>
      <c r="F1157" s="28"/>
      <c r="G1157" s="28"/>
      <c r="H1157" s="28"/>
      <c r="I1157" s="28"/>
      <c r="J1157" s="28"/>
      <c r="K1157" s="28"/>
      <c r="L1157" s="28"/>
      <c r="M1157" s="28"/>
      <c r="N1157" s="28"/>
      <c r="O1157" s="67" t="s">
        <v>10705</v>
      </c>
      <c r="P1157" s="67"/>
      <c r="Q1157" s="67" t="s">
        <v>145</v>
      </c>
      <c r="R1157" s="67"/>
      <c r="S1157" s="67"/>
      <c r="T1157" s="67"/>
      <c r="U1157" s="67"/>
      <c r="V1157" s="67"/>
      <c r="W1157" s="67"/>
      <c r="X1157" s="67"/>
      <c r="Y1157" s="67"/>
      <c r="Z1157" s="67"/>
      <c r="AA1157" s="67"/>
      <c r="AB1157" s="67"/>
      <c r="AC1157" s="67"/>
      <c r="AD1157" s="126"/>
      <c r="AE1157" s="126"/>
      <c r="AF1157" s="126"/>
      <c r="AG1157" s="126"/>
      <c r="AH1157" s="126"/>
      <c r="AI1157" s="126"/>
      <c r="AJ1157" s="126"/>
      <c r="AK1157" s="126"/>
      <c r="AL1157" s="126"/>
      <c r="AM1157" s="126"/>
      <c r="AN1157" s="126"/>
      <c r="AO1157" s="70"/>
      <c r="AP1157" s="70"/>
      <c r="AQ1157" s="70"/>
      <c r="AR1157" s="70"/>
      <c r="AS1157" s="70"/>
      <c r="AT1157" s="70"/>
      <c r="AU1157" s="70"/>
      <c r="AV1157" s="70"/>
      <c r="AW1157" s="70"/>
      <c r="AX1157" s="70"/>
    </row>
    <row r="1158" ht="15.75" customHeight="1">
      <c r="A1158" s="179" t="s">
        <v>246</v>
      </c>
      <c r="B1158" s="180" t="s">
        <v>8179</v>
      </c>
      <c r="C1158" s="28" t="s">
        <v>8183</v>
      </c>
      <c r="D1158" s="28" t="s">
        <v>8184</v>
      </c>
      <c r="E1158" s="28" t="s">
        <v>8185</v>
      </c>
      <c r="F1158" s="28"/>
      <c r="G1158" s="28"/>
      <c r="H1158" s="28"/>
      <c r="I1158" s="28"/>
      <c r="J1158" s="28"/>
      <c r="K1158" s="28"/>
      <c r="L1158" s="28"/>
      <c r="M1158" s="28"/>
      <c r="N1158" s="28"/>
      <c r="O1158" s="181" t="s">
        <v>10706</v>
      </c>
      <c r="P1158" s="181"/>
      <c r="Q1158" s="181"/>
      <c r="R1158" s="181"/>
      <c r="S1158" s="181"/>
      <c r="T1158" s="181"/>
      <c r="U1158" s="181"/>
      <c r="V1158" s="181"/>
      <c r="W1158" s="181"/>
      <c r="X1158" s="181"/>
      <c r="Y1158" s="181"/>
      <c r="Z1158" s="181"/>
      <c r="AA1158" s="181"/>
      <c r="AB1158" s="181"/>
      <c r="AC1158" s="181"/>
      <c r="AD1158" s="126"/>
      <c r="AE1158" s="126"/>
      <c r="AF1158" s="126"/>
      <c r="AG1158" s="126"/>
      <c r="AH1158" s="126"/>
      <c r="AI1158" s="126"/>
      <c r="AJ1158" s="126"/>
      <c r="AK1158" s="126"/>
      <c r="AL1158" s="126"/>
      <c r="AM1158" s="126"/>
      <c r="AN1158" s="126"/>
      <c r="AO1158" s="70"/>
      <c r="AP1158" s="70"/>
      <c r="AQ1158" s="70"/>
      <c r="AR1158" s="70"/>
      <c r="AS1158" s="70"/>
      <c r="AT1158" s="70"/>
      <c r="AU1158" s="70"/>
      <c r="AV1158" s="70"/>
      <c r="AW1158" s="70"/>
      <c r="AX1158" s="70"/>
    </row>
    <row r="1159" ht="15.75" customHeight="1">
      <c r="A1159" s="68" t="s">
        <v>463</v>
      </c>
      <c r="B1159" s="169" t="s">
        <v>8186</v>
      </c>
      <c r="C1159" s="28" t="s">
        <v>8194</v>
      </c>
      <c r="D1159" s="28" t="s">
        <v>8195</v>
      </c>
      <c r="E1159" s="28" t="s">
        <v>8196</v>
      </c>
      <c r="F1159" s="28"/>
      <c r="G1159" s="28"/>
      <c r="H1159" s="28"/>
      <c r="I1159" s="28"/>
      <c r="J1159" s="28"/>
      <c r="K1159" s="28"/>
      <c r="L1159" s="28"/>
      <c r="M1159" s="28"/>
      <c r="N1159" s="28"/>
      <c r="O1159" s="67" t="s">
        <v>10707</v>
      </c>
      <c r="P1159" s="67"/>
      <c r="Q1159" s="67" t="s">
        <v>145</v>
      </c>
      <c r="R1159" s="67"/>
      <c r="S1159" s="67"/>
      <c r="T1159" s="67"/>
      <c r="U1159" s="67"/>
      <c r="V1159" s="67"/>
      <c r="W1159" s="67"/>
      <c r="X1159" s="67"/>
      <c r="Y1159" s="67"/>
      <c r="Z1159" s="67"/>
      <c r="AA1159" s="67"/>
      <c r="AB1159" s="67"/>
      <c r="AC1159" s="67"/>
      <c r="AD1159" s="70"/>
      <c r="AE1159" s="70"/>
      <c r="AF1159" s="70"/>
      <c r="AG1159" s="70"/>
      <c r="AH1159" s="70"/>
      <c r="AI1159" s="70"/>
      <c r="AJ1159" s="70"/>
      <c r="AK1159" s="70"/>
      <c r="AL1159" s="139"/>
      <c r="AM1159" s="139"/>
      <c r="AN1159" s="139"/>
      <c r="AO1159" s="70"/>
      <c r="AP1159" s="70"/>
      <c r="AQ1159" s="70"/>
      <c r="AR1159" s="70"/>
      <c r="AS1159" s="70"/>
      <c r="AT1159" s="70"/>
      <c r="AU1159" s="70"/>
      <c r="AV1159" s="70"/>
      <c r="AW1159" s="70"/>
      <c r="AX1159" s="70"/>
    </row>
    <row r="1160" ht="15.75" customHeight="1">
      <c r="A1160" s="170" t="s">
        <v>263</v>
      </c>
      <c r="B1160" s="171" t="s">
        <v>8197</v>
      </c>
      <c r="C1160" s="28" t="s">
        <v>8204</v>
      </c>
      <c r="D1160" s="28" t="s">
        <v>8205</v>
      </c>
      <c r="E1160" s="28" t="s">
        <v>8206</v>
      </c>
      <c r="F1160" s="28"/>
      <c r="G1160" s="28"/>
      <c r="H1160" s="28"/>
      <c r="I1160" s="28"/>
      <c r="J1160" s="28"/>
      <c r="K1160" s="28" t="s">
        <v>864</v>
      </c>
      <c r="L1160" s="28"/>
      <c r="M1160" s="28"/>
      <c r="N1160" s="28"/>
      <c r="O1160" s="173" t="s">
        <v>10708</v>
      </c>
      <c r="P1160" s="173"/>
      <c r="Q1160" s="173" t="s">
        <v>145</v>
      </c>
      <c r="R1160" s="173"/>
      <c r="S1160" s="173"/>
      <c r="T1160" s="173"/>
      <c r="U1160" s="173"/>
      <c r="V1160" s="173"/>
      <c r="W1160" s="173"/>
      <c r="X1160" s="173"/>
      <c r="Y1160" s="173"/>
      <c r="Z1160" s="173"/>
      <c r="AA1160" s="173"/>
      <c r="AB1160" s="173"/>
      <c r="AC1160" s="173"/>
      <c r="AD1160" s="70"/>
      <c r="AE1160" s="70"/>
      <c r="AF1160" s="70"/>
      <c r="AG1160" s="70"/>
      <c r="AH1160" s="70"/>
      <c r="AI1160" s="70"/>
      <c r="AJ1160" s="70"/>
      <c r="AK1160" s="70"/>
      <c r="AL1160" s="139"/>
      <c r="AM1160" s="139"/>
      <c r="AN1160" s="139"/>
      <c r="AO1160" s="70"/>
      <c r="AP1160" s="70"/>
      <c r="AQ1160" s="70"/>
      <c r="AR1160" s="70"/>
      <c r="AS1160" s="70"/>
      <c r="AT1160" s="70"/>
      <c r="AU1160" s="70"/>
      <c r="AV1160" s="70"/>
      <c r="AW1160" s="70"/>
      <c r="AX1160" s="70"/>
    </row>
    <row r="1161" ht="15.75" customHeight="1">
      <c r="A1161" s="68" t="s">
        <v>8208</v>
      </c>
      <c r="B1161" s="169" t="s">
        <v>8209</v>
      </c>
      <c r="C1161" s="28" t="s">
        <v>8216</v>
      </c>
      <c r="D1161" s="28" t="s">
        <v>8218</v>
      </c>
      <c r="E1161" s="28" t="s">
        <v>8220</v>
      </c>
      <c r="F1161" s="28" t="s">
        <v>7285</v>
      </c>
      <c r="G1161" s="28" t="s">
        <v>7286</v>
      </c>
      <c r="H1161" s="28" t="s">
        <v>7288</v>
      </c>
      <c r="I1161" s="28"/>
      <c r="J1161" s="28"/>
      <c r="K1161" s="28"/>
      <c r="L1161" s="28"/>
      <c r="M1161" s="28"/>
      <c r="N1161" s="28"/>
      <c r="O1161" s="67" t="s">
        <v>10709</v>
      </c>
      <c r="P1161" s="67" t="s">
        <v>145</v>
      </c>
      <c r="Q1161" s="67" t="s">
        <v>145</v>
      </c>
      <c r="R1161" s="67"/>
      <c r="S1161" s="67"/>
      <c r="T1161" s="67"/>
      <c r="U1161" s="67"/>
      <c r="V1161" s="67"/>
      <c r="W1161" s="67"/>
      <c r="X1161" s="67"/>
      <c r="Y1161" s="67"/>
      <c r="Z1161" s="67"/>
      <c r="AA1161" s="67"/>
      <c r="AB1161" s="67"/>
      <c r="AC1161" s="67"/>
      <c r="AD1161" s="70"/>
      <c r="AE1161" s="70"/>
      <c r="AF1161" s="70"/>
      <c r="AG1161" s="70"/>
      <c r="AH1161" s="70"/>
      <c r="AI1161" s="70"/>
      <c r="AJ1161" s="70"/>
      <c r="AK1161" s="70"/>
      <c r="AL1161" s="139"/>
      <c r="AM1161" s="139"/>
      <c r="AN1161" s="139"/>
      <c r="AO1161" s="70"/>
      <c r="AP1161" s="70"/>
      <c r="AQ1161" s="70"/>
      <c r="AR1161" s="70"/>
      <c r="AS1161" s="70"/>
      <c r="AT1161" s="70"/>
      <c r="AU1161" s="70"/>
      <c r="AV1161" s="70"/>
      <c r="AW1161" s="70"/>
      <c r="AX1161" s="70"/>
    </row>
    <row r="1162" ht="15.75" customHeight="1">
      <c r="A1162" s="68" t="s">
        <v>463</v>
      </c>
      <c r="B1162" s="169" t="s">
        <v>8225</v>
      </c>
      <c r="C1162" s="28" t="s">
        <v>8230</v>
      </c>
      <c r="D1162" s="28" t="s">
        <v>8231</v>
      </c>
      <c r="E1162" s="28" t="s">
        <v>8232</v>
      </c>
      <c r="F1162" s="28"/>
      <c r="G1162" s="28"/>
      <c r="H1162" s="28"/>
      <c r="I1162" s="28"/>
      <c r="J1162" s="28"/>
      <c r="K1162" s="28"/>
      <c r="L1162" s="28"/>
      <c r="M1162" s="28"/>
      <c r="N1162" s="28"/>
      <c r="O1162" s="67" t="s">
        <v>10710</v>
      </c>
      <c r="P1162" s="67"/>
      <c r="Q1162" s="67" t="s">
        <v>145</v>
      </c>
      <c r="R1162" s="67"/>
      <c r="S1162" s="67"/>
      <c r="T1162" s="67"/>
      <c r="U1162" s="67"/>
      <c r="V1162" s="67"/>
      <c r="W1162" s="67"/>
      <c r="X1162" s="67"/>
      <c r="Y1162" s="67"/>
      <c r="Z1162" s="67"/>
      <c r="AA1162" s="67"/>
      <c r="AB1162" s="67"/>
      <c r="AC1162" s="67"/>
      <c r="AD1162" s="67"/>
      <c r="AE1162" s="67"/>
      <c r="AF1162" s="67"/>
      <c r="AG1162" s="67"/>
      <c r="AH1162" s="67"/>
      <c r="AI1162" s="67"/>
      <c r="AJ1162" s="67"/>
      <c r="AK1162" s="67"/>
      <c r="AL1162" s="67"/>
      <c r="AM1162" s="67"/>
      <c r="AN1162" s="67"/>
      <c r="AO1162" s="70"/>
      <c r="AP1162" s="70"/>
      <c r="AQ1162" s="70"/>
      <c r="AR1162" s="70"/>
      <c r="AS1162" s="70"/>
      <c r="AT1162" s="70"/>
      <c r="AU1162" s="70"/>
      <c r="AV1162" s="70"/>
      <c r="AW1162" s="70"/>
      <c r="AX1162" s="70"/>
    </row>
    <row r="1163" ht="15.75" customHeight="1">
      <c r="A1163" s="68" t="s">
        <v>8233</v>
      </c>
      <c r="B1163" s="169" t="s">
        <v>8234</v>
      </c>
      <c r="C1163" s="28" t="s">
        <v>8238</v>
      </c>
      <c r="D1163" s="28" t="s">
        <v>8239</v>
      </c>
      <c r="E1163" s="28" t="s">
        <v>8240</v>
      </c>
      <c r="F1163" s="28"/>
      <c r="G1163" s="28"/>
      <c r="H1163" s="28"/>
      <c r="I1163" s="28"/>
      <c r="J1163" s="28"/>
      <c r="K1163" s="28"/>
      <c r="L1163" s="28"/>
      <c r="M1163" s="28"/>
      <c r="N1163" s="28"/>
      <c r="O1163" s="67" t="s">
        <v>10711</v>
      </c>
      <c r="P1163" s="67"/>
      <c r="Q1163" s="67" t="s">
        <v>145</v>
      </c>
      <c r="R1163" s="67"/>
      <c r="S1163" s="67"/>
      <c r="T1163" s="67"/>
      <c r="U1163" s="67"/>
      <c r="V1163" s="67"/>
      <c r="W1163" s="67"/>
      <c r="X1163" s="67"/>
      <c r="Y1163" s="67"/>
      <c r="Z1163" s="67"/>
      <c r="AA1163" s="67"/>
      <c r="AB1163" s="67"/>
      <c r="AC1163" s="67"/>
      <c r="AD1163" s="67"/>
      <c r="AE1163" s="67"/>
      <c r="AF1163" s="67"/>
      <c r="AG1163" s="67"/>
      <c r="AH1163" s="67"/>
      <c r="AI1163" s="67"/>
      <c r="AJ1163" s="67"/>
      <c r="AK1163" s="67"/>
      <c r="AL1163" s="67"/>
      <c r="AM1163" s="67"/>
      <c r="AN1163" s="67"/>
      <c r="AO1163" s="70"/>
      <c r="AP1163" s="70"/>
      <c r="AQ1163" s="70"/>
      <c r="AR1163" s="70"/>
      <c r="AS1163" s="70"/>
      <c r="AT1163" s="70"/>
      <c r="AU1163" s="70"/>
      <c r="AV1163" s="70"/>
      <c r="AW1163" s="70"/>
      <c r="AX1163" s="70"/>
    </row>
    <row r="1164" ht="15.75" customHeight="1">
      <c r="A1164" s="170" t="s">
        <v>263</v>
      </c>
      <c r="B1164" s="171" t="s">
        <v>8242</v>
      </c>
      <c r="C1164" s="28" t="s">
        <v>8248</v>
      </c>
      <c r="D1164" s="28" t="s">
        <v>8249</v>
      </c>
      <c r="E1164" s="28" t="s">
        <v>8250</v>
      </c>
      <c r="F1164" s="28"/>
      <c r="G1164" s="28"/>
      <c r="H1164" s="28"/>
      <c r="I1164" s="28"/>
      <c r="J1164" s="28"/>
      <c r="K1164" s="28" t="s">
        <v>10712</v>
      </c>
      <c r="L1164" s="28"/>
      <c r="M1164" s="28"/>
      <c r="N1164" s="28"/>
      <c r="O1164" s="173" t="s">
        <v>10713</v>
      </c>
      <c r="P1164" s="173"/>
      <c r="Q1164" s="173" t="s">
        <v>145</v>
      </c>
      <c r="R1164" s="173"/>
      <c r="S1164" s="173"/>
      <c r="T1164" s="173"/>
      <c r="U1164" s="173"/>
      <c r="V1164" s="173"/>
      <c r="W1164" s="173"/>
      <c r="X1164" s="173"/>
      <c r="Y1164" s="173"/>
      <c r="Z1164" s="173"/>
      <c r="AA1164" s="173"/>
      <c r="AB1164" s="173"/>
      <c r="AC1164" s="173"/>
      <c r="AD1164" s="70"/>
      <c r="AE1164" s="70"/>
      <c r="AF1164" s="70"/>
      <c r="AG1164" s="70"/>
      <c r="AH1164" s="70"/>
      <c r="AI1164" s="70"/>
      <c r="AJ1164" s="70"/>
      <c r="AK1164" s="70"/>
      <c r="AL1164" s="173"/>
      <c r="AM1164" s="173"/>
      <c r="AN1164" s="173"/>
      <c r="AO1164" s="70"/>
      <c r="AP1164" s="70"/>
      <c r="AQ1164" s="70"/>
      <c r="AR1164" s="70"/>
      <c r="AS1164" s="70"/>
      <c r="AT1164" s="70"/>
      <c r="AU1164" s="70"/>
      <c r="AV1164" s="70"/>
      <c r="AW1164" s="70"/>
      <c r="AX1164" s="70"/>
    </row>
    <row r="1165" ht="15.75" customHeight="1">
      <c r="A1165" s="170" t="s">
        <v>263</v>
      </c>
      <c r="B1165" s="171" t="s">
        <v>8251</v>
      </c>
      <c r="C1165" s="28" t="s">
        <v>8258</v>
      </c>
      <c r="D1165" s="28" t="s">
        <v>8259</v>
      </c>
      <c r="E1165" s="28" t="s">
        <v>8260</v>
      </c>
      <c r="F1165" s="28"/>
      <c r="G1165" s="28"/>
      <c r="H1165" s="28"/>
      <c r="I1165" s="28"/>
      <c r="J1165" s="28"/>
      <c r="K1165" s="28" t="s">
        <v>10714</v>
      </c>
      <c r="L1165" s="28" t="s">
        <v>10715</v>
      </c>
      <c r="M1165" s="28"/>
      <c r="N1165" s="28"/>
      <c r="O1165" s="173" t="s">
        <v>10711</v>
      </c>
      <c r="P1165" s="173"/>
      <c r="Q1165" s="173" t="s">
        <v>145</v>
      </c>
      <c r="R1165" s="173"/>
      <c r="S1165" s="173"/>
      <c r="T1165" s="173"/>
      <c r="U1165" s="173"/>
      <c r="V1165" s="173"/>
      <c r="W1165" s="173"/>
      <c r="X1165" s="173"/>
      <c r="Y1165" s="173"/>
      <c r="Z1165" s="173"/>
      <c r="AA1165" s="173"/>
      <c r="AB1165" s="173"/>
      <c r="AC1165" s="173"/>
      <c r="AD1165" s="173"/>
      <c r="AE1165" s="173"/>
      <c r="AF1165" s="173"/>
      <c r="AG1165" s="173"/>
      <c r="AH1165" s="173"/>
      <c r="AI1165" s="173"/>
      <c r="AJ1165" s="173"/>
      <c r="AK1165" s="173"/>
      <c r="AL1165" s="173"/>
      <c r="AM1165" s="173"/>
      <c r="AN1165" s="173"/>
      <c r="AO1165" s="70"/>
      <c r="AP1165" s="70"/>
      <c r="AQ1165" s="70"/>
      <c r="AR1165" s="70"/>
      <c r="AS1165" s="70"/>
      <c r="AT1165" s="70"/>
      <c r="AU1165" s="70"/>
      <c r="AV1165" s="70"/>
      <c r="AW1165" s="70"/>
      <c r="AX1165" s="70"/>
    </row>
    <row r="1166" ht="15.75" customHeight="1">
      <c r="A1166" s="170" t="s">
        <v>263</v>
      </c>
      <c r="B1166" s="171" t="s">
        <v>8261</v>
      </c>
      <c r="C1166" s="28" t="s">
        <v>8265</v>
      </c>
      <c r="D1166" s="28" t="s">
        <v>8266</v>
      </c>
      <c r="E1166" s="28" t="s">
        <v>8267</v>
      </c>
      <c r="F1166" s="28"/>
      <c r="G1166" s="28"/>
      <c r="H1166" s="28"/>
      <c r="I1166" s="28"/>
      <c r="J1166" s="28"/>
      <c r="K1166" s="28" t="s">
        <v>10714</v>
      </c>
      <c r="L1166" s="28" t="s">
        <v>10715</v>
      </c>
      <c r="M1166" s="28"/>
      <c r="N1166" s="28"/>
      <c r="O1166" s="173" t="s">
        <v>10711</v>
      </c>
      <c r="P1166" s="173"/>
      <c r="Q1166" s="173" t="s">
        <v>145</v>
      </c>
      <c r="R1166" s="173"/>
      <c r="S1166" s="173"/>
      <c r="T1166" s="173"/>
      <c r="U1166" s="173"/>
      <c r="V1166" s="173"/>
      <c r="W1166" s="173"/>
      <c r="X1166" s="173"/>
      <c r="Y1166" s="173"/>
      <c r="Z1166" s="173"/>
      <c r="AA1166" s="173"/>
      <c r="AB1166" s="173"/>
      <c r="AC1166" s="173"/>
      <c r="AD1166" s="173"/>
      <c r="AE1166" s="173"/>
      <c r="AF1166" s="173"/>
      <c r="AG1166" s="173"/>
      <c r="AH1166" s="173"/>
      <c r="AI1166" s="173"/>
      <c r="AJ1166" s="173"/>
      <c r="AK1166" s="173"/>
      <c r="AL1166" s="173"/>
      <c r="AM1166" s="173"/>
      <c r="AN1166" s="173"/>
      <c r="AO1166" s="70"/>
      <c r="AP1166" s="70"/>
      <c r="AQ1166" s="70"/>
      <c r="AR1166" s="70"/>
      <c r="AS1166" s="70"/>
      <c r="AT1166" s="70"/>
      <c r="AU1166" s="70"/>
      <c r="AV1166" s="70"/>
      <c r="AW1166" s="70"/>
      <c r="AX1166" s="70"/>
    </row>
    <row r="1167" ht="15.75" customHeight="1">
      <c r="A1167" s="68" t="s">
        <v>2625</v>
      </c>
      <c r="B1167" s="169" t="s">
        <v>8271</v>
      </c>
      <c r="C1167" s="28" t="s">
        <v>8275</v>
      </c>
      <c r="D1167" s="28" t="s">
        <v>8276</v>
      </c>
      <c r="E1167" s="28" t="s">
        <v>8277</v>
      </c>
      <c r="F1167" s="28"/>
      <c r="G1167" s="28"/>
      <c r="H1167" s="28"/>
      <c r="I1167" s="28"/>
      <c r="J1167" s="28"/>
      <c r="K1167" s="28"/>
      <c r="L1167" s="28"/>
      <c r="M1167" s="28"/>
      <c r="N1167" s="28"/>
      <c r="O1167" s="67" t="s">
        <v>10716</v>
      </c>
      <c r="P1167" s="67"/>
      <c r="Q1167" s="67" t="s">
        <v>145</v>
      </c>
      <c r="R1167" s="67"/>
      <c r="S1167" s="67"/>
      <c r="T1167" s="67"/>
      <c r="U1167" s="67"/>
      <c r="V1167" s="67"/>
      <c r="W1167" s="67"/>
      <c r="X1167" s="67"/>
      <c r="Y1167" s="67"/>
      <c r="Z1167" s="67"/>
      <c r="AA1167" s="67"/>
      <c r="AB1167" s="67"/>
      <c r="AC1167" s="67"/>
      <c r="AD1167" s="70"/>
      <c r="AE1167" s="70"/>
      <c r="AF1167" s="70"/>
      <c r="AG1167" s="70"/>
      <c r="AH1167" s="70"/>
      <c r="AI1167" s="70"/>
      <c r="AJ1167" s="70"/>
      <c r="AK1167" s="70"/>
      <c r="AL1167" s="139"/>
      <c r="AM1167" s="139"/>
      <c r="AN1167" s="139"/>
      <c r="AO1167" s="70"/>
      <c r="AP1167" s="70"/>
      <c r="AQ1167" s="70"/>
      <c r="AR1167" s="70"/>
      <c r="AS1167" s="70"/>
      <c r="AT1167" s="70"/>
      <c r="AU1167" s="70"/>
      <c r="AV1167" s="70"/>
      <c r="AW1167" s="70"/>
      <c r="AX1167" s="70"/>
    </row>
    <row r="1168" ht="15.75" customHeight="1">
      <c r="A1168" s="170" t="s">
        <v>263</v>
      </c>
      <c r="B1168" s="171" t="s">
        <v>8278</v>
      </c>
      <c r="C1168" s="28" t="s">
        <v>8282</v>
      </c>
      <c r="D1168" s="28" t="s">
        <v>8283</v>
      </c>
      <c r="E1168" s="28" t="s">
        <v>8284</v>
      </c>
      <c r="F1168" s="28"/>
      <c r="G1168" s="28"/>
      <c r="H1168" s="28"/>
      <c r="I1168" s="28"/>
      <c r="J1168" s="28"/>
      <c r="K1168" s="28" t="s">
        <v>10717</v>
      </c>
      <c r="L1168" s="28"/>
      <c r="M1168" s="28"/>
      <c r="N1168" s="28"/>
      <c r="O1168" s="173" t="s">
        <v>10718</v>
      </c>
      <c r="P1168" s="173"/>
      <c r="Q1168" s="173" t="s">
        <v>145</v>
      </c>
      <c r="R1168" s="173"/>
      <c r="S1168" s="173"/>
      <c r="T1168" s="173"/>
      <c r="U1168" s="173"/>
      <c r="V1168" s="173"/>
      <c r="W1168" s="173"/>
      <c r="X1168" s="173"/>
      <c r="Y1168" s="173"/>
      <c r="Z1168" s="173"/>
      <c r="AA1168" s="173"/>
      <c r="AB1168" s="173"/>
      <c r="AC1168" s="173"/>
      <c r="AD1168" s="70"/>
      <c r="AE1168" s="70"/>
      <c r="AF1168" s="70"/>
      <c r="AG1168" s="70"/>
      <c r="AH1168" s="70"/>
      <c r="AI1168" s="70"/>
      <c r="AJ1168" s="70"/>
      <c r="AK1168" s="70"/>
      <c r="AL1168" s="139"/>
      <c r="AM1168" s="139"/>
      <c r="AN1168" s="139"/>
      <c r="AO1168" s="70"/>
      <c r="AP1168" s="70"/>
      <c r="AQ1168" s="70"/>
      <c r="AR1168" s="70"/>
      <c r="AS1168" s="70"/>
      <c r="AT1168" s="70"/>
      <c r="AU1168" s="70"/>
      <c r="AV1168" s="70"/>
      <c r="AW1168" s="70"/>
      <c r="AX1168" s="70"/>
    </row>
    <row r="1169" ht="15.75" customHeight="1">
      <c r="A1169" s="140" t="s">
        <v>237</v>
      </c>
      <c r="B1169" s="191" t="s">
        <v>8285</v>
      </c>
      <c r="C1169" s="28"/>
      <c r="D1169" s="28"/>
      <c r="E1169" s="28"/>
      <c r="F1169" s="28"/>
      <c r="G1169" s="28"/>
      <c r="H1169" s="28"/>
      <c r="I1169" s="28"/>
      <c r="J1169" s="28"/>
      <c r="K1169" s="28"/>
      <c r="L1169" s="28"/>
      <c r="M1169" s="28"/>
      <c r="N1169" s="28"/>
      <c r="O1169" s="139"/>
      <c r="P1169" s="139"/>
      <c r="Q1169" s="139"/>
      <c r="R1169" s="139"/>
      <c r="S1169" s="139"/>
      <c r="T1169" s="139"/>
      <c r="U1169" s="139"/>
      <c r="V1169" s="139"/>
      <c r="W1169" s="139"/>
      <c r="X1169" s="139"/>
      <c r="Y1169" s="139"/>
      <c r="Z1169" s="139"/>
      <c r="AA1169" s="139"/>
      <c r="AB1169" s="139"/>
      <c r="AC1169" s="139"/>
      <c r="AD1169" s="70"/>
      <c r="AE1169" s="70"/>
      <c r="AF1169" s="70"/>
      <c r="AG1169" s="70"/>
      <c r="AH1169" s="70"/>
      <c r="AI1169" s="70"/>
      <c r="AJ1169" s="70"/>
      <c r="AK1169" s="70"/>
      <c r="AL1169" s="70"/>
      <c r="AM1169" s="70"/>
      <c r="AN1169" s="70"/>
      <c r="AO1169" s="70"/>
      <c r="AP1169" s="70"/>
      <c r="AQ1169" s="70"/>
      <c r="AR1169" s="70"/>
      <c r="AS1169" s="70"/>
      <c r="AT1169" s="70"/>
      <c r="AU1169" s="70"/>
      <c r="AV1169" s="70"/>
      <c r="AW1169" s="70"/>
      <c r="AX1169" s="70"/>
    </row>
    <row r="1170" ht="15.75" customHeight="1">
      <c r="A1170" s="221"/>
      <c r="B1170" s="222"/>
      <c r="C1170" s="28"/>
      <c r="D1170" s="28"/>
      <c r="E1170" s="28"/>
      <c r="F1170" s="28"/>
      <c r="G1170" s="28"/>
      <c r="H1170" s="28"/>
      <c r="I1170" s="28"/>
      <c r="J1170" s="28"/>
      <c r="K1170" s="28"/>
      <c r="L1170" s="28"/>
      <c r="M1170" s="28"/>
      <c r="N1170" s="28"/>
      <c r="O1170" s="70"/>
      <c r="P1170" s="70"/>
      <c r="Q1170" s="70"/>
      <c r="R1170" s="70"/>
      <c r="S1170" s="70"/>
      <c r="T1170" s="70"/>
      <c r="U1170" s="70"/>
      <c r="V1170" s="70"/>
      <c r="W1170" s="70"/>
      <c r="X1170" s="70"/>
      <c r="Y1170" s="70"/>
      <c r="Z1170" s="70"/>
      <c r="AA1170" s="70"/>
      <c r="AB1170" s="70"/>
      <c r="AC1170" s="70"/>
      <c r="AD1170" s="70"/>
      <c r="AE1170" s="70"/>
      <c r="AF1170" s="70"/>
      <c r="AG1170" s="70"/>
      <c r="AH1170" s="70"/>
      <c r="AI1170" s="70"/>
      <c r="AJ1170" s="70"/>
      <c r="AK1170" s="70"/>
      <c r="AL1170" s="70"/>
      <c r="AM1170" s="70"/>
      <c r="AN1170" s="70"/>
      <c r="AO1170" s="70"/>
      <c r="AP1170" s="70"/>
      <c r="AQ1170" s="70"/>
      <c r="AR1170" s="70"/>
      <c r="AS1170" s="70"/>
      <c r="AT1170" s="70"/>
      <c r="AU1170" s="70"/>
      <c r="AV1170" s="70"/>
      <c r="AW1170" s="70"/>
      <c r="AX1170" s="70"/>
    </row>
    <row r="1171" ht="15.75" customHeight="1">
      <c r="A1171" s="140" t="s">
        <v>131</v>
      </c>
      <c r="B1171" s="164" t="s">
        <v>8295</v>
      </c>
      <c r="C1171" s="28" t="s">
        <v>8296</v>
      </c>
      <c r="D1171" s="28"/>
      <c r="E1171" s="28"/>
      <c r="F1171" s="28"/>
      <c r="G1171" s="28"/>
      <c r="H1171" s="28"/>
      <c r="I1171" s="28"/>
      <c r="J1171" s="28"/>
      <c r="K1171" s="28"/>
      <c r="L1171" s="28"/>
      <c r="M1171" s="28"/>
      <c r="N1171" s="28"/>
      <c r="O1171" s="190" t="s">
        <v>10719</v>
      </c>
      <c r="P1171" s="139"/>
      <c r="Q1171" s="139"/>
      <c r="R1171" s="139"/>
      <c r="S1171" s="139"/>
      <c r="T1171" s="139"/>
      <c r="U1171" s="139"/>
      <c r="V1171" s="139"/>
      <c r="W1171" s="139"/>
      <c r="X1171" s="139"/>
      <c r="Y1171" s="139"/>
      <c r="Z1171" s="139"/>
      <c r="AA1171" s="139"/>
      <c r="AB1171" s="139"/>
      <c r="AC1171" s="139"/>
      <c r="AD1171" s="70"/>
      <c r="AE1171" s="70"/>
      <c r="AF1171" s="70"/>
      <c r="AG1171" s="70"/>
      <c r="AH1171" s="70"/>
      <c r="AI1171" s="70"/>
      <c r="AJ1171" s="70"/>
      <c r="AK1171" s="70"/>
      <c r="AL1171" s="70"/>
      <c r="AM1171" s="70"/>
      <c r="AN1171" s="70"/>
      <c r="AO1171" s="70"/>
      <c r="AP1171" s="70"/>
      <c r="AQ1171" s="70"/>
      <c r="AR1171" s="70"/>
      <c r="AS1171" s="70"/>
      <c r="AT1171" s="70"/>
      <c r="AU1171" s="70"/>
      <c r="AV1171" s="70"/>
      <c r="AW1171" s="70"/>
      <c r="AX1171" s="70"/>
    </row>
    <row r="1172" ht="15.75" customHeight="1">
      <c r="A1172" s="166" t="s">
        <v>41</v>
      </c>
      <c r="B1172" s="167" t="s">
        <v>8301</v>
      </c>
      <c r="C1172" s="28" t="s">
        <v>8305</v>
      </c>
      <c r="D1172" s="28" t="s">
        <v>8306</v>
      </c>
      <c r="E1172" s="28" t="s">
        <v>8307</v>
      </c>
      <c r="F1172" s="28"/>
      <c r="G1172" s="28"/>
      <c r="H1172" s="28"/>
      <c r="I1172" s="28"/>
      <c r="J1172" s="28"/>
      <c r="K1172" s="28"/>
      <c r="L1172" s="28"/>
      <c r="M1172" s="28"/>
      <c r="N1172" s="28"/>
      <c r="O1172" s="126"/>
      <c r="P1172" s="126"/>
      <c r="Q1172" s="126"/>
      <c r="R1172" s="126"/>
      <c r="S1172" s="126"/>
      <c r="T1172" s="126"/>
      <c r="U1172" s="126"/>
      <c r="V1172" s="126"/>
      <c r="W1172" s="126"/>
      <c r="X1172" s="126"/>
      <c r="Y1172" s="126"/>
      <c r="Z1172" s="126"/>
      <c r="AA1172" s="126"/>
      <c r="AB1172" s="126"/>
      <c r="AC1172" s="126"/>
      <c r="AD1172" s="70"/>
      <c r="AE1172" s="70"/>
      <c r="AF1172" s="70"/>
      <c r="AG1172" s="70"/>
      <c r="AH1172" s="70"/>
      <c r="AI1172" s="70"/>
      <c r="AJ1172" s="70"/>
      <c r="AK1172" s="70"/>
      <c r="AL1172" s="70"/>
      <c r="AM1172" s="70"/>
      <c r="AN1172" s="70"/>
      <c r="AO1172" s="70"/>
      <c r="AP1172" s="70"/>
      <c r="AQ1172" s="70"/>
      <c r="AR1172" s="70"/>
      <c r="AS1172" s="70"/>
      <c r="AT1172" s="70"/>
      <c r="AU1172" s="70"/>
      <c r="AV1172" s="70"/>
      <c r="AW1172" s="70"/>
      <c r="AX1172" s="70"/>
    </row>
    <row r="1173" ht="15.75" customHeight="1">
      <c r="A1173" s="68" t="s">
        <v>2625</v>
      </c>
      <c r="B1173" s="169" t="s">
        <v>8308</v>
      </c>
      <c r="C1173" s="28" t="s">
        <v>8312</v>
      </c>
      <c r="D1173" s="28" t="s">
        <v>8313</v>
      </c>
      <c r="E1173" s="28" t="s">
        <v>8314</v>
      </c>
      <c r="F1173" s="28" t="s">
        <v>10578</v>
      </c>
      <c r="G1173" s="28" t="s">
        <v>10579</v>
      </c>
      <c r="H1173" s="28"/>
      <c r="I1173" s="28"/>
      <c r="J1173" s="28"/>
      <c r="K1173" s="28"/>
      <c r="L1173" s="28"/>
      <c r="M1173" s="28"/>
      <c r="N1173" s="28"/>
      <c r="O1173" s="295"/>
      <c r="P1173" s="67"/>
      <c r="Q1173" s="67" t="s">
        <v>145</v>
      </c>
      <c r="R1173" s="67"/>
      <c r="S1173" s="67"/>
      <c r="T1173" s="67"/>
      <c r="U1173" s="67"/>
      <c r="V1173" s="67"/>
      <c r="W1173" s="67"/>
      <c r="X1173" s="67"/>
      <c r="Y1173" s="67"/>
      <c r="Z1173" s="67"/>
      <c r="AA1173" s="67"/>
      <c r="AB1173" s="67"/>
      <c r="AC1173" s="67"/>
      <c r="AD1173" s="70"/>
      <c r="AE1173" s="70"/>
      <c r="AF1173" s="70"/>
      <c r="AG1173" s="70"/>
      <c r="AH1173" s="70"/>
      <c r="AI1173" s="70"/>
      <c r="AJ1173" s="70"/>
      <c r="AK1173" s="70"/>
      <c r="AL1173" s="70"/>
      <c r="AM1173" s="70"/>
      <c r="AN1173" s="70"/>
      <c r="AO1173" s="70"/>
      <c r="AP1173" s="70"/>
      <c r="AQ1173" s="70"/>
      <c r="AR1173" s="70"/>
      <c r="AS1173" s="70"/>
      <c r="AT1173" s="70"/>
      <c r="AU1173" s="70"/>
      <c r="AV1173" s="70"/>
      <c r="AW1173" s="70"/>
      <c r="AX1173" s="70"/>
    </row>
    <row r="1174" ht="15.75" customHeight="1">
      <c r="A1174" s="68" t="s">
        <v>4994</v>
      </c>
      <c r="B1174" s="169" t="s">
        <v>8317</v>
      </c>
      <c r="C1174" s="28" t="s">
        <v>8322</v>
      </c>
      <c r="D1174" s="28" t="s">
        <v>8323</v>
      </c>
      <c r="E1174" s="28" t="s">
        <v>8324</v>
      </c>
      <c r="F1174" s="28" t="s">
        <v>7285</v>
      </c>
      <c r="G1174" s="28" t="s">
        <v>7286</v>
      </c>
      <c r="H1174" s="28" t="s">
        <v>7288</v>
      </c>
      <c r="I1174" s="28"/>
      <c r="J1174" s="28"/>
      <c r="K1174" s="28" t="s">
        <v>10472</v>
      </c>
      <c r="L1174" s="28"/>
      <c r="M1174" s="28"/>
      <c r="N1174" s="28"/>
      <c r="O1174" s="295" t="s">
        <v>10720</v>
      </c>
      <c r="P1174" s="67"/>
      <c r="Q1174" s="67" t="s">
        <v>145</v>
      </c>
      <c r="R1174" s="67"/>
      <c r="S1174" s="67"/>
      <c r="T1174" s="67"/>
      <c r="U1174" s="67"/>
      <c r="V1174" s="67"/>
      <c r="W1174" s="67"/>
      <c r="X1174" s="67"/>
      <c r="Y1174" s="67" t="s">
        <v>10474</v>
      </c>
      <c r="Z1174" s="67"/>
      <c r="AA1174" s="67"/>
      <c r="AB1174" s="67"/>
      <c r="AC1174" s="67"/>
      <c r="AD1174" s="70"/>
      <c r="AE1174" s="70"/>
      <c r="AF1174" s="70"/>
      <c r="AG1174" s="70"/>
      <c r="AH1174" s="70"/>
      <c r="AI1174" s="70"/>
      <c r="AJ1174" s="70"/>
      <c r="AK1174" s="70"/>
      <c r="AL1174" s="70"/>
      <c r="AM1174" s="70"/>
      <c r="AN1174" s="70"/>
      <c r="AO1174" s="70"/>
      <c r="AP1174" s="70"/>
      <c r="AQ1174" s="70"/>
      <c r="AR1174" s="70"/>
      <c r="AS1174" s="70"/>
      <c r="AT1174" s="70"/>
      <c r="AU1174" s="70"/>
      <c r="AV1174" s="70"/>
      <c r="AW1174" s="70"/>
      <c r="AX1174" s="70"/>
    </row>
    <row r="1175" ht="15.75" customHeight="1">
      <c r="A1175" s="179" t="s">
        <v>246</v>
      </c>
      <c r="B1175" s="180" t="s">
        <v>8326</v>
      </c>
      <c r="C1175" s="28" t="s">
        <v>8330</v>
      </c>
      <c r="D1175" s="28" t="s">
        <v>8331</v>
      </c>
      <c r="E1175" s="28" t="s">
        <v>8333</v>
      </c>
      <c r="F1175" s="28"/>
      <c r="G1175" s="28"/>
      <c r="H1175" s="28"/>
      <c r="I1175" s="28"/>
      <c r="J1175" s="28"/>
      <c r="K1175" s="28"/>
      <c r="L1175" s="28"/>
      <c r="M1175" s="28"/>
      <c r="N1175" s="28"/>
      <c r="O1175" s="393" t="s">
        <v>10721</v>
      </c>
      <c r="P1175" s="181"/>
      <c r="Q1175" s="181" t="s">
        <v>145</v>
      </c>
      <c r="R1175" s="181"/>
      <c r="S1175" s="181"/>
      <c r="T1175" s="181"/>
      <c r="U1175" s="181"/>
      <c r="V1175" s="181"/>
      <c r="W1175" s="181"/>
      <c r="X1175" s="181"/>
      <c r="Y1175" s="181"/>
      <c r="Z1175" s="181"/>
      <c r="AA1175" s="181"/>
      <c r="AB1175" s="181"/>
      <c r="AC1175" s="181"/>
      <c r="AD1175" s="70"/>
      <c r="AE1175" s="70"/>
      <c r="AF1175" s="70"/>
      <c r="AG1175" s="70"/>
      <c r="AH1175" s="70"/>
      <c r="AI1175" s="70"/>
      <c r="AJ1175" s="70"/>
      <c r="AK1175" s="70"/>
      <c r="AL1175" s="70"/>
      <c r="AM1175" s="70"/>
      <c r="AN1175" s="70"/>
      <c r="AO1175" s="70"/>
      <c r="AP1175" s="70"/>
      <c r="AQ1175" s="70"/>
      <c r="AR1175" s="70"/>
      <c r="AS1175" s="70"/>
      <c r="AT1175" s="70"/>
      <c r="AU1175" s="70"/>
      <c r="AV1175" s="70"/>
      <c r="AW1175" s="70"/>
      <c r="AX1175" s="70"/>
    </row>
    <row r="1176" ht="15.75" customHeight="1">
      <c r="A1176" s="90" t="s">
        <v>78</v>
      </c>
      <c r="B1176" s="92" t="s">
        <v>8336</v>
      </c>
      <c r="C1176" s="28"/>
      <c r="D1176" s="28"/>
      <c r="E1176" s="28"/>
      <c r="F1176" s="28"/>
      <c r="G1176" s="28"/>
      <c r="H1176" s="28"/>
      <c r="I1176" s="28"/>
      <c r="J1176" s="28"/>
      <c r="K1176" s="28"/>
      <c r="L1176" s="28"/>
      <c r="M1176" s="28"/>
      <c r="N1176" s="28"/>
      <c r="O1176" s="392"/>
      <c r="P1176" s="96"/>
      <c r="Q1176" s="96"/>
      <c r="R1176" s="96"/>
      <c r="S1176" s="96"/>
      <c r="T1176" s="178" t="s">
        <v>10722</v>
      </c>
      <c r="U1176" s="96"/>
      <c r="V1176" s="96"/>
      <c r="W1176" s="96"/>
      <c r="X1176" s="96"/>
      <c r="Y1176" s="96"/>
      <c r="Z1176" s="96"/>
      <c r="AA1176" s="96"/>
      <c r="AB1176" s="96"/>
      <c r="AC1176" s="96"/>
      <c r="AD1176" s="70"/>
      <c r="AE1176" s="70"/>
      <c r="AF1176" s="70"/>
      <c r="AG1176" s="70"/>
      <c r="AH1176" s="70"/>
      <c r="AI1176" s="70"/>
      <c r="AJ1176" s="70"/>
      <c r="AK1176" s="70"/>
      <c r="AL1176" s="70"/>
      <c r="AM1176" s="70"/>
      <c r="AN1176" s="70"/>
      <c r="AO1176" s="70"/>
      <c r="AP1176" s="70"/>
      <c r="AQ1176" s="70"/>
      <c r="AR1176" s="70"/>
      <c r="AS1176" s="70"/>
      <c r="AT1176" s="70"/>
      <c r="AU1176" s="70"/>
      <c r="AV1176" s="70"/>
      <c r="AW1176" s="70"/>
      <c r="AX1176" s="70"/>
    </row>
    <row r="1177" ht="15.75" customHeight="1">
      <c r="A1177" s="90" t="s">
        <v>78</v>
      </c>
      <c r="B1177" s="92" t="s">
        <v>8337</v>
      </c>
      <c r="C1177" s="28"/>
      <c r="D1177" s="28"/>
      <c r="E1177" s="28"/>
      <c r="F1177" s="28"/>
      <c r="G1177" s="28"/>
      <c r="H1177" s="28"/>
      <c r="I1177" s="28"/>
      <c r="J1177" s="28"/>
      <c r="K1177" s="28"/>
      <c r="L1177" s="28"/>
      <c r="M1177" s="28"/>
      <c r="N1177" s="28"/>
      <c r="O1177" s="96"/>
      <c r="P1177" s="96"/>
      <c r="Q1177" s="96"/>
      <c r="R1177" s="96"/>
      <c r="S1177" s="96"/>
      <c r="T1177" s="178" t="s">
        <v>10723</v>
      </c>
      <c r="U1177" s="96"/>
      <c r="V1177" s="96"/>
      <c r="W1177" s="96"/>
      <c r="X1177" s="96"/>
      <c r="Y1177" s="96"/>
      <c r="Z1177" s="96"/>
      <c r="AA1177" s="96"/>
      <c r="AB1177" s="96"/>
      <c r="AC1177" s="96"/>
      <c r="AD1177" s="70"/>
      <c r="AE1177" s="70"/>
      <c r="AF1177" s="70"/>
      <c r="AG1177" s="70"/>
      <c r="AH1177" s="70"/>
      <c r="AI1177" s="70"/>
      <c r="AJ1177" s="70"/>
      <c r="AK1177" s="70"/>
      <c r="AL1177" s="70"/>
      <c r="AM1177" s="70"/>
      <c r="AN1177" s="70"/>
      <c r="AO1177" s="70"/>
      <c r="AP1177" s="70"/>
      <c r="AQ1177" s="70"/>
      <c r="AR1177" s="70"/>
      <c r="AS1177" s="70"/>
      <c r="AT1177" s="70"/>
      <c r="AU1177" s="70"/>
      <c r="AV1177" s="70"/>
      <c r="AW1177" s="70"/>
      <c r="AX1177" s="70"/>
    </row>
    <row r="1178" ht="15.75" customHeight="1">
      <c r="A1178" s="90" t="s">
        <v>78</v>
      </c>
      <c r="B1178" s="92" t="s">
        <v>8344</v>
      </c>
      <c r="C1178" s="28" t="s">
        <v>8345</v>
      </c>
      <c r="D1178" s="28"/>
      <c r="E1178" s="28"/>
      <c r="F1178" s="28"/>
      <c r="G1178" s="28"/>
      <c r="H1178" s="28"/>
      <c r="I1178" s="28"/>
      <c r="J1178" s="28"/>
      <c r="K1178" s="28"/>
      <c r="L1178" s="28"/>
      <c r="M1178" s="28"/>
      <c r="N1178" s="28"/>
      <c r="O1178" s="96"/>
      <c r="P1178" s="96"/>
      <c r="Q1178" s="96"/>
      <c r="R1178" s="96"/>
      <c r="S1178" s="96"/>
      <c r="T1178" s="178" t="s">
        <v>10724</v>
      </c>
      <c r="U1178" s="96"/>
      <c r="V1178" s="96"/>
      <c r="W1178" s="96"/>
      <c r="X1178" s="96"/>
      <c r="Y1178" s="96"/>
      <c r="Z1178" s="96"/>
      <c r="AA1178" s="96"/>
      <c r="AB1178" s="96"/>
      <c r="AC1178" s="96"/>
      <c r="AD1178" s="70"/>
      <c r="AE1178" s="70"/>
      <c r="AF1178" s="70"/>
      <c r="AG1178" s="70"/>
      <c r="AH1178" s="70"/>
      <c r="AI1178" s="70"/>
      <c r="AJ1178" s="70"/>
      <c r="AK1178" s="70"/>
      <c r="AL1178" s="70"/>
      <c r="AM1178" s="70"/>
      <c r="AN1178" s="70"/>
      <c r="AO1178" s="70"/>
      <c r="AP1178" s="70"/>
      <c r="AQ1178" s="70"/>
      <c r="AR1178" s="70"/>
      <c r="AS1178" s="70"/>
      <c r="AT1178" s="70"/>
      <c r="AU1178" s="70"/>
      <c r="AV1178" s="70"/>
      <c r="AW1178" s="70"/>
      <c r="AX1178" s="70"/>
    </row>
    <row r="1179" ht="15.75" customHeight="1">
      <c r="A1179" s="90" t="s">
        <v>78</v>
      </c>
      <c r="B1179" s="92" t="s">
        <v>8348</v>
      </c>
      <c r="C1179" s="28"/>
      <c r="D1179" s="28"/>
      <c r="E1179" s="28"/>
      <c r="F1179" s="28"/>
      <c r="G1179" s="28"/>
      <c r="H1179" s="28"/>
      <c r="I1179" s="28"/>
      <c r="J1179" s="28"/>
      <c r="K1179" s="28"/>
      <c r="L1179" s="28"/>
      <c r="M1179" s="28"/>
      <c r="N1179" s="28"/>
      <c r="O1179" s="96"/>
      <c r="P1179" s="96"/>
      <c r="Q1179" s="96"/>
      <c r="R1179" s="96"/>
      <c r="S1179" s="96"/>
      <c r="T1179" s="178" t="s">
        <v>10725</v>
      </c>
      <c r="U1179" s="96"/>
      <c r="V1179" s="96"/>
      <c r="W1179" s="96"/>
      <c r="X1179" s="96"/>
      <c r="Y1179" s="96"/>
      <c r="Z1179" s="96"/>
      <c r="AA1179" s="96"/>
      <c r="AB1179" s="96"/>
      <c r="AC1179" s="96"/>
      <c r="AD1179" s="70"/>
      <c r="AE1179" s="70"/>
      <c r="AF1179" s="70"/>
      <c r="AG1179" s="70"/>
      <c r="AH1179" s="70"/>
      <c r="AI1179" s="70"/>
      <c r="AJ1179" s="70"/>
      <c r="AK1179" s="70"/>
      <c r="AL1179" s="70"/>
      <c r="AM1179" s="70"/>
      <c r="AN1179" s="70"/>
      <c r="AO1179" s="70"/>
      <c r="AP1179" s="70"/>
      <c r="AQ1179" s="70"/>
      <c r="AR1179" s="70"/>
      <c r="AS1179" s="70"/>
      <c r="AT1179" s="70"/>
      <c r="AU1179" s="70"/>
      <c r="AV1179" s="70"/>
      <c r="AW1179" s="70"/>
      <c r="AX1179" s="70"/>
    </row>
    <row r="1180" ht="15.75" customHeight="1">
      <c r="A1180" s="90" t="s">
        <v>134</v>
      </c>
      <c r="B1180" s="92" t="s">
        <v>8352</v>
      </c>
      <c r="C1180" s="28"/>
      <c r="D1180" s="28"/>
      <c r="E1180" s="28"/>
      <c r="F1180" s="28"/>
      <c r="G1180" s="28"/>
      <c r="H1180" s="28"/>
      <c r="I1180" s="28"/>
      <c r="J1180" s="28"/>
      <c r="K1180" s="28"/>
      <c r="L1180" s="28"/>
      <c r="M1180" s="28"/>
      <c r="N1180" s="28"/>
      <c r="O1180" s="96"/>
      <c r="P1180" s="96"/>
      <c r="Q1180" s="96"/>
      <c r="R1180" s="96"/>
      <c r="S1180" s="96"/>
      <c r="T1180" s="178" t="s">
        <v>139</v>
      </c>
      <c r="U1180" s="96"/>
      <c r="V1180" s="96"/>
      <c r="W1180" s="96"/>
      <c r="X1180" s="96"/>
      <c r="Y1180" s="96"/>
      <c r="Z1180" s="96"/>
      <c r="AA1180" s="96"/>
      <c r="AB1180" s="96"/>
      <c r="AC1180" s="96"/>
      <c r="AD1180" s="70"/>
      <c r="AE1180" s="70"/>
      <c r="AF1180" s="70"/>
      <c r="AG1180" s="70"/>
      <c r="AH1180" s="70"/>
      <c r="AI1180" s="70"/>
      <c r="AJ1180" s="70"/>
      <c r="AK1180" s="70"/>
      <c r="AL1180" s="70"/>
      <c r="AM1180" s="70"/>
      <c r="AN1180" s="70"/>
      <c r="AO1180" s="70"/>
      <c r="AP1180" s="70"/>
      <c r="AQ1180" s="70"/>
      <c r="AR1180" s="70"/>
      <c r="AS1180" s="70"/>
      <c r="AT1180" s="70"/>
      <c r="AU1180" s="70"/>
      <c r="AV1180" s="70"/>
      <c r="AW1180" s="70"/>
      <c r="AX1180" s="70"/>
    </row>
    <row r="1181" ht="15.75" customHeight="1">
      <c r="A1181" s="174" t="s">
        <v>698</v>
      </c>
      <c r="B1181" s="175" t="s">
        <v>8353</v>
      </c>
      <c r="C1181" s="28" t="s">
        <v>8355</v>
      </c>
      <c r="D1181" s="28"/>
      <c r="E1181" s="28"/>
      <c r="F1181" s="28"/>
      <c r="G1181" s="28"/>
      <c r="H1181" s="28"/>
      <c r="I1181" s="28"/>
      <c r="J1181" s="28"/>
      <c r="K1181" s="28"/>
      <c r="L1181" s="28"/>
      <c r="M1181" s="28"/>
      <c r="N1181" s="28"/>
      <c r="O1181" s="177" t="s">
        <v>10726</v>
      </c>
      <c r="P1181" s="176"/>
      <c r="Q1181" s="176"/>
      <c r="R1181" s="176"/>
      <c r="S1181" s="176"/>
      <c r="T1181" s="176"/>
      <c r="U1181" s="177" t="s">
        <v>10727</v>
      </c>
      <c r="V1181" s="176"/>
      <c r="W1181" s="176"/>
      <c r="X1181" s="176"/>
      <c r="Y1181" s="176"/>
      <c r="Z1181" s="176"/>
      <c r="AA1181" s="176"/>
      <c r="AB1181" s="176"/>
      <c r="AC1181" s="176"/>
      <c r="AD1181" s="70"/>
      <c r="AE1181" s="70"/>
      <c r="AF1181" s="70"/>
      <c r="AG1181" s="70"/>
      <c r="AH1181" s="70"/>
      <c r="AI1181" s="70"/>
      <c r="AJ1181" s="70"/>
      <c r="AK1181" s="70"/>
      <c r="AL1181" s="70"/>
      <c r="AM1181" s="70"/>
      <c r="AN1181" s="70"/>
      <c r="AO1181" s="70"/>
      <c r="AP1181" s="70"/>
      <c r="AQ1181" s="70"/>
      <c r="AR1181" s="70"/>
      <c r="AS1181" s="70"/>
      <c r="AT1181" s="70"/>
      <c r="AU1181" s="70"/>
      <c r="AV1181" s="70"/>
      <c r="AW1181" s="70"/>
      <c r="AX1181" s="70"/>
    </row>
    <row r="1182" ht="15.75" customHeight="1">
      <c r="A1182" s="90" t="s">
        <v>78</v>
      </c>
      <c r="B1182" s="92" t="s">
        <v>8358</v>
      </c>
      <c r="C1182" s="28" t="s">
        <v>8359</v>
      </c>
      <c r="D1182" s="28"/>
      <c r="E1182" s="28"/>
      <c r="F1182" s="28"/>
      <c r="G1182" s="28"/>
      <c r="H1182" s="28"/>
      <c r="I1182" s="28"/>
      <c r="J1182" s="28"/>
      <c r="K1182" s="28"/>
      <c r="L1182" s="28"/>
      <c r="M1182" s="28"/>
      <c r="N1182" s="28"/>
      <c r="O1182" s="96"/>
      <c r="P1182" s="96"/>
      <c r="Q1182" s="96"/>
      <c r="R1182" s="96"/>
      <c r="S1182" s="96"/>
      <c r="T1182" s="178" t="s">
        <v>719</v>
      </c>
      <c r="U1182" s="96"/>
      <c r="V1182" s="96"/>
      <c r="W1182" s="96"/>
      <c r="X1182" s="96"/>
      <c r="Y1182" s="96"/>
      <c r="Z1182" s="96"/>
      <c r="AA1182" s="96"/>
      <c r="AB1182" s="96"/>
      <c r="AC1182" s="96"/>
      <c r="AD1182" s="70"/>
      <c r="AE1182" s="70"/>
      <c r="AF1182" s="70"/>
      <c r="AG1182" s="70"/>
      <c r="AH1182" s="70"/>
      <c r="AI1182" s="70"/>
      <c r="AJ1182" s="70"/>
      <c r="AK1182" s="70"/>
      <c r="AL1182" s="70"/>
      <c r="AM1182" s="70"/>
      <c r="AN1182" s="70"/>
      <c r="AO1182" s="70"/>
      <c r="AP1182" s="70"/>
      <c r="AQ1182" s="70"/>
      <c r="AR1182" s="70"/>
      <c r="AS1182" s="70"/>
      <c r="AT1182" s="70"/>
      <c r="AU1182" s="70"/>
      <c r="AV1182" s="70"/>
      <c r="AW1182" s="70"/>
      <c r="AX1182" s="70"/>
    </row>
    <row r="1183" ht="15.75" customHeight="1">
      <c r="A1183" s="90" t="s">
        <v>78</v>
      </c>
      <c r="B1183" s="92" t="s">
        <v>8363</v>
      </c>
      <c r="C1183" s="28" t="s">
        <v>8364</v>
      </c>
      <c r="D1183" s="28"/>
      <c r="E1183" s="28"/>
      <c r="F1183" s="28"/>
      <c r="G1183" s="28"/>
      <c r="H1183" s="28"/>
      <c r="I1183" s="28"/>
      <c r="J1183" s="28"/>
      <c r="K1183" s="28"/>
      <c r="L1183" s="28"/>
      <c r="M1183" s="28"/>
      <c r="N1183" s="28"/>
      <c r="O1183" s="96"/>
      <c r="P1183" s="96"/>
      <c r="Q1183" s="96"/>
      <c r="R1183" s="96"/>
      <c r="S1183" s="96"/>
      <c r="T1183" s="178" t="s">
        <v>10728</v>
      </c>
      <c r="U1183" s="96"/>
      <c r="V1183" s="96"/>
      <c r="W1183" s="96"/>
      <c r="X1183" s="96"/>
      <c r="Y1183" s="96"/>
      <c r="Z1183" s="96"/>
      <c r="AA1183" s="96"/>
      <c r="AB1183" s="96"/>
      <c r="AC1183" s="96"/>
      <c r="AD1183" s="70"/>
      <c r="AE1183" s="70"/>
      <c r="AF1183" s="70"/>
      <c r="AG1183" s="70"/>
      <c r="AH1183" s="70"/>
      <c r="AI1183" s="70"/>
      <c r="AJ1183" s="70"/>
      <c r="AK1183" s="70"/>
      <c r="AL1183" s="70"/>
      <c r="AM1183" s="70"/>
      <c r="AN1183" s="70"/>
      <c r="AO1183" s="70"/>
      <c r="AP1183" s="70"/>
      <c r="AQ1183" s="70"/>
      <c r="AR1183" s="70"/>
      <c r="AS1183" s="70"/>
      <c r="AT1183" s="70"/>
      <c r="AU1183" s="70"/>
      <c r="AV1183" s="70"/>
      <c r="AW1183" s="70"/>
      <c r="AX1183" s="70"/>
    </row>
    <row r="1184" ht="15.75" customHeight="1">
      <c r="A1184" s="90" t="s">
        <v>78</v>
      </c>
      <c r="B1184" s="92" t="s">
        <v>8368</v>
      </c>
      <c r="C1184" s="28" t="s">
        <v>5026</v>
      </c>
      <c r="D1184" s="28"/>
      <c r="E1184" s="28"/>
      <c r="F1184" s="28"/>
      <c r="G1184" s="28"/>
      <c r="H1184" s="28"/>
      <c r="I1184" s="28"/>
      <c r="J1184" s="28"/>
      <c r="K1184" s="28"/>
      <c r="L1184" s="28"/>
      <c r="M1184" s="28"/>
      <c r="N1184" s="28"/>
      <c r="O1184" s="96"/>
      <c r="P1184" s="96"/>
      <c r="Q1184" s="96"/>
      <c r="R1184" s="96"/>
      <c r="S1184" s="96"/>
      <c r="T1184" s="178" t="s">
        <v>10729</v>
      </c>
      <c r="U1184" s="96"/>
      <c r="V1184" s="96"/>
      <c r="W1184" s="96"/>
      <c r="X1184" s="96"/>
      <c r="Y1184" s="96"/>
      <c r="Z1184" s="96"/>
      <c r="AA1184" s="96"/>
      <c r="AB1184" s="96"/>
      <c r="AC1184" s="96"/>
      <c r="AD1184" s="70"/>
      <c r="AE1184" s="70"/>
      <c r="AF1184" s="70"/>
      <c r="AG1184" s="70"/>
      <c r="AH1184" s="70"/>
      <c r="AI1184" s="70"/>
      <c r="AJ1184" s="70"/>
      <c r="AK1184" s="70"/>
      <c r="AL1184" s="70"/>
      <c r="AM1184" s="70"/>
      <c r="AN1184" s="70"/>
      <c r="AO1184" s="70"/>
      <c r="AP1184" s="70"/>
      <c r="AQ1184" s="70"/>
      <c r="AR1184" s="70"/>
      <c r="AS1184" s="70"/>
      <c r="AT1184" s="70"/>
      <c r="AU1184" s="70"/>
      <c r="AV1184" s="70"/>
      <c r="AW1184" s="70"/>
      <c r="AX1184" s="70"/>
    </row>
    <row r="1185" ht="15.75" customHeight="1">
      <c r="A1185" s="68" t="s">
        <v>5030</v>
      </c>
      <c r="B1185" s="169" t="s">
        <v>8374</v>
      </c>
      <c r="C1185" s="28" t="s">
        <v>8380</v>
      </c>
      <c r="D1185" s="28" t="s">
        <v>8381</v>
      </c>
      <c r="E1185" s="28" t="s">
        <v>8382</v>
      </c>
      <c r="F1185" s="28"/>
      <c r="G1185" s="28"/>
      <c r="H1185" s="28"/>
      <c r="I1185" s="28"/>
      <c r="J1185" s="28" t="s">
        <v>10730</v>
      </c>
      <c r="K1185" s="28"/>
      <c r="L1185" s="28"/>
      <c r="M1185" s="28"/>
      <c r="N1185" s="28"/>
      <c r="O1185" s="67" t="s">
        <v>10731</v>
      </c>
      <c r="P1185" s="67"/>
      <c r="Q1185" s="67" t="s">
        <v>145</v>
      </c>
      <c r="R1185" s="67"/>
      <c r="S1185" s="67"/>
      <c r="T1185" s="67"/>
      <c r="U1185" s="67"/>
      <c r="V1185" s="67"/>
      <c r="W1185" s="67"/>
      <c r="X1185" s="67"/>
      <c r="Y1185" s="67"/>
      <c r="Z1185" s="67"/>
      <c r="AA1185" s="67"/>
      <c r="AB1185" s="67"/>
      <c r="AC1185" s="67"/>
      <c r="AD1185" s="70"/>
      <c r="AE1185" s="70"/>
      <c r="AF1185" s="70"/>
      <c r="AG1185" s="70"/>
      <c r="AH1185" s="70"/>
      <c r="AI1185" s="70"/>
      <c r="AJ1185" s="70"/>
      <c r="AK1185" s="70"/>
      <c r="AL1185" s="70"/>
      <c r="AM1185" s="70"/>
      <c r="AN1185" s="70"/>
      <c r="AO1185" s="70"/>
      <c r="AP1185" s="70"/>
      <c r="AQ1185" s="70"/>
      <c r="AR1185" s="70"/>
      <c r="AS1185" s="70"/>
      <c r="AT1185" s="70"/>
      <c r="AU1185" s="70"/>
      <c r="AV1185" s="70"/>
      <c r="AW1185" s="70"/>
      <c r="AX1185" s="70"/>
    </row>
    <row r="1186" ht="15.75" customHeight="1">
      <c r="A1186" s="179" t="s">
        <v>246</v>
      </c>
      <c r="B1186" s="180" t="s">
        <v>8383</v>
      </c>
      <c r="C1186" s="28" t="s">
        <v>8389</v>
      </c>
      <c r="D1186" s="28" t="s">
        <v>8390</v>
      </c>
      <c r="E1186" s="28" t="s">
        <v>8392</v>
      </c>
      <c r="F1186" s="28"/>
      <c r="G1186" s="28"/>
      <c r="H1186" s="28"/>
      <c r="I1186" s="28"/>
      <c r="J1186" s="28"/>
      <c r="K1186" s="28"/>
      <c r="L1186" s="28"/>
      <c r="M1186" s="28"/>
      <c r="N1186" s="28"/>
      <c r="O1186" s="181" t="s">
        <v>10732</v>
      </c>
      <c r="P1186" s="181"/>
      <c r="Q1186" s="181" t="s">
        <v>145</v>
      </c>
      <c r="R1186" s="181"/>
      <c r="S1186" s="181"/>
      <c r="T1186" s="181"/>
      <c r="U1186" s="181"/>
      <c r="V1186" s="181"/>
      <c r="W1186" s="181"/>
      <c r="X1186" s="181"/>
      <c r="Y1186" s="181"/>
      <c r="Z1186" s="181"/>
      <c r="AA1186" s="181"/>
      <c r="AB1186" s="181"/>
      <c r="AC1186" s="181"/>
      <c r="AD1186" s="70"/>
      <c r="AE1186" s="70"/>
      <c r="AF1186" s="70"/>
      <c r="AG1186" s="70"/>
      <c r="AH1186" s="70"/>
      <c r="AI1186" s="70"/>
      <c r="AJ1186" s="70"/>
      <c r="AK1186" s="70"/>
      <c r="AL1186" s="70"/>
      <c r="AM1186" s="70"/>
      <c r="AN1186" s="70"/>
      <c r="AO1186" s="70"/>
      <c r="AP1186" s="70"/>
      <c r="AQ1186" s="70"/>
      <c r="AR1186" s="70"/>
      <c r="AS1186" s="70"/>
      <c r="AT1186" s="70"/>
      <c r="AU1186" s="70"/>
      <c r="AV1186" s="70"/>
      <c r="AW1186" s="70"/>
      <c r="AX1186" s="70"/>
    </row>
    <row r="1187" ht="15.75" customHeight="1">
      <c r="A1187" s="68" t="s">
        <v>5050</v>
      </c>
      <c r="B1187" s="169" t="s">
        <v>8393</v>
      </c>
      <c r="C1187" s="28" t="s">
        <v>8397</v>
      </c>
      <c r="D1187" s="28" t="s">
        <v>8398</v>
      </c>
      <c r="E1187" s="28" t="s">
        <v>8399</v>
      </c>
      <c r="F1187" s="28"/>
      <c r="G1187" s="28"/>
      <c r="H1187" s="28"/>
      <c r="I1187" s="28"/>
      <c r="J1187" s="28"/>
      <c r="K1187" s="28"/>
      <c r="L1187" s="28"/>
      <c r="M1187" s="28"/>
      <c r="N1187" s="28"/>
      <c r="O1187" s="67" t="s">
        <v>10733</v>
      </c>
      <c r="P1187" s="67"/>
      <c r="Q1187" s="67" t="s">
        <v>145</v>
      </c>
      <c r="R1187" s="67"/>
      <c r="S1187" s="67"/>
      <c r="T1187" s="67"/>
      <c r="U1187" s="67"/>
      <c r="V1187" s="67"/>
      <c r="W1187" s="67"/>
      <c r="X1187" s="67"/>
      <c r="Y1187" s="67"/>
      <c r="Z1187" s="67"/>
      <c r="AA1187" s="67"/>
      <c r="AB1187" s="67"/>
      <c r="AC1187" s="67"/>
      <c r="AD1187" s="70"/>
      <c r="AE1187" s="70"/>
      <c r="AF1187" s="70"/>
      <c r="AG1187" s="70"/>
      <c r="AH1187" s="70"/>
      <c r="AI1187" s="70"/>
      <c r="AJ1187" s="70"/>
      <c r="AK1187" s="70"/>
      <c r="AL1187" s="70"/>
      <c r="AM1187" s="70"/>
      <c r="AN1187" s="70"/>
      <c r="AO1187" s="70"/>
      <c r="AP1187" s="70"/>
      <c r="AQ1187" s="70"/>
      <c r="AR1187" s="70"/>
      <c r="AS1187" s="70"/>
      <c r="AT1187" s="70"/>
      <c r="AU1187" s="70"/>
      <c r="AV1187" s="70"/>
      <c r="AW1187" s="70"/>
      <c r="AX1187" s="70"/>
    </row>
    <row r="1188" ht="15.75" customHeight="1">
      <c r="A1188" s="179" t="s">
        <v>246</v>
      </c>
      <c r="B1188" s="180" t="s">
        <v>8400</v>
      </c>
      <c r="C1188" s="28" t="s">
        <v>8404</v>
      </c>
      <c r="D1188" s="28" t="s">
        <v>8405</v>
      </c>
      <c r="E1188" s="28" t="s">
        <v>8406</v>
      </c>
      <c r="F1188" s="28"/>
      <c r="G1188" s="28"/>
      <c r="H1188" s="28"/>
      <c r="I1188" s="28"/>
      <c r="J1188" s="28"/>
      <c r="K1188" s="28"/>
      <c r="L1188" s="28"/>
      <c r="M1188" s="28"/>
      <c r="N1188" s="28"/>
      <c r="O1188" s="181" t="s">
        <v>10734</v>
      </c>
      <c r="P1188" s="181"/>
      <c r="Q1188" s="181" t="s">
        <v>145</v>
      </c>
      <c r="R1188" s="181"/>
      <c r="S1188" s="181"/>
      <c r="T1188" s="181"/>
      <c r="U1188" s="181"/>
      <c r="V1188" s="181"/>
      <c r="W1188" s="181"/>
      <c r="X1188" s="181"/>
      <c r="Y1188" s="181"/>
      <c r="Z1188" s="181"/>
      <c r="AA1188" s="181"/>
      <c r="AB1188" s="181"/>
      <c r="AC1188" s="181"/>
      <c r="AD1188" s="70"/>
      <c r="AE1188" s="70"/>
      <c r="AF1188" s="70"/>
      <c r="AG1188" s="70"/>
      <c r="AH1188" s="70"/>
      <c r="AI1188" s="70"/>
      <c r="AJ1188" s="70"/>
      <c r="AK1188" s="70"/>
      <c r="AL1188" s="70"/>
      <c r="AM1188" s="70"/>
      <c r="AN1188" s="70"/>
      <c r="AO1188" s="70"/>
      <c r="AP1188" s="70"/>
      <c r="AQ1188" s="70"/>
      <c r="AR1188" s="70"/>
      <c r="AS1188" s="70"/>
      <c r="AT1188" s="70"/>
      <c r="AU1188" s="70"/>
      <c r="AV1188" s="70"/>
      <c r="AW1188" s="70"/>
      <c r="AX1188" s="70"/>
    </row>
    <row r="1189" ht="15.75" customHeight="1">
      <c r="A1189" s="170" t="s">
        <v>263</v>
      </c>
      <c r="B1189" s="171" t="s">
        <v>8407</v>
      </c>
      <c r="C1189" s="28" t="s">
        <v>8411</v>
      </c>
      <c r="D1189" s="28" t="s">
        <v>8412</v>
      </c>
      <c r="E1189" s="28" t="s">
        <v>8413</v>
      </c>
      <c r="F1189" s="28"/>
      <c r="G1189" s="28"/>
      <c r="H1189" s="28"/>
      <c r="I1189" s="28"/>
      <c r="J1189" s="28"/>
      <c r="K1189" s="28"/>
      <c r="L1189" s="28"/>
      <c r="M1189" s="28"/>
      <c r="N1189" s="28"/>
      <c r="O1189" s="173" t="s">
        <v>10735</v>
      </c>
      <c r="P1189" s="173"/>
      <c r="Q1189" s="173" t="s">
        <v>145</v>
      </c>
      <c r="R1189" s="173"/>
      <c r="S1189" s="173"/>
      <c r="T1189" s="173"/>
      <c r="U1189" s="173"/>
      <c r="V1189" s="173"/>
      <c r="W1189" s="173"/>
      <c r="X1189" s="173"/>
      <c r="Y1189" s="170"/>
      <c r="Z1189" s="173"/>
      <c r="AA1189" s="173"/>
      <c r="AB1189" s="173"/>
      <c r="AC1189" s="173"/>
      <c r="AD1189" s="70"/>
      <c r="AE1189" s="70"/>
      <c r="AF1189" s="70"/>
      <c r="AG1189" s="70"/>
      <c r="AH1189" s="70"/>
      <c r="AI1189" s="70"/>
      <c r="AJ1189" s="70"/>
      <c r="AK1189" s="70"/>
      <c r="AL1189" s="70"/>
      <c r="AM1189" s="70"/>
      <c r="AN1189" s="70"/>
      <c r="AO1189" s="70"/>
      <c r="AP1189" s="70"/>
      <c r="AQ1189" s="70"/>
      <c r="AR1189" s="70"/>
      <c r="AS1189" s="70"/>
      <c r="AT1189" s="70"/>
      <c r="AU1189" s="70"/>
      <c r="AV1189" s="70"/>
      <c r="AW1189" s="70"/>
      <c r="AX1189" s="70"/>
    </row>
    <row r="1190" ht="15.75" customHeight="1">
      <c r="A1190" s="174" t="s">
        <v>1015</v>
      </c>
      <c r="B1190" s="204" t="s">
        <v>8353</v>
      </c>
      <c r="C1190" s="28" t="s">
        <v>8414</v>
      </c>
      <c r="D1190" s="28"/>
      <c r="E1190" s="28"/>
      <c r="F1190" s="28"/>
      <c r="G1190" s="28"/>
      <c r="H1190" s="28"/>
      <c r="I1190" s="28"/>
      <c r="J1190" s="28"/>
      <c r="K1190" s="28"/>
      <c r="L1190" s="28"/>
      <c r="M1190" s="28"/>
      <c r="N1190" s="28"/>
      <c r="O1190" s="176"/>
      <c r="P1190" s="176"/>
      <c r="Q1190" s="176"/>
      <c r="R1190" s="176"/>
      <c r="S1190" s="176"/>
      <c r="T1190" s="176"/>
      <c r="U1190" s="176"/>
      <c r="V1190" s="176"/>
      <c r="W1190" s="176"/>
      <c r="X1190" s="176"/>
      <c r="Y1190" s="176"/>
      <c r="Z1190" s="176"/>
      <c r="AA1190" s="176"/>
      <c r="AB1190" s="176"/>
      <c r="AC1190" s="176"/>
      <c r="AD1190" s="70"/>
      <c r="AE1190" s="70"/>
      <c r="AF1190" s="70"/>
      <c r="AG1190" s="70"/>
      <c r="AH1190" s="70"/>
      <c r="AI1190" s="70"/>
      <c r="AJ1190" s="70"/>
      <c r="AK1190" s="70"/>
      <c r="AL1190" s="70"/>
      <c r="AM1190" s="70"/>
      <c r="AN1190" s="70"/>
      <c r="AO1190" s="70"/>
      <c r="AP1190" s="70"/>
      <c r="AQ1190" s="70"/>
      <c r="AR1190" s="70"/>
      <c r="AS1190" s="70"/>
      <c r="AT1190" s="70"/>
      <c r="AU1190" s="70"/>
      <c r="AV1190" s="70"/>
      <c r="AW1190" s="70"/>
      <c r="AX1190" s="70"/>
    </row>
    <row r="1191" ht="15.75" customHeight="1">
      <c r="A1191" s="90" t="s">
        <v>134</v>
      </c>
      <c r="B1191" s="92" t="s">
        <v>8415</v>
      </c>
      <c r="C1191" s="28"/>
      <c r="D1191" s="28"/>
      <c r="E1191" s="28"/>
      <c r="F1191" s="28"/>
      <c r="G1191" s="28"/>
      <c r="H1191" s="28"/>
      <c r="I1191" s="28"/>
      <c r="J1191" s="28"/>
      <c r="K1191" s="28"/>
      <c r="L1191" s="28"/>
      <c r="M1191" s="28"/>
      <c r="N1191" s="28"/>
      <c r="O1191" s="96"/>
      <c r="P1191" s="96"/>
      <c r="Q1191" s="96"/>
      <c r="R1191" s="96"/>
      <c r="S1191" s="96"/>
      <c r="T1191" s="178" t="s">
        <v>139</v>
      </c>
      <c r="U1191" s="96"/>
      <c r="V1191" s="96"/>
      <c r="W1191" s="96"/>
      <c r="X1191" s="96"/>
      <c r="Y1191" s="96"/>
      <c r="Z1191" s="96"/>
      <c r="AA1191" s="96"/>
      <c r="AB1191" s="96"/>
      <c r="AC1191" s="96"/>
      <c r="AD1191" s="70"/>
      <c r="AE1191" s="70"/>
      <c r="AF1191" s="70"/>
      <c r="AG1191" s="70"/>
      <c r="AH1191" s="70"/>
      <c r="AI1191" s="70"/>
      <c r="AJ1191" s="70"/>
      <c r="AK1191" s="70"/>
      <c r="AL1191" s="70"/>
      <c r="AM1191" s="70"/>
      <c r="AN1191" s="70"/>
      <c r="AO1191" s="70"/>
      <c r="AP1191" s="70"/>
      <c r="AQ1191" s="70"/>
      <c r="AR1191" s="70"/>
      <c r="AS1191" s="70"/>
      <c r="AT1191" s="70"/>
      <c r="AU1191" s="70"/>
      <c r="AV1191" s="70"/>
      <c r="AW1191" s="70"/>
      <c r="AX1191" s="70"/>
    </row>
    <row r="1192" ht="15.75" customHeight="1">
      <c r="A1192" s="90" t="s">
        <v>78</v>
      </c>
      <c r="B1192" s="92" t="s">
        <v>8417</v>
      </c>
      <c r="C1192" s="28"/>
      <c r="D1192" s="28"/>
      <c r="E1192" s="28"/>
      <c r="F1192" s="28"/>
      <c r="G1192" s="28"/>
      <c r="H1192" s="28"/>
      <c r="I1192" s="28"/>
      <c r="J1192" s="28"/>
      <c r="K1192" s="28"/>
      <c r="L1192" s="28"/>
      <c r="M1192" s="28"/>
      <c r="N1192" s="28"/>
      <c r="O1192" s="90"/>
      <c r="P1192" s="96"/>
      <c r="Q1192" s="96"/>
      <c r="R1192" s="96"/>
      <c r="S1192" s="96"/>
      <c r="T1192" s="178" t="s">
        <v>10736</v>
      </c>
      <c r="U1192" s="96"/>
      <c r="V1192" s="96"/>
      <c r="W1192" s="96"/>
      <c r="X1192" s="96"/>
      <c r="Y1192" s="96"/>
      <c r="Z1192" s="96"/>
      <c r="AA1192" s="96"/>
      <c r="AB1192" s="96"/>
      <c r="AC1192" s="96"/>
      <c r="AD1192" s="70"/>
      <c r="AE1192" s="70"/>
      <c r="AF1192" s="70"/>
      <c r="AG1192" s="70"/>
      <c r="AH1192" s="70"/>
      <c r="AI1192" s="70"/>
      <c r="AJ1192" s="70"/>
      <c r="AK1192" s="70"/>
      <c r="AL1192" s="70"/>
      <c r="AM1192" s="70"/>
      <c r="AN1192" s="70"/>
      <c r="AO1192" s="70"/>
      <c r="AP1192" s="70"/>
      <c r="AQ1192" s="70"/>
      <c r="AR1192" s="70"/>
      <c r="AS1192" s="70"/>
      <c r="AT1192" s="70"/>
      <c r="AU1192" s="70"/>
      <c r="AV1192" s="70"/>
      <c r="AW1192" s="70"/>
      <c r="AX1192" s="70"/>
    </row>
    <row r="1193" ht="15.75" customHeight="1">
      <c r="A1193" s="68" t="s">
        <v>2625</v>
      </c>
      <c r="B1193" s="169" t="s">
        <v>8419</v>
      </c>
      <c r="C1193" s="28" t="s">
        <v>8424</v>
      </c>
      <c r="D1193" s="28" t="s">
        <v>8425</v>
      </c>
      <c r="E1193" s="28" t="s">
        <v>8426</v>
      </c>
      <c r="F1193" s="28"/>
      <c r="G1193" s="28"/>
      <c r="H1193" s="28"/>
      <c r="I1193" s="28"/>
      <c r="J1193" s="28"/>
      <c r="K1193" s="28"/>
      <c r="L1193" s="28"/>
      <c r="M1193" s="28"/>
      <c r="N1193" s="28"/>
      <c r="O1193" s="67" t="s">
        <v>10719</v>
      </c>
      <c r="P1193" s="67"/>
      <c r="Q1193" s="67" t="s">
        <v>145</v>
      </c>
      <c r="R1193" s="67"/>
      <c r="S1193" s="67"/>
      <c r="T1193" s="67"/>
      <c r="U1193" s="67"/>
      <c r="V1193" s="67"/>
      <c r="W1193" s="67"/>
      <c r="X1193" s="67"/>
      <c r="Y1193" s="67"/>
      <c r="Z1193" s="67"/>
      <c r="AA1193" s="67"/>
      <c r="AB1193" s="67"/>
      <c r="AC1193" s="67"/>
      <c r="AD1193" s="70"/>
      <c r="AE1193" s="70"/>
      <c r="AF1193" s="70"/>
      <c r="AG1193" s="70"/>
      <c r="AH1193" s="70"/>
      <c r="AI1193" s="70"/>
      <c r="AJ1193" s="70"/>
      <c r="AK1193" s="70"/>
      <c r="AL1193" s="70"/>
      <c r="AM1193" s="70"/>
      <c r="AN1193" s="70"/>
      <c r="AO1193" s="70"/>
      <c r="AP1193" s="70"/>
      <c r="AQ1193" s="70"/>
      <c r="AR1193" s="70"/>
      <c r="AS1193" s="70"/>
      <c r="AT1193" s="70"/>
      <c r="AU1193" s="70"/>
      <c r="AV1193" s="70"/>
      <c r="AW1193" s="70"/>
      <c r="AX1193" s="70"/>
    </row>
    <row r="1194" ht="15.75" customHeight="1">
      <c r="A1194" s="68" t="s">
        <v>4994</v>
      </c>
      <c r="B1194" s="169" t="s">
        <v>8427</v>
      </c>
      <c r="C1194" s="28" t="s">
        <v>8432</v>
      </c>
      <c r="D1194" s="28" t="s">
        <v>8433</v>
      </c>
      <c r="E1194" s="28" t="s">
        <v>8434</v>
      </c>
      <c r="F1194" s="28"/>
      <c r="G1194" s="28"/>
      <c r="H1194" s="28"/>
      <c r="I1194" s="28"/>
      <c r="J1194" s="28"/>
      <c r="K1194" s="28" t="s">
        <v>10472</v>
      </c>
      <c r="L1194" s="28"/>
      <c r="M1194" s="28"/>
      <c r="N1194" s="28"/>
      <c r="O1194" s="67" t="s">
        <v>10737</v>
      </c>
      <c r="P1194" s="67"/>
      <c r="Q1194" s="67" t="s">
        <v>145</v>
      </c>
      <c r="R1194" s="67"/>
      <c r="S1194" s="67"/>
      <c r="T1194" s="67"/>
      <c r="U1194" s="67"/>
      <c r="V1194" s="67"/>
      <c r="W1194" s="67"/>
      <c r="X1194" s="67"/>
      <c r="Y1194" s="67" t="s">
        <v>10474</v>
      </c>
      <c r="Z1194" s="67"/>
      <c r="AA1194" s="67"/>
      <c r="AB1194" s="67"/>
      <c r="AC1194" s="67"/>
      <c r="AD1194" s="70"/>
      <c r="AE1194" s="70"/>
      <c r="AF1194" s="70"/>
      <c r="AG1194" s="70"/>
      <c r="AH1194" s="70"/>
      <c r="AI1194" s="70"/>
      <c r="AJ1194" s="70"/>
      <c r="AK1194" s="70"/>
      <c r="AL1194" s="70"/>
      <c r="AM1194" s="70"/>
      <c r="AN1194" s="70"/>
      <c r="AO1194" s="70"/>
      <c r="AP1194" s="70"/>
      <c r="AQ1194" s="70"/>
      <c r="AR1194" s="70"/>
      <c r="AS1194" s="70"/>
      <c r="AT1194" s="70"/>
      <c r="AU1194" s="70"/>
      <c r="AV1194" s="70"/>
      <c r="AW1194" s="70"/>
      <c r="AX1194" s="70"/>
    </row>
    <row r="1195" ht="15.75" customHeight="1">
      <c r="A1195" s="179" t="s">
        <v>246</v>
      </c>
      <c r="B1195" s="180" t="s">
        <v>8435</v>
      </c>
      <c r="C1195" s="28" t="s">
        <v>8440</v>
      </c>
      <c r="D1195" s="28" t="s">
        <v>8441</v>
      </c>
      <c r="E1195" s="28" t="s">
        <v>8443</v>
      </c>
      <c r="F1195" s="28"/>
      <c r="G1195" s="28"/>
      <c r="H1195" s="28"/>
      <c r="I1195" s="28"/>
      <c r="J1195" s="28"/>
      <c r="K1195" s="28"/>
      <c r="L1195" s="28"/>
      <c r="M1195" s="28"/>
      <c r="N1195" s="28"/>
      <c r="O1195" s="181" t="s">
        <v>10738</v>
      </c>
      <c r="P1195" s="181"/>
      <c r="Q1195" s="181" t="s">
        <v>145</v>
      </c>
      <c r="R1195" s="181"/>
      <c r="S1195" s="181"/>
      <c r="T1195" s="181"/>
      <c r="U1195" s="181"/>
      <c r="V1195" s="181"/>
      <c r="W1195" s="181"/>
      <c r="X1195" s="181"/>
      <c r="Y1195" s="181"/>
      <c r="Z1195" s="181"/>
      <c r="AA1195" s="181"/>
      <c r="AB1195" s="181"/>
      <c r="AC1195" s="181"/>
      <c r="AD1195" s="70"/>
      <c r="AE1195" s="70"/>
      <c r="AF1195" s="70"/>
      <c r="AG1195" s="70"/>
      <c r="AH1195" s="70"/>
      <c r="AI1195" s="70"/>
      <c r="AJ1195" s="70"/>
      <c r="AK1195" s="70"/>
      <c r="AL1195" s="70"/>
      <c r="AM1195" s="70"/>
      <c r="AN1195" s="70"/>
      <c r="AO1195" s="70"/>
      <c r="AP1195" s="70"/>
      <c r="AQ1195" s="70"/>
      <c r="AR1195" s="70"/>
      <c r="AS1195" s="70"/>
      <c r="AT1195" s="70"/>
      <c r="AU1195" s="70"/>
      <c r="AV1195" s="70"/>
      <c r="AW1195" s="70"/>
      <c r="AX1195" s="70"/>
    </row>
    <row r="1196" ht="15.75" customHeight="1">
      <c r="A1196" s="174" t="s">
        <v>698</v>
      </c>
      <c r="B1196" s="175" t="s">
        <v>8444</v>
      </c>
      <c r="C1196" s="28" t="s">
        <v>5013</v>
      </c>
      <c r="D1196" s="28"/>
      <c r="E1196" s="28"/>
      <c r="F1196" s="28"/>
      <c r="G1196" s="28"/>
      <c r="H1196" s="28"/>
      <c r="I1196" s="28"/>
      <c r="J1196" s="28"/>
      <c r="K1196" s="28"/>
      <c r="L1196" s="28"/>
      <c r="M1196" s="28"/>
      <c r="N1196" s="28"/>
      <c r="O1196" s="177" t="s">
        <v>10737</v>
      </c>
      <c r="P1196" s="176"/>
      <c r="Q1196" s="176"/>
      <c r="R1196" s="176"/>
      <c r="S1196" s="176"/>
      <c r="T1196" s="176"/>
      <c r="U1196" s="177" t="s">
        <v>10739</v>
      </c>
      <c r="V1196" s="176"/>
      <c r="W1196" s="176"/>
      <c r="X1196" s="176"/>
      <c r="Y1196" s="176"/>
      <c r="Z1196" s="176"/>
      <c r="AA1196" s="176"/>
      <c r="AB1196" s="176"/>
      <c r="AC1196" s="176"/>
      <c r="AD1196" s="70"/>
      <c r="AE1196" s="70"/>
      <c r="AF1196" s="70"/>
      <c r="AG1196" s="70"/>
      <c r="AH1196" s="70"/>
      <c r="AI1196" s="70"/>
      <c r="AJ1196" s="70"/>
      <c r="AK1196" s="70"/>
      <c r="AL1196" s="70"/>
      <c r="AM1196" s="70"/>
      <c r="AN1196" s="70"/>
      <c r="AO1196" s="70"/>
      <c r="AP1196" s="70"/>
      <c r="AQ1196" s="70"/>
      <c r="AR1196" s="70"/>
      <c r="AS1196" s="70"/>
      <c r="AT1196" s="70"/>
      <c r="AU1196" s="70"/>
      <c r="AV1196" s="70"/>
      <c r="AW1196" s="70"/>
      <c r="AX1196" s="70"/>
    </row>
    <row r="1197" ht="15.75" customHeight="1">
      <c r="A1197" s="90" t="s">
        <v>78</v>
      </c>
      <c r="B1197" s="92" t="s">
        <v>8445</v>
      </c>
      <c r="C1197" s="28"/>
      <c r="D1197" s="28"/>
      <c r="E1197" s="28"/>
      <c r="F1197" s="28"/>
      <c r="G1197" s="28"/>
      <c r="H1197" s="28"/>
      <c r="I1197" s="28"/>
      <c r="J1197" s="28"/>
      <c r="K1197" s="28"/>
      <c r="L1197" s="28"/>
      <c r="M1197" s="28"/>
      <c r="N1197" s="28"/>
      <c r="O1197" s="96"/>
      <c r="P1197" s="96"/>
      <c r="Q1197" s="96"/>
      <c r="R1197" s="96"/>
      <c r="S1197" s="96"/>
      <c r="T1197" s="178" t="s">
        <v>719</v>
      </c>
      <c r="U1197" s="96"/>
      <c r="V1197" s="96"/>
      <c r="W1197" s="96"/>
      <c r="X1197" s="96"/>
      <c r="Y1197" s="96"/>
      <c r="Z1197" s="96"/>
      <c r="AA1197" s="96"/>
      <c r="AB1197" s="96"/>
      <c r="AC1197" s="96"/>
      <c r="AD1197" s="70"/>
      <c r="AE1197" s="70"/>
      <c r="AF1197" s="70"/>
      <c r="AG1197" s="70"/>
      <c r="AH1197" s="70"/>
      <c r="AI1197" s="70"/>
      <c r="AJ1197" s="70"/>
      <c r="AK1197" s="70"/>
      <c r="AL1197" s="70"/>
      <c r="AM1197" s="70"/>
      <c r="AN1197" s="70"/>
      <c r="AO1197" s="70"/>
      <c r="AP1197" s="70"/>
      <c r="AQ1197" s="70"/>
      <c r="AR1197" s="70"/>
      <c r="AS1197" s="70"/>
      <c r="AT1197" s="70"/>
      <c r="AU1197" s="70"/>
      <c r="AV1197" s="70"/>
      <c r="AW1197" s="70"/>
      <c r="AX1197" s="70"/>
    </row>
    <row r="1198" ht="15.75" customHeight="1">
      <c r="A1198" s="90" t="s">
        <v>78</v>
      </c>
      <c r="B1198" s="92" t="s">
        <v>8450</v>
      </c>
      <c r="C1198" s="28"/>
      <c r="D1198" s="28"/>
      <c r="E1198" s="28"/>
      <c r="F1198" s="28"/>
      <c r="G1198" s="28"/>
      <c r="H1198" s="28"/>
      <c r="I1198" s="28"/>
      <c r="J1198" s="28"/>
      <c r="K1198" s="28"/>
      <c r="L1198" s="28"/>
      <c r="M1198" s="28"/>
      <c r="N1198" s="28"/>
      <c r="O1198" s="96"/>
      <c r="P1198" s="96"/>
      <c r="Q1198" s="96"/>
      <c r="R1198" s="96"/>
      <c r="S1198" s="96"/>
      <c r="T1198" s="178" t="s">
        <v>10740</v>
      </c>
      <c r="U1198" s="96"/>
      <c r="V1198" s="96"/>
      <c r="W1198" s="96"/>
      <c r="X1198" s="96"/>
      <c r="Y1198" s="96"/>
      <c r="Z1198" s="96"/>
      <c r="AA1198" s="96"/>
      <c r="AB1198" s="96"/>
      <c r="AC1198" s="96"/>
      <c r="AD1198" s="70"/>
      <c r="AE1198" s="70"/>
      <c r="AF1198" s="70"/>
      <c r="AG1198" s="70"/>
      <c r="AH1198" s="70"/>
      <c r="AI1198" s="70"/>
      <c r="AJ1198" s="70"/>
      <c r="AK1198" s="70"/>
      <c r="AL1198" s="70"/>
      <c r="AM1198" s="70"/>
      <c r="AN1198" s="70"/>
      <c r="AO1198" s="70"/>
      <c r="AP1198" s="70"/>
      <c r="AQ1198" s="70"/>
      <c r="AR1198" s="70"/>
      <c r="AS1198" s="70"/>
      <c r="AT1198" s="70"/>
      <c r="AU1198" s="70"/>
      <c r="AV1198" s="70"/>
      <c r="AW1198" s="70"/>
      <c r="AX1198" s="70"/>
    </row>
    <row r="1199" ht="15.75" customHeight="1">
      <c r="A1199" s="90" t="s">
        <v>78</v>
      </c>
      <c r="B1199" s="92" t="s">
        <v>8452</v>
      </c>
      <c r="C1199" s="28" t="s">
        <v>5026</v>
      </c>
      <c r="D1199" s="28"/>
      <c r="E1199" s="28"/>
      <c r="F1199" s="28"/>
      <c r="G1199" s="28"/>
      <c r="H1199" s="28"/>
      <c r="I1199" s="28"/>
      <c r="J1199" s="28"/>
      <c r="K1199" s="28"/>
      <c r="L1199" s="28"/>
      <c r="M1199" s="28"/>
      <c r="N1199" s="28"/>
      <c r="O1199" s="96"/>
      <c r="P1199" s="96"/>
      <c r="Q1199" s="96"/>
      <c r="R1199" s="96"/>
      <c r="S1199" s="96"/>
      <c r="T1199" s="178" t="s">
        <v>10741</v>
      </c>
      <c r="U1199" s="96"/>
      <c r="V1199" s="96"/>
      <c r="W1199" s="96"/>
      <c r="X1199" s="96"/>
      <c r="Y1199" s="96"/>
      <c r="Z1199" s="96"/>
      <c r="AA1199" s="96"/>
      <c r="AB1199" s="96"/>
      <c r="AC1199" s="96"/>
      <c r="AD1199" s="70"/>
      <c r="AE1199" s="70"/>
      <c r="AF1199" s="70"/>
      <c r="AG1199" s="70"/>
      <c r="AH1199" s="70"/>
      <c r="AI1199" s="70"/>
      <c r="AJ1199" s="70"/>
      <c r="AK1199" s="70"/>
      <c r="AL1199" s="70"/>
      <c r="AM1199" s="70"/>
      <c r="AN1199" s="70"/>
      <c r="AO1199" s="70"/>
      <c r="AP1199" s="70"/>
      <c r="AQ1199" s="70"/>
      <c r="AR1199" s="70"/>
      <c r="AS1199" s="70"/>
      <c r="AT1199" s="70"/>
      <c r="AU1199" s="70"/>
      <c r="AV1199" s="70"/>
      <c r="AW1199" s="70"/>
      <c r="AX1199" s="70"/>
    </row>
    <row r="1200" ht="15.75" customHeight="1">
      <c r="A1200" s="68" t="s">
        <v>5030</v>
      </c>
      <c r="B1200" s="169" t="s">
        <v>8455</v>
      </c>
      <c r="C1200" s="28" t="s">
        <v>8460</v>
      </c>
      <c r="D1200" s="28" t="s">
        <v>8461</v>
      </c>
      <c r="E1200" s="28" t="s">
        <v>8462</v>
      </c>
      <c r="F1200" s="28"/>
      <c r="G1200" s="28"/>
      <c r="H1200" s="28"/>
      <c r="I1200" s="28"/>
      <c r="J1200" s="28" t="s">
        <v>10742</v>
      </c>
      <c r="K1200" s="28"/>
      <c r="L1200" s="28"/>
      <c r="M1200" s="28"/>
      <c r="N1200" s="28"/>
      <c r="O1200" s="295" t="s">
        <v>10743</v>
      </c>
      <c r="P1200" s="67"/>
      <c r="Q1200" s="67" t="s">
        <v>145</v>
      </c>
      <c r="R1200" s="67"/>
      <c r="S1200" s="67"/>
      <c r="T1200" s="67"/>
      <c r="U1200" s="67"/>
      <c r="V1200" s="67"/>
      <c r="W1200" s="67"/>
      <c r="X1200" s="67"/>
      <c r="Y1200" s="67"/>
      <c r="Z1200" s="67"/>
      <c r="AA1200" s="67"/>
      <c r="AB1200" s="67"/>
      <c r="AC1200" s="67"/>
      <c r="AD1200" s="70"/>
      <c r="AE1200" s="70"/>
      <c r="AF1200" s="70"/>
      <c r="AG1200" s="70"/>
      <c r="AH1200" s="70"/>
      <c r="AI1200" s="70"/>
      <c r="AJ1200" s="70"/>
      <c r="AK1200" s="70"/>
      <c r="AL1200" s="70"/>
      <c r="AM1200" s="70"/>
      <c r="AN1200" s="70"/>
      <c r="AO1200" s="70"/>
      <c r="AP1200" s="70"/>
      <c r="AQ1200" s="70"/>
      <c r="AR1200" s="70"/>
      <c r="AS1200" s="70"/>
      <c r="AT1200" s="70"/>
      <c r="AU1200" s="70"/>
      <c r="AV1200" s="70"/>
      <c r="AW1200" s="70"/>
      <c r="AX1200" s="70"/>
    </row>
    <row r="1201" ht="15.75" customHeight="1">
      <c r="A1201" s="179" t="s">
        <v>246</v>
      </c>
      <c r="B1201" s="180" t="s">
        <v>8464</v>
      </c>
      <c r="C1201" s="28" t="s">
        <v>8469</v>
      </c>
      <c r="D1201" s="28" t="s">
        <v>8470</v>
      </c>
      <c r="E1201" s="28" t="s">
        <v>8471</v>
      </c>
      <c r="F1201" s="28"/>
      <c r="G1201" s="28"/>
      <c r="H1201" s="28"/>
      <c r="I1201" s="28"/>
      <c r="J1201" s="28"/>
      <c r="K1201" s="28"/>
      <c r="L1201" s="28"/>
      <c r="M1201" s="28"/>
      <c r="N1201" s="28"/>
      <c r="O1201" s="393" t="s">
        <v>10744</v>
      </c>
      <c r="P1201" s="181"/>
      <c r="Q1201" s="181" t="s">
        <v>145</v>
      </c>
      <c r="R1201" s="181"/>
      <c r="S1201" s="181"/>
      <c r="T1201" s="181"/>
      <c r="U1201" s="181"/>
      <c r="V1201" s="181"/>
      <c r="W1201" s="181"/>
      <c r="X1201" s="181"/>
      <c r="Y1201" s="181"/>
      <c r="Z1201" s="181"/>
      <c r="AA1201" s="181"/>
      <c r="AB1201" s="181"/>
      <c r="AC1201" s="181"/>
      <c r="AD1201" s="70"/>
      <c r="AE1201" s="70"/>
      <c r="AF1201" s="70"/>
      <c r="AG1201" s="70"/>
      <c r="AH1201" s="70"/>
      <c r="AI1201" s="70"/>
      <c r="AJ1201" s="70"/>
      <c r="AK1201" s="70"/>
      <c r="AL1201" s="70"/>
      <c r="AM1201" s="70"/>
      <c r="AN1201" s="70"/>
      <c r="AO1201" s="70"/>
      <c r="AP1201" s="70"/>
      <c r="AQ1201" s="70"/>
      <c r="AR1201" s="70"/>
      <c r="AS1201" s="70"/>
      <c r="AT1201" s="70"/>
      <c r="AU1201" s="70"/>
      <c r="AV1201" s="70"/>
      <c r="AW1201" s="70"/>
      <c r="AX1201" s="70"/>
    </row>
    <row r="1202" ht="15.75" customHeight="1">
      <c r="A1202" s="68" t="s">
        <v>5050</v>
      </c>
      <c r="B1202" s="169" t="s">
        <v>8472</v>
      </c>
      <c r="C1202" s="28" t="s">
        <v>8477</v>
      </c>
      <c r="D1202" s="28" t="s">
        <v>8478</v>
      </c>
      <c r="E1202" s="28" t="s">
        <v>8479</v>
      </c>
      <c r="F1202" s="28" t="e">
        <v>#N/A</v>
      </c>
      <c r="G1202" s="28" t="e">
        <v>#N/A</v>
      </c>
      <c r="H1202" s="28" t="e">
        <v>#N/A</v>
      </c>
      <c r="I1202" s="28"/>
      <c r="J1202" s="28"/>
      <c r="K1202" s="28"/>
      <c r="L1202" s="28"/>
      <c r="M1202" s="28"/>
      <c r="N1202" s="28"/>
      <c r="O1202" s="295" t="s">
        <v>10745</v>
      </c>
      <c r="P1202" s="67"/>
      <c r="Q1202" s="67" t="s">
        <v>145</v>
      </c>
      <c r="R1202" s="67"/>
      <c r="S1202" s="67"/>
      <c r="T1202" s="67"/>
      <c r="U1202" s="67"/>
      <c r="V1202" s="67"/>
      <c r="W1202" s="67"/>
      <c r="X1202" s="67"/>
      <c r="Y1202" s="67"/>
      <c r="Z1202" s="67"/>
      <c r="AA1202" s="67"/>
      <c r="AB1202" s="67"/>
      <c r="AC1202" s="67"/>
      <c r="AD1202" s="70"/>
      <c r="AE1202" s="70"/>
      <c r="AF1202" s="70"/>
      <c r="AG1202" s="70"/>
      <c r="AH1202" s="70"/>
      <c r="AI1202" s="70"/>
      <c r="AJ1202" s="70"/>
      <c r="AK1202" s="70"/>
      <c r="AL1202" s="70"/>
      <c r="AM1202" s="70"/>
      <c r="AN1202" s="70"/>
      <c r="AO1202" s="70"/>
      <c r="AP1202" s="70"/>
      <c r="AQ1202" s="70"/>
      <c r="AR1202" s="70"/>
      <c r="AS1202" s="70"/>
      <c r="AT1202" s="70"/>
      <c r="AU1202" s="70"/>
      <c r="AV1202" s="70"/>
      <c r="AW1202" s="70"/>
      <c r="AX1202" s="70"/>
    </row>
    <row r="1203" ht="15.75" customHeight="1">
      <c r="A1203" s="179" t="s">
        <v>246</v>
      </c>
      <c r="B1203" s="180" t="s">
        <v>8480</v>
      </c>
      <c r="C1203" s="28" t="s">
        <v>8485</v>
      </c>
      <c r="D1203" s="28" t="s">
        <v>8486</v>
      </c>
      <c r="E1203" s="28" t="s">
        <v>8487</v>
      </c>
      <c r="F1203" s="28"/>
      <c r="G1203" s="28"/>
      <c r="H1203" s="28"/>
      <c r="I1203" s="28"/>
      <c r="J1203" s="28"/>
      <c r="K1203" s="28"/>
      <c r="L1203" s="28"/>
      <c r="M1203" s="28"/>
      <c r="N1203" s="28"/>
      <c r="O1203" s="393" t="s">
        <v>10746</v>
      </c>
      <c r="P1203" s="181"/>
      <c r="Q1203" s="181" t="s">
        <v>145</v>
      </c>
      <c r="R1203" s="181"/>
      <c r="S1203" s="181"/>
      <c r="T1203" s="181"/>
      <c r="U1203" s="181"/>
      <c r="V1203" s="181"/>
      <c r="W1203" s="181"/>
      <c r="X1203" s="181"/>
      <c r="Y1203" s="181"/>
      <c r="Z1203" s="181"/>
      <c r="AA1203" s="181"/>
      <c r="AB1203" s="181"/>
      <c r="AC1203" s="181"/>
      <c r="AD1203" s="70"/>
      <c r="AE1203" s="70"/>
      <c r="AF1203" s="70"/>
      <c r="AG1203" s="70"/>
      <c r="AH1203" s="70"/>
      <c r="AI1203" s="70"/>
      <c r="AJ1203" s="70"/>
      <c r="AK1203" s="70"/>
      <c r="AL1203" s="70"/>
      <c r="AM1203" s="70"/>
      <c r="AN1203" s="70"/>
      <c r="AO1203" s="70"/>
      <c r="AP1203" s="70"/>
      <c r="AQ1203" s="70"/>
      <c r="AR1203" s="70"/>
      <c r="AS1203" s="70"/>
      <c r="AT1203" s="70"/>
      <c r="AU1203" s="70"/>
      <c r="AV1203" s="70"/>
      <c r="AW1203" s="70"/>
      <c r="AX1203" s="70"/>
    </row>
    <row r="1204" ht="15.75" customHeight="1">
      <c r="A1204" s="170" t="s">
        <v>263</v>
      </c>
      <c r="B1204" s="171" t="s">
        <v>8488</v>
      </c>
      <c r="C1204" s="28" t="s">
        <v>8493</v>
      </c>
      <c r="D1204" s="28" t="s">
        <v>8494</v>
      </c>
      <c r="E1204" s="28" t="s">
        <v>8495</v>
      </c>
      <c r="F1204" s="28"/>
      <c r="G1204" s="28"/>
      <c r="H1204" s="28"/>
      <c r="I1204" s="28"/>
      <c r="J1204" s="28"/>
      <c r="K1204" s="28" t="s">
        <v>687</v>
      </c>
      <c r="L1204" s="28"/>
      <c r="M1204" s="28"/>
      <c r="N1204" s="28"/>
      <c r="O1204" s="394" t="s">
        <v>10747</v>
      </c>
      <c r="P1204" s="173"/>
      <c r="Q1204" s="173" t="s">
        <v>145</v>
      </c>
      <c r="R1204" s="173"/>
      <c r="S1204" s="173"/>
      <c r="T1204" s="173"/>
      <c r="U1204" s="173"/>
      <c r="V1204" s="173"/>
      <c r="W1204" s="173"/>
      <c r="X1204" s="173"/>
      <c r="Y1204" s="173"/>
      <c r="Z1204" s="173"/>
      <c r="AA1204" s="173"/>
      <c r="AB1204" s="173"/>
      <c r="AC1204" s="173"/>
      <c r="AD1204" s="70"/>
      <c r="AE1204" s="70"/>
      <c r="AF1204" s="70"/>
      <c r="AG1204" s="70"/>
      <c r="AH1204" s="70"/>
      <c r="AI1204" s="70"/>
      <c r="AJ1204" s="70"/>
      <c r="AK1204" s="70"/>
      <c r="AL1204" s="70"/>
      <c r="AM1204" s="70"/>
      <c r="AN1204" s="70"/>
      <c r="AO1204" s="70"/>
      <c r="AP1204" s="70"/>
      <c r="AQ1204" s="70"/>
      <c r="AR1204" s="70"/>
      <c r="AS1204" s="70"/>
      <c r="AT1204" s="70"/>
      <c r="AU1204" s="70"/>
      <c r="AV1204" s="70"/>
      <c r="AW1204" s="70"/>
      <c r="AX1204" s="70"/>
    </row>
    <row r="1205" ht="15.75" customHeight="1">
      <c r="A1205" s="68" t="s">
        <v>5074</v>
      </c>
      <c r="B1205" s="169" t="s">
        <v>8496</v>
      </c>
      <c r="C1205" s="28" t="s">
        <v>8500</v>
      </c>
      <c r="D1205" s="28" t="s">
        <v>8501</v>
      </c>
      <c r="E1205" s="28" t="s">
        <v>8502</v>
      </c>
      <c r="F1205" s="28"/>
      <c r="G1205" s="28"/>
      <c r="H1205" s="28"/>
      <c r="I1205" s="28"/>
      <c r="J1205" s="28"/>
      <c r="K1205" s="28" t="s">
        <v>10472</v>
      </c>
      <c r="L1205" s="28"/>
      <c r="M1205" s="28"/>
      <c r="N1205" s="28"/>
      <c r="O1205" s="295" t="s">
        <v>10747</v>
      </c>
      <c r="P1205" s="67"/>
      <c r="Q1205" s="67" t="s">
        <v>145</v>
      </c>
      <c r="R1205" s="67"/>
      <c r="S1205" s="67"/>
      <c r="T1205" s="67"/>
      <c r="U1205" s="67"/>
      <c r="V1205" s="67"/>
      <c r="W1205" s="67"/>
      <c r="X1205" s="67"/>
      <c r="Y1205" s="67"/>
      <c r="Z1205" s="67"/>
      <c r="AA1205" s="67"/>
      <c r="AB1205" s="67"/>
      <c r="AC1205" s="67"/>
      <c r="AD1205" s="70"/>
      <c r="AE1205" s="70"/>
      <c r="AF1205" s="70"/>
      <c r="AG1205" s="70"/>
      <c r="AH1205" s="70"/>
      <c r="AI1205" s="70"/>
      <c r="AJ1205" s="70"/>
      <c r="AK1205" s="70"/>
      <c r="AL1205" s="70"/>
      <c r="AM1205" s="70"/>
      <c r="AN1205" s="70"/>
      <c r="AO1205" s="70"/>
      <c r="AP1205" s="70"/>
      <c r="AQ1205" s="70"/>
      <c r="AR1205" s="70"/>
      <c r="AS1205" s="70"/>
      <c r="AT1205" s="70"/>
      <c r="AU1205" s="70"/>
      <c r="AV1205" s="70"/>
      <c r="AW1205" s="70"/>
      <c r="AX1205" s="70"/>
    </row>
    <row r="1206" ht="15.75" customHeight="1">
      <c r="A1206" s="179" t="s">
        <v>246</v>
      </c>
      <c r="B1206" s="180" t="s">
        <v>8504</v>
      </c>
      <c r="C1206" s="28" t="s">
        <v>8508</v>
      </c>
      <c r="D1206" s="28" t="s">
        <v>8509</v>
      </c>
      <c r="E1206" s="28" t="s">
        <v>8510</v>
      </c>
      <c r="F1206" s="28"/>
      <c r="G1206" s="28"/>
      <c r="H1206" s="28"/>
      <c r="I1206" s="28"/>
      <c r="J1206" s="28"/>
      <c r="K1206" s="28"/>
      <c r="L1206" s="28"/>
      <c r="M1206" s="28"/>
      <c r="N1206" s="28"/>
      <c r="O1206" s="393" t="s">
        <v>10748</v>
      </c>
      <c r="P1206" s="181"/>
      <c r="Q1206" s="181" t="s">
        <v>145</v>
      </c>
      <c r="R1206" s="181"/>
      <c r="S1206" s="181"/>
      <c r="T1206" s="181"/>
      <c r="U1206" s="181"/>
      <c r="V1206" s="181"/>
      <c r="W1206" s="181"/>
      <c r="X1206" s="181"/>
      <c r="Y1206" s="181"/>
      <c r="Z1206" s="181"/>
      <c r="AA1206" s="181"/>
      <c r="AB1206" s="181"/>
      <c r="AC1206" s="181"/>
      <c r="AD1206" s="70"/>
      <c r="AE1206" s="70"/>
      <c r="AF1206" s="70"/>
      <c r="AG1206" s="70"/>
      <c r="AH1206" s="70"/>
      <c r="AI1206" s="70"/>
      <c r="AJ1206" s="70"/>
      <c r="AK1206" s="70"/>
      <c r="AL1206" s="70"/>
      <c r="AM1206" s="70"/>
      <c r="AN1206" s="70"/>
      <c r="AO1206" s="70"/>
      <c r="AP1206" s="70"/>
      <c r="AQ1206" s="70"/>
      <c r="AR1206" s="70"/>
      <c r="AS1206" s="70"/>
      <c r="AT1206" s="70"/>
      <c r="AU1206" s="70"/>
      <c r="AV1206" s="70"/>
      <c r="AW1206" s="70"/>
      <c r="AX1206" s="70"/>
    </row>
    <row r="1207" ht="15.75" customHeight="1">
      <c r="A1207" s="174" t="s">
        <v>1015</v>
      </c>
      <c r="B1207" s="204" t="s">
        <v>8444</v>
      </c>
      <c r="C1207" s="28"/>
      <c r="D1207" s="28"/>
      <c r="E1207" s="28"/>
      <c r="F1207" s="28"/>
      <c r="G1207" s="28"/>
      <c r="H1207" s="28"/>
      <c r="I1207" s="28"/>
      <c r="J1207" s="28"/>
      <c r="K1207" s="28"/>
      <c r="L1207" s="28"/>
      <c r="M1207" s="28"/>
      <c r="N1207" s="28"/>
      <c r="O1207" s="176"/>
      <c r="P1207" s="176"/>
      <c r="Q1207" s="176"/>
      <c r="R1207" s="176"/>
      <c r="S1207" s="176"/>
      <c r="T1207" s="176"/>
      <c r="U1207" s="176"/>
      <c r="V1207" s="176"/>
      <c r="W1207" s="176"/>
      <c r="X1207" s="176"/>
      <c r="Y1207" s="176"/>
      <c r="Z1207" s="176"/>
      <c r="AA1207" s="176"/>
      <c r="AB1207" s="176"/>
      <c r="AC1207" s="176"/>
      <c r="AD1207" s="70"/>
      <c r="AE1207" s="70"/>
      <c r="AF1207" s="70"/>
      <c r="AG1207" s="70"/>
      <c r="AH1207" s="70"/>
      <c r="AI1207" s="70"/>
      <c r="AJ1207" s="70"/>
      <c r="AK1207" s="70"/>
      <c r="AL1207" s="70"/>
      <c r="AM1207" s="70"/>
      <c r="AN1207" s="70"/>
      <c r="AO1207" s="70"/>
      <c r="AP1207" s="70"/>
      <c r="AQ1207" s="70"/>
      <c r="AR1207" s="70"/>
      <c r="AS1207" s="70"/>
      <c r="AT1207" s="70"/>
      <c r="AU1207" s="70"/>
      <c r="AV1207" s="70"/>
      <c r="AW1207" s="70"/>
      <c r="AX1207" s="70"/>
    </row>
    <row r="1208" ht="15.75" customHeight="1">
      <c r="A1208" s="140" t="s">
        <v>237</v>
      </c>
      <c r="B1208" s="191" t="s">
        <v>8295</v>
      </c>
      <c r="C1208" s="28" t="s">
        <v>8296</v>
      </c>
      <c r="D1208" s="28"/>
      <c r="E1208" s="28"/>
      <c r="F1208" s="28"/>
      <c r="G1208" s="28"/>
      <c r="H1208" s="28"/>
      <c r="I1208" s="28"/>
      <c r="J1208" s="28"/>
      <c r="K1208" s="28"/>
      <c r="L1208" s="28"/>
      <c r="M1208" s="28"/>
      <c r="N1208" s="28"/>
      <c r="O1208" s="139"/>
      <c r="P1208" s="139"/>
      <c r="Q1208" s="139"/>
      <c r="R1208" s="139"/>
      <c r="S1208" s="139"/>
      <c r="T1208" s="139"/>
      <c r="U1208" s="139"/>
      <c r="V1208" s="139"/>
      <c r="W1208" s="139"/>
      <c r="X1208" s="139"/>
      <c r="Y1208" s="139"/>
      <c r="Z1208" s="139"/>
      <c r="AA1208" s="139"/>
      <c r="AB1208" s="139"/>
      <c r="AC1208" s="139"/>
      <c r="AD1208" s="70"/>
      <c r="AE1208" s="70"/>
      <c r="AF1208" s="70"/>
      <c r="AG1208" s="70"/>
      <c r="AH1208" s="70"/>
      <c r="AI1208" s="70"/>
      <c r="AJ1208" s="70"/>
      <c r="AK1208" s="70"/>
      <c r="AL1208" s="70"/>
      <c r="AM1208" s="70"/>
      <c r="AN1208" s="70"/>
      <c r="AO1208" s="70"/>
      <c r="AP1208" s="70"/>
      <c r="AQ1208" s="70"/>
      <c r="AR1208" s="70"/>
      <c r="AS1208" s="70"/>
      <c r="AT1208" s="70"/>
      <c r="AU1208" s="70"/>
      <c r="AV1208" s="70"/>
      <c r="AW1208" s="70"/>
      <c r="AX1208" s="70"/>
    </row>
    <row r="1209" ht="15.75" customHeight="1">
      <c r="A1209" s="90" t="s">
        <v>134</v>
      </c>
      <c r="B1209" s="92" t="s">
        <v>8517</v>
      </c>
      <c r="C1209" s="28"/>
      <c r="D1209" s="28"/>
      <c r="E1209" s="28"/>
      <c r="F1209" s="28"/>
      <c r="G1209" s="28"/>
      <c r="H1209" s="28"/>
      <c r="I1209" s="28"/>
      <c r="J1209" s="28"/>
      <c r="K1209" s="28"/>
      <c r="L1209" s="28"/>
      <c r="M1209" s="28"/>
      <c r="N1209" s="28"/>
      <c r="O1209" s="96"/>
      <c r="P1209" s="96"/>
      <c r="Q1209" s="96"/>
      <c r="R1209" s="96"/>
      <c r="S1209" s="96"/>
      <c r="T1209" s="178" t="s">
        <v>139</v>
      </c>
      <c r="U1209" s="96"/>
      <c r="V1209" s="96"/>
      <c r="W1209" s="96"/>
      <c r="X1209" s="96"/>
      <c r="Y1209" s="96"/>
      <c r="Z1209" s="96"/>
      <c r="AA1209" s="96"/>
      <c r="AB1209" s="96"/>
      <c r="AC1209" s="96"/>
      <c r="AD1209" s="70"/>
      <c r="AE1209" s="70"/>
      <c r="AF1209" s="70"/>
      <c r="AG1209" s="70"/>
      <c r="AH1209" s="70"/>
      <c r="AI1209" s="70"/>
      <c r="AJ1209" s="70"/>
      <c r="AK1209" s="70"/>
      <c r="AL1209" s="70"/>
      <c r="AM1209" s="70"/>
      <c r="AN1209" s="70"/>
      <c r="AO1209" s="70"/>
      <c r="AP1209" s="70"/>
      <c r="AQ1209" s="70"/>
      <c r="AR1209" s="70"/>
      <c r="AS1209" s="70"/>
      <c r="AT1209" s="70"/>
      <c r="AU1209" s="70"/>
      <c r="AV1209" s="70"/>
      <c r="AW1209" s="70"/>
      <c r="AX1209" s="70"/>
    </row>
    <row r="1210" ht="15.75" customHeight="1">
      <c r="A1210" s="90" t="s">
        <v>78</v>
      </c>
      <c r="B1210" s="92" t="s">
        <v>8521</v>
      </c>
      <c r="C1210" s="28"/>
      <c r="D1210" s="28"/>
      <c r="E1210" s="28"/>
      <c r="F1210" s="28"/>
      <c r="G1210" s="28"/>
      <c r="H1210" s="28"/>
      <c r="I1210" s="28"/>
      <c r="J1210" s="28"/>
      <c r="K1210" s="28"/>
      <c r="L1210" s="28"/>
      <c r="M1210" s="28"/>
      <c r="N1210" s="28"/>
      <c r="O1210" s="96"/>
      <c r="P1210" s="96"/>
      <c r="Q1210" s="96"/>
      <c r="R1210" s="96"/>
      <c r="S1210" s="96"/>
      <c r="T1210" s="178" t="s">
        <v>10749</v>
      </c>
      <c r="U1210" s="96"/>
      <c r="V1210" s="96"/>
      <c r="W1210" s="96"/>
      <c r="X1210" s="96"/>
      <c r="Y1210" s="96"/>
      <c r="Z1210" s="96"/>
      <c r="AA1210" s="96"/>
      <c r="AB1210" s="96"/>
      <c r="AC1210" s="96"/>
      <c r="AD1210" s="70"/>
      <c r="AE1210" s="70"/>
      <c r="AF1210" s="70"/>
      <c r="AG1210" s="70"/>
      <c r="AH1210" s="70"/>
      <c r="AI1210" s="70"/>
      <c r="AJ1210" s="70"/>
      <c r="AK1210" s="70"/>
      <c r="AL1210" s="70"/>
      <c r="AM1210" s="70"/>
      <c r="AN1210" s="70"/>
      <c r="AO1210" s="70"/>
      <c r="AP1210" s="70"/>
      <c r="AQ1210" s="70"/>
      <c r="AR1210" s="70"/>
      <c r="AS1210" s="70"/>
      <c r="AT1210" s="70"/>
      <c r="AU1210" s="70"/>
      <c r="AV1210" s="70"/>
      <c r="AW1210" s="70"/>
      <c r="AX1210" s="70"/>
    </row>
    <row r="1211" ht="15.75" customHeight="1">
      <c r="A1211" s="174" t="s">
        <v>1015</v>
      </c>
      <c r="B1211" s="204" t="s">
        <v>7972</v>
      </c>
      <c r="C1211" s="28" t="s">
        <v>1389</v>
      </c>
      <c r="D1211" s="28"/>
      <c r="E1211" s="28"/>
      <c r="F1211" s="28"/>
      <c r="G1211" s="28"/>
      <c r="H1211" s="28"/>
      <c r="I1211" s="28"/>
      <c r="J1211" s="28"/>
      <c r="K1211" s="28"/>
      <c r="L1211" s="28"/>
      <c r="M1211" s="28"/>
      <c r="N1211" s="28"/>
      <c r="O1211" s="176"/>
      <c r="P1211" s="176"/>
      <c r="Q1211" s="176"/>
      <c r="R1211" s="176"/>
      <c r="S1211" s="176"/>
      <c r="T1211" s="176"/>
      <c r="U1211" s="176"/>
      <c r="V1211" s="176"/>
      <c r="W1211" s="176"/>
      <c r="X1211" s="176"/>
      <c r="Y1211" s="176"/>
      <c r="Z1211" s="176"/>
      <c r="AA1211" s="176"/>
      <c r="AB1211" s="176"/>
      <c r="AC1211" s="176"/>
      <c r="AD1211" s="176"/>
      <c r="AE1211" s="176"/>
      <c r="AF1211" s="176"/>
      <c r="AG1211" s="176"/>
      <c r="AH1211" s="176"/>
      <c r="AI1211" s="176"/>
      <c r="AJ1211" s="176"/>
      <c r="AK1211" s="176"/>
      <c r="AL1211" s="176"/>
      <c r="AM1211" s="176"/>
      <c r="AN1211" s="176"/>
      <c r="AO1211" s="70"/>
      <c r="AP1211" s="70"/>
      <c r="AQ1211" s="70"/>
      <c r="AR1211" s="70"/>
      <c r="AS1211" s="70"/>
      <c r="AT1211" s="70"/>
      <c r="AU1211" s="70"/>
      <c r="AV1211" s="70"/>
      <c r="AW1211" s="70"/>
      <c r="AX1211" s="70"/>
    </row>
    <row r="1212">
      <c r="A1212" s="118"/>
      <c r="B1212" s="118"/>
      <c r="C1212" s="28"/>
      <c r="D1212" s="28"/>
      <c r="E1212" s="28"/>
      <c r="F1212" s="28"/>
      <c r="G1212" s="28"/>
      <c r="H1212" s="28"/>
      <c r="I1212" s="28"/>
      <c r="J1212" s="28"/>
      <c r="K1212" s="28"/>
      <c r="L1212" s="28"/>
      <c r="M1212" s="28"/>
      <c r="N1212" s="28"/>
      <c r="O1212" s="118"/>
      <c r="P1212" s="118"/>
      <c r="Q1212" s="118"/>
      <c r="R1212" s="118"/>
      <c r="S1212" s="118"/>
      <c r="T1212" s="136"/>
      <c r="U1212" s="118"/>
      <c r="V1212" s="118"/>
      <c r="W1212" s="118"/>
      <c r="X1212" s="118"/>
      <c r="Y1212" s="118"/>
      <c r="Z1212" s="118"/>
      <c r="AA1212" s="118"/>
      <c r="AB1212" s="118"/>
      <c r="AC1212" s="118"/>
      <c r="AD1212" s="118"/>
      <c r="AE1212" s="118"/>
      <c r="AF1212" s="118"/>
      <c r="AG1212" s="118"/>
      <c r="AH1212" s="118"/>
      <c r="AI1212" s="118"/>
      <c r="AJ1212" s="118"/>
      <c r="AK1212" s="118"/>
      <c r="AL1212" s="118"/>
      <c r="AM1212" s="118"/>
      <c r="AN1212" s="118"/>
      <c r="AO1212" s="118"/>
      <c r="AP1212" s="118"/>
      <c r="AQ1212" s="118"/>
      <c r="AR1212" s="118"/>
      <c r="AS1212" s="118"/>
      <c r="AT1212" s="118"/>
      <c r="AU1212" s="118"/>
      <c r="AV1212" s="118"/>
      <c r="AW1212" s="118"/>
      <c r="AX1212" s="118"/>
    </row>
    <row r="1213" ht="15.75" customHeight="1">
      <c r="A1213" s="90" t="s">
        <v>78</v>
      </c>
      <c r="B1213" s="154" t="s">
        <v>8524</v>
      </c>
      <c r="C1213" s="28" t="s">
        <v>8525</v>
      </c>
      <c r="D1213" s="28" t="s">
        <v>8526</v>
      </c>
      <c r="E1213" s="28" t="s">
        <v>8527</v>
      </c>
      <c r="F1213" s="28"/>
      <c r="G1213" s="28"/>
      <c r="H1213" s="28"/>
      <c r="I1213" s="28"/>
      <c r="J1213" s="28"/>
      <c r="K1213" s="28"/>
      <c r="L1213" s="28"/>
      <c r="M1213" s="28"/>
      <c r="N1213" s="28"/>
      <c r="O1213" s="96"/>
      <c r="P1213" s="96"/>
      <c r="Q1213" s="96"/>
      <c r="R1213" s="96"/>
      <c r="S1213" s="96"/>
      <c r="T1213" s="178" t="s">
        <v>10750</v>
      </c>
      <c r="U1213" s="96"/>
      <c r="V1213" s="96"/>
      <c r="W1213" s="96"/>
      <c r="X1213" s="96"/>
      <c r="Y1213" s="96"/>
      <c r="Z1213" s="96"/>
      <c r="AA1213" s="96"/>
      <c r="AB1213" s="96"/>
      <c r="AC1213" s="96"/>
      <c r="AD1213" s="70"/>
      <c r="AE1213" s="70"/>
      <c r="AF1213" s="70"/>
      <c r="AG1213" s="70"/>
      <c r="AH1213" s="70"/>
      <c r="AI1213" s="70"/>
      <c r="AJ1213" s="70"/>
      <c r="AK1213" s="70"/>
      <c r="AL1213" s="70"/>
      <c r="AM1213" s="70"/>
      <c r="AN1213" s="70"/>
      <c r="AO1213" s="70"/>
      <c r="AP1213" s="70"/>
      <c r="AQ1213" s="70"/>
      <c r="AR1213" s="70"/>
      <c r="AS1213" s="70"/>
      <c r="AT1213" s="70"/>
      <c r="AU1213" s="70"/>
      <c r="AV1213" s="70"/>
      <c r="AW1213" s="70"/>
      <c r="AX1213" s="70"/>
    </row>
    <row r="1214" ht="15.75" customHeight="1">
      <c r="A1214" s="90" t="s">
        <v>78</v>
      </c>
      <c r="B1214" s="154" t="s">
        <v>8528</v>
      </c>
      <c r="C1214" s="28" t="s">
        <v>8529</v>
      </c>
      <c r="D1214" s="28"/>
      <c r="E1214" s="28"/>
      <c r="F1214" s="28"/>
      <c r="G1214" s="28"/>
      <c r="H1214" s="28"/>
      <c r="I1214" s="28"/>
      <c r="J1214" s="28"/>
      <c r="K1214" s="28"/>
      <c r="L1214" s="28"/>
      <c r="M1214" s="28"/>
      <c r="N1214" s="28"/>
      <c r="O1214" s="96"/>
      <c r="P1214" s="96"/>
      <c r="Q1214" s="96"/>
      <c r="R1214" s="96"/>
      <c r="S1214" s="96"/>
      <c r="T1214" s="178" t="s">
        <v>10751</v>
      </c>
      <c r="U1214" s="96"/>
      <c r="V1214" s="96"/>
      <c r="W1214" s="96"/>
      <c r="X1214" s="96"/>
      <c r="Y1214" s="96"/>
      <c r="Z1214" s="96"/>
      <c r="AA1214" s="96"/>
      <c r="AB1214" s="96"/>
      <c r="AC1214" s="96"/>
      <c r="AD1214" s="70"/>
      <c r="AE1214" s="70"/>
      <c r="AF1214" s="70"/>
      <c r="AG1214" s="70"/>
      <c r="AH1214" s="70"/>
      <c r="AI1214" s="70"/>
      <c r="AJ1214" s="70"/>
      <c r="AK1214" s="70"/>
      <c r="AL1214" s="70"/>
      <c r="AM1214" s="70"/>
      <c r="AN1214" s="70"/>
      <c r="AO1214" s="70"/>
      <c r="AP1214" s="70"/>
      <c r="AQ1214" s="70"/>
      <c r="AR1214" s="70"/>
      <c r="AS1214" s="70"/>
      <c r="AT1214" s="70"/>
      <c r="AU1214" s="70"/>
      <c r="AV1214" s="70"/>
      <c r="AW1214" s="70"/>
      <c r="AX1214" s="70"/>
    </row>
    <row r="1215" ht="15.75" customHeight="1">
      <c r="A1215" s="90" t="s">
        <v>78</v>
      </c>
      <c r="B1215" s="154" t="s">
        <v>8530</v>
      </c>
      <c r="C1215" s="28"/>
      <c r="D1215" s="28"/>
      <c r="E1215" s="28"/>
      <c r="F1215" s="28"/>
      <c r="G1215" s="28"/>
      <c r="H1215" s="28"/>
      <c r="I1215" s="28"/>
      <c r="J1215" s="28"/>
      <c r="K1215" s="28"/>
      <c r="L1215" s="28"/>
      <c r="M1215" s="28"/>
      <c r="N1215" s="28"/>
      <c r="O1215" s="96"/>
      <c r="P1215" s="96"/>
      <c r="Q1215" s="96"/>
      <c r="R1215" s="96"/>
      <c r="S1215" s="96"/>
      <c r="T1215" s="178" t="s">
        <v>10752</v>
      </c>
      <c r="U1215" s="96"/>
      <c r="V1215" s="96"/>
      <c r="W1215" s="96"/>
      <c r="X1215" s="96"/>
      <c r="Y1215" s="96"/>
      <c r="Z1215" s="96"/>
      <c r="AA1215" s="96"/>
      <c r="AB1215" s="96"/>
      <c r="AC1215" s="96"/>
      <c r="AD1215" s="70"/>
      <c r="AE1215" s="70"/>
      <c r="AF1215" s="70"/>
      <c r="AG1215" s="70"/>
      <c r="AH1215" s="70"/>
      <c r="AI1215" s="70"/>
      <c r="AJ1215" s="70"/>
      <c r="AK1215" s="70"/>
      <c r="AL1215" s="70"/>
      <c r="AM1215" s="70"/>
      <c r="AN1215" s="70"/>
      <c r="AO1215" s="70"/>
      <c r="AP1215" s="70"/>
      <c r="AQ1215" s="70"/>
      <c r="AR1215" s="70"/>
      <c r="AS1215" s="70"/>
      <c r="AT1215" s="70"/>
      <c r="AU1215" s="70"/>
      <c r="AV1215" s="70"/>
      <c r="AW1215" s="70"/>
      <c r="AX1215" s="70"/>
    </row>
    <row r="1216" ht="15.75" customHeight="1">
      <c r="A1216" s="90" t="s">
        <v>78</v>
      </c>
      <c r="B1216" s="154" t="s">
        <v>8532</v>
      </c>
      <c r="C1216" s="28"/>
      <c r="D1216" s="28"/>
      <c r="E1216" s="28"/>
      <c r="F1216" s="28"/>
      <c r="G1216" s="28"/>
      <c r="H1216" s="28"/>
      <c r="I1216" s="28"/>
      <c r="J1216" s="28"/>
      <c r="K1216" s="28"/>
      <c r="L1216" s="28"/>
      <c r="M1216" s="28"/>
      <c r="N1216" s="28"/>
      <c r="O1216" s="96"/>
      <c r="P1216" s="96"/>
      <c r="Q1216" s="96"/>
      <c r="R1216" s="96"/>
      <c r="S1216" s="96"/>
      <c r="T1216" s="178" t="s">
        <v>10753</v>
      </c>
      <c r="U1216" s="96"/>
      <c r="V1216" s="96"/>
      <c r="W1216" s="96"/>
      <c r="X1216" s="96"/>
      <c r="Y1216" s="96"/>
      <c r="Z1216" s="96"/>
      <c r="AA1216" s="96"/>
      <c r="AB1216" s="96"/>
      <c r="AC1216" s="96"/>
      <c r="AD1216" s="70"/>
      <c r="AE1216" s="70"/>
      <c r="AF1216" s="70"/>
      <c r="AG1216" s="70"/>
      <c r="AH1216" s="70"/>
      <c r="AI1216" s="70"/>
      <c r="AJ1216" s="70"/>
      <c r="AK1216" s="70"/>
      <c r="AL1216" s="70"/>
      <c r="AM1216" s="70"/>
      <c r="AN1216" s="70"/>
      <c r="AO1216" s="70"/>
      <c r="AP1216" s="70"/>
      <c r="AQ1216" s="70"/>
      <c r="AR1216" s="70"/>
      <c r="AS1216" s="70"/>
      <c r="AT1216" s="70"/>
      <c r="AU1216" s="70"/>
      <c r="AV1216" s="70"/>
      <c r="AW1216" s="70"/>
      <c r="AX1216" s="70"/>
    </row>
    <row r="1217" ht="15.75" customHeight="1">
      <c r="A1217" s="90" t="s">
        <v>78</v>
      </c>
      <c r="B1217" s="154" t="s">
        <v>8533</v>
      </c>
      <c r="C1217" s="28"/>
      <c r="D1217" s="28"/>
      <c r="E1217" s="28"/>
      <c r="F1217" s="28"/>
      <c r="G1217" s="28"/>
      <c r="H1217" s="28"/>
      <c r="I1217" s="28"/>
      <c r="J1217" s="28"/>
      <c r="K1217" s="28"/>
      <c r="L1217" s="28"/>
      <c r="M1217" s="28"/>
      <c r="N1217" s="28"/>
      <c r="O1217" s="96"/>
      <c r="P1217" s="96"/>
      <c r="Q1217" s="96"/>
      <c r="R1217" s="96"/>
      <c r="S1217" s="96"/>
      <c r="T1217" s="178" t="s">
        <v>10754</v>
      </c>
      <c r="U1217" s="96"/>
      <c r="V1217" s="96"/>
      <c r="W1217" s="96"/>
      <c r="X1217" s="96"/>
      <c r="Y1217" s="96"/>
      <c r="Z1217" s="96"/>
      <c r="AA1217" s="96"/>
      <c r="AB1217" s="96"/>
      <c r="AC1217" s="96"/>
      <c r="AD1217" s="70"/>
      <c r="AE1217" s="70"/>
      <c r="AF1217" s="70"/>
      <c r="AG1217" s="70"/>
      <c r="AH1217" s="70"/>
      <c r="AI1217" s="70"/>
      <c r="AJ1217" s="70"/>
      <c r="AK1217" s="70"/>
      <c r="AL1217" s="70"/>
      <c r="AM1217" s="70"/>
      <c r="AN1217" s="70"/>
      <c r="AO1217" s="70"/>
      <c r="AP1217" s="70"/>
      <c r="AQ1217" s="70"/>
      <c r="AR1217" s="70"/>
      <c r="AS1217" s="70"/>
      <c r="AT1217" s="70"/>
      <c r="AU1217" s="70"/>
      <c r="AV1217" s="70"/>
      <c r="AW1217" s="70"/>
      <c r="AX1217" s="70"/>
    </row>
    <row r="1218" ht="15.75" customHeight="1">
      <c r="A1218" s="90" t="s">
        <v>78</v>
      </c>
      <c r="B1218" s="154" t="s">
        <v>8535</v>
      </c>
      <c r="C1218" s="28"/>
      <c r="D1218" s="28"/>
      <c r="E1218" s="28"/>
      <c r="F1218" s="28"/>
      <c r="G1218" s="28"/>
      <c r="H1218" s="28"/>
      <c r="I1218" s="28"/>
      <c r="J1218" s="28"/>
      <c r="K1218" s="28"/>
      <c r="L1218" s="28"/>
      <c r="M1218" s="28"/>
      <c r="N1218" s="28"/>
      <c r="O1218" s="96"/>
      <c r="P1218" s="96"/>
      <c r="Q1218" s="96"/>
      <c r="R1218" s="96"/>
      <c r="S1218" s="96"/>
      <c r="T1218" s="178" t="s">
        <v>10755</v>
      </c>
      <c r="U1218" s="96"/>
      <c r="V1218" s="96"/>
      <c r="W1218" s="96"/>
      <c r="X1218" s="96"/>
      <c r="Y1218" s="96"/>
      <c r="Z1218" s="96"/>
      <c r="AA1218" s="96"/>
      <c r="AB1218" s="96"/>
      <c r="AC1218" s="96"/>
      <c r="AD1218" s="70"/>
      <c r="AE1218" s="70"/>
      <c r="AF1218" s="70"/>
      <c r="AG1218" s="70"/>
      <c r="AH1218" s="70"/>
      <c r="AI1218" s="70"/>
      <c r="AJ1218" s="70"/>
      <c r="AK1218" s="70"/>
      <c r="AL1218" s="70"/>
      <c r="AM1218" s="70"/>
      <c r="AN1218" s="70"/>
      <c r="AO1218" s="70"/>
      <c r="AP1218" s="70"/>
      <c r="AQ1218" s="70"/>
      <c r="AR1218" s="70"/>
      <c r="AS1218" s="70"/>
      <c r="AT1218" s="70"/>
      <c r="AU1218" s="70"/>
      <c r="AV1218" s="70"/>
      <c r="AW1218" s="70"/>
      <c r="AX1218" s="70"/>
    </row>
    <row r="1219" ht="15.75" customHeight="1">
      <c r="A1219" s="90" t="s">
        <v>78</v>
      </c>
      <c r="B1219" s="154" t="s">
        <v>8536</v>
      </c>
      <c r="C1219" s="28"/>
      <c r="D1219" s="28"/>
      <c r="E1219" s="28"/>
      <c r="F1219" s="28"/>
      <c r="G1219" s="28"/>
      <c r="H1219" s="28"/>
      <c r="I1219" s="28"/>
      <c r="J1219" s="28"/>
      <c r="K1219" s="28"/>
      <c r="L1219" s="28"/>
      <c r="M1219" s="28"/>
      <c r="N1219" s="28"/>
      <c r="O1219" s="96"/>
      <c r="P1219" s="96"/>
      <c r="Q1219" s="96"/>
      <c r="R1219" s="96"/>
      <c r="S1219" s="96"/>
      <c r="T1219" s="178" t="s">
        <v>10756</v>
      </c>
      <c r="U1219" s="96"/>
      <c r="V1219" s="96"/>
      <c r="W1219" s="96"/>
      <c r="X1219" s="96"/>
      <c r="Y1219" s="96"/>
      <c r="Z1219" s="96"/>
      <c r="AA1219" s="96"/>
      <c r="AB1219" s="96"/>
      <c r="AC1219" s="96"/>
      <c r="AD1219" s="70"/>
      <c r="AE1219" s="70"/>
      <c r="AF1219" s="70"/>
      <c r="AG1219" s="70"/>
      <c r="AH1219" s="70"/>
      <c r="AI1219" s="70"/>
      <c r="AJ1219" s="70"/>
      <c r="AK1219" s="70"/>
      <c r="AL1219" s="70"/>
      <c r="AM1219" s="70"/>
      <c r="AN1219" s="70"/>
      <c r="AO1219" s="70"/>
      <c r="AP1219" s="70"/>
      <c r="AQ1219" s="70"/>
      <c r="AR1219" s="70"/>
      <c r="AS1219" s="70"/>
      <c r="AT1219" s="70"/>
      <c r="AU1219" s="70"/>
      <c r="AV1219" s="70"/>
      <c r="AW1219" s="70"/>
      <c r="AX1219" s="70"/>
    </row>
    <row r="1220" ht="15.75" customHeight="1">
      <c r="A1220" s="221"/>
      <c r="B1220" s="221"/>
      <c r="C1220" s="28"/>
      <c r="D1220" s="28"/>
      <c r="E1220" s="28"/>
      <c r="F1220" s="28"/>
      <c r="G1220" s="28"/>
      <c r="H1220" s="28"/>
      <c r="I1220" s="28"/>
      <c r="J1220" s="28"/>
      <c r="K1220" s="28"/>
      <c r="L1220" s="28"/>
      <c r="M1220" s="28"/>
      <c r="N1220" s="28"/>
      <c r="O1220" s="70"/>
      <c r="P1220" s="70"/>
      <c r="Q1220" s="70"/>
      <c r="R1220" s="70"/>
      <c r="S1220" s="70"/>
      <c r="T1220" s="70"/>
      <c r="U1220" s="70"/>
      <c r="V1220" s="70"/>
      <c r="W1220" s="70"/>
      <c r="X1220" s="70"/>
      <c r="Y1220" s="70"/>
      <c r="Z1220" s="70"/>
      <c r="AA1220" s="70"/>
      <c r="AB1220" s="70"/>
      <c r="AC1220" s="70"/>
      <c r="AD1220" s="70"/>
      <c r="AE1220" s="70"/>
      <c r="AF1220" s="70"/>
      <c r="AG1220" s="70"/>
      <c r="AH1220" s="70"/>
      <c r="AI1220" s="70"/>
      <c r="AJ1220" s="70"/>
      <c r="AK1220" s="70"/>
      <c r="AL1220" s="70"/>
      <c r="AM1220" s="70"/>
      <c r="AN1220" s="70"/>
      <c r="AO1220" s="70"/>
      <c r="AP1220" s="70"/>
      <c r="AQ1220" s="70"/>
      <c r="AR1220" s="70"/>
      <c r="AS1220" s="70"/>
      <c r="AT1220" s="70"/>
      <c r="AU1220" s="70"/>
      <c r="AV1220" s="70"/>
      <c r="AW1220" s="70"/>
      <c r="AX1220" s="70"/>
    </row>
    <row r="1221" ht="15.75" customHeight="1">
      <c r="A1221" s="140" t="s">
        <v>131</v>
      </c>
      <c r="B1221" s="164" t="s">
        <v>8538</v>
      </c>
      <c r="C1221" s="28" t="s">
        <v>8539</v>
      </c>
      <c r="D1221" s="28"/>
      <c r="E1221" s="28"/>
      <c r="F1221" s="28"/>
      <c r="G1221" s="28"/>
      <c r="H1221" s="28"/>
      <c r="I1221" s="28"/>
      <c r="J1221" s="28"/>
      <c r="K1221" s="28"/>
      <c r="L1221" s="28"/>
      <c r="M1221" s="28"/>
      <c r="N1221" s="28"/>
      <c r="O1221" s="190"/>
      <c r="P1221" s="139"/>
      <c r="Q1221" s="139"/>
      <c r="R1221" s="139"/>
      <c r="S1221" s="139"/>
      <c r="T1221" s="139"/>
      <c r="U1221" s="139"/>
      <c r="V1221" s="139"/>
      <c r="W1221" s="139"/>
      <c r="X1221" s="139"/>
      <c r="Y1221" s="139"/>
      <c r="Z1221" s="139"/>
      <c r="AA1221" s="139"/>
      <c r="AB1221" s="139"/>
      <c r="AC1221" s="139"/>
      <c r="AD1221" s="70"/>
      <c r="AE1221" s="70"/>
      <c r="AF1221" s="70"/>
      <c r="AG1221" s="70"/>
      <c r="AH1221" s="70"/>
      <c r="AI1221" s="70"/>
      <c r="AJ1221" s="70"/>
      <c r="AK1221" s="70"/>
      <c r="AL1221" s="70"/>
      <c r="AM1221" s="70"/>
      <c r="AN1221" s="70"/>
      <c r="AO1221" s="70"/>
      <c r="AP1221" s="70"/>
      <c r="AQ1221" s="70"/>
      <c r="AR1221" s="70"/>
      <c r="AS1221" s="70"/>
      <c r="AT1221" s="70"/>
      <c r="AU1221" s="70"/>
      <c r="AV1221" s="70"/>
      <c r="AW1221" s="70"/>
      <c r="AX1221" s="70"/>
    </row>
    <row r="1222" ht="15.75" customHeight="1">
      <c r="A1222" s="166" t="s">
        <v>41</v>
      </c>
      <c r="B1222" s="167" t="s">
        <v>8540</v>
      </c>
      <c r="C1222" s="28" t="s">
        <v>8545</v>
      </c>
      <c r="D1222" s="28" t="s">
        <v>8546</v>
      </c>
      <c r="E1222" s="28" t="s">
        <v>8547</v>
      </c>
      <c r="F1222" s="28"/>
      <c r="G1222" s="28"/>
      <c r="H1222" s="28"/>
      <c r="I1222" s="28"/>
      <c r="J1222" s="28"/>
      <c r="K1222" s="28"/>
      <c r="L1222" s="28"/>
      <c r="M1222" s="28"/>
      <c r="N1222" s="28"/>
      <c r="O1222" s="126"/>
      <c r="P1222" s="126"/>
      <c r="Q1222" s="126"/>
      <c r="R1222" s="126"/>
      <c r="S1222" s="126"/>
      <c r="T1222" s="126"/>
      <c r="U1222" s="126"/>
      <c r="V1222" s="126"/>
      <c r="W1222" s="126"/>
      <c r="X1222" s="126"/>
      <c r="Y1222" s="126"/>
      <c r="Z1222" s="126"/>
      <c r="AA1222" s="126"/>
      <c r="AB1222" s="126"/>
      <c r="AC1222" s="126"/>
      <c r="AD1222" s="70"/>
      <c r="AE1222" s="70"/>
      <c r="AF1222" s="70"/>
      <c r="AG1222" s="70"/>
      <c r="AH1222" s="70"/>
      <c r="AI1222" s="70"/>
      <c r="AJ1222" s="70"/>
      <c r="AK1222" s="70"/>
      <c r="AL1222" s="70"/>
      <c r="AM1222" s="70"/>
      <c r="AN1222" s="70"/>
      <c r="AO1222" s="70"/>
      <c r="AP1222" s="70"/>
      <c r="AQ1222" s="70"/>
      <c r="AR1222" s="70"/>
      <c r="AS1222" s="70"/>
      <c r="AT1222" s="70"/>
      <c r="AU1222" s="70"/>
      <c r="AV1222" s="70"/>
      <c r="AW1222" s="70"/>
      <c r="AX1222" s="70"/>
    </row>
    <row r="1223" ht="15.75" customHeight="1">
      <c r="A1223" s="68" t="s">
        <v>2625</v>
      </c>
      <c r="B1223" s="169" t="s">
        <v>8549</v>
      </c>
      <c r="C1223" s="28" t="s">
        <v>8553</v>
      </c>
      <c r="D1223" s="28" t="s">
        <v>8554</v>
      </c>
      <c r="E1223" s="28" t="s">
        <v>8555</v>
      </c>
      <c r="F1223" s="28"/>
      <c r="G1223" s="28"/>
      <c r="H1223" s="28"/>
      <c r="I1223" s="28"/>
      <c r="J1223" s="28"/>
      <c r="K1223" s="28"/>
      <c r="L1223" s="28"/>
      <c r="M1223" s="28"/>
      <c r="N1223" s="28"/>
      <c r="O1223" s="67"/>
      <c r="P1223" s="67"/>
      <c r="Q1223" s="67" t="s">
        <v>145</v>
      </c>
      <c r="R1223" s="67"/>
      <c r="S1223" s="67"/>
      <c r="T1223" s="67"/>
      <c r="U1223" s="67"/>
      <c r="V1223" s="67"/>
      <c r="W1223" s="67"/>
      <c r="X1223" s="67"/>
      <c r="Y1223" s="67"/>
      <c r="Z1223" s="67"/>
      <c r="AA1223" s="67"/>
      <c r="AB1223" s="67"/>
      <c r="AC1223" s="67"/>
      <c r="AD1223" s="70"/>
      <c r="AE1223" s="70"/>
      <c r="AF1223" s="70"/>
      <c r="AG1223" s="70"/>
      <c r="AH1223" s="70"/>
      <c r="AI1223" s="70"/>
      <c r="AJ1223" s="70"/>
      <c r="AK1223" s="70"/>
      <c r="AL1223" s="70"/>
      <c r="AM1223" s="70"/>
      <c r="AN1223" s="70"/>
      <c r="AO1223" s="70"/>
      <c r="AP1223" s="70"/>
      <c r="AQ1223" s="70"/>
      <c r="AR1223" s="70"/>
      <c r="AS1223" s="70"/>
      <c r="AT1223" s="70"/>
      <c r="AU1223" s="70"/>
      <c r="AV1223" s="70"/>
      <c r="AW1223" s="70"/>
      <c r="AX1223" s="70"/>
    </row>
    <row r="1224" ht="15.75" customHeight="1">
      <c r="A1224" s="170" t="s">
        <v>263</v>
      </c>
      <c r="B1224" s="171" t="s">
        <v>8556</v>
      </c>
      <c r="C1224" s="28" t="s">
        <v>8561</v>
      </c>
      <c r="D1224" s="28" t="s">
        <v>8562</v>
      </c>
      <c r="E1224" s="28" t="s">
        <v>8563</v>
      </c>
      <c r="F1224" s="28"/>
      <c r="G1224" s="28"/>
      <c r="H1224" s="28"/>
      <c r="I1224" s="28"/>
      <c r="J1224" s="28"/>
      <c r="K1224" s="28"/>
      <c r="L1224" s="28"/>
      <c r="M1224" s="28"/>
      <c r="N1224" s="28"/>
      <c r="O1224" s="173" t="s">
        <v>10757</v>
      </c>
      <c r="P1224" s="173"/>
      <c r="Q1224" s="173" t="s">
        <v>145</v>
      </c>
      <c r="R1224" s="173"/>
      <c r="S1224" s="173"/>
      <c r="T1224" s="173"/>
      <c r="U1224" s="173"/>
      <c r="V1224" s="173"/>
      <c r="W1224" s="173"/>
      <c r="X1224" s="173"/>
      <c r="Y1224" s="173"/>
      <c r="Z1224" s="173"/>
      <c r="AA1224" s="173"/>
      <c r="AB1224" s="173"/>
      <c r="AC1224" s="173"/>
      <c r="AD1224" s="70"/>
      <c r="AE1224" s="70"/>
      <c r="AF1224" s="70"/>
      <c r="AG1224" s="70"/>
      <c r="AH1224" s="70"/>
      <c r="AI1224" s="70"/>
      <c r="AJ1224" s="70"/>
      <c r="AK1224" s="70"/>
      <c r="AL1224" s="70"/>
      <c r="AM1224" s="70"/>
      <c r="AN1224" s="70"/>
      <c r="AO1224" s="70"/>
      <c r="AP1224" s="70"/>
      <c r="AQ1224" s="70"/>
      <c r="AR1224" s="70"/>
      <c r="AS1224" s="70"/>
      <c r="AT1224" s="70"/>
      <c r="AU1224" s="70"/>
      <c r="AV1224" s="70"/>
      <c r="AW1224" s="70"/>
      <c r="AX1224" s="70"/>
    </row>
    <row r="1225" ht="15.75" customHeight="1">
      <c r="A1225" s="68" t="s">
        <v>8565</v>
      </c>
      <c r="B1225" s="169" t="s">
        <v>8566</v>
      </c>
      <c r="C1225" s="28" t="s">
        <v>8570</v>
      </c>
      <c r="D1225" s="28" t="s">
        <v>8571</v>
      </c>
      <c r="E1225" s="28" t="s">
        <v>8572</v>
      </c>
      <c r="F1225" s="28"/>
      <c r="G1225" s="28"/>
      <c r="H1225" s="28"/>
      <c r="I1225" s="28"/>
      <c r="J1225" s="28"/>
      <c r="K1225" s="28" t="s">
        <v>10536</v>
      </c>
      <c r="L1225" s="28"/>
      <c r="M1225" s="28"/>
      <c r="N1225" s="28"/>
      <c r="O1225" s="67"/>
      <c r="P1225" s="67"/>
      <c r="Q1225" s="67" t="s">
        <v>145</v>
      </c>
      <c r="R1225" s="67"/>
      <c r="S1225" s="67"/>
      <c r="T1225" s="67"/>
      <c r="U1225" s="67"/>
      <c r="V1225" s="67"/>
      <c r="W1225" s="67"/>
      <c r="X1225" s="67"/>
      <c r="Y1225" s="67"/>
      <c r="Z1225" s="67"/>
      <c r="AA1225" s="67"/>
      <c r="AB1225" s="67"/>
      <c r="AC1225" s="67"/>
      <c r="AD1225" s="70"/>
      <c r="AE1225" s="70"/>
      <c r="AF1225" s="70"/>
      <c r="AG1225" s="70"/>
      <c r="AH1225" s="70"/>
      <c r="AI1225" s="70"/>
      <c r="AJ1225" s="70"/>
      <c r="AK1225" s="70"/>
      <c r="AL1225" s="70"/>
      <c r="AM1225" s="70"/>
      <c r="AN1225" s="70"/>
      <c r="AO1225" s="70"/>
      <c r="AP1225" s="70"/>
      <c r="AQ1225" s="70"/>
      <c r="AR1225" s="70"/>
      <c r="AS1225" s="70"/>
      <c r="AT1225" s="70"/>
      <c r="AU1225" s="70"/>
      <c r="AV1225" s="70"/>
      <c r="AW1225" s="70"/>
      <c r="AX1225" s="70"/>
    </row>
    <row r="1226" ht="15.75" customHeight="1">
      <c r="A1226" s="68" t="s">
        <v>8573</v>
      </c>
      <c r="B1226" s="169" t="s">
        <v>8575</v>
      </c>
      <c r="C1226" s="28" t="s">
        <v>8579</v>
      </c>
      <c r="D1226" s="28" t="s">
        <v>8580</v>
      </c>
      <c r="E1226" s="28" t="s">
        <v>8581</v>
      </c>
      <c r="F1226" s="28"/>
      <c r="G1226" s="28"/>
      <c r="H1226" s="28"/>
      <c r="I1226" s="28"/>
      <c r="J1226" s="28"/>
      <c r="K1226" s="28" t="s">
        <v>10536</v>
      </c>
      <c r="L1226" s="28"/>
      <c r="M1226" s="28"/>
      <c r="N1226" s="28"/>
      <c r="O1226" s="67"/>
      <c r="P1226" s="67"/>
      <c r="Q1226" s="67" t="s">
        <v>145</v>
      </c>
      <c r="R1226" s="67"/>
      <c r="S1226" s="67"/>
      <c r="T1226" s="67"/>
      <c r="U1226" s="67"/>
      <c r="V1226" s="67"/>
      <c r="W1226" s="67"/>
      <c r="X1226" s="67"/>
      <c r="Y1226" s="67"/>
      <c r="Z1226" s="67"/>
      <c r="AA1226" s="67"/>
      <c r="AB1226" s="67"/>
      <c r="AC1226" s="67"/>
      <c r="AD1226" s="70"/>
      <c r="AE1226" s="70"/>
      <c r="AF1226" s="70"/>
      <c r="AG1226" s="70"/>
      <c r="AH1226" s="70"/>
      <c r="AI1226" s="70"/>
      <c r="AJ1226" s="70"/>
      <c r="AK1226" s="70"/>
      <c r="AL1226" s="70"/>
      <c r="AM1226" s="70"/>
      <c r="AN1226" s="70"/>
      <c r="AO1226" s="70"/>
      <c r="AP1226" s="70"/>
      <c r="AQ1226" s="70"/>
      <c r="AR1226" s="70"/>
      <c r="AS1226" s="70"/>
      <c r="AT1226" s="70"/>
      <c r="AU1226" s="70"/>
      <c r="AV1226" s="70"/>
      <c r="AW1226" s="70"/>
      <c r="AX1226" s="70"/>
    </row>
    <row r="1227" ht="15.75" customHeight="1">
      <c r="A1227" s="90" t="s">
        <v>134</v>
      </c>
      <c r="B1227" s="92" t="s">
        <v>8582</v>
      </c>
      <c r="C1227" s="28"/>
      <c r="D1227" s="28"/>
      <c r="E1227" s="28"/>
      <c r="F1227" s="28"/>
      <c r="G1227" s="28"/>
      <c r="H1227" s="28"/>
      <c r="I1227" s="28"/>
      <c r="J1227" s="28"/>
      <c r="K1227" s="28"/>
      <c r="L1227" s="28"/>
      <c r="M1227" s="28"/>
      <c r="N1227" s="28"/>
      <c r="O1227" s="96"/>
      <c r="P1227" s="96"/>
      <c r="Q1227" s="96"/>
      <c r="R1227" s="96"/>
      <c r="S1227" s="96"/>
      <c r="T1227" s="178" t="s">
        <v>139</v>
      </c>
      <c r="U1227" s="96"/>
      <c r="V1227" s="96"/>
      <c r="W1227" s="96"/>
      <c r="X1227" s="96"/>
      <c r="Y1227" s="96"/>
      <c r="Z1227" s="96"/>
      <c r="AA1227" s="96"/>
      <c r="AB1227" s="96"/>
      <c r="AC1227" s="96"/>
      <c r="AD1227" s="70"/>
      <c r="AE1227" s="70"/>
      <c r="AF1227" s="70"/>
      <c r="AG1227" s="70"/>
      <c r="AH1227" s="70"/>
      <c r="AI1227" s="70"/>
      <c r="AJ1227" s="70"/>
      <c r="AK1227" s="70"/>
      <c r="AL1227" s="70"/>
      <c r="AM1227" s="70"/>
      <c r="AN1227" s="70"/>
      <c r="AO1227" s="70"/>
      <c r="AP1227" s="70"/>
      <c r="AQ1227" s="70"/>
      <c r="AR1227" s="70"/>
      <c r="AS1227" s="70"/>
      <c r="AT1227" s="70"/>
      <c r="AU1227" s="70"/>
      <c r="AV1227" s="70"/>
      <c r="AW1227" s="70"/>
      <c r="AX1227" s="70"/>
    </row>
    <row r="1228" ht="15.75" customHeight="1">
      <c r="A1228" s="174" t="s">
        <v>698</v>
      </c>
      <c r="B1228" s="175" t="s">
        <v>8585</v>
      </c>
      <c r="C1228" s="28" t="s">
        <v>8586</v>
      </c>
      <c r="D1228" s="28" t="s">
        <v>8587</v>
      </c>
      <c r="E1228" s="28" t="s">
        <v>8588</v>
      </c>
      <c r="F1228" s="28"/>
      <c r="G1228" s="28"/>
      <c r="H1228" s="28"/>
      <c r="I1228" s="28"/>
      <c r="J1228" s="28"/>
      <c r="K1228" s="28"/>
      <c r="L1228" s="28"/>
      <c r="M1228" s="28"/>
      <c r="N1228" s="28"/>
      <c r="O1228" s="177" t="s">
        <v>10758</v>
      </c>
      <c r="P1228" s="176"/>
      <c r="Q1228" s="176"/>
      <c r="R1228" s="176"/>
      <c r="S1228" s="176"/>
      <c r="T1228" s="176"/>
      <c r="U1228" s="177" t="s">
        <v>10759</v>
      </c>
      <c r="V1228" s="176"/>
      <c r="W1228" s="176"/>
      <c r="X1228" s="176"/>
      <c r="Y1228" s="176"/>
      <c r="Z1228" s="176"/>
      <c r="AA1228" s="176"/>
      <c r="AB1228" s="176"/>
      <c r="AC1228" s="176"/>
      <c r="AD1228" s="70"/>
      <c r="AE1228" s="70"/>
      <c r="AF1228" s="70"/>
      <c r="AG1228" s="70"/>
      <c r="AH1228" s="70"/>
      <c r="AI1228" s="70"/>
      <c r="AJ1228" s="70"/>
      <c r="AK1228" s="70"/>
      <c r="AL1228" s="70"/>
      <c r="AM1228" s="70"/>
      <c r="AN1228" s="70"/>
      <c r="AO1228" s="70"/>
      <c r="AP1228" s="70"/>
      <c r="AQ1228" s="70"/>
      <c r="AR1228" s="70"/>
      <c r="AS1228" s="70"/>
      <c r="AT1228" s="70"/>
      <c r="AU1228" s="70"/>
      <c r="AV1228" s="70"/>
      <c r="AW1228" s="70"/>
      <c r="AX1228" s="70"/>
    </row>
    <row r="1229" ht="15.75" customHeight="1">
      <c r="A1229" s="90" t="s">
        <v>78</v>
      </c>
      <c r="B1229" s="92" t="s">
        <v>8590</v>
      </c>
      <c r="C1229" s="28" t="s">
        <v>8591</v>
      </c>
      <c r="D1229" s="28" t="s">
        <v>8592</v>
      </c>
      <c r="E1229" s="28" t="s">
        <v>8593</v>
      </c>
      <c r="F1229" s="28"/>
      <c r="G1229" s="28"/>
      <c r="H1229" s="28"/>
      <c r="I1229" s="28"/>
      <c r="J1229" s="28"/>
      <c r="K1229" s="28"/>
      <c r="L1229" s="28"/>
      <c r="M1229" s="28"/>
      <c r="N1229" s="28"/>
      <c r="O1229" s="96"/>
      <c r="P1229" s="96"/>
      <c r="Q1229" s="96"/>
      <c r="R1229" s="96"/>
      <c r="S1229" s="96"/>
      <c r="T1229" s="178" t="s">
        <v>10760</v>
      </c>
      <c r="U1229" s="96"/>
      <c r="V1229" s="96"/>
      <c r="W1229" s="96"/>
      <c r="X1229" s="96"/>
      <c r="Y1229" s="96"/>
      <c r="Z1229" s="96"/>
      <c r="AA1229" s="96"/>
      <c r="AB1229" s="96"/>
      <c r="AC1229" s="96"/>
      <c r="AD1229" s="70"/>
      <c r="AE1229" s="70"/>
      <c r="AF1229" s="70"/>
      <c r="AG1229" s="70"/>
      <c r="AH1229" s="70"/>
      <c r="AI1229" s="70"/>
      <c r="AJ1229" s="70"/>
      <c r="AK1229" s="70"/>
      <c r="AL1229" s="70"/>
      <c r="AM1229" s="70"/>
      <c r="AN1229" s="70"/>
      <c r="AO1229" s="70"/>
      <c r="AP1229" s="70"/>
      <c r="AQ1229" s="70"/>
      <c r="AR1229" s="70"/>
      <c r="AS1229" s="70"/>
      <c r="AT1229" s="70"/>
      <c r="AU1229" s="70"/>
      <c r="AV1229" s="70"/>
      <c r="AW1229" s="70"/>
      <c r="AX1229" s="70"/>
    </row>
    <row r="1230" ht="15.75" customHeight="1">
      <c r="A1230" s="170" t="s">
        <v>263</v>
      </c>
      <c r="B1230" s="171" t="s">
        <v>8594</v>
      </c>
      <c r="C1230" s="28" t="s">
        <v>8599</v>
      </c>
      <c r="D1230" s="28" t="s">
        <v>8600</v>
      </c>
      <c r="E1230" s="28" t="s">
        <v>8601</v>
      </c>
      <c r="F1230" s="28"/>
      <c r="G1230" s="28"/>
      <c r="H1230" s="28"/>
      <c r="I1230" s="28"/>
      <c r="J1230" s="28"/>
      <c r="K1230" s="28" t="s">
        <v>10761</v>
      </c>
      <c r="L1230" s="28"/>
      <c r="M1230" s="28"/>
      <c r="N1230" s="28"/>
      <c r="O1230" s="173"/>
      <c r="P1230" s="173"/>
      <c r="Q1230" s="173" t="s">
        <v>145</v>
      </c>
      <c r="R1230" s="173"/>
      <c r="S1230" s="173"/>
      <c r="T1230" s="173"/>
      <c r="U1230" s="173"/>
      <c r="V1230" s="173"/>
      <c r="W1230" s="173"/>
      <c r="X1230" s="173"/>
      <c r="Y1230" s="173"/>
      <c r="Z1230" s="173"/>
      <c r="AA1230" s="173"/>
      <c r="AB1230" s="173"/>
      <c r="AC1230" s="173"/>
      <c r="AD1230" s="70"/>
      <c r="AE1230" s="70"/>
      <c r="AF1230" s="70"/>
      <c r="AG1230" s="70"/>
      <c r="AH1230" s="70"/>
      <c r="AI1230" s="70"/>
      <c r="AJ1230" s="70"/>
      <c r="AK1230" s="70"/>
      <c r="AL1230" s="70"/>
      <c r="AM1230" s="70"/>
      <c r="AN1230" s="70"/>
      <c r="AO1230" s="70"/>
      <c r="AP1230" s="70"/>
      <c r="AQ1230" s="70"/>
      <c r="AR1230" s="70"/>
      <c r="AS1230" s="70"/>
      <c r="AT1230" s="70"/>
      <c r="AU1230" s="70"/>
      <c r="AV1230" s="70"/>
      <c r="AW1230" s="70"/>
      <c r="AX1230" s="70"/>
    </row>
    <row r="1231" ht="15.75" customHeight="1">
      <c r="A1231" s="170" t="s">
        <v>263</v>
      </c>
      <c r="B1231" s="171" t="s">
        <v>8602</v>
      </c>
      <c r="C1231" s="28" t="s">
        <v>8607</v>
      </c>
      <c r="D1231" s="28" t="s">
        <v>8608</v>
      </c>
      <c r="E1231" s="28" t="s">
        <v>8609</v>
      </c>
      <c r="F1231" s="28"/>
      <c r="G1231" s="28"/>
      <c r="H1231" s="28"/>
      <c r="I1231" s="28"/>
      <c r="J1231" s="28"/>
      <c r="K1231" s="28"/>
      <c r="L1231" s="28"/>
      <c r="M1231" s="28"/>
      <c r="N1231" s="28"/>
      <c r="O1231" s="173"/>
      <c r="P1231" s="173"/>
      <c r="Q1231" s="173" t="s">
        <v>145</v>
      </c>
      <c r="R1231" s="173"/>
      <c r="S1231" s="173"/>
      <c r="T1231" s="173"/>
      <c r="U1231" s="173"/>
      <c r="V1231" s="173"/>
      <c r="W1231" s="173"/>
      <c r="X1231" s="173"/>
      <c r="Y1231" s="173"/>
      <c r="Z1231" s="173"/>
      <c r="AA1231" s="173"/>
      <c r="AB1231" s="173"/>
      <c r="AC1231" s="173"/>
      <c r="AD1231" s="70"/>
      <c r="AE1231" s="70"/>
      <c r="AF1231" s="70"/>
      <c r="AG1231" s="70"/>
      <c r="AH1231" s="70"/>
      <c r="AI1231" s="70"/>
      <c r="AJ1231" s="70"/>
      <c r="AK1231" s="70"/>
      <c r="AL1231" s="70"/>
      <c r="AM1231" s="70"/>
      <c r="AN1231" s="70"/>
      <c r="AO1231" s="70"/>
      <c r="AP1231" s="70"/>
      <c r="AQ1231" s="70"/>
      <c r="AR1231" s="70"/>
      <c r="AS1231" s="70"/>
      <c r="AT1231" s="70"/>
      <c r="AU1231" s="70"/>
      <c r="AV1231" s="70"/>
      <c r="AW1231" s="70"/>
      <c r="AX1231" s="70"/>
    </row>
    <row r="1232" ht="15.75" customHeight="1">
      <c r="A1232" s="174" t="s">
        <v>1015</v>
      </c>
      <c r="B1232" s="204" t="s">
        <v>8585</v>
      </c>
      <c r="C1232" s="28" t="s">
        <v>8586</v>
      </c>
      <c r="D1232" s="28" t="s">
        <v>8587</v>
      </c>
      <c r="E1232" s="28" t="s">
        <v>8588</v>
      </c>
      <c r="F1232" s="28"/>
      <c r="G1232" s="28"/>
      <c r="H1232" s="28"/>
      <c r="I1232" s="28"/>
      <c r="J1232" s="28"/>
      <c r="K1232" s="28"/>
      <c r="L1232" s="28"/>
      <c r="M1232" s="28"/>
      <c r="N1232" s="28"/>
      <c r="O1232" s="176"/>
      <c r="P1232" s="176"/>
      <c r="Q1232" s="176"/>
      <c r="R1232" s="176"/>
      <c r="S1232" s="176"/>
      <c r="T1232" s="176"/>
      <c r="U1232" s="176"/>
      <c r="V1232" s="176"/>
      <c r="W1232" s="176"/>
      <c r="X1232" s="176"/>
      <c r="Y1232" s="176"/>
      <c r="Z1232" s="176"/>
      <c r="AA1232" s="176"/>
      <c r="AB1232" s="176"/>
      <c r="AC1232" s="176"/>
      <c r="AD1232" s="70"/>
      <c r="AE1232" s="70"/>
      <c r="AF1232" s="70"/>
      <c r="AG1232" s="70"/>
      <c r="AH1232" s="70"/>
      <c r="AI1232" s="70"/>
      <c r="AJ1232" s="70"/>
      <c r="AK1232" s="70"/>
      <c r="AL1232" s="70"/>
      <c r="AM1232" s="70"/>
      <c r="AN1232" s="70"/>
      <c r="AO1232" s="70"/>
      <c r="AP1232" s="70"/>
      <c r="AQ1232" s="70"/>
      <c r="AR1232" s="70"/>
      <c r="AS1232" s="70"/>
      <c r="AT1232" s="70"/>
      <c r="AU1232" s="70"/>
      <c r="AV1232" s="70"/>
      <c r="AW1232" s="70"/>
      <c r="AX1232" s="70"/>
    </row>
    <row r="1233" ht="15.75" customHeight="1">
      <c r="A1233" s="90" t="s">
        <v>134</v>
      </c>
      <c r="B1233" s="92" t="s">
        <v>8615</v>
      </c>
      <c r="C1233" s="28"/>
      <c r="D1233" s="28"/>
      <c r="E1233" s="28"/>
      <c r="F1233" s="28"/>
      <c r="G1233" s="28"/>
      <c r="H1233" s="28"/>
      <c r="I1233" s="28"/>
      <c r="J1233" s="28"/>
      <c r="K1233" s="28"/>
      <c r="L1233" s="28"/>
      <c r="M1233" s="28"/>
      <c r="N1233" s="28"/>
      <c r="O1233" s="96"/>
      <c r="P1233" s="96"/>
      <c r="Q1233" s="96"/>
      <c r="R1233" s="96"/>
      <c r="S1233" s="96"/>
      <c r="T1233" s="178" t="s">
        <v>139</v>
      </c>
      <c r="U1233" s="96"/>
      <c r="V1233" s="96"/>
      <c r="W1233" s="96"/>
      <c r="X1233" s="96"/>
      <c r="Y1233" s="96"/>
      <c r="Z1233" s="96"/>
      <c r="AA1233" s="96"/>
      <c r="AB1233" s="96"/>
      <c r="AC1233" s="96"/>
      <c r="AD1233" s="70"/>
      <c r="AE1233" s="70"/>
      <c r="AF1233" s="70"/>
      <c r="AG1233" s="70"/>
      <c r="AH1233" s="70"/>
      <c r="AI1233" s="70"/>
      <c r="AJ1233" s="70"/>
      <c r="AK1233" s="70"/>
      <c r="AL1233" s="70"/>
      <c r="AM1233" s="70"/>
      <c r="AN1233" s="70"/>
      <c r="AO1233" s="70"/>
      <c r="AP1233" s="70"/>
      <c r="AQ1233" s="70"/>
      <c r="AR1233" s="70"/>
      <c r="AS1233" s="70"/>
      <c r="AT1233" s="70"/>
      <c r="AU1233" s="70"/>
      <c r="AV1233" s="70"/>
      <c r="AW1233" s="70"/>
      <c r="AX1233" s="70"/>
    </row>
    <row r="1234" ht="15.75" customHeight="1">
      <c r="A1234" s="90" t="s">
        <v>78</v>
      </c>
      <c r="B1234" s="92" t="s">
        <v>8619</v>
      </c>
      <c r="C1234" s="28"/>
      <c r="D1234" s="28"/>
      <c r="E1234" s="28"/>
      <c r="F1234" s="28"/>
      <c r="G1234" s="28"/>
      <c r="H1234" s="28"/>
      <c r="I1234" s="28"/>
      <c r="J1234" s="28"/>
      <c r="K1234" s="28"/>
      <c r="L1234" s="28"/>
      <c r="M1234" s="28"/>
      <c r="N1234" s="28"/>
      <c r="O1234" s="96"/>
      <c r="P1234" s="96"/>
      <c r="Q1234" s="96"/>
      <c r="R1234" s="96"/>
      <c r="S1234" s="96"/>
      <c r="T1234" s="178" t="s">
        <v>10762</v>
      </c>
      <c r="U1234" s="96"/>
      <c r="V1234" s="96"/>
      <c r="W1234" s="96"/>
      <c r="X1234" s="96"/>
      <c r="Y1234" s="96"/>
      <c r="Z1234" s="96"/>
      <c r="AA1234" s="96"/>
      <c r="AB1234" s="96"/>
      <c r="AC1234" s="96"/>
      <c r="AD1234" s="70"/>
      <c r="AE1234" s="70"/>
      <c r="AF1234" s="70"/>
      <c r="AG1234" s="70"/>
      <c r="AH1234" s="70"/>
      <c r="AI1234" s="70"/>
      <c r="AJ1234" s="70"/>
      <c r="AK1234" s="70"/>
      <c r="AL1234" s="70"/>
      <c r="AM1234" s="70"/>
      <c r="AN1234" s="70"/>
      <c r="AO1234" s="70"/>
      <c r="AP1234" s="70"/>
      <c r="AQ1234" s="70"/>
      <c r="AR1234" s="70"/>
      <c r="AS1234" s="70"/>
      <c r="AT1234" s="70"/>
      <c r="AU1234" s="70"/>
      <c r="AV1234" s="70"/>
      <c r="AW1234" s="70"/>
      <c r="AX1234" s="70"/>
    </row>
    <row r="1235" ht="15.75" customHeight="1">
      <c r="A1235" s="90" t="s">
        <v>134</v>
      </c>
      <c r="B1235" s="92" t="s">
        <v>8625</v>
      </c>
      <c r="C1235" s="28"/>
      <c r="D1235" s="28"/>
      <c r="E1235" s="28"/>
      <c r="F1235" s="28"/>
      <c r="G1235" s="28"/>
      <c r="H1235" s="28"/>
      <c r="I1235" s="28"/>
      <c r="J1235" s="28"/>
      <c r="K1235" s="28"/>
      <c r="L1235" s="28"/>
      <c r="M1235" s="28"/>
      <c r="N1235" s="28"/>
      <c r="O1235" s="96"/>
      <c r="P1235" s="150" t="s">
        <v>145</v>
      </c>
      <c r="Q1235" s="96"/>
      <c r="R1235" s="96"/>
      <c r="S1235" s="96"/>
      <c r="T1235" s="178" t="s">
        <v>139</v>
      </c>
      <c r="U1235" s="96"/>
      <c r="V1235" s="96"/>
      <c r="W1235" s="96"/>
      <c r="X1235" s="96"/>
      <c r="Y1235" s="96"/>
      <c r="Z1235" s="96"/>
      <c r="AA1235" s="96"/>
      <c r="AB1235" s="96"/>
      <c r="AC1235" s="96"/>
      <c r="AD1235" s="70"/>
      <c r="AE1235" s="70"/>
      <c r="AF1235" s="70"/>
      <c r="AG1235" s="70"/>
      <c r="AH1235" s="70"/>
      <c r="AI1235" s="70"/>
      <c r="AJ1235" s="70"/>
      <c r="AK1235" s="70"/>
      <c r="AL1235" s="70"/>
      <c r="AM1235" s="70"/>
      <c r="AN1235" s="70"/>
      <c r="AO1235" s="70"/>
      <c r="AP1235" s="70"/>
      <c r="AQ1235" s="70"/>
      <c r="AR1235" s="70"/>
      <c r="AS1235" s="70"/>
      <c r="AT1235" s="70"/>
      <c r="AU1235" s="70"/>
      <c r="AV1235" s="70"/>
      <c r="AW1235" s="70"/>
      <c r="AX1235" s="70"/>
    </row>
    <row r="1236" ht="15.75" customHeight="1">
      <c r="A1236" s="166" t="s">
        <v>41</v>
      </c>
      <c r="B1236" s="167" t="s">
        <v>8626</v>
      </c>
      <c r="C1236" s="28" t="s">
        <v>8631</v>
      </c>
      <c r="D1236" s="28" t="s">
        <v>8632</v>
      </c>
      <c r="E1236" s="28" t="s">
        <v>8633</v>
      </c>
      <c r="F1236" s="28"/>
      <c r="G1236" s="28"/>
      <c r="H1236" s="28"/>
      <c r="I1236" s="28"/>
      <c r="J1236" s="28"/>
      <c r="K1236" s="28"/>
      <c r="L1236" s="28"/>
      <c r="M1236" s="28"/>
      <c r="N1236" s="28"/>
      <c r="O1236" s="126"/>
      <c r="P1236" s="126" t="s">
        <v>145</v>
      </c>
      <c r="Q1236" s="126"/>
      <c r="R1236" s="126"/>
      <c r="S1236" s="126"/>
      <c r="T1236" s="126"/>
      <c r="U1236" s="126"/>
      <c r="V1236" s="126"/>
      <c r="W1236" s="126"/>
      <c r="X1236" s="126"/>
      <c r="Y1236" s="126"/>
      <c r="Z1236" s="126"/>
      <c r="AA1236" s="126"/>
      <c r="AB1236" s="126"/>
      <c r="AC1236" s="126"/>
      <c r="AD1236" s="70"/>
      <c r="AE1236" s="70"/>
      <c r="AF1236" s="70"/>
      <c r="AG1236" s="70"/>
      <c r="AH1236" s="70"/>
      <c r="AI1236" s="70"/>
      <c r="AJ1236" s="70"/>
      <c r="AK1236" s="70"/>
      <c r="AL1236" s="70"/>
      <c r="AM1236" s="70"/>
      <c r="AN1236" s="70"/>
      <c r="AO1236" s="70"/>
      <c r="AP1236" s="70"/>
      <c r="AQ1236" s="70"/>
      <c r="AR1236" s="70"/>
      <c r="AS1236" s="70"/>
      <c r="AT1236" s="70"/>
      <c r="AU1236" s="70"/>
      <c r="AV1236" s="70"/>
      <c r="AW1236" s="70"/>
      <c r="AX1236" s="70"/>
    </row>
    <row r="1237" ht="15.75" customHeight="1">
      <c r="A1237" s="318" t="s">
        <v>275</v>
      </c>
      <c r="B1237" s="319" t="s">
        <v>8635</v>
      </c>
      <c r="C1237" s="28" t="s">
        <v>8637</v>
      </c>
      <c r="D1237" s="28" t="s">
        <v>8638</v>
      </c>
      <c r="E1237" s="28" t="s">
        <v>8639</v>
      </c>
      <c r="F1237" s="28"/>
      <c r="G1237" s="28"/>
      <c r="H1237" s="28"/>
      <c r="I1237" s="28"/>
      <c r="J1237" s="28"/>
      <c r="K1237" s="28"/>
      <c r="L1237" s="28"/>
      <c r="M1237" s="28"/>
      <c r="N1237" s="28"/>
      <c r="O1237" s="395"/>
      <c r="P1237" s="395" t="s">
        <v>145</v>
      </c>
      <c r="Q1237" s="395" t="s">
        <v>145</v>
      </c>
      <c r="R1237" s="395"/>
      <c r="S1237" s="395"/>
      <c r="T1237" s="395"/>
      <c r="U1237" s="395"/>
      <c r="V1237" s="395"/>
      <c r="W1237" s="395"/>
      <c r="X1237" s="395"/>
      <c r="Y1237" s="395"/>
      <c r="Z1237" s="395"/>
      <c r="AA1237" s="395"/>
      <c r="AB1237" s="395"/>
      <c r="AC1237" s="395"/>
      <c r="AD1237" s="70"/>
      <c r="AE1237" s="70"/>
      <c r="AF1237" s="70"/>
      <c r="AG1237" s="70"/>
      <c r="AH1237" s="70"/>
      <c r="AI1237" s="70"/>
      <c r="AJ1237" s="70"/>
      <c r="AK1237" s="70"/>
      <c r="AL1237" s="70"/>
      <c r="AM1237" s="70"/>
      <c r="AN1237" s="70"/>
      <c r="AO1237" s="70"/>
      <c r="AP1237" s="70"/>
      <c r="AQ1237" s="70"/>
      <c r="AR1237" s="70"/>
      <c r="AS1237" s="70"/>
      <c r="AT1237" s="70"/>
      <c r="AU1237" s="70"/>
      <c r="AV1237" s="70"/>
      <c r="AW1237" s="70"/>
      <c r="AX1237" s="70"/>
    </row>
    <row r="1238" ht="15.75" customHeight="1">
      <c r="A1238" s="318" t="s">
        <v>275</v>
      </c>
      <c r="B1238" s="319" t="s">
        <v>8643</v>
      </c>
      <c r="C1238" s="28" t="s">
        <v>8644</v>
      </c>
      <c r="D1238" s="28" t="s">
        <v>8645</v>
      </c>
      <c r="E1238" s="28" t="s">
        <v>8646</v>
      </c>
      <c r="F1238" s="28"/>
      <c r="G1238" s="28"/>
      <c r="H1238" s="28"/>
      <c r="I1238" s="28"/>
      <c r="J1238" s="28"/>
      <c r="K1238" s="28" t="s">
        <v>10763</v>
      </c>
      <c r="L1238" s="28"/>
      <c r="M1238" s="28"/>
      <c r="N1238" s="28"/>
      <c r="O1238" s="395"/>
      <c r="P1238" s="395" t="s">
        <v>145</v>
      </c>
      <c r="Q1238" s="395" t="s">
        <v>145</v>
      </c>
      <c r="R1238" s="395"/>
      <c r="S1238" s="395"/>
      <c r="T1238" s="395"/>
      <c r="U1238" s="395"/>
      <c r="V1238" s="395"/>
      <c r="W1238" s="395"/>
      <c r="X1238" s="395"/>
      <c r="Y1238" s="395"/>
      <c r="Z1238" s="395"/>
      <c r="AA1238" s="395"/>
      <c r="AB1238" s="395"/>
      <c r="AC1238" s="395"/>
      <c r="AD1238" s="70"/>
      <c r="AE1238" s="70"/>
      <c r="AF1238" s="70"/>
      <c r="AG1238" s="70"/>
      <c r="AH1238" s="70"/>
      <c r="AI1238" s="70"/>
      <c r="AJ1238" s="70"/>
      <c r="AK1238" s="70"/>
      <c r="AL1238" s="70"/>
      <c r="AM1238" s="70"/>
      <c r="AN1238" s="70"/>
      <c r="AO1238" s="70"/>
      <c r="AP1238" s="70"/>
      <c r="AQ1238" s="70"/>
      <c r="AR1238" s="70"/>
      <c r="AS1238" s="70"/>
      <c r="AT1238" s="70"/>
      <c r="AU1238" s="70"/>
      <c r="AV1238" s="70"/>
      <c r="AW1238" s="70"/>
      <c r="AX1238" s="70"/>
    </row>
    <row r="1239" ht="15.75" customHeight="1">
      <c r="A1239" s="318" t="s">
        <v>275</v>
      </c>
      <c r="B1239" s="319" t="s">
        <v>8651</v>
      </c>
      <c r="C1239" s="28" t="s">
        <v>8652</v>
      </c>
      <c r="D1239" s="28" t="s">
        <v>8653</v>
      </c>
      <c r="E1239" s="28" t="s">
        <v>8654</v>
      </c>
      <c r="F1239" s="28"/>
      <c r="G1239" s="28"/>
      <c r="H1239" s="28"/>
      <c r="I1239" s="28"/>
      <c r="J1239" s="28"/>
      <c r="K1239" s="28" t="s">
        <v>10763</v>
      </c>
      <c r="L1239" s="28"/>
      <c r="M1239" s="28"/>
      <c r="N1239" s="28"/>
      <c r="O1239" s="395"/>
      <c r="P1239" s="395" t="s">
        <v>145</v>
      </c>
      <c r="Q1239" s="395" t="s">
        <v>145</v>
      </c>
      <c r="R1239" s="395"/>
      <c r="S1239" s="395"/>
      <c r="T1239" s="395"/>
      <c r="U1239" s="395"/>
      <c r="V1239" s="395"/>
      <c r="W1239" s="395"/>
      <c r="X1239" s="395"/>
      <c r="Y1239" s="395"/>
      <c r="Z1239" s="395"/>
      <c r="AA1239" s="395"/>
      <c r="AB1239" s="395"/>
      <c r="AC1239" s="395"/>
      <c r="AD1239" s="70"/>
      <c r="AE1239" s="70"/>
      <c r="AF1239" s="70"/>
      <c r="AG1239" s="70"/>
      <c r="AH1239" s="70"/>
      <c r="AI1239" s="70"/>
      <c r="AJ1239" s="70"/>
      <c r="AK1239" s="70"/>
      <c r="AL1239" s="70"/>
      <c r="AM1239" s="70"/>
      <c r="AN1239" s="70"/>
      <c r="AO1239" s="70"/>
      <c r="AP1239" s="70"/>
      <c r="AQ1239" s="70"/>
      <c r="AR1239" s="70"/>
      <c r="AS1239" s="70"/>
      <c r="AT1239" s="70"/>
      <c r="AU1239" s="70"/>
      <c r="AV1239" s="70"/>
      <c r="AW1239" s="70"/>
      <c r="AX1239" s="70"/>
    </row>
    <row r="1240" ht="15.75" customHeight="1">
      <c r="A1240" s="318" t="s">
        <v>275</v>
      </c>
      <c r="B1240" s="319" t="s">
        <v>8658</v>
      </c>
      <c r="C1240" s="28" t="s">
        <v>8659</v>
      </c>
      <c r="D1240" s="28" t="s">
        <v>8660</v>
      </c>
      <c r="E1240" s="28" t="s">
        <v>8661</v>
      </c>
      <c r="F1240" s="28"/>
      <c r="G1240" s="28"/>
      <c r="H1240" s="28"/>
      <c r="I1240" s="28"/>
      <c r="J1240" s="28"/>
      <c r="K1240" s="28" t="s">
        <v>10763</v>
      </c>
      <c r="L1240" s="28"/>
      <c r="M1240" s="28"/>
      <c r="N1240" s="28"/>
      <c r="O1240" s="395"/>
      <c r="P1240" s="395" t="s">
        <v>145</v>
      </c>
      <c r="Q1240" s="395" t="s">
        <v>145</v>
      </c>
      <c r="R1240" s="395"/>
      <c r="S1240" s="395"/>
      <c r="T1240" s="395"/>
      <c r="U1240" s="395"/>
      <c r="V1240" s="395"/>
      <c r="W1240" s="395"/>
      <c r="X1240" s="395"/>
      <c r="Y1240" s="395"/>
      <c r="Z1240" s="395"/>
      <c r="AA1240" s="395"/>
      <c r="AB1240" s="395"/>
      <c r="AC1240" s="395"/>
      <c r="AD1240" s="70"/>
      <c r="AE1240" s="70"/>
      <c r="AF1240" s="70"/>
      <c r="AG1240" s="70"/>
      <c r="AH1240" s="70"/>
      <c r="AI1240" s="70"/>
      <c r="AJ1240" s="70"/>
      <c r="AK1240" s="70"/>
      <c r="AL1240" s="70"/>
      <c r="AM1240" s="70"/>
      <c r="AN1240" s="70"/>
      <c r="AO1240" s="70"/>
      <c r="AP1240" s="70"/>
      <c r="AQ1240" s="70"/>
      <c r="AR1240" s="70"/>
      <c r="AS1240" s="70"/>
      <c r="AT1240" s="70"/>
      <c r="AU1240" s="70"/>
      <c r="AV1240" s="70"/>
      <c r="AW1240" s="70"/>
      <c r="AX1240" s="70"/>
    </row>
    <row r="1241" ht="15.75" customHeight="1">
      <c r="A1241" s="318" t="s">
        <v>275</v>
      </c>
      <c r="B1241" s="319" t="s">
        <v>8669</v>
      </c>
      <c r="C1241" s="28" t="s">
        <v>8670</v>
      </c>
      <c r="D1241" s="28" t="s">
        <v>8671</v>
      </c>
      <c r="E1241" s="28" t="s">
        <v>8672</v>
      </c>
      <c r="F1241" s="28"/>
      <c r="G1241" s="28"/>
      <c r="H1241" s="28"/>
      <c r="I1241" s="28"/>
      <c r="J1241" s="28"/>
      <c r="K1241" s="28" t="s">
        <v>10763</v>
      </c>
      <c r="L1241" s="28"/>
      <c r="M1241" s="28"/>
      <c r="N1241" s="28"/>
      <c r="O1241" s="395"/>
      <c r="P1241" s="395" t="s">
        <v>145</v>
      </c>
      <c r="Q1241" s="395" t="s">
        <v>145</v>
      </c>
      <c r="R1241" s="395"/>
      <c r="S1241" s="395"/>
      <c r="T1241" s="395"/>
      <c r="U1241" s="395"/>
      <c r="V1241" s="395"/>
      <c r="W1241" s="395"/>
      <c r="X1241" s="395"/>
      <c r="Y1241" s="395"/>
      <c r="Z1241" s="395"/>
      <c r="AA1241" s="395"/>
      <c r="AB1241" s="395"/>
      <c r="AC1241" s="395"/>
      <c r="AD1241" s="70"/>
      <c r="AE1241" s="70"/>
      <c r="AF1241" s="70"/>
      <c r="AG1241" s="70"/>
      <c r="AH1241" s="70"/>
      <c r="AI1241" s="70"/>
      <c r="AJ1241" s="70"/>
      <c r="AK1241" s="70"/>
      <c r="AL1241" s="70"/>
      <c r="AM1241" s="70"/>
      <c r="AN1241" s="70"/>
      <c r="AO1241" s="70"/>
      <c r="AP1241" s="70"/>
      <c r="AQ1241" s="70"/>
      <c r="AR1241" s="70"/>
      <c r="AS1241" s="70"/>
      <c r="AT1241" s="70"/>
      <c r="AU1241" s="70"/>
      <c r="AV1241" s="70"/>
      <c r="AW1241" s="70"/>
      <c r="AX1241" s="70"/>
    </row>
    <row r="1242" ht="15.75" customHeight="1">
      <c r="A1242" s="170" t="s">
        <v>263</v>
      </c>
      <c r="B1242" s="171" t="s">
        <v>8676</v>
      </c>
      <c r="C1242" s="28" t="s">
        <v>8682</v>
      </c>
      <c r="D1242" s="28" t="s">
        <v>8683</v>
      </c>
      <c r="E1242" s="28" t="s">
        <v>8684</v>
      </c>
      <c r="F1242" s="28" t="s">
        <v>10764</v>
      </c>
      <c r="G1242" s="28" t="s">
        <v>10765</v>
      </c>
      <c r="H1242" s="28" t="s">
        <v>10766</v>
      </c>
      <c r="I1242" s="28"/>
      <c r="J1242" s="28"/>
      <c r="K1242" s="28"/>
      <c r="L1242" s="28"/>
      <c r="M1242" s="28"/>
      <c r="N1242" s="28"/>
      <c r="O1242" s="173" t="s">
        <v>10767</v>
      </c>
      <c r="P1242" s="173" t="s">
        <v>145</v>
      </c>
      <c r="Q1242" s="173" t="s">
        <v>145</v>
      </c>
      <c r="R1242" s="173"/>
      <c r="S1242" s="173"/>
      <c r="T1242" s="173"/>
      <c r="U1242" s="173"/>
      <c r="V1242" s="173"/>
      <c r="W1242" s="173"/>
      <c r="X1242" s="173"/>
      <c r="Y1242" s="173"/>
      <c r="Z1242" s="173"/>
      <c r="AA1242" s="173"/>
      <c r="AB1242" s="173"/>
      <c r="AC1242" s="173"/>
      <c r="AD1242" s="70"/>
      <c r="AE1242" s="70"/>
      <c r="AF1242" s="70"/>
      <c r="AG1242" s="70"/>
      <c r="AH1242" s="70"/>
      <c r="AI1242" s="70"/>
      <c r="AJ1242" s="70"/>
      <c r="AK1242" s="70"/>
      <c r="AL1242" s="70"/>
      <c r="AM1242" s="70"/>
      <c r="AN1242" s="70"/>
      <c r="AO1242" s="70"/>
      <c r="AP1242" s="70"/>
      <c r="AQ1242" s="70"/>
      <c r="AR1242" s="70"/>
      <c r="AS1242" s="70"/>
      <c r="AT1242" s="70"/>
      <c r="AU1242" s="70"/>
      <c r="AV1242" s="70"/>
      <c r="AW1242" s="70"/>
      <c r="AX1242" s="70"/>
    </row>
    <row r="1243" ht="15.75" customHeight="1">
      <c r="A1243" s="90" t="s">
        <v>134</v>
      </c>
      <c r="B1243" s="216" t="s">
        <v>8685</v>
      </c>
      <c r="C1243" s="28"/>
      <c r="D1243" s="28"/>
      <c r="E1243" s="28"/>
      <c r="F1243" s="28"/>
      <c r="G1243" s="28"/>
      <c r="H1243" s="28"/>
      <c r="I1243" s="28"/>
      <c r="J1243" s="28"/>
      <c r="K1243" s="28"/>
      <c r="L1243" s="28"/>
      <c r="M1243" s="28"/>
      <c r="N1243" s="28"/>
      <c r="O1243" s="96"/>
      <c r="P1243" s="96" t="s">
        <v>145</v>
      </c>
      <c r="Q1243" s="96"/>
      <c r="R1243" s="96"/>
      <c r="S1243" s="96"/>
      <c r="T1243" s="178" t="s">
        <v>139</v>
      </c>
      <c r="U1243" s="96"/>
      <c r="V1243" s="96"/>
      <c r="W1243" s="96"/>
      <c r="X1243" s="96"/>
      <c r="Y1243" s="96"/>
      <c r="Z1243" s="96"/>
      <c r="AA1243" s="96"/>
      <c r="AB1243" s="96"/>
      <c r="AC1243" s="96"/>
      <c r="AD1243" s="70"/>
      <c r="AE1243" s="70"/>
      <c r="AF1243" s="70"/>
      <c r="AG1243" s="70"/>
      <c r="AH1243" s="70"/>
      <c r="AI1243" s="70"/>
      <c r="AJ1243" s="70"/>
      <c r="AK1243" s="70"/>
      <c r="AL1243" s="70"/>
      <c r="AM1243" s="70"/>
      <c r="AN1243" s="70"/>
      <c r="AO1243" s="70"/>
      <c r="AP1243" s="70"/>
      <c r="AQ1243" s="70"/>
      <c r="AR1243" s="70"/>
      <c r="AS1243" s="70"/>
      <c r="AT1243" s="70"/>
      <c r="AU1243" s="70"/>
      <c r="AV1243" s="70"/>
      <c r="AW1243" s="70"/>
      <c r="AX1243" s="70"/>
    </row>
    <row r="1244" ht="15.75" customHeight="1">
      <c r="A1244" s="90" t="s">
        <v>78</v>
      </c>
      <c r="B1244" s="92" t="s">
        <v>8688</v>
      </c>
      <c r="C1244" s="28"/>
      <c r="D1244" s="28"/>
      <c r="E1244" s="28"/>
      <c r="F1244" s="28"/>
      <c r="G1244" s="28"/>
      <c r="H1244" s="28"/>
      <c r="I1244" s="28"/>
      <c r="J1244" s="28"/>
      <c r="K1244" s="28"/>
      <c r="L1244" s="28"/>
      <c r="M1244" s="28"/>
      <c r="N1244" s="28"/>
      <c r="O1244" s="96"/>
      <c r="P1244" s="96" t="s">
        <v>145</v>
      </c>
      <c r="Q1244" s="96"/>
      <c r="R1244" s="96"/>
      <c r="S1244" s="96"/>
      <c r="T1244" s="119" t="s">
        <v>10768</v>
      </c>
      <c r="U1244" s="96"/>
      <c r="V1244" s="96"/>
      <c r="W1244" s="96"/>
      <c r="X1244" s="96"/>
      <c r="Y1244" s="96"/>
      <c r="Z1244" s="96"/>
      <c r="AA1244" s="96"/>
      <c r="AB1244" s="96"/>
      <c r="AC1244" s="96"/>
      <c r="AD1244" s="70"/>
      <c r="AE1244" s="70"/>
      <c r="AF1244" s="70"/>
      <c r="AG1244" s="70"/>
      <c r="AH1244" s="70"/>
      <c r="AI1244" s="70"/>
      <c r="AJ1244" s="70"/>
      <c r="AK1244" s="70"/>
      <c r="AL1244" s="70"/>
      <c r="AM1244" s="70"/>
      <c r="AN1244" s="70"/>
      <c r="AO1244" s="70"/>
      <c r="AP1244" s="70"/>
      <c r="AQ1244" s="70"/>
      <c r="AR1244" s="70"/>
      <c r="AS1244" s="70"/>
      <c r="AT1244" s="70"/>
      <c r="AU1244" s="70"/>
      <c r="AV1244" s="70"/>
      <c r="AW1244" s="70"/>
      <c r="AX1244" s="70"/>
    </row>
    <row r="1245" ht="15.75" customHeight="1">
      <c r="A1245" s="166" t="s">
        <v>41</v>
      </c>
      <c r="B1245" s="167" t="s">
        <v>8690</v>
      </c>
      <c r="C1245" s="28" t="s">
        <v>8695</v>
      </c>
      <c r="D1245" s="28" t="s">
        <v>8696</v>
      </c>
      <c r="E1245" s="28" t="s">
        <v>8697</v>
      </c>
      <c r="F1245" s="28"/>
      <c r="G1245" s="28"/>
      <c r="H1245" s="28"/>
      <c r="I1245" s="28"/>
      <c r="J1245" s="28"/>
      <c r="K1245" s="28"/>
      <c r="L1245" s="28"/>
      <c r="M1245" s="28"/>
      <c r="N1245" s="28"/>
      <c r="O1245" s="126"/>
      <c r="P1245" s="126" t="s">
        <v>145</v>
      </c>
      <c r="Q1245" s="126"/>
      <c r="R1245" s="126"/>
      <c r="S1245" s="126"/>
      <c r="T1245" s="126"/>
      <c r="U1245" s="126"/>
      <c r="V1245" s="126"/>
      <c r="W1245" s="126"/>
      <c r="X1245" s="126"/>
      <c r="Y1245" s="126"/>
      <c r="Z1245" s="126"/>
      <c r="AA1245" s="126"/>
      <c r="AB1245" s="126"/>
      <c r="AC1245" s="126"/>
      <c r="AD1245" s="70"/>
      <c r="AE1245" s="70"/>
      <c r="AF1245" s="70"/>
      <c r="AG1245" s="70"/>
      <c r="AH1245" s="70"/>
      <c r="AI1245" s="70"/>
      <c r="AJ1245" s="70"/>
      <c r="AK1245" s="70"/>
      <c r="AL1245" s="70"/>
      <c r="AM1245" s="70"/>
      <c r="AN1245" s="70"/>
      <c r="AO1245" s="70"/>
      <c r="AP1245" s="70"/>
      <c r="AQ1245" s="70"/>
      <c r="AR1245" s="70"/>
      <c r="AS1245" s="70"/>
      <c r="AT1245" s="70"/>
      <c r="AU1245" s="70"/>
      <c r="AV1245" s="70"/>
      <c r="AW1245" s="70"/>
      <c r="AX1245" s="70"/>
    </row>
    <row r="1246" ht="15.75" customHeight="1">
      <c r="A1246" s="68" t="s">
        <v>8698</v>
      </c>
      <c r="B1246" s="169" t="s">
        <v>8699</v>
      </c>
      <c r="C1246" s="28" t="s">
        <v>8703</v>
      </c>
      <c r="D1246" s="28" t="s">
        <v>8704</v>
      </c>
      <c r="E1246" s="28" t="s">
        <v>8705</v>
      </c>
      <c r="F1246" s="28"/>
      <c r="G1246" s="28"/>
      <c r="H1246" s="28"/>
      <c r="I1246" s="28"/>
      <c r="J1246" s="28"/>
      <c r="K1246" s="28" t="s">
        <v>10577</v>
      </c>
      <c r="L1246" s="28"/>
      <c r="M1246" s="28"/>
      <c r="N1246" s="28"/>
      <c r="O1246" s="67"/>
      <c r="P1246" s="67" t="s">
        <v>145</v>
      </c>
      <c r="Q1246" s="67" t="s">
        <v>145</v>
      </c>
      <c r="R1246" s="67"/>
      <c r="S1246" s="67"/>
      <c r="T1246" s="67"/>
      <c r="U1246" s="67"/>
      <c r="V1246" s="67"/>
      <c r="W1246" s="67"/>
      <c r="X1246" s="67"/>
      <c r="Y1246" s="67"/>
      <c r="Z1246" s="67"/>
      <c r="AA1246" s="67"/>
      <c r="AB1246" s="67"/>
      <c r="AC1246" s="67"/>
      <c r="AD1246" s="70"/>
      <c r="AE1246" s="70"/>
      <c r="AF1246" s="70"/>
      <c r="AG1246" s="70"/>
      <c r="AH1246" s="70"/>
      <c r="AI1246" s="70"/>
      <c r="AJ1246" s="70"/>
      <c r="AK1246" s="70"/>
      <c r="AL1246" s="70"/>
      <c r="AM1246" s="70"/>
      <c r="AN1246" s="70"/>
      <c r="AO1246" s="70"/>
      <c r="AP1246" s="70"/>
      <c r="AQ1246" s="70"/>
      <c r="AR1246" s="70"/>
      <c r="AS1246" s="70"/>
      <c r="AT1246" s="70"/>
      <c r="AU1246" s="70"/>
      <c r="AV1246" s="70"/>
      <c r="AW1246" s="70"/>
      <c r="AX1246" s="70"/>
    </row>
    <row r="1247" ht="15.75" customHeight="1">
      <c r="A1247" s="179" t="s">
        <v>246</v>
      </c>
      <c r="B1247" s="180" t="s">
        <v>8706</v>
      </c>
      <c r="C1247" s="28" t="s">
        <v>8712</v>
      </c>
      <c r="D1247" s="28" t="s">
        <v>8713</v>
      </c>
      <c r="E1247" s="28" t="s">
        <v>8714</v>
      </c>
      <c r="F1247" s="28"/>
      <c r="G1247" s="28"/>
      <c r="H1247" s="28"/>
      <c r="I1247" s="28"/>
      <c r="J1247" s="28"/>
      <c r="K1247" s="28"/>
      <c r="L1247" s="28"/>
      <c r="M1247" s="28"/>
      <c r="N1247" s="28"/>
      <c r="O1247" s="181" t="s">
        <v>10769</v>
      </c>
      <c r="P1247" s="181" t="s">
        <v>145</v>
      </c>
      <c r="Q1247" s="181" t="s">
        <v>145</v>
      </c>
      <c r="R1247" s="181"/>
      <c r="S1247" s="181"/>
      <c r="T1247" s="181"/>
      <c r="U1247" s="181"/>
      <c r="V1247" s="181"/>
      <c r="W1247" s="181"/>
      <c r="X1247" s="181"/>
      <c r="Y1247" s="181"/>
      <c r="Z1247" s="181"/>
      <c r="AA1247" s="181"/>
      <c r="AB1247" s="181"/>
      <c r="AC1247" s="181"/>
      <c r="AD1247" s="70"/>
      <c r="AE1247" s="70"/>
      <c r="AF1247" s="70"/>
      <c r="AG1247" s="70"/>
      <c r="AH1247" s="70"/>
      <c r="AI1247" s="70"/>
      <c r="AJ1247" s="70"/>
      <c r="AK1247" s="70"/>
      <c r="AL1247" s="70"/>
      <c r="AM1247" s="70"/>
      <c r="AN1247" s="70"/>
      <c r="AO1247" s="70"/>
      <c r="AP1247" s="70"/>
      <c r="AQ1247" s="70"/>
      <c r="AR1247" s="70"/>
      <c r="AS1247" s="70"/>
      <c r="AT1247" s="70"/>
      <c r="AU1247" s="70"/>
      <c r="AV1247" s="70"/>
      <c r="AW1247" s="70"/>
      <c r="AX1247" s="70"/>
    </row>
    <row r="1248" ht="15.75" customHeight="1">
      <c r="A1248" s="90" t="s">
        <v>134</v>
      </c>
      <c r="B1248" s="92" t="s">
        <v>8715</v>
      </c>
      <c r="C1248" s="28"/>
      <c r="D1248" s="28"/>
      <c r="E1248" s="28"/>
      <c r="F1248" s="28"/>
      <c r="G1248" s="28"/>
      <c r="H1248" s="28"/>
      <c r="I1248" s="28"/>
      <c r="J1248" s="28"/>
      <c r="K1248" s="28"/>
      <c r="L1248" s="28"/>
      <c r="M1248" s="28"/>
      <c r="N1248" s="28"/>
      <c r="O1248" s="96"/>
      <c r="P1248" s="96" t="s">
        <v>145</v>
      </c>
      <c r="Q1248" s="96"/>
      <c r="R1248" s="96"/>
      <c r="S1248" s="96"/>
      <c r="T1248" s="178" t="s">
        <v>139</v>
      </c>
      <c r="U1248" s="96"/>
      <c r="V1248" s="96"/>
      <c r="W1248" s="96"/>
      <c r="X1248" s="96"/>
      <c r="Y1248" s="96"/>
      <c r="Z1248" s="96"/>
      <c r="AA1248" s="96"/>
      <c r="AB1248" s="96"/>
      <c r="AC1248" s="96"/>
      <c r="AD1248" s="70"/>
      <c r="AE1248" s="70"/>
      <c r="AF1248" s="70"/>
      <c r="AG1248" s="70"/>
      <c r="AH1248" s="70"/>
      <c r="AI1248" s="70"/>
      <c r="AJ1248" s="70"/>
      <c r="AK1248" s="70"/>
      <c r="AL1248" s="70"/>
      <c r="AM1248" s="70"/>
      <c r="AN1248" s="70"/>
      <c r="AO1248" s="70"/>
      <c r="AP1248" s="70"/>
      <c r="AQ1248" s="70"/>
      <c r="AR1248" s="70"/>
      <c r="AS1248" s="70"/>
      <c r="AT1248" s="70"/>
      <c r="AU1248" s="70"/>
      <c r="AV1248" s="70"/>
      <c r="AW1248" s="70"/>
      <c r="AX1248" s="70"/>
    </row>
    <row r="1249" ht="15.75" customHeight="1">
      <c r="A1249" s="174" t="s">
        <v>698</v>
      </c>
      <c r="B1249" s="175" t="s">
        <v>8719</v>
      </c>
      <c r="C1249" s="28" t="s">
        <v>8720</v>
      </c>
      <c r="D1249" s="28" t="s">
        <v>8722</v>
      </c>
      <c r="E1249" s="28" t="s">
        <v>8724</v>
      </c>
      <c r="F1249" s="28"/>
      <c r="G1249" s="28"/>
      <c r="H1249" s="28"/>
      <c r="I1249" s="28"/>
      <c r="J1249" s="28"/>
      <c r="K1249" s="28"/>
      <c r="L1249" s="28"/>
      <c r="M1249" s="28"/>
      <c r="N1249" s="28"/>
      <c r="O1249" s="177" t="s">
        <v>10770</v>
      </c>
      <c r="P1249" s="176" t="s">
        <v>145</v>
      </c>
      <c r="Q1249" s="176"/>
      <c r="R1249" s="176"/>
      <c r="S1249" s="176"/>
      <c r="T1249" s="176"/>
      <c r="U1249" s="177" t="s">
        <v>10771</v>
      </c>
      <c r="V1249" s="176"/>
      <c r="W1249" s="176"/>
      <c r="X1249" s="176"/>
      <c r="Y1249" s="176"/>
      <c r="Z1249" s="176"/>
      <c r="AA1249" s="176"/>
      <c r="AB1249" s="176"/>
      <c r="AC1249" s="176"/>
      <c r="AD1249" s="70"/>
      <c r="AE1249" s="70"/>
      <c r="AF1249" s="70"/>
      <c r="AG1249" s="70"/>
      <c r="AH1249" s="70"/>
      <c r="AI1249" s="70"/>
      <c r="AJ1249" s="70"/>
      <c r="AK1249" s="70"/>
      <c r="AL1249" s="70"/>
      <c r="AM1249" s="70"/>
      <c r="AN1249" s="70"/>
      <c r="AO1249" s="70"/>
      <c r="AP1249" s="70"/>
      <c r="AQ1249" s="70"/>
      <c r="AR1249" s="70"/>
      <c r="AS1249" s="70"/>
      <c r="AT1249" s="70"/>
      <c r="AU1249" s="70"/>
      <c r="AV1249" s="70"/>
      <c r="AW1249" s="70"/>
      <c r="AX1249" s="70"/>
    </row>
    <row r="1250" ht="15.75" customHeight="1">
      <c r="A1250" s="90" t="s">
        <v>78</v>
      </c>
      <c r="B1250" s="92" t="s">
        <v>8729</v>
      </c>
      <c r="C1250" s="28" t="s">
        <v>8730</v>
      </c>
      <c r="D1250" s="28" t="s">
        <v>8731</v>
      </c>
      <c r="E1250" s="28" t="s">
        <v>8732</v>
      </c>
      <c r="F1250" s="28"/>
      <c r="G1250" s="28"/>
      <c r="H1250" s="28"/>
      <c r="I1250" s="28"/>
      <c r="J1250" s="28"/>
      <c r="K1250" s="28"/>
      <c r="L1250" s="28"/>
      <c r="M1250" s="28"/>
      <c r="N1250" s="28"/>
      <c r="O1250" s="96"/>
      <c r="P1250" s="96" t="s">
        <v>145</v>
      </c>
      <c r="Q1250" s="96"/>
      <c r="R1250" s="96"/>
      <c r="S1250" s="96"/>
      <c r="T1250" s="178" t="s">
        <v>10772</v>
      </c>
      <c r="U1250" s="96"/>
      <c r="V1250" s="96"/>
      <c r="W1250" s="96"/>
      <c r="X1250" s="96"/>
      <c r="Y1250" s="96"/>
      <c r="Z1250" s="96"/>
      <c r="AA1250" s="96"/>
      <c r="AB1250" s="96"/>
      <c r="AC1250" s="96"/>
      <c r="AD1250" s="70"/>
      <c r="AE1250" s="70"/>
      <c r="AF1250" s="70"/>
      <c r="AG1250" s="70"/>
      <c r="AH1250" s="70"/>
      <c r="AI1250" s="70"/>
      <c r="AJ1250" s="70"/>
      <c r="AK1250" s="70"/>
      <c r="AL1250" s="70"/>
      <c r="AM1250" s="70"/>
      <c r="AN1250" s="70"/>
      <c r="AO1250" s="70"/>
      <c r="AP1250" s="70"/>
      <c r="AQ1250" s="70"/>
      <c r="AR1250" s="70"/>
      <c r="AS1250" s="70"/>
      <c r="AT1250" s="70"/>
      <c r="AU1250" s="70"/>
      <c r="AV1250" s="70"/>
      <c r="AW1250" s="70"/>
      <c r="AX1250" s="70"/>
    </row>
    <row r="1251" ht="15.75" customHeight="1">
      <c r="A1251" s="140" t="s">
        <v>131</v>
      </c>
      <c r="B1251" s="164" t="s">
        <v>8737</v>
      </c>
      <c r="C1251" s="28"/>
      <c r="D1251" s="28"/>
      <c r="E1251" s="28"/>
      <c r="F1251" s="28"/>
      <c r="G1251" s="28"/>
      <c r="H1251" s="28"/>
      <c r="I1251" s="28"/>
      <c r="J1251" s="28" t="s">
        <v>931</v>
      </c>
      <c r="K1251" s="28"/>
      <c r="L1251" s="28"/>
      <c r="M1251" s="28"/>
      <c r="N1251" s="28"/>
      <c r="O1251" s="190"/>
      <c r="P1251" s="139" t="s">
        <v>145</v>
      </c>
      <c r="Q1251" s="139"/>
      <c r="R1251" s="139"/>
      <c r="S1251" s="139"/>
      <c r="T1251" s="139"/>
      <c r="U1251" s="139"/>
      <c r="V1251" s="139"/>
      <c r="W1251" s="139"/>
      <c r="X1251" s="139"/>
      <c r="Y1251" s="139"/>
      <c r="Z1251" s="139"/>
      <c r="AA1251" s="139"/>
      <c r="AB1251" s="139"/>
      <c r="AC1251" s="139"/>
      <c r="AD1251" s="70"/>
      <c r="AE1251" s="70"/>
      <c r="AF1251" s="70"/>
      <c r="AG1251" s="70"/>
      <c r="AH1251" s="70"/>
      <c r="AI1251" s="70"/>
      <c r="AJ1251" s="70"/>
      <c r="AK1251" s="70"/>
      <c r="AL1251" s="70"/>
      <c r="AM1251" s="70"/>
      <c r="AN1251" s="70"/>
      <c r="AO1251" s="70"/>
      <c r="AP1251" s="70"/>
      <c r="AQ1251" s="70"/>
      <c r="AR1251" s="70"/>
      <c r="AS1251" s="70"/>
      <c r="AT1251" s="70"/>
      <c r="AU1251" s="70"/>
      <c r="AV1251" s="70"/>
      <c r="AW1251" s="70"/>
      <c r="AX1251" s="70"/>
    </row>
    <row r="1252" ht="15.75" customHeight="1">
      <c r="A1252" s="318" t="s">
        <v>275</v>
      </c>
      <c r="B1252" s="319" t="s">
        <v>8738</v>
      </c>
      <c r="C1252" s="28" t="s">
        <v>8739</v>
      </c>
      <c r="D1252" s="28" t="s">
        <v>8740</v>
      </c>
      <c r="E1252" s="28" t="s">
        <v>8741</v>
      </c>
      <c r="F1252" s="28"/>
      <c r="G1252" s="28"/>
      <c r="H1252" s="28"/>
      <c r="I1252" s="28"/>
      <c r="J1252" s="28"/>
      <c r="K1252" s="28"/>
      <c r="L1252" s="28"/>
      <c r="M1252" s="28"/>
      <c r="N1252" s="28"/>
      <c r="O1252" s="395"/>
      <c r="P1252" s="395" t="s">
        <v>145</v>
      </c>
      <c r="Q1252" s="395" t="s">
        <v>145</v>
      </c>
      <c r="R1252" s="395"/>
      <c r="S1252" s="395"/>
      <c r="T1252" s="395"/>
      <c r="U1252" s="395"/>
      <c r="V1252" s="395"/>
      <c r="W1252" s="395"/>
      <c r="X1252" s="395"/>
      <c r="Y1252" s="395"/>
      <c r="Z1252" s="395"/>
      <c r="AA1252" s="395"/>
      <c r="AB1252" s="395"/>
      <c r="AC1252" s="395"/>
      <c r="AD1252" s="70"/>
      <c r="AE1252" s="70"/>
      <c r="AF1252" s="70"/>
      <c r="AG1252" s="70"/>
      <c r="AH1252" s="70"/>
      <c r="AI1252" s="70"/>
      <c r="AJ1252" s="70"/>
      <c r="AK1252" s="70"/>
      <c r="AL1252" s="70"/>
      <c r="AM1252" s="70"/>
      <c r="AN1252" s="70"/>
      <c r="AO1252" s="70"/>
      <c r="AP1252" s="70"/>
      <c r="AQ1252" s="70"/>
      <c r="AR1252" s="70"/>
      <c r="AS1252" s="70"/>
      <c r="AT1252" s="70"/>
      <c r="AU1252" s="70"/>
      <c r="AV1252" s="70"/>
      <c r="AW1252" s="70"/>
      <c r="AX1252" s="70"/>
    </row>
    <row r="1253" ht="15.75" customHeight="1">
      <c r="A1253" s="68" t="s">
        <v>8745</v>
      </c>
      <c r="B1253" s="169" t="s">
        <v>8746</v>
      </c>
      <c r="C1253" s="28" t="s">
        <v>8750</v>
      </c>
      <c r="D1253" s="28" t="s">
        <v>8751</v>
      </c>
      <c r="E1253" s="28" t="s">
        <v>8752</v>
      </c>
      <c r="F1253" s="28"/>
      <c r="G1253" s="28"/>
      <c r="H1253" s="28"/>
      <c r="I1253" s="28"/>
      <c r="J1253" s="28"/>
      <c r="K1253" s="28"/>
      <c r="L1253" s="28"/>
      <c r="M1253" s="28"/>
      <c r="N1253" s="28"/>
      <c r="O1253" s="67"/>
      <c r="P1253" s="67" t="s">
        <v>145</v>
      </c>
      <c r="Q1253" s="67" t="s">
        <v>145</v>
      </c>
      <c r="R1253" s="67"/>
      <c r="S1253" s="67"/>
      <c r="T1253" s="67"/>
      <c r="U1253" s="67"/>
      <c r="V1253" s="67"/>
      <c r="W1253" s="67"/>
      <c r="X1253" s="67"/>
      <c r="Y1253" s="67"/>
      <c r="Z1253" s="67"/>
      <c r="AA1253" s="67"/>
      <c r="AB1253" s="67"/>
      <c r="AC1253" s="67"/>
      <c r="AD1253" s="70"/>
      <c r="AE1253" s="70"/>
      <c r="AF1253" s="70"/>
      <c r="AG1253" s="70"/>
      <c r="AH1253" s="70"/>
      <c r="AI1253" s="70"/>
      <c r="AJ1253" s="70"/>
      <c r="AK1253" s="70"/>
      <c r="AL1253" s="70"/>
      <c r="AM1253" s="70"/>
      <c r="AN1253" s="70"/>
      <c r="AO1253" s="70"/>
      <c r="AP1253" s="70"/>
      <c r="AQ1253" s="70"/>
      <c r="AR1253" s="70"/>
      <c r="AS1253" s="70"/>
      <c r="AT1253" s="70"/>
      <c r="AU1253" s="70"/>
      <c r="AV1253" s="70"/>
      <c r="AW1253" s="70"/>
      <c r="AX1253" s="70"/>
    </row>
    <row r="1254" ht="15.75" customHeight="1">
      <c r="A1254" s="140" t="s">
        <v>237</v>
      </c>
      <c r="B1254" s="191" t="s">
        <v>8737</v>
      </c>
      <c r="C1254" s="28"/>
      <c r="D1254" s="28"/>
      <c r="E1254" s="28"/>
      <c r="F1254" s="28"/>
      <c r="G1254" s="28"/>
      <c r="H1254" s="28"/>
      <c r="I1254" s="28"/>
      <c r="J1254" s="28"/>
      <c r="K1254" s="28"/>
      <c r="L1254" s="28"/>
      <c r="M1254" s="28"/>
      <c r="N1254" s="28"/>
      <c r="O1254" s="139"/>
      <c r="P1254" s="139" t="s">
        <v>145</v>
      </c>
      <c r="Q1254" s="139"/>
      <c r="R1254" s="139"/>
      <c r="S1254" s="139"/>
      <c r="T1254" s="139"/>
      <c r="U1254" s="139"/>
      <c r="V1254" s="139"/>
      <c r="W1254" s="139"/>
      <c r="X1254" s="139"/>
      <c r="Y1254" s="139"/>
      <c r="Z1254" s="139"/>
      <c r="AA1254" s="139"/>
      <c r="AB1254" s="139"/>
      <c r="AC1254" s="139"/>
      <c r="AD1254" s="70"/>
      <c r="AE1254" s="70"/>
      <c r="AF1254" s="70"/>
      <c r="AG1254" s="70"/>
      <c r="AH1254" s="70"/>
      <c r="AI1254" s="70"/>
      <c r="AJ1254" s="70"/>
      <c r="AK1254" s="70"/>
      <c r="AL1254" s="70"/>
      <c r="AM1254" s="70"/>
      <c r="AN1254" s="70"/>
      <c r="AO1254" s="70"/>
      <c r="AP1254" s="70"/>
      <c r="AQ1254" s="70"/>
      <c r="AR1254" s="70"/>
      <c r="AS1254" s="70"/>
      <c r="AT1254" s="70"/>
      <c r="AU1254" s="70"/>
      <c r="AV1254" s="70"/>
      <c r="AW1254" s="70"/>
      <c r="AX1254" s="70"/>
    </row>
    <row r="1255" ht="15.75" customHeight="1">
      <c r="A1255" s="179" t="s">
        <v>246</v>
      </c>
      <c r="B1255" s="180" t="s">
        <v>8753</v>
      </c>
      <c r="C1255" s="28" t="s">
        <v>8757</v>
      </c>
      <c r="D1255" s="28" t="s">
        <v>8758</v>
      </c>
      <c r="E1255" s="28" t="s">
        <v>8759</v>
      </c>
      <c r="F1255" s="28"/>
      <c r="G1255" s="28"/>
      <c r="H1255" s="28"/>
      <c r="I1255" s="28"/>
      <c r="J1255" s="28"/>
      <c r="K1255" s="28"/>
      <c r="L1255" s="28"/>
      <c r="M1255" s="28"/>
      <c r="N1255" s="28"/>
      <c r="O1255" s="181" t="s">
        <v>10773</v>
      </c>
      <c r="P1255" s="181" t="s">
        <v>145</v>
      </c>
      <c r="Q1255" s="181" t="s">
        <v>145</v>
      </c>
      <c r="R1255" s="181"/>
      <c r="S1255" s="181"/>
      <c r="T1255" s="181"/>
      <c r="U1255" s="181"/>
      <c r="V1255" s="181"/>
      <c r="W1255" s="181"/>
      <c r="X1255" s="181"/>
      <c r="Y1255" s="181"/>
      <c r="Z1255" s="181"/>
      <c r="AA1255" s="181"/>
      <c r="AB1255" s="181"/>
      <c r="AC1255" s="181"/>
      <c r="AD1255" s="70"/>
      <c r="AE1255" s="70"/>
      <c r="AF1255" s="70"/>
      <c r="AG1255" s="70"/>
      <c r="AH1255" s="70"/>
      <c r="AI1255" s="70"/>
      <c r="AJ1255" s="70"/>
      <c r="AK1255" s="70"/>
      <c r="AL1255" s="70"/>
      <c r="AM1255" s="70"/>
      <c r="AN1255" s="70"/>
      <c r="AO1255" s="70"/>
      <c r="AP1255" s="70"/>
      <c r="AQ1255" s="70"/>
      <c r="AR1255" s="70"/>
      <c r="AS1255" s="70"/>
      <c r="AT1255" s="70"/>
      <c r="AU1255" s="70"/>
      <c r="AV1255" s="70"/>
      <c r="AW1255" s="70"/>
      <c r="AX1255" s="70"/>
    </row>
    <row r="1256" ht="15.75" customHeight="1">
      <c r="A1256" s="90" t="s">
        <v>78</v>
      </c>
      <c r="B1256" s="92" t="s">
        <v>8760</v>
      </c>
      <c r="C1256" s="28" t="s">
        <v>8761</v>
      </c>
      <c r="D1256" s="28"/>
      <c r="E1256" s="28"/>
      <c r="F1256" s="28"/>
      <c r="G1256" s="28"/>
      <c r="H1256" s="28"/>
      <c r="I1256" s="28"/>
      <c r="J1256" s="28"/>
      <c r="K1256" s="28"/>
      <c r="L1256" s="28"/>
      <c r="M1256" s="28"/>
      <c r="N1256" s="28"/>
      <c r="O1256" s="96"/>
      <c r="P1256" s="96" t="s">
        <v>145</v>
      </c>
      <c r="Q1256" s="96" t="s">
        <v>145</v>
      </c>
      <c r="R1256" s="96"/>
      <c r="S1256" s="96"/>
      <c r="T1256" s="178" t="s">
        <v>10774</v>
      </c>
      <c r="U1256" s="96"/>
      <c r="V1256" s="96"/>
      <c r="W1256" s="96"/>
      <c r="X1256" s="96"/>
      <c r="Y1256" s="96"/>
      <c r="Z1256" s="96"/>
      <c r="AA1256" s="96"/>
      <c r="AB1256" s="96"/>
      <c r="AC1256" s="96"/>
      <c r="AD1256" s="70"/>
      <c r="AE1256" s="70"/>
      <c r="AF1256" s="70"/>
      <c r="AG1256" s="70"/>
      <c r="AH1256" s="70"/>
      <c r="AI1256" s="70"/>
      <c r="AJ1256" s="70"/>
      <c r="AK1256" s="70"/>
      <c r="AL1256" s="70"/>
      <c r="AM1256" s="70"/>
      <c r="AN1256" s="70"/>
      <c r="AO1256" s="70"/>
      <c r="AP1256" s="70"/>
      <c r="AQ1256" s="70"/>
      <c r="AR1256" s="70"/>
      <c r="AS1256" s="70"/>
      <c r="AT1256" s="70"/>
      <c r="AU1256" s="70"/>
      <c r="AV1256" s="70"/>
      <c r="AW1256" s="70"/>
      <c r="AX1256" s="70"/>
    </row>
    <row r="1257" ht="15.75" customHeight="1">
      <c r="A1257" s="318" t="s">
        <v>275</v>
      </c>
      <c r="B1257" s="319" t="s">
        <v>8764</v>
      </c>
      <c r="C1257" s="28" t="s">
        <v>8766</v>
      </c>
      <c r="D1257" s="28" t="s">
        <v>8767</v>
      </c>
      <c r="E1257" s="28" t="s">
        <v>8768</v>
      </c>
      <c r="F1257" s="28"/>
      <c r="G1257" s="28"/>
      <c r="H1257" s="28"/>
      <c r="I1257" s="28"/>
      <c r="J1257" s="28"/>
      <c r="K1257" s="28" t="s">
        <v>10775</v>
      </c>
      <c r="L1257" s="28"/>
      <c r="M1257" s="28"/>
      <c r="N1257" s="28"/>
      <c r="O1257" s="395"/>
      <c r="P1257" s="395" t="s">
        <v>145</v>
      </c>
      <c r="Q1257" s="395" t="s">
        <v>145</v>
      </c>
      <c r="R1257" s="395"/>
      <c r="S1257" s="395"/>
      <c r="T1257" s="395"/>
      <c r="U1257" s="395"/>
      <c r="V1257" s="395"/>
      <c r="W1257" s="395"/>
      <c r="X1257" s="395"/>
      <c r="Y1257" s="395"/>
      <c r="Z1257" s="395"/>
      <c r="AA1257" s="395"/>
      <c r="AB1257" s="395"/>
      <c r="AC1257" s="395"/>
      <c r="AD1257" s="70"/>
      <c r="AE1257" s="70"/>
      <c r="AF1257" s="70"/>
      <c r="AG1257" s="70"/>
      <c r="AH1257" s="70"/>
      <c r="AI1257" s="70"/>
      <c r="AJ1257" s="70"/>
      <c r="AK1257" s="70"/>
      <c r="AL1257" s="70"/>
      <c r="AM1257" s="70"/>
      <c r="AN1257" s="70"/>
      <c r="AO1257" s="70"/>
      <c r="AP1257" s="70"/>
      <c r="AQ1257" s="70"/>
      <c r="AR1257" s="70"/>
      <c r="AS1257" s="70"/>
      <c r="AT1257" s="70"/>
      <c r="AU1257" s="70"/>
      <c r="AV1257" s="70"/>
      <c r="AW1257" s="70"/>
      <c r="AX1257" s="70"/>
    </row>
    <row r="1258" ht="15.75" customHeight="1">
      <c r="A1258" s="170" t="s">
        <v>263</v>
      </c>
      <c r="B1258" s="171" t="s">
        <v>8773</v>
      </c>
      <c r="C1258" s="28" t="s">
        <v>8777</v>
      </c>
      <c r="D1258" s="28" t="s">
        <v>8778</v>
      </c>
      <c r="E1258" s="28" t="s">
        <v>8779</v>
      </c>
      <c r="F1258" s="28"/>
      <c r="G1258" s="28"/>
      <c r="H1258" s="28"/>
      <c r="I1258" s="28"/>
      <c r="J1258" s="28"/>
      <c r="K1258" s="28"/>
      <c r="L1258" s="28"/>
      <c r="M1258" s="28"/>
      <c r="N1258" s="28"/>
      <c r="O1258" s="173" t="s">
        <v>10776</v>
      </c>
      <c r="P1258" s="173" t="s">
        <v>145</v>
      </c>
      <c r="Q1258" s="173" t="s">
        <v>145</v>
      </c>
      <c r="R1258" s="173"/>
      <c r="S1258" s="173"/>
      <c r="T1258" s="173"/>
      <c r="U1258" s="173"/>
      <c r="V1258" s="173"/>
      <c r="W1258" s="173"/>
      <c r="X1258" s="173"/>
      <c r="Y1258" s="173"/>
      <c r="Z1258" s="173"/>
      <c r="AA1258" s="173"/>
      <c r="AB1258" s="173"/>
      <c r="AC1258" s="173"/>
      <c r="AD1258" s="70"/>
      <c r="AE1258" s="70"/>
      <c r="AF1258" s="70"/>
      <c r="AG1258" s="70"/>
      <c r="AH1258" s="70"/>
      <c r="AI1258" s="70"/>
      <c r="AJ1258" s="70"/>
      <c r="AK1258" s="70"/>
      <c r="AL1258" s="70"/>
      <c r="AM1258" s="70"/>
      <c r="AN1258" s="70"/>
      <c r="AO1258" s="70"/>
      <c r="AP1258" s="70"/>
      <c r="AQ1258" s="70"/>
      <c r="AR1258" s="70"/>
      <c r="AS1258" s="70"/>
      <c r="AT1258" s="70"/>
      <c r="AU1258" s="70"/>
      <c r="AV1258" s="70"/>
      <c r="AW1258" s="70"/>
      <c r="AX1258" s="70"/>
    </row>
    <row r="1259" ht="15.75" customHeight="1">
      <c r="A1259" s="318" t="s">
        <v>275</v>
      </c>
      <c r="B1259" s="319" t="s">
        <v>8781</v>
      </c>
      <c r="C1259" s="28" t="s">
        <v>8782</v>
      </c>
      <c r="D1259" s="28" t="s">
        <v>8783</v>
      </c>
      <c r="E1259" s="28" t="s">
        <v>8784</v>
      </c>
      <c r="F1259" s="28"/>
      <c r="G1259" s="28"/>
      <c r="H1259" s="28"/>
      <c r="I1259" s="28"/>
      <c r="J1259" s="28"/>
      <c r="K1259" s="28" t="s">
        <v>10775</v>
      </c>
      <c r="L1259" s="28"/>
      <c r="M1259" s="28"/>
      <c r="N1259" s="28"/>
      <c r="O1259" s="395"/>
      <c r="P1259" s="395" t="s">
        <v>145</v>
      </c>
      <c r="Q1259" s="395" t="s">
        <v>145</v>
      </c>
      <c r="R1259" s="395"/>
      <c r="S1259" s="395"/>
      <c r="T1259" s="395"/>
      <c r="U1259" s="395"/>
      <c r="V1259" s="395"/>
      <c r="W1259" s="395"/>
      <c r="X1259" s="395"/>
      <c r="Y1259" s="395"/>
      <c r="Z1259" s="395"/>
      <c r="AA1259" s="395"/>
      <c r="AB1259" s="395"/>
      <c r="AC1259" s="395"/>
      <c r="AD1259" s="70"/>
      <c r="AE1259" s="70"/>
      <c r="AF1259" s="70"/>
      <c r="AG1259" s="70"/>
      <c r="AH1259" s="70"/>
      <c r="AI1259" s="70"/>
      <c r="AJ1259" s="70"/>
      <c r="AK1259" s="70"/>
      <c r="AL1259" s="70"/>
      <c r="AM1259" s="70"/>
      <c r="AN1259" s="70"/>
      <c r="AO1259" s="70"/>
      <c r="AP1259" s="70"/>
      <c r="AQ1259" s="70"/>
      <c r="AR1259" s="70"/>
      <c r="AS1259" s="70"/>
      <c r="AT1259" s="70"/>
      <c r="AU1259" s="70"/>
      <c r="AV1259" s="70"/>
      <c r="AW1259" s="70"/>
      <c r="AX1259" s="70"/>
    </row>
    <row r="1260" ht="15.75" customHeight="1">
      <c r="A1260" s="170" t="s">
        <v>263</v>
      </c>
      <c r="B1260" s="271" t="s">
        <v>8789</v>
      </c>
      <c r="C1260" s="28" t="s">
        <v>8794</v>
      </c>
      <c r="D1260" s="28" t="s">
        <v>8795</v>
      </c>
      <c r="E1260" s="28" t="s">
        <v>8796</v>
      </c>
      <c r="F1260" s="28"/>
      <c r="G1260" s="28"/>
      <c r="H1260" s="28"/>
      <c r="I1260" s="28"/>
      <c r="J1260" s="28"/>
      <c r="K1260" s="28"/>
      <c r="L1260" s="28"/>
      <c r="M1260" s="28"/>
      <c r="N1260" s="28"/>
      <c r="O1260" s="172" t="s">
        <v>10777</v>
      </c>
      <c r="P1260" s="173" t="s">
        <v>145</v>
      </c>
      <c r="Q1260" s="173" t="s">
        <v>145</v>
      </c>
      <c r="R1260" s="173"/>
      <c r="S1260" s="173"/>
      <c r="T1260" s="173"/>
      <c r="U1260" s="173"/>
      <c r="V1260" s="173"/>
      <c r="W1260" s="173"/>
      <c r="X1260" s="173"/>
      <c r="Y1260" s="173"/>
      <c r="Z1260" s="173"/>
      <c r="AA1260" s="173"/>
      <c r="AB1260" s="173"/>
      <c r="AC1260" s="173"/>
      <c r="AD1260" s="70"/>
      <c r="AE1260" s="70"/>
      <c r="AF1260" s="70"/>
      <c r="AG1260" s="70"/>
      <c r="AH1260" s="70"/>
      <c r="AI1260" s="70"/>
      <c r="AJ1260" s="70"/>
      <c r="AK1260" s="70"/>
      <c r="AL1260" s="70"/>
      <c r="AM1260" s="70"/>
      <c r="AN1260" s="70"/>
      <c r="AO1260" s="70"/>
      <c r="AP1260" s="70"/>
      <c r="AQ1260" s="70"/>
      <c r="AR1260" s="70"/>
      <c r="AS1260" s="70"/>
      <c r="AT1260" s="70"/>
      <c r="AU1260" s="70"/>
      <c r="AV1260" s="70"/>
      <c r="AW1260" s="70"/>
      <c r="AX1260" s="70"/>
    </row>
    <row r="1261" ht="15.75" customHeight="1">
      <c r="A1261" s="90" t="s">
        <v>78</v>
      </c>
      <c r="B1261" s="92" t="s">
        <v>8797</v>
      </c>
      <c r="C1261" s="28"/>
      <c r="D1261" s="28"/>
      <c r="E1261" s="28"/>
      <c r="F1261" s="28"/>
      <c r="G1261" s="28"/>
      <c r="H1261" s="28"/>
      <c r="I1261" s="28"/>
      <c r="J1261" s="28"/>
      <c r="K1261" s="28"/>
      <c r="L1261" s="28"/>
      <c r="M1261" s="28"/>
      <c r="N1261" s="28"/>
      <c r="O1261" s="96"/>
      <c r="P1261" s="96" t="s">
        <v>145</v>
      </c>
      <c r="Q1261" s="96"/>
      <c r="R1261" s="96"/>
      <c r="S1261" s="96"/>
      <c r="T1261" s="178" t="s">
        <v>10778</v>
      </c>
      <c r="U1261" s="96"/>
      <c r="V1261" s="96"/>
      <c r="W1261" s="96"/>
      <c r="X1261" s="96"/>
      <c r="Y1261" s="96"/>
      <c r="Z1261" s="96"/>
      <c r="AA1261" s="96"/>
      <c r="AB1261" s="96"/>
      <c r="AC1261" s="96"/>
      <c r="AD1261" s="70"/>
      <c r="AE1261" s="70"/>
      <c r="AF1261" s="70"/>
      <c r="AG1261" s="70"/>
      <c r="AH1261" s="70"/>
      <c r="AI1261" s="70"/>
      <c r="AJ1261" s="70"/>
      <c r="AK1261" s="70"/>
      <c r="AL1261" s="70"/>
      <c r="AM1261" s="70"/>
      <c r="AN1261" s="70"/>
      <c r="AO1261" s="70"/>
      <c r="AP1261" s="70"/>
      <c r="AQ1261" s="70"/>
      <c r="AR1261" s="70"/>
      <c r="AS1261" s="70"/>
      <c r="AT1261" s="70"/>
      <c r="AU1261" s="70"/>
      <c r="AV1261" s="70"/>
      <c r="AW1261" s="70"/>
      <c r="AX1261" s="70"/>
    </row>
    <row r="1262" ht="15.75" customHeight="1">
      <c r="A1262" s="166"/>
      <c r="B1262" s="167"/>
      <c r="C1262" s="28"/>
      <c r="D1262" s="28"/>
      <c r="E1262" s="28"/>
      <c r="F1262" s="28"/>
      <c r="G1262" s="28"/>
      <c r="H1262" s="28"/>
      <c r="I1262" s="28"/>
      <c r="J1262" s="28"/>
      <c r="K1262" s="28"/>
      <c r="L1262" s="28"/>
      <c r="M1262" s="28"/>
      <c r="N1262" s="28"/>
      <c r="O1262" s="126"/>
      <c r="P1262" s="126"/>
      <c r="Q1262" s="126"/>
      <c r="R1262" s="126"/>
      <c r="S1262" s="126"/>
      <c r="T1262" s="126"/>
      <c r="U1262" s="126"/>
      <c r="V1262" s="126"/>
      <c r="W1262" s="126"/>
      <c r="X1262" s="126"/>
      <c r="Y1262" s="126"/>
      <c r="Z1262" s="126"/>
      <c r="AA1262" s="126"/>
      <c r="AB1262" s="126"/>
      <c r="AC1262" s="126"/>
      <c r="AD1262" s="70"/>
      <c r="AE1262" s="70"/>
      <c r="AF1262" s="70"/>
      <c r="AG1262" s="70"/>
      <c r="AH1262" s="70"/>
      <c r="AI1262" s="70"/>
      <c r="AJ1262" s="70"/>
      <c r="AK1262" s="70"/>
      <c r="AL1262" s="70"/>
      <c r="AM1262" s="70"/>
      <c r="AN1262" s="70"/>
      <c r="AO1262" s="70"/>
      <c r="AP1262" s="70"/>
      <c r="AQ1262" s="70"/>
      <c r="AR1262" s="70"/>
      <c r="AS1262" s="70"/>
      <c r="AT1262" s="70"/>
      <c r="AU1262" s="70"/>
      <c r="AV1262" s="70"/>
      <c r="AW1262" s="70"/>
      <c r="AX1262" s="70"/>
    </row>
    <row r="1263" ht="15.75" customHeight="1">
      <c r="A1263" s="166" t="s">
        <v>41</v>
      </c>
      <c r="B1263" s="167" t="s">
        <v>8807</v>
      </c>
      <c r="C1263" s="28" t="s">
        <v>8811</v>
      </c>
      <c r="D1263" s="28" t="s">
        <v>8812</v>
      </c>
      <c r="E1263" s="28" t="s">
        <v>8813</v>
      </c>
      <c r="F1263" s="28"/>
      <c r="G1263" s="28"/>
      <c r="H1263" s="28"/>
      <c r="I1263" s="28"/>
      <c r="J1263" s="28"/>
      <c r="K1263" s="28"/>
      <c r="L1263" s="28"/>
      <c r="M1263" s="28"/>
      <c r="N1263" s="28"/>
      <c r="O1263" s="126" t="s">
        <v>10779</v>
      </c>
      <c r="P1263" s="126" t="s">
        <v>145</v>
      </c>
      <c r="Q1263" s="126" t="s">
        <v>145</v>
      </c>
      <c r="R1263" s="126"/>
      <c r="S1263" s="126"/>
      <c r="T1263" s="126"/>
      <c r="U1263" s="126"/>
      <c r="V1263" s="126"/>
      <c r="W1263" s="126"/>
      <c r="X1263" s="126"/>
      <c r="Y1263" s="126"/>
      <c r="Z1263" s="126"/>
      <c r="AA1263" s="126"/>
      <c r="AB1263" s="126"/>
      <c r="AC1263" s="126"/>
      <c r="AD1263" s="70"/>
      <c r="AE1263" s="70"/>
      <c r="AF1263" s="70"/>
      <c r="AG1263" s="70"/>
      <c r="AH1263" s="70"/>
      <c r="AI1263" s="70"/>
      <c r="AJ1263" s="70"/>
      <c r="AK1263" s="70"/>
      <c r="AL1263" s="70"/>
      <c r="AM1263" s="70"/>
      <c r="AN1263" s="70"/>
      <c r="AO1263" s="70"/>
      <c r="AP1263" s="70"/>
      <c r="AQ1263" s="70"/>
      <c r="AR1263" s="70"/>
      <c r="AS1263" s="70"/>
      <c r="AT1263" s="70"/>
      <c r="AU1263" s="70"/>
      <c r="AV1263" s="70"/>
      <c r="AW1263" s="70"/>
      <c r="AX1263" s="70"/>
    </row>
    <row r="1264" ht="15.75" customHeight="1">
      <c r="A1264" s="68" t="s">
        <v>2625</v>
      </c>
      <c r="B1264" s="169" t="s">
        <v>8814</v>
      </c>
      <c r="C1264" s="28" t="s">
        <v>8819</v>
      </c>
      <c r="D1264" s="28" t="s">
        <v>8821</v>
      </c>
      <c r="E1264" s="28" t="s">
        <v>8822</v>
      </c>
      <c r="F1264" s="28"/>
      <c r="G1264" s="28"/>
      <c r="H1264" s="28"/>
      <c r="I1264" s="28"/>
      <c r="J1264" s="28"/>
      <c r="K1264" s="28"/>
      <c r="L1264" s="28"/>
      <c r="M1264" s="28"/>
      <c r="N1264" s="28"/>
      <c r="O1264" s="65" t="s">
        <v>10780</v>
      </c>
      <c r="P1264" s="67" t="s">
        <v>145</v>
      </c>
      <c r="Q1264" s="67" t="s">
        <v>145</v>
      </c>
      <c r="R1264" s="67"/>
      <c r="S1264" s="67"/>
      <c r="T1264" s="67"/>
      <c r="U1264" s="67"/>
      <c r="V1264" s="67"/>
      <c r="W1264" s="67"/>
      <c r="X1264" s="67"/>
      <c r="Y1264" s="67"/>
      <c r="Z1264" s="67"/>
      <c r="AA1264" s="67"/>
      <c r="AB1264" s="67"/>
      <c r="AC1264" s="67"/>
      <c r="AD1264" s="70"/>
      <c r="AE1264" s="70"/>
      <c r="AF1264" s="70"/>
      <c r="AG1264" s="70"/>
      <c r="AH1264" s="70"/>
      <c r="AI1264" s="70"/>
      <c r="AJ1264" s="70"/>
      <c r="AK1264" s="70"/>
      <c r="AL1264" s="70"/>
      <c r="AM1264" s="70"/>
      <c r="AN1264" s="70"/>
      <c r="AO1264" s="70"/>
      <c r="AP1264" s="70"/>
      <c r="AQ1264" s="70"/>
      <c r="AR1264" s="70"/>
      <c r="AS1264" s="70"/>
      <c r="AT1264" s="70"/>
      <c r="AU1264" s="70"/>
      <c r="AV1264" s="70"/>
      <c r="AW1264" s="70"/>
      <c r="AX1264" s="70"/>
    </row>
    <row r="1265" ht="15.75" customHeight="1">
      <c r="A1265" s="170" t="s">
        <v>263</v>
      </c>
      <c r="B1265" s="271" t="s">
        <v>8823</v>
      </c>
      <c r="C1265" s="28" t="s">
        <v>8827</v>
      </c>
      <c r="D1265" s="28" t="s">
        <v>8828</v>
      </c>
      <c r="E1265" s="28" t="s">
        <v>8829</v>
      </c>
      <c r="F1265" s="28"/>
      <c r="G1265" s="28"/>
      <c r="H1265" s="28"/>
      <c r="I1265" s="28"/>
      <c r="J1265" s="28"/>
      <c r="K1265" s="28"/>
      <c r="L1265" s="28"/>
      <c r="M1265" s="28"/>
      <c r="N1265" s="28"/>
      <c r="O1265" s="67" t="s">
        <v>10781</v>
      </c>
      <c r="P1265" s="173" t="s">
        <v>145</v>
      </c>
      <c r="Q1265" s="173" t="s">
        <v>145</v>
      </c>
      <c r="R1265" s="173"/>
      <c r="S1265" s="173"/>
      <c r="T1265" s="173"/>
      <c r="U1265" s="173"/>
      <c r="V1265" s="173"/>
      <c r="W1265" s="173"/>
      <c r="X1265" s="173"/>
      <c r="Y1265" s="173"/>
      <c r="Z1265" s="173"/>
      <c r="AA1265" s="173"/>
      <c r="AB1265" s="173"/>
      <c r="AC1265" s="173"/>
      <c r="AD1265" s="70"/>
      <c r="AE1265" s="70"/>
      <c r="AF1265" s="70"/>
      <c r="AG1265" s="70"/>
      <c r="AH1265" s="70"/>
      <c r="AI1265" s="70"/>
      <c r="AJ1265" s="70"/>
      <c r="AK1265" s="70"/>
      <c r="AL1265" s="70"/>
      <c r="AM1265" s="70"/>
      <c r="AN1265" s="70"/>
      <c r="AO1265" s="70"/>
      <c r="AP1265" s="70"/>
      <c r="AQ1265" s="70"/>
      <c r="AR1265" s="70"/>
      <c r="AS1265" s="70"/>
      <c r="AT1265" s="70"/>
      <c r="AU1265" s="70"/>
      <c r="AV1265" s="70"/>
      <c r="AW1265" s="70"/>
      <c r="AX1265" s="70"/>
    </row>
    <row r="1266" ht="15.75" customHeight="1">
      <c r="A1266" s="90" t="s">
        <v>78</v>
      </c>
      <c r="B1266" s="92" t="s">
        <v>8830</v>
      </c>
      <c r="C1266" s="28"/>
      <c r="D1266" s="28"/>
      <c r="E1266" s="28"/>
      <c r="F1266" s="28"/>
      <c r="G1266" s="28"/>
      <c r="H1266" s="28"/>
      <c r="I1266" s="28"/>
      <c r="J1266" s="28"/>
      <c r="K1266" s="28"/>
      <c r="L1266" s="28"/>
      <c r="M1266" s="28"/>
      <c r="N1266" s="28"/>
      <c r="O1266" s="96"/>
      <c r="P1266" s="96" t="s">
        <v>145</v>
      </c>
      <c r="Q1266" s="96"/>
      <c r="R1266" s="96"/>
      <c r="S1266" s="96"/>
      <c r="T1266" s="178" t="s">
        <v>10782</v>
      </c>
      <c r="U1266" s="96"/>
      <c r="V1266" s="96"/>
      <c r="W1266" s="96"/>
      <c r="X1266" s="96"/>
      <c r="Y1266" s="96"/>
      <c r="Z1266" s="96"/>
      <c r="AA1266" s="96"/>
      <c r="AB1266" s="96"/>
      <c r="AC1266" s="96"/>
      <c r="AD1266" s="70"/>
      <c r="AE1266" s="70"/>
      <c r="AF1266" s="70"/>
      <c r="AG1266" s="70"/>
      <c r="AH1266" s="70"/>
      <c r="AI1266" s="70"/>
      <c r="AJ1266" s="70"/>
      <c r="AK1266" s="70"/>
      <c r="AL1266" s="70"/>
      <c r="AM1266" s="70"/>
      <c r="AN1266" s="70"/>
      <c r="AO1266" s="70"/>
      <c r="AP1266" s="70"/>
      <c r="AQ1266" s="70"/>
      <c r="AR1266" s="70"/>
      <c r="AS1266" s="70"/>
      <c r="AT1266" s="70"/>
      <c r="AU1266" s="70"/>
      <c r="AV1266" s="70"/>
      <c r="AW1266" s="70"/>
      <c r="AX1266" s="70"/>
    </row>
    <row r="1267" ht="15.75" customHeight="1">
      <c r="A1267" s="174" t="s">
        <v>1015</v>
      </c>
      <c r="B1267" s="204" t="s">
        <v>8719</v>
      </c>
      <c r="C1267" s="28" t="s">
        <v>8835</v>
      </c>
      <c r="D1267" s="28" t="s">
        <v>8836</v>
      </c>
      <c r="E1267" s="28" t="s">
        <v>8837</v>
      </c>
      <c r="F1267" s="28"/>
      <c r="G1267" s="28"/>
      <c r="H1267" s="28"/>
      <c r="I1267" s="28"/>
      <c r="J1267" s="28"/>
      <c r="K1267" s="28"/>
      <c r="L1267" s="28"/>
      <c r="M1267" s="28"/>
      <c r="N1267" s="28"/>
      <c r="O1267" s="176"/>
      <c r="P1267" s="176" t="s">
        <v>145</v>
      </c>
      <c r="Q1267" s="176"/>
      <c r="R1267" s="176"/>
      <c r="S1267" s="176"/>
      <c r="T1267" s="176"/>
      <c r="U1267" s="176"/>
      <c r="V1267" s="176"/>
      <c r="W1267" s="176"/>
      <c r="X1267" s="176"/>
      <c r="Y1267" s="176"/>
      <c r="Z1267" s="176"/>
      <c r="AA1267" s="176"/>
      <c r="AB1267" s="176"/>
      <c r="AC1267" s="176"/>
      <c r="AD1267" s="70"/>
      <c r="AE1267" s="70"/>
      <c r="AF1267" s="70"/>
      <c r="AG1267" s="70"/>
      <c r="AH1267" s="70"/>
      <c r="AI1267" s="70"/>
      <c r="AJ1267" s="70"/>
      <c r="AK1267" s="70"/>
      <c r="AL1267" s="70"/>
      <c r="AM1267" s="70"/>
      <c r="AN1267" s="70"/>
      <c r="AO1267" s="70"/>
      <c r="AP1267" s="70"/>
      <c r="AQ1267" s="70"/>
      <c r="AR1267" s="70"/>
      <c r="AS1267" s="70"/>
      <c r="AT1267" s="70"/>
      <c r="AU1267" s="70"/>
      <c r="AV1267" s="70"/>
      <c r="AW1267" s="70"/>
      <c r="AX1267" s="70"/>
    </row>
    <row r="1268" ht="15.75" customHeight="1">
      <c r="A1268" s="221"/>
      <c r="B1268" s="222"/>
      <c r="C1268" s="28"/>
      <c r="D1268" s="28"/>
      <c r="E1268" s="28"/>
      <c r="F1268" s="28"/>
      <c r="G1268" s="28"/>
      <c r="H1268" s="28"/>
      <c r="I1268" s="28"/>
      <c r="J1268" s="28"/>
      <c r="K1268" s="28"/>
      <c r="L1268" s="28"/>
      <c r="M1268" s="28"/>
      <c r="N1268" s="28"/>
      <c r="O1268" s="70"/>
      <c r="P1268" s="70"/>
      <c r="Q1268" s="70"/>
      <c r="R1268" s="70"/>
      <c r="S1268" s="70"/>
      <c r="T1268" s="70"/>
      <c r="U1268" s="70"/>
      <c r="V1268" s="70"/>
      <c r="W1268" s="70"/>
      <c r="X1268" s="70"/>
      <c r="Y1268" s="70"/>
      <c r="Z1268" s="70"/>
      <c r="AA1268" s="70"/>
      <c r="AB1268" s="70"/>
      <c r="AC1268" s="70"/>
      <c r="AD1268" s="70"/>
      <c r="AE1268" s="70"/>
      <c r="AF1268" s="70"/>
      <c r="AG1268" s="70"/>
      <c r="AH1268" s="70"/>
      <c r="AI1268" s="70"/>
      <c r="AJ1268" s="70"/>
      <c r="AK1268" s="70"/>
      <c r="AL1268" s="70"/>
      <c r="AM1268" s="70"/>
      <c r="AN1268" s="70"/>
      <c r="AO1268" s="70"/>
      <c r="AP1268" s="70"/>
      <c r="AQ1268" s="70"/>
      <c r="AR1268" s="70"/>
      <c r="AS1268" s="70"/>
      <c r="AT1268" s="70"/>
      <c r="AU1268" s="70"/>
      <c r="AV1268" s="70"/>
      <c r="AW1268" s="70"/>
      <c r="AX1268" s="70"/>
    </row>
    <row r="1269" ht="15.75" customHeight="1">
      <c r="A1269" s="140" t="s">
        <v>131</v>
      </c>
      <c r="B1269" s="164" t="s">
        <v>8842</v>
      </c>
      <c r="C1269" s="28" t="s">
        <v>8843</v>
      </c>
      <c r="D1269" s="28" t="s">
        <v>8844</v>
      </c>
      <c r="E1269" s="28" t="s">
        <v>8846</v>
      </c>
      <c r="F1269" s="28"/>
      <c r="G1269" s="28"/>
      <c r="H1269" s="28"/>
      <c r="I1269" s="28"/>
      <c r="J1269" s="28" t="s">
        <v>931</v>
      </c>
      <c r="K1269" s="28"/>
      <c r="L1269" s="28"/>
      <c r="M1269" s="28"/>
      <c r="N1269" s="28"/>
      <c r="O1269" s="190"/>
      <c r="P1269" s="139" t="s">
        <v>145</v>
      </c>
      <c r="Q1269" s="139"/>
      <c r="R1269" s="139"/>
      <c r="S1269" s="139"/>
      <c r="T1269" s="139"/>
      <c r="U1269" s="139"/>
      <c r="V1269" s="139"/>
      <c r="W1269" s="139"/>
      <c r="X1269" s="139"/>
      <c r="Y1269" s="139"/>
      <c r="Z1269" s="139"/>
      <c r="AA1269" s="139"/>
      <c r="AB1269" s="139"/>
      <c r="AC1269" s="139"/>
      <c r="AD1269" s="70"/>
      <c r="AE1269" s="70"/>
      <c r="AF1269" s="70"/>
      <c r="AG1269" s="70"/>
      <c r="AH1269" s="70"/>
      <c r="AI1269" s="70"/>
      <c r="AJ1269" s="70"/>
      <c r="AK1269" s="70"/>
      <c r="AL1269" s="70"/>
      <c r="AM1269" s="70"/>
      <c r="AN1269" s="70"/>
      <c r="AO1269" s="70"/>
      <c r="AP1269" s="70"/>
      <c r="AQ1269" s="70"/>
      <c r="AR1269" s="70"/>
      <c r="AS1269" s="70"/>
      <c r="AT1269" s="70"/>
      <c r="AU1269" s="70"/>
      <c r="AV1269" s="70"/>
      <c r="AW1269" s="70"/>
      <c r="AX1269" s="70"/>
    </row>
    <row r="1270" ht="15.75" customHeight="1">
      <c r="A1270" s="166" t="s">
        <v>41</v>
      </c>
      <c r="B1270" s="167" t="s">
        <v>8849</v>
      </c>
      <c r="C1270" s="28" t="s">
        <v>8856</v>
      </c>
      <c r="D1270" s="28" t="s">
        <v>8858</v>
      </c>
      <c r="E1270" s="28" t="s">
        <v>8859</v>
      </c>
      <c r="F1270" s="28"/>
      <c r="G1270" s="28"/>
      <c r="H1270" s="28"/>
      <c r="I1270" s="28"/>
      <c r="J1270" s="28" t="s">
        <v>8</v>
      </c>
      <c r="K1270" s="28"/>
      <c r="L1270" s="28"/>
      <c r="M1270" s="28"/>
      <c r="N1270" s="28"/>
      <c r="O1270" s="126"/>
      <c r="P1270" s="126" t="s">
        <v>145</v>
      </c>
      <c r="Q1270" s="126"/>
      <c r="R1270" s="126"/>
      <c r="S1270" s="126"/>
      <c r="T1270" s="126"/>
      <c r="U1270" s="126"/>
      <c r="V1270" s="126"/>
      <c r="W1270" s="126"/>
      <c r="X1270" s="126"/>
      <c r="Y1270" s="126"/>
      <c r="Z1270" s="126"/>
      <c r="AA1270" s="126"/>
      <c r="AB1270" s="126"/>
      <c r="AC1270" s="126"/>
      <c r="AD1270" s="70"/>
      <c r="AE1270" s="70"/>
      <c r="AF1270" s="70"/>
      <c r="AG1270" s="70"/>
      <c r="AH1270" s="70"/>
      <c r="AI1270" s="70"/>
      <c r="AJ1270" s="70"/>
      <c r="AK1270" s="70"/>
      <c r="AL1270" s="70"/>
      <c r="AM1270" s="70"/>
      <c r="AN1270" s="70"/>
      <c r="AO1270" s="70"/>
      <c r="AP1270" s="70"/>
      <c r="AQ1270" s="70"/>
      <c r="AR1270" s="70"/>
      <c r="AS1270" s="70"/>
      <c r="AT1270" s="70"/>
      <c r="AU1270" s="70"/>
      <c r="AV1270" s="70"/>
      <c r="AW1270" s="70"/>
      <c r="AX1270" s="70"/>
    </row>
    <row r="1271" ht="15.75" customHeight="1">
      <c r="A1271" s="170" t="s">
        <v>263</v>
      </c>
      <c r="B1271" s="171" t="s">
        <v>8860</v>
      </c>
      <c r="C1271" s="28" t="s">
        <v>8864</v>
      </c>
      <c r="D1271" s="28" t="s">
        <v>8865</v>
      </c>
      <c r="E1271" s="28" t="s">
        <v>8866</v>
      </c>
      <c r="F1271" s="28"/>
      <c r="G1271" s="28"/>
      <c r="H1271" s="28"/>
      <c r="I1271" s="28"/>
      <c r="J1271" s="28" t="s">
        <v>958</v>
      </c>
      <c r="K1271" s="28"/>
      <c r="L1271" s="28"/>
      <c r="M1271" s="28"/>
      <c r="N1271" s="28"/>
      <c r="O1271" s="173"/>
      <c r="P1271" s="173" t="s">
        <v>145</v>
      </c>
      <c r="Q1271" s="173" t="s">
        <v>145</v>
      </c>
      <c r="R1271" s="173"/>
      <c r="S1271" s="173"/>
      <c r="T1271" s="173"/>
      <c r="U1271" s="173"/>
      <c r="V1271" s="173"/>
      <c r="W1271" s="173"/>
      <c r="X1271" s="173"/>
      <c r="Y1271" s="173"/>
      <c r="Z1271" s="173"/>
      <c r="AA1271" s="173"/>
      <c r="AB1271" s="173"/>
      <c r="AC1271" s="173"/>
      <c r="AD1271" s="70"/>
      <c r="AE1271" s="70"/>
      <c r="AF1271" s="70"/>
      <c r="AG1271" s="70"/>
      <c r="AH1271" s="70"/>
      <c r="AI1271" s="70"/>
      <c r="AJ1271" s="70"/>
      <c r="AK1271" s="70"/>
      <c r="AL1271" s="70"/>
      <c r="AM1271" s="70"/>
      <c r="AN1271" s="70"/>
      <c r="AO1271" s="70"/>
      <c r="AP1271" s="70"/>
      <c r="AQ1271" s="70"/>
      <c r="AR1271" s="70"/>
      <c r="AS1271" s="70"/>
      <c r="AT1271" s="70"/>
      <c r="AU1271" s="70"/>
      <c r="AV1271" s="70"/>
      <c r="AW1271" s="70"/>
      <c r="AX1271" s="70"/>
    </row>
    <row r="1272" ht="15.75" customHeight="1">
      <c r="A1272" s="170" t="s">
        <v>263</v>
      </c>
      <c r="B1272" s="171" t="s">
        <v>8867</v>
      </c>
      <c r="C1272" s="28" t="s">
        <v>8874</v>
      </c>
      <c r="D1272" s="28" t="s">
        <v>8876</v>
      </c>
      <c r="E1272" s="28" t="s">
        <v>8877</v>
      </c>
      <c r="F1272" s="28"/>
      <c r="G1272" s="28"/>
      <c r="H1272" s="28"/>
      <c r="I1272" s="28"/>
      <c r="J1272" s="28" t="s">
        <v>958</v>
      </c>
      <c r="K1272" s="28"/>
      <c r="L1272" s="28"/>
      <c r="M1272" s="28"/>
      <c r="N1272" s="28"/>
      <c r="O1272" s="173"/>
      <c r="P1272" s="173" t="s">
        <v>145</v>
      </c>
      <c r="Q1272" s="173" t="s">
        <v>145</v>
      </c>
      <c r="R1272" s="173"/>
      <c r="S1272" s="173"/>
      <c r="T1272" s="173"/>
      <c r="U1272" s="173"/>
      <c r="V1272" s="173"/>
      <c r="W1272" s="173"/>
      <c r="X1272" s="173"/>
      <c r="Y1272" s="173"/>
      <c r="Z1272" s="173"/>
      <c r="AA1272" s="173"/>
      <c r="AB1272" s="173"/>
      <c r="AC1272" s="173"/>
      <c r="AD1272" s="70"/>
      <c r="AE1272" s="70"/>
      <c r="AF1272" s="70"/>
      <c r="AG1272" s="70"/>
      <c r="AH1272" s="70"/>
      <c r="AI1272" s="70"/>
      <c r="AJ1272" s="70"/>
      <c r="AK1272" s="70"/>
      <c r="AL1272" s="70"/>
      <c r="AM1272" s="70"/>
      <c r="AN1272" s="70"/>
      <c r="AO1272" s="70"/>
      <c r="AP1272" s="70"/>
      <c r="AQ1272" s="70"/>
      <c r="AR1272" s="70"/>
      <c r="AS1272" s="70"/>
      <c r="AT1272" s="70"/>
      <c r="AU1272" s="70"/>
      <c r="AV1272" s="70"/>
      <c r="AW1272" s="70"/>
      <c r="AX1272" s="70"/>
    </row>
    <row r="1273" ht="15.75" customHeight="1">
      <c r="A1273" s="170" t="s">
        <v>263</v>
      </c>
      <c r="B1273" s="171" t="s">
        <v>8878</v>
      </c>
      <c r="C1273" s="28" t="s">
        <v>8882</v>
      </c>
      <c r="D1273" s="28" t="s">
        <v>8883</v>
      </c>
      <c r="E1273" s="28" t="s">
        <v>8884</v>
      </c>
      <c r="F1273" s="28"/>
      <c r="G1273" s="28"/>
      <c r="H1273" s="28"/>
      <c r="I1273" s="28"/>
      <c r="J1273" s="28" t="s">
        <v>958</v>
      </c>
      <c r="K1273" s="28"/>
      <c r="L1273" s="28"/>
      <c r="M1273" s="28"/>
      <c r="N1273" s="28"/>
      <c r="O1273" s="173"/>
      <c r="P1273" s="173" t="s">
        <v>145</v>
      </c>
      <c r="Q1273" s="173" t="s">
        <v>145</v>
      </c>
      <c r="R1273" s="173"/>
      <c r="S1273" s="173"/>
      <c r="T1273" s="173"/>
      <c r="U1273" s="173"/>
      <c r="V1273" s="173"/>
      <c r="W1273" s="173"/>
      <c r="X1273" s="173"/>
      <c r="Y1273" s="173"/>
      <c r="Z1273" s="173"/>
      <c r="AA1273" s="173"/>
      <c r="AB1273" s="173"/>
      <c r="AC1273" s="173"/>
      <c r="AD1273" s="70"/>
      <c r="AE1273" s="70"/>
      <c r="AF1273" s="70"/>
      <c r="AG1273" s="70"/>
      <c r="AH1273" s="70"/>
      <c r="AI1273" s="70"/>
      <c r="AJ1273" s="70"/>
      <c r="AK1273" s="70"/>
      <c r="AL1273" s="70"/>
      <c r="AM1273" s="70"/>
      <c r="AN1273" s="70"/>
      <c r="AO1273" s="70"/>
      <c r="AP1273" s="70"/>
      <c r="AQ1273" s="70"/>
      <c r="AR1273" s="70"/>
      <c r="AS1273" s="70"/>
      <c r="AT1273" s="70"/>
      <c r="AU1273" s="70"/>
      <c r="AV1273" s="70"/>
      <c r="AW1273" s="70"/>
      <c r="AX1273" s="70"/>
    </row>
    <row r="1274" ht="15.75" customHeight="1">
      <c r="A1274" s="170" t="s">
        <v>263</v>
      </c>
      <c r="B1274" s="171" t="s">
        <v>8887</v>
      </c>
      <c r="C1274" s="28" t="s">
        <v>8892</v>
      </c>
      <c r="D1274" s="28" t="s">
        <v>8893</v>
      </c>
      <c r="E1274" s="28" t="s">
        <v>8894</v>
      </c>
      <c r="F1274" s="28"/>
      <c r="G1274" s="28"/>
      <c r="H1274" s="28"/>
      <c r="I1274" s="28"/>
      <c r="J1274" s="28" t="s">
        <v>958</v>
      </c>
      <c r="K1274" s="28"/>
      <c r="L1274" s="28"/>
      <c r="M1274" s="28"/>
      <c r="N1274" s="28"/>
      <c r="O1274" s="173"/>
      <c r="P1274" s="173" t="s">
        <v>145</v>
      </c>
      <c r="Q1274" s="173" t="s">
        <v>145</v>
      </c>
      <c r="R1274" s="173"/>
      <c r="S1274" s="173"/>
      <c r="T1274" s="173"/>
      <c r="U1274" s="173"/>
      <c r="V1274" s="173"/>
      <c r="W1274" s="173"/>
      <c r="X1274" s="173"/>
      <c r="Y1274" s="173"/>
      <c r="Z1274" s="173"/>
      <c r="AA1274" s="173"/>
      <c r="AB1274" s="173"/>
      <c r="AC1274" s="173"/>
      <c r="AD1274" s="70"/>
      <c r="AE1274" s="70"/>
      <c r="AF1274" s="70"/>
      <c r="AG1274" s="70"/>
      <c r="AH1274" s="70"/>
      <c r="AI1274" s="70"/>
      <c r="AJ1274" s="70"/>
      <c r="AK1274" s="70"/>
      <c r="AL1274" s="70"/>
      <c r="AM1274" s="70"/>
      <c r="AN1274" s="70"/>
      <c r="AO1274" s="70"/>
      <c r="AP1274" s="70"/>
      <c r="AQ1274" s="70"/>
      <c r="AR1274" s="70"/>
      <c r="AS1274" s="70"/>
      <c r="AT1274" s="70"/>
      <c r="AU1274" s="70"/>
      <c r="AV1274" s="70"/>
      <c r="AW1274" s="70"/>
      <c r="AX1274" s="70"/>
    </row>
    <row r="1275" ht="15.75" customHeight="1">
      <c r="A1275" s="140" t="s">
        <v>237</v>
      </c>
      <c r="B1275" s="191" t="s">
        <v>8842</v>
      </c>
      <c r="C1275" s="28" t="s">
        <v>8843</v>
      </c>
      <c r="D1275" s="28" t="s">
        <v>8896</v>
      </c>
      <c r="E1275" s="28" t="s">
        <v>8898</v>
      </c>
      <c r="F1275" s="28"/>
      <c r="G1275" s="28"/>
      <c r="H1275" s="28"/>
      <c r="I1275" s="28"/>
      <c r="J1275" s="28"/>
      <c r="K1275" s="28"/>
      <c r="L1275" s="28"/>
      <c r="M1275" s="28"/>
      <c r="N1275" s="28"/>
      <c r="O1275" s="139"/>
      <c r="P1275" s="139" t="s">
        <v>145</v>
      </c>
      <c r="Q1275" s="139"/>
      <c r="R1275" s="139"/>
      <c r="S1275" s="139"/>
      <c r="T1275" s="139"/>
      <c r="U1275" s="139"/>
      <c r="V1275" s="139"/>
      <c r="W1275" s="139"/>
      <c r="X1275" s="139"/>
      <c r="Y1275" s="139"/>
      <c r="Z1275" s="139"/>
      <c r="AA1275" s="139"/>
      <c r="AB1275" s="139"/>
      <c r="AC1275" s="139"/>
      <c r="AD1275" s="70"/>
      <c r="AE1275" s="70"/>
      <c r="AF1275" s="70"/>
      <c r="AG1275" s="70"/>
      <c r="AH1275" s="70"/>
      <c r="AI1275" s="70"/>
      <c r="AJ1275" s="70"/>
      <c r="AK1275" s="70"/>
      <c r="AL1275" s="70"/>
      <c r="AM1275" s="70"/>
      <c r="AN1275" s="70"/>
      <c r="AO1275" s="70"/>
      <c r="AP1275" s="70"/>
      <c r="AQ1275" s="70"/>
      <c r="AR1275" s="70"/>
      <c r="AS1275" s="70"/>
      <c r="AT1275" s="70"/>
      <c r="AU1275" s="70"/>
      <c r="AV1275" s="70"/>
      <c r="AW1275" s="70"/>
      <c r="AX1275" s="70"/>
    </row>
    <row r="1276" ht="15.75" customHeight="1">
      <c r="A1276" s="90" t="s">
        <v>134</v>
      </c>
      <c r="B1276" s="92" t="s">
        <v>8900</v>
      </c>
      <c r="C1276" s="28"/>
      <c r="D1276" s="28"/>
      <c r="E1276" s="28"/>
      <c r="F1276" s="28"/>
      <c r="G1276" s="28"/>
      <c r="H1276" s="28"/>
      <c r="I1276" s="28"/>
      <c r="J1276" s="28"/>
      <c r="K1276" s="28"/>
      <c r="L1276" s="28"/>
      <c r="M1276" s="28"/>
      <c r="N1276" s="28"/>
      <c r="O1276" s="96"/>
      <c r="P1276" s="96" t="s">
        <v>145</v>
      </c>
      <c r="Q1276" s="96"/>
      <c r="R1276" s="96"/>
      <c r="S1276" s="96"/>
      <c r="T1276" s="178" t="s">
        <v>139</v>
      </c>
      <c r="U1276" s="96"/>
      <c r="V1276" s="96"/>
      <c r="W1276" s="96"/>
      <c r="X1276" s="96"/>
      <c r="Y1276" s="96"/>
      <c r="Z1276" s="96"/>
      <c r="AA1276" s="96"/>
      <c r="AB1276" s="96"/>
      <c r="AC1276" s="96"/>
      <c r="AD1276" s="70"/>
      <c r="AE1276" s="70"/>
      <c r="AF1276" s="70"/>
      <c r="AG1276" s="70"/>
      <c r="AH1276" s="70"/>
      <c r="AI1276" s="70"/>
      <c r="AJ1276" s="70"/>
      <c r="AK1276" s="70"/>
      <c r="AL1276" s="70"/>
      <c r="AM1276" s="70"/>
      <c r="AN1276" s="70"/>
      <c r="AO1276" s="70"/>
      <c r="AP1276" s="70"/>
      <c r="AQ1276" s="70"/>
      <c r="AR1276" s="70"/>
      <c r="AS1276" s="70"/>
      <c r="AT1276" s="70"/>
      <c r="AU1276" s="70"/>
      <c r="AV1276" s="70"/>
      <c r="AW1276" s="70"/>
      <c r="AX1276" s="70"/>
    </row>
    <row r="1277" ht="15.75" customHeight="1">
      <c r="A1277" s="90" t="s">
        <v>78</v>
      </c>
      <c r="B1277" s="92" t="s">
        <v>8901</v>
      </c>
      <c r="C1277" s="28"/>
      <c r="D1277" s="28"/>
      <c r="E1277" s="28"/>
      <c r="F1277" s="28"/>
      <c r="G1277" s="28"/>
      <c r="H1277" s="28"/>
      <c r="I1277" s="28"/>
      <c r="J1277" s="28"/>
      <c r="K1277" s="28"/>
      <c r="L1277" s="28"/>
      <c r="M1277" s="28"/>
      <c r="N1277" s="28"/>
      <c r="O1277" s="96"/>
      <c r="P1277" s="96" t="s">
        <v>145</v>
      </c>
      <c r="Q1277" s="96"/>
      <c r="R1277" s="96"/>
      <c r="S1277" s="96"/>
      <c r="T1277" s="178" t="s">
        <v>10783</v>
      </c>
      <c r="U1277" s="96"/>
      <c r="V1277" s="96"/>
      <c r="W1277" s="96"/>
      <c r="X1277" s="96"/>
      <c r="Y1277" s="96"/>
      <c r="Z1277" s="96"/>
      <c r="AA1277" s="96"/>
      <c r="AB1277" s="96"/>
      <c r="AC1277" s="96"/>
      <c r="AD1277" s="70"/>
      <c r="AE1277" s="70"/>
      <c r="AF1277" s="70"/>
      <c r="AG1277" s="70"/>
      <c r="AH1277" s="70"/>
      <c r="AI1277" s="70"/>
      <c r="AJ1277" s="70"/>
      <c r="AK1277" s="70"/>
      <c r="AL1277" s="70"/>
      <c r="AM1277" s="70"/>
      <c r="AN1277" s="70"/>
      <c r="AO1277" s="70"/>
      <c r="AP1277" s="70"/>
      <c r="AQ1277" s="70"/>
      <c r="AR1277" s="70"/>
      <c r="AS1277" s="70"/>
      <c r="AT1277" s="70"/>
      <c r="AU1277" s="70"/>
      <c r="AV1277" s="70"/>
      <c r="AW1277" s="70"/>
      <c r="AX1277" s="70"/>
    </row>
    <row r="1278" ht="15.75" customHeight="1">
      <c r="A1278" s="221"/>
      <c r="B1278" s="222"/>
      <c r="C1278" s="28"/>
      <c r="D1278" s="28"/>
      <c r="E1278" s="28"/>
      <c r="F1278" s="28"/>
      <c r="G1278" s="28"/>
      <c r="H1278" s="28"/>
      <c r="I1278" s="28"/>
      <c r="J1278" s="28"/>
      <c r="K1278" s="28"/>
      <c r="L1278" s="28"/>
      <c r="M1278" s="28"/>
      <c r="N1278" s="28"/>
      <c r="O1278" s="70"/>
      <c r="P1278" s="70"/>
      <c r="Q1278" s="70"/>
      <c r="R1278" s="70"/>
      <c r="S1278" s="70"/>
      <c r="T1278" s="70"/>
      <c r="U1278" s="70"/>
      <c r="V1278" s="70"/>
      <c r="W1278" s="70"/>
      <c r="X1278" s="70"/>
      <c r="Y1278" s="70"/>
      <c r="Z1278" s="70"/>
      <c r="AA1278" s="70"/>
      <c r="AB1278" s="70"/>
      <c r="AC1278" s="70"/>
      <c r="AD1278" s="70"/>
      <c r="AE1278" s="70"/>
      <c r="AF1278" s="70"/>
      <c r="AG1278" s="70"/>
      <c r="AH1278" s="70"/>
      <c r="AI1278" s="70"/>
      <c r="AJ1278" s="70"/>
      <c r="AK1278" s="70"/>
      <c r="AL1278" s="70"/>
      <c r="AM1278" s="70"/>
      <c r="AN1278" s="70"/>
      <c r="AO1278" s="70"/>
      <c r="AP1278" s="70"/>
      <c r="AQ1278" s="70"/>
      <c r="AR1278" s="70"/>
      <c r="AS1278" s="70"/>
      <c r="AT1278" s="70"/>
      <c r="AU1278" s="70"/>
      <c r="AV1278" s="70"/>
      <c r="AW1278" s="70"/>
      <c r="AX1278" s="70"/>
    </row>
    <row r="1279" ht="15.75" customHeight="1">
      <c r="A1279" s="90" t="s">
        <v>134</v>
      </c>
      <c r="B1279" s="92" t="s">
        <v>8906</v>
      </c>
      <c r="C1279" s="28"/>
      <c r="D1279" s="28"/>
      <c r="E1279" s="28"/>
      <c r="F1279" s="28"/>
      <c r="G1279" s="28"/>
      <c r="H1279" s="28"/>
      <c r="I1279" s="28"/>
      <c r="J1279" s="28"/>
      <c r="K1279" s="28"/>
      <c r="L1279" s="28"/>
      <c r="M1279" s="28"/>
      <c r="N1279" s="28"/>
      <c r="O1279" s="96"/>
      <c r="P1279" s="96" t="s">
        <v>145</v>
      </c>
      <c r="Q1279" s="96"/>
      <c r="R1279" s="96"/>
      <c r="S1279" s="96"/>
      <c r="T1279" s="178" t="s">
        <v>139</v>
      </c>
      <c r="U1279" s="96"/>
      <c r="V1279" s="96"/>
      <c r="W1279" s="96"/>
      <c r="X1279" s="96"/>
      <c r="Y1279" s="96"/>
      <c r="Z1279" s="96"/>
      <c r="AA1279" s="96"/>
      <c r="AB1279" s="96"/>
      <c r="AC1279" s="96"/>
      <c r="AD1279" s="70"/>
      <c r="AE1279" s="70"/>
      <c r="AF1279" s="70"/>
      <c r="AG1279" s="70"/>
      <c r="AH1279" s="70"/>
      <c r="AI1279" s="70"/>
      <c r="AJ1279" s="70"/>
      <c r="AK1279" s="70"/>
      <c r="AL1279" s="70"/>
      <c r="AM1279" s="70"/>
      <c r="AN1279" s="70"/>
      <c r="AO1279" s="70"/>
      <c r="AP1279" s="70"/>
      <c r="AQ1279" s="70"/>
      <c r="AR1279" s="70"/>
      <c r="AS1279" s="70"/>
      <c r="AT1279" s="70"/>
      <c r="AU1279" s="70"/>
      <c r="AV1279" s="70"/>
      <c r="AW1279" s="70"/>
      <c r="AX1279" s="70"/>
    </row>
    <row r="1280" ht="15.75" customHeight="1">
      <c r="A1280" s="166" t="s">
        <v>41</v>
      </c>
      <c r="B1280" s="167" t="s">
        <v>8907</v>
      </c>
      <c r="C1280" s="28" t="s">
        <v>8914</v>
      </c>
      <c r="D1280" s="28" t="s">
        <v>8915</v>
      </c>
      <c r="E1280" s="28" t="s">
        <v>8916</v>
      </c>
      <c r="F1280" s="28"/>
      <c r="G1280" s="28"/>
      <c r="H1280" s="28"/>
      <c r="I1280" s="28"/>
      <c r="J1280" s="28"/>
      <c r="K1280" s="28"/>
      <c r="L1280" s="28"/>
      <c r="M1280" s="28"/>
      <c r="N1280" s="28"/>
      <c r="O1280" s="126"/>
      <c r="P1280" s="126" t="s">
        <v>145</v>
      </c>
      <c r="Q1280" s="126"/>
      <c r="R1280" s="126"/>
      <c r="S1280" s="126"/>
      <c r="T1280" s="126"/>
      <c r="U1280" s="126"/>
      <c r="V1280" s="126"/>
      <c r="W1280" s="126"/>
      <c r="X1280" s="126"/>
      <c r="Y1280" s="126"/>
      <c r="Z1280" s="126"/>
      <c r="AA1280" s="126"/>
      <c r="AB1280" s="126"/>
      <c r="AC1280" s="126"/>
      <c r="AD1280" s="70"/>
      <c r="AE1280" s="70"/>
      <c r="AF1280" s="70"/>
      <c r="AG1280" s="70"/>
      <c r="AH1280" s="70"/>
      <c r="AI1280" s="70"/>
      <c r="AJ1280" s="70"/>
      <c r="AK1280" s="70"/>
      <c r="AL1280" s="70"/>
      <c r="AM1280" s="70"/>
      <c r="AN1280" s="70"/>
      <c r="AO1280" s="70"/>
      <c r="AP1280" s="70"/>
      <c r="AQ1280" s="70"/>
      <c r="AR1280" s="70"/>
      <c r="AS1280" s="70"/>
      <c r="AT1280" s="70"/>
      <c r="AU1280" s="70"/>
      <c r="AV1280" s="70"/>
      <c r="AW1280" s="70"/>
      <c r="AX1280" s="70"/>
    </row>
    <row r="1281" ht="15.75" customHeight="1">
      <c r="A1281" s="170" t="s">
        <v>263</v>
      </c>
      <c r="B1281" s="171" t="s">
        <v>8917</v>
      </c>
      <c r="C1281" s="28" t="s">
        <v>8925</v>
      </c>
      <c r="D1281" s="28" t="s">
        <v>8926</v>
      </c>
      <c r="E1281" s="28" t="s">
        <v>8927</v>
      </c>
      <c r="F1281" s="28"/>
      <c r="G1281" s="28"/>
      <c r="H1281" s="28"/>
      <c r="I1281" s="28"/>
      <c r="J1281" s="28"/>
      <c r="K1281" s="28" t="s">
        <v>10784</v>
      </c>
      <c r="L1281" s="28"/>
      <c r="M1281" s="28"/>
      <c r="N1281" s="28"/>
      <c r="O1281" s="173"/>
      <c r="P1281" s="173" t="s">
        <v>145</v>
      </c>
      <c r="Q1281" s="173"/>
      <c r="R1281" s="173"/>
      <c r="S1281" s="173"/>
      <c r="T1281" s="173"/>
      <c r="U1281" s="173"/>
      <c r="V1281" s="173"/>
      <c r="W1281" s="173"/>
      <c r="X1281" s="173"/>
      <c r="Y1281" s="173"/>
      <c r="Z1281" s="173"/>
      <c r="AA1281" s="173"/>
      <c r="AB1281" s="173"/>
      <c r="AC1281" s="173"/>
      <c r="AD1281" s="70"/>
      <c r="AE1281" s="70"/>
      <c r="AF1281" s="70"/>
      <c r="AG1281" s="70"/>
      <c r="AH1281" s="70"/>
      <c r="AI1281" s="70"/>
      <c r="AJ1281" s="70"/>
      <c r="AK1281" s="70"/>
      <c r="AL1281" s="70"/>
      <c r="AM1281" s="70"/>
      <c r="AN1281" s="70"/>
      <c r="AO1281" s="70"/>
      <c r="AP1281" s="70"/>
      <c r="AQ1281" s="70"/>
      <c r="AR1281" s="70"/>
      <c r="AS1281" s="70"/>
      <c r="AT1281" s="70"/>
      <c r="AU1281" s="70"/>
      <c r="AV1281" s="70"/>
      <c r="AW1281" s="70"/>
      <c r="AX1281" s="70"/>
    </row>
    <row r="1282" ht="15.75" customHeight="1">
      <c r="A1282" s="170" t="s">
        <v>263</v>
      </c>
      <c r="B1282" s="171" t="s">
        <v>8928</v>
      </c>
      <c r="C1282" s="28" t="s">
        <v>8935</v>
      </c>
      <c r="D1282" s="28" t="s">
        <v>8936</v>
      </c>
      <c r="E1282" s="28" t="s">
        <v>8937</v>
      </c>
      <c r="F1282" s="28"/>
      <c r="G1282" s="28"/>
      <c r="H1282" s="28"/>
      <c r="I1282" s="28"/>
      <c r="J1282" s="28"/>
      <c r="K1282" s="28" t="s">
        <v>907</v>
      </c>
      <c r="L1282" s="28"/>
      <c r="M1282" s="28"/>
      <c r="N1282" s="28"/>
      <c r="O1282" s="173"/>
      <c r="P1282" s="173" t="s">
        <v>145</v>
      </c>
      <c r="Q1282" s="173" t="s">
        <v>145</v>
      </c>
      <c r="R1282" s="173"/>
      <c r="S1282" s="173"/>
      <c r="T1282" s="173"/>
      <c r="U1282" s="173"/>
      <c r="V1282" s="173"/>
      <c r="W1282" s="173"/>
      <c r="X1282" s="173"/>
      <c r="Y1282" s="173"/>
      <c r="Z1282" s="173"/>
      <c r="AA1282" s="173"/>
      <c r="AB1282" s="173"/>
      <c r="AC1282" s="173"/>
      <c r="AD1282" s="70"/>
      <c r="AE1282" s="70"/>
      <c r="AF1282" s="70"/>
      <c r="AG1282" s="70"/>
      <c r="AH1282" s="70"/>
      <c r="AI1282" s="70"/>
      <c r="AJ1282" s="70"/>
      <c r="AK1282" s="70"/>
      <c r="AL1282" s="70"/>
      <c r="AM1282" s="70"/>
      <c r="AN1282" s="70"/>
      <c r="AO1282" s="70"/>
      <c r="AP1282" s="70"/>
      <c r="AQ1282" s="70"/>
      <c r="AR1282" s="70"/>
      <c r="AS1282" s="70"/>
      <c r="AT1282" s="70"/>
      <c r="AU1282" s="70"/>
      <c r="AV1282" s="70"/>
      <c r="AW1282" s="70"/>
      <c r="AX1282" s="70"/>
    </row>
    <row r="1283" ht="15.75" customHeight="1">
      <c r="A1283" s="221"/>
      <c r="B1283" s="222"/>
      <c r="C1283" s="28"/>
      <c r="D1283" s="28"/>
      <c r="E1283" s="28"/>
      <c r="F1283" s="28"/>
      <c r="G1283" s="28"/>
      <c r="H1283" s="28"/>
      <c r="I1283" s="28"/>
      <c r="J1283" s="28"/>
      <c r="K1283" s="28"/>
      <c r="L1283" s="28"/>
      <c r="M1283" s="28"/>
      <c r="N1283" s="28"/>
      <c r="O1283" s="70"/>
      <c r="P1283" s="70"/>
      <c r="Q1283" s="70"/>
      <c r="R1283" s="70"/>
      <c r="S1283" s="70"/>
      <c r="T1283" s="70"/>
      <c r="U1283" s="70"/>
      <c r="V1283" s="70"/>
      <c r="W1283" s="70"/>
      <c r="X1283" s="70"/>
      <c r="Y1283" s="70"/>
      <c r="Z1283" s="70"/>
      <c r="AA1283" s="70"/>
      <c r="AB1283" s="70"/>
      <c r="AC1283" s="70"/>
      <c r="AD1283" s="70"/>
      <c r="AE1283" s="70"/>
      <c r="AF1283" s="70"/>
      <c r="AG1283" s="70"/>
      <c r="AH1283" s="70"/>
      <c r="AI1283" s="70"/>
      <c r="AJ1283" s="70"/>
      <c r="AK1283" s="70"/>
      <c r="AL1283" s="70"/>
      <c r="AM1283" s="70"/>
      <c r="AN1283" s="70"/>
      <c r="AO1283" s="70"/>
      <c r="AP1283" s="70"/>
      <c r="AQ1283" s="70"/>
      <c r="AR1283" s="70"/>
      <c r="AS1283" s="70"/>
      <c r="AT1283" s="70"/>
      <c r="AU1283" s="70"/>
      <c r="AV1283" s="70"/>
      <c r="AW1283" s="70"/>
      <c r="AX1283" s="70"/>
    </row>
    <row r="1284" ht="15.75" customHeight="1">
      <c r="A1284" s="174" t="s">
        <v>698</v>
      </c>
      <c r="B1284" s="175" t="s">
        <v>8939</v>
      </c>
      <c r="C1284" s="28" t="s">
        <v>8940</v>
      </c>
      <c r="D1284" s="28" t="s">
        <v>8941</v>
      </c>
      <c r="E1284" s="28" t="s">
        <v>8942</v>
      </c>
      <c r="F1284" s="28"/>
      <c r="G1284" s="28"/>
      <c r="H1284" s="28"/>
      <c r="I1284" s="28"/>
      <c r="J1284" s="28"/>
      <c r="K1284" s="28"/>
      <c r="L1284" s="28"/>
      <c r="M1284" s="28"/>
      <c r="N1284" s="28"/>
      <c r="O1284" s="177"/>
      <c r="P1284" s="176" t="s">
        <v>145</v>
      </c>
      <c r="Q1284" s="176"/>
      <c r="R1284" s="176"/>
      <c r="S1284" s="176"/>
      <c r="T1284" s="176"/>
      <c r="U1284" s="177" t="s">
        <v>10785</v>
      </c>
      <c r="V1284" s="176"/>
      <c r="W1284" s="176"/>
      <c r="X1284" s="176"/>
      <c r="Y1284" s="176"/>
      <c r="Z1284" s="176"/>
      <c r="AA1284" s="176"/>
      <c r="AB1284" s="176"/>
      <c r="AC1284" s="176"/>
      <c r="AD1284" s="70"/>
      <c r="AE1284" s="70"/>
      <c r="AF1284" s="70"/>
      <c r="AG1284" s="70"/>
      <c r="AH1284" s="70"/>
      <c r="AI1284" s="70"/>
      <c r="AJ1284" s="70"/>
      <c r="AK1284" s="70"/>
      <c r="AL1284" s="70"/>
      <c r="AM1284" s="70"/>
      <c r="AN1284" s="70"/>
      <c r="AO1284" s="70"/>
      <c r="AP1284" s="70"/>
      <c r="AQ1284" s="70"/>
      <c r="AR1284" s="70"/>
      <c r="AS1284" s="70"/>
      <c r="AT1284" s="70"/>
      <c r="AU1284" s="70"/>
      <c r="AV1284" s="70"/>
      <c r="AW1284" s="70"/>
      <c r="AX1284" s="70"/>
    </row>
    <row r="1285" ht="15.75" customHeight="1">
      <c r="A1285" s="90" t="s">
        <v>78</v>
      </c>
      <c r="B1285" s="92" t="s">
        <v>8943</v>
      </c>
      <c r="C1285" s="28"/>
      <c r="D1285" s="28"/>
      <c r="E1285" s="28"/>
      <c r="F1285" s="28"/>
      <c r="G1285" s="28"/>
      <c r="H1285" s="28"/>
      <c r="I1285" s="28"/>
      <c r="J1285" s="28"/>
      <c r="K1285" s="28"/>
      <c r="L1285" s="28"/>
      <c r="M1285" s="28"/>
      <c r="N1285" s="28"/>
      <c r="O1285" s="96"/>
      <c r="P1285" s="96" t="s">
        <v>145</v>
      </c>
      <c r="Q1285" s="96"/>
      <c r="R1285" s="96"/>
      <c r="S1285" s="96"/>
      <c r="T1285" s="178" t="s">
        <v>10786</v>
      </c>
      <c r="U1285" s="96"/>
      <c r="V1285" s="96"/>
      <c r="W1285" s="96"/>
      <c r="X1285" s="96"/>
      <c r="Y1285" s="96"/>
      <c r="Z1285" s="96"/>
      <c r="AA1285" s="96"/>
      <c r="AB1285" s="96"/>
      <c r="AC1285" s="96"/>
      <c r="AD1285" s="70"/>
      <c r="AE1285" s="70"/>
      <c r="AF1285" s="70"/>
      <c r="AG1285" s="70"/>
      <c r="AH1285" s="70"/>
      <c r="AI1285" s="70"/>
      <c r="AJ1285" s="70"/>
      <c r="AK1285" s="70"/>
      <c r="AL1285" s="70"/>
      <c r="AM1285" s="70"/>
      <c r="AN1285" s="70"/>
      <c r="AO1285" s="70"/>
      <c r="AP1285" s="70"/>
      <c r="AQ1285" s="70"/>
      <c r="AR1285" s="70"/>
      <c r="AS1285" s="70"/>
      <c r="AT1285" s="70"/>
      <c r="AU1285" s="70"/>
      <c r="AV1285" s="70"/>
      <c r="AW1285" s="70"/>
      <c r="AX1285" s="70"/>
    </row>
    <row r="1286" ht="15.75" customHeight="1">
      <c r="A1286" s="90" t="s">
        <v>78</v>
      </c>
      <c r="B1286" s="92" t="s">
        <v>8944</v>
      </c>
      <c r="C1286" s="28" t="s">
        <v>8945</v>
      </c>
      <c r="D1286" s="28" t="s">
        <v>8946</v>
      </c>
      <c r="E1286" s="28" t="s">
        <v>8947</v>
      </c>
      <c r="F1286" s="28"/>
      <c r="G1286" s="28"/>
      <c r="H1286" s="28"/>
      <c r="I1286" s="28"/>
      <c r="J1286" s="28"/>
      <c r="K1286" s="28"/>
      <c r="L1286" s="28"/>
      <c r="M1286" s="28"/>
      <c r="N1286" s="28"/>
      <c r="O1286" s="96"/>
      <c r="P1286" s="96" t="s">
        <v>145</v>
      </c>
      <c r="Q1286" s="96"/>
      <c r="R1286" s="96"/>
      <c r="S1286" s="96"/>
      <c r="T1286" s="178" t="s">
        <v>10787</v>
      </c>
      <c r="U1286" s="96"/>
      <c r="V1286" s="96"/>
      <c r="W1286" s="96"/>
      <c r="X1286" s="96"/>
      <c r="Y1286" s="96"/>
      <c r="Z1286" s="96"/>
      <c r="AA1286" s="96"/>
      <c r="AB1286" s="96"/>
      <c r="AC1286" s="96"/>
      <c r="AD1286" s="70"/>
      <c r="AE1286" s="70"/>
      <c r="AF1286" s="70"/>
      <c r="AG1286" s="70"/>
      <c r="AH1286" s="70"/>
      <c r="AI1286" s="70"/>
      <c r="AJ1286" s="70"/>
      <c r="AK1286" s="70"/>
      <c r="AL1286" s="70"/>
      <c r="AM1286" s="70"/>
      <c r="AN1286" s="70"/>
      <c r="AO1286" s="70"/>
      <c r="AP1286" s="70"/>
      <c r="AQ1286" s="70"/>
      <c r="AR1286" s="70"/>
      <c r="AS1286" s="70"/>
      <c r="AT1286" s="70"/>
      <c r="AU1286" s="70"/>
      <c r="AV1286" s="70"/>
      <c r="AW1286" s="70"/>
      <c r="AX1286" s="70"/>
    </row>
    <row r="1287" ht="15.75" customHeight="1">
      <c r="A1287" s="170" t="s">
        <v>263</v>
      </c>
      <c r="B1287" s="171" t="s">
        <v>8948</v>
      </c>
      <c r="C1287" s="28" t="s">
        <v>8953</v>
      </c>
      <c r="D1287" s="28" t="s">
        <v>8954</v>
      </c>
      <c r="E1287" s="28" t="s">
        <v>8955</v>
      </c>
      <c r="F1287" s="28"/>
      <c r="G1287" s="28"/>
      <c r="H1287" s="28"/>
      <c r="I1287" s="28"/>
      <c r="J1287" s="28"/>
      <c r="K1287" s="28" t="s">
        <v>10788</v>
      </c>
      <c r="L1287" s="28"/>
      <c r="M1287" s="28"/>
      <c r="N1287" s="28"/>
      <c r="O1287" s="173"/>
      <c r="P1287" s="173" t="s">
        <v>145</v>
      </c>
      <c r="Q1287" s="173" t="s">
        <v>145</v>
      </c>
      <c r="R1287" s="173"/>
      <c r="S1287" s="173"/>
      <c r="T1287" s="173"/>
      <c r="U1287" s="173"/>
      <c r="V1287" s="173"/>
      <c r="W1287" s="173"/>
      <c r="X1287" s="173"/>
      <c r="Y1287" s="173"/>
      <c r="Z1287" s="173"/>
      <c r="AA1287" s="173"/>
      <c r="AB1287" s="173"/>
      <c r="AC1287" s="173"/>
      <c r="AD1287" s="70"/>
      <c r="AE1287" s="70"/>
      <c r="AF1287" s="70"/>
      <c r="AG1287" s="70"/>
      <c r="AH1287" s="70"/>
      <c r="AI1287" s="70"/>
      <c r="AJ1287" s="70"/>
      <c r="AK1287" s="70"/>
      <c r="AL1287" s="70"/>
      <c r="AM1287" s="70"/>
      <c r="AN1287" s="70"/>
      <c r="AO1287" s="70"/>
      <c r="AP1287" s="70"/>
      <c r="AQ1287" s="70"/>
      <c r="AR1287" s="70"/>
      <c r="AS1287" s="70"/>
      <c r="AT1287" s="70"/>
      <c r="AU1287" s="70"/>
      <c r="AV1287" s="70"/>
      <c r="AW1287" s="70"/>
      <c r="AX1287" s="70"/>
    </row>
    <row r="1288" ht="15.75" customHeight="1">
      <c r="A1288" s="174" t="s">
        <v>1015</v>
      </c>
      <c r="B1288" s="204" t="s">
        <v>8939</v>
      </c>
      <c r="C1288" s="28" t="s">
        <v>8940</v>
      </c>
      <c r="D1288" s="28" t="s">
        <v>8941</v>
      </c>
      <c r="E1288" s="28" t="s">
        <v>8942</v>
      </c>
      <c r="F1288" s="28"/>
      <c r="G1288" s="28"/>
      <c r="H1288" s="28"/>
      <c r="I1288" s="28"/>
      <c r="J1288" s="28"/>
      <c r="K1288" s="28"/>
      <c r="L1288" s="28"/>
      <c r="M1288" s="28"/>
      <c r="N1288" s="28"/>
      <c r="O1288" s="176"/>
      <c r="P1288" s="176" t="s">
        <v>145</v>
      </c>
      <c r="Q1288" s="176"/>
      <c r="R1288" s="176"/>
      <c r="S1288" s="176"/>
      <c r="T1288" s="176"/>
      <c r="U1288" s="176"/>
      <c r="V1288" s="176"/>
      <c r="W1288" s="176"/>
      <c r="X1288" s="176"/>
      <c r="Y1288" s="176"/>
      <c r="Z1288" s="176"/>
      <c r="AA1288" s="176"/>
      <c r="AB1288" s="176"/>
      <c r="AC1288" s="176"/>
      <c r="AD1288" s="70"/>
      <c r="AE1288" s="70"/>
      <c r="AF1288" s="70"/>
      <c r="AG1288" s="70"/>
      <c r="AH1288" s="70"/>
      <c r="AI1288" s="70"/>
      <c r="AJ1288" s="70"/>
      <c r="AK1288" s="70"/>
      <c r="AL1288" s="70"/>
      <c r="AM1288" s="70"/>
      <c r="AN1288" s="70"/>
      <c r="AO1288" s="70"/>
      <c r="AP1288" s="70"/>
      <c r="AQ1288" s="70"/>
      <c r="AR1288" s="70"/>
      <c r="AS1288" s="70"/>
      <c r="AT1288" s="70"/>
      <c r="AU1288" s="70"/>
      <c r="AV1288" s="70"/>
      <c r="AW1288" s="70"/>
      <c r="AX1288" s="70"/>
    </row>
    <row r="1289" ht="15.75" customHeight="1">
      <c r="A1289" s="166" t="s">
        <v>41</v>
      </c>
      <c r="B1289" s="167" t="s">
        <v>8956</v>
      </c>
      <c r="C1289" s="28" t="s">
        <v>8965</v>
      </c>
      <c r="D1289" s="28" t="s">
        <v>8966</v>
      </c>
      <c r="E1289" s="28" t="s">
        <v>8967</v>
      </c>
      <c r="F1289" s="28"/>
      <c r="G1289" s="28"/>
      <c r="H1289" s="28"/>
      <c r="I1289" s="28"/>
      <c r="J1289" s="28"/>
      <c r="K1289" s="28"/>
      <c r="L1289" s="28"/>
      <c r="M1289" s="28"/>
      <c r="N1289" s="28"/>
      <c r="O1289" s="126"/>
      <c r="P1289" s="126" t="s">
        <v>145</v>
      </c>
      <c r="Q1289" s="126"/>
      <c r="R1289" s="126"/>
      <c r="S1289" s="126"/>
      <c r="T1289" s="126"/>
      <c r="U1289" s="126"/>
      <c r="V1289" s="126"/>
      <c r="W1289" s="126"/>
      <c r="X1289" s="126"/>
      <c r="Y1289" s="126"/>
      <c r="Z1289" s="126"/>
      <c r="AA1289" s="126"/>
      <c r="AB1289" s="126"/>
      <c r="AC1289" s="126"/>
      <c r="AD1289" s="70"/>
      <c r="AE1289" s="70"/>
      <c r="AF1289" s="70"/>
      <c r="AG1289" s="70"/>
      <c r="AH1289" s="70"/>
      <c r="AI1289" s="70"/>
      <c r="AJ1289" s="70"/>
      <c r="AK1289" s="70"/>
      <c r="AL1289" s="70"/>
      <c r="AM1289" s="70"/>
      <c r="AN1289" s="70"/>
      <c r="AO1289" s="70"/>
      <c r="AP1289" s="70"/>
      <c r="AQ1289" s="70"/>
      <c r="AR1289" s="70"/>
      <c r="AS1289" s="70"/>
      <c r="AT1289" s="70"/>
      <c r="AU1289" s="70"/>
      <c r="AV1289" s="70"/>
      <c r="AW1289" s="70"/>
      <c r="AX1289" s="70"/>
    </row>
    <row r="1290" ht="15.75" customHeight="1">
      <c r="A1290" s="68" t="s">
        <v>463</v>
      </c>
      <c r="B1290" s="169" t="s">
        <v>8968</v>
      </c>
      <c r="C1290" s="28" t="s">
        <v>8972</v>
      </c>
      <c r="D1290" s="28" t="s">
        <v>8973</v>
      </c>
      <c r="E1290" s="28" t="s">
        <v>8975</v>
      </c>
      <c r="F1290" s="28"/>
      <c r="G1290" s="28"/>
      <c r="H1290" s="28"/>
      <c r="I1290" s="28"/>
      <c r="J1290" s="28"/>
      <c r="K1290" s="28"/>
      <c r="L1290" s="28"/>
      <c r="M1290" s="28"/>
      <c r="N1290" s="28"/>
      <c r="O1290" s="67" t="s">
        <v>10789</v>
      </c>
      <c r="P1290" s="67" t="s">
        <v>145</v>
      </c>
      <c r="Q1290" s="67" t="s">
        <v>145</v>
      </c>
      <c r="R1290" s="67"/>
      <c r="S1290" s="67"/>
      <c r="T1290" s="67"/>
      <c r="U1290" s="67"/>
      <c r="V1290" s="67"/>
      <c r="W1290" s="67"/>
      <c r="X1290" s="67"/>
      <c r="Y1290" s="67"/>
      <c r="Z1290" s="67"/>
      <c r="AA1290" s="67"/>
      <c r="AB1290" s="67"/>
      <c r="AC1290" s="67"/>
      <c r="AD1290" s="70"/>
      <c r="AE1290" s="70"/>
      <c r="AF1290" s="70"/>
      <c r="AG1290" s="70"/>
      <c r="AH1290" s="70"/>
      <c r="AI1290" s="70"/>
      <c r="AJ1290" s="70"/>
      <c r="AK1290" s="70"/>
      <c r="AL1290" s="70"/>
      <c r="AM1290" s="70"/>
      <c r="AN1290" s="70"/>
      <c r="AO1290" s="70"/>
      <c r="AP1290" s="70"/>
      <c r="AQ1290" s="70"/>
      <c r="AR1290" s="70"/>
      <c r="AS1290" s="70"/>
      <c r="AT1290" s="70"/>
      <c r="AU1290" s="70"/>
      <c r="AV1290" s="70"/>
      <c r="AW1290" s="70"/>
      <c r="AX1290" s="70"/>
    </row>
    <row r="1291" ht="15.75" customHeight="1">
      <c r="A1291" s="170" t="s">
        <v>263</v>
      </c>
      <c r="B1291" s="171" t="s">
        <v>8979</v>
      </c>
      <c r="C1291" s="28" t="s">
        <v>8983</v>
      </c>
      <c r="D1291" s="28" t="s">
        <v>8984</v>
      </c>
      <c r="E1291" s="28" t="s">
        <v>8985</v>
      </c>
      <c r="F1291" s="28"/>
      <c r="G1291" s="28"/>
      <c r="H1291" s="28"/>
      <c r="I1291" s="28"/>
      <c r="J1291" s="28"/>
      <c r="K1291" s="28"/>
      <c r="L1291" s="28"/>
      <c r="M1291" s="28"/>
      <c r="N1291" s="28"/>
      <c r="O1291" s="173" t="s">
        <v>10790</v>
      </c>
      <c r="P1291" s="173" t="s">
        <v>145</v>
      </c>
      <c r="Q1291" s="173" t="s">
        <v>145</v>
      </c>
      <c r="R1291" s="173"/>
      <c r="S1291" s="173"/>
      <c r="T1291" s="173"/>
      <c r="U1291" s="173"/>
      <c r="V1291" s="173"/>
      <c r="W1291" s="173"/>
      <c r="X1291" s="173"/>
      <c r="Y1291" s="173"/>
      <c r="Z1291" s="173"/>
      <c r="AA1291" s="173"/>
      <c r="AB1291" s="173"/>
      <c r="AC1291" s="173"/>
      <c r="AD1291" s="70"/>
      <c r="AE1291" s="70"/>
      <c r="AF1291" s="70"/>
      <c r="AG1291" s="70"/>
      <c r="AH1291" s="70"/>
      <c r="AI1291" s="70"/>
      <c r="AJ1291" s="70"/>
      <c r="AK1291" s="70"/>
      <c r="AL1291" s="70"/>
      <c r="AM1291" s="70"/>
      <c r="AN1291" s="70"/>
      <c r="AO1291" s="70"/>
      <c r="AP1291" s="70"/>
      <c r="AQ1291" s="70"/>
      <c r="AR1291" s="70"/>
      <c r="AS1291" s="70"/>
      <c r="AT1291" s="70"/>
      <c r="AU1291" s="70"/>
      <c r="AV1291" s="70"/>
      <c r="AW1291" s="70"/>
      <c r="AX1291" s="70"/>
    </row>
    <row r="1292" ht="15.75" customHeight="1">
      <c r="A1292" s="170" t="s">
        <v>263</v>
      </c>
      <c r="B1292" s="171" t="s">
        <v>8986</v>
      </c>
      <c r="C1292" s="28" t="s">
        <v>8993</v>
      </c>
      <c r="D1292" s="28" t="s">
        <v>8994</v>
      </c>
      <c r="E1292" s="28" t="s">
        <v>8995</v>
      </c>
      <c r="F1292" s="28"/>
      <c r="G1292" s="28"/>
      <c r="H1292" s="28"/>
      <c r="I1292" s="28"/>
      <c r="J1292" s="28"/>
      <c r="K1292" s="28" t="s">
        <v>10788</v>
      </c>
      <c r="L1292" s="28"/>
      <c r="M1292" s="28"/>
      <c r="N1292" s="28"/>
      <c r="O1292" s="173" t="s">
        <v>10790</v>
      </c>
      <c r="P1292" s="173" t="s">
        <v>145</v>
      </c>
      <c r="Q1292" s="173" t="s">
        <v>145</v>
      </c>
      <c r="R1292" s="173"/>
      <c r="S1292" s="173"/>
      <c r="T1292" s="173"/>
      <c r="U1292" s="173"/>
      <c r="V1292" s="173"/>
      <c r="W1292" s="173"/>
      <c r="X1292" s="173"/>
      <c r="Y1292" s="173"/>
      <c r="Z1292" s="173"/>
      <c r="AA1292" s="173"/>
      <c r="AB1292" s="173"/>
      <c r="AC1292" s="173"/>
      <c r="AD1292" s="70"/>
      <c r="AE1292" s="70"/>
      <c r="AF1292" s="70"/>
      <c r="AG1292" s="70"/>
      <c r="AH1292" s="70"/>
      <c r="AI1292" s="70"/>
      <c r="AJ1292" s="70"/>
      <c r="AK1292" s="70"/>
      <c r="AL1292" s="70"/>
      <c r="AM1292" s="70"/>
      <c r="AN1292" s="70"/>
      <c r="AO1292" s="70"/>
      <c r="AP1292" s="70"/>
      <c r="AQ1292" s="70"/>
      <c r="AR1292" s="70"/>
      <c r="AS1292" s="70"/>
      <c r="AT1292" s="70"/>
      <c r="AU1292" s="70"/>
      <c r="AV1292" s="70"/>
      <c r="AW1292" s="70"/>
      <c r="AX1292" s="70"/>
    </row>
    <row r="1293" ht="15.75" customHeight="1">
      <c r="A1293" s="170" t="s">
        <v>263</v>
      </c>
      <c r="B1293" s="171" t="s">
        <v>8996</v>
      </c>
      <c r="C1293" s="28" t="s">
        <v>9001</v>
      </c>
      <c r="D1293" s="28" t="s">
        <v>9002</v>
      </c>
      <c r="E1293" s="28" t="s">
        <v>9003</v>
      </c>
      <c r="F1293" s="28"/>
      <c r="G1293" s="28"/>
      <c r="H1293" s="28"/>
      <c r="I1293" s="28"/>
      <c r="J1293" s="28"/>
      <c r="K1293" s="28"/>
      <c r="L1293" s="28"/>
      <c r="M1293" s="28"/>
      <c r="N1293" s="28"/>
      <c r="O1293" s="173" t="s">
        <v>10790</v>
      </c>
      <c r="P1293" s="173" t="s">
        <v>145</v>
      </c>
      <c r="Q1293" s="173" t="s">
        <v>145</v>
      </c>
      <c r="R1293" s="173"/>
      <c r="S1293" s="173"/>
      <c r="T1293" s="173"/>
      <c r="U1293" s="173"/>
      <c r="V1293" s="173"/>
      <c r="W1293" s="173"/>
      <c r="X1293" s="173"/>
      <c r="Y1293" s="173"/>
      <c r="Z1293" s="173"/>
      <c r="AA1293" s="173"/>
      <c r="AB1293" s="173"/>
      <c r="AC1293" s="173"/>
      <c r="AD1293" s="70"/>
      <c r="AE1293" s="70"/>
      <c r="AF1293" s="70"/>
      <c r="AG1293" s="70"/>
      <c r="AH1293" s="70"/>
      <c r="AI1293" s="70"/>
      <c r="AJ1293" s="70"/>
      <c r="AK1293" s="70"/>
      <c r="AL1293" s="70"/>
      <c r="AM1293" s="70"/>
      <c r="AN1293" s="70"/>
      <c r="AO1293" s="70"/>
      <c r="AP1293" s="70"/>
      <c r="AQ1293" s="70"/>
      <c r="AR1293" s="70"/>
      <c r="AS1293" s="70"/>
      <c r="AT1293" s="70"/>
      <c r="AU1293" s="70"/>
      <c r="AV1293" s="70"/>
      <c r="AW1293" s="70"/>
      <c r="AX1293" s="70"/>
    </row>
    <row r="1294" ht="15.75" customHeight="1">
      <c r="A1294" s="90" t="s">
        <v>78</v>
      </c>
      <c r="B1294" s="92" t="s">
        <v>9005</v>
      </c>
      <c r="C1294" s="28" t="s">
        <v>9007</v>
      </c>
      <c r="D1294" s="28" t="s">
        <v>9009</v>
      </c>
      <c r="E1294" s="28" t="s">
        <v>9010</v>
      </c>
      <c r="F1294" s="28"/>
      <c r="G1294" s="28"/>
      <c r="H1294" s="28"/>
      <c r="I1294" s="28"/>
      <c r="J1294" s="28"/>
      <c r="K1294" s="28"/>
      <c r="L1294" s="28"/>
      <c r="M1294" s="28"/>
      <c r="N1294" s="28"/>
      <c r="O1294" s="96"/>
      <c r="P1294" s="96" t="s">
        <v>145</v>
      </c>
      <c r="Q1294" s="96"/>
      <c r="R1294" s="96"/>
      <c r="S1294" s="96"/>
      <c r="T1294" s="178" t="s">
        <v>10791</v>
      </c>
      <c r="U1294" s="96"/>
      <c r="V1294" s="96"/>
      <c r="W1294" s="96"/>
      <c r="X1294" s="96"/>
      <c r="Y1294" s="96"/>
      <c r="Z1294" s="96"/>
      <c r="AA1294" s="96"/>
      <c r="AB1294" s="96"/>
      <c r="AC1294" s="96"/>
      <c r="AD1294" s="70"/>
      <c r="AE1294" s="70"/>
      <c r="AF1294" s="70"/>
      <c r="AG1294" s="70"/>
      <c r="AH1294" s="70"/>
      <c r="AI1294" s="70"/>
      <c r="AJ1294" s="70"/>
      <c r="AK1294" s="70"/>
      <c r="AL1294" s="70"/>
      <c r="AM1294" s="70"/>
      <c r="AN1294" s="70"/>
      <c r="AO1294" s="70"/>
      <c r="AP1294" s="70"/>
      <c r="AQ1294" s="70"/>
      <c r="AR1294" s="70"/>
      <c r="AS1294" s="70"/>
      <c r="AT1294" s="70"/>
      <c r="AU1294" s="70"/>
      <c r="AV1294" s="70"/>
      <c r="AW1294" s="70"/>
      <c r="AX1294" s="70"/>
    </row>
    <row r="1295" ht="15.75" customHeight="1">
      <c r="A1295" s="68" t="s">
        <v>463</v>
      </c>
      <c r="B1295" s="169" t="s">
        <v>9011</v>
      </c>
      <c r="C1295" s="28" t="s">
        <v>9015</v>
      </c>
      <c r="D1295" s="28" t="s">
        <v>9016</v>
      </c>
      <c r="E1295" s="28" t="s">
        <v>9018</v>
      </c>
      <c r="F1295" s="28"/>
      <c r="G1295" s="28"/>
      <c r="H1295" s="28"/>
      <c r="I1295" s="28"/>
      <c r="J1295" s="28"/>
      <c r="K1295" s="28" t="s">
        <v>7067</v>
      </c>
      <c r="L1295" s="28" t="s">
        <v>10792</v>
      </c>
      <c r="M1295" s="28"/>
      <c r="N1295" s="28"/>
      <c r="O1295" s="67"/>
      <c r="P1295" s="67" t="s">
        <v>145</v>
      </c>
      <c r="Q1295" s="67" t="s">
        <v>145</v>
      </c>
      <c r="R1295" s="67"/>
      <c r="S1295" s="67"/>
      <c r="T1295" s="67"/>
      <c r="U1295" s="67"/>
      <c r="V1295" s="67"/>
      <c r="W1295" s="67"/>
      <c r="X1295" s="67"/>
      <c r="Y1295" s="67"/>
      <c r="Z1295" s="67"/>
      <c r="AA1295" s="67"/>
      <c r="AB1295" s="67"/>
      <c r="AC1295" s="67"/>
      <c r="AD1295" s="70"/>
      <c r="AE1295" s="70"/>
      <c r="AF1295" s="70"/>
      <c r="AG1295" s="70"/>
      <c r="AH1295" s="70"/>
      <c r="AI1295" s="70"/>
      <c r="AJ1295" s="70"/>
      <c r="AK1295" s="70"/>
      <c r="AL1295" s="70"/>
      <c r="AM1295" s="70"/>
      <c r="AN1295" s="70"/>
      <c r="AO1295" s="70"/>
      <c r="AP1295" s="70"/>
      <c r="AQ1295" s="70"/>
      <c r="AR1295" s="70"/>
      <c r="AS1295" s="70"/>
      <c r="AT1295" s="70"/>
      <c r="AU1295" s="70"/>
      <c r="AV1295" s="70"/>
      <c r="AW1295" s="70"/>
      <c r="AX1295" s="70"/>
    </row>
    <row r="1296" ht="15.75" customHeight="1">
      <c r="A1296" s="166" t="s">
        <v>41</v>
      </c>
      <c r="B1296" s="167" t="s">
        <v>9019</v>
      </c>
      <c r="C1296" s="28" t="s">
        <v>9023</v>
      </c>
      <c r="D1296" s="28" t="s">
        <v>9024</v>
      </c>
      <c r="E1296" s="28" t="s">
        <v>9025</v>
      </c>
      <c r="F1296" s="28"/>
      <c r="G1296" s="28"/>
      <c r="H1296" s="28"/>
      <c r="I1296" s="28"/>
      <c r="J1296" s="28"/>
      <c r="K1296" s="28"/>
      <c r="L1296" s="28"/>
      <c r="M1296" s="28"/>
      <c r="N1296" s="28"/>
      <c r="O1296" s="126"/>
      <c r="P1296" s="126" t="s">
        <v>145</v>
      </c>
      <c r="Q1296" s="126"/>
      <c r="R1296" s="126"/>
      <c r="S1296" s="126"/>
      <c r="T1296" s="126"/>
      <c r="U1296" s="126"/>
      <c r="V1296" s="126"/>
      <c r="W1296" s="126"/>
      <c r="X1296" s="126"/>
      <c r="Y1296" s="126"/>
      <c r="Z1296" s="126"/>
      <c r="AA1296" s="126"/>
      <c r="AB1296" s="126"/>
      <c r="AC1296" s="126"/>
      <c r="AD1296" s="70"/>
      <c r="AE1296" s="70"/>
      <c r="AF1296" s="70"/>
      <c r="AG1296" s="70"/>
      <c r="AH1296" s="70"/>
      <c r="AI1296" s="70"/>
      <c r="AJ1296" s="70"/>
      <c r="AK1296" s="70"/>
      <c r="AL1296" s="70"/>
      <c r="AM1296" s="70"/>
      <c r="AN1296" s="70"/>
      <c r="AO1296" s="70"/>
      <c r="AP1296" s="70"/>
      <c r="AQ1296" s="70"/>
      <c r="AR1296" s="70"/>
      <c r="AS1296" s="70"/>
      <c r="AT1296" s="70"/>
      <c r="AU1296" s="70"/>
      <c r="AV1296" s="70"/>
      <c r="AW1296" s="70"/>
      <c r="AX1296" s="70"/>
    </row>
    <row r="1297" ht="15.75" customHeight="1">
      <c r="A1297" s="68" t="s">
        <v>463</v>
      </c>
      <c r="B1297" s="169" t="s">
        <v>9026</v>
      </c>
      <c r="C1297" s="28" t="s">
        <v>9031</v>
      </c>
      <c r="D1297" s="28" t="s">
        <v>9032</v>
      </c>
      <c r="E1297" s="28" t="s">
        <v>9033</v>
      </c>
      <c r="F1297" s="28"/>
      <c r="G1297" s="28"/>
      <c r="H1297" s="28"/>
      <c r="I1297" s="28"/>
      <c r="J1297" s="28"/>
      <c r="K1297" s="28"/>
      <c r="L1297" s="28"/>
      <c r="M1297" s="28"/>
      <c r="N1297" s="28"/>
      <c r="O1297" s="67"/>
      <c r="P1297" s="67" t="s">
        <v>145</v>
      </c>
      <c r="Q1297" s="67"/>
      <c r="R1297" s="67"/>
      <c r="S1297" s="67"/>
      <c r="T1297" s="67"/>
      <c r="U1297" s="67"/>
      <c r="V1297" s="67"/>
      <c r="W1297" s="67"/>
      <c r="X1297" s="67"/>
      <c r="Y1297" s="67"/>
      <c r="Z1297" s="67"/>
      <c r="AA1297" s="67"/>
      <c r="AB1297" s="67"/>
      <c r="AC1297" s="67"/>
      <c r="AD1297" s="70"/>
      <c r="AE1297" s="70"/>
      <c r="AF1297" s="70"/>
      <c r="AG1297" s="70"/>
      <c r="AH1297" s="70"/>
      <c r="AI1297" s="70"/>
      <c r="AJ1297" s="70"/>
      <c r="AK1297" s="70"/>
      <c r="AL1297" s="70"/>
      <c r="AM1297" s="70"/>
      <c r="AN1297" s="70"/>
      <c r="AO1297" s="70"/>
      <c r="AP1297" s="70"/>
      <c r="AQ1297" s="70"/>
      <c r="AR1297" s="70"/>
      <c r="AS1297" s="70"/>
      <c r="AT1297" s="70"/>
      <c r="AU1297" s="70"/>
      <c r="AV1297" s="70"/>
      <c r="AW1297" s="70"/>
      <c r="AX1297" s="70"/>
    </row>
    <row r="1298" ht="15.75" customHeight="1">
      <c r="A1298" s="90" t="s">
        <v>134</v>
      </c>
      <c r="B1298" s="92" t="s">
        <v>9035</v>
      </c>
      <c r="C1298" s="28"/>
      <c r="D1298" s="28"/>
      <c r="E1298" s="28"/>
      <c r="F1298" s="28"/>
      <c r="G1298" s="28"/>
      <c r="H1298" s="28"/>
      <c r="I1298" s="28"/>
      <c r="J1298" s="28"/>
      <c r="K1298" s="28"/>
      <c r="L1298" s="28"/>
      <c r="M1298" s="28"/>
      <c r="N1298" s="28"/>
      <c r="O1298" s="96"/>
      <c r="P1298" s="96" t="s">
        <v>145</v>
      </c>
      <c r="Q1298" s="96"/>
      <c r="R1298" s="96"/>
      <c r="S1298" s="96"/>
      <c r="T1298" s="178" t="s">
        <v>139</v>
      </c>
      <c r="U1298" s="96"/>
      <c r="V1298" s="96"/>
      <c r="W1298" s="96"/>
      <c r="X1298" s="96"/>
      <c r="Y1298" s="96"/>
      <c r="Z1298" s="96"/>
      <c r="AA1298" s="96"/>
      <c r="AB1298" s="96"/>
      <c r="AC1298" s="96"/>
      <c r="AD1298" s="70"/>
      <c r="AE1298" s="70"/>
      <c r="AF1298" s="70"/>
      <c r="AG1298" s="70"/>
      <c r="AH1298" s="70"/>
      <c r="AI1298" s="70"/>
      <c r="AJ1298" s="70"/>
      <c r="AK1298" s="70"/>
      <c r="AL1298" s="70"/>
      <c r="AM1298" s="70"/>
      <c r="AN1298" s="70"/>
      <c r="AO1298" s="70"/>
      <c r="AP1298" s="70"/>
      <c r="AQ1298" s="70"/>
      <c r="AR1298" s="70"/>
      <c r="AS1298" s="70"/>
      <c r="AT1298" s="70"/>
      <c r="AU1298" s="70"/>
      <c r="AV1298" s="70"/>
      <c r="AW1298" s="70"/>
      <c r="AX1298" s="70"/>
    </row>
    <row r="1299" ht="15.75" customHeight="1">
      <c r="A1299" s="90" t="s">
        <v>78</v>
      </c>
      <c r="B1299" s="92" t="s">
        <v>9038</v>
      </c>
      <c r="C1299" s="28"/>
      <c r="D1299" s="28"/>
      <c r="E1299" s="28"/>
      <c r="F1299" s="28"/>
      <c r="G1299" s="28"/>
      <c r="H1299" s="28"/>
      <c r="I1299" s="28"/>
      <c r="J1299" s="28"/>
      <c r="K1299" s="28"/>
      <c r="L1299" s="28"/>
      <c r="M1299" s="28"/>
      <c r="N1299" s="28"/>
      <c r="O1299" s="96"/>
      <c r="P1299" s="96" t="s">
        <v>145</v>
      </c>
      <c r="Q1299" s="96"/>
      <c r="R1299" s="96"/>
      <c r="S1299" s="96"/>
      <c r="T1299" s="178" t="s">
        <v>10793</v>
      </c>
      <c r="U1299" s="96"/>
      <c r="V1299" s="96"/>
      <c r="W1299" s="96"/>
      <c r="X1299" s="96"/>
      <c r="Y1299" s="96"/>
      <c r="Z1299" s="96"/>
      <c r="AA1299" s="96"/>
      <c r="AB1299" s="96"/>
      <c r="AC1299" s="96"/>
      <c r="AD1299" s="70"/>
      <c r="AE1299" s="70"/>
      <c r="AF1299" s="70"/>
      <c r="AG1299" s="70"/>
      <c r="AH1299" s="70"/>
      <c r="AI1299" s="70"/>
      <c r="AJ1299" s="70"/>
      <c r="AK1299" s="70"/>
      <c r="AL1299" s="70"/>
      <c r="AM1299" s="70"/>
      <c r="AN1299" s="70"/>
      <c r="AO1299" s="70"/>
      <c r="AP1299" s="70"/>
      <c r="AQ1299" s="70"/>
      <c r="AR1299" s="70"/>
      <c r="AS1299" s="70"/>
      <c r="AT1299" s="70"/>
      <c r="AU1299" s="70"/>
      <c r="AV1299" s="70"/>
      <c r="AW1299" s="70"/>
      <c r="AX1299" s="70"/>
    </row>
    <row r="1300" ht="15.75" customHeight="1">
      <c r="A1300" s="90" t="s">
        <v>134</v>
      </c>
      <c r="B1300" s="92" t="s">
        <v>9039</v>
      </c>
      <c r="C1300" s="28"/>
      <c r="D1300" s="28"/>
      <c r="E1300" s="28"/>
      <c r="F1300" s="28"/>
      <c r="G1300" s="28"/>
      <c r="H1300" s="28"/>
      <c r="I1300" s="28"/>
      <c r="J1300" s="28"/>
      <c r="K1300" s="28"/>
      <c r="L1300" s="28"/>
      <c r="M1300" s="28"/>
      <c r="N1300" s="28"/>
      <c r="O1300" s="96"/>
      <c r="P1300" s="96" t="s">
        <v>145</v>
      </c>
      <c r="Q1300" s="96"/>
      <c r="R1300" s="96"/>
      <c r="S1300" s="96"/>
      <c r="T1300" s="178" t="s">
        <v>139</v>
      </c>
      <c r="U1300" s="96"/>
      <c r="V1300" s="96"/>
      <c r="W1300" s="96"/>
      <c r="X1300" s="96"/>
      <c r="Y1300" s="96"/>
      <c r="Z1300" s="96"/>
      <c r="AA1300" s="96"/>
      <c r="AB1300" s="96"/>
      <c r="AC1300" s="96"/>
      <c r="AD1300" s="70"/>
      <c r="AE1300" s="70"/>
      <c r="AF1300" s="70"/>
      <c r="AG1300" s="70"/>
      <c r="AH1300" s="70"/>
      <c r="AI1300" s="70"/>
      <c r="AJ1300" s="70"/>
      <c r="AK1300" s="70"/>
      <c r="AL1300" s="70"/>
      <c r="AM1300" s="70"/>
      <c r="AN1300" s="70"/>
      <c r="AO1300" s="70"/>
      <c r="AP1300" s="70"/>
      <c r="AQ1300" s="70"/>
      <c r="AR1300" s="70"/>
      <c r="AS1300" s="70"/>
      <c r="AT1300" s="70"/>
      <c r="AU1300" s="70"/>
      <c r="AV1300" s="70"/>
      <c r="AW1300" s="70"/>
      <c r="AX1300" s="70"/>
    </row>
    <row r="1301" ht="15.75" customHeight="1">
      <c r="A1301" s="174" t="s">
        <v>698</v>
      </c>
      <c r="B1301" s="175" t="s">
        <v>9040</v>
      </c>
      <c r="C1301" s="28" t="s">
        <v>9042</v>
      </c>
      <c r="D1301" s="28" t="s">
        <v>9043</v>
      </c>
      <c r="E1301" s="28" t="s">
        <v>9044</v>
      </c>
      <c r="F1301" s="28"/>
      <c r="G1301" s="28"/>
      <c r="H1301" s="28"/>
      <c r="I1301" s="28"/>
      <c r="J1301" s="28"/>
      <c r="K1301" s="28"/>
      <c r="L1301" s="28"/>
      <c r="M1301" s="28"/>
      <c r="N1301" s="28"/>
      <c r="O1301" s="177" t="s">
        <v>10794</v>
      </c>
      <c r="P1301" s="176" t="s">
        <v>145</v>
      </c>
      <c r="Q1301" s="176"/>
      <c r="R1301" s="176"/>
      <c r="S1301" s="176"/>
      <c r="T1301" s="176"/>
      <c r="U1301" s="177" t="s">
        <v>10676</v>
      </c>
      <c r="V1301" s="176"/>
      <c r="W1301" s="176"/>
      <c r="X1301" s="176"/>
      <c r="Y1301" s="176"/>
      <c r="Z1301" s="176"/>
      <c r="AA1301" s="176"/>
      <c r="AB1301" s="176"/>
      <c r="AC1301" s="176"/>
      <c r="AD1301" s="70"/>
      <c r="AE1301" s="70"/>
      <c r="AF1301" s="70"/>
      <c r="AG1301" s="70"/>
      <c r="AH1301" s="70"/>
      <c r="AI1301" s="70"/>
      <c r="AJ1301" s="70"/>
      <c r="AK1301" s="70"/>
      <c r="AL1301" s="70"/>
      <c r="AM1301" s="70"/>
      <c r="AN1301" s="70"/>
      <c r="AO1301" s="70"/>
      <c r="AP1301" s="70"/>
      <c r="AQ1301" s="70"/>
      <c r="AR1301" s="70"/>
      <c r="AS1301" s="70"/>
      <c r="AT1301" s="70"/>
      <c r="AU1301" s="70"/>
      <c r="AV1301" s="70"/>
      <c r="AW1301" s="70"/>
      <c r="AX1301" s="70"/>
    </row>
    <row r="1302" ht="15.75" customHeight="1">
      <c r="A1302" s="90" t="s">
        <v>78</v>
      </c>
      <c r="B1302" s="92" t="s">
        <v>9048</v>
      </c>
      <c r="C1302" s="28"/>
      <c r="D1302" s="28"/>
      <c r="E1302" s="28"/>
      <c r="F1302" s="28"/>
      <c r="G1302" s="28"/>
      <c r="H1302" s="28"/>
      <c r="I1302" s="28"/>
      <c r="J1302" s="28"/>
      <c r="K1302" s="28"/>
      <c r="L1302" s="28"/>
      <c r="M1302" s="28"/>
      <c r="N1302" s="28"/>
      <c r="O1302" s="96"/>
      <c r="P1302" s="96" t="s">
        <v>145</v>
      </c>
      <c r="Q1302" s="96"/>
      <c r="R1302" s="96"/>
      <c r="S1302" s="96"/>
      <c r="T1302" s="178" t="s">
        <v>10795</v>
      </c>
      <c r="U1302" s="96"/>
      <c r="V1302" s="96"/>
      <c r="W1302" s="96"/>
      <c r="X1302" s="96"/>
      <c r="Y1302" s="96"/>
      <c r="Z1302" s="96"/>
      <c r="AA1302" s="96"/>
      <c r="AB1302" s="96"/>
      <c r="AC1302" s="96"/>
      <c r="AD1302" s="70"/>
      <c r="AE1302" s="70"/>
      <c r="AF1302" s="70"/>
      <c r="AG1302" s="70"/>
      <c r="AH1302" s="70"/>
      <c r="AI1302" s="70"/>
      <c r="AJ1302" s="70"/>
      <c r="AK1302" s="70"/>
      <c r="AL1302" s="70"/>
      <c r="AM1302" s="70"/>
      <c r="AN1302" s="70"/>
      <c r="AO1302" s="70"/>
      <c r="AP1302" s="70"/>
      <c r="AQ1302" s="70"/>
      <c r="AR1302" s="70"/>
      <c r="AS1302" s="70"/>
      <c r="AT1302" s="70"/>
      <c r="AU1302" s="70"/>
      <c r="AV1302" s="70"/>
      <c r="AW1302" s="70"/>
      <c r="AX1302" s="70"/>
    </row>
    <row r="1303" ht="15.75" customHeight="1">
      <c r="A1303" s="90" t="s">
        <v>78</v>
      </c>
      <c r="B1303" s="92" t="s">
        <v>9049</v>
      </c>
      <c r="C1303" s="28"/>
      <c r="D1303" s="28"/>
      <c r="E1303" s="28"/>
      <c r="F1303" s="28"/>
      <c r="G1303" s="28"/>
      <c r="H1303" s="28"/>
      <c r="I1303" s="28"/>
      <c r="J1303" s="28"/>
      <c r="K1303" s="28"/>
      <c r="L1303" s="28"/>
      <c r="M1303" s="28"/>
      <c r="N1303" s="28"/>
      <c r="O1303" s="96"/>
      <c r="P1303" s="96" t="s">
        <v>145</v>
      </c>
      <c r="Q1303" s="96"/>
      <c r="R1303" s="96"/>
      <c r="S1303" s="96"/>
      <c r="T1303" s="178" t="s">
        <v>10796</v>
      </c>
      <c r="U1303" s="96"/>
      <c r="V1303" s="96"/>
      <c r="W1303" s="96"/>
      <c r="X1303" s="96"/>
      <c r="Y1303" s="96"/>
      <c r="Z1303" s="96"/>
      <c r="AA1303" s="96"/>
      <c r="AB1303" s="96"/>
      <c r="AC1303" s="96"/>
      <c r="AD1303" s="70"/>
      <c r="AE1303" s="70"/>
      <c r="AF1303" s="70"/>
      <c r="AG1303" s="70"/>
      <c r="AH1303" s="70"/>
      <c r="AI1303" s="70"/>
      <c r="AJ1303" s="70"/>
      <c r="AK1303" s="70"/>
      <c r="AL1303" s="70"/>
      <c r="AM1303" s="70"/>
      <c r="AN1303" s="70"/>
      <c r="AO1303" s="70"/>
      <c r="AP1303" s="70"/>
      <c r="AQ1303" s="70"/>
      <c r="AR1303" s="70"/>
      <c r="AS1303" s="70"/>
      <c r="AT1303" s="70"/>
      <c r="AU1303" s="70"/>
      <c r="AV1303" s="70"/>
      <c r="AW1303" s="70"/>
      <c r="AX1303" s="70"/>
    </row>
    <row r="1304" ht="15.75" customHeight="1">
      <c r="A1304" s="170" t="s">
        <v>263</v>
      </c>
      <c r="B1304" s="171" t="s">
        <v>9050</v>
      </c>
      <c r="C1304" s="28" t="s">
        <v>9054</v>
      </c>
      <c r="D1304" s="28" t="s">
        <v>9055</v>
      </c>
      <c r="E1304" s="28" t="s">
        <v>9056</v>
      </c>
      <c r="F1304" s="28"/>
      <c r="G1304" s="28"/>
      <c r="H1304" s="28"/>
      <c r="I1304" s="28"/>
      <c r="J1304" s="28"/>
      <c r="K1304" s="28" t="s">
        <v>10788</v>
      </c>
      <c r="L1304" s="28"/>
      <c r="M1304" s="28"/>
      <c r="N1304" s="28"/>
      <c r="O1304" s="173" t="s">
        <v>10797</v>
      </c>
      <c r="P1304" s="173" t="s">
        <v>145</v>
      </c>
      <c r="Q1304" s="173" t="s">
        <v>145</v>
      </c>
      <c r="R1304" s="173"/>
      <c r="S1304" s="173"/>
      <c r="T1304" s="173"/>
      <c r="U1304" s="173"/>
      <c r="V1304" s="173"/>
      <c r="W1304" s="173"/>
      <c r="X1304" s="173"/>
      <c r="Y1304" s="173"/>
      <c r="Z1304" s="173"/>
      <c r="AA1304" s="173"/>
      <c r="AB1304" s="173"/>
      <c r="AC1304" s="173"/>
      <c r="AD1304" s="70"/>
      <c r="AE1304" s="70"/>
      <c r="AF1304" s="70"/>
      <c r="AG1304" s="70"/>
      <c r="AH1304" s="70"/>
      <c r="AI1304" s="70"/>
      <c r="AJ1304" s="70"/>
      <c r="AK1304" s="70"/>
      <c r="AL1304" s="70"/>
      <c r="AM1304" s="70"/>
      <c r="AN1304" s="70"/>
      <c r="AO1304" s="70"/>
      <c r="AP1304" s="70"/>
      <c r="AQ1304" s="70"/>
      <c r="AR1304" s="70"/>
      <c r="AS1304" s="70"/>
      <c r="AT1304" s="70"/>
      <c r="AU1304" s="70"/>
      <c r="AV1304" s="70"/>
      <c r="AW1304" s="70"/>
      <c r="AX1304" s="70"/>
    </row>
    <row r="1305" ht="15.75" customHeight="1">
      <c r="A1305" s="170" t="s">
        <v>263</v>
      </c>
      <c r="B1305" s="171" t="s">
        <v>9057</v>
      </c>
      <c r="C1305" s="28" t="s">
        <v>9061</v>
      </c>
      <c r="D1305" s="28" t="s">
        <v>9062</v>
      </c>
      <c r="E1305" s="28" t="s">
        <v>9063</v>
      </c>
      <c r="F1305" s="28"/>
      <c r="G1305" s="28"/>
      <c r="H1305" s="28"/>
      <c r="I1305" s="28"/>
      <c r="J1305" s="28"/>
      <c r="K1305" s="28"/>
      <c r="L1305" s="28"/>
      <c r="M1305" s="28"/>
      <c r="N1305" s="28"/>
      <c r="O1305" s="173" t="s">
        <v>10798</v>
      </c>
      <c r="P1305" s="173" t="s">
        <v>145</v>
      </c>
      <c r="Q1305" s="173" t="s">
        <v>145</v>
      </c>
      <c r="R1305" s="173"/>
      <c r="S1305" s="173"/>
      <c r="T1305" s="173"/>
      <c r="U1305" s="173"/>
      <c r="V1305" s="173"/>
      <c r="W1305" s="173"/>
      <c r="X1305" s="173"/>
      <c r="Y1305" s="173"/>
      <c r="Z1305" s="173"/>
      <c r="AA1305" s="173"/>
      <c r="AB1305" s="173"/>
      <c r="AC1305" s="173"/>
      <c r="AD1305" s="70"/>
      <c r="AE1305" s="70"/>
      <c r="AF1305" s="70"/>
      <c r="AG1305" s="70"/>
      <c r="AH1305" s="70"/>
      <c r="AI1305" s="70"/>
      <c r="AJ1305" s="70"/>
      <c r="AK1305" s="70"/>
      <c r="AL1305" s="70"/>
      <c r="AM1305" s="70"/>
      <c r="AN1305" s="70"/>
      <c r="AO1305" s="70"/>
      <c r="AP1305" s="70"/>
      <c r="AQ1305" s="70"/>
      <c r="AR1305" s="70"/>
      <c r="AS1305" s="70"/>
      <c r="AT1305" s="70"/>
      <c r="AU1305" s="70"/>
      <c r="AV1305" s="70"/>
      <c r="AW1305" s="70"/>
      <c r="AX1305" s="70"/>
    </row>
    <row r="1306" ht="15.75" customHeight="1">
      <c r="A1306" s="90" t="s">
        <v>78</v>
      </c>
      <c r="B1306" s="92" t="s">
        <v>9064</v>
      </c>
      <c r="C1306" s="28" t="s">
        <v>9065</v>
      </c>
      <c r="D1306" s="28" t="s">
        <v>9066</v>
      </c>
      <c r="E1306" s="28" t="s">
        <v>9067</v>
      </c>
      <c r="F1306" s="28"/>
      <c r="G1306" s="28"/>
      <c r="H1306" s="28"/>
      <c r="I1306" s="28"/>
      <c r="J1306" s="28"/>
      <c r="K1306" s="28"/>
      <c r="L1306" s="28"/>
      <c r="M1306" s="28"/>
      <c r="N1306" s="28"/>
      <c r="O1306" s="96"/>
      <c r="P1306" s="96" t="s">
        <v>145</v>
      </c>
      <c r="Q1306" s="96"/>
      <c r="R1306" s="96"/>
      <c r="S1306" s="96"/>
      <c r="T1306" s="178" t="s">
        <v>10799</v>
      </c>
      <c r="U1306" s="96"/>
      <c r="V1306" s="96"/>
      <c r="W1306" s="96"/>
      <c r="X1306" s="96"/>
      <c r="Y1306" s="96"/>
      <c r="Z1306" s="96"/>
      <c r="AA1306" s="96"/>
      <c r="AB1306" s="96"/>
      <c r="AC1306" s="96"/>
      <c r="AD1306" s="70"/>
      <c r="AE1306" s="70"/>
      <c r="AF1306" s="70"/>
      <c r="AG1306" s="70"/>
      <c r="AH1306" s="70"/>
      <c r="AI1306" s="70"/>
      <c r="AJ1306" s="70"/>
      <c r="AK1306" s="70"/>
      <c r="AL1306" s="70"/>
      <c r="AM1306" s="70"/>
      <c r="AN1306" s="70"/>
      <c r="AO1306" s="70"/>
      <c r="AP1306" s="70"/>
      <c r="AQ1306" s="70"/>
      <c r="AR1306" s="70"/>
      <c r="AS1306" s="70"/>
      <c r="AT1306" s="70"/>
      <c r="AU1306" s="70"/>
      <c r="AV1306" s="70"/>
      <c r="AW1306" s="70"/>
      <c r="AX1306" s="70"/>
    </row>
    <row r="1307" ht="15.75" customHeight="1">
      <c r="A1307" s="174" t="s">
        <v>1015</v>
      </c>
      <c r="B1307" s="204" t="s">
        <v>9040</v>
      </c>
      <c r="C1307" s="28"/>
      <c r="D1307" s="28"/>
      <c r="E1307" s="28"/>
      <c r="F1307" s="28"/>
      <c r="G1307" s="28"/>
      <c r="H1307" s="28"/>
      <c r="I1307" s="28"/>
      <c r="J1307" s="28"/>
      <c r="K1307" s="28"/>
      <c r="L1307" s="28"/>
      <c r="M1307" s="28"/>
      <c r="N1307" s="28"/>
      <c r="O1307" s="176"/>
      <c r="P1307" s="176" t="s">
        <v>145</v>
      </c>
      <c r="Q1307" s="176"/>
      <c r="R1307" s="176"/>
      <c r="S1307" s="176"/>
      <c r="T1307" s="176"/>
      <c r="U1307" s="176"/>
      <c r="V1307" s="176"/>
      <c r="W1307" s="176"/>
      <c r="X1307" s="176"/>
      <c r="Y1307" s="176"/>
      <c r="Z1307" s="176"/>
      <c r="AA1307" s="176"/>
      <c r="AB1307" s="176"/>
      <c r="AC1307" s="176"/>
      <c r="AD1307" s="70"/>
      <c r="AE1307" s="70"/>
      <c r="AF1307" s="70"/>
      <c r="AG1307" s="70"/>
      <c r="AH1307" s="70"/>
      <c r="AI1307" s="70"/>
      <c r="AJ1307" s="70"/>
      <c r="AK1307" s="70"/>
      <c r="AL1307" s="70"/>
      <c r="AM1307" s="70"/>
      <c r="AN1307" s="70"/>
      <c r="AO1307" s="70"/>
      <c r="AP1307" s="70"/>
      <c r="AQ1307" s="70"/>
      <c r="AR1307" s="70"/>
      <c r="AS1307" s="70"/>
      <c r="AT1307" s="70"/>
      <c r="AU1307" s="70"/>
      <c r="AV1307" s="70"/>
      <c r="AW1307" s="70"/>
      <c r="AX1307" s="70"/>
    </row>
    <row r="1308" ht="15.75" customHeight="1">
      <c r="A1308" s="90" t="s">
        <v>134</v>
      </c>
      <c r="B1308" s="92" t="s">
        <v>9068</v>
      </c>
      <c r="C1308" s="28"/>
      <c r="D1308" s="28"/>
      <c r="E1308" s="28"/>
      <c r="F1308" s="28"/>
      <c r="G1308" s="28"/>
      <c r="H1308" s="28"/>
      <c r="I1308" s="28"/>
      <c r="J1308" s="28"/>
      <c r="K1308" s="28"/>
      <c r="L1308" s="28"/>
      <c r="M1308" s="28"/>
      <c r="N1308" s="28"/>
      <c r="O1308" s="96"/>
      <c r="P1308" s="96" t="s">
        <v>145</v>
      </c>
      <c r="Q1308" s="96"/>
      <c r="R1308" s="96"/>
      <c r="S1308" s="96"/>
      <c r="T1308" s="178" t="s">
        <v>139</v>
      </c>
      <c r="U1308" s="96"/>
      <c r="V1308" s="96"/>
      <c r="W1308" s="96"/>
      <c r="X1308" s="96"/>
      <c r="Y1308" s="96"/>
      <c r="Z1308" s="96"/>
      <c r="AA1308" s="96"/>
      <c r="AB1308" s="96"/>
      <c r="AC1308" s="96"/>
      <c r="AD1308" s="70"/>
      <c r="AE1308" s="70"/>
      <c r="AF1308" s="70"/>
      <c r="AG1308" s="70"/>
      <c r="AH1308" s="70"/>
      <c r="AI1308" s="70"/>
      <c r="AJ1308" s="70"/>
      <c r="AK1308" s="70"/>
      <c r="AL1308" s="70"/>
      <c r="AM1308" s="70"/>
      <c r="AN1308" s="70"/>
      <c r="AO1308" s="70"/>
      <c r="AP1308" s="70"/>
      <c r="AQ1308" s="70"/>
      <c r="AR1308" s="70"/>
      <c r="AS1308" s="70"/>
      <c r="AT1308" s="70"/>
      <c r="AU1308" s="70"/>
      <c r="AV1308" s="70"/>
      <c r="AW1308" s="70"/>
      <c r="AX1308" s="70"/>
    </row>
    <row r="1309" ht="15.75" customHeight="1">
      <c r="A1309" s="90" t="s">
        <v>78</v>
      </c>
      <c r="B1309" s="92" t="s">
        <v>9069</v>
      </c>
      <c r="C1309" s="28"/>
      <c r="D1309" s="28"/>
      <c r="E1309" s="28"/>
      <c r="F1309" s="28"/>
      <c r="G1309" s="28"/>
      <c r="H1309" s="28"/>
      <c r="I1309" s="28"/>
      <c r="J1309" s="28"/>
      <c r="K1309" s="28"/>
      <c r="L1309" s="28"/>
      <c r="M1309" s="28"/>
      <c r="N1309" s="28"/>
      <c r="O1309" s="96"/>
      <c r="P1309" s="96" t="s">
        <v>145</v>
      </c>
      <c r="Q1309" s="96"/>
      <c r="R1309" s="96"/>
      <c r="S1309" s="96"/>
      <c r="T1309" s="178" t="s">
        <v>10800</v>
      </c>
      <c r="U1309" s="96"/>
      <c r="V1309" s="96"/>
      <c r="W1309" s="96"/>
      <c r="X1309" s="96"/>
      <c r="Y1309" s="96"/>
      <c r="Z1309" s="96"/>
      <c r="AA1309" s="96"/>
      <c r="AB1309" s="96"/>
      <c r="AC1309" s="96"/>
      <c r="AD1309" s="70"/>
      <c r="AE1309" s="70"/>
      <c r="AF1309" s="70"/>
      <c r="AG1309" s="70"/>
      <c r="AH1309" s="70"/>
      <c r="AI1309" s="70"/>
      <c r="AJ1309" s="70"/>
      <c r="AK1309" s="70"/>
      <c r="AL1309" s="70"/>
      <c r="AM1309" s="70"/>
      <c r="AN1309" s="70"/>
      <c r="AO1309" s="70"/>
      <c r="AP1309" s="70"/>
      <c r="AQ1309" s="70"/>
      <c r="AR1309" s="70"/>
      <c r="AS1309" s="70"/>
      <c r="AT1309" s="70"/>
      <c r="AU1309" s="70"/>
      <c r="AV1309" s="70"/>
      <c r="AW1309" s="70"/>
      <c r="AX1309" s="70"/>
    </row>
    <row r="1310" ht="15.75" customHeight="1">
      <c r="A1310" s="68" t="s">
        <v>463</v>
      </c>
      <c r="B1310" s="169" t="s">
        <v>9070</v>
      </c>
      <c r="C1310" s="28" t="s">
        <v>9074</v>
      </c>
      <c r="D1310" s="28" t="s">
        <v>9075</v>
      </c>
      <c r="E1310" s="28" t="s">
        <v>9076</v>
      </c>
      <c r="F1310" s="28"/>
      <c r="G1310" s="28"/>
      <c r="H1310" s="28"/>
      <c r="I1310" s="28"/>
      <c r="J1310" s="28"/>
      <c r="K1310" s="28"/>
      <c r="L1310" s="28"/>
      <c r="M1310" s="28"/>
      <c r="N1310" s="28"/>
      <c r="O1310" s="67"/>
      <c r="P1310" s="67" t="s">
        <v>145</v>
      </c>
      <c r="Q1310" s="67" t="s">
        <v>145</v>
      </c>
      <c r="R1310" s="67"/>
      <c r="S1310" s="67"/>
      <c r="T1310" s="67"/>
      <c r="U1310" s="67"/>
      <c r="V1310" s="67"/>
      <c r="W1310" s="67"/>
      <c r="X1310" s="67"/>
      <c r="Y1310" s="67"/>
      <c r="Z1310" s="67"/>
      <c r="AA1310" s="67"/>
      <c r="AB1310" s="67"/>
      <c r="AC1310" s="67"/>
      <c r="AD1310" s="70"/>
      <c r="AE1310" s="70"/>
      <c r="AF1310" s="70"/>
      <c r="AG1310" s="70"/>
      <c r="AH1310" s="70"/>
      <c r="AI1310" s="70"/>
      <c r="AJ1310" s="70"/>
      <c r="AK1310" s="70"/>
      <c r="AL1310" s="70"/>
      <c r="AM1310" s="70"/>
      <c r="AN1310" s="70"/>
      <c r="AO1310" s="70"/>
      <c r="AP1310" s="70"/>
      <c r="AQ1310" s="70"/>
      <c r="AR1310" s="70"/>
      <c r="AS1310" s="70"/>
      <c r="AT1310" s="70"/>
      <c r="AU1310" s="70"/>
      <c r="AV1310" s="70"/>
      <c r="AW1310" s="70"/>
      <c r="AX1310" s="70"/>
    </row>
    <row r="1311" ht="15.75" customHeight="1">
      <c r="A1311" s="179" t="s">
        <v>246</v>
      </c>
      <c r="B1311" s="180" t="s">
        <v>9077</v>
      </c>
      <c r="C1311" s="28" t="s">
        <v>9081</v>
      </c>
      <c r="D1311" s="28" t="s">
        <v>9082</v>
      </c>
      <c r="E1311" s="28" t="s">
        <v>9083</v>
      </c>
      <c r="F1311" s="28"/>
      <c r="G1311" s="28"/>
      <c r="H1311" s="28"/>
      <c r="I1311" s="28"/>
      <c r="J1311" s="28"/>
      <c r="K1311" s="28"/>
      <c r="L1311" s="28"/>
      <c r="M1311" s="28"/>
      <c r="N1311" s="28"/>
      <c r="O1311" s="181" t="s">
        <v>10801</v>
      </c>
      <c r="P1311" s="181" t="s">
        <v>145</v>
      </c>
      <c r="Q1311" s="181" t="s">
        <v>145</v>
      </c>
      <c r="R1311" s="181"/>
      <c r="S1311" s="181"/>
      <c r="T1311" s="181"/>
      <c r="U1311" s="181"/>
      <c r="V1311" s="181"/>
      <c r="W1311" s="181"/>
      <c r="X1311" s="181"/>
      <c r="Y1311" s="181"/>
      <c r="Z1311" s="181"/>
      <c r="AA1311" s="181"/>
      <c r="AB1311" s="181"/>
      <c r="AC1311" s="181"/>
      <c r="AD1311" s="70"/>
      <c r="AE1311" s="70"/>
      <c r="AF1311" s="70"/>
      <c r="AG1311" s="70"/>
      <c r="AH1311" s="70"/>
      <c r="AI1311" s="70"/>
      <c r="AJ1311" s="70"/>
      <c r="AK1311" s="70"/>
      <c r="AL1311" s="70"/>
      <c r="AM1311" s="70"/>
      <c r="AN1311" s="70"/>
      <c r="AO1311" s="70"/>
      <c r="AP1311" s="70"/>
      <c r="AQ1311" s="70"/>
      <c r="AR1311" s="70"/>
      <c r="AS1311" s="70"/>
      <c r="AT1311" s="70"/>
      <c r="AU1311" s="70"/>
      <c r="AV1311" s="70"/>
      <c r="AW1311" s="70"/>
      <c r="AX1311" s="70"/>
    </row>
    <row r="1312" ht="15.75" customHeight="1">
      <c r="A1312" s="170" t="s">
        <v>263</v>
      </c>
      <c r="B1312" s="171" t="s">
        <v>9084</v>
      </c>
      <c r="C1312" s="28" t="s">
        <v>9088</v>
      </c>
      <c r="D1312" s="28" t="s">
        <v>9089</v>
      </c>
      <c r="E1312" s="28" t="s">
        <v>9090</v>
      </c>
      <c r="F1312" s="28"/>
      <c r="G1312" s="28"/>
      <c r="H1312" s="28"/>
      <c r="I1312" s="28"/>
      <c r="J1312" s="28"/>
      <c r="K1312" s="28"/>
      <c r="L1312" s="28"/>
      <c r="M1312" s="28"/>
      <c r="N1312" s="28"/>
      <c r="O1312" s="173" t="s">
        <v>10801</v>
      </c>
      <c r="P1312" s="173" t="s">
        <v>145</v>
      </c>
      <c r="Q1312" s="173" t="s">
        <v>145</v>
      </c>
      <c r="R1312" s="173"/>
      <c r="S1312" s="173"/>
      <c r="T1312" s="173"/>
      <c r="U1312" s="173"/>
      <c r="V1312" s="173"/>
      <c r="W1312" s="173"/>
      <c r="X1312" s="173"/>
      <c r="Y1312" s="173"/>
      <c r="Z1312" s="173"/>
      <c r="AA1312" s="173"/>
      <c r="AB1312" s="173"/>
      <c r="AC1312" s="173"/>
      <c r="AD1312" s="70"/>
      <c r="AE1312" s="70"/>
      <c r="AF1312" s="70"/>
      <c r="AG1312" s="70"/>
      <c r="AH1312" s="70"/>
      <c r="AI1312" s="70"/>
      <c r="AJ1312" s="70"/>
      <c r="AK1312" s="70"/>
      <c r="AL1312" s="70"/>
      <c r="AM1312" s="70"/>
      <c r="AN1312" s="70"/>
      <c r="AO1312" s="70"/>
      <c r="AP1312" s="70"/>
      <c r="AQ1312" s="70"/>
      <c r="AR1312" s="70"/>
      <c r="AS1312" s="70"/>
      <c r="AT1312" s="70"/>
      <c r="AU1312" s="70"/>
      <c r="AV1312" s="70"/>
      <c r="AW1312" s="70"/>
      <c r="AX1312" s="70"/>
    </row>
    <row r="1313" ht="15.75" customHeight="1">
      <c r="A1313" s="90" t="s">
        <v>78</v>
      </c>
      <c r="B1313" s="92" t="s">
        <v>9091</v>
      </c>
      <c r="C1313" s="28" t="s">
        <v>9092</v>
      </c>
      <c r="D1313" s="28"/>
      <c r="E1313" s="28"/>
      <c r="F1313" s="28"/>
      <c r="G1313" s="28"/>
      <c r="H1313" s="28"/>
      <c r="I1313" s="28"/>
      <c r="J1313" s="28"/>
      <c r="K1313" s="28"/>
      <c r="L1313" s="28"/>
      <c r="M1313" s="28"/>
      <c r="N1313" s="28"/>
      <c r="O1313" s="96"/>
      <c r="P1313" s="96" t="s">
        <v>145</v>
      </c>
      <c r="Q1313" s="96"/>
      <c r="R1313" s="96"/>
      <c r="S1313" s="96"/>
      <c r="T1313" s="178" t="s">
        <v>10802</v>
      </c>
      <c r="U1313" s="96"/>
      <c r="V1313" s="96"/>
      <c r="W1313" s="96"/>
      <c r="X1313" s="96"/>
      <c r="Y1313" s="96"/>
      <c r="Z1313" s="96"/>
      <c r="AA1313" s="96"/>
      <c r="AB1313" s="96"/>
      <c r="AC1313" s="96"/>
      <c r="AD1313" s="70"/>
      <c r="AE1313" s="70"/>
      <c r="AF1313" s="70"/>
      <c r="AG1313" s="70"/>
      <c r="AH1313" s="70"/>
      <c r="AI1313" s="70"/>
      <c r="AJ1313" s="70"/>
      <c r="AK1313" s="70"/>
      <c r="AL1313" s="70"/>
      <c r="AM1313" s="70"/>
      <c r="AN1313" s="70"/>
      <c r="AO1313" s="70"/>
      <c r="AP1313" s="70"/>
      <c r="AQ1313" s="70"/>
      <c r="AR1313" s="70"/>
      <c r="AS1313" s="70"/>
      <c r="AT1313" s="70"/>
      <c r="AU1313" s="70"/>
      <c r="AV1313" s="70"/>
      <c r="AW1313" s="70"/>
      <c r="AX1313" s="70"/>
    </row>
    <row r="1314" ht="15.75" customHeight="1">
      <c r="A1314" s="90" t="s">
        <v>78</v>
      </c>
      <c r="B1314" s="92" t="s">
        <v>9093</v>
      </c>
      <c r="C1314" s="28" t="s">
        <v>9094</v>
      </c>
      <c r="D1314" s="28"/>
      <c r="E1314" s="28"/>
      <c r="F1314" s="28"/>
      <c r="G1314" s="28"/>
      <c r="H1314" s="28"/>
      <c r="I1314" s="28"/>
      <c r="J1314" s="28"/>
      <c r="K1314" s="28"/>
      <c r="L1314" s="28"/>
      <c r="M1314" s="28"/>
      <c r="N1314" s="28"/>
      <c r="O1314" s="96"/>
      <c r="P1314" s="96" t="s">
        <v>145</v>
      </c>
      <c r="Q1314" s="96"/>
      <c r="R1314" s="96"/>
      <c r="S1314" s="96"/>
      <c r="T1314" s="396" t="s">
        <v>10803</v>
      </c>
      <c r="U1314" s="96"/>
      <c r="V1314" s="96"/>
      <c r="W1314" s="96"/>
      <c r="X1314" s="96"/>
      <c r="Y1314" s="96"/>
      <c r="Z1314" s="96"/>
      <c r="AA1314" s="96"/>
      <c r="AB1314" s="96"/>
      <c r="AC1314" s="96"/>
      <c r="AD1314" s="70"/>
      <c r="AE1314" s="70"/>
      <c r="AF1314" s="70"/>
      <c r="AG1314" s="70"/>
      <c r="AH1314" s="70"/>
      <c r="AI1314" s="70"/>
      <c r="AJ1314" s="70"/>
      <c r="AK1314" s="70"/>
      <c r="AL1314" s="70"/>
      <c r="AM1314" s="70"/>
      <c r="AN1314" s="70"/>
      <c r="AO1314" s="70"/>
      <c r="AP1314" s="70"/>
      <c r="AQ1314" s="70"/>
      <c r="AR1314" s="70"/>
      <c r="AS1314" s="70"/>
      <c r="AT1314" s="70"/>
      <c r="AU1314" s="70"/>
      <c r="AV1314" s="70"/>
      <c r="AW1314" s="70"/>
      <c r="AX1314" s="70"/>
    </row>
    <row r="1315" ht="15.75" customHeight="1">
      <c r="A1315" s="90" t="s">
        <v>78</v>
      </c>
      <c r="B1315" s="92" t="s">
        <v>9096</v>
      </c>
      <c r="C1315" s="28" t="s">
        <v>9098</v>
      </c>
      <c r="D1315" s="28"/>
      <c r="E1315" s="28"/>
      <c r="F1315" s="28"/>
      <c r="G1315" s="28"/>
      <c r="H1315" s="28"/>
      <c r="I1315" s="28"/>
      <c r="J1315" s="28"/>
      <c r="K1315" s="28"/>
      <c r="L1315" s="28"/>
      <c r="M1315" s="28"/>
      <c r="N1315" s="28"/>
      <c r="O1315" s="96"/>
      <c r="P1315" s="96" t="s">
        <v>145</v>
      </c>
      <c r="Q1315" s="96"/>
      <c r="R1315" s="96"/>
      <c r="S1315" s="96"/>
      <c r="T1315" s="178" t="s">
        <v>10804</v>
      </c>
      <c r="U1315" s="96"/>
      <c r="V1315" s="96"/>
      <c r="W1315" s="96"/>
      <c r="X1315" s="96"/>
      <c r="Y1315" s="96"/>
      <c r="Z1315" s="96"/>
      <c r="AA1315" s="96"/>
      <c r="AB1315" s="96"/>
      <c r="AC1315" s="96"/>
      <c r="AD1315" s="70"/>
      <c r="AE1315" s="70"/>
      <c r="AF1315" s="70"/>
      <c r="AG1315" s="70"/>
      <c r="AH1315" s="70"/>
      <c r="AI1315" s="70"/>
      <c r="AJ1315" s="70"/>
      <c r="AK1315" s="70"/>
      <c r="AL1315" s="70"/>
      <c r="AM1315" s="70"/>
      <c r="AN1315" s="70"/>
      <c r="AO1315" s="70"/>
      <c r="AP1315" s="70"/>
      <c r="AQ1315" s="70"/>
      <c r="AR1315" s="70"/>
      <c r="AS1315" s="70"/>
      <c r="AT1315" s="70"/>
      <c r="AU1315" s="70"/>
      <c r="AV1315" s="70"/>
      <c r="AW1315" s="70"/>
      <c r="AX1315" s="70"/>
    </row>
    <row r="1316" ht="15.75" customHeight="1">
      <c r="A1316" s="90" t="s">
        <v>78</v>
      </c>
      <c r="B1316" s="92" t="s">
        <v>9100</v>
      </c>
      <c r="C1316" s="28" t="s">
        <v>9101</v>
      </c>
      <c r="D1316" s="28"/>
      <c r="E1316" s="28"/>
      <c r="F1316" s="28"/>
      <c r="G1316" s="28"/>
      <c r="H1316" s="28"/>
      <c r="I1316" s="28"/>
      <c r="J1316" s="28"/>
      <c r="K1316" s="28"/>
      <c r="L1316" s="28"/>
      <c r="M1316" s="28"/>
      <c r="N1316" s="28"/>
      <c r="O1316" s="96"/>
      <c r="P1316" s="96" t="s">
        <v>145</v>
      </c>
      <c r="Q1316" s="96"/>
      <c r="R1316" s="96"/>
      <c r="S1316" s="96"/>
      <c r="T1316" s="178" t="s">
        <v>10805</v>
      </c>
      <c r="U1316" s="96"/>
      <c r="V1316" s="96"/>
      <c r="W1316" s="96"/>
      <c r="X1316" s="96"/>
      <c r="Y1316" s="96"/>
      <c r="Z1316" s="96"/>
      <c r="AA1316" s="96"/>
      <c r="AB1316" s="96"/>
      <c r="AC1316" s="96"/>
      <c r="AD1316" s="70"/>
      <c r="AE1316" s="70"/>
      <c r="AF1316" s="70"/>
      <c r="AG1316" s="70"/>
      <c r="AH1316" s="70"/>
      <c r="AI1316" s="70"/>
      <c r="AJ1316" s="70"/>
      <c r="AK1316" s="70"/>
      <c r="AL1316" s="70"/>
      <c r="AM1316" s="70"/>
      <c r="AN1316" s="70"/>
      <c r="AO1316" s="70"/>
      <c r="AP1316" s="70"/>
      <c r="AQ1316" s="70"/>
      <c r="AR1316" s="70"/>
      <c r="AS1316" s="70"/>
      <c r="AT1316" s="70"/>
      <c r="AU1316" s="70"/>
      <c r="AV1316" s="70"/>
      <c r="AW1316" s="70"/>
      <c r="AX1316" s="70"/>
    </row>
    <row r="1317" ht="15.75" customHeight="1">
      <c r="A1317" s="90" t="s">
        <v>78</v>
      </c>
      <c r="B1317" s="92" t="s">
        <v>9102</v>
      </c>
      <c r="C1317" s="28" t="s">
        <v>9103</v>
      </c>
      <c r="D1317" s="28"/>
      <c r="E1317" s="28"/>
      <c r="F1317" s="28"/>
      <c r="G1317" s="28"/>
      <c r="H1317" s="28"/>
      <c r="I1317" s="28"/>
      <c r="J1317" s="28"/>
      <c r="K1317" s="28"/>
      <c r="L1317" s="28"/>
      <c r="M1317" s="28"/>
      <c r="N1317" s="28"/>
      <c r="O1317" s="96"/>
      <c r="P1317" s="96" t="s">
        <v>145</v>
      </c>
      <c r="Q1317" s="96"/>
      <c r="R1317" s="96"/>
      <c r="S1317" s="96"/>
      <c r="T1317" s="178" t="s">
        <v>10806</v>
      </c>
      <c r="U1317" s="96"/>
      <c r="V1317" s="96"/>
      <c r="W1317" s="96"/>
      <c r="X1317" s="96"/>
      <c r="Y1317" s="96"/>
      <c r="Z1317" s="96"/>
      <c r="AA1317" s="96"/>
      <c r="AB1317" s="96"/>
      <c r="AC1317" s="96"/>
      <c r="AD1317" s="70"/>
      <c r="AE1317" s="70"/>
      <c r="AF1317" s="70"/>
      <c r="AG1317" s="70"/>
      <c r="AH1317" s="70"/>
      <c r="AI1317" s="70"/>
      <c r="AJ1317" s="70"/>
      <c r="AK1317" s="70"/>
      <c r="AL1317" s="70"/>
      <c r="AM1317" s="70"/>
      <c r="AN1317" s="70"/>
      <c r="AO1317" s="70"/>
      <c r="AP1317" s="70"/>
      <c r="AQ1317" s="70"/>
      <c r="AR1317" s="70"/>
      <c r="AS1317" s="70"/>
      <c r="AT1317" s="70"/>
      <c r="AU1317" s="70"/>
      <c r="AV1317" s="70"/>
      <c r="AW1317" s="70"/>
      <c r="AX1317" s="70"/>
    </row>
    <row r="1318" ht="15.75" customHeight="1">
      <c r="A1318" s="90" t="s">
        <v>78</v>
      </c>
      <c r="B1318" s="92" t="s">
        <v>9104</v>
      </c>
      <c r="C1318" s="28" t="s">
        <v>9105</v>
      </c>
      <c r="D1318" s="28"/>
      <c r="E1318" s="28"/>
      <c r="F1318" s="28"/>
      <c r="G1318" s="28"/>
      <c r="H1318" s="28"/>
      <c r="I1318" s="28"/>
      <c r="J1318" s="28"/>
      <c r="K1318" s="28"/>
      <c r="L1318" s="28"/>
      <c r="M1318" s="28"/>
      <c r="N1318" s="28"/>
      <c r="O1318" s="96"/>
      <c r="P1318" s="96" t="s">
        <v>145</v>
      </c>
      <c r="Q1318" s="96"/>
      <c r="R1318" s="96"/>
      <c r="S1318" s="96"/>
      <c r="T1318" s="178" t="s">
        <v>10807</v>
      </c>
      <c r="U1318" s="96"/>
      <c r="V1318" s="96"/>
      <c r="W1318" s="96"/>
      <c r="X1318" s="96"/>
      <c r="Y1318" s="96"/>
      <c r="Z1318" s="96"/>
      <c r="AA1318" s="96"/>
      <c r="AB1318" s="96"/>
      <c r="AC1318" s="96"/>
      <c r="AD1318" s="70"/>
      <c r="AE1318" s="70"/>
      <c r="AF1318" s="70"/>
      <c r="AG1318" s="70"/>
      <c r="AH1318" s="70"/>
      <c r="AI1318" s="70"/>
      <c r="AJ1318" s="70"/>
      <c r="AK1318" s="70"/>
      <c r="AL1318" s="70"/>
      <c r="AM1318" s="70"/>
      <c r="AN1318" s="70"/>
      <c r="AO1318" s="70"/>
      <c r="AP1318" s="70"/>
      <c r="AQ1318" s="70"/>
      <c r="AR1318" s="70"/>
      <c r="AS1318" s="70"/>
      <c r="AT1318" s="70"/>
      <c r="AU1318" s="70"/>
      <c r="AV1318" s="70"/>
      <c r="AW1318" s="70"/>
      <c r="AX1318" s="70"/>
    </row>
    <row r="1319" ht="15.75" customHeight="1">
      <c r="A1319" s="90" t="s">
        <v>78</v>
      </c>
      <c r="B1319" s="92" t="s">
        <v>9106</v>
      </c>
      <c r="C1319" s="28" t="s">
        <v>9107</v>
      </c>
      <c r="D1319" s="28"/>
      <c r="E1319" s="28"/>
      <c r="F1319" s="28"/>
      <c r="G1319" s="28"/>
      <c r="H1319" s="28"/>
      <c r="I1319" s="28"/>
      <c r="J1319" s="28"/>
      <c r="K1319" s="28"/>
      <c r="L1319" s="28"/>
      <c r="M1319" s="28"/>
      <c r="N1319" s="28"/>
      <c r="O1319" s="96"/>
      <c r="P1319" s="96" t="s">
        <v>145</v>
      </c>
      <c r="Q1319" s="96"/>
      <c r="R1319" s="96"/>
      <c r="S1319" s="96"/>
      <c r="T1319" s="178" t="s">
        <v>10808</v>
      </c>
      <c r="U1319" s="96"/>
      <c r="V1319" s="96"/>
      <c r="W1319" s="96"/>
      <c r="X1319" s="96"/>
      <c r="Y1319" s="96"/>
      <c r="Z1319" s="96"/>
      <c r="AA1319" s="96"/>
      <c r="AB1319" s="96"/>
      <c r="AC1319" s="96"/>
      <c r="AD1319" s="70"/>
      <c r="AE1319" s="70"/>
      <c r="AF1319" s="70"/>
      <c r="AG1319" s="70"/>
      <c r="AH1319" s="70"/>
      <c r="AI1319" s="70"/>
      <c r="AJ1319" s="70"/>
      <c r="AK1319" s="70"/>
      <c r="AL1319" s="70"/>
      <c r="AM1319" s="70"/>
      <c r="AN1319" s="70"/>
      <c r="AO1319" s="70"/>
      <c r="AP1319" s="70"/>
      <c r="AQ1319" s="70"/>
      <c r="AR1319" s="70"/>
      <c r="AS1319" s="70"/>
      <c r="AT1319" s="70"/>
      <c r="AU1319" s="70"/>
      <c r="AV1319" s="70"/>
      <c r="AW1319" s="70"/>
      <c r="AX1319" s="70"/>
    </row>
    <row r="1320" ht="15.75" customHeight="1">
      <c r="A1320" s="90" t="s">
        <v>78</v>
      </c>
      <c r="B1320" s="92" t="s">
        <v>9108</v>
      </c>
      <c r="C1320" s="28" t="s">
        <v>9109</v>
      </c>
      <c r="D1320" s="28"/>
      <c r="E1320" s="28"/>
      <c r="F1320" s="28"/>
      <c r="G1320" s="28"/>
      <c r="H1320" s="28"/>
      <c r="I1320" s="28"/>
      <c r="J1320" s="28"/>
      <c r="K1320" s="28"/>
      <c r="L1320" s="28"/>
      <c r="M1320" s="28"/>
      <c r="N1320" s="28"/>
      <c r="O1320" s="96"/>
      <c r="P1320" s="96" t="s">
        <v>145</v>
      </c>
      <c r="Q1320" s="96"/>
      <c r="R1320" s="96"/>
      <c r="S1320" s="96"/>
      <c r="T1320" s="178" t="s">
        <v>10809</v>
      </c>
      <c r="U1320" s="96"/>
      <c r="V1320" s="96"/>
      <c r="W1320" s="96"/>
      <c r="X1320" s="96"/>
      <c r="Y1320" s="96"/>
      <c r="Z1320" s="96"/>
      <c r="AA1320" s="96"/>
      <c r="AB1320" s="96"/>
      <c r="AC1320" s="96"/>
      <c r="AD1320" s="70"/>
      <c r="AE1320" s="70"/>
      <c r="AF1320" s="70"/>
      <c r="AG1320" s="70"/>
      <c r="AH1320" s="70"/>
      <c r="AI1320" s="70"/>
      <c r="AJ1320" s="70"/>
      <c r="AK1320" s="70"/>
      <c r="AL1320" s="70"/>
      <c r="AM1320" s="70"/>
      <c r="AN1320" s="70"/>
      <c r="AO1320" s="70"/>
      <c r="AP1320" s="70"/>
      <c r="AQ1320" s="70"/>
      <c r="AR1320" s="70"/>
      <c r="AS1320" s="70"/>
      <c r="AT1320" s="70"/>
      <c r="AU1320" s="70"/>
      <c r="AV1320" s="70"/>
      <c r="AW1320" s="70"/>
      <c r="AX1320" s="70"/>
    </row>
    <row r="1321" ht="15.75" customHeight="1">
      <c r="A1321" s="90" t="s">
        <v>78</v>
      </c>
      <c r="B1321" s="92" t="s">
        <v>9110</v>
      </c>
      <c r="C1321" s="28"/>
      <c r="D1321" s="28"/>
      <c r="E1321" s="28"/>
      <c r="F1321" s="28"/>
      <c r="G1321" s="28"/>
      <c r="H1321" s="28"/>
      <c r="I1321" s="28"/>
      <c r="J1321" s="28"/>
      <c r="K1321" s="28"/>
      <c r="L1321" s="28"/>
      <c r="M1321" s="28"/>
      <c r="N1321" s="28"/>
      <c r="O1321" s="96"/>
      <c r="P1321" s="96" t="s">
        <v>145</v>
      </c>
      <c r="Q1321" s="96"/>
      <c r="R1321" s="96"/>
      <c r="S1321" s="96"/>
      <c r="T1321" s="178" t="s">
        <v>10810</v>
      </c>
      <c r="U1321" s="96"/>
      <c r="V1321" s="96"/>
      <c r="W1321" s="96"/>
      <c r="X1321" s="96"/>
      <c r="Y1321" s="96"/>
      <c r="Z1321" s="96"/>
      <c r="AA1321" s="96"/>
      <c r="AB1321" s="96"/>
      <c r="AC1321" s="96"/>
      <c r="AD1321" s="70"/>
      <c r="AE1321" s="70"/>
      <c r="AF1321" s="70"/>
      <c r="AG1321" s="70"/>
      <c r="AH1321" s="70"/>
      <c r="AI1321" s="70"/>
      <c r="AJ1321" s="70"/>
      <c r="AK1321" s="70"/>
      <c r="AL1321" s="70"/>
      <c r="AM1321" s="70"/>
      <c r="AN1321" s="70"/>
      <c r="AO1321" s="70"/>
      <c r="AP1321" s="70"/>
      <c r="AQ1321" s="70"/>
      <c r="AR1321" s="70"/>
      <c r="AS1321" s="70"/>
      <c r="AT1321" s="70"/>
      <c r="AU1321" s="70"/>
      <c r="AV1321" s="70"/>
      <c r="AW1321" s="70"/>
      <c r="AX1321" s="70"/>
    </row>
    <row r="1322" ht="15.75" customHeight="1">
      <c r="A1322" s="68" t="s">
        <v>463</v>
      </c>
      <c r="B1322" s="169" t="s">
        <v>9111</v>
      </c>
      <c r="C1322" s="28" t="s">
        <v>9116</v>
      </c>
      <c r="D1322" s="28" t="s">
        <v>9117</v>
      </c>
      <c r="E1322" s="28" t="s">
        <v>9118</v>
      </c>
      <c r="F1322" s="28"/>
      <c r="G1322" s="28"/>
      <c r="H1322" s="28"/>
      <c r="I1322" s="28"/>
      <c r="J1322" s="28"/>
      <c r="K1322" s="28" t="s">
        <v>7067</v>
      </c>
      <c r="L1322" s="28" t="s">
        <v>10811</v>
      </c>
      <c r="M1322" s="28"/>
      <c r="N1322" s="28"/>
      <c r="O1322" s="67"/>
      <c r="P1322" s="67" t="s">
        <v>145</v>
      </c>
      <c r="Q1322" s="67" t="s">
        <v>145</v>
      </c>
      <c r="R1322" s="67"/>
      <c r="S1322" s="67"/>
      <c r="T1322" s="67"/>
      <c r="U1322" s="67"/>
      <c r="V1322" s="67"/>
      <c r="W1322" s="67"/>
      <c r="X1322" s="67"/>
      <c r="Y1322" s="67"/>
      <c r="Z1322" s="67"/>
      <c r="AA1322" s="67"/>
      <c r="AB1322" s="67"/>
      <c r="AC1322" s="67"/>
      <c r="AD1322" s="70"/>
      <c r="AE1322" s="70"/>
      <c r="AF1322" s="70"/>
      <c r="AG1322" s="70"/>
      <c r="AH1322" s="70"/>
      <c r="AI1322" s="70"/>
      <c r="AJ1322" s="70"/>
      <c r="AK1322" s="70"/>
      <c r="AL1322" s="70"/>
      <c r="AM1322" s="70"/>
      <c r="AN1322" s="70"/>
      <c r="AO1322" s="70"/>
      <c r="AP1322" s="70"/>
      <c r="AQ1322" s="70"/>
      <c r="AR1322" s="70"/>
      <c r="AS1322" s="70"/>
      <c r="AT1322" s="70"/>
      <c r="AU1322" s="70"/>
      <c r="AV1322" s="70"/>
      <c r="AW1322" s="70"/>
      <c r="AX1322" s="70"/>
    </row>
    <row r="1323" ht="15.75" customHeight="1">
      <c r="A1323" s="166" t="s">
        <v>41</v>
      </c>
      <c r="B1323" s="167" t="s">
        <v>9119</v>
      </c>
      <c r="C1323" s="28" t="s">
        <v>9121</v>
      </c>
      <c r="D1323" s="397" t="s">
        <v>10812</v>
      </c>
      <c r="E1323" s="397" t="s">
        <v>10813</v>
      </c>
      <c r="F1323" s="28"/>
      <c r="G1323" s="28"/>
      <c r="H1323" s="28"/>
      <c r="I1323" s="28"/>
      <c r="J1323" s="28"/>
      <c r="K1323" s="28"/>
      <c r="L1323" s="28"/>
      <c r="M1323" s="28"/>
      <c r="N1323" s="28"/>
      <c r="O1323" s="126" t="s">
        <v>10758</v>
      </c>
      <c r="P1323" s="126"/>
      <c r="Q1323" s="126"/>
      <c r="R1323" s="126"/>
      <c r="S1323" s="126"/>
      <c r="T1323" s="126"/>
      <c r="U1323" s="126"/>
      <c r="V1323" s="126"/>
      <c r="W1323" s="126"/>
      <c r="X1323" s="126"/>
      <c r="Y1323" s="126"/>
      <c r="Z1323" s="126"/>
      <c r="AA1323" s="126"/>
      <c r="AB1323" s="126"/>
      <c r="AC1323" s="126"/>
      <c r="AD1323" s="70"/>
      <c r="AE1323" s="70"/>
      <c r="AF1323" s="70"/>
      <c r="AG1323" s="70"/>
      <c r="AH1323" s="70"/>
      <c r="AI1323" s="70"/>
      <c r="AJ1323" s="70"/>
      <c r="AK1323" s="70"/>
      <c r="AL1323" s="70"/>
      <c r="AM1323" s="70"/>
      <c r="AN1323" s="70"/>
      <c r="AO1323" s="70"/>
      <c r="AP1323" s="70"/>
      <c r="AQ1323" s="70"/>
      <c r="AR1323" s="70"/>
      <c r="AS1323" s="70"/>
      <c r="AT1323" s="70"/>
      <c r="AU1323" s="70"/>
      <c r="AV1323" s="70"/>
      <c r="AW1323" s="70"/>
      <c r="AX1323" s="70"/>
    </row>
    <row r="1324" ht="15.75" customHeight="1">
      <c r="A1324" s="90" t="s">
        <v>134</v>
      </c>
      <c r="B1324" s="92" t="s">
        <v>9123</v>
      </c>
      <c r="C1324" s="28"/>
      <c r="D1324" s="28"/>
      <c r="E1324" s="28"/>
      <c r="F1324" s="28"/>
      <c r="G1324" s="28"/>
      <c r="H1324" s="28"/>
      <c r="I1324" s="28"/>
      <c r="J1324" s="28"/>
      <c r="K1324" s="28"/>
      <c r="L1324" s="28"/>
      <c r="M1324" s="28"/>
      <c r="N1324" s="28"/>
      <c r="O1324" s="96"/>
      <c r="P1324" s="96"/>
      <c r="Q1324" s="96"/>
      <c r="R1324" s="96"/>
      <c r="S1324" s="96"/>
      <c r="T1324" s="178" t="s">
        <v>139</v>
      </c>
      <c r="U1324" s="96"/>
      <c r="V1324" s="96"/>
      <c r="W1324" s="96"/>
      <c r="X1324" s="96"/>
      <c r="Y1324" s="96"/>
      <c r="Z1324" s="96"/>
      <c r="AA1324" s="96"/>
      <c r="AB1324" s="96"/>
      <c r="AC1324" s="96"/>
      <c r="AD1324" s="70"/>
      <c r="AE1324" s="70"/>
      <c r="AF1324" s="70"/>
      <c r="AG1324" s="70"/>
      <c r="AH1324" s="70"/>
      <c r="AI1324" s="70"/>
      <c r="AJ1324" s="70"/>
      <c r="AK1324" s="70"/>
      <c r="AL1324" s="70"/>
      <c r="AM1324" s="70"/>
      <c r="AN1324" s="70"/>
      <c r="AO1324" s="70"/>
      <c r="AP1324" s="70"/>
      <c r="AQ1324" s="70"/>
      <c r="AR1324" s="70"/>
      <c r="AS1324" s="70"/>
      <c r="AT1324" s="70"/>
      <c r="AU1324" s="70"/>
      <c r="AV1324" s="70"/>
      <c r="AW1324" s="70"/>
      <c r="AX1324" s="70"/>
    </row>
    <row r="1325" ht="15.75" customHeight="1">
      <c r="A1325" s="174" t="s">
        <v>698</v>
      </c>
      <c r="B1325" s="175" t="s">
        <v>9124</v>
      </c>
      <c r="C1325" s="28" t="s">
        <v>9125</v>
      </c>
      <c r="D1325" s="28" t="s">
        <v>9126</v>
      </c>
      <c r="E1325" s="28" t="s">
        <v>9127</v>
      </c>
      <c r="F1325" s="28"/>
      <c r="G1325" s="28"/>
      <c r="H1325" s="28"/>
      <c r="I1325" s="28"/>
      <c r="J1325" s="28"/>
      <c r="K1325" s="28"/>
      <c r="L1325" s="28"/>
      <c r="M1325" s="28"/>
      <c r="N1325" s="28"/>
      <c r="O1325" s="177"/>
      <c r="P1325" s="176"/>
      <c r="Q1325" s="176"/>
      <c r="R1325" s="176"/>
      <c r="S1325" s="176"/>
      <c r="T1325" s="270"/>
      <c r="U1325" s="270">
        <v>7.0</v>
      </c>
      <c r="V1325" s="176"/>
      <c r="W1325" s="176"/>
      <c r="X1325" s="176"/>
      <c r="Y1325" s="176"/>
      <c r="Z1325" s="176"/>
      <c r="AA1325" s="176"/>
      <c r="AB1325" s="176"/>
      <c r="AC1325" s="176"/>
      <c r="AD1325" s="70"/>
      <c r="AE1325" s="70"/>
      <c r="AF1325" s="70"/>
      <c r="AG1325" s="70"/>
      <c r="AH1325" s="70"/>
      <c r="AI1325" s="70"/>
      <c r="AJ1325" s="70"/>
      <c r="AK1325" s="70"/>
      <c r="AL1325" s="70"/>
      <c r="AM1325" s="70"/>
      <c r="AN1325" s="70"/>
      <c r="AO1325" s="70"/>
      <c r="AP1325" s="70"/>
      <c r="AQ1325" s="70"/>
      <c r="AR1325" s="70"/>
      <c r="AS1325" s="70"/>
      <c r="AT1325" s="70"/>
      <c r="AU1325" s="70"/>
      <c r="AV1325" s="70"/>
      <c r="AW1325" s="70"/>
      <c r="AX1325" s="70"/>
    </row>
    <row r="1326" ht="15.75" customHeight="1">
      <c r="A1326" s="90" t="s">
        <v>78</v>
      </c>
      <c r="B1326" s="92" t="s">
        <v>9128</v>
      </c>
      <c r="C1326" s="28"/>
      <c r="D1326" s="28"/>
      <c r="E1326" s="28"/>
      <c r="F1326" s="28"/>
      <c r="G1326" s="28"/>
      <c r="H1326" s="28"/>
      <c r="I1326" s="28"/>
      <c r="J1326" s="28"/>
      <c r="K1326" s="28"/>
      <c r="L1326" s="28"/>
      <c r="M1326" s="28"/>
      <c r="N1326" s="28"/>
      <c r="O1326" s="96"/>
      <c r="P1326" s="96"/>
      <c r="Q1326" s="96"/>
      <c r="R1326" s="96"/>
      <c r="S1326" s="96"/>
      <c r="T1326" s="119" t="s">
        <v>10814</v>
      </c>
      <c r="U1326" s="96"/>
      <c r="V1326" s="96"/>
      <c r="W1326" s="96"/>
      <c r="X1326" s="96"/>
      <c r="Y1326" s="96"/>
      <c r="Z1326" s="96"/>
      <c r="AA1326" s="96"/>
      <c r="AB1326" s="96"/>
      <c r="AC1326" s="96"/>
      <c r="AD1326" s="70"/>
      <c r="AE1326" s="70"/>
      <c r="AF1326" s="70"/>
      <c r="AG1326" s="70"/>
      <c r="AH1326" s="70"/>
      <c r="AI1326" s="70"/>
      <c r="AJ1326" s="70"/>
      <c r="AK1326" s="70"/>
      <c r="AL1326" s="70"/>
      <c r="AM1326" s="70"/>
      <c r="AN1326" s="70"/>
      <c r="AO1326" s="70"/>
      <c r="AP1326" s="70"/>
      <c r="AQ1326" s="70"/>
      <c r="AR1326" s="70"/>
      <c r="AS1326" s="70"/>
      <c r="AT1326" s="70"/>
      <c r="AU1326" s="70"/>
      <c r="AV1326" s="70"/>
      <c r="AW1326" s="70"/>
      <c r="AX1326" s="70"/>
    </row>
    <row r="1327" ht="15.75" customHeight="1">
      <c r="A1327" s="170" t="s">
        <v>263</v>
      </c>
      <c r="B1327" s="171" t="s">
        <v>9129</v>
      </c>
      <c r="C1327" s="28" t="s">
        <v>9134</v>
      </c>
      <c r="D1327" s="183" t="s">
        <v>10815</v>
      </c>
      <c r="E1327" s="28" t="s">
        <v>9136</v>
      </c>
      <c r="F1327" s="28"/>
      <c r="G1327" s="28"/>
      <c r="H1327" s="28"/>
      <c r="I1327" s="28"/>
      <c r="J1327" s="28"/>
      <c r="K1327" s="28" t="s">
        <v>864</v>
      </c>
      <c r="L1327" s="28"/>
      <c r="M1327" s="28"/>
      <c r="N1327" s="28"/>
      <c r="O1327" s="280"/>
      <c r="P1327" s="173"/>
      <c r="Q1327" s="173" t="s">
        <v>145</v>
      </c>
      <c r="R1327" s="280"/>
      <c r="S1327" s="280"/>
      <c r="T1327" s="173"/>
      <c r="U1327" s="280"/>
      <c r="V1327" s="280"/>
      <c r="W1327" s="280"/>
      <c r="X1327" s="280"/>
      <c r="Y1327" s="280"/>
      <c r="Z1327" s="280"/>
      <c r="AA1327" s="280"/>
      <c r="AB1327" s="280"/>
      <c r="AC1327" s="280"/>
      <c r="AD1327" s="121"/>
      <c r="AE1327" s="121"/>
      <c r="AF1327" s="121"/>
      <c r="AG1327" s="121"/>
      <c r="AH1327" s="121"/>
      <c r="AI1327" s="121"/>
      <c r="AJ1327" s="121"/>
      <c r="AK1327" s="121"/>
      <c r="AL1327" s="121"/>
      <c r="AM1327" s="121"/>
      <c r="AN1327" s="121"/>
      <c r="AO1327" s="121"/>
      <c r="AP1327" s="121"/>
      <c r="AQ1327" s="121"/>
      <c r="AR1327" s="121"/>
      <c r="AS1327" s="121"/>
      <c r="AT1327" s="121"/>
      <c r="AU1327" s="121"/>
      <c r="AV1327" s="121"/>
      <c r="AW1327" s="121"/>
      <c r="AX1327" s="121"/>
    </row>
    <row r="1328" ht="15.75" customHeight="1">
      <c r="A1328" s="170" t="s">
        <v>263</v>
      </c>
      <c r="B1328" s="171" t="s">
        <v>9137</v>
      </c>
      <c r="C1328" s="28" t="s">
        <v>9141</v>
      </c>
      <c r="D1328" s="28" t="s">
        <v>9142</v>
      </c>
      <c r="E1328" s="28" t="s">
        <v>9143</v>
      </c>
      <c r="F1328" s="28" t="s">
        <v>10816</v>
      </c>
      <c r="G1328" s="28"/>
      <c r="H1328" s="28"/>
      <c r="I1328" s="28"/>
      <c r="J1328" s="28"/>
      <c r="K1328" s="28" t="s">
        <v>864</v>
      </c>
      <c r="L1328" s="28"/>
      <c r="M1328" s="28"/>
      <c r="N1328" s="28"/>
      <c r="O1328" s="280" t="s">
        <v>10817</v>
      </c>
      <c r="P1328" s="173"/>
      <c r="Q1328" s="173" t="s">
        <v>145</v>
      </c>
      <c r="R1328" s="280"/>
      <c r="S1328" s="280"/>
      <c r="T1328" s="173"/>
      <c r="U1328" s="280"/>
      <c r="V1328" s="280"/>
      <c r="W1328" s="280"/>
      <c r="X1328" s="280"/>
      <c r="Y1328" s="280"/>
      <c r="Z1328" s="280"/>
      <c r="AA1328" s="280"/>
      <c r="AB1328" s="280"/>
      <c r="AC1328" s="280"/>
      <c r="AD1328" s="121"/>
      <c r="AE1328" s="121"/>
      <c r="AF1328" s="121"/>
      <c r="AG1328" s="121"/>
      <c r="AH1328" s="121"/>
      <c r="AI1328" s="121"/>
      <c r="AJ1328" s="121"/>
      <c r="AK1328" s="121"/>
      <c r="AL1328" s="121"/>
      <c r="AM1328" s="121"/>
      <c r="AN1328" s="121"/>
      <c r="AO1328" s="121"/>
      <c r="AP1328" s="121"/>
      <c r="AQ1328" s="121"/>
      <c r="AR1328" s="121"/>
      <c r="AS1328" s="121"/>
      <c r="AT1328" s="121"/>
      <c r="AU1328" s="121"/>
      <c r="AV1328" s="121"/>
      <c r="AW1328" s="121"/>
      <c r="AX1328" s="121"/>
    </row>
    <row r="1329" ht="15.75" customHeight="1">
      <c r="A1329" s="170" t="s">
        <v>263</v>
      </c>
      <c r="B1329" s="171" t="s">
        <v>9144</v>
      </c>
      <c r="C1329" s="28" t="s">
        <v>9148</v>
      </c>
      <c r="D1329" s="183" t="s">
        <v>10818</v>
      </c>
      <c r="E1329" s="28" t="s">
        <v>9150</v>
      </c>
      <c r="F1329" s="28"/>
      <c r="G1329" s="28"/>
      <c r="H1329" s="28"/>
      <c r="I1329" s="28"/>
      <c r="J1329" s="28"/>
      <c r="K1329" s="28" t="s">
        <v>864</v>
      </c>
      <c r="L1329" s="28"/>
      <c r="M1329" s="28"/>
      <c r="N1329" s="28"/>
      <c r="O1329" s="280"/>
      <c r="P1329" s="173"/>
      <c r="Q1329" s="173" t="s">
        <v>145</v>
      </c>
      <c r="R1329" s="280"/>
      <c r="S1329" s="280"/>
      <c r="T1329" s="173"/>
      <c r="U1329" s="280"/>
      <c r="V1329" s="280"/>
      <c r="W1329" s="280"/>
      <c r="X1329" s="280"/>
      <c r="Y1329" s="280"/>
      <c r="Z1329" s="280"/>
      <c r="AA1329" s="280"/>
      <c r="AB1329" s="280"/>
      <c r="AC1329" s="280"/>
      <c r="AD1329" s="121"/>
      <c r="AE1329" s="121"/>
      <c r="AF1329" s="121"/>
      <c r="AG1329" s="121"/>
      <c r="AH1329" s="121"/>
      <c r="AI1329" s="121"/>
      <c r="AJ1329" s="121"/>
      <c r="AK1329" s="121"/>
      <c r="AL1329" s="121"/>
      <c r="AM1329" s="121"/>
      <c r="AN1329" s="121"/>
      <c r="AO1329" s="121"/>
      <c r="AP1329" s="121"/>
      <c r="AQ1329" s="121"/>
      <c r="AR1329" s="121"/>
      <c r="AS1329" s="121"/>
      <c r="AT1329" s="121"/>
      <c r="AU1329" s="121"/>
      <c r="AV1329" s="121"/>
      <c r="AW1329" s="121"/>
      <c r="AX1329" s="121"/>
    </row>
    <row r="1330" ht="15.75" customHeight="1">
      <c r="A1330" s="170" t="s">
        <v>263</v>
      </c>
      <c r="B1330" s="171" t="s">
        <v>9151</v>
      </c>
      <c r="C1330" s="28" t="s">
        <v>9156</v>
      </c>
      <c r="D1330" s="28" t="s">
        <v>9157</v>
      </c>
      <c r="E1330" s="28" t="s">
        <v>9158</v>
      </c>
      <c r="F1330" s="28" t="s">
        <v>10819</v>
      </c>
      <c r="G1330" s="28"/>
      <c r="H1330" s="28"/>
      <c r="I1330" s="28"/>
      <c r="J1330" s="28"/>
      <c r="K1330" s="28" t="s">
        <v>864</v>
      </c>
      <c r="L1330" s="28"/>
      <c r="M1330" s="28"/>
      <c r="N1330" s="28"/>
      <c r="O1330" s="280" t="s">
        <v>10820</v>
      </c>
      <c r="P1330" s="173"/>
      <c r="Q1330" s="173" t="s">
        <v>145</v>
      </c>
      <c r="R1330" s="280"/>
      <c r="S1330" s="280"/>
      <c r="T1330" s="173"/>
      <c r="U1330" s="280"/>
      <c r="V1330" s="280"/>
      <c r="W1330" s="280"/>
      <c r="X1330" s="280"/>
      <c r="Y1330" s="280"/>
      <c r="Z1330" s="280"/>
      <c r="AA1330" s="280"/>
      <c r="AB1330" s="280"/>
      <c r="AC1330" s="280"/>
      <c r="AD1330" s="121"/>
      <c r="AE1330" s="121"/>
      <c r="AF1330" s="121"/>
      <c r="AG1330" s="121"/>
      <c r="AH1330" s="121"/>
      <c r="AI1330" s="121"/>
      <c r="AJ1330" s="121"/>
      <c r="AK1330" s="121"/>
      <c r="AL1330" s="121"/>
      <c r="AM1330" s="121"/>
      <c r="AN1330" s="121"/>
      <c r="AO1330" s="121"/>
      <c r="AP1330" s="121"/>
      <c r="AQ1330" s="121"/>
      <c r="AR1330" s="121"/>
      <c r="AS1330" s="121"/>
      <c r="AT1330" s="121"/>
      <c r="AU1330" s="121"/>
      <c r="AV1330" s="121"/>
      <c r="AW1330" s="121"/>
      <c r="AX1330" s="121"/>
    </row>
    <row r="1331" ht="15.75" customHeight="1">
      <c r="A1331" s="170" t="s">
        <v>263</v>
      </c>
      <c r="B1331" s="171" t="s">
        <v>9159</v>
      </c>
      <c r="C1331" s="28" t="s">
        <v>9163</v>
      </c>
      <c r="D1331" s="183" t="s">
        <v>10821</v>
      </c>
      <c r="E1331" s="28" t="s">
        <v>9165</v>
      </c>
      <c r="F1331" s="28"/>
      <c r="G1331" s="28"/>
      <c r="H1331" s="28"/>
      <c r="I1331" s="28"/>
      <c r="J1331" s="28"/>
      <c r="K1331" s="28" t="s">
        <v>864</v>
      </c>
      <c r="L1331" s="28"/>
      <c r="M1331" s="28"/>
      <c r="N1331" s="28"/>
      <c r="O1331" s="280"/>
      <c r="P1331" s="173"/>
      <c r="Q1331" s="173" t="s">
        <v>145</v>
      </c>
      <c r="R1331" s="280"/>
      <c r="S1331" s="280"/>
      <c r="T1331" s="173"/>
      <c r="U1331" s="280"/>
      <c r="V1331" s="280"/>
      <c r="W1331" s="280"/>
      <c r="X1331" s="280"/>
      <c r="Y1331" s="280"/>
      <c r="Z1331" s="280"/>
      <c r="AA1331" s="280"/>
      <c r="AB1331" s="280"/>
      <c r="AC1331" s="280"/>
      <c r="AD1331" s="121"/>
      <c r="AE1331" s="121"/>
      <c r="AF1331" s="121"/>
      <c r="AG1331" s="121"/>
      <c r="AH1331" s="121"/>
      <c r="AI1331" s="121"/>
      <c r="AJ1331" s="121"/>
      <c r="AK1331" s="121"/>
      <c r="AL1331" s="121"/>
      <c r="AM1331" s="121"/>
      <c r="AN1331" s="121"/>
      <c r="AO1331" s="121"/>
      <c r="AP1331" s="121"/>
      <c r="AQ1331" s="121"/>
      <c r="AR1331" s="121"/>
      <c r="AS1331" s="121"/>
      <c r="AT1331" s="121"/>
      <c r="AU1331" s="121"/>
      <c r="AV1331" s="121"/>
      <c r="AW1331" s="121"/>
      <c r="AX1331" s="121"/>
    </row>
    <row r="1332" ht="15.75" customHeight="1">
      <c r="A1332" s="170" t="s">
        <v>263</v>
      </c>
      <c r="B1332" s="171" t="s">
        <v>9166</v>
      </c>
      <c r="C1332" s="28" t="s">
        <v>9170</v>
      </c>
      <c r="D1332" s="28" t="s">
        <v>9171</v>
      </c>
      <c r="E1332" s="28" t="s">
        <v>9172</v>
      </c>
      <c r="F1332" s="28" t="s">
        <v>10822</v>
      </c>
      <c r="G1332" s="28"/>
      <c r="H1332" s="28"/>
      <c r="I1332" s="28"/>
      <c r="J1332" s="28"/>
      <c r="K1332" s="28" t="s">
        <v>864</v>
      </c>
      <c r="L1332" s="28"/>
      <c r="M1332" s="28"/>
      <c r="N1332" s="28"/>
      <c r="O1332" s="173" t="s">
        <v>10823</v>
      </c>
      <c r="P1332" s="173"/>
      <c r="Q1332" s="173" t="s">
        <v>145</v>
      </c>
      <c r="R1332" s="280"/>
      <c r="S1332" s="280"/>
      <c r="T1332" s="173"/>
      <c r="U1332" s="280"/>
      <c r="V1332" s="280"/>
      <c r="W1332" s="280"/>
      <c r="X1332" s="280"/>
      <c r="Y1332" s="280"/>
      <c r="Z1332" s="280"/>
      <c r="AA1332" s="280"/>
      <c r="AB1332" s="280"/>
      <c r="AC1332" s="280"/>
      <c r="AD1332" s="121"/>
      <c r="AE1332" s="121"/>
      <c r="AF1332" s="121"/>
      <c r="AG1332" s="121"/>
      <c r="AH1332" s="121"/>
      <c r="AI1332" s="121"/>
      <c r="AJ1332" s="121"/>
      <c r="AK1332" s="121"/>
      <c r="AL1332" s="121"/>
      <c r="AM1332" s="121"/>
      <c r="AN1332" s="121"/>
      <c r="AO1332" s="121"/>
      <c r="AP1332" s="121"/>
      <c r="AQ1332" s="121"/>
      <c r="AR1332" s="121"/>
      <c r="AS1332" s="121"/>
      <c r="AT1332" s="121"/>
      <c r="AU1332" s="121"/>
      <c r="AV1332" s="121"/>
      <c r="AW1332" s="121"/>
      <c r="AX1332" s="121"/>
    </row>
    <row r="1333" ht="15.75" customHeight="1">
      <c r="A1333" s="174" t="s">
        <v>1015</v>
      </c>
      <c r="B1333" s="204" t="s">
        <v>9124</v>
      </c>
      <c r="C1333" s="28" t="s">
        <v>9125</v>
      </c>
      <c r="D1333" s="28" t="s">
        <v>9126</v>
      </c>
      <c r="E1333" s="28" t="s">
        <v>9127</v>
      </c>
      <c r="F1333" s="28"/>
      <c r="G1333" s="28"/>
      <c r="H1333" s="28"/>
      <c r="I1333" s="28"/>
      <c r="J1333" s="28"/>
      <c r="K1333" s="28"/>
      <c r="L1333" s="28"/>
      <c r="M1333" s="28"/>
      <c r="N1333" s="28"/>
      <c r="O1333" s="176"/>
      <c r="P1333" s="176"/>
      <c r="Q1333" s="176"/>
      <c r="R1333" s="176"/>
      <c r="S1333" s="176"/>
      <c r="T1333" s="176"/>
      <c r="U1333" s="176"/>
      <c r="V1333" s="176"/>
      <c r="W1333" s="176"/>
      <c r="X1333" s="176"/>
      <c r="Y1333" s="176"/>
      <c r="Z1333" s="176"/>
      <c r="AA1333" s="176"/>
      <c r="AB1333" s="176"/>
      <c r="AC1333" s="176"/>
      <c r="AD1333" s="70"/>
      <c r="AE1333" s="70"/>
      <c r="AF1333" s="70"/>
      <c r="AG1333" s="70"/>
      <c r="AH1333" s="70"/>
      <c r="AI1333" s="70"/>
      <c r="AJ1333" s="70"/>
      <c r="AK1333" s="70"/>
      <c r="AL1333" s="70"/>
      <c r="AM1333" s="70"/>
      <c r="AN1333" s="70"/>
      <c r="AO1333" s="70"/>
      <c r="AP1333" s="70"/>
      <c r="AQ1333" s="70"/>
      <c r="AR1333" s="70"/>
      <c r="AS1333" s="70"/>
      <c r="AT1333" s="70"/>
      <c r="AU1333" s="70"/>
      <c r="AV1333" s="70"/>
      <c r="AW1333" s="70"/>
      <c r="AX1333" s="70"/>
    </row>
    <row r="1334" ht="15.75" customHeight="1">
      <c r="A1334" s="221"/>
      <c r="B1334" s="222"/>
      <c r="C1334" s="28"/>
      <c r="D1334" s="28"/>
      <c r="E1334" s="28"/>
      <c r="F1334" s="28"/>
      <c r="G1334" s="28"/>
      <c r="H1334" s="28"/>
      <c r="I1334" s="28"/>
      <c r="J1334" s="28"/>
      <c r="K1334" s="28"/>
      <c r="L1334" s="28"/>
      <c r="M1334" s="28"/>
      <c r="N1334" s="28"/>
      <c r="O1334" s="70"/>
      <c r="P1334" s="70"/>
      <c r="Q1334" s="70"/>
      <c r="R1334" s="70"/>
      <c r="S1334" s="70"/>
      <c r="T1334" s="70"/>
      <c r="U1334" s="70"/>
      <c r="V1334" s="70"/>
      <c r="W1334" s="70"/>
      <c r="X1334" s="70"/>
      <c r="Y1334" s="70"/>
      <c r="Z1334" s="70"/>
      <c r="AA1334" s="70"/>
      <c r="AB1334" s="70"/>
      <c r="AC1334" s="70"/>
      <c r="AD1334" s="70"/>
      <c r="AE1334" s="70"/>
      <c r="AF1334" s="70"/>
      <c r="AG1334" s="70"/>
      <c r="AH1334" s="70"/>
      <c r="AI1334" s="70"/>
      <c r="AJ1334" s="70"/>
      <c r="AK1334" s="70"/>
      <c r="AL1334" s="70"/>
      <c r="AM1334" s="70"/>
      <c r="AN1334" s="70"/>
      <c r="AO1334" s="70"/>
      <c r="AP1334" s="70"/>
      <c r="AQ1334" s="70"/>
      <c r="AR1334" s="70"/>
      <c r="AS1334" s="70"/>
      <c r="AT1334" s="70"/>
      <c r="AU1334" s="70"/>
      <c r="AV1334" s="70"/>
      <c r="AW1334" s="70"/>
      <c r="AX1334" s="70"/>
    </row>
    <row r="1335" ht="15.75" customHeight="1">
      <c r="A1335" s="170" t="s">
        <v>263</v>
      </c>
      <c r="B1335" s="171" t="s">
        <v>9173</v>
      </c>
      <c r="C1335" s="28" t="s">
        <v>9177</v>
      </c>
      <c r="D1335" s="28" t="s">
        <v>9178</v>
      </c>
      <c r="E1335" s="28" t="s">
        <v>9179</v>
      </c>
      <c r="F1335" s="28"/>
      <c r="G1335" s="28"/>
      <c r="H1335" s="28"/>
      <c r="I1335" s="28"/>
      <c r="J1335" s="28"/>
      <c r="K1335" s="28"/>
      <c r="L1335" s="28"/>
      <c r="M1335" s="28"/>
      <c r="N1335" s="28"/>
      <c r="O1335" s="173"/>
      <c r="P1335" s="173"/>
      <c r="Q1335" s="173" t="s">
        <v>145</v>
      </c>
      <c r="R1335" s="173"/>
      <c r="S1335" s="173"/>
      <c r="T1335" s="173"/>
      <c r="U1335" s="173"/>
      <c r="V1335" s="173"/>
      <c r="W1335" s="173"/>
      <c r="X1335" s="173"/>
      <c r="Y1335" s="173"/>
      <c r="Z1335" s="173"/>
      <c r="AA1335" s="173"/>
      <c r="AB1335" s="173"/>
      <c r="AC1335" s="173"/>
      <c r="AD1335" s="70"/>
      <c r="AE1335" s="70"/>
      <c r="AF1335" s="70"/>
      <c r="AG1335" s="70"/>
      <c r="AH1335" s="70"/>
      <c r="AI1335" s="70"/>
      <c r="AJ1335" s="70"/>
      <c r="AK1335" s="70"/>
      <c r="AL1335" s="70"/>
      <c r="AM1335" s="70"/>
      <c r="AN1335" s="70"/>
      <c r="AO1335" s="70"/>
      <c r="AP1335" s="70"/>
      <c r="AQ1335" s="70"/>
      <c r="AR1335" s="70"/>
      <c r="AS1335" s="70"/>
      <c r="AT1335" s="70"/>
      <c r="AU1335" s="70"/>
      <c r="AV1335" s="70"/>
      <c r="AW1335" s="70"/>
      <c r="AX1335" s="70"/>
    </row>
    <row r="1336" ht="15.75" customHeight="1">
      <c r="A1336" s="166" t="s">
        <v>41</v>
      </c>
      <c r="B1336" s="167" t="s">
        <v>9181</v>
      </c>
      <c r="C1336" s="28" t="s">
        <v>9185</v>
      </c>
      <c r="D1336" s="28" t="s">
        <v>9186</v>
      </c>
      <c r="E1336" s="28" t="s">
        <v>9187</v>
      </c>
      <c r="F1336" s="28"/>
      <c r="G1336" s="28"/>
      <c r="H1336" s="28"/>
      <c r="I1336" s="28"/>
      <c r="J1336" s="28"/>
      <c r="K1336" s="28"/>
      <c r="L1336" s="28"/>
      <c r="M1336" s="28"/>
      <c r="N1336" s="28"/>
      <c r="O1336" s="126"/>
      <c r="P1336" s="126"/>
      <c r="Q1336" s="126"/>
      <c r="R1336" s="126"/>
      <c r="S1336" s="126"/>
      <c r="T1336" s="126"/>
      <c r="U1336" s="126"/>
      <c r="V1336" s="126"/>
      <c r="W1336" s="126"/>
      <c r="X1336" s="126"/>
      <c r="Y1336" s="126"/>
      <c r="Z1336" s="126"/>
      <c r="AA1336" s="126"/>
      <c r="AB1336" s="126"/>
      <c r="AC1336" s="126"/>
      <c r="AD1336" s="70"/>
      <c r="AE1336" s="70"/>
      <c r="AF1336" s="70"/>
      <c r="AG1336" s="70"/>
      <c r="AH1336" s="70"/>
      <c r="AI1336" s="70"/>
      <c r="AJ1336" s="70"/>
      <c r="AK1336" s="70"/>
      <c r="AL1336" s="70"/>
      <c r="AM1336" s="70"/>
      <c r="AN1336" s="70"/>
      <c r="AO1336" s="70"/>
      <c r="AP1336" s="70"/>
      <c r="AQ1336" s="70"/>
      <c r="AR1336" s="70"/>
      <c r="AS1336" s="70"/>
      <c r="AT1336" s="70"/>
      <c r="AU1336" s="70"/>
      <c r="AV1336" s="70"/>
      <c r="AW1336" s="70"/>
      <c r="AX1336" s="70"/>
    </row>
    <row r="1337" ht="15.75" customHeight="1">
      <c r="A1337" s="170" t="s">
        <v>263</v>
      </c>
      <c r="B1337" s="171" t="s">
        <v>9188</v>
      </c>
      <c r="C1337" s="28" t="s">
        <v>9192</v>
      </c>
      <c r="D1337" s="28" t="s">
        <v>9193</v>
      </c>
      <c r="E1337" s="28" t="s">
        <v>9194</v>
      </c>
      <c r="F1337" s="28"/>
      <c r="G1337" s="28"/>
      <c r="H1337" s="28"/>
      <c r="I1337" s="28"/>
      <c r="J1337" s="28"/>
      <c r="K1337" s="28" t="s">
        <v>10824</v>
      </c>
      <c r="L1337" s="28"/>
      <c r="M1337" s="28"/>
      <c r="N1337" s="28"/>
      <c r="O1337" s="173" t="s">
        <v>10758</v>
      </c>
      <c r="P1337" s="173"/>
      <c r="Q1337" s="173" t="s">
        <v>145</v>
      </c>
      <c r="R1337" s="173"/>
      <c r="S1337" s="173"/>
      <c r="T1337" s="173"/>
      <c r="U1337" s="173"/>
      <c r="V1337" s="173"/>
      <c r="W1337" s="173"/>
      <c r="X1337" s="173"/>
      <c r="Y1337" s="173"/>
      <c r="Z1337" s="173"/>
      <c r="AA1337" s="173"/>
      <c r="AB1337" s="173"/>
      <c r="AC1337" s="173"/>
      <c r="AD1337" s="70"/>
      <c r="AE1337" s="70"/>
      <c r="AF1337" s="70"/>
      <c r="AG1337" s="70"/>
      <c r="AH1337" s="70"/>
      <c r="AI1337" s="70"/>
      <c r="AJ1337" s="70"/>
      <c r="AK1337" s="70"/>
      <c r="AL1337" s="70"/>
      <c r="AM1337" s="70"/>
      <c r="AN1337" s="70"/>
      <c r="AO1337" s="70"/>
      <c r="AP1337" s="70"/>
      <c r="AQ1337" s="70"/>
      <c r="AR1337" s="70"/>
      <c r="AS1337" s="70"/>
      <c r="AT1337" s="70"/>
      <c r="AU1337" s="70"/>
      <c r="AV1337" s="70"/>
      <c r="AW1337" s="70"/>
      <c r="AX1337" s="70"/>
    </row>
    <row r="1338" ht="15.75" customHeight="1">
      <c r="A1338" s="68" t="s">
        <v>463</v>
      </c>
      <c r="B1338" s="169" t="s">
        <v>9195</v>
      </c>
      <c r="C1338" s="28" t="s">
        <v>9199</v>
      </c>
      <c r="D1338" s="28" t="s">
        <v>9200</v>
      </c>
      <c r="E1338" s="28" t="s">
        <v>9201</v>
      </c>
      <c r="F1338" s="28"/>
      <c r="G1338" s="28"/>
      <c r="H1338" s="28"/>
      <c r="I1338" s="28"/>
      <c r="J1338" s="28"/>
      <c r="K1338" s="28"/>
      <c r="L1338" s="28"/>
      <c r="M1338" s="28"/>
      <c r="N1338" s="28"/>
      <c r="O1338" s="67" t="s">
        <v>10758</v>
      </c>
      <c r="P1338" s="67"/>
      <c r="Q1338" s="67" t="s">
        <v>145</v>
      </c>
      <c r="R1338" s="67"/>
      <c r="S1338" s="67"/>
      <c r="T1338" s="67"/>
      <c r="U1338" s="67"/>
      <c r="V1338" s="67"/>
      <c r="W1338" s="67"/>
      <c r="X1338" s="67"/>
      <c r="Y1338" s="67"/>
      <c r="Z1338" s="67"/>
      <c r="AA1338" s="67"/>
      <c r="AB1338" s="67"/>
      <c r="AC1338" s="67"/>
      <c r="AD1338" s="70"/>
      <c r="AE1338" s="70"/>
      <c r="AF1338" s="70"/>
      <c r="AG1338" s="70"/>
      <c r="AH1338" s="70"/>
      <c r="AI1338" s="70"/>
      <c r="AJ1338" s="70"/>
      <c r="AK1338" s="70"/>
      <c r="AL1338" s="70"/>
      <c r="AM1338" s="70"/>
      <c r="AN1338" s="70"/>
      <c r="AO1338" s="70"/>
      <c r="AP1338" s="70"/>
      <c r="AQ1338" s="70"/>
      <c r="AR1338" s="70"/>
      <c r="AS1338" s="70"/>
      <c r="AT1338" s="70"/>
      <c r="AU1338" s="70"/>
      <c r="AV1338" s="70"/>
      <c r="AW1338" s="70"/>
      <c r="AX1338" s="70"/>
    </row>
    <row r="1339" ht="15.75" customHeight="1">
      <c r="A1339" s="170" t="s">
        <v>263</v>
      </c>
      <c r="B1339" s="171" t="s">
        <v>9203</v>
      </c>
      <c r="C1339" s="28" t="s">
        <v>9207</v>
      </c>
      <c r="D1339" s="28" t="s">
        <v>9208</v>
      </c>
      <c r="E1339" s="28" t="s">
        <v>9209</v>
      </c>
      <c r="F1339" s="28"/>
      <c r="G1339" s="28"/>
      <c r="H1339" s="28"/>
      <c r="I1339" s="28"/>
      <c r="J1339" s="28"/>
      <c r="K1339" s="28" t="s">
        <v>10825</v>
      </c>
      <c r="L1339" s="28"/>
      <c r="M1339" s="28"/>
      <c r="N1339" s="28"/>
      <c r="O1339" s="173" t="s">
        <v>10826</v>
      </c>
      <c r="P1339" s="173"/>
      <c r="Q1339" s="173" t="s">
        <v>145</v>
      </c>
      <c r="R1339" s="173"/>
      <c r="S1339" s="173"/>
      <c r="T1339" s="173"/>
      <c r="U1339" s="173"/>
      <c r="V1339" s="173"/>
      <c r="W1339" s="173"/>
      <c r="X1339" s="173"/>
      <c r="Y1339" s="173"/>
      <c r="Z1339" s="173"/>
      <c r="AA1339" s="173"/>
      <c r="AB1339" s="173"/>
      <c r="AC1339" s="173"/>
      <c r="AD1339" s="70"/>
      <c r="AE1339" s="70"/>
      <c r="AF1339" s="70"/>
      <c r="AG1339" s="70"/>
      <c r="AH1339" s="70"/>
      <c r="AI1339" s="70"/>
      <c r="AJ1339" s="70"/>
      <c r="AK1339" s="70"/>
      <c r="AL1339" s="70"/>
      <c r="AM1339" s="70"/>
      <c r="AN1339" s="70"/>
      <c r="AO1339" s="70"/>
      <c r="AP1339" s="70"/>
      <c r="AQ1339" s="70"/>
      <c r="AR1339" s="70"/>
      <c r="AS1339" s="70"/>
      <c r="AT1339" s="70"/>
      <c r="AU1339" s="70"/>
      <c r="AV1339" s="70"/>
      <c r="AW1339" s="70"/>
      <c r="AX1339" s="70"/>
    </row>
    <row r="1340" ht="15.75" customHeight="1">
      <c r="A1340" s="170" t="s">
        <v>263</v>
      </c>
      <c r="B1340" s="171" t="s">
        <v>9210</v>
      </c>
      <c r="C1340" s="28" t="s">
        <v>9214</v>
      </c>
      <c r="D1340" s="28" t="s">
        <v>9215</v>
      </c>
      <c r="E1340" s="28" t="s">
        <v>9216</v>
      </c>
      <c r="F1340" s="28"/>
      <c r="G1340" s="28"/>
      <c r="H1340" s="28"/>
      <c r="I1340" s="28"/>
      <c r="J1340" s="28"/>
      <c r="K1340" s="28"/>
      <c r="L1340" s="28"/>
      <c r="M1340" s="28"/>
      <c r="N1340" s="28"/>
      <c r="O1340" s="173" t="s">
        <v>10826</v>
      </c>
      <c r="P1340" s="173"/>
      <c r="Q1340" s="173" t="s">
        <v>145</v>
      </c>
      <c r="R1340" s="173"/>
      <c r="S1340" s="173"/>
      <c r="T1340" s="173"/>
      <c r="U1340" s="173"/>
      <c r="V1340" s="173"/>
      <c r="W1340" s="173"/>
      <c r="X1340" s="173"/>
      <c r="Y1340" s="173"/>
      <c r="Z1340" s="173"/>
      <c r="AA1340" s="173"/>
      <c r="AB1340" s="173"/>
      <c r="AC1340" s="173"/>
      <c r="AD1340" s="70"/>
      <c r="AE1340" s="70"/>
      <c r="AF1340" s="70"/>
      <c r="AG1340" s="70"/>
      <c r="AH1340" s="70"/>
      <c r="AI1340" s="70"/>
      <c r="AJ1340" s="70"/>
      <c r="AK1340" s="70"/>
      <c r="AL1340" s="70"/>
      <c r="AM1340" s="70"/>
      <c r="AN1340" s="70"/>
      <c r="AO1340" s="70"/>
      <c r="AP1340" s="70"/>
      <c r="AQ1340" s="70"/>
      <c r="AR1340" s="70"/>
      <c r="AS1340" s="70"/>
      <c r="AT1340" s="70"/>
      <c r="AU1340" s="70"/>
      <c r="AV1340" s="70"/>
      <c r="AW1340" s="70"/>
      <c r="AX1340" s="70"/>
    </row>
    <row r="1341" ht="15.75" customHeight="1">
      <c r="A1341" s="90" t="s">
        <v>78</v>
      </c>
      <c r="B1341" s="92" t="s">
        <v>9217</v>
      </c>
      <c r="C1341" s="28"/>
      <c r="D1341" s="28"/>
      <c r="E1341" s="28"/>
      <c r="F1341" s="28"/>
      <c r="G1341" s="28"/>
      <c r="H1341" s="28"/>
      <c r="I1341" s="28"/>
      <c r="J1341" s="28"/>
      <c r="K1341" s="28"/>
      <c r="L1341" s="28"/>
      <c r="M1341" s="28"/>
      <c r="N1341" s="28"/>
      <c r="O1341" s="96"/>
      <c r="P1341" s="96"/>
      <c r="Q1341" s="96"/>
      <c r="R1341" s="96"/>
      <c r="S1341" s="96"/>
      <c r="T1341" s="178" t="s">
        <v>10827</v>
      </c>
      <c r="U1341" s="96"/>
      <c r="V1341" s="96"/>
      <c r="W1341" s="96"/>
      <c r="X1341" s="96"/>
      <c r="Y1341" s="96"/>
      <c r="Z1341" s="96"/>
      <c r="AA1341" s="96"/>
      <c r="AB1341" s="96"/>
      <c r="AC1341" s="96"/>
      <c r="AD1341" s="70"/>
      <c r="AE1341" s="70"/>
      <c r="AF1341" s="70"/>
      <c r="AG1341" s="70"/>
      <c r="AH1341" s="70"/>
      <c r="AI1341" s="70"/>
      <c r="AJ1341" s="70"/>
      <c r="AK1341" s="70"/>
      <c r="AL1341" s="70"/>
      <c r="AM1341" s="70"/>
      <c r="AN1341" s="70"/>
      <c r="AO1341" s="70"/>
      <c r="AP1341" s="70"/>
      <c r="AQ1341" s="70"/>
      <c r="AR1341" s="70"/>
      <c r="AS1341" s="70"/>
      <c r="AT1341" s="70"/>
      <c r="AU1341" s="70"/>
      <c r="AV1341" s="70"/>
      <c r="AW1341" s="70"/>
      <c r="AX1341" s="70"/>
    </row>
    <row r="1342" ht="15.75" customHeight="1">
      <c r="A1342" s="68" t="s">
        <v>463</v>
      </c>
      <c r="B1342" s="169" t="s">
        <v>9218</v>
      </c>
      <c r="C1342" s="28" t="s">
        <v>9222</v>
      </c>
      <c r="D1342" s="28" t="s">
        <v>9223</v>
      </c>
      <c r="E1342" s="28" t="s">
        <v>9224</v>
      </c>
      <c r="F1342" s="28"/>
      <c r="G1342" s="28"/>
      <c r="H1342" s="28"/>
      <c r="I1342" s="28"/>
      <c r="J1342" s="28"/>
      <c r="K1342" s="28"/>
      <c r="L1342" s="28"/>
      <c r="M1342" s="28"/>
      <c r="N1342" s="28"/>
      <c r="O1342" s="67" t="s">
        <v>10826</v>
      </c>
      <c r="P1342" s="67"/>
      <c r="Q1342" s="67" t="s">
        <v>145</v>
      </c>
      <c r="R1342" s="67"/>
      <c r="S1342" s="67"/>
      <c r="T1342" s="67"/>
      <c r="U1342" s="67"/>
      <c r="V1342" s="67"/>
      <c r="W1342" s="67"/>
      <c r="X1342" s="67"/>
      <c r="Y1342" s="67"/>
      <c r="Z1342" s="67"/>
      <c r="AA1342" s="67"/>
      <c r="AB1342" s="67"/>
      <c r="AC1342" s="67"/>
      <c r="AD1342" s="70"/>
      <c r="AE1342" s="70"/>
      <c r="AF1342" s="70"/>
      <c r="AG1342" s="70"/>
      <c r="AH1342" s="70"/>
      <c r="AI1342" s="70"/>
      <c r="AJ1342" s="70"/>
      <c r="AK1342" s="70"/>
      <c r="AL1342" s="70"/>
      <c r="AM1342" s="70"/>
      <c r="AN1342" s="70"/>
      <c r="AO1342" s="70"/>
      <c r="AP1342" s="70"/>
      <c r="AQ1342" s="70"/>
      <c r="AR1342" s="70"/>
      <c r="AS1342" s="70"/>
      <c r="AT1342" s="70"/>
      <c r="AU1342" s="70"/>
      <c r="AV1342" s="70"/>
      <c r="AW1342" s="70"/>
      <c r="AX1342" s="70"/>
    </row>
    <row r="1343" ht="15.75" customHeight="1">
      <c r="A1343" s="68" t="s">
        <v>463</v>
      </c>
      <c r="B1343" s="169" t="s">
        <v>9225</v>
      </c>
      <c r="C1343" s="28" t="s">
        <v>9230</v>
      </c>
      <c r="D1343" s="28" t="s">
        <v>9231</v>
      </c>
      <c r="E1343" s="28" t="s">
        <v>9232</v>
      </c>
      <c r="F1343" s="28"/>
      <c r="G1343" s="28"/>
      <c r="H1343" s="28"/>
      <c r="I1343" s="28"/>
      <c r="J1343" s="28"/>
      <c r="K1343" s="28"/>
      <c r="L1343" s="28"/>
      <c r="M1343" s="28"/>
      <c r="N1343" s="28"/>
      <c r="O1343" s="67"/>
      <c r="P1343" s="67"/>
      <c r="Q1343" s="67" t="s">
        <v>145</v>
      </c>
      <c r="R1343" s="67"/>
      <c r="S1343" s="67"/>
      <c r="T1343" s="67"/>
      <c r="U1343" s="67"/>
      <c r="V1343" s="67"/>
      <c r="W1343" s="67"/>
      <c r="X1343" s="67"/>
      <c r="Y1343" s="67"/>
      <c r="Z1343" s="67"/>
      <c r="AA1343" s="67"/>
      <c r="AB1343" s="67"/>
      <c r="AC1343" s="67"/>
      <c r="AD1343" s="70"/>
      <c r="AE1343" s="70"/>
      <c r="AF1343" s="70"/>
      <c r="AG1343" s="70"/>
      <c r="AH1343" s="70"/>
      <c r="AI1343" s="70"/>
      <c r="AJ1343" s="70"/>
      <c r="AK1343" s="70"/>
      <c r="AL1343" s="70"/>
      <c r="AM1343" s="70"/>
      <c r="AN1343" s="70"/>
      <c r="AO1343" s="70"/>
      <c r="AP1343" s="70"/>
      <c r="AQ1343" s="70"/>
      <c r="AR1343" s="70"/>
      <c r="AS1343" s="70"/>
      <c r="AT1343" s="70"/>
      <c r="AU1343" s="70"/>
      <c r="AV1343" s="70"/>
      <c r="AW1343" s="70"/>
      <c r="AX1343" s="70"/>
    </row>
    <row r="1344" ht="15.75" customHeight="1">
      <c r="A1344" s="170" t="s">
        <v>263</v>
      </c>
      <c r="B1344" s="171" t="s">
        <v>9233</v>
      </c>
      <c r="C1344" s="28" t="s">
        <v>9240</v>
      </c>
      <c r="D1344" s="28" t="s">
        <v>9241</v>
      </c>
      <c r="E1344" s="28" t="s">
        <v>9242</v>
      </c>
      <c r="F1344" s="28"/>
      <c r="G1344" s="28"/>
      <c r="H1344" s="28"/>
      <c r="I1344" s="28"/>
      <c r="J1344" s="28"/>
      <c r="K1344" s="28" t="s">
        <v>10824</v>
      </c>
      <c r="L1344" s="28"/>
      <c r="M1344" s="28"/>
      <c r="N1344" s="28"/>
      <c r="O1344" s="173" t="s">
        <v>10828</v>
      </c>
      <c r="P1344" s="173"/>
      <c r="Q1344" s="173" t="s">
        <v>145</v>
      </c>
      <c r="R1344" s="173"/>
      <c r="S1344" s="173"/>
      <c r="T1344" s="173"/>
      <c r="U1344" s="173"/>
      <c r="V1344" s="173"/>
      <c r="W1344" s="173"/>
      <c r="X1344" s="173"/>
      <c r="Y1344" s="173"/>
      <c r="Z1344" s="173"/>
      <c r="AA1344" s="173"/>
      <c r="AB1344" s="173"/>
      <c r="AC1344" s="173"/>
      <c r="AD1344" s="70"/>
      <c r="AE1344" s="70"/>
      <c r="AF1344" s="70"/>
      <c r="AG1344" s="70"/>
      <c r="AH1344" s="70"/>
      <c r="AI1344" s="70"/>
      <c r="AJ1344" s="70"/>
      <c r="AK1344" s="70"/>
      <c r="AL1344" s="70"/>
      <c r="AM1344" s="70"/>
      <c r="AN1344" s="70"/>
      <c r="AO1344" s="70"/>
      <c r="AP1344" s="70"/>
      <c r="AQ1344" s="70"/>
      <c r="AR1344" s="70"/>
      <c r="AS1344" s="70"/>
      <c r="AT1344" s="70"/>
      <c r="AU1344" s="70"/>
      <c r="AV1344" s="70"/>
      <c r="AW1344" s="70"/>
      <c r="AX1344" s="70"/>
    </row>
    <row r="1345" ht="15.75" customHeight="1">
      <c r="A1345" s="170" t="s">
        <v>263</v>
      </c>
      <c r="B1345" s="171" t="s">
        <v>9243</v>
      </c>
      <c r="C1345" s="28" t="s">
        <v>9247</v>
      </c>
      <c r="D1345" s="28" t="s">
        <v>9248</v>
      </c>
      <c r="E1345" s="28" t="s">
        <v>9249</v>
      </c>
      <c r="F1345" s="28"/>
      <c r="G1345" s="28"/>
      <c r="H1345" s="28"/>
      <c r="I1345" s="28"/>
      <c r="J1345" s="28"/>
      <c r="K1345" s="28"/>
      <c r="L1345" s="28"/>
      <c r="M1345" s="28"/>
      <c r="N1345" s="28"/>
      <c r="O1345" s="173" t="s">
        <v>10828</v>
      </c>
      <c r="P1345" s="173"/>
      <c r="Q1345" s="173" t="s">
        <v>145</v>
      </c>
      <c r="R1345" s="173"/>
      <c r="S1345" s="173"/>
      <c r="T1345" s="173"/>
      <c r="U1345" s="173"/>
      <c r="V1345" s="173"/>
      <c r="W1345" s="173"/>
      <c r="X1345" s="173"/>
      <c r="Y1345" s="173"/>
      <c r="Z1345" s="173"/>
      <c r="AA1345" s="173"/>
      <c r="AB1345" s="173"/>
      <c r="AC1345" s="173"/>
      <c r="AD1345" s="70"/>
      <c r="AE1345" s="70"/>
      <c r="AF1345" s="70"/>
      <c r="AG1345" s="70"/>
      <c r="AH1345" s="70"/>
      <c r="AI1345" s="70"/>
      <c r="AJ1345" s="70"/>
      <c r="AK1345" s="70"/>
      <c r="AL1345" s="70"/>
      <c r="AM1345" s="70"/>
      <c r="AN1345" s="70"/>
      <c r="AO1345" s="70"/>
      <c r="AP1345" s="70"/>
      <c r="AQ1345" s="70"/>
      <c r="AR1345" s="70"/>
      <c r="AS1345" s="70"/>
      <c r="AT1345" s="70"/>
      <c r="AU1345" s="70"/>
      <c r="AV1345" s="70"/>
      <c r="AW1345" s="70"/>
      <c r="AX1345" s="70"/>
    </row>
    <row r="1346" ht="15.75" customHeight="1">
      <c r="A1346" s="166" t="s">
        <v>41</v>
      </c>
      <c r="B1346" s="167" t="s">
        <v>9250</v>
      </c>
      <c r="C1346" s="28" t="s">
        <v>9252</v>
      </c>
      <c r="D1346" s="28" t="s">
        <v>9253</v>
      </c>
      <c r="E1346" s="28" t="s">
        <v>9253</v>
      </c>
      <c r="F1346" s="28"/>
      <c r="G1346" s="28"/>
      <c r="H1346" s="28"/>
      <c r="I1346" s="28"/>
      <c r="J1346" s="28"/>
      <c r="K1346" s="28"/>
      <c r="L1346" s="28"/>
      <c r="M1346" s="28"/>
      <c r="N1346" s="28"/>
      <c r="O1346" s="126"/>
      <c r="P1346" s="126"/>
      <c r="Q1346" s="126"/>
      <c r="R1346" s="126"/>
      <c r="S1346" s="126"/>
      <c r="T1346" s="126"/>
      <c r="U1346" s="126"/>
      <c r="V1346" s="126"/>
      <c r="W1346" s="126"/>
      <c r="X1346" s="126"/>
      <c r="Y1346" s="126"/>
      <c r="Z1346" s="126"/>
      <c r="AA1346" s="126"/>
      <c r="AB1346" s="126"/>
      <c r="AC1346" s="126"/>
      <c r="AD1346" s="70"/>
      <c r="AE1346" s="70"/>
      <c r="AF1346" s="70"/>
      <c r="AG1346" s="70"/>
      <c r="AH1346" s="70"/>
      <c r="AI1346" s="70"/>
      <c r="AJ1346" s="70"/>
      <c r="AK1346" s="70"/>
      <c r="AL1346" s="70"/>
      <c r="AM1346" s="70"/>
      <c r="AN1346" s="70"/>
      <c r="AO1346" s="70"/>
      <c r="AP1346" s="70"/>
      <c r="AQ1346" s="70"/>
      <c r="AR1346" s="70"/>
      <c r="AS1346" s="70"/>
      <c r="AT1346" s="70"/>
      <c r="AU1346" s="70"/>
      <c r="AV1346" s="70"/>
      <c r="AW1346" s="70"/>
      <c r="AX1346" s="70"/>
    </row>
    <row r="1347" ht="15.75" customHeight="1">
      <c r="A1347" s="68" t="s">
        <v>463</v>
      </c>
      <c r="B1347" s="169" t="s">
        <v>9256</v>
      </c>
      <c r="C1347" s="28" t="s">
        <v>9262</v>
      </c>
      <c r="D1347" s="28" t="s">
        <v>9263</v>
      </c>
      <c r="E1347" s="28" t="s">
        <v>9264</v>
      </c>
      <c r="F1347" s="28"/>
      <c r="G1347" s="28"/>
      <c r="H1347" s="28"/>
      <c r="I1347" s="28"/>
      <c r="J1347" s="28"/>
      <c r="K1347" s="28"/>
      <c r="L1347" s="28"/>
      <c r="M1347" s="28"/>
      <c r="N1347" s="28"/>
      <c r="O1347" s="67"/>
      <c r="P1347" s="67"/>
      <c r="Q1347" s="67" t="s">
        <v>145</v>
      </c>
      <c r="R1347" s="67"/>
      <c r="S1347" s="67"/>
      <c r="T1347" s="67"/>
      <c r="U1347" s="67"/>
      <c r="V1347" s="67"/>
      <c r="W1347" s="67"/>
      <c r="X1347" s="67"/>
      <c r="Y1347" s="67"/>
      <c r="Z1347" s="67"/>
      <c r="AA1347" s="67"/>
      <c r="AB1347" s="67"/>
      <c r="AC1347" s="67"/>
      <c r="AD1347" s="70"/>
      <c r="AE1347" s="70"/>
      <c r="AF1347" s="70"/>
      <c r="AG1347" s="70"/>
      <c r="AH1347" s="70"/>
      <c r="AI1347" s="70"/>
      <c r="AJ1347" s="70"/>
      <c r="AK1347" s="70"/>
      <c r="AL1347" s="70"/>
      <c r="AM1347" s="70"/>
      <c r="AN1347" s="70"/>
      <c r="AO1347" s="70"/>
      <c r="AP1347" s="70"/>
      <c r="AQ1347" s="70"/>
      <c r="AR1347" s="70"/>
      <c r="AS1347" s="70"/>
      <c r="AT1347" s="70"/>
      <c r="AU1347" s="70"/>
      <c r="AV1347" s="70"/>
      <c r="AW1347" s="70"/>
      <c r="AX1347" s="70"/>
    </row>
    <row r="1348" ht="15.75" customHeight="1">
      <c r="A1348" s="170" t="s">
        <v>263</v>
      </c>
      <c r="B1348" s="171" t="s">
        <v>9265</v>
      </c>
      <c r="C1348" s="28" t="s">
        <v>9270</v>
      </c>
      <c r="D1348" s="28" t="s">
        <v>9271</v>
      </c>
      <c r="E1348" s="28" t="s">
        <v>9273</v>
      </c>
      <c r="F1348" s="28"/>
      <c r="G1348" s="28"/>
      <c r="H1348" s="28"/>
      <c r="I1348" s="28"/>
      <c r="J1348" s="28"/>
      <c r="K1348" s="28"/>
      <c r="L1348" s="28"/>
      <c r="M1348" s="28"/>
      <c r="N1348" s="28"/>
      <c r="O1348" s="173" t="s">
        <v>10829</v>
      </c>
      <c r="P1348" s="173"/>
      <c r="Q1348" s="173" t="s">
        <v>145</v>
      </c>
      <c r="R1348" s="173"/>
      <c r="S1348" s="173"/>
      <c r="T1348" s="173"/>
      <c r="U1348" s="173"/>
      <c r="V1348" s="173"/>
      <c r="W1348" s="173"/>
      <c r="X1348" s="173"/>
      <c r="Y1348" s="173"/>
      <c r="Z1348" s="173"/>
      <c r="AA1348" s="173"/>
      <c r="AB1348" s="173"/>
      <c r="AC1348" s="173"/>
      <c r="AD1348" s="70"/>
      <c r="AE1348" s="70"/>
      <c r="AF1348" s="70"/>
      <c r="AG1348" s="70"/>
      <c r="AH1348" s="70"/>
      <c r="AI1348" s="70"/>
      <c r="AJ1348" s="70"/>
      <c r="AK1348" s="70"/>
      <c r="AL1348" s="70"/>
      <c r="AM1348" s="70"/>
      <c r="AN1348" s="70"/>
      <c r="AO1348" s="70"/>
      <c r="AP1348" s="70"/>
      <c r="AQ1348" s="70"/>
      <c r="AR1348" s="70"/>
      <c r="AS1348" s="70"/>
      <c r="AT1348" s="70"/>
      <c r="AU1348" s="70"/>
      <c r="AV1348" s="70"/>
      <c r="AW1348" s="70"/>
      <c r="AX1348" s="70"/>
    </row>
    <row r="1349" ht="15.75" customHeight="1">
      <c r="A1349" s="170" t="s">
        <v>263</v>
      </c>
      <c r="B1349" s="171" t="s">
        <v>9275</v>
      </c>
      <c r="C1349" s="28" t="s">
        <v>9279</v>
      </c>
      <c r="D1349" s="28" t="s">
        <v>9280</v>
      </c>
      <c r="E1349" s="28" t="s">
        <v>9281</v>
      </c>
      <c r="F1349" s="28"/>
      <c r="G1349" s="28"/>
      <c r="H1349" s="28"/>
      <c r="I1349" s="28"/>
      <c r="J1349" s="28"/>
      <c r="K1349" s="28"/>
      <c r="L1349" s="28"/>
      <c r="M1349" s="28"/>
      <c r="N1349" s="28"/>
      <c r="O1349" s="173"/>
      <c r="P1349" s="173"/>
      <c r="Q1349" s="173" t="s">
        <v>145</v>
      </c>
      <c r="R1349" s="173"/>
      <c r="S1349" s="173"/>
      <c r="T1349" s="173"/>
      <c r="U1349" s="173"/>
      <c r="V1349" s="173"/>
      <c r="W1349" s="173"/>
      <c r="X1349" s="173"/>
      <c r="Y1349" s="173"/>
      <c r="Z1349" s="173"/>
      <c r="AA1349" s="173"/>
      <c r="AB1349" s="173"/>
      <c r="AC1349" s="173"/>
      <c r="AD1349" s="70"/>
      <c r="AE1349" s="70"/>
      <c r="AF1349" s="70"/>
      <c r="AG1349" s="70"/>
      <c r="AH1349" s="70"/>
      <c r="AI1349" s="70"/>
      <c r="AJ1349" s="70"/>
      <c r="AK1349" s="70"/>
      <c r="AL1349" s="70"/>
      <c r="AM1349" s="70"/>
      <c r="AN1349" s="70"/>
      <c r="AO1349" s="70"/>
      <c r="AP1349" s="70"/>
      <c r="AQ1349" s="70"/>
      <c r="AR1349" s="70"/>
      <c r="AS1349" s="70"/>
      <c r="AT1349" s="70"/>
      <c r="AU1349" s="70"/>
      <c r="AV1349" s="70"/>
      <c r="AW1349" s="70"/>
      <c r="AX1349" s="70"/>
    </row>
    <row r="1350" ht="15.75" customHeight="1">
      <c r="A1350" s="90" t="s">
        <v>134</v>
      </c>
      <c r="B1350" s="92" t="s">
        <v>9282</v>
      </c>
      <c r="C1350" s="28"/>
      <c r="D1350" s="28"/>
      <c r="E1350" s="28"/>
      <c r="F1350" s="28"/>
      <c r="G1350" s="28"/>
      <c r="H1350" s="28"/>
      <c r="I1350" s="28"/>
      <c r="J1350" s="28"/>
      <c r="K1350" s="28"/>
      <c r="L1350" s="28"/>
      <c r="M1350" s="28"/>
      <c r="N1350" s="28"/>
      <c r="O1350" s="96"/>
      <c r="P1350" s="96"/>
      <c r="Q1350" s="96"/>
      <c r="R1350" s="96"/>
      <c r="S1350" s="96"/>
      <c r="T1350" s="178" t="s">
        <v>139</v>
      </c>
      <c r="U1350" s="96"/>
      <c r="V1350" s="96"/>
      <c r="W1350" s="96"/>
      <c r="X1350" s="96"/>
      <c r="Y1350" s="96"/>
      <c r="Z1350" s="96"/>
      <c r="AA1350" s="96"/>
      <c r="AB1350" s="96"/>
      <c r="AC1350" s="96"/>
      <c r="AD1350" s="70"/>
      <c r="AE1350" s="70"/>
      <c r="AF1350" s="70"/>
      <c r="AG1350" s="70"/>
      <c r="AH1350" s="70"/>
      <c r="AI1350" s="70"/>
      <c r="AJ1350" s="70"/>
      <c r="AK1350" s="70"/>
      <c r="AL1350" s="70"/>
      <c r="AM1350" s="70"/>
      <c r="AN1350" s="70"/>
      <c r="AO1350" s="70"/>
      <c r="AP1350" s="70"/>
      <c r="AQ1350" s="70"/>
      <c r="AR1350" s="70"/>
      <c r="AS1350" s="70"/>
      <c r="AT1350" s="70"/>
      <c r="AU1350" s="70"/>
      <c r="AV1350" s="70"/>
      <c r="AW1350" s="70"/>
      <c r="AX1350" s="70"/>
    </row>
    <row r="1351" ht="15.75" customHeight="1">
      <c r="A1351" s="90" t="s">
        <v>78</v>
      </c>
      <c r="B1351" s="92" t="s">
        <v>9283</v>
      </c>
      <c r="C1351" s="28"/>
      <c r="D1351" s="28"/>
      <c r="E1351" s="28"/>
      <c r="F1351" s="28"/>
      <c r="G1351" s="28"/>
      <c r="H1351" s="28"/>
      <c r="I1351" s="28"/>
      <c r="J1351" s="28"/>
      <c r="K1351" s="28"/>
      <c r="L1351" s="28"/>
      <c r="M1351" s="28"/>
      <c r="N1351" s="28"/>
      <c r="O1351" s="96"/>
      <c r="P1351" s="96"/>
      <c r="Q1351" s="96"/>
      <c r="R1351" s="96"/>
      <c r="S1351" s="96"/>
      <c r="T1351" s="178" t="s">
        <v>10830</v>
      </c>
      <c r="U1351" s="96"/>
      <c r="V1351" s="96"/>
      <c r="W1351" s="96"/>
      <c r="X1351" s="96"/>
      <c r="Y1351" s="96"/>
      <c r="Z1351" s="96"/>
      <c r="AA1351" s="96"/>
      <c r="AB1351" s="96"/>
      <c r="AC1351" s="96"/>
      <c r="AD1351" s="70"/>
      <c r="AE1351" s="70"/>
      <c r="AF1351" s="70"/>
      <c r="AG1351" s="70"/>
      <c r="AH1351" s="70"/>
      <c r="AI1351" s="70"/>
      <c r="AJ1351" s="70"/>
      <c r="AK1351" s="70"/>
      <c r="AL1351" s="70"/>
      <c r="AM1351" s="70"/>
      <c r="AN1351" s="70"/>
      <c r="AO1351" s="70"/>
      <c r="AP1351" s="70"/>
      <c r="AQ1351" s="70"/>
      <c r="AR1351" s="70"/>
      <c r="AS1351" s="70"/>
      <c r="AT1351" s="70"/>
      <c r="AU1351" s="70"/>
      <c r="AV1351" s="70"/>
      <c r="AW1351" s="70"/>
      <c r="AX1351" s="70"/>
    </row>
    <row r="1352" ht="15.75" customHeight="1">
      <c r="A1352" s="221"/>
      <c r="B1352" s="222"/>
      <c r="C1352" s="28"/>
      <c r="D1352" s="28"/>
      <c r="E1352" s="28"/>
      <c r="F1352" s="28"/>
      <c r="G1352" s="28"/>
      <c r="H1352" s="28"/>
      <c r="I1352" s="28"/>
      <c r="J1352" s="28"/>
      <c r="K1352" s="28"/>
      <c r="L1352" s="28"/>
      <c r="M1352" s="28"/>
      <c r="N1352" s="28"/>
      <c r="O1352" s="70"/>
      <c r="P1352" s="70"/>
      <c r="Q1352" s="70"/>
      <c r="R1352" s="70"/>
      <c r="S1352" s="70"/>
      <c r="T1352" s="70"/>
      <c r="U1352" s="70"/>
      <c r="V1352" s="70"/>
      <c r="W1352" s="70"/>
      <c r="X1352" s="70"/>
      <c r="Y1352" s="70"/>
      <c r="Z1352" s="70"/>
      <c r="AA1352" s="70"/>
      <c r="AB1352" s="70"/>
      <c r="AC1352" s="70"/>
      <c r="AD1352" s="70"/>
      <c r="AE1352" s="70"/>
      <c r="AF1352" s="70"/>
      <c r="AG1352" s="70"/>
      <c r="AH1352" s="70"/>
      <c r="AI1352" s="70"/>
      <c r="AJ1352" s="70"/>
      <c r="AK1352" s="70"/>
      <c r="AL1352" s="70"/>
      <c r="AM1352" s="70"/>
      <c r="AN1352" s="70"/>
      <c r="AO1352" s="70"/>
      <c r="AP1352" s="70"/>
      <c r="AQ1352" s="70"/>
      <c r="AR1352" s="70"/>
      <c r="AS1352" s="70"/>
      <c r="AT1352" s="70"/>
      <c r="AU1352" s="70"/>
      <c r="AV1352" s="70"/>
      <c r="AW1352" s="70"/>
      <c r="AX1352" s="70"/>
    </row>
    <row r="1353" ht="15.75" customHeight="1">
      <c r="A1353" s="90" t="s">
        <v>134</v>
      </c>
      <c r="B1353" s="92" t="s">
        <v>9284</v>
      </c>
      <c r="C1353" s="28"/>
      <c r="D1353" s="28"/>
      <c r="E1353" s="28"/>
      <c r="F1353" s="28"/>
      <c r="G1353" s="28"/>
      <c r="H1353" s="28"/>
      <c r="I1353" s="28"/>
      <c r="J1353" s="28"/>
      <c r="K1353" s="28"/>
      <c r="L1353" s="28"/>
      <c r="M1353" s="28"/>
      <c r="N1353" s="28"/>
      <c r="O1353" s="96"/>
      <c r="P1353" s="96"/>
      <c r="Q1353" s="96"/>
      <c r="R1353" s="96"/>
      <c r="S1353" s="96"/>
      <c r="T1353" s="178" t="s">
        <v>139</v>
      </c>
      <c r="U1353" s="96"/>
      <c r="V1353" s="96"/>
      <c r="W1353" s="96"/>
      <c r="X1353" s="96"/>
      <c r="Y1353" s="96"/>
      <c r="Z1353" s="96"/>
      <c r="AA1353" s="96"/>
      <c r="AB1353" s="96"/>
      <c r="AC1353" s="96"/>
      <c r="AD1353" s="70"/>
      <c r="AE1353" s="70"/>
      <c r="AF1353" s="70"/>
      <c r="AG1353" s="70"/>
      <c r="AH1353" s="70"/>
      <c r="AI1353" s="70"/>
      <c r="AJ1353" s="70"/>
      <c r="AK1353" s="70"/>
      <c r="AL1353" s="70"/>
      <c r="AM1353" s="70"/>
      <c r="AN1353" s="70"/>
      <c r="AO1353" s="70"/>
      <c r="AP1353" s="70"/>
      <c r="AQ1353" s="70"/>
      <c r="AR1353" s="70"/>
      <c r="AS1353" s="70"/>
      <c r="AT1353" s="70"/>
      <c r="AU1353" s="70"/>
      <c r="AV1353" s="70"/>
      <c r="AW1353" s="70"/>
      <c r="AX1353" s="70"/>
    </row>
    <row r="1354" ht="15.75" customHeight="1">
      <c r="A1354" s="68" t="s">
        <v>463</v>
      </c>
      <c r="B1354" s="169" t="s">
        <v>9285</v>
      </c>
      <c r="C1354" s="28" t="s">
        <v>9289</v>
      </c>
      <c r="D1354" s="28" t="s">
        <v>9290</v>
      </c>
      <c r="E1354" s="28" t="s">
        <v>9291</v>
      </c>
      <c r="F1354" s="28"/>
      <c r="G1354" s="28"/>
      <c r="H1354" s="28"/>
      <c r="I1354" s="28"/>
      <c r="J1354" s="28"/>
      <c r="K1354" s="28"/>
      <c r="L1354" s="28"/>
      <c r="M1354" s="28"/>
      <c r="N1354" s="28"/>
      <c r="O1354" s="67"/>
      <c r="P1354" s="67"/>
      <c r="Q1354" s="67" t="s">
        <v>145</v>
      </c>
      <c r="R1354" s="67"/>
      <c r="S1354" s="67"/>
      <c r="T1354" s="67"/>
      <c r="U1354" s="67"/>
      <c r="V1354" s="67"/>
      <c r="W1354" s="67"/>
      <c r="X1354" s="67"/>
      <c r="Y1354" s="67"/>
      <c r="Z1354" s="67"/>
      <c r="AA1354" s="67"/>
      <c r="AB1354" s="67"/>
      <c r="AC1354" s="67"/>
      <c r="AD1354" s="70"/>
      <c r="AE1354" s="70"/>
      <c r="AF1354" s="70"/>
      <c r="AG1354" s="70"/>
      <c r="AH1354" s="70"/>
      <c r="AI1354" s="70"/>
      <c r="AJ1354" s="70"/>
      <c r="AK1354" s="70"/>
      <c r="AL1354" s="70"/>
      <c r="AM1354" s="70"/>
      <c r="AN1354" s="70"/>
      <c r="AO1354" s="70"/>
      <c r="AP1354" s="70"/>
      <c r="AQ1354" s="70"/>
      <c r="AR1354" s="70"/>
      <c r="AS1354" s="70"/>
      <c r="AT1354" s="70"/>
      <c r="AU1354" s="70"/>
      <c r="AV1354" s="70"/>
      <c r="AW1354" s="70"/>
      <c r="AX1354" s="70"/>
    </row>
    <row r="1355" ht="15.75" customHeight="1">
      <c r="A1355" s="68" t="s">
        <v>4036</v>
      </c>
      <c r="B1355" s="169" t="s">
        <v>9292</v>
      </c>
      <c r="C1355" s="28" t="s">
        <v>9296</v>
      </c>
      <c r="D1355" s="28" t="s">
        <v>9297</v>
      </c>
      <c r="E1355" s="28" t="s">
        <v>9298</v>
      </c>
      <c r="F1355" s="28" t="s">
        <v>7285</v>
      </c>
      <c r="G1355" s="28" t="s">
        <v>7286</v>
      </c>
      <c r="H1355" s="28" t="s">
        <v>7288</v>
      </c>
      <c r="I1355" s="28"/>
      <c r="J1355" s="28"/>
      <c r="K1355" s="28"/>
      <c r="L1355" s="28"/>
      <c r="M1355" s="28"/>
      <c r="N1355" s="28"/>
      <c r="O1355" s="67" t="s">
        <v>10831</v>
      </c>
      <c r="P1355" s="67"/>
      <c r="Q1355" s="67" t="s">
        <v>145</v>
      </c>
      <c r="R1355" s="67"/>
      <c r="S1355" s="67"/>
      <c r="T1355" s="67"/>
      <c r="U1355" s="67"/>
      <c r="V1355" s="67"/>
      <c r="W1355" s="67"/>
      <c r="X1355" s="67"/>
      <c r="Y1355" s="67"/>
      <c r="Z1355" s="67"/>
      <c r="AA1355" s="67"/>
      <c r="AB1355" s="67"/>
      <c r="AC1355" s="67"/>
      <c r="AD1355" s="70"/>
      <c r="AE1355" s="70"/>
      <c r="AF1355" s="70"/>
      <c r="AG1355" s="70"/>
      <c r="AH1355" s="70"/>
      <c r="AI1355" s="70"/>
      <c r="AJ1355" s="70"/>
      <c r="AK1355" s="70"/>
      <c r="AL1355" s="70"/>
      <c r="AM1355" s="70"/>
      <c r="AN1355" s="70"/>
      <c r="AO1355" s="70"/>
      <c r="AP1355" s="70"/>
      <c r="AQ1355" s="70"/>
      <c r="AR1355" s="70"/>
      <c r="AS1355" s="70"/>
      <c r="AT1355" s="70"/>
      <c r="AU1355" s="70"/>
      <c r="AV1355" s="70"/>
      <c r="AW1355" s="70"/>
      <c r="AX1355" s="70"/>
    </row>
    <row r="1356" ht="15.75" customHeight="1">
      <c r="A1356" s="179" t="s">
        <v>246</v>
      </c>
      <c r="B1356" s="180" t="s">
        <v>9299</v>
      </c>
      <c r="C1356" s="28" t="s">
        <v>9303</v>
      </c>
      <c r="D1356" s="28" t="s">
        <v>9304</v>
      </c>
      <c r="E1356" s="28" t="s">
        <v>9305</v>
      </c>
      <c r="F1356" s="28"/>
      <c r="G1356" s="28"/>
      <c r="H1356" s="28"/>
      <c r="I1356" s="28"/>
      <c r="J1356" s="28"/>
      <c r="K1356" s="28"/>
      <c r="L1356" s="28"/>
      <c r="M1356" s="28"/>
      <c r="N1356" s="28"/>
      <c r="O1356" s="181" t="s">
        <v>10832</v>
      </c>
      <c r="P1356" s="181"/>
      <c r="Q1356" s="181"/>
      <c r="R1356" s="181"/>
      <c r="S1356" s="181"/>
      <c r="T1356" s="181"/>
      <c r="U1356" s="181"/>
      <c r="V1356" s="181"/>
      <c r="W1356" s="181"/>
      <c r="X1356" s="181"/>
      <c r="Y1356" s="181"/>
      <c r="Z1356" s="181"/>
      <c r="AA1356" s="181"/>
      <c r="AB1356" s="181"/>
      <c r="AC1356" s="181"/>
      <c r="AD1356" s="70"/>
      <c r="AE1356" s="70"/>
      <c r="AF1356" s="70"/>
      <c r="AG1356" s="70"/>
      <c r="AH1356" s="70"/>
      <c r="AI1356" s="70"/>
      <c r="AJ1356" s="70"/>
      <c r="AK1356" s="70"/>
      <c r="AL1356" s="70"/>
      <c r="AM1356" s="70"/>
      <c r="AN1356" s="70"/>
      <c r="AO1356" s="70"/>
      <c r="AP1356" s="70"/>
      <c r="AQ1356" s="70"/>
      <c r="AR1356" s="70"/>
      <c r="AS1356" s="70"/>
      <c r="AT1356" s="70"/>
      <c r="AU1356" s="70"/>
      <c r="AV1356" s="70"/>
      <c r="AW1356" s="70"/>
      <c r="AX1356" s="70"/>
    </row>
    <row r="1357" ht="15.75" customHeight="1">
      <c r="A1357" s="90" t="s">
        <v>78</v>
      </c>
      <c r="B1357" s="92" t="s">
        <v>9306</v>
      </c>
      <c r="C1357" s="28"/>
      <c r="D1357" s="28"/>
      <c r="E1357" s="28"/>
      <c r="F1357" s="28"/>
      <c r="G1357" s="28"/>
      <c r="H1357" s="28"/>
      <c r="I1357" s="28"/>
      <c r="J1357" s="28"/>
      <c r="K1357" s="28"/>
      <c r="L1357" s="28"/>
      <c r="M1357" s="28"/>
      <c r="N1357" s="28"/>
      <c r="O1357" s="96"/>
      <c r="P1357" s="96"/>
      <c r="Q1357" s="96"/>
      <c r="R1357" s="96"/>
      <c r="S1357" s="96"/>
      <c r="T1357" s="178" t="s">
        <v>10833</v>
      </c>
      <c r="U1357" s="96"/>
      <c r="V1357" s="96"/>
      <c r="W1357" s="96"/>
      <c r="X1357" s="96"/>
      <c r="Y1357" s="96"/>
      <c r="Z1357" s="96"/>
      <c r="AA1357" s="96"/>
      <c r="AB1357" s="96"/>
      <c r="AC1357" s="96"/>
      <c r="AD1357" s="70"/>
      <c r="AE1357" s="70"/>
      <c r="AF1357" s="70"/>
      <c r="AG1357" s="70"/>
      <c r="AH1357" s="70"/>
      <c r="AI1357" s="70"/>
      <c r="AJ1357" s="70"/>
      <c r="AK1357" s="70"/>
      <c r="AL1357" s="70"/>
      <c r="AM1357" s="70"/>
      <c r="AN1357" s="70"/>
      <c r="AO1357" s="70"/>
      <c r="AP1357" s="70"/>
      <c r="AQ1357" s="70"/>
      <c r="AR1357" s="70"/>
      <c r="AS1357" s="70"/>
      <c r="AT1357" s="70"/>
      <c r="AU1357" s="70"/>
      <c r="AV1357" s="70"/>
      <c r="AW1357" s="70"/>
      <c r="AX1357" s="70"/>
    </row>
    <row r="1358" ht="15.75" customHeight="1">
      <c r="A1358" s="68" t="s">
        <v>463</v>
      </c>
      <c r="B1358" s="169" t="s">
        <v>9307</v>
      </c>
      <c r="C1358" s="28" t="s">
        <v>9311</v>
      </c>
      <c r="D1358" s="28" t="s">
        <v>9312</v>
      </c>
      <c r="E1358" s="28" t="s">
        <v>9313</v>
      </c>
      <c r="F1358" s="28"/>
      <c r="G1358" s="28"/>
      <c r="H1358" s="28"/>
      <c r="I1358" s="28"/>
      <c r="J1358" s="28"/>
      <c r="K1358" s="28"/>
      <c r="L1358" s="28"/>
      <c r="M1358" s="28"/>
      <c r="N1358" s="28"/>
      <c r="O1358" s="67" t="s">
        <v>10831</v>
      </c>
      <c r="P1358" s="67"/>
      <c r="Q1358" s="67" t="s">
        <v>145</v>
      </c>
      <c r="R1358" s="67"/>
      <c r="S1358" s="67"/>
      <c r="T1358" s="67"/>
      <c r="U1358" s="67"/>
      <c r="V1358" s="67"/>
      <c r="W1358" s="67"/>
      <c r="X1358" s="67"/>
      <c r="Y1358" s="67"/>
      <c r="Z1358" s="67"/>
      <c r="AA1358" s="67"/>
      <c r="AB1358" s="67"/>
      <c r="AC1358" s="67"/>
      <c r="AD1358" s="70"/>
      <c r="AE1358" s="70"/>
      <c r="AF1358" s="70"/>
      <c r="AG1358" s="70"/>
      <c r="AH1358" s="70"/>
      <c r="AI1358" s="70"/>
      <c r="AJ1358" s="70"/>
      <c r="AK1358" s="70"/>
      <c r="AL1358" s="70"/>
      <c r="AM1358" s="70"/>
      <c r="AN1358" s="70"/>
      <c r="AO1358" s="70"/>
      <c r="AP1358" s="70"/>
      <c r="AQ1358" s="70"/>
      <c r="AR1358" s="70"/>
      <c r="AS1358" s="70"/>
      <c r="AT1358" s="70"/>
      <c r="AU1358" s="70"/>
      <c r="AV1358" s="70"/>
      <c r="AW1358" s="70"/>
      <c r="AX1358" s="70"/>
    </row>
    <row r="1359" ht="15.75" customHeight="1">
      <c r="A1359" s="170" t="s">
        <v>263</v>
      </c>
      <c r="B1359" s="171" t="s">
        <v>9314</v>
      </c>
      <c r="C1359" s="28" t="s">
        <v>9318</v>
      </c>
      <c r="D1359" s="28" t="s">
        <v>9319</v>
      </c>
      <c r="E1359" s="28" t="s">
        <v>9320</v>
      </c>
      <c r="F1359" s="28"/>
      <c r="G1359" s="28"/>
      <c r="H1359" s="28"/>
      <c r="I1359" s="28"/>
      <c r="J1359" s="28"/>
      <c r="K1359" s="28"/>
      <c r="L1359" s="28"/>
      <c r="M1359" s="28"/>
      <c r="N1359" s="28"/>
      <c r="O1359" s="173" t="s">
        <v>10831</v>
      </c>
      <c r="P1359" s="173"/>
      <c r="Q1359" s="173" t="s">
        <v>145</v>
      </c>
      <c r="R1359" s="173"/>
      <c r="S1359" s="173"/>
      <c r="T1359" s="173"/>
      <c r="U1359" s="173"/>
      <c r="V1359" s="173"/>
      <c r="W1359" s="173"/>
      <c r="X1359" s="173"/>
      <c r="Y1359" s="173"/>
      <c r="Z1359" s="173"/>
      <c r="AA1359" s="173"/>
      <c r="AB1359" s="173"/>
      <c r="AC1359" s="173"/>
      <c r="AD1359" s="70"/>
      <c r="AE1359" s="70"/>
      <c r="AF1359" s="70"/>
      <c r="AG1359" s="70"/>
      <c r="AH1359" s="70"/>
      <c r="AI1359" s="70"/>
      <c r="AJ1359" s="70"/>
      <c r="AK1359" s="70"/>
      <c r="AL1359" s="70"/>
      <c r="AM1359" s="70"/>
      <c r="AN1359" s="70"/>
      <c r="AO1359" s="70"/>
      <c r="AP1359" s="70"/>
      <c r="AQ1359" s="70"/>
      <c r="AR1359" s="70"/>
      <c r="AS1359" s="70"/>
      <c r="AT1359" s="70"/>
      <c r="AU1359" s="70"/>
      <c r="AV1359" s="70"/>
      <c r="AW1359" s="70"/>
      <c r="AX1359" s="70"/>
    </row>
    <row r="1360" ht="15.75" customHeight="1">
      <c r="A1360" s="170" t="s">
        <v>263</v>
      </c>
      <c r="B1360" s="171" t="s">
        <v>9321</v>
      </c>
      <c r="C1360" s="28" t="s">
        <v>9325</v>
      </c>
      <c r="D1360" s="28" t="s">
        <v>9326</v>
      </c>
      <c r="E1360" s="28" t="s">
        <v>9327</v>
      </c>
      <c r="F1360" s="28"/>
      <c r="G1360" s="28"/>
      <c r="H1360" s="28"/>
      <c r="I1360" s="28"/>
      <c r="J1360" s="28"/>
      <c r="K1360" s="28"/>
      <c r="L1360" s="28"/>
      <c r="M1360" s="28"/>
      <c r="N1360" s="28"/>
      <c r="O1360" s="173" t="s">
        <v>10834</v>
      </c>
      <c r="P1360" s="173"/>
      <c r="Q1360" s="173" t="s">
        <v>145</v>
      </c>
      <c r="R1360" s="173"/>
      <c r="S1360" s="173"/>
      <c r="T1360" s="173"/>
      <c r="U1360" s="173"/>
      <c r="V1360" s="173"/>
      <c r="W1360" s="173"/>
      <c r="X1360" s="173"/>
      <c r="Y1360" s="173"/>
      <c r="Z1360" s="173"/>
      <c r="AA1360" s="173"/>
      <c r="AB1360" s="173"/>
      <c r="AC1360" s="173"/>
      <c r="AD1360" s="70"/>
      <c r="AE1360" s="70"/>
      <c r="AF1360" s="70"/>
      <c r="AG1360" s="70"/>
      <c r="AH1360" s="70"/>
      <c r="AI1360" s="70"/>
      <c r="AJ1360" s="70"/>
      <c r="AK1360" s="70"/>
      <c r="AL1360" s="70"/>
      <c r="AM1360" s="70"/>
      <c r="AN1360" s="70"/>
      <c r="AO1360" s="70"/>
      <c r="AP1360" s="70"/>
      <c r="AQ1360" s="70"/>
      <c r="AR1360" s="70"/>
      <c r="AS1360" s="70"/>
      <c r="AT1360" s="70"/>
      <c r="AU1360" s="70"/>
      <c r="AV1360" s="70"/>
      <c r="AW1360" s="70"/>
      <c r="AX1360" s="70"/>
    </row>
    <row r="1361" ht="15.75" customHeight="1">
      <c r="A1361" s="221"/>
      <c r="B1361" s="222"/>
      <c r="C1361" s="28"/>
      <c r="D1361" s="28"/>
      <c r="E1361" s="28"/>
      <c r="F1361" s="28"/>
      <c r="G1361" s="28"/>
      <c r="H1361" s="28"/>
      <c r="I1361" s="28"/>
      <c r="J1361" s="28"/>
      <c r="K1361" s="28"/>
      <c r="L1361" s="28"/>
      <c r="M1361" s="28"/>
      <c r="N1361" s="28"/>
      <c r="O1361" s="70"/>
      <c r="P1361" s="70"/>
      <c r="Q1361" s="70"/>
      <c r="R1361" s="70"/>
      <c r="S1361" s="70"/>
      <c r="T1361" s="70"/>
      <c r="U1361" s="70"/>
      <c r="V1361" s="70"/>
      <c r="W1361" s="70"/>
      <c r="X1361" s="70"/>
      <c r="Y1361" s="70"/>
      <c r="Z1361" s="70"/>
      <c r="AA1361" s="70"/>
      <c r="AB1361" s="70"/>
      <c r="AC1361" s="70"/>
      <c r="AD1361" s="70"/>
      <c r="AE1361" s="70"/>
      <c r="AF1361" s="70"/>
      <c r="AG1361" s="70"/>
      <c r="AH1361" s="70"/>
      <c r="AI1361" s="70"/>
      <c r="AJ1361" s="70"/>
      <c r="AK1361" s="70"/>
      <c r="AL1361" s="70"/>
      <c r="AM1361" s="70"/>
      <c r="AN1361" s="70"/>
      <c r="AO1361" s="70"/>
      <c r="AP1361" s="70"/>
      <c r="AQ1361" s="70"/>
      <c r="AR1361" s="70"/>
      <c r="AS1361" s="70"/>
      <c r="AT1361" s="70"/>
      <c r="AU1361" s="70"/>
      <c r="AV1361" s="70"/>
      <c r="AW1361" s="70"/>
      <c r="AX1361" s="70"/>
    </row>
    <row r="1362" ht="15.75" customHeight="1">
      <c r="A1362" s="174" t="s">
        <v>698</v>
      </c>
      <c r="B1362" s="175" t="s">
        <v>9329</v>
      </c>
      <c r="C1362" s="28" t="s">
        <v>9330</v>
      </c>
      <c r="D1362" s="28"/>
      <c r="E1362" s="28"/>
      <c r="F1362" s="28"/>
      <c r="G1362" s="28"/>
      <c r="H1362" s="28"/>
      <c r="I1362" s="28"/>
      <c r="J1362" s="28"/>
      <c r="K1362" s="28"/>
      <c r="L1362" s="28"/>
      <c r="M1362" s="28"/>
      <c r="N1362" s="28"/>
      <c r="O1362" s="177"/>
      <c r="P1362" s="176"/>
      <c r="Q1362" s="176"/>
      <c r="R1362" s="176"/>
      <c r="S1362" s="176"/>
      <c r="T1362" s="176"/>
      <c r="U1362" s="177" t="s">
        <v>10835</v>
      </c>
      <c r="V1362" s="176"/>
      <c r="W1362" s="176"/>
      <c r="X1362" s="176"/>
      <c r="Y1362" s="176"/>
      <c r="Z1362" s="176"/>
      <c r="AA1362" s="176"/>
      <c r="AB1362" s="176"/>
      <c r="AC1362" s="176"/>
      <c r="AD1362" s="70"/>
      <c r="AE1362" s="70"/>
      <c r="AF1362" s="70"/>
      <c r="AG1362" s="70"/>
      <c r="AH1362" s="70"/>
      <c r="AI1362" s="70"/>
      <c r="AJ1362" s="70"/>
      <c r="AK1362" s="70"/>
      <c r="AL1362" s="70"/>
      <c r="AM1362" s="70"/>
      <c r="AN1362" s="70"/>
      <c r="AO1362" s="70"/>
      <c r="AP1362" s="70"/>
      <c r="AQ1362" s="70"/>
      <c r="AR1362" s="70"/>
      <c r="AS1362" s="70"/>
      <c r="AT1362" s="70"/>
      <c r="AU1362" s="70"/>
      <c r="AV1362" s="70"/>
      <c r="AW1362" s="70"/>
      <c r="AX1362" s="70"/>
    </row>
    <row r="1363" ht="15.75" customHeight="1">
      <c r="A1363" s="90" t="s">
        <v>78</v>
      </c>
      <c r="B1363" s="92" t="s">
        <v>9331</v>
      </c>
      <c r="C1363" s="28"/>
      <c r="D1363" s="28"/>
      <c r="E1363" s="28"/>
      <c r="F1363" s="28"/>
      <c r="G1363" s="28"/>
      <c r="H1363" s="28"/>
      <c r="I1363" s="28"/>
      <c r="J1363" s="28"/>
      <c r="K1363" s="28"/>
      <c r="L1363" s="28"/>
      <c r="M1363" s="28"/>
      <c r="N1363" s="28"/>
      <c r="O1363" s="96"/>
      <c r="P1363" s="96"/>
      <c r="Q1363" s="96"/>
      <c r="R1363" s="96"/>
      <c r="S1363" s="96"/>
      <c r="T1363" s="178" t="s">
        <v>10836</v>
      </c>
      <c r="U1363" s="96"/>
      <c r="V1363" s="96"/>
      <c r="W1363" s="96"/>
      <c r="X1363" s="96"/>
      <c r="Y1363" s="96"/>
      <c r="Z1363" s="96"/>
      <c r="AA1363" s="96"/>
      <c r="AB1363" s="96"/>
      <c r="AC1363" s="96"/>
      <c r="AD1363" s="70"/>
      <c r="AE1363" s="70"/>
      <c r="AF1363" s="70"/>
      <c r="AG1363" s="70"/>
      <c r="AH1363" s="70"/>
      <c r="AI1363" s="70"/>
      <c r="AJ1363" s="70"/>
      <c r="AK1363" s="70"/>
      <c r="AL1363" s="70"/>
      <c r="AM1363" s="70"/>
      <c r="AN1363" s="70"/>
      <c r="AO1363" s="70"/>
      <c r="AP1363" s="70"/>
      <c r="AQ1363" s="70"/>
      <c r="AR1363" s="70"/>
      <c r="AS1363" s="70"/>
      <c r="AT1363" s="70"/>
      <c r="AU1363" s="70"/>
      <c r="AV1363" s="70"/>
      <c r="AW1363" s="70"/>
      <c r="AX1363" s="70"/>
    </row>
    <row r="1364" ht="15.75" customHeight="1">
      <c r="A1364" s="90" t="s">
        <v>78</v>
      </c>
      <c r="B1364" s="92" t="s">
        <v>9332</v>
      </c>
      <c r="C1364" s="28"/>
      <c r="D1364" s="28"/>
      <c r="E1364" s="28"/>
      <c r="F1364" s="28"/>
      <c r="G1364" s="28"/>
      <c r="H1364" s="28"/>
      <c r="I1364" s="28"/>
      <c r="J1364" s="28"/>
      <c r="K1364" s="28"/>
      <c r="L1364" s="28"/>
      <c r="M1364" s="28"/>
      <c r="N1364" s="28"/>
      <c r="O1364" s="96"/>
      <c r="P1364" s="96"/>
      <c r="Q1364" s="96"/>
      <c r="R1364" s="96"/>
      <c r="S1364" s="96"/>
      <c r="T1364" s="178" t="s">
        <v>10837</v>
      </c>
      <c r="U1364" s="96"/>
      <c r="V1364" s="96"/>
      <c r="W1364" s="96"/>
      <c r="X1364" s="96"/>
      <c r="Y1364" s="96"/>
      <c r="Z1364" s="96"/>
      <c r="AA1364" s="96"/>
      <c r="AB1364" s="96"/>
      <c r="AC1364" s="96"/>
      <c r="AD1364" s="70"/>
      <c r="AE1364" s="70"/>
      <c r="AF1364" s="70"/>
      <c r="AG1364" s="70"/>
      <c r="AH1364" s="70"/>
      <c r="AI1364" s="70"/>
      <c r="AJ1364" s="70"/>
      <c r="AK1364" s="70"/>
      <c r="AL1364" s="70"/>
      <c r="AM1364" s="70"/>
      <c r="AN1364" s="70"/>
      <c r="AO1364" s="70"/>
      <c r="AP1364" s="70"/>
      <c r="AQ1364" s="70"/>
      <c r="AR1364" s="70"/>
      <c r="AS1364" s="70"/>
      <c r="AT1364" s="70"/>
      <c r="AU1364" s="70"/>
      <c r="AV1364" s="70"/>
      <c r="AW1364" s="70"/>
      <c r="AX1364" s="70"/>
    </row>
    <row r="1365" ht="15.75" customHeight="1">
      <c r="A1365" s="90" t="s">
        <v>78</v>
      </c>
      <c r="B1365" s="92" t="s">
        <v>9333</v>
      </c>
      <c r="C1365" s="28"/>
      <c r="D1365" s="28"/>
      <c r="E1365" s="28"/>
      <c r="F1365" s="28"/>
      <c r="G1365" s="28"/>
      <c r="H1365" s="28"/>
      <c r="I1365" s="28"/>
      <c r="J1365" s="28"/>
      <c r="K1365" s="28"/>
      <c r="L1365" s="28"/>
      <c r="M1365" s="28"/>
      <c r="N1365" s="28"/>
      <c r="O1365" s="96"/>
      <c r="P1365" s="96"/>
      <c r="Q1365" s="96"/>
      <c r="R1365" s="96"/>
      <c r="S1365" s="96"/>
      <c r="T1365" s="178" t="s">
        <v>10838</v>
      </c>
      <c r="U1365" s="96"/>
      <c r="V1365" s="96"/>
      <c r="W1365" s="96"/>
      <c r="X1365" s="96"/>
      <c r="Y1365" s="96"/>
      <c r="Z1365" s="96"/>
      <c r="AA1365" s="96"/>
      <c r="AB1365" s="96"/>
      <c r="AC1365" s="96"/>
      <c r="AD1365" s="70"/>
      <c r="AE1365" s="70"/>
      <c r="AF1365" s="70"/>
      <c r="AG1365" s="70"/>
      <c r="AH1365" s="70"/>
      <c r="AI1365" s="70"/>
      <c r="AJ1365" s="70"/>
      <c r="AK1365" s="70"/>
      <c r="AL1365" s="70"/>
      <c r="AM1365" s="70"/>
      <c r="AN1365" s="70"/>
      <c r="AO1365" s="70"/>
      <c r="AP1365" s="70"/>
      <c r="AQ1365" s="70"/>
      <c r="AR1365" s="70"/>
      <c r="AS1365" s="70"/>
      <c r="AT1365" s="70"/>
      <c r="AU1365" s="70"/>
      <c r="AV1365" s="70"/>
      <c r="AW1365" s="70"/>
      <c r="AX1365" s="70"/>
    </row>
    <row r="1366" ht="15.75" customHeight="1">
      <c r="A1366" s="170" t="s">
        <v>263</v>
      </c>
      <c r="B1366" s="171" t="s">
        <v>9334</v>
      </c>
      <c r="C1366" s="28" t="s">
        <v>9338</v>
      </c>
      <c r="D1366" s="28" t="s">
        <v>9339</v>
      </c>
      <c r="E1366" s="28" t="s">
        <v>9340</v>
      </c>
      <c r="F1366" s="28"/>
      <c r="G1366" s="28"/>
      <c r="H1366" s="28"/>
      <c r="I1366" s="28"/>
      <c r="J1366" s="28"/>
      <c r="K1366" s="28" t="s">
        <v>10824</v>
      </c>
      <c r="L1366" s="28"/>
      <c r="M1366" s="28"/>
      <c r="N1366" s="28"/>
      <c r="O1366" s="173" t="s">
        <v>10839</v>
      </c>
      <c r="P1366" s="173"/>
      <c r="Q1366" s="173" t="s">
        <v>145</v>
      </c>
      <c r="R1366" s="173"/>
      <c r="S1366" s="173"/>
      <c r="T1366" s="173"/>
      <c r="U1366" s="173"/>
      <c r="V1366" s="173"/>
      <c r="W1366" s="173"/>
      <c r="X1366" s="173"/>
      <c r="Y1366" s="173"/>
      <c r="Z1366" s="173"/>
      <c r="AA1366" s="173"/>
      <c r="AB1366" s="173"/>
      <c r="AC1366" s="173"/>
      <c r="AD1366" s="70"/>
      <c r="AE1366" s="70"/>
      <c r="AF1366" s="70"/>
      <c r="AG1366" s="70"/>
      <c r="AH1366" s="70"/>
      <c r="AI1366" s="70"/>
      <c r="AJ1366" s="70"/>
      <c r="AK1366" s="70"/>
      <c r="AL1366" s="70"/>
      <c r="AM1366" s="70"/>
      <c r="AN1366" s="70"/>
      <c r="AO1366" s="70"/>
      <c r="AP1366" s="70"/>
      <c r="AQ1366" s="70"/>
      <c r="AR1366" s="70"/>
      <c r="AS1366" s="70"/>
      <c r="AT1366" s="70"/>
      <c r="AU1366" s="70"/>
      <c r="AV1366" s="70"/>
      <c r="AW1366" s="70"/>
      <c r="AX1366" s="70"/>
    </row>
    <row r="1367" ht="15.75" customHeight="1">
      <c r="A1367" s="174" t="s">
        <v>1015</v>
      </c>
      <c r="B1367" s="204" t="s">
        <v>9329</v>
      </c>
      <c r="C1367" s="28" t="s">
        <v>9330</v>
      </c>
      <c r="D1367" s="28"/>
      <c r="E1367" s="28"/>
      <c r="F1367" s="28"/>
      <c r="G1367" s="28"/>
      <c r="H1367" s="28"/>
      <c r="I1367" s="28"/>
      <c r="J1367" s="28"/>
      <c r="K1367" s="28"/>
      <c r="L1367" s="28"/>
      <c r="M1367" s="28"/>
      <c r="N1367" s="28"/>
      <c r="O1367" s="176"/>
      <c r="P1367" s="176"/>
      <c r="Q1367" s="176"/>
      <c r="R1367" s="176"/>
      <c r="S1367" s="176"/>
      <c r="T1367" s="176"/>
      <c r="U1367" s="176"/>
      <c r="V1367" s="176"/>
      <c r="W1367" s="176"/>
      <c r="X1367" s="176"/>
      <c r="Y1367" s="176"/>
      <c r="Z1367" s="176"/>
      <c r="AA1367" s="176"/>
      <c r="AB1367" s="176"/>
      <c r="AC1367" s="176"/>
      <c r="AD1367" s="70"/>
      <c r="AE1367" s="70"/>
      <c r="AF1367" s="70"/>
      <c r="AG1367" s="70"/>
      <c r="AH1367" s="70"/>
      <c r="AI1367" s="70"/>
      <c r="AJ1367" s="70"/>
      <c r="AK1367" s="70"/>
      <c r="AL1367" s="70"/>
      <c r="AM1367" s="70"/>
      <c r="AN1367" s="70"/>
      <c r="AO1367" s="70"/>
      <c r="AP1367" s="70"/>
      <c r="AQ1367" s="70"/>
      <c r="AR1367" s="70"/>
      <c r="AS1367" s="70"/>
      <c r="AT1367" s="70"/>
      <c r="AU1367" s="70"/>
      <c r="AV1367" s="70"/>
      <c r="AW1367" s="70"/>
      <c r="AX1367" s="70"/>
    </row>
    <row r="1368" ht="15.75" customHeight="1">
      <c r="A1368" s="90" t="s">
        <v>134</v>
      </c>
      <c r="B1368" s="92" t="s">
        <v>9341</v>
      </c>
      <c r="C1368" s="28"/>
      <c r="D1368" s="28"/>
      <c r="E1368" s="28"/>
      <c r="F1368" s="28"/>
      <c r="G1368" s="28"/>
      <c r="H1368" s="28"/>
      <c r="I1368" s="28"/>
      <c r="J1368" s="28"/>
      <c r="K1368" s="28"/>
      <c r="L1368" s="28"/>
      <c r="M1368" s="28"/>
      <c r="N1368" s="28"/>
      <c r="O1368" s="96"/>
      <c r="P1368" s="96"/>
      <c r="Q1368" s="96"/>
      <c r="R1368" s="96"/>
      <c r="S1368" s="96"/>
      <c r="T1368" s="178" t="s">
        <v>139</v>
      </c>
      <c r="U1368" s="96"/>
      <c r="V1368" s="96"/>
      <c r="W1368" s="96"/>
      <c r="X1368" s="96"/>
      <c r="Y1368" s="96"/>
      <c r="Z1368" s="96"/>
      <c r="AA1368" s="96"/>
      <c r="AB1368" s="96"/>
      <c r="AC1368" s="96"/>
      <c r="AD1368" s="70"/>
      <c r="AE1368" s="70"/>
      <c r="AF1368" s="70"/>
      <c r="AG1368" s="70"/>
      <c r="AH1368" s="70"/>
      <c r="AI1368" s="70"/>
      <c r="AJ1368" s="70"/>
      <c r="AK1368" s="70"/>
      <c r="AL1368" s="70"/>
      <c r="AM1368" s="70"/>
      <c r="AN1368" s="70"/>
      <c r="AO1368" s="70"/>
      <c r="AP1368" s="70"/>
      <c r="AQ1368" s="70"/>
      <c r="AR1368" s="70"/>
      <c r="AS1368" s="70"/>
      <c r="AT1368" s="70"/>
      <c r="AU1368" s="70"/>
      <c r="AV1368" s="70"/>
      <c r="AW1368" s="70"/>
      <c r="AX1368" s="70"/>
    </row>
    <row r="1369" ht="15.75" customHeight="1">
      <c r="A1369" s="90" t="s">
        <v>78</v>
      </c>
      <c r="B1369" s="92" t="s">
        <v>9342</v>
      </c>
      <c r="C1369" s="28"/>
      <c r="D1369" s="28"/>
      <c r="E1369" s="28"/>
      <c r="F1369" s="28"/>
      <c r="G1369" s="28"/>
      <c r="H1369" s="28"/>
      <c r="I1369" s="28"/>
      <c r="J1369" s="28"/>
      <c r="K1369" s="28"/>
      <c r="L1369" s="28"/>
      <c r="M1369" s="28"/>
      <c r="N1369" s="28"/>
      <c r="O1369" s="96"/>
      <c r="P1369" s="96"/>
      <c r="Q1369" s="96"/>
      <c r="R1369" s="96"/>
      <c r="S1369" s="96"/>
      <c r="T1369" s="178" t="s">
        <v>10840</v>
      </c>
      <c r="U1369" s="96"/>
      <c r="V1369" s="96"/>
      <c r="W1369" s="96"/>
      <c r="X1369" s="96"/>
      <c r="Y1369" s="96"/>
      <c r="Z1369" s="96"/>
      <c r="AA1369" s="96"/>
      <c r="AB1369" s="96"/>
      <c r="AC1369" s="96"/>
      <c r="AD1369" s="70"/>
      <c r="AE1369" s="70"/>
      <c r="AF1369" s="70"/>
      <c r="AG1369" s="70"/>
      <c r="AH1369" s="70"/>
      <c r="AI1369" s="70"/>
      <c r="AJ1369" s="70"/>
      <c r="AK1369" s="70"/>
      <c r="AL1369" s="70"/>
      <c r="AM1369" s="70"/>
      <c r="AN1369" s="70"/>
      <c r="AO1369" s="70"/>
      <c r="AP1369" s="70"/>
      <c r="AQ1369" s="70"/>
      <c r="AR1369" s="70"/>
      <c r="AS1369" s="70"/>
      <c r="AT1369" s="70"/>
      <c r="AU1369" s="70"/>
      <c r="AV1369" s="70"/>
      <c r="AW1369" s="70"/>
      <c r="AX1369" s="70"/>
    </row>
    <row r="1370" ht="15.75" customHeight="1">
      <c r="A1370" s="170" t="s">
        <v>263</v>
      </c>
      <c r="B1370" s="171" t="s">
        <v>9343</v>
      </c>
      <c r="C1370" s="28" t="s">
        <v>9347</v>
      </c>
      <c r="D1370" s="28" t="s">
        <v>9348</v>
      </c>
      <c r="E1370" s="28" t="s">
        <v>9349</v>
      </c>
      <c r="F1370" s="28"/>
      <c r="G1370" s="28"/>
      <c r="H1370" s="28"/>
      <c r="I1370" s="28"/>
      <c r="J1370" s="28"/>
      <c r="K1370" s="28"/>
      <c r="L1370" s="28"/>
      <c r="M1370" s="28"/>
      <c r="N1370" s="28"/>
      <c r="O1370" s="173" t="s">
        <v>10831</v>
      </c>
      <c r="P1370" s="173"/>
      <c r="Q1370" s="173" t="s">
        <v>145</v>
      </c>
      <c r="R1370" s="173"/>
      <c r="S1370" s="173"/>
      <c r="T1370" s="173"/>
      <c r="U1370" s="173"/>
      <c r="V1370" s="173"/>
      <c r="W1370" s="173"/>
      <c r="X1370" s="173"/>
      <c r="Y1370" s="173"/>
      <c r="Z1370" s="173"/>
      <c r="AA1370" s="173"/>
      <c r="AB1370" s="173"/>
      <c r="AC1370" s="173"/>
      <c r="AD1370" s="70"/>
      <c r="AE1370" s="70"/>
      <c r="AF1370" s="70"/>
      <c r="AG1370" s="70"/>
      <c r="AH1370" s="70"/>
      <c r="AI1370" s="70"/>
      <c r="AJ1370" s="70"/>
      <c r="AK1370" s="70"/>
      <c r="AL1370" s="70"/>
      <c r="AM1370" s="70"/>
      <c r="AN1370" s="70"/>
      <c r="AO1370" s="70"/>
      <c r="AP1370" s="70"/>
      <c r="AQ1370" s="70"/>
      <c r="AR1370" s="70"/>
      <c r="AS1370" s="70"/>
      <c r="AT1370" s="70"/>
      <c r="AU1370" s="70"/>
      <c r="AV1370" s="70"/>
      <c r="AW1370" s="70"/>
      <c r="AX1370" s="70"/>
    </row>
    <row r="1371" ht="15.75" customHeight="1">
      <c r="A1371" s="170" t="s">
        <v>263</v>
      </c>
      <c r="B1371" s="171" t="s">
        <v>9350</v>
      </c>
      <c r="C1371" s="28" t="s">
        <v>9354</v>
      </c>
      <c r="D1371" s="28" t="s">
        <v>9355</v>
      </c>
      <c r="E1371" s="28" t="s">
        <v>9356</v>
      </c>
      <c r="F1371" s="28"/>
      <c r="G1371" s="28"/>
      <c r="H1371" s="28"/>
      <c r="I1371" s="28"/>
      <c r="J1371" s="28"/>
      <c r="K1371" s="28"/>
      <c r="L1371" s="28"/>
      <c r="M1371" s="28"/>
      <c r="N1371" s="28"/>
      <c r="O1371" s="173" t="s">
        <v>10831</v>
      </c>
      <c r="P1371" s="173"/>
      <c r="Q1371" s="173" t="s">
        <v>145</v>
      </c>
      <c r="R1371" s="173"/>
      <c r="S1371" s="173"/>
      <c r="T1371" s="173"/>
      <c r="U1371" s="173"/>
      <c r="V1371" s="173"/>
      <c r="W1371" s="173"/>
      <c r="X1371" s="173"/>
      <c r="Y1371" s="173"/>
      <c r="Z1371" s="173"/>
      <c r="AA1371" s="173"/>
      <c r="AB1371" s="173"/>
      <c r="AC1371" s="173"/>
      <c r="AD1371" s="70"/>
      <c r="AE1371" s="70"/>
      <c r="AF1371" s="70"/>
      <c r="AG1371" s="70"/>
      <c r="AH1371" s="70"/>
      <c r="AI1371" s="70"/>
      <c r="AJ1371" s="70"/>
      <c r="AK1371" s="70"/>
      <c r="AL1371" s="70"/>
      <c r="AM1371" s="70"/>
      <c r="AN1371" s="70"/>
      <c r="AO1371" s="70"/>
      <c r="AP1371" s="70"/>
      <c r="AQ1371" s="70"/>
      <c r="AR1371" s="70"/>
      <c r="AS1371" s="70"/>
      <c r="AT1371" s="70"/>
      <c r="AU1371" s="70"/>
      <c r="AV1371" s="70"/>
      <c r="AW1371" s="70"/>
      <c r="AX1371" s="70"/>
    </row>
    <row r="1372" ht="15.75" customHeight="1">
      <c r="A1372" s="90" t="s">
        <v>78</v>
      </c>
      <c r="B1372" s="92" t="s">
        <v>9357</v>
      </c>
      <c r="C1372" s="28"/>
      <c r="D1372" s="28"/>
      <c r="E1372" s="28"/>
      <c r="F1372" s="28"/>
      <c r="G1372" s="28"/>
      <c r="H1372" s="28"/>
      <c r="I1372" s="28"/>
      <c r="J1372" s="28"/>
      <c r="K1372" s="28"/>
      <c r="L1372" s="28"/>
      <c r="M1372" s="28"/>
      <c r="N1372" s="28"/>
      <c r="O1372" s="96"/>
      <c r="P1372" s="96"/>
      <c r="Q1372" s="96"/>
      <c r="R1372" s="96"/>
      <c r="S1372" s="96"/>
      <c r="T1372" s="178" t="s">
        <v>10841</v>
      </c>
      <c r="U1372" s="96"/>
      <c r="V1372" s="96"/>
      <c r="W1372" s="96"/>
      <c r="X1372" s="96"/>
      <c r="Y1372" s="96"/>
      <c r="Z1372" s="96"/>
      <c r="AA1372" s="96"/>
      <c r="AB1372" s="96"/>
      <c r="AC1372" s="96"/>
      <c r="AD1372" s="70"/>
      <c r="AE1372" s="70"/>
      <c r="AF1372" s="70"/>
      <c r="AG1372" s="70"/>
      <c r="AH1372" s="70"/>
      <c r="AI1372" s="70"/>
      <c r="AJ1372" s="70"/>
      <c r="AK1372" s="70"/>
      <c r="AL1372" s="70"/>
      <c r="AM1372" s="70"/>
      <c r="AN1372" s="70"/>
      <c r="AO1372" s="70"/>
      <c r="AP1372" s="70"/>
      <c r="AQ1372" s="70"/>
      <c r="AR1372" s="70"/>
      <c r="AS1372" s="70"/>
      <c r="AT1372" s="70"/>
      <c r="AU1372" s="70"/>
      <c r="AV1372" s="70"/>
      <c r="AW1372" s="70"/>
      <c r="AX1372" s="70"/>
    </row>
    <row r="1373" ht="15.75" customHeight="1">
      <c r="A1373" s="68" t="s">
        <v>463</v>
      </c>
      <c r="B1373" s="169" t="s">
        <v>9358</v>
      </c>
      <c r="C1373" s="28" t="s">
        <v>9362</v>
      </c>
      <c r="D1373" s="28" t="s">
        <v>9363</v>
      </c>
      <c r="E1373" s="28" t="s">
        <v>9364</v>
      </c>
      <c r="F1373" s="28"/>
      <c r="G1373" s="28"/>
      <c r="H1373" s="28"/>
      <c r="I1373" s="28"/>
      <c r="J1373" s="28"/>
      <c r="K1373" s="28"/>
      <c r="L1373" s="28"/>
      <c r="M1373" s="28"/>
      <c r="N1373" s="28"/>
      <c r="O1373" s="67" t="s">
        <v>10831</v>
      </c>
      <c r="P1373" s="67"/>
      <c r="Q1373" s="67" t="s">
        <v>145</v>
      </c>
      <c r="R1373" s="67"/>
      <c r="S1373" s="67"/>
      <c r="T1373" s="67"/>
      <c r="U1373" s="67"/>
      <c r="V1373" s="67"/>
      <c r="W1373" s="67"/>
      <c r="X1373" s="67"/>
      <c r="Y1373" s="67"/>
      <c r="Z1373" s="67"/>
      <c r="AA1373" s="67"/>
      <c r="AB1373" s="67"/>
      <c r="AC1373" s="67"/>
      <c r="AD1373" s="70"/>
      <c r="AE1373" s="70"/>
      <c r="AF1373" s="70"/>
      <c r="AG1373" s="70"/>
      <c r="AH1373" s="70"/>
      <c r="AI1373" s="70"/>
      <c r="AJ1373" s="70"/>
      <c r="AK1373" s="70"/>
      <c r="AL1373" s="70"/>
      <c r="AM1373" s="70"/>
      <c r="AN1373" s="70"/>
      <c r="AO1373" s="70"/>
      <c r="AP1373" s="70"/>
      <c r="AQ1373" s="70"/>
      <c r="AR1373" s="70"/>
      <c r="AS1373" s="70"/>
      <c r="AT1373" s="70"/>
      <c r="AU1373" s="70"/>
      <c r="AV1373" s="70"/>
      <c r="AW1373" s="70"/>
      <c r="AX1373" s="70"/>
    </row>
    <row r="1374" ht="15.75" customHeight="1">
      <c r="A1374" s="166" t="s">
        <v>41</v>
      </c>
      <c r="B1374" s="167" t="s">
        <v>9365</v>
      </c>
      <c r="C1374" s="28" t="s">
        <v>9369</v>
      </c>
      <c r="D1374" s="28" t="s">
        <v>9370</v>
      </c>
      <c r="E1374" s="28" t="s">
        <v>9371</v>
      </c>
      <c r="F1374" s="28"/>
      <c r="G1374" s="28"/>
      <c r="H1374" s="28"/>
      <c r="I1374" s="28"/>
      <c r="J1374" s="28"/>
      <c r="K1374" s="28"/>
      <c r="L1374" s="28"/>
      <c r="M1374" s="28"/>
      <c r="N1374" s="28"/>
      <c r="O1374" s="126"/>
      <c r="P1374" s="126"/>
      <c r="Q1374" s="126"/>
      <c r="R1374" s="126"/>
      <c r="S1374" s="126"/>
      <c r="T1374" s="126"/>
      <c r="U1374" s="126"/>
      <c r="V1374" s="126"/>
      <c r="W1374" s="126"/>
      <c r="X1374" s="126"/>
      <c r="Y1374" s="126"/>
      <c r="Z1374" s="126"/>
      <c r="AA1374" s="126"/>
      <c r="AB1374" s="126"/>
      <c r="AC1374" s="126"/>
      <c r="AD1374" s="70"/>
      <c r="AE1374" s="70"/>
      <c r="AF1374" s="70"/>
      <c r="AG1374" s="70"/>
      <c r="AH1374" s="70"/>
      <c r="AI1374" s="70"/>
      <c r="AJ1374" s="70"/>
      <c r="AK1374" s="70"/>
      <c r="AL1374" s="70"/>
      <c r="AM1374" s="70"/>
      <c r="AN1374" s="70"/>
      <c r="AO1374" s="70"/>
      <c r="AP1374" s="70"/>
      <c r="AQ1374" s="70"/>
      <c r="AR1374" s="70"/>
      <c r="AS1374" s="70"/>
      <c r="AT1374" s="70"/>
      <c r="AU1374" s="70"/>
      <c r="AV1374" s="70"/>
      <c r="AW1374" s="70"/>
      <c r="AX1374" s="70"/>
    </row>
    <row r="1375" ht="15.75" customHeight="1">
      <c r="A1375" s="90" t="s">
        <v>134</v>
      </c>
      <c r="B1375" s="92" t="s">
        <v>9372</v>
      </c>
      <c r="C1375" s="28"/>
      <c r="D1375" s="28"/>
      <c r="E1375" s="28"/>
      <c r="F1375" s="28"/>
      <c r="G1375" s="28"/>
      <c r="H1375" s="28"/>
      <c r="I1375" s="28"/>
      <c r="J1375" s="28"/>
      <c r="K1375" s="28"/>
      <c r="L1375" s="28"/>
      <c r="M1375" s="28"/>
      <c r="N1375" s="28"/>
      <c r="O1375" s="96"/>
      <c r="P1375" s="96"/>
      <c r="Q1375" s="96"/>
      <c r="R1375" s="96"/>
      <c r="S1375" s="96"/>
      <c r="T1375" s="178" t="s">
        <v>139</v>
      </c>
      <c r="U1375" s="96"/>
      <c r="V1375" s="96"/>
      <c r="W1375" s="96"/>
      <c r="X1375" s="96"/>
      <c r="Y1375" s="96"/>
      <c r="Z1375" s="96"/>
      <c r="AA1375" s="96"/>
      <c r="AB1375" s="96"/>
      <c r="AC1375" s="96"/>
      <c r="AD1375" s="70"/>
      <c r="AE1375" s="70"/>
      <c r="AF1375" s="70"/>
      <c r="AG1375" s="70"/>
      <c r="AH1375" s="70"/>
      <c r="AI1375" s="70"/>
      <c r="AJ1375" s="70"/>
      <c r="AK1375" s="70"/>
      <c r="AL1375" s="70"/>
      <c r="AM1375" s="70"/>
      <c r="AN1375" s="70"/>
      <c r="AO1375" s="70"/>
      <c r="AP1375" s="70"/>
      <c r="AQ1375" s="70"/>
      <c r="AR1375" s="70"/>
      <c r="AS1375" s="70"/>
      <c r="AT1375" s="70"/>
      <c r="AU1375" s="70"/>
      <c r="AV1375" s="70"/>
      <c r="AW1375" s="70"/>
      <c r="AX1375" s="70"/>
    </row>
    <row r="1376" ht="15.75" customHeight="1">
      <c r="A1376" s="174" t="s">
        <v>698</v>
      </c>
      <c r="B1376" s="175" t="s">
        <v>9373</v>
      </c>
      <c r="C1376" s="28" t="s">
        <v>9374</v>
      </c>
      <c r="D1376" s="28" t="s">
        <v>9375</v>
      </c>
      <c r="E1376" s="28" t="s">
        <v>9376</v>
      </c>
      <c r="F1376" s="28"/>
      <c r="G1376" s="28"/>
      <c r="H1376" s="28"/>
      <c r="I1376" s="28"/>
      <c r="J1376" s="28"/>
      <c r="K1376" s="28"/>
      <c r="L1376" s="28"/>
      <c r="M1376" s="28"/>
      <c r="N1376" s="28"/>
      <c r="O1376" s="177"/>
      <c r="P1376" s="176"/>
      <c r="Q1376" s="176"/>
      <c r="R1376" s="176"/>
      <c r="S1376" s="176"/>
      <c r="T1376" s="176"/>
      <c r="U1376" s="177" t="s">
        <v>10785</v>
      </c>
      <c r="V1376" s="176"/>
      <c r="W1376" s="176"/>
      <c r="X1376" s="176"/>
      <c r="Y1376" s="176"/>
      <c r="Z1376" s="176"/>
      <c r="AA1376" s="176"/>
      <c r="AB1376" s="176"/>
      <c r="AC1376" s="176"/>
      <c r="AD1376" s="70"/>
      <c r="AE1376" s="70"/>
      <c r="AF1376" s="70"/>
      <c r="AG1376" s="70"/>
      <c r="AH1376" s="70"/>
      <c r="AI1376" s="70"/>
      <c r="AJ1376" s="70"/>
      <c r="AK1376" s="70"/>
      <c r="AL1376" s="70"/>
      <c r="AM1376" s="70"/>
      <c r="AN1376" s="70"/>
      <c r="AO1376" s="70"/>
      <c r="AP1376" s="70"/>
      <c r="AQ1376" s="70"/>
      <c r="AR1376" s="70"/>
      <c r="AS1376" s="70"/>
      <c r="AT1376" s="70"/>
      <c r="AU1376" s="70"/>
      <c r="AV1376" s="70"/>
      <c r="AW1376" s="70"/>
      <c r="AX1376" s="70"/>
    </row>
    <row r="1377" ht="15.75" customHeight="1">
      <c r="A1377" s="90" t="s">
        <v>78</v>
      </c>
      <c r="B1377" s="92" t="s">
        <v>9377</v>
      </c>
      <c r="C1377" s="28"/>
      <c r="D1377" s="28"/>
      <c r="E1377" s="28"/>
      <c r="F1377" s="28"/>
      <c r="G1377" s="28"/>
      <c r="H1377" s="28"/>
      <c r="I1377" s="28"/>
      <c r="J1377" s="28"/>
      <c r="K1377" s="28"/>
      <c r="L1377" s="28"/>
      <c r="M1377" s="28"/>
      <c r="N1377" s="28"/>
      <c r="O1377" s="96"/>
      <c r="P1377" s="96"/>
      <c r="Q1377" s="96"/>
      <c r="R1377" s="96"/>
      <c r="S1377" s="96"/>
      <c r="T1377" s="178" t="s">
        <v>10786</v>
      </c>
      <c r="U1377" s="96"/>
      <c r="V1377" s="96"/>
      <c r="W1377" s="96"/>
      <c r="X1377" s="96"/>
      <c r="Y1377" s="96"/>
      <c r="Z1377" s="96"/>
      <c r="AA1377" s="96"/>
      <c r="AB1377" s="96"/>
      <c r="AC1377" s="96"/>
      <c r="AD1377" s="70"/>
      <c r="AE1377" s="70"/>
      <c r="AF1377" s="70"/>
      <c r="AG1377" s="70"/>
      <c r="AH1377" s="70"/>
      <c r="AI1377" s="70"/>
      <c r="AJ1377" s="70"/>
      <c r="AK1377" s="70"/>
      <c r="AL1377" s="70"/>
      <c r="AM1377" s="70"/>
      <c r="AN1377" s="70"/>
      <c r="AO1377" s="70"/>
      <c r="AP1377" s="70"/>
      <c r="AQ1377" s="70"/>
      <c r="AR1377" s="70"/>
      <c r="AS1377" s="70"/>
      <c r="AT1377" s="70"/>
      <c r="AU1377" s="70"/>
      <c r="AV1377" s="70"/>
      <c r="AW1377" s="70"/>
      <c r="AX1377" s="70"/>
    </row>
    <row r="1378" ht="15.75" customHeight="1">
      <c r="A1378" s="90" t="s">
        <v>78</v>
      </c>
      <c r="B1378" s="92" t="s">
        <v>9378</v>
      </c>
      <c r="C1378" s="28"/>
      <c r="D1378" s="28"/>
      <c r="E1378" s="28"/>
      <c r="F1378" s="28"/>
      <c r="G1378" s="28"/>
      <c r="H1378" s="28"/>
      <c r="I1378" s="28"/>
      <c r="J1378" s="28"/>
      <c r="K1378" s="28"/>
      <c r="L1378" s="28"/>
      <c r="M1378" s="28"/>
      <c r="N1378" s="28"/>
      <c r="O1378" s="96"/>
      <c r="P1378" s="96"/>
      <c r="Q1378" s="96"/>
      <c r="R1378" s="96"/>
      <c r="S1378" s="96"/>
      <c r="T1378" s="178" t="s">
        <v>10842</v>
      </c>
      <c r="U1378" s="96"/>
      <c r="V1378" s="96"/>
      <c r="W1378" s="96"/>
      <c r="X1378" s="96"/>
      <c r="Y1378" s="96"/>
      <c r="Z1378" s="96"/>
      <c r="AA1378" s="96"/>
      <c r="AB1378" s="96"/>
      <c r="AC1378" s="96"/>
      <c r="AD1378" s="70"/>
      <c r="AE1378" s="70"/>
      <c r="AF1378" s="70"/>
      <c r="AG1378" s="70"/>
      <c r="AH1378" s="70"/>
      <c r="AI1378" s="70"/>
      <c r="AJ1378" s="70"/>
      <c r="AK1378" s="70"/>
      <c r="AL1378" s="70"/>
      <c r="AM1378" s="70"/>
      <c r="AN1378" s="70"/>
      <c r="AO1378" s="70"/>
      <c r="AP1378" s="70"/>
      <c r="AQ1378" s="70"/>
      <c r="AR1378" s="70"/>
      <c r="AS1378" s="70"/>
      <c r="AT1378" s="70"/>
      <c r="AU1378" s="70"/>
      <c r="AV1378" s="70"/>
      <c r="AW1378" s="70"/>
      <c r="AX1378" s="70"/>
    </row>
    <row r="1379" ht="15.75" customHeight="1">
      <c r="A1379" s="68" t="s">
        <v>463</v>
      </c>
      <c r="B1379" s="169" t="s">
        <v>9379</v>
      </c>
      <c r="C1379" s="28" t="s">
        <v>9383</v>
      </c>
      <c r="D1379" s="28" t="s">
        <v>9384</v>
      </c>
      <c r="E1379" s="28" t="s">
        <v>9385</v>
      </c>
      <c r="F1379" s="28"/>
      <c r="G1379" s="28"/>
      <c r="H1379" s="28"/>
      <c r="I1379" s="28"/>
      <c r="J1379" s="28"/>
      <c r="K1379" s="28"/>
      <c r="L1379" s="28"/>
      <c r="M1379" s="28"/>
      <c r="N1379" s="28"/>
      <c r="O1379" s="67"/>
      <c r="P1379" s="67"/>
      <c r="Q1379" s="67" t="s">
        <v>145</v>
      </c>
      <c r="R1379" s="67"/>
      <c r="S1379" s="67"/>
      <c r="T1379" s="67"/>
      <c r="U1379" s="67"/>
      <c r="V1379" s="67"/>
      <c r="W1379" s="67"/>
      <c r="X1379" s="67"/>
      <c r="Y1379" s="67"/>
      <c r="Z1379" s="67"/>
      <c r="AA1379" s="67"/>
      <c r="AB1379" s="67"/>
      <c r="AC1379" s="67"/>
      <c r="AD1379" s="70"/>
      <c r="AE1379" s="70"/>
      <c r="AF1379" s="70"/>
      <c r="AG1379" s="70"/>
      <c r="AH1379" s="70"/>
      <c r="AI1379" s="70"/>
      <c r="AJ1379" s="70"/>
      <c r="AK1379" s="70"/>
      <c r="AL1379" s="70"/>
      <c r="AM1379" s="70"/>
      <c r="AN1379" s="70"/>
      <c r="AO1379" s="70"/>
      <c r="AP1379" s="70"/>
      <c r="AQ1379" s="70"/>
      <c r="AR1379" s="70"/>
      <c r="AS1379" s="70"/>
      <c r="AT1379" s="70"/>
      <c r="AU1379" s="70"/>
      <c r="AV1379" s="70"/>
      <c r="AW1379" s="70"/>
      <c r="AX1379" s="70"/>
    </row>
    <row r="1380" ht="15.75" customHeight="1">
      <c r="A1380" s="68" t="s">
        <v>4036</v>
      </c>
      <c r="B1380" s="169" t="s">
        <v>9387</v>
      </c>
      <c r="C1380" s="28" t="s">
        <v>9393</v>
      </c>
      <c r="D1380" s="28" t="s">
        <v>9394</v>
      </c>
      <c r="E1380" s="28" t="s">
        <v>9395</v>
      </c>
      <c r="F1380" s="28"/>
      <c r="G1380" s="28"/>
      <c r="H1380" s="28"/>
      <c r="I1380" s="28"/>
      <c r="J1380" s="28"/>
      <c r="K1380" s="28"/>
      <c r="L1380" s="28"/>
      <c r="M1380" s="28"/>
      <c r="N1380" s="28"/>
      <c r="O1380" s="67" t="s">
        <v>10843</v>
      </c>
      <c r="P1380" s="67"/>
      <c r="Q1380" s="67" t="s">
        <v>145</v>
      </c>
      <c r="R1380" s="67"/>
      <c r="S1380" s="67"/>
      <c r="T1380" s="67"/>
      <c r="U1380" s="67"/>
      <c r="V1380" s="67"/>
      <c r="W1380" s="67"/>
      <c r="X1380" s="67"/>
      <c r="Y1380" s="67"/>
      <c r="Z1380" s="67"/>
      <c r="AA1380" s="67"/>
      <c r="AB1380" s="67"/>
      <c r="AC1380" s="67"/>
      <c r="AD1380" s="70"/>
      <c r="AE1380" s="70"/>
      <c r="AF1380" s="70"/>
      <c r="AG1380" s="70"/>
      <c r="AH1380" s="70"/>
      <c r="AI1380" s="70"/>
      <c r="AJ1380" s="70"/>
      <c r="AK1380" s="70"/>
      <c r="AL1380" s="70"/>
      <c r="AM1380" s="70"/>
      <c r="AN1380" s="70"/>
      <c r="AO1380" s="70"/>
      <c r="AP1380" s="70"/>
      <c r="AQ1380" s="70"/>
      <c r="AR1380" s="70"/>
      <c r="AS1380" s="70"/>
      <c r="AT1380" s="70"/>
      <c r="AU1380" s="70"/>
      <c r="AV1380" s="70"/>
      <c r="AW1380" s="70"/>
      <c r="AX1380" s="70"/>
    </row>
    <row r="1381" ht="15.75" customHeight="1">
      <c r="A1381" s="179" t="s">
        <v>246</v>
      </c>
      <c r="B1381" s="180" t="s">
        <v>9396</v>
      </c>
      <c r="C1381" s="28" t="s">
        <v>9400</v>
      </c>
      <c r="D1381" s="28" t="s">
        <v>9401</v>
      </c>
      <c r="E1381" s="28" t="s">
        <v>9402</v>
      </c>
      <c r="F1381" s="28"/>
      <c r="G1381" s="28"/>
      <c r="H1381" s="28"/>
      <c r="I1381" s="28"/>
      <c r="J1381" s="28"/>
      <c r="K1381" s="28"/>
      <c r="L1381" s="28"/>
      <c r="M1381" s="28"/>
      <c r="N1381" s="28"/>
      <c r="O1381" s="181" t="s">
        <v>10844</v>
      </c>
      <c r="P1381" s="181"/>
      <c r="Q1381" s="181" t="s">
        <v>145</v>
      </c>
      <c r="R1381" s="181"/>
      <c r="S1381" s="181"/>
      <c r="T1381" s="181"/>
      <c r="U1381" s="181"/>
      <c r="V1381" s="181"/>
      <c r="W1381" s="181"/>
      <c r="X1381" s="181"/>
      <c r="Y1381" s="181"/>
      <c r="Z1381" s="181"/>
      <c r="AA1381" s="181"/>
      <c r="AB1381" s="181"/>
      <c r="AC1381" s="181"/>
      <c r="AD1381" s="70"/>
      <c r="AE1381" s="70"/>
      <c r="AF1381" s="70"/>
      <c r="AG1381" s="70"/>
      <c r="AH1381" s="70"/>
      <c r="AI1381" s="70"/>
      <c r="AJ1381" s="70"/>
      <c r="AK1381" s="70"/>
      <c r="AL1381" s="70"/>
      <c r="AM1381" s="70"/>
      <c r="AN1381" s="70"/>
      <c r="AO1381" s="70"/>
      <c r="AP1381" s="70"/>
      <c r="AQ1381" s="70"/>
      <c r="AR1381" s="70"/>
      <c r="AS1381" s="70"/>
      <c r="AT1381" s="70"/>
      <c r="AU1381" s="70"/>
      <c r="AV1381" s="70"/>
      <c r="AW1381" s="70"/>
      <c r="AX1381" s="70"/>
    </row>
    <row r="1382" ht="15.75" customHeight="1">
      <c r="A1382" s="90" t="s">
        <v>78</v>
      </c>
      <c r="B1382" s="92" t="s">
        <v>9403</v>
      </c>
      <c r="C1382" s="28"/>
      <c r="D1382" s="28"/>
      <c r="E1382" s="28"/>
      <c r="F1382" s="28"/>
      <c r="G1382" s="28"/>
      <c r="H1382" s="28"/>
      <c r="I1382" s="28"/>
      <c r="J1382" s="28"/>
      <c r="K1382" s="28"/>
      <c r="L1382" s="28"/>
      <c r="M1382" s="28"/>
      <c r="N1382" s="28"/>
      <c r="O1382" s="96"/>
      <c r="P1382" s="96"/>
      <c r="Q1382" s="96"/>
      <c r="R1382" s="96"/>
      <c r="S1382" s="96"/>
      <c r="T1382" s="178" t="s">
        <v>10845</v>
      </c>
      <c r="U1382" s="96"/>
      <c r="V1382" s="96"/>
      <c r="W1382" s="96"/>
      <c r="X1382" s="96"/>
      <c r="Y1382" s="96"/>
      <c r="Z1382" s="96"/>
      <c r="AA1382" s="96"/>
      <c r="AB1382" s="96"/>
      <c r="AC1382" s="96"/>
      <c r="AD1382" s="70"/>
      <c r="AE1382" s="70"/>
      <c r="AF1382" s="70"/>
      <c r="AG1382" s="70"/>
      <c r="AH1382" s="70"/>
      <c r="AI1382" s="70"/>
      <c r="AJ1382" s="70"/>
      <c r="AK1382" s="70"/>
      <c r="AL1382" s="70"/>
      <c r="AM1382" s="70"/>
      <c r="AN1382" s="70"/>
      <c r="AO1382" s="70"/>
      <c r="AP1382" s="70"/>
      <c r="AQ1382" s="70"/>
      <c r="AR1382" s="70"/>
      <c r="AS1382" s="70"/>
      <c r="AT1382" s="70"/>
      <c r="AU1382" s="70"/>
      <c r="AV1382" s="70"/>
      <c r="AW1382" s="70"/>
      <c r="AX1382" s="70"/>
    </row>
    <row r="1383" ht="15.75" customHeight="1">
      <c r="A1383" s="170" t="s">
        <v>263</v>
      </c>
      <c r="B1383" s="171" t="s">
        <v>9404</v>
      </c>
      <c r="C1383" s="28" t="s">
        <v>9408</v>
      </c>
      <c r="D1383" s="28" t="s">
        <v>9409</v>
      </c>
      <c r="E1383" s="28" t="s">
        <v>9410</v>
      </c>
      <c r="F1383" s="28"/>
      <c r="G1383" s="28"/>
      <c r="H1383" s="28"/>
      <c r="I1383" s="28"/>
      <c r="J1383" s="28"/>
      <c r="K1383" s="28"/>
      <c r="L1383" s="28"/>
      <c r="M1383" s="28"/>
      <c r="N1383" s="28"/>
      <c r="O1383" s="173" t="s">
        <v>10843</v>
      </c>
      <c r="P1383" s="173"/>
      <c r="Q1383" s="173" t="s">
        <v>145</v>
      </c>
      <c r="R1383" s="173"/>
      <c r="S1383" s="173"/>
      <c r="T1383" s="173"/>
      <c r="U1383" s="173"/>
      <c r="V1383" s="173"/>
      <c r="W1383" s="173"/>
      <c r="X1383" s="173"/>
      <c r="Y1383" s="173"/>
      <c r="Z1383" s="173"/>
      <c r="AA1383" s="173"/>
      <c r="AB1383" s="173"/>
      <c r="AC1383" s="173"/>
      <c r="AD1383" s="70"/>
      <c r="AE1383" s="70"/>
      <c r="AF1383" s="70"/>
      <c r="AG1383" s="70"/>
      <c r="AH1383" s="70"/>
      <c r="AI1383" s="70"/>
      <c r="AJ1383" s="70"/>
      <c r="AK1383" s="70"/>
      <c r="AL1383" s="70"/>
      <c r="AM1383" s="70"/>
      <c r="AN1383" s="70"/>
      <c r="AO1383" s="70"/>
      <c r="AP1383" s="70"/>
      <c r="AQ1383" s="70"/>
      <c r="AR1383" s="70"/>
      <c r="AS1383" s="70"/>
      <c r="AT1383" s="70"/>
      <c r="AU1383" s="70"/>
      <c r="AV1383" s="70"/>
      <c r="AW1383" s="70"/>
      <c r="AX1383" s="70"/>
    </row>
    <row r="1384" ht="15.75" customHeight="1">
      <c r="A1384" s="170" t="s">
        <v>263</v>
      </c>
      <c r="B1384" s="171" t="s">
        <v>9411</v>
      </c>
      <c r="C1384" s="28" t="s">
        <v>9415</v>
      </c>
      <c r="D1384" s="28" t="s">
        <v>9416</v>
      </c>
      <c r="E1384" s="28" t="s">
        <v>9417</v>
      </c>
      <c r="F1384" s="28"/>
      <c r="G1384" s="28"/>
      <c r="H1384" s="28"/>
      <c r="I1384" s="28"/>
      <c r="J1384" s="28"/>
      <c r="K1384" s="28" t="s">
        <v>10825</v>
      </c>
      <c r="L1384" s="28"/>
      <c r="M1384" s="28"/>
      <c r="N1384" s="28"/>
      <c r="O1384" s="173" t="s">
        <v>10843</v>
      </c>
      <c r="P1384" s="173"/>
      <c r="Q1384" s="173" t="s">
        <v>145</v>
      </c>
      <c r="R1384" s="173"/>
      <c r="S1384" s="173"/>
      <c r="T1384" s="173"/>
      <c r="U1384" s="173"/>
      <c r="V1384" s="173"/>
      <c r="W1384" s="173"/>
      <c r="X1384" s="173"/>
      <c r="Y1384" s="173"/>
      <c r="Z1384" s="173"/>
      <c r="AA1384" s="173"/>
      <c r="AB1384" s="173"/>
      <c r="AC1384" s="173"/>
      <c r="AD1384" s="70"/>
      <c r="AE1384" s="70"/>
      <c r="AF1384" s="70"/>
      <c r="AG1384" s="70"/>
      <c r="AH1384" s="70"/>
      <c r="AI1384" s="70"/>
      <c r="AJ1384" s="70"/>
      <c r="AK1384" s="70"/>
      <c r="AL1384" s="70"/>
      <c r="AM1384" s="70"/>
      <c r="AN1384" s="70"/>
      <c r="AO1384" s="70"/>
      <c r="AP1384" s="70"/>
      <c r="AQ1384" s="70"/>
      <c r="AR1384" s="70"/>
      <c r="AS1384" s="70"/>
      <c r="AT1384" s="70"/>
      <c r="AU1384" s="70"/>
      <c r="AV1384" s="70"/>
      <c r="AW1384" s="70"/>
      <c r="AX1384" s="70"/>
    </row>
    <row r="1385" ht="15.75" customHeight="1">
      <c r="A1385" s="170" t="s">
        <v>263</v>
      </c>
      <c r="B1385" s="171" t="s">
        <v>9418</v>
      </c>
      <c r="C1385" s="28" t="s">
        <v>9423</v>
      </c>
      <c r="D1385" s="28" t="s">
        <v>9424</v>
      </c>
      <c r="E1385" s="28" t="s">
        <v>9425</v>
      </c>
      <c r="F1385" s="28"/>
      <c r="G1385" s="28"/>
      <c r="H1385" s="28"/>
      <c r="I1385" s="28"/>
      <c r="J1385" s="28"/>
      <c r="K1385" s="28"/>
      <c r="L1385" s="28"/>
      <c r="M1385" s="28"/>
      <c r="N1385" s="28"/>
      <c r="O1385" s="173"/>
      <c r="P1385" s="173"/>
      <c r="Q1385" s="173" t="s">
        <v>145</v>
      </c>
      <c r="R1385" s="173"/>
      <c r="S1385" s="173"/>
      <c r="T1385" s="173"/>
      <c r="U1385" s="173"/>
      <c r="V1385" s="173"/>
      <c r="W1385" s="173"/>
      <c r="X1385" s="173"/>
      <c r="Y1385" s="173"/>
      <c r="Z1385" s="173"/>
      <c r="AA1385" s="173"/>
      <c r="AB1385" s="173"/>
      <c r="AC1385" s="173"/>
      <c r="AD1385" s="70"/>
      <c r="AE1385" s="70"/>
      <c r="AF1385" s="70"/>
      <c r="AG1385" s="70"/>
      <c r="AH1385" s="70"/>
      <c r="AI1385" s="70"/>
      <c r="AJ1385" s="70"/>
      <c r="AK1385" s="70"/>
      <c r="AL1385" s="70"/>
      <c r="AM1385" s="70"/>
      <c r="AN1385" s="70"/>
      <c r="AO1385" s="70"/>
      <c r="AP1385" s="70"/>
      <c r="AQ1385" s="70"/>
      <c r="AR1385" s="70"/>
      <c r="AS1385" s="70"/>
      <c r="AT1385" s="70"/>
      <c r="AU1385" s="70"/>
      <c r="AV1385" s="70"/>
      <c r="AW1385" s="70"/>
      <c r="AX1385" s="70"/>
    </row>
    <row r="1386" ht="15.75" customHeight="1">
      <c r="A1386" s="174" t="s">
        <v>1015</v>
      </c>
      <c r="B1386" s="204" t="s">
        <v>9373</v>
      </c>
      <c r="C1386" s="28" t="s">
        <v>9374</v>
      </c>
      <c r="D1386" s="28" t="s">
        <v>9375</v>
      </c>
      <c r="E1386" s="28" t="s">
        <v>9376</v>
      </c>
      <c r="F1386" s="28"/>
      <c r="G1386" s="28"/>
      <c r="H1386" s="28"/>
      <c r="I1386" s="28"/>
      <c r="J1386" s="28"/>
      <c r="K1386" s="28"/>
      <c r="L1386" s="28"/>
      <c r="M1386" s="28"/>
      <c r="N1386" s="28"/>
      <c r="O1386" s="176"/>
      <c r="P1386" s="176"/>
      <c r="Q1386" s="176"/>
      <c r="R1386" s="176"/>
      <c r="S1386" s="176"/>
      <c r="T1386" s="176"/>
      <c r="U1386" s="176"/>
      <c r="V1386" s="176"/>
      <c r="W1386" s="176"/>
      <c r="X1386" s="176"/>
      <c r="Y1386" s="176"/>
      <c r="Z1386" s="176"/>
      <c r="AA1386" s="176"/>
      <c r="AB1386" s="176"/>
      <c r="AC1386" s="176"/>
      <c r="AD1386" s="70"/>
      <c r="AE1386" s="70"/>
      <c r="AF1386" s="70"/>
      <c r="AG1386" s="70"/>
      <c r="AH1386" s="70"/>
      <c r="AI1386" s="70"/>
      <c r="AJ1386" s="70"/>
      <c r="AK1386" s="70"/>
      <c r="AL1386" s="70"/>
      <c r="AM1386" s="70"/>
      <c r="AN1386" s="70"/>
      <c r="AO1386" s="70"/>
      <c r="AP1386" s="70"/>
      <c r="AQ1386" s="70"/>
      <c r="AR1386" s="70"/>
      <c r="AS1386" s="70"/>
      <c r="AT1386" s="70"/>
      <c r="AU1386" s="70"/>
      <c r="AV1386" s="70"/>
      <c r="AW1386" s="70"/>
      <c r="AX1386" s="70"/>
    </row>
    <row r="1387" ht="15.75" customHeight="1">
      <c r="A1387" s="90" t="s">
        <v>134</v>
      </c>
      <c r="B1387" s="92" t="s">
        <v>9426</v>
      </c>
      <c r="C1387" s="28"/>
      <c r="D1387" s="28"/>
      <c r="E1387" s="28"/>
      <c r="F1387" s="28"/>
      <c r="G1387" s="28"/>
      <c r="H1387" s="28"/>
      <c r="I1387" s="28"/>
      <c r="J1387" s="28"/>
      <c r="K1387" s="28"/>
      <c r="L1387" s="28"/>
      <c r="M1387" s="28"/>
      <c r="N1387" s="28"/>
      <c r="O1387" s="96"/>
      <c r="P1387" s="96"/>
      <c r="Q1387" s="96"/>
      <c r="R1387" s="96"/>
      <c r="S1387" s="96"/>
      <c r="T1387" s="178" t="s">
        <v>139</v>
      </c>
      <c r="U1387" s="96"/>
      <c r="V1387" s="96"/>
      <c r="W1387" s="96"/>
      <c r="X1387" s="96"/>
      <c r="Y1387" s="96"/>
      <c r="Z1387" s="96"/>
      <c r="AA1387" s="96"/>
      <c r="AB1387" s="96"/>
      <c r="AC1387" s="96"/>
      <c r="AD1387" s="70"/>
      <c r="AE1387" s="70"/>
      <c r="AF1387" s="70"/>
      <c r="AG1387" s="70"/>
      <c r="AH1387" s="70"/>
      <c r="AI1387" s="70"/>
      <c r="AJ1387" s="70"/>
      <c r="AK1387" s="70"/>
      <c r="AL1387" s="70"/>
      <c r="AM1387" s="70"/>
      <c r="AN1387" s="70"/>
      <c r="AO1387" s="70"/>
      <c r="AP1387" s="70"/>
      <c r="AQ1387" s="70"/>
      <c r="AR1387" s="70"/>
      <c r="AS1387" s="70"/>
      <c r="AT1387" s="70"/>
      <c r="AU1387" s="70"/>
      <c r="AV1387" s="70"/>
      <c r="AW1387" s="70"/>
      <c r="AX1387" s="70"/>
    </row>
    <row r="1388" ht="15.75" customHeight="1">
      <c r="A1388" s="90" t="s">
        <v>78</v>
      </c>
      <c r="B1388" s="92" t="s">
        <v>9427</v>
      </c>
      <c r="C1388" s="28"/>
      <c r="D1388" s="28"/>
      <c r="E1388" s="28"/>
      <c r="F1388" s="28"/>
      <c r="G1388" s="28"/>
      <c r="H1388" s="28"/>
      <c r="I1388" s="28"/>
      <c r="J1388" s="28"/>
      <c r="K1388" s="28"/>
      <c r="L1388" s="28"/>
      <c r="M1388" s="28"/>
      <c r="N1388" s="28"/>
      <c r="O1388" s="96"/>
      <c r="P1388" s="96"/>
      <c r="Q1388" s="96"/>
      <c r="R1388" s="96"/>
      <c r="S1388" s="96"/>
      <c r="T1388" s="178" t="s">
        <v>10846</v>
      </c>
      <c r="U1388" s="96"/>
      <c r="V1388" s="96"/>
      <c r="W1388" s="96"/>
      <c r="X1388" s="96"/>
      <c r="Y1388" s="96"/>
      <c r="Z1388" s="96"/>
      <c r="AA1388" s="96"/>
      <c r="AB1388" s="96"/>
      <c r="AC1388" s="96"/>
      <c r="AD1388" s="70"/>
      <c r="AE1388" s="70"/>
      <c r="AF1388" s="70"/>
      <c r="AG1388" s="70"/>
      <c r="AH1388" s="70"/>
      <c r="AI1388" s="70"/>
      <c r="AJ1388" s="70"/>
      <c r="AK1388" s="70"/>
      <c r="AL1388" s="70"/>
      <c r="AM1388" s="70"/>
      <c r="AN1388" s="70"/>
      <c r="AO1388" s="70"/>
      <c r="AP1388" s="70"/>
      <c r="AQ1388" s="70"/>
      <c r="AR1388" s="70"/>
      <c r="AS1388" s="70"/>
      <c r="AT1388" s="70"/>
      <c r="AU1388" s="70"/>
      <c r="AV1388" s="70"/>
      <c r="AW1388" s="70"/>
      <c r="AX1388" s="70"/>
    </row>
    <row r="1389" ht="15.75" customHeight="1">
      <c r="A1389" s="221"/>
      <c r="B1389" s="222"/>
      <c r="C1389" s="28"/>
      <c r="D1389" s="28"/>
      <c r="E1389" s="28"/>
      <c r="F1389" s="28"/>
      <c r="G1389" s="28"/>
      <c r="H1389" s="28"/>
      <c r="I1389" s="28"/>
      <c r="J1389" s="28"/>
      <c r="K1389" s="28"/>
      <c r="L1389" s="28"/>
      <c r="M1389" s="28"/>
      <c r="N1389" s="28"/>
      <c r="O1389" s="70"/>
      <c r="P1389" s="70"/>
      <c r="Q1389" s="70"/>
      <c r="R1389" s="70"/>
      <c r="S1389" s="70"/>
      <c r="T1389" s="70"/>
      <c r="U1389" s="70"/>
      <c r="V1389" s="70"/>
      <c r="W1389" s="70"/>
      <c r="X1389" s="70"/>
      <c r="Y1389" s="70"/>
      <c r="Z1389" s="70"/>
      <c r="AA1389" s="70"/>
      <c r="AB1389" s="70"/>
      <c r="AC1389" s="70"/>
      <c r="AD1389" s="70"/>
      <c r="AE1389" s="70"/>
      <c r="AF1389" s="70"/>
      <c r="AG1389" s="70"/>
      <c r="AH1389" s="70"/>
      <c r="AI1389" s="70"/>
      <c r="AJ1389" s="70"/>
      <c r="AK1389" s="70"/>
      <c r="AL1389" s="70"/>
      <c r="AM1389" s="70"/>
      <c r="AN1389" s="70"/>
      <c r="AO1389" s="70"/>
      <c r="AP1389" s="70"/>
      <c r="AQ1389" s="70"/>
      <c r="AR1389" s="70"/>
      <c r="AS1389" s="70"/>
      <c r="AT1389" s="70"/>
      <c r="AU1389" s="70"/>
      <c r="AV1389" s="70"/>
      <c r="AW1389" s="70"/>
      <c r="AX1389" s="70"/>
    </row>
    <row r="1390" ht="15.75" customHeight="1">
      <c r="A1390" s="140" t="s">
        <v>131</v>
      </c>
      <c r="B1390" s="164" t="s">
        <v>9428</v>
      </c>
      <c r="C1390" s="28" t="s">
        <v>9429</v>
      </c>
      <c r="D1390" s="28"/>
      <c r="E1390" s="28"/>
      <c r="F1390" s="28"/>
      <c r="G1390" s="28"/>
      <c r="H1390" s="28"/>
      <c r="I1390" s="28"/>
      <c r="J1390" s="28"/>
      <c r="K1390" s="28"/>
      <c r="L1390" s="28"/>
      <c r="M1390" s="28"/>
      <c r="N1390" s="28"/>
      <c r="O1390" s="190"/>
      <c r="P1390" s="139"/>
      <c r="Q1390" s="139"/>
      <c r="R1390" s="139"/>
      <c r="S1390" s="139"/>
      <c r="T1390" s="139"/>
      <c r="U1390" s="139"/>
      <c r="V1390" s="139"/>
      <c r="W1390" s="139"/>
      <c r="X1390" s="139"/>
      <c r="Y1390" s="139"/>
      <c r="Z1390" s="139"/>
      <c r="AA1390" s="139"/>
      <c r="AB1390" s="139"/>
      <c r="AC1390" s="139"/>
      <c r="AD1390" s="139"/>
      <c r="AE1390" s="139"/>
      <c r="AF1390" s="139"/>
      <c r="AG1390" s="139"/>
      <c r="AH1390" s="139"/>
      <c r="AI1390" s="139"/>
      <c r="AJ1390" s="139"/>
      <c r="AK1390" s="139"/>
      <c r="AL1390" s="139"/>
      <c r="AM1390" s="139"/>
      <c r="AN1390" s="139"/>
      <c r="AO1390" s="70"/>
      <c r="AP1390" s="70"/>
      <c r="AQ1390" s="70"/>
      <c r="AR1390" s="70"/>
      <c r="AS1390" s="70"/>
      <c r="AT1390" s="70"/>
      <c r="AU1390" s="70"/>
      <c r="AV1390" s="70"/>
      <c r="AW1390" s="70"/>
      <c r="AX1390" s="70"/>
    </row>
    <row r="1391" ht="15.75" customHeight="1">
      <c r="A1391" s="90" t="s">
        <v>134</v>
      </c>
      <c r="B1391" s="92" t="s">
        <v>9430</v>
      </c>
      <c r="C1391" s="28"/>
      <c r="D1391" s="28"/>
      <c r="E1391" s="28"/>
      <c r="F1391" s="28"/>
      <c r="G1391" s="28"/>
      <c r="H1391" s="28"/>
      <c r="I1391" s="28"/>
      <c r="J1391" s="28"/>
      <c r="K1391" s="28"/>
      <c r="L1391" s="28"/>
      <c r="M1391" s="28"/>
      <c r="N1391" s="28"/>
      <c r="O1391" s="96"/>
      <c r="P1391" s="96"/>
      <c r="Q1391" s="96"/>
      <c r="R1391" s="96"/>
      <c r="S1391" s="96"/>
      <c r="T1391" s="178" t="s">
        <v>139</v>
      </c>
      <c r="U1391" s="96"/>
      <c r="V1391" s="96"/>
      <c r="W1391" s="96"/>
      <c r="X1391" s="96"/>
      <c r="Y1391" s="96"/>
      <c r="Z1391" s="96"/>
      <c r="AA1391" s="96"/>
      <c r="AB1391" s="96"/>
      <c r="AC1391" s="96"/>
      <c r="AD1391" s="70"/>
      <c r="AE1391" s="70"/>
      <c r="AF1391" s="70"/>
      <c r="AG1391" s="70"/>
      <c r="AH1391" s="70"/>
      <c r="AI1391" s="70"/>
      <c r="AJ1391" s="70"/>
      <c r="AK1391" s="70"/>
      <c r="AL1391" s="70"/>
      <c r="AM1391" s="70"/>
      <c r="AN1391" s="70"/>
      <c r="AO1391" s="70"/>
      <c r="AP1391" s="70"/>
      <c r="AQ1391" s="70"/>
      <c r="AR1391" s="70"/>
      <c r="AS1391" s="70"/>
      <c r="AT1391" s="70"/>
      <c r="AU1391" s="70"/>
      <c r="AV1391" s="70"/>
      <c r="AW1391" s="70"/>
      <c r="AX1391" s="70"/>
    </row>
    <row r="1392" ht="15.75" customHeight="1">
      <c r="A1392" s="68" t="s">
        <v>4445</v>
      </c>
      <c r="B1392" s="169" t="s">
        <v>9431</v>
      </c>
      <c r="C1392" s="28" t="s">
        <v>9435</v>
      </c>
      <c r="D1392" s="28" t="s">
        <v>9436</v>
      </c>
      <c r="E1392" s="28" t="s">
        <v>9437</v>
      </c>
      <c r="F1392" s="169" t="s">
        <v>10847</v>
      </c>
      <c r="G1392" s="169" t="s">
        <v>10848</v>
      </c>
      <c r="H1392" s="169" t="s">
        <v>10849</v>
      </c>
      <c r="I1392" s="169"/>
      <c r="J1392" s="169"/>
      <c r="K1392" s="169" t="s">
        <v>1257</v>
      </c>
      <c r="L1392" s="169"/>
      <c r="M1392" s="169"/>
      <c r="N1392" s="169"/>
      <c r="O1392" s="276"/>
      <c r="P1392" s="67"/>
      <c r="Q1392" s="67" t="s">
        <v>145</v>
      </c>
      <c r="R1392" s="276"/>
      <c r="S1392" s="276"/>
      <c r="T1392" s="276"/>
      <c r="U1392" s="276"/>
      <c r="V1392" s="276"/>
      <c r="W1392" s="276"/>
      <c r="X1392" s="276"/>
      <c r="Y1392" s="276"/>
      <c r="Z1392" s="276"/>
      <c r="AA1392" s="276"/>
      <c r="AB1392" s="276"/>
      <c r="AC1392" s="276"/>
      <c r="AD1392" s="276"/>
      <c r="AE1392" s="276"/>
      <c r="AF1392" s="276"/>
      <c r="AG1392" s="276"/>
      <c r="AH1392" s="276"/>
      <c r="AI1392" s="276"/>
      <c r="AJ1392" s="276"/>
      <c r="AK1392" s="276"/>
      <c r="AL1392" s="276"/>
      <c r="AM1392" s="276"/>
      <c r="AN1392" s="276"/>
      <c r="AO1392" s="121"/>
      <c r="AP1392" s="121"/>
      <c r="AQ1392" s="121"/>
      <c r="AR1392" s="121"/>
      <c r="AS1392" s="121"/>
      <c r="AT1392" s="121"/>
      <c r="AU1392" s="121"/>
      <c r="AV1392" s="121"/>
      <c r="AW1392" s="121"/>
      <c r="AX1392" s="121"/>
    </row>
    <row r="1393" ht="15.75" customHeight="1">
      <c r="A1393" s="170" t="s">
        <v>263</v>
      </c>
      <c r="B1393" s="171" t="s">
        <v>9438</v>
      </c>
      <c r="C1393" s="28" t="s">
        <v>9442</v>
      </c>
      <c r="D1393" s="28" t="s">
        <v>9443</v>
      </c>
      <c r="E1393" s="28" t="s">
        <v>9444</v>
      </c>
      <c r="F1393" s="171"/>
      <c r="G1393" s="171"/>
      <c r="H1393" s="171"/>
      <c r="I1393" s="171"/>
      <c r="J1393" s="171"/>
      <c r="K1393" s="171"/>
      <c r="L1393" s="171"/>
      <c r="M1393" s="171"/>
      <c r="N1393" s="171"/>
      <c r="O1393" s="173" t="s">
        <v>10850</v>
      </c>
      <c r="P1393" s="173"/>
      <c r="Q1393" s="173" t="s">
        <v>145</v>
      </c>
      <c r="R1393" s="280"/>
      <c r="S1393" s="280"/>
      <c r="T1393" s="280"/>
      <c r="U1393" s="280"/>
      <c r="V1393" s="280"/>
      <c r="W1393" s="280"/>
      <c r="X1393" s="280"/>
      <c r="Y1393" s="280"/>
      <c r="Z1393" s="280"/>
      <c r="AA1393" s="280"/>
      <c r="AB1393" s="280"/>
      <c r="AC1393" s="280"/>
      <c r="AD1393" s="276"/>
      <c r="AE1393" s="276"/>
      <c r="AF1393" s="276"/>
      <c r="AG1393" s="276"/>
      <c r="AH1393" s="276"/>
      <c r="AI1393" s="276"/>
      <c r="AJ1393" s="276"/>
      <c r="AK1393" s="276"/>
      <c r="AL1393" s="276"/>
      <c r="AM1393" s="276"/>
      <c r="AN1393" s="276"/>
      <c r="AO1393" s="121"/>
      <c r="AP1393" s="121"/>
      <c r="AQ1393" s="121"/>
      <c r="AR1393" s="121"/>
      <c r="AS1393" s="121"/>
      <c r="AT1393" s="121"/>
      <c r="AU1393" s="121"/>
      <c r="AV1393" s="121"/>
      <c r="AW1393" s="121"/>
      <c r="AX1393" s="121"/>
    </row>
    <row r="1394" ht="15.75" customHeight="1">
      <c r="A1394" s="68" t="s">
        <v>4445</v>
      </c>
      <c r="B1394" s="169" t="s">
        <v>9445</v>
      </c>
      <c r="C1394" s="28" t="s">
        <v>9449</v>
      </c>
      <c r="D1394" s="28" t="s">
        <v>9450</v>
      </c>
      <c r="E1394" s="28" t="s">
        <v>9451</v>
      </c>
      <c r="F1394" s="169" t="s">
        <v>10851</v>
      </c>
      <c r="G1394" s="169" t="s">
        <v>10852</v>
      </c>
      <c r="H1394" s="169" t="s">
        <v>10853</v>
      </c>
      <c r="I1394" s="169"/>
      <c r="J1394" s="169"/>
      <c r="K1394" s="169" t="s">
        <v>1257</v>
      </c>
      <c r="L1394" s="169"/>
      <c r="M1394" s="169"/>
      <c r="N1394" s="169"/>
      <c r="O1394" s="276"/>
      <c r="P1394" s="67"/>
      <c r="Q1394" s="67" t="s">
        <v>145</v>
      </c>
      <c r="R1394" s="276"/>
      <c r="S1394" s="276"/>
      <c r="T1394" s="276"/>
      <c r="U1394" s="276"/>
      <c r="V1394" s="276"/>
      <c r="W1394" s="276"/>
      <c r="X1394" s="276"/>
      <c r="Y1394" s="276"/>
      <c r="Z1394" s="276"/>
      <c r="AA1394" s="276"/>
      <c r="AB1394" s="276"/>
      <c r="AC1394" s="276"/>
      <c r="AD1394" s="276"/>
      <c r="AE1394" s="276"/>
      <c r="AF1394" s="276"/>
      <c r="AG1394" s="276"/>
      <c r="AH1394" s="276"/>
      <c r="AI1394" s="276"/>
      <c r="AJ1394" s="276"/>
      <c r="AK1394" s="276"/>
      <c r="AL1394" s="276"/>
      <c r="AM1394" s="276"/>
      <c r="AN1394" s="276"/>
      <c r="AO1394" s="121"/>
      <c r="AP1394" s="121"/>
      <c r="AQ1394" s="121"/>
      <c r="AR1394" s="121"/>
      <c r="AS1394" s="121"/>
      <c r="AT1394" s="121"/>
      <c r="AU1394" s="121"/>
      <c r="AV1394" s="121"/>
      <c r="AW1394" s="121"/>
      <c r="AX1394" s="121"/>
    </row>
    <row r="1395" ht="15.75" customHeight="1">
      <c r="A1395" s="170" t="s">
        <v>263</v>
      </c>
      <c r="B1395" s="171" t="s">
        <v>9452</v>
      </c>
      <c r="C1395" s="28" t="s">
        <v>9456</v>
      </c>
      <c r="D1395" s="28" t="s">
        <v>9457</v>
      </c>
      <c r="E1395" s="28" t="s">
        <v>9458</v>
      </c>
      <c r="F1395" s="258"/>
      <c r="G1395" s="258"/>
      <c r="H1395" s="258"/>
      <c r="I1395" s="258"/>
      <c r="J1395" s="258"/>
      <c r="K1395" s="258"/>
      <c r="L1395" s="258"/>
      <c r="M1395" s="258"/>
      <c r="N1395" s="258"/>
      <c r="O1395" s="173" t="s">
        <v>10854</v>
      </c>
      <c r="P1395" s="173"/>
      <c r="Q1395" s="173" t="s">
        <v>145</v>
      </c>
      <c r="R1395" s="280"/>
      <c r="S1395" s="280"/>
      <c r="T1395" s="280"/>
      <c r="U1395" s="280"/>
      <c r="V1395" s="280"/>
      <c r="W1395" s="280"/>
      <c r="X1395" s="280"/>
      <c r="Y1395" s="280"/>
      <c r="Z1395" s="280"/>
      <c r="AA1395" s="280"/>
      <c r="AB1395" s="280"/>
      <c r="AC1395" s="280"/>
      <c r="AD1395" s="276"/>
      <c r="AE1395" s="276"/>
      <c r="AF1395" s="276"/>
      <c r="AG1395" s="276"/>
      <c r="AH1395" s="276"/>
      <c r="AI1395" s="276"/>
      <c r="AJ1395" s="276"/>
      <c r="AK1395" s="276"/>
      <c r="AL1395" s="276"/>
      <c r="AM1395" s="276"/>
      <c r="AN1395" s="276"/>
      <c r="AO1395" s="121"/>
      <c r="AP1395" s="121"/>
      <c r="AQ1395" s="121"/>
      <c r="AR1395" s="121"/>
      <c r="AS1395" s="121"/>
      <c r="AT1395" s="121"/>
      <c r="AU1395" s="121"/>
      <c r="AV1395" s="121"/>
      <c r="AW1395" s="121"/>
      <c r="AX1395" s="121"/>
    </row>
    <row r="1396" ht="15.75" customHeight="1">
      <c r="A1396" s="68" t="s">
        <v>2625</v>
      </c>
      <c r="B1396" s="169" t="s">
        <v>9459</v>
      </c>
      <c r="C1396" s="28" t="s">
        <v>9464</v>
      </c>
      <c r="D1396" s="28" t="s">
        <v>9465</v>
      </c>
      <c r="E1396" s="28" t="s">
        <v>9466</v>
      </c>
      <c r="F1396" s="28"/>
      <c r="G1396" s="28"/>
      <c r="H1396" s="28"/>
      <c r="I1396" s="28"/>
      <c r="J1396" s="28"/>
      <c r="K1396" s="28"/>
      <c r="L1396" s="28"/>
      <c r="M1396" s="28"/>
      <c r="N1396" s="28"/>
      <c r="O1396" s="67"/>
      <c r="P1396" s="67"/>
      <c r="Q1396" s="67" t="s">
        <v>145</v>
      </c>
      <c r="R1396" s="67"/>
      <c r="S1396" s="67"/>
      <c r="T1396" s="67"/>
      <c r="U1396" s="67"/>
      <c r="V1396" s="67"/>
      <c r="W1396" s="67"/>
      <c r="X1396" s="67"/>
      <c r="Y1396" s="67"/>
      <c r="Z1396" s="67"/>
      <c r="AA1396" s="67"/>
      <c r="AB1396" s="67"/>
      <c r="AC1396" s="67"/>
      <c r="AD1396" s="67"/>
      <c r="AE1396" s="67"/>
      <c r="AF1396" s="67"/>
      <c r="AG1396" s="67"/>
      <c r="AH1396" s="67"/>
      <c r="AI1396" s="67"/>
      <c r="AJ1396" s="67"/>
      <c r="AK1396" s="67"/>
      <c r="AL1396" s="67"/>
      <c r="AM1396" s="67"/>
      <c r="AN1396" s="67"/>
      <c r="AO1396" s="70"/>
      <c r="AP1396" s="70"/>
      <c r="AQ1396" s="70"/>
      <c r="AR1396" s="70"/>
      <c r="AS1396" s="70"/>
      <c r="AT1396" s="70"/>
      <c r="AU1396" s="70"/>
      <c r="AV1396" s="70"/>
      <c r="AW1396" s="70"/>
      <c r="AX1396" s="70"/>
    </row>
    <row r="1397" ht="15.75" customHeight="1">
      <c r="A1397" s="170" t="s">
        <v>263</v>
      </c>
      <c r="B1397" s="171" t="s">
        <v>9467</v>
      </c>
      <c r="C1397" s="28" t="s">
        <v>9471</v>
      </c>
      <c r="D1397" s="28" t="s">
        <v>9472</v>
      </c>
      <c r="E1397" s="28" t="s">
        <v>9473</v>
      </c>
      <c r="F1397" s="28"/>
      <c r="G1397" s="28"/>
      <c r="H1397" s="28"/>
      <c r="I1397" s="28"/>
      <c r="J1397" s="28"/>
      <c r="K1397" s="28" t="s">
        <v>864</v>
      </c>
      <c r="L1397" s="28"/>
      <c r="M1397" s="28"/>
      <c r="N1397" s="28"/>
      <c r="O1397" s="173" t="s">
        <v>10855</v>
      </c>
      <c r="P1397" s="173"/>
      <c r="Q1397" s="173" t="s">
        <v>145</v>
      </c>
      <c r="R1397" s="173"/>
      <c r="S1397" s="173"/>
      <c r="T1397" s="173"/>
      <c r="U1397" s="173"/>
      <c r="V1397" s="173"/>
      <c r="W1397" s="173"/>
      <c r="X1397" s="173"/>
      <c r="Y1397" s="173"/>
      <c r="Z1397" s="173"/>
      <c r="AA1397" s="173"/>
      <c r="AB1397" s="173"/>
      <c r="AC1397" s="173"/>
      <c r="AD1397" s="173"/>
      <c r="AE1397" s="173"/>
      <c r="AF1397" s="173"/>
      <c r="AG1397" s="173"/>
      <c r="AH1397" s="173"/>
      <c r="AI1397" s="173"/>
      <c r="AJ1397" s="173"/>
      <c r="AK1397" s="173"/>
      <c r="AL1397" s="173"/>
      <c r="AM1397" s="173"/>
      <c r="AN1397" s="173"/>
      <c r="AO1397" s="70"/>
      <c r="AP1397" s="70"/>
      <c r="AQ1397" s="70"/>
      <c r="AR1397" s="70"/>
      <c r="AS1397" s="70"/>
      <c r="AT1397" s="70"/>
      <c r="AU1397" s="70"/>
      <c r="AV1397" s="70"/>
      <c r="AW1397" s="70"/>
      <c r="AX1397" s="70"/>
    </row>
    <row r="1398" ht="15.75" customHeight="1">
      <c r="A1398" s="68" t="s">
        <v>4445</v>
      </c>
      <c r="B1398" s="169" t="s">
        <v>9474</v>
      </c>
      <c r="C1398" s="28" t="s">
        <v>9478</v>
      </c>
      <c r="D1398" s="28" t="s">
        <v>9479</v>
      </c>
      <c r="E1398" s="28" t="s">
        <v>9480</v>
      </c>
      <c r="F1398" s="28" t="s">
        <v>7285</v>
      </c>
      <c r="G1398" s="28" t="s">
        <v>7286</v>
      </c>
      <c r="H1398" s="28" t="s">
        <v>7288</v>
      </c>
      <c r="I1398" s="28"/>
      <c r="J1398" s="28"/>
      <c r="K1398" s="28"/>
      <c r="L1398" s="28"/>
      <c r="M1398" s="28"/>
      <c r="N1398" s="28"/>
      <c r="O1398" s="67" t="s">
        <v>10855</v>
      </c>
      <c r="P1398" s="67"/>
      <c r="Q1398" s="67" t="s">
        <v>145</v>
      </c>
      <c r="R1398" s="67"/>
      <c r="S1398" s="67"/>
      <c r="T1398" s="67"/>
      <c r="U1398" s="67"/>
      <c r="V1398" s="67"/>
      <c r="W1398" s="67"/>
      <c r="X1398" s="67"/>
      <c r="Y1398" s="65" t="s">
        <v>4412</v>
      </c>
      <c r="Z1398" s="67"/>
      <c r="AA1398" s="67"/>
      <c r="AB1398" s="67"/>
      <c r="AC1398" s="67"/>
      <c r="AD1398" s="67"/>
      <c r="AE1398" s="67"/>
      <c r="AF1398" s="67"/>
      <c r="AG1398" s="67"/>
      <c r="AH1398" s="67"/>
      <c r="AI1398" s="67"/>
      <c r="AJ1398" s="67"/>
      <c r="AK1398" s="67"/>
      <c r="AL1398" s="67"/>
      <c r="AM1398" s="67"/>
      <c r="AN1398" s="67"/>
      <c r="AO1398" s="70"/>
      <c r="AP1398" s="70"/>
      <c r="AQ1398" s="70"/>
      <c r="AR1398" s="70"/>
      <c r="AS1398" s="70"/>
      <c r="AT1398" s="70"/>
      <c r="AU1398" s="70"/>
      <c r="AV1398" s="70"/>
      <c r="AW1398" s="70"/>
      <c r="AX1398" s="70"/>
    </row>
    <row r="1399" ht="15.75" customHeight="1">
      <c r="A1399" s="179" t="s">
        <v>246</v>
      </c>
      <c r="B1399" s="180" t="s">
        <v>9481</v>
      </c>
      <c r="C1399" s="28" t="s">
        <v>9483</v>
      </c>
      <c r="D1399" s="28" t="s">
        <v>9484</v>
      </c>
      <c r="E1399" s="28" t="s">
        <v>9485</v>
      </c>
      <c r="F1399" s="28"/>
      <c r="G1399" s="28"/>
      <c r="H1399" s="28"/>
      <c r="I1399" s="28"/>
      <c r="J1399" s="28"/>
      <c r="K1399" s="28"/>
      <c r="L1399" s="28"/>
      <c r="M1399" s="28"/>
      <c r="N1399" s="28"/>
      <c r="O1399" s="181" t="s">
        <v>10856</v>
      </c>
      <c r="P1399" s="181"/>
      <c r="Q1399" s="181" t="s">
        <v>145</v>
      </c>
      <c r="R1399" s="181"/>
      <c r="S1399" s="181"/>
      <c r="T1399" s="181"/>
      <c r="U1399" s="181"/>
      <c r="V1399" s="181"/>
      <c r="W1399" s="181"/>
      <c r="X1399" s="181"/>
      <c r="Y1399" s="181"/>
      <c r="Z1399" s="181"/>
      <c r="AA1399" s="181"/>
      <c r="AB1399" s="181"/>
      <c r="AC1399" s="181"/>
      <c r="AD1399" s="181"/>
      <c r="AE1399" s="181"/>
      <c r="AF1399" s="181"/>
      <c r="AG1399" s="181"/>
      <c r="AH1399" s="181"/>
      <c r="AI1399" s="181"/>
      <c r="AJ1399" s="181"/>
      <c r="AK1399" s="181"/>
      <c r="AL1399" s="181"/>
      <c r="AM1399" s="181"/>
      <c r="AN1399" s="181"/>
      <c r="AO1399" s="70"/>
      <c r="AP1399" s="70"/>
      <c r="AQ1399" s="70"/>
      <c r="AR1399" s="70"/>
      <c r="AS1399" s="70"/>
      <c r="AT1399" s="70"/>
      <c r="AU1399" s="70"/>
      <c r="AV1399" s="70"/>
      <c r="AW1399" s="70"/>
      <c r="AX1399" s="70"/>
    </row>
    <row r="1400" ht="15.75" customHeight="1">
      <c r="A1400" s="68" t="s">
        <v>2625</v>
      </c>
      <c r="B1400" s="169" t="s">
        <v>9486</v>
      </c>
      <c r="C1400" s="28" t="s">
        <v>9490</v>
      </c>
      <c r="D1400" s="28" t="s">
        <v>9491</v>
      </c>
      <c r="E1400" s="28" t="s">
        <v>9492</v>
      </c>
      <c r="F1400" s="28"/>
      <c r="G1400" s="28"/>
      <c r="H1400" s="28"/>
      <c r="I1400" s="28"/>
      <c r="J1400" s="28"/>
      <c r="K1400" s="28"/>
      <c r="L1400" s="28"/>
      <c r="M1400" s="28"/>
      <c r="N1400" s="28"/>
      <c r="O1400" s="67"/>
      <c r="P1400" s="67"/>
      <c r="Q1400" s="67" t="s">
        <v>145</v>
      </c>
      <c r="R1400" s="67"/>
      <c r="S1400" s="67"/>
      <c r="T1400" s="67"/>
      <c r="U1400" s="67"/>
      <c r="V1400" s="67"/>
      <c r="W1400" s="67"/>
      <c r="X1400" s="67"/>
      <c r="Y1400" s="67"/>
      <c r="Z1400" s="67"/>
      <c r="AA1400" s="67"/>
      <c r="AB1400" s="67"/>
      <c r="AC1400" s="67"/>
      <c r="AD1400" s="67"/>
      <c r="AE1400" s="67"/>
      <c r="AF1400" s="67"/>
      <c r="AG1400" s="67"/>
      <c r="AH1400" s="67"/>
      <c r="AI1400" s="67"/>
      <c r="AJ1400" s="67"/>
      <c r="AK1400" s="67"/>
      <c r="AL1400" s="67"/>
      <c r="AM1400" s="67"/>
      <c r="AN1400" s="67"/>
      <c r="AO1400" s="70"/>
      <c r="AP1400" s="70"/>
      <c r="AQ1400" s="70"/>
      <c r="AR1400" s="70"/>
      <c r="AS1400" s="70"/>
      <c r="AT1400" s="70"/>
      <c r="AU1400" s="70"/>
      <c r="AV1400" s="70"/>
      <c r="AW1400" s="70"/>
      <c r="AX1400" s="70"/>
    </row>
    <row r="1401" ht="15.75" customHeight="1">
      <c r="A1401" s="170" t="s">
        <v>263</v>
      </c>
      <c r="B1401" s="171" t="s">
        <v>9494</v>
      </c>
      <c r="C1401" s="28" t="s">
        <v>9498</v>
      </c>
      <c r="D1401" s="28" t="s">
        <v>9499</v>
      </c>
      <c r="E1401" s="28" t="s">
        <v>9500</v>
      </c>
      <c r="F1401" s="28"/>
      <c r="G1401" s="28"/>
      <c r="H1401" s="28"/>
      <c r="I1401" s="28"/>
      <c r="J1401" s="28"/>
      <c r="K1401" s="28" t="s">
        <v>864</v>
      </c>
      <c r="L1401" s="28"/>
      <c r="M1401" s="28"/>
      <c r="N1401" s="28"/>
      <c r="O1401" s="173" t="s">
        <v>10857</v>
      </c>
      <c r="P1401" s="173"/>
      <c r="Q1401" s="173" t="s">
        <v>145</v>
      </c>
      <c r="R1401" s="173"/>
      <c r="S1401" s="173"/>
      <c r="T1401" s="173"/>
      <c r="U1401" s="173"/>
      <c r="V1401" s="173"/>
      <c r="W1401" s="173"/>
      <c r="X1401" s="173"/>
      <c r="Y1401" s="173"/>
      <c r="Z1401" s="173"/>
      <c r="AA1401" s="173"/>
      <c r="AB1401" s="173"/>
      <c r="AC1401" s="173"/>
      <c r="AD1401" s="173"/>
      <c r="AE1401" s="173"/>
      <c r="AF1401" s="173"/>
      <c r="AG1401" s="173"/>
      <c r="AH1401" s="173"/>
      <c r="AI1401" s="173"/>
      <c r="AJ1401" s="173"/>
      <c r="AK1401" s="173"/>
      <c r="AL1401" s="173"/>
      <c r="AM1401" s="173"/>
      <c r="AN1401" s="173"/>
      <c r="AO1401" s="70"/>
      <c r="AP1401" s="70"/>
      <c r="AQ1401" s="70"/>
      <c r="AR1401" s="70"/>
      <c r="AS1401" s="70"/>
      <c r="AT1401" s="70"/>
      <c r="AU1401" s="70"/>
      <c r="AV1401" s="70"/>
      <c r="AW1401" s="70"/>
      <c r="AX1401" s="70"/>
    </row>
    <row r="1402" ht="15.75" customHeight="1">
      <c r="A1402" s="68" t="s">
        <v>9501</v>
      </c>
      <c r="B1402" s="169" t="s">
        <v>9502</v>
      </c>
      <c r="C1402" s="28" t="s">
        <v>9506</v>
      </c>
      <c r="D1402" s="28" t="s">
        <v>9507</v>
      </c>
      <c r="E1402" s="28" t="s">
        <v>9508</v>
      </c>
      <c r="F1402" s="28" t="s">
        <v>7285</v>
      </c>
      <c r="G1402" s="28" t="s">
        <v>7286</v>
      </c>
      <c r="H1402" s="28" t="s">
        <v>7288</v>
      </c>
      <c r="I1402" s="28"/>
      <c r="J1402" s="28"/>
      <c r="K1402" s="28"/>
      <c r="L1402" s="28"/>
      <c r="M1402" s="28"/>
      <c r="N1402" s="28"/>
      <c r="O1402" s="67" t="s">
        <v>10857</v>
      </c>
      <c r="P1402" s="67"/>
      <c r="Q1402" s="67" t="s">
        <v>145</v>
      </c>
      <c r="R1402" s="67"/>
      <c r="S1402" s="67"/>
      <c r="T1402" s="67"/>
      <c r="U1402" s="67"/>
      <c r="V1402" s="67"/>
      <c r="W1402" s="67"/>
      <c r="X1402" s="67"/>
      <c r="Y1402" s="65"/>
      <c r="Z1402" s="67"/>
      <c r="AA1402" s="67"/>
      <c r="AB1402" s="67"/>
      <c r="AC1402" s="67"/>
      <c r="AD1402" s="67"/>
      <c r="AE1402" s="67"/>
      <c r="AF1402" s="67"/>
      <c r="AG1402" s="67"/>
      <c r="AH1402" s="67"/>
      <c r="AI1402" s="67"/>
      <c r="AJ1402" s="67"/>
      <c r="AK1402" s="67"/>
      <c r="AL1402" s="67"/>
      <c r="AM1402" s="67"/>
      <c r="AN1402" s="67"/>
      <c r="AO1402" s="70"/>
      <c r="AP1402" s="70"/>
      <c r="AQ1402" s="70"/>
      <c r="AR1402" s="70"/>
      <c r="AS1402" s="70"/>
      <c r="AT1402" s="70"/>
      <c r="AU1402" s="70"/>
      <c r="AV1402" s="70"/>
      <c r="AW1402" s="70"/>
      <c r="AX1402" s="70"/>
    </row>
    <row r="1403" ht="15.75" customHeight="1">
      <c r="A1403" s="179" t="s">
        <v>246</v>
      </c>
      <c r="B1403" s="180" t="s">
        <v>9509</v>
      </c>
      <c r="C1403" s="28" t="s">
        <v>9513</v>
      </c>
      <c r="D1403" s="28" t="s">
        <v>9514</v>
      </c>
      <c r="E1403" s="28" t="s">
        <v>9515</v>
      </c>
      <c r="F1403" s="28"/>
      <c r="G1403" s="28"/>
      <c r="H1403" s="28"/>
      <c r="I1403" s="28"/>
      <c r="J1403" s="28"/>
      <c r="K1403" s="28"/>
      <c r="L1403" s="28"/>
      <c r="M1403" s="28"/>
      <c r="N1403" s="28"/>
      <c r="O1403" s="181" t="s">
        <v>10858</v>
      </c>
      <c r="P1403" s="181"/>
      <c r="Q1403" s="181" t="s">
        <v>145</v>
      </c>
      <c r="R1403" s="181"/>
      <c r="S1403" s="181"/>
      <c r="T1403" s="181"/>
      <c r="U1403" s="181"/>
      <c r="V1403" s="181"/>
      <c r="W1403" s="181"/>
      <c r="X1403" s="181"/>
      <c r="Y1403" s="181"/>
      <c r="Z1403" s="181"/>
      <c r="AA1403" s="181"/>
      <c r="AB1403" s="181"/>
      <c r="AC1403" s="181"/>
      <c r="AD1403" s="181"/>
      <c r="AE1403" s="181"/>
      <c r="AF1403" s="181"/>
      <c r="AG1403" s="181"/>
      <c r="AH1403" s="181"/>
      <c r="AI1403" s="181"/>
      <c r="AJ1403" s="181"/>
      <c r="AK1403" s="181"/>
      <c r="AL1403" s="181"/>
      <c r="AM1403" s="181"/>
      <c r="AN1403" s="181"/>
      <c r="AO1403" s="70"/>
      <c r="AP1403" s="70"/>
      <c r="AQ1403" s="70"/>
      <c r="AR1403" s="70"/>
      <c r="AS1403" s="70"/>
      <c r="AT1403" s="70"/>
      <c r="AU1403" s="70"/>
      <c r="AV1403" s="70"/>
      <c r="AW1403" s="70"/>
      <c r="AX1403" s="70"/>
    </row>
    <row r="1404" ht="15.75" customHeight="1">
      <c r="A1404" s="68" t="s">
        <v>2625</v>
      </c>
      <c r="B1404" s="169" t="s">
        <v>9516</v>
      </c>
      <c r="C1404" s="28" t="s">
        <v>9520</v>
      </c>
      <c r="D1404" s="28" t="s">
        <v>9521</v>
      </c>
      <c r="E1404" s="28" t="s">
        <v>9522</v>
      </c>
      <c r="F1404" s="28"/>
      <c r="G1404" s="28"/>
      <c r="H1404" s="28"/>
      <c r="I1404" s="28"/>
      <c r="J1404" s="28"/>
      <c r="K1404" s="28"/>
      <c r="L1404" s="28"/>
      <c r="M1404" s="28"/>
      <c r="N1404" s="28"/>
      <c r="O1404" s="67"/>
      <c r="P1404" s="67"/>
      <c r="Q1404" s="67" t="s">
        <v>145</v>
      </c>
      <c r="R1404" s="67"/>
      <c r="S1404" s="67"/>
      <c r="T1404" s="67"/>
      <c r="U1404" s="67"/>
      <c r="V1404" s="67"/>
      <c r="W1404" s="67"/>
      <c r="X1404" s="67"/>
      <c r="Y1404" s="67"/>
      <c r="Z1404" s="67"/>
      <c r="AA1404" s="67"/>
      <c r="AB1404" s="67"/>
      <c r="AC1404" s="67"/>
      <c r="AD1404" s="67"/>
      <c r="AE1404" s="67"/>
      <c r="AF1404" s="67"/>
      <c r="AG1404" s="67"/>
      <c r="AH1404" s="67"/>
      <c r="AI1404" s="67"/>
      <c r="AJ1404" s="67"/>
      <c r="AK1404" s="67"/>
      <c r="AL1404" s="67"/>
      <c r="AM1404" s="67"/>
      <c r="AN1404" s="67"/>
      <c r="AO1404" s="70"/>
      <c r="AP1404" s="70"/>
      <c r="AQ1404" s="70"/>
      <c r="AR1404" s="70"/>
      <c r="AS1404" s="70"/>
      <c r="AT1404" s="70"/>
      <c r="AU1404" s="70"/>
      <c r="AV1404" s="70"/>
      <c r="AW1404" s="70"/>
      <c r="AX1404" s="70"/>
    </row>
    <row r="1405" ht="15.75" customHeight="1">
      <c r="A1405" s="170" t="s">
        <v>263</v>
      </c>
      <c r="B1405" s="171" t="s">
        <v>9523</v>
      </c>
      <c r="C1405" s="28" t="s">
        <v>9527</v>
      </c>
      <c r="D1405" s="28" t="s">
        <v>9528</v>
      </c>
      <c r="E1405" s="28" t="s">
        <v>9529</v>
      </c>
      <c r="F1405" s="28"/>
      <c r="G1405" s="28"/>
      <c r="H1405" s="28"/>
      <c r="I1405" s="28"/>
      <c r="J1405" s="28"/>
      <c r="K1405" s="28" t="s">
        <v>864</v>
      </c>
      <c r="L1405" s="28"/>
      <c r="M1405" s="28"/>
      <c r="N1405" s="28"/>
      <c r="O1405" s="173" t="s">
        <v>10859</v>
      </c>
      <c r="P1405" s="173"/>
      <c r="Q1405" s="173" t="s">
        <v>145</v>
      </c>
      <c r="R1405" s="173"/>
      <c r="S1405" s="173"/>
      <c r="T1405" s="173"/>
      <c r="U1405" s="173"/>
      <c r="V1405" s="173"/>
      <c r="W1405" s="173"/>
      <c r="X1405" s="173"/>
      <c r="Y1405" s="173"/>
      <c r="Z1405" s="173"/>
      <c r="AA1405" s="173"/>
      <c r="AB1405" s="173"/>
      <c r="AC1405" s="173"/>
      <c r="AD1405" s="173"/>
      <c r="AE1405" s="173"/>
      <c r="AF1405" s="173"/>
      <c r="AG1405" s="173"/>
      <c r="AH1405" s="173"/>
      <c r="AI1405" s="173"/>
      <c r="AJ1405" s="173"/>
      <c r="AK1405" s="173"/>
      <c r="AL1405" s="173"/>
      <c r="AM1405" s="173"/>
      <c r="AN1405" s="173"/>
      <c r="AO1405" s="70"/>
      <c r="AP1405" s="70"/>
      <c r="AQ1405" s="70"/>
      <c r="AR1405" s="70"/>
      <c r="AS1405" s="70"/>
      <c r="AT1405" s="70"/>
      <c r="AU1405" s="70"/>
      <c r="AV1405" s="70"/>
      <c r="AW1405" s="70"/>
      <c r="AX1405" s="70"/>
    </row>
    <row r="1406" ht="15.75" customHeight="1">
      <c r="A1406" s="68" t="s">
        <v>4445</v>
      </c>
      <c r="B1406" s="169" t="s">
        <v>9530</v>
      </c>
      <c r="C1406" s="28" t="s">
        <v>9534</v>
      </c>
      <c r="D1406" s="28" t="s">
        <v>9535</v>
      </c>
      <c r="E1406" s="28" t="s">
        <v>9536</v>
      </c>
      <c r="F1406" s="28" t="s">
        <v>7285</v>
      </c>
      <c r="G1406" s="28" t="s">
        <v>7286</v>
      </c>
      <c r="H1406" s="28" t="s">
        <v>7288</v>
      </c>
      <c r="I1406" s="28"/>
      <c r="J1406" s="28"/>
      <c r="K1406" s="28"/>
      <c r="L1406" s="28"/>
      <c r="M1406" s="28"/>
      <c r="N1406" s="28"/>
      <c r="O1406" s="67" t="s">
        <v>10859</v>
      </c>
      <c r="P1406" s="67"/>
      <c r="Q1406" s="67" t="s">
        <v>145</v>
      </c>
      <c r="R1406" s="67"/>
      <c r="S1406" s="67"/>
      <c r="T1406" s="67"/>
      <c r="U1406" s="67"/>
      <c r="V1406" s="67"/>
      <c r="W1406" s="67"/>
      <c r="X1406" s="67"/>
      <c r="Y1406" s="65" t="s">
        <v>4412</v>
      </c>
      <c r="Z1406" s="67"/>
      <c r="AA1406" s="67"/>
      <c r="AB1406" s="67"/>
      <c r="AC1406" s="67"/>
      <c r="AD1406" s="67"/>
      <c r="AE1406" s="67"/>
      <c r="AF1406" s="67"/>
      <c r="AG1406" s="67"/>
      <c r="AH1406" s="67"/>
      <c r="AI1406" s="67"/>
      <c r="AJ1406" s="67"/>
      <c r="AK1406" s="67"/>
      <c r="AL1406" s="67"/>
      <c r="AM1406" s="67"/>
      <c r="AN1406" s="67"/>
      <c r="AO1406" s="70"/>
      <c r="AP1406" s="70"/>
      <c r="AQ1406" s="70"/>
      <c r="AR1406" s="70"/>
      <c r="AS1406" s="70"/>
      <c r="AT1406" s="70"/>
      <c r="AU1406" s="70"/>
      <c r="AV1406" s="70"/>
      <c r="AW1406" s="70"/>
      <c r="AX1406" s="70"/>
    </row>
    <row r="1407" ht="15.75" customHeight="1">
      <c r="A1407" s="179" t="s">
        <v>246</v>
      </c>
      <c r="B1407" s="180" t="s">
        <v>9537</v>
      </c>
      <c r="C1407" s="28" t="s">
        <v>9541</v>
      </c>
      <c r="D1407" s="28" t="s">
        <v>9542</v>
      </c>
      <c r="E1407" s="28" t="s">
        <v>9543</v>
      </c>
      <c r="F1407" s="28"/>
      <c r="G1407" s="28"/>
      <c r="H1407" s="28"/>
      <c r="I1407" s="28"/>
      <c r="J1407" s="28"/>
      <c r="K1407" s="28"/>
      <c r="L1407" s="28"/>
      <c r="M1407" s="28"/>
      <c r="N1407" s="28"/>
      <c r="O1407" s="181" t="s">
        <v>10860</v>
      </c>
      <c r="P1407" s="181"/>
      <c r="Q1407" s="181" t="s">
        <v>145</v>
      </c>
      <c r="R1407" s="181"/>
      <c r="S1407" s="181"/>
      <c r="T1407" s="181"/>
      <c r="U1407" s="181"/>
      <c r="V1407" s="181"/>
      <c r="W1407" s="181"/>
      <c r="X1407" s="181"/>
      <c r="Y1407" s="181"/>
      <c r="Z1407" s="181"/>
      <c r="AA1407" s="181"/>
      <c r="AB1407" s="181"/>
      <c r="AC1407" s="181"/>
      <c r="AD1407" s="181"/>
      <c r="AE1407" s="181"/>
      <c r="AF1407" s="181"/>
      <c r="AG1407" s="181"/>
      <c r="AH1407" s="181"/>
      <c r="AI1407" s="181"/>
      <c r="AJ1407" s="181"/>
      <c r="AK1407" s="181"/>
      <c r="AL1407" s="181"/>
      <c r="AM1407" s="181"/>
      <c r="AN1407" s="181"/>
      <c r="AO1407" s="70"/>
      <c r="AP1407" s="70"/>
      <c r="AQ1407" s="70"/>
      <c r="AR1407" s="70"/>
      <c r="AS1407" s="70"/>
      <c r="AT1407" s="70"/>
      <c r="AU1407" s="70"/>
      <c r="AV1407" s="70"/>
      <c r="AW1407" s="70"/>
      <c r="AX1407" s="70"/>
    </row>
    <row r="1408" ht="15.75" customHeight="1">
      <c r="A1408" s="68" t="s">
        <v>2625</v>
      </c>
      <c r="B1408" s="169" t="s">
        <v>9544</v>
      </c>
      <c r="C1408" s="28" t="s">
        <v>9548</v>
      </c>
      <c r="D1408" s="28" t="s">
        <v>9549</v>
      </c>
      <c r="E1408" s="28" t="s">
        <v>9550</v>
      </c>
      <c r="F1408" s="28"/>
      <c r="G1408" s="28"/>
      <c r="H1408" s="28"/>
      <c r="I1408" s="28"/>
      <c r="J1408" s="28"/>
      <c r="K1408" s="28"/>
      <c r="L1408" s="28"/>
      <c r="M1408" s="28"/>
      <c r="N1408" s="28"/>
      <c r="O1408" s="67"/>
      <c r="P1408" s="67"/>
      <c r="Q1408" s="67" t="s">
        <v>145</v>
      </c>
      <c r="R1408" s="67"/>
      <c r="S1408" s="67"/>
      <c r="T1408" s="67"/>
      <c r="U1408" s="67"/>
      <c r="V1408" s="67"/>
      <c r="W1408" s="67"/>
      <c r="X1408" s="67"/>
      <c r="Y1408" s="67"/>
      <c r="Z1408" s="67"/>
      <c r="AA1408" s="67"/>
      <c r="AB1408" s="67"/>
      <c r="AC1408" s="67"/>
      <c r="AD1408" s="67"/>
      <c r="AE1408" s="67"/>
      <c r="AF1408" s="67"/>
      <c r="AG1408" s="67"/>
      <c r="AH1408" s="67"/>
      <c r="AI1408" s="67"/>
      <c r="AJ1408" s="67"/>
      <c r="AK1408" s="67"/>
      <c r="AL1408" s="67"/>
      <c r="AM1408" s="67"/>
      <c r="AN1408" s="67"/>
      <c r="AO1408" s="70"/>
      <c r="AP1408" s="70"/>
      <c r="AQ1408" s="70"/>
      <c r="AR1408" s="70"/>
      <c r="AS1408" s="70"/>
      <c r="AT1408" s="70"/>
      <c r="AU1408" s="70"/>
      <c r="AV1408" s="70"/>
      <c r="AW1408" s="70"/>
      <c r="AX1408" s="70"/>
    </row>
    <row r="1409" ht="15.75" customHeight="1">
      <c r="A1409" s="170" t="s">
        <v>263</v>
      </c>
      <c r="B1409" s="171" t="s">
        <v>9551</v>
      </c>
      <c r="C1409" s="28" t="s">
        <v>9555</v>
      </c>
      <c r="D1409" s="28" t="s">
        <v>9556</v>
      </c>
      <c r="E1409" s="28" t="s">
        <v>9557</v>
      </c>
      <c r="F1409" s="28"/>
      <c r="G1409" s="28"/>
      <c r="H1409" s="28"/>
      <c r="I1409" s="28"/>
      <c r="J1409" s="28"/>
      <c r="K1409" s="28" t="s">
        <v>864</v>
      </c>
      <c r="L1409" s="28"/>
      <c r="M1409" s="28"/>
      <c r="N1409" s="28"/>
      <c r="O1409" s="173" t="s">
        <v>10861</v>
      </c>
      <c r="P1409" s="173"/>
      <c r="Q1409" s="173" t="s">
        <v>145</v>
      </c>
      <c r="R1409" s="173"/>
      <c r="S1409" s="173"/>
      <c r="T1409" s="173"/>
      <c r="U1409" s="173"/>
      <c r="V1409" s="173"/>
      <c r="W1409" s="173"/>
      <c r="X1409" s="173"/>
      <c r="Y1409" s="173"/>
      <c r="Z1409" s="173"/>
      <c r="AA1409" s="173"/>
      <c r="AB1409" s="173"/>
      <c r="AC1409" s="173"/>
      <c r="AD1409" s="173"/>
      <c r="AE1409" s="173"/>
      <c r="AF1409" s="173"/>
      <c r="AG1409" s="173"/>
      <c r="AH1409" s="173"/>
      <c r="AI1409" s="173"/>
      <c r="AJ1409" s="173"/>
      <c r="AK1409" s="173"/>
      <c r="AL1409" s="173"/>
      <c r="AM1409" s="173"/>
      <c r="AN1409" s="173"/>
      <c r="AO1409" s="70"/>
      <c r="AP1409" s="70"/>
      <c r="AQ1409" s="70"/>
      <c r="AR1409" s="70"/>
      <c r="AS1409" s="70"/>
      <c r="AT1409" s="70"/>
      <c r="AU1409" s="70"/>
      <c r="AV1409" s="70"/>
      <c r="AW1409" s="70"/>
      <c r="AX1409" s="70"/>
    </row>
    <row r="1410" ht="15.75" customHeight="1">
      <c r="A1410" s="68" t="s">
        <v>9501</v>
      </c>
      <c r="B1410" s="169" t="s">
        <v>9558</v>
      </c>
      <c r="C1410" s="28" t="s">
        <v>9562</v>
      </c>
      <c r="D1410" s="28" t="s">
        <v>9563</v>
      </c>
      <c r="E1410" s="28" t="s">
        <v>9564</v>
      </c>
      <c r="F1410" s="28" t="s">
        <v>7285</v>
      </c>
      <c r="G1410" s="28" t="s">
        <v>7286</v>
      </c>
      <c r="H1410" s="28" t="s">
        <v>7288</v>
      </c>
      <c r="I1410" s="28"/>
      <c r="J1410" s="28"/>
      <c r="K1410" s="28"/>
      <c r="L1410" s="28"/>
      <c r="M1410" s="28"/>
      <c r="N1410" s="28"/>
      <c r="O1410" s="67" t="s">
        <v>10861</v>
      </c>
      <c r="P1410" s="67"/>
      <c r="Q1410" s="67" t="s">
        <v>145</v>
      </c>
      <c r="R1410" s="67"/>
      <c r="S1410" s="67"/>
      <c r="T1410" s="67"/>
      <c r="U1410" s="67"/>
      <c r="V1410" s="67"/>
      <c r="W1410" s="67"/>
      <c r="X1410" s="67"/>
      <c r="Y1410" s="65"/>
      <c r="Z1410" s="67"/>
      <c r="AA1410" s="67"/>
      <c r="AB1410" s="67"/>
      <c r="AC1410" s="67"/>
      <c r="AD1410" s="67"/>
      <c r="AE1410" s="67"/>
      <c r="AF1410" s="67"/>
      <c r="AG1410" s="67"/>
      <c r="AH1410" s="67"/>
      <c r="AI1410" s="67"/>
      <c r="AJ1410" s="67"/>
      <c r="AK1410" s="67"/>
      <c r="AL1410" s="67"/>
      <c r="AM1410" s="67"/>
      <c r="AN1410" s="67"/>
      <c r="AO1410" s="70"/>
      <c r="AP1410" s="70"/>
      <c r="AQ1410" s="70"/>
      <c r="AR1410" s="70"/>
      <c r="AS1410" s="70"/>
      <c r="AT1410" s="70"/>
      <c r="AU1410" s="70"/>
      <c r="AV1410" s="70"/>
      <c r="AW1410" s="70"/>
      <c r="AX1410" s="70"/>
    </row>
    <row r="1411" ht="15.75" customHeight="1">
      <c r="A1411" s="179" t="s">
        <v>246</v>
      </c>
      <c r="B1411" s="180" t="s">
        <v>9565</v>
      </c>
      <c r="C1411" s="28" t="s">
        <v>9569</v>
      </c>
      <c r="D1411" s="28" t="s">
        <v>9570</v>
      </c>
      <c r="E1411" s="28" t="s">
        <v>9571</v>
      </c>
      <c r="F1411" s="28"/>
      <c r="G1411" s="28"/>
      <c r="H1411" s="28"/>
      <c r="I1411" s="28"/>
      <c r="J1411" s="28"/>
      <c r="K1411" s="28"/>
      <c r="L1411" s="28"/>
      <c r="M1411" s="28"/>
      <c r="N1411" s="28"/>
      <c r="O1411" s="181" t="s">
        <v>10862</v>
      </c>
      <c r="P1411" s="181"/>
      <c r="Q1411" s="181" t="s">
        <v>145</v>
      </c>
      <c r="R1411" s="181"/>
      <c r="S1411" s="181"/>
      <c r="T1411" s="181"/>
      <c r="U1411" s="181"/>
      <c r="V1411" s="181"/>
      <c r="W1411" s="181"/>
      <c r="X1411" s="181"/>
      <c r="Y1411" s="181"/>
      <c r="Z1411" s="181"/>
      <c r="AA1411" s="181"/>
      <c r="AB1411" s="181"/>
      <c r="AC1411" s="181"/>
      <c r="AD1411" s="181"/>
      <c r="AE1411" s="181"/>
      <c r="AF1411" s="181"/>
      <c r="AG1411" s="181"/>
      <c r="AH1411" s="181"/>
      <c r="AI1411" s="181"/>
      <c r="AJ1411" s="181"/>
      <c r="AK1411" s="181"/>
      <c r="AL1411" s="181"/>
      <c r="AM1411" s="181"/>
      <c r="AN1411" s="181"/>
      <c r="AO1411" s="70"/>
      <c r="AP1411" s="70"/>
      <c r="AQ1411" s="70"/>
      <c r="AR1411" s="70"/>
      <c r="AS1411" s="70"/>
      <c r="AT1411" s="70"/>
      <c r="AU1411" s="70"/>
      <c r="AV1411" s="70"/>
      <c r="AW1411" s="70"/>
      <c r="AX1411" s="70"/>
    </row>
    <row r="1412" ht="15.75" customHeight="1">
      <c r="A1412" s="68" t="s">
        <v>2625</v>
      </c>
      <c r="B1412" s="169" t="s">
        <v>9572</v>
      </c>
      <c r="C1412" s="28" t="s">
        <v>9576</v>
      </c>
      <c r="D1412" s="28" t="s">
        <v>9577</v>
      </c>
      <c r="E1412" s="28" t="s">
        <v>9578</v>
      </c>
      <c r="F1412" s="28"/>
      <c r="G1412" s="28"/>
      <c r="H1412" s="28"/>
      <c r="I1412" s="28"/>
      <c r="J1412" s="28"/>
      <c r="K1412" s="28"/>
      <c r="L1412" s="28"/>
      <c r="M1412" s="28"/>
      <c r="N1412" s="28"/>
      <c r="O1412" s="67"/>
      <c r="P1412" s="67"/>
      <c r="Q1412" s="67" t="s">
        <v>145</v>
      </c>
      <c r="R1412" s="67"/>
      <c r="S1412" s="67"/>
      <c r="T1412" s="67"/>
      <c r="U1412" s="67"/>
      <c r="V1412" s="67"/>
      <c r="W1412" s="67"/>
      <c r="X1412" s="67"/>
      <c r="Y1412" s="67"/>
      <c r="Z1412" s="67"/>
      <c r="AA1412" s="67"/>
      <c r="AB1412" s="67"/>
      <c r="AC1412" s="67"/>
      <c r="AD1412" s="67"/>
      <c r="AE1412" s="67"/>
      <c r="AF1412" s="67"/>
      <c r="AG1412" s="67"/>
      <c r="AH1412" s="67"/>
      <c r="AI1412" s="67"/>
      <c r="AJ1412" s="67"/>
      <c r="AK1412" s="67"/>
      <c r="AL1412" s="67"/>
      <c r="AM1412" s="67"/>
      <c r="AN1412" s="67"/>
      <c r="AO1412" s="70"/>
      <c r="AP1412" s="70"/>
      <c r="AQ1412" s="70"/>
      <c r="AR1412" s="70"/>
      <c r="AS1412" s="70"/>
      <c r="AT1412" s="70"/>
      <c r="AU1412" s="70"/>
      <c r="AV1412" s="70"/>
      <c r="AW1412" s="70"/>
      <c r="AX1412" s="70"/>
    </row>
    <row r="1413" ht="15.75" customHeight="1">
      <c r="A1413" s="170" t="s">
        <v>263</v>
      </c>
      <c r="B1413" s="171" t="s">
        <v>9579</v>
      </c>
      <c r="C1413" s="28" t="s">
        <v>9583</v>
      </c>
      <c r="D1413" s="28" t="s">
        <v>9584</v>
      </c>
      <c r="E1413" s="28" t="s">
        <v>9585</v>
      </c>
      <c r="F1413" s="28"/>
      <c r="G1413" s="28"/>
      <c r="H1413" s="28"/>
      <c r="I1413" s="28"/>
      <c r="J1413" s="28"/>
      <c r="K1413" s="28" t="s">
        <v>864</v>
      </c>
      <c r="L1413" s="28"/>
      <c r="M1413" s="28"/>
      <c r="N1413" s="28"/>
      <c r="O1413" s="173" t="s">
        <v>10863</v>
      </c>
      <c r="P1413" s="173"/>
      <c r="Q1413" s="173" t="s">
        <v>145</v>
      </c>
      <c r="R1413" s="173"/>
      <c r="S1413" s="173"/>
      <c r="T1413" s="173"/>
      <c r="U1413" s="173"/>
      <c r="V1413" s="173"/>
      <c r="W1413" s="173"/>
      <c r="X1413" s="173"/>
      <c r="Y1413" s="173"/>
      <c r="Z1413" s="173"/>
      <c r="AA1413" s="173"/>
      <c r="AB1413" s="173"/>
      <c r="AC1413" s="173"/>
      <c r="AD1413" s="173"/>
      <c r="AE1413" s="173"/>
      <c r="AF1413" s="173"/>
      <c r="AG1413" s="173"/>
      <c r="AH1413" s="173"/>
      <c r="AI1413" s="173"/>
      <c r="AJ1413" s="173"/>
      <c r="AK1413" s="173"/>
      <c r="AL1413" s="173"/>
      <c r="AM1413" s="173"/>
      <c r="AN1413" s="173"/>
      <c r="AO1413" s="70"/>
      <c r="AP1413" s="70"/>
      <c r="AQ1413" s="70"/>
      <c r="AR1413" s="70"/>
      <c r="AS1413" s="70"/>
      <c r="AT1413" s="70"/>
      <c r="AU1413" s="70"/>
      <c r="AV1413" s="70"/>
      <c r="AW1413" s="70"/>
      <c r="AX1413" s="70"/>
    </row>
    <row r="1414" ht="15.75" customHeight="1">
      <c r="A1414" s="68" t="s">
        <v>4445</v>
      </c>
      <c r="B1414" s="169" t="s">
        <v>9586</v>
      </c>
      <c r="C1414" s="28" t="s">
        <v>9590</v>
      </c>
      <c r="D1414" s="28" t="s">
        <v>9591</v>
      </c>
      <c r="E1414" s="28" t="s">
        <v>9592</v>
      </c>
      <c r="F1414" s="28" t="s">
        <v>7285</v>
      </c>
      <c r="G1414" s="28" t="s">
        <v>7286</v>
      </c>
      <c r="H1414" s="28" t="s">
        <v>7288</v>
      </c>
      <c r="I1414" s="28"/>
      <c r="J1414" s="28"/>
      <c r="K1414" s="28"/>
      <c r="L1414" s="28"/>
      <c r="M1414" s="28"/>
      <c r="N1414" s="28"/>
      <c r="O1414" s="67" t="s">
        <v>10863</v>
      </c>
      <c r="P1414" s="67"/>
      <c r="Q1414" s="67" t="s">
        <v>145</v>
      </c>
      <c r="R1414" s="67"/>
      <c r="S1414" s="67"/>
      <c r="T1414" s="67"/>
      <c r="U1414" s="67"/>
      <c r="V1414" s="67"/>
      <c r="W1414" s="67"/>
      <c r="X1414" s="67"/>
      <c r="Y1414" s="65" t="s">
        <v>4412</v>
      </c>
      <c r="Z1414" s="67"/>
      <c r="AA1414" s="67"/>
      <c r="AB1414" s="67"/>
      <c r="AC1414" s="67"/>
      <c r="AD1414" s="67"/>
      <c r="AE1414" s="67"/>
      <c r="AF1414" s="67"/>
      <c r="AG1414" s="67"/>
      <c r="AH1414" s="67"/>
      <c r="AI1414" s="67"/>
      <c r="AJ1414" s="67"/>
      <c r="AK1414" s="67"/>
      <c r="AL1414" s="67"/>
      <c r="AM1414" s="67"/>
      <c r="AN1414" s="67"/>
      <c r="AO1414" s="70"/>
      <c r="AP1414" s="70"/>
      <c r="AQ1414" s="70"/>
      <c r="AR1414" s="70"/>
      <c r="AS1414" s="70"/>
      <c r="AT1414" s="70"/>
      <c r="AU1414" s="70"/>
      <c r="AV1414" s="70"/>
      <c r="AW1414" s="70"/>
      <c r="AX1414" s="70"/>
    </row>
    <row r="1415" ht="15.75" customHeight="1">
      <c r="A1415" s="179" t="s">
        <v>246</v>
      </c>
      <c r="B1415" s="180" t="s">
        <v>9593</v>
      </c>
      <c r="C1415" s="28" t="s">
        <v>9597</v>
      </c>
      <c r="D1415" s="28" t="s">
        <v>9598</v>
      </c>
      <c r="E1415" s="28" t="s">
        <v>9599</v>
      </c>
      <c r="F1415" s="28"/>
      <c r="G1415" s="28"/>
      <c r="H1415" s="28"/>
      <c r="I1415" s="28"/>
      <c r="J1415" s="28"/>
      <c r="K1415" s="28"/>
      <c r="L1415" s="28"/>
      <c r="M1415" s="28"/>
      <c r="N1415" s="28"/>
      <c r="O1415" s="181" t="s">
        <v>10864</v>
      </c>
      <c r="P1415" s="181"/>
      <c r="Q1415" s="181" t="s">
        <v>145</v>
      </c>
      <c r="R1415" s="181"/>
      <c r="S1415" s="181"/>
      <c r="T1415" s="181"/>
      <c r="U1415" s="181"/>
      <c r="V1415" s="181"/>
      <c r="W1415" s="181"/>
      <c r="X1415" s="181"/>
      <c r="Y1415" s="181"/>
      <c r="Z1415" s="181"/>
      <c r="AA1415" s="181"/>
      <c r="AB1415" s="181"/>
      <c r="AC1415" s="181"/>
      <c r="AD1415" s="181"/>
      <c r="AE1415" s="181"/>
      <c r="AF1415" s="181"/>
      <c r="AG1415" s="181"/>
      <c r="AH1415" s="181"/>
      <c r="AI1415" s="181"/>
      <c r="AJ1415" s="181"/>
      <c r="AK1415" s="181"/>
      <c r="AL1415" s="181"/>
      <c r="AM1415" s="181"/>
      <c r="AN1415" s="181"/>
      <c r="AO1415" s="70"/>
      <c r="AP1415" s="70"/>
      <c r="AQ1415" s="70"/>
      <c r="AR1415" s="70"/>
      <c r="AS1415" s="70"/>
      <c r="AT1415" s="70"/>
      <c r="AU1415" s="70"/>
      <c r="AV1415" s="70"/>
      <c r="AW1415" s="70"/>
      <c r="AX1415" s="70"/>
    </row>
    <row r="1416" ht="15.75" customHeight="1">
      <c r="A1416" s="68" t="s">
        <v>2625</v>
      </c>
      <c r="B1416" s="169" t="s">
        <v>9600</v>
      </c>
      <c r="C1416" s="28" t="s">
        <v>9604</v>
      </c>
      <c r="D1416" s="28" t="s">
        <v>9605</v>
      </c>
      <c r="E1416" s="28" t="s">
        <v>9606</v>
      </c>
      <c r="F1416" s="28"/>
      <c r="G1416" s="28"/>
      <c r="H1416" s="28"/>
      <c r="I1416" s="28"/>
      <c r="J1416" s="28"/>
      <c r="K1416" s="28"/>
      <c r="L1416" s="28"/>
      <c r="M1416" s="28"/>
      <c r="N1416" s="28"/>
      <c r="O1416" s="67"/>
      <c r="P1416" s="67"/>
      <c r="Q1416" s="67" t="s">
        <v>145</v>
      </c>
      <c r="R1416" s="67"/>
      <c r="S1416" s="67"/>
      <c r="T1416" s="67"/>
      <c r="U1416" s="67"/>
      <c r="V1416" s="67"/>
      <c r="W1416" s="67"/>
      <c r="X1416" s="67"/>
      <c r="Y1416" s="67"/>
      <c r="Z1416" s="67"/>
      <c r="AA1416" s="67"/>
      <c r="AB1416" s="67"/>
      <c r="AC1416" s="67"/>
      <c r="AD1416" s="67"/>
      <c r="AE1416" s="67"/>
      <c r="AF1416" s="67"/>
      <c r="AG1416" s="67"/>
      <c r="AH1416" s="67"/>
      <c r="AI1416" s="67"/>
      <c r="AJ1416" s="67"/>
      <c r="AK1416" s="67"/>
      <c r="AL1416" s="67"/>
      <c r="AM1416" s="67"/>
      <c r="AN1416" s="67"/>
      <c r="AO1416" s="70"/>
      <c r="AP1416" s="70"/>
      <c r="AQ1416" s="70"/>
      <c r="AR1416" s="70"/>
      <c r="AS1416" s="70"/>
      <c r="AT1416" s="70"/>
      <c r="AU1416" s="70"/>
      <c r="AV1416" s="70"/>
      <c r="AW1416" s="70"/>
      <c r="AX1416" s="70"/>
    </row>
    <row r="1417" ht="15.75" customHeight="1">
      <c r="A1417" s="170" t="s">
        <v>263</v>
      </c>
      <c r="B1417" s="171" t="s">
        <v>9607</v>
      </c>
      <c r="C1417" s="28" t="s">
        <v>9611</v>
      </c>
      <c r="D1417" s="28" t="s">
        <v>9612</v>
      </c>
      <c r="E1417" s="28" t="s">
        <v>9613</v>
      </c>
      <c r="F1417" s="28"/>
      <c r="G1417" s="28"/>
      <c r="H1417" s="28"/>
      <c r="I1417" s="28"/>
      <c r="J1417" s="28"/>
      <c r="K1417" s="28" t="s">
        <v>864</v>
      </c>
      <c r="L1417" s="28"/>
      <c r="M1417" s="28"/>
      <c r="N1417" s="28"/>
      <c r="O1417" s="173" t="s">
        <v>10865</v>
      </c>
      <c r="P1417" s="173"/>
      <c r="Q1417" s="173" t="s">
        <v>145</v>
      </c>
      <c r="R1417" s="173"/>
      <c r="S1417" s="173"/>
      <c r="T1417" s="173"/>
      <c r="U1417" s="173"/>
      <c r="V1417" s="173"/>
      <c r="W1417" s="173"/>
      <c r="X1417" s="173"/>
      <c r="Y1417" s="173"/>
      <c r="Z1417" s="173"/>
      <c r="AA1417" s="173"/>
      <c r="AB1417" s="173"/>
      <c r="AC1417" s="173"/>
      <c r="AD1417" s="173"/>
      <c r="AE1417" s="173"/>
      <c r="AF1417" s="173"/>
      <c r="AG1417" s="173"/>
      <c r="AH1417" s="173"/>
      <c r="AI1417" s="173"/>
      <c r="AJ1417" s="173"/>
      <c r="AK1417" s="173"/>
      <c r="AL1417" s="173"/>
      <c r="AM1417" s="173"/>
      <c r="AN1417" s="173"/>
      <c r="AO1417" s="70"/>
      <c r="AP1417" s="70"/>
      <c r="AQ1417" s="70"/>
      <c r="AR1417" s="70"/>
      <c r="AS1417" s="70"/>
      <c r="AT1417" s="70"/>
      <c r="AU1417" s="70"/>
      <c r="AV1417" s="70"/>
      <c r="AW1417" s="70"/>
      <c r="AX1417" s="70"/>
    </row>
    <row r="1418" ht="15.75" customHeight="1">
      <c r="A1418" s="68" t="s">
        <v>9501</v>
      </c>
      <c r="B1418" s="169" t="s">
        <v>9614</v>
      </c>
      <c r="C1418" s="28" t="s">
        <v>9618</v>
      </c>
      <c r="D1418" s="28" t="s">
        <v>9619</v>
      </c>
      <c r="E1418" s="28" t="s">
        <v>9620</v>
      </c>
      <c r="F1418" s="28" t="s">
        <v>7285</v>
      </c>
      <c r="G1418" s="28" t="s">
        <v>7286</v>
      </c>
      <c r="H1418" s="28" t="s">
        <v>7288</v>
      </c>
      <c r="I1418" s="28"/>
      <c r="J1418" s="28"/>
      <c r="K1418" s="28"/>
      <c r="L1418" s="28"/>
      <c r="M1418" s="28"/>
      <c r="N1418" s="28"/>
      <c r="O1418" s="67" t="s">
        <v>10865</v>
      </c>
      <c r="P1418" s="67"/>
      <c r="Q1418" s="67" t="s">
        <v>145</v>
      </c>
      <c r="R1418" s="67"/>
      <c r="S1418" s="67"/>
      <c r="T1418" s="67"/>
      <c r="U1418" s="67"/>
      <c r="V1418" s="67"/>
      <c r="W1418" s="67"/>
      <c r="X1418" s="67"/>
      <c r="Y1418" s="65"/>
      <c r="Z1418" s="67"/>
      <c r="AA1418" s="67"/>
      <c r="AB1418" s="67"/>
      <c r="AC1418" s="67"/>
      <c r="AD1418" s="67"/>
      <c r="AE1418" s="67"/>
      <c r="AF1418" s="67"/>
      <c r="AG1418" s="67"/>
      <c r="AH1418" s="67"/>
      <c r="AI1418" s="67"/>
      <c r="AJ1418" s="67"/>
      <c r="AK1418" s="67"/>
      <c r="AL1418" s="67"/>
      <c r="AM1418" s="67"/>
      <c r="AN1418" s="67"/>
      <c r="AO1418" s="70"/>
      <c r="AP1418" s="70"/>
      <c r="AQ1418" s="70"/>
      <c r="AR1418" s="70"/>
      <c r="AS1418" s="70"/>
      <c r="AT1418" s="70"/>
      <c r="AU1418" s="70"/>
      <c r="AV1418" s="70"/>
      <c r="AW1418" s="70"/>
      <c r="AX1418" s="70"/>
    </row>
    <row r="1419" ht="15.75" customHeight="1">
      <c r="A1419" s="179" t="s">
        <v>246</v>
      </c>
      <c r="B1419" s="180" t="s">
        <v>9622</v>
      </c>
      <c r="C1419" s="28" t="s">
        <v>9627</v>
      </c>
      <c r="D1419" s="28" t="s">
        <v>9628</v>
      </c>
      <c r="E1419" s="28" t="s">
        <v>9629</v>
      </c>
      <c r="F1419" s="28"/>
      <c r="G1419" s="28"/>
      <c r="H1419" s="28"/>
      <c r="I1419" s="28"/>
      <c r="J1419" s="28"/>
      <c r="K1419" s="28"/>
      <c r="L1419" s="28"/>
      <c r="M1419" s="28"/>
      <c r="N1419" s="28"/>
      <c r="O1419" s="181" t="s">
        <v>10866</v>
      </c>
      <c r="P1419" s="181"/>
      <c r="Q1419" s="181" t="s">
        <v>145</v>
      </c>
      <c r="R1419" s="181"/>
      <c r="S1419" s="181"/>
      <c r="T1419" s="181"/>
      <c r="U1419" s="181"/>
      <c r="V1419" s="181"/>
      <c r="W1419" s="181"/>
      <c r="X1419" s="181"/>
      <c r="Y1419" s="181"/>
      <c r="Z1419" s="181"/>
      <c r="AA1419" s="181"/>
      <c r="AB1419" s="181"/>
      <c r="AC1419" s="181"/>
      <c r="AD1419" s="181"/>
      <c r="AE1419" s="181"/>
      <c r="AF1419" s="181"/>
      <c r="AG1419" s="181"/>
      <c r="AH1419" s="181"/>
      <c r="AI1419" s="181"/>
      <c r="AJ1419" s="181"/>
      <c r="AK1419" s="181"/>
      <c r="AL1419" s="181"/>
      <c r="AM1419" s="181"/>
      <c r="AN1419" s="181"/>
      <c r="AO1419" s="70"/>
      <c r="AP1419" s="70"/>
      <c r="AQ1419" s="70"/>
      <c r="AR1419" s="70"/>
      <c r="AS1419" s="70"/>
      <c r="AT1419" s="70"/>
      <c r="AU1419" s="70"/>
      <c r="AV1419" s="70"/>
      <c r="AW1419" s="70"/>
      <c r="AX1419" s="70"/>
    </row>
    <row r="1420" ht="15.75" customHeight="1">
      <c r="A1420" s="68" t="s">
        <v>2625</v>
      </c>
      <c r="B1420" s="169" t="s">
        <v>9630</v>
      </c>
      <c r="C1420" s="28" t="s">
        <v>9634</v>
      </c>
      <c r="D1420" s="28" t="s">
        <v>9635</v>
      </c>
      <c r="E1420" s="28" t="s">
        <v>9636</v>
      </c>
      <c r="F1420" s="28"/>
      <c r="G1420" s="28"/>
      <c r="H1420" s="28"/>
      <c r="I1420" s="28"/>
      <c r="J1420" s="28"/>
      <c r="K1420" s="28"/>
      <c r="L1420" s="28"/>
      <c r="M1420" s="28"/>
      <c r="N1420" s="28"/>
      <c r="O1420" s="67"/>
      <c r="P1420" s="67"/>
      <c r="Q1420" s="67" t="s">
        <v>145</v>
      </c>
      <c r="R1420" s="67"/>
      <c r="S1420" s="67"/>
      <c r="T1420" s="67"/>
      <c r="U1420" s="67"/>
      <c r="V1420" s="67"/>
      <c r="W1420" s="67"/>
      <c r="X1420" s="67"/>
      <c r="Y1420" s="67"/>
      <c r="Z1420" s="67"/>
      <c r="AA1420" s="67"/>
      <c r="AB1420" s="67"/>
      <c r="AC1420" s="67"/>
      <c r="AD1420" s="67"/>
      <c r="AE1420" s="67"/>
      <c r="AF1420" s="67"/>
      <c r="AG1420" s="67"/>
      <c r="AH1420" s="67"/>
      <c r="AI1420" s="67"/>
      <c r="AJ1420" s="67"/>
      <c r="AK1420" s="67"/>
      <c r="AL1420" s="67"/>
      <c r="AM1420" s="67"/>
      <c r="AN1420" s="67"/>
      <c r="AO1420" s="70"/>
      <c r="AP1420" s="70"/>
      <c r="AQ1420" s="70"/>
      <c r="AR1420" s="70"/>
      <c r="AS1420" s="70"/>
      <c r="AT1420" s="70"/>
      <c r="AU1420" s="70"/>
      <c r="AV1420" s="70"/>
      <c r="AW1420" s="70"/>
      <c r="AX1420" s="70"/>
    </row>
    <row r="1421" ht="15.75" customHeight="1">
      <c r="A1421" s="170" t="s">
        <v>263</v>
      </c>
      <c r="B1421" s="171" t="s">
        <v>9637</v>
      </c>
      <c r="C1421" s="28" t="s">
        <v>9641</v>
      </c>
      <c r="D1421" s="28" t="s">
        <v>9642</v>
      </c>
      <c r="E1421" s="28" t="s">
        <v>9643</v>
      </c>
      <c r="F1421" s="28"/>
      <c r="G1421" s="28"/>
      <c r="H1421" s="28"/>
      <c r="I1421" s="28"/>
      <c r="J1421" s="28"/>
      <c r="K1421" s="28" t="s">
        <v>864</v>
      </c>
      <c r="L1421" s="28"/>
      <c r="M1421" s="28"/>
      <c r="N1421" s="28"/>
      <c r="O1421" s="173" t="s">
        <v>10867</v>
      </c>
      <c r="P1421" s="173"/>
      <c r="Q1421" s="173" t="s">
        <v>145</v>
      </c>
      <c r="R1421" s="173"/>
      <c r="S1421" s="173"/>
      <c r="T1421" s="173"/>
      <c r="U1421" s="173"/>
      <c r="V1421" s="173"/>
      <c r="W1421" s="173"/>
      <c r="X1421" s="173"/>
      <c r="Y1421" s="173"/>
      <c r="Z1421" s="173"/>
      <c r="AA1421" s="173"/>
      <c r="AB1421" s="173"/>
      <c r="AC1421" s="173"/>
      <c r="AD1421" s="173"/>
      <c r="AE1421" s="173"/>
      <c r="AF1421" s="173"/>
      <c r="AG1421" s="173"/>
      <c r="AH1421" s="173"/>
      <c r="AI1421" s="173"/>
      <c r="AJ1421" s="173"/>
      <c r="AK1421" s="173"/>
      <c r="AL1421" s="173"/>
      <c r="AM1421" s="173"/>
      <c r="AN1421" s="173"/>
      <c r="AO1421" s="70"/>
      <c r="AP1421" s="70"/>
      <c r="AQ1421" s="70"/>
      <c r="AR1421" s="70"/>
      <c r="AS1421" s="70"/>
      <c r="AT1421" s="70"/>
      <c r="AU1421" s="70"/>
      <c r="AV1421" s="70"/>
      <c r="AW1421" s="70"/>
      <c r="AX1421" s="70"/>
    </row>
    <row r="1422" ht="15.75" customHeight="1">
      <c r="A1422" s="68" t="s">
        <v>4445</v>
      </c>
      <c r="B1422" s="169" t="s">
        <v>9644</v>
      </c>
      <c r="C1422" s="28" t="s">
        <v>9648</v>
      </c>
      <c r="D1422" s="28" t="s">
        <v>9649</v>
      </c>
      <c r="E1422" s="28" t="s">
        <v>9650</v>
      </c>
      <c r="F1422" s="28" t="s">
        <v>7285</v>
      </c>
      <c r="G1422" s="28" t="s">
        <v>7286</v>
      </c>
      <c r="H1422" s="28" t="s">
        <v>7288</v>
      </c>
      <c r="I1422" s="28"/>
      <c r="J1422" s="28"/>
      <c r="K1422" s="28"/>
      <c r="L1422" s="28"/>
      <c r="M1422" s="28"/>
      <c r="N1422" s="28"/>
      <c r="O1422" s="67" t="s">
        <v>10867</v>
      </c>
      <c r="P1422" s="67"/>
      <c r="Q1422" s="67" t="s">
        <v>145</v>
      </c>
      <c r="R1422" s="67"/>
      <c r="S1422" s="67"/>
      <c r="T1422" s="67"/>
      <c r="U1422" s="67"/>
      <c r="V1422" s="67"/>
      <c r="W1422" s="67"/>
      <c r="X1422" s="67"/>
      <c r="Y1422" s="65" t="s">
        <v>4412</v>
      </c>
      <c r="Z1422" s="67"/>
      <c r="AA1422" s="67"/>
      <c r="AB1422" s="67"/>
      <c r="AC1422" s="67"/>
      <c r="AD1422" s="67"/>
      <c r="AE1422" s="67"/>
      <c r="AF1422" s="67"/>
      <c r="AG1422" s="67"/>
      <c r="AH1422" s="67"/>
      <c r="AI1422" s="67"/>
      <c r="AJ1422" s="67"/>
      <c r="AK1422" s="67"/>
      <c r="AL1422" s="67"/>
      <c r="AM1422" s="67"/>
      <c r="AN1422" s="67"/>
      <c r="AO1422" s="70"/>
      <c r="AP1422" s="70"/>
      <c r="AQ1422" s="70"/>
      <c r="AR1422" s="70"/>
      <c r="AS1422" s="70"/>
      <c r="AT1422" s="70"/>
      <c r="AU1422" s="70"/>
      <c r="AV1422" s="70"/>
      <c r="AW1422" s="70"/>
      <c r="AX1422" s="70"/>
    </row>
    <row r="1423" ht="15.75" customHeight="1">
      <c r="A1423" s="179" t="s">
        <v>246</v>
      </c>
      <c r="B1423" s="180" t="s">
        <v>9651</v>
      </c>
      <c r="C1423" s="28" t="s">
        <v>9655</v>
      </c>
      <c r="D1423" s="28" t="s">
        <v>9656</v>
      </c>
      <c r="E1423" s="28" t="s">
        <v>9657</v>
      </c>
      <c r="F1423" s="28"/>
      <c r="G1423" s="28"/>
      <c r="H1423" s="28"/>
      <c r="I1423" s="28"/>
      <c r="J1423" s="28"/>
      <c r="K1423" s="28"/>
      <c r="L1423" s="28"/>
      <c r="M1423" s="28"/>
      <c r="N1423" s="28"/>
      <c r="O1423" s="181" t="s">
        <v>10868</v>
      </c>
      <c r="P1423" s="181"/>
      <c r="Q1423" s="181" t="s">
        <v>145</v>
      </c>
      <c r="R1423" s="181"/>
      <c r="S1423" s="181"/>
      <c r="T1423" s="181"/>
      <c r="U1423" s="181"/>
      <c r="V1423" s="181"/>
      <c r="W1423" s="181"/>
      <c r="X1423" s="181"/>
      <c r="Y1423" s="181"/>
      <c r="Z1423" s="181"/>
      <c r="AA1423" s="181"/>
      <c r="AB1423" s="181"/>
      <c r="AC1423" s="181"/>
      <c r="AD1423" s="181"/>
      <c r="AE1423" s="181"/>
      <c r="AF1423" s="181"/>
      <c r="AG1423" s="181"/>
      <c r="AH1423" s="181"/>
      <c r="AI1423" s="181"/>
      <c r="AJ1423" s="181"/>
      <c r="AK1423" s="181"/>
      <c r="AL1423" s="181"/>
      <c r="AM1423" s="181"/>
      <c r="AN1423" s="181"/>
      <c r="AO1423" s="70"/>
      <c r="AP1423" s="70"/>
      <c r="AQ1423" s="70"/>
      <c r="AR1423" s="70"/>
      <c r="AS1423" s="70"/>
      <c r="AT1423" s="70"/>
      <c r="AU1423" s="70"/>
      <c r="AV1423" s="70"/>
      <c r="AW1423" s="70"/>
      <c r="AX1423" s="70"/>
    </row>
    <row r="1424" ht="15.75" customHeight="1">
      <c r="A1424" s="68" t="s">
        <v>2625</v>
      </c>
      <c r="B1424" s="169" t="s">
        <v>9658</v>
      </c>
      <c r="C1424" s="28" t="s">
        <v>9662</v>
      </c>
      <c r="D1424" s="28" t="s">
        <v>9663</v>
      </c>
      <c r="E1424" s="28" t="s">
        <v>9664</v>
      </c>
      <c r="F1424" s="28"/>
      <c r="G1424" s="28"/>
      <c r="H1424" s="28"/>
      <c r="I1424" s="28"/>
      <c r="J1424" s="28"/>
      <c r="K1424" s="28"/>
      <c r="L1424" s="28"/>
      <c r="M1424" s="28"/>
      <c r="N1424" s="28"/>
      <c r="O1424" s="67"/>
      <c r="P1424" s="67"/>
      <c r="Q1424" s="67" t="s">
        <v>145</v>
      </c>
      <c r="R1424" s="67"/>
      <c r="S1424" s="67"/>
      <c r="T1424" s="67"/>
      <c r="U1424" s="67"/>
      <c r="V1424" s="67"/>
      <c r="W1424" s="67"/>
      <c r="X1424" s="67"/>
      <c r="Y1424" s="67"/>
      <c r="Z1424" s="67"/>
      <c r="AA1424" s="67"/>
      <c r="AB1424" s="67"/>
      <c r="AC1424" s="67"/>
      <c r="AD1424" s="67"/>
      <c r="AE1424" s="67"/>
      <c r="AF1424" s="67"/>
      <c r="AG1424" s="67"/>
      <c r="AH1424" s="67"/>
      <c r="AI1424" s="67"/>
      <c r="AJ1424" s="67"/>
      <c r="AK1424" s="67"/>
      <c r="AL1424" s="67"/>
      <c r="AM1424" s="67"/>
      <c r="AN1424" s="67"/>
      <c r="AO1424" s="70"/>
      <c r="AP1424" s="70"/>
      <c r="AQ1424" s="70"/>
      <c r="AR1424" s="70"/>
      <c r="AS1424" s="70"/>
      <c r="AT1424" s="70"/>
      <c r="AU1424" s="70"/>
      <c r="AV1424" s="70"/>
      <c r="AW1424" s="70"/>
      <c r="AX1424" s="70"/>
    </row>
    <row r="1425" ht="15.75" customHeight="1">
      <c r="A1425" s="170" t="s">
        <v>263</v>
      </c>
      <c r="B1425" s="171" t="s">
        <v>9665</v>
      </c>
      <c r="C1425" s="28" t="s">
        <v>9669</v>
      </c>
      <c r="D1425" s="28" t="s">
        <v>9670</v>
      </c>
      <c r="E1425" s="28" t="s">
        <v>9671</v>
      </c>
      <c r="F1425" s="28"/>
      <c r="G1425" s="28"/>
      <c r="H1425" s="28"/>
      <c r="I1425" s="28"/>
      <c r="J1425" s="28"/>
      <c r="K1425" s="28" t="s">
        <v>864</v>
      </c>
      <c r="L1425" s="28"/>
      <c r="M1425" s="28"/>
      <c r="N1425" s="28"/>
      <c r="O1425" s="173" t="s">
        <v>10869</v>
      </c>
      <c r="P1425" s="173"/>
      <c r="Q1425" s="173" t="s">
        <v>145</v>
      </c>
      <c r="R1425" s="173"/>
      <c r="S1425" s="173"/>
      <c r="T1425" s="173"/>
      <c r="U1425" s="173"/>
      <c r="V1425" s="173"/>
      <c r="W1425" s="173"/>
      <c r="X1425" s="173"/>
      <c r="Y1425" s="173"/>
      <c r="Z1425" s="173"/>
      <c r="AA1425" s="173"/>
      <c r="AB1425" s="173"/>
      <c r="AC1425" s="173"/>
      <c r="AD1425" s="173"/>
      <c r="AE1425" s="173"/>
      <c r="AF1425" s="173"/>
      <c r="AG1425" s="173"/>
      <c r="AH1425" s="173"/>
      <c r="AI1425" s="173"/>
      <c r="AJ1425" s="173"/>
      <c r="AK1425" s="173"/>
      <c r="AL1425" s="173"/>
      <c r="AM1425" s="173"/>
      <c r="AN1425" s="173"/>
      <c r="AO1425" s="70"/>
      <c r="AP1425" s="70"/>
      <c r="AQ1425" s="70"/>
      <c r="AR1425" s="70"/>
      <c r="AS1425" s="70"/>
      <c r="AT1425" s="70"/>
      <c r="AU1425" s="70"/>
      <c r="AV1425" s="70"/>
      <c r="AW1425" s="70"/>
      <c r="AX1425" s="70"/>
    </row>
    <row r="1426" ht="15.75" customHeight="1">
      <c r="A1426" s="68" t="s">
        <v>9501</v>
      </c>
      <c r="B1426" s="169" t="s">
        <v>9672</v>
      </c>
      <c r="C1426" s="28" t="s">
        <v>9676</v>
      </c>
      <c r="D1426" s="28" t="s">
        <v>9677</v>
      </c>
      <c r="E1426" s="28" t="s">
        <v>9678</v>
      </c>
      <c r="F1426" s="28" t="s">
        <v>7285</v>
      </c>
      <c r="G1426" s="28" t="s">
        <v>7286</v>
      </c>
      <c r="H1426" s="28" t="s">
        <v>7288</v>
      </c>
      <c r="I1426" s="28"/>
      <c r="J1426" s="28"/>
      <c r="K1426" s="28"/>
      <c r="L1426" s="28"/>
      <c r="M1426" s="28"/>
      <c r="N1426" s="28"/>
      <c r="O1426" s="67" t="s">
        <v>10869</v>
      </c>
      <c r="P1426" s="67"/>
      <c r="Q1426" s="67" t="s">
        <v>145</v>
      </c>
      <c r="R1426" s="67"/>
      <c r="S1426" s="67"/>
      <c r="T1426" s="67"/>
      <c r="U1426" s="67"/>
      <c r="V1426" s="67"/>
      <c r="W1426" s="67"/>
      <c r="X1426" s="67"/>
      <c r="Y1426" s="67"/>
      <c r="Z1426" s="67"/>
      <c r="AA1426" s="67"/>
      <c r="AB1426" s="67"/>
      <c r="AC1426" s="67"/>
      <c r="AD1426" s="67"/>
      <c r="AE1426" s="67"/>
      <c r="AF1426" s="67"/>
      <c r="AG1426" s="67"/>
      <c r="AH1426" s="67"/>
      <c r="AI1426" s="67"/>
      <c r="AJ1426" s="67"/>
      <c r="AK1426" s="67"/>
      <c r="AL1426" s="67"/>
      <c r="AM1426" s="67"/>
      <c r="AN1426" s="67"/>
      <c r="AO1426" s="70"/>
      <c r="AP1426" s="70"/>
      <c r="AQ1426" s="70"/>
      <c r="AR1426" s="70"/>
      <c r="AS1426" s="70"/>
      <c r="AT1426" s="70"/>
      <c r="AU1426" s="70"/>
      <c r="AV1426" s="70"/>
      <c r="AW1426" s="70"/>
      <c r="AX1426" s="70"/>
    </row>
    <row r="1427" ht="15.75" customHeight="1">
      <c r="A1427" s="179" t="s">
        <v>246</v>
      </c>
      <c r="B1427" s="180" t="s">
        <v>9679</v>
      </c>
      <c r="C1427" s="28" t="s">
        <v>9683</v>
      </c>
      <c r="D1427" s="28" t="s">
        <v>9684</v>
      </c>
      <c r="E1427" s="28" t="s">
        <v>9685</v>
      </c>
      <c r="F1427" s="28"/>
      <c r="G1427" s="28"/>
      <c r="H1427" s="28"/>
      <c r="I1427" s="28"/>
      <c r="J1427" s="28"/>
      <c r="K1427" s="28"/>
      <c r="L1427" s="28"/>
      <c r="M1427" s="28"/>
      <c r="N1427" s="28"/>
      <c r="O1427" s="181" t="s">
        <v>10870</v>
      </c>
      <c r="P1427" s="181"/>
      <c r="Q1427" s="181" t="s">
        <v>145</v>
      </c>
      <c r="R1427" s="181"/>
      <c r="S1427" s="181"/>
      <c r="T1427" s="181"/>
      <c r="U1427" s="181"/>
      <c r="V1427" s="181"/>
      <c r="W1427" s="181"/>
      <c r="X1427" s="181"/>
      <c r="Y1427" s="181"/>
      <c r="Z1427" s="181"/>
      <c r="AA1427" s="181"/>
      <c r="AB1427" s="181"/>
      <c r="AC1427" s="181"/>
      <c r="AD1427" s="181"/>
      <c r="AE1427" s="181"/>
      <c r="AF1427" s="181"/>
      <c r="AG1427" s="181"/>
      <c r="AH1427" s="181"/>
      <c r="AI1427" s="181"/>
      <c r="AJ1427" s="181"/>
      <c r="AK1427" s="181"/>
      <c r="AL1427" s="181"/>
      <c r="AM1427" s="181"/>
      <c r="AN1427" s="181"/>
      <c r="AO1427" s="70"/>
      <c r="AP1427" s="70"/>
      <c r="AQ1427" s="70"/>
      <c r="AR1427" s="70"/>
      <c r="AS1427" s="70"/>
      <c r="AT1427" s="70"/>
      <c r="AU1427" s="70"/>
      <c r="AV1427" s="70"/>
      <c r="AW1427" s="70"/>
      <c r="AX1427" s="70"/>
    </row>
    <row r="1428" ht="15.75" customHeight="1">
      <c r="A1428" s="68" t="s">
        <v>9686</v>
      </c>
      <c r="B1428" s="169" t="s">
        <v>9687</v>
      </c>
      <c r="C1428" s="28" t="s">
        <v>9691</v>
      </c>
      <c r="D1428" s="28" t="s">
        <v>9692</v>
      </c>
      <c r="E1428" s="28" t="s">
        <v>9693</v>
      </c>
      <c r="F1428" s="28" t="s">
        <v>10871</v>
      </c>
      <c r="G1428" s="28" t="s">
        <v>10872</v>
      </c>
      <c r="H1428" s="28" t="s">
        <v>10873</v>
      </c>
      <c r="I1428" s="28"/>
      <c r="J1428" s="28"/>
      <c r="K1428" s="28" t="s">
        <v>10577</v>
      </c>
      <c r="L1428" s="28"/>
      <c r="M1428" s="28"/>
      <c r="N1428" s="28"/>
      <c r="O1428" s="67"/>
      <c r="P1428" s="67"/>
      <c r="Q1428" s="67" t="s">
        <v>145</v>
      </c>
      <c r="R1428" s="67"/>
      <c r="S1428" s="67"/>
      <c r="T1428" s="67"/>
      <c r="U1428" s="67"/>
      <c r="V1428" s="67"/>
      <c r="W1428" s="67"/>
      <c r="X1428" s="67"/>
      <c r="Y1428" s="67"/>
      <c r="Z1428" s="67"/>
      <c r="AA1428" s="67"/>
      <c r="AB1428" s="67"/>
      <c r="AC1428" s="67"/>
      <c r="AD1428" s="70"/>
      <c r="AE1428" s="70"/>
      <c r="AF1428" s="70"/>
      <c r="AG1428" s="70"/>
      <c r="AH1428" s="70"/>
      <c r="AI1428" s="70"/>
      <c r="AJ1428" s="70"/>
      <c r="AK1428" s="70"/>
      <c r="AL1428" s="139"/>
      <c r="AM1428" s="139"/>
      <c r="AN1428" s="139"/>
      <c r="AO1428" s="70"/>
      <c r="AP1428" s="70"/>
      <c r="AQ1428" s="70"/>
      <c r="AR1428" s="70"/>
      <c r="AS1428" s="70"/>
      <c r="AT1428" s="70"/>
      <c r="AU1428" s="70"/>
      <c r="AV1428" s="70"/>
      <c r="AW1428" s="70"/>
      <c r="AX1428" s="70"/>
    </row>
    <row r="1429" ht="15.75" customHeight="1">
      <c r="A1429" s="170" t="s">
        <v>263</v>
      </c>
      <c r="B1429" s="171" t="s">
        <v>9694</v>
      </c>
      <c r="C1429" s="28" t="s">
        <v>9698</v>
      </c>
      <c r="D1429" s="28" t="s">
        <v>9699</v>
      </c>
      <c r="E1429" s="28" t="s">
        <v>9700</v>
      </c>
      <c r="F1429" s="28"/>
      <c r="G1429" s="28"/>
      <c r="H1429" s="28"/>
      <c r="I1429" s="28"/>
      <c r="J1429" s="28"/>
      <c r="K1429" s="28" t="s">
        <v>687</v>
      </c>
      <c r="L1429" s="28"/>
      <c r="M1429" s="28"/>
      <c r="N1429" s="28"/>
      <c r="O1429" s="332" t="s">
        <v>10874</v>
      </c>
      <c r="P1429" s="173"/>
      <c r="Q1429" s="172" t="s">
        <v>145</v>
      </c>
      <c r="R1429" s="173"/>
      <c r="S1429" s="173"/>
      <c r="T1429" s="173"/>
      <c r="U1429" s="173"/>
      <c r="V1429" s="173"/>
      <c r="W1429" s="173"/>
      <c r="X1429" s="173"/>
      <c r="Y1429" s="173"/>
      <c r="Z1429" s="173"/>
      <c r="AA1429" s="173"/>
      <c r="AB1429" s="173"/>
      <c r="AC1429" s="173"/>
      <c r="AD1429" s="70"/>
      <c r="AE1429" s="70"/>
      <c r="AF1429" s="70"/>
      <c r="AG1429" s="70"/>
      <c r="AH1429" s="70"/>
      <c r="AI1429" s="70"/>
      <c r="AJ1429" s="70"/>
      <c r="AK1429" s="70"/>
      <c r="AL1429" s="139"/>
      <c r="AM1429" s="139"/>
      <c r="AN1429" s="139"/>
      <c r="AO1429" s="70"/>
      <c r="AP1429" s="70"/>
      <c r="AQ1429" s="70"/>
      <c r="AR1429" s="70"/>
      <c r="AS1429" s="70"/>
      <c r="AT1429" s="70"/>
      <c r="AU1429" s="70"/>
      <c r="AV1429" s="70"/>
      <c r="AW1429" s="70"/>
      <c r="AX1429" s="70"/>
    </row>
    <row r="1430" ht="15.75" customHeight="1">
      <c r="A1430" s="170" t="s">
        <v>263</v>
      </c>
      <c r="B1430" s="171" t="s">
        <v>9701</v>
      </c>
      <c r="C1430" s="28" t="s">
        <v>9705</v>
      </c>
      <c r="D1430" s="28" t="s">
        <v>9706</v>
      </c>
      <c r="E1430" s="28" t="s">
        <v>9707</v>
      </c>
      <c r="F1430" s="28" t="s">
        <v>10875</v>
      </c>
      <c r="G1430" s="28" t="s">
        <v>10876</v>
      </c>
      <c r="H1430" s="28"/>
      <c r="I1430" s="28"/>
      <c r="J1430" s="28"/>
      <c r="K1430" s="28"/>
      <c r="L1430" s="28"/>
      <c r="M1430" s="28"/>
      <c r="N1430" s="28"/>
      <c r="O1430" s="173"/>
      <c r="P1430" s="173"/>
      <c r="Q1430" s="173" t="s">
        <v>145</v>
      </c>
      <c r="R1430" s="173"/>
      <c r="S1430" s="173"/>
      <c r="T1430" s="173"/>
      <c r="U1430" s="173"/>
      <c r="V1430" s="173"/>
      <c r="W1430" s="173"/>
      <c r="X1430" s="173"/>
      <c r="Y1430" s="173"/>
      <c r="Z1430" s="173"/>
      <c r="AA1430" s="173"/>
      <c r="AB1430" s="173"/>
      <c r="AC1430" s="173"/>
      <c r="AD1430" s="70"/>
      <c r="AE1430" s="70"/>
      <c r="AF1430" s="70"/>
      <c r="AG1430" s="70"/>
      <c r="AH1430" s="70"/>
      <c r="AI1430" s="70"/>
      <c r="AJ1430" s="70"/>
      <c r="AK1430" s="70"/>
      <c r="AL1430" s="139"/>
      <c r="AM1430" s="139"/>
      <c r="AN1430" s="139"/>
      <c r="AO1430" s="70"/>
      <c r="AP1430" s="70"/>
      <c r="AQ1430" s="70"/>
      <c r="AR1430" s="70"/>
      <c r="AS1430" s="70"/>
      <c r="AT1430" s="70"/>
      <c r="AU1430" s="70"/>
      <c r="AV1430" s="70"/>
      <c r="AW1430" s="70"/>
      <c r="AX1430" s="70"/>
    </row>
    <row r="1431" ht="15.75" customHeight="1">
      <c r="A1431" s="90" t="s">
        <v>134</v>
      </c>
      <c r="B1431" s="92" t="s">
        <v>9708</v>
      </c>
      <c r="C1431" s="28"/>
      <c r="D1431" s="28"/>
      <c r="E1431" s="28"/>
      <c r="F1431" s="28"/>
      <c r="G1431" s="28"/>
      <c r="H1431" s="28"/>
      <c r="I1431" s="28"/>
      <c r="J1431" s="28"/>
      <c r="K1431" s="28"/>
      <c r="L1431" s="28"/>
      <c r="M1431" s="28"/>
      <c r="N1431" s="28"/>
      <c r="O1431" s="96"/>
      <c r="P1431" s="96"/>
      <c r="Q1431" s="96"/>
      <c r="R1431" s="96"/>
      <c r="S1431" s="96"/>
      <c r="T1431" s="178" t="s">
        <v>139</v>
      </c>
      <c r="U1431" s="96"/>
      <c r="V1431" s="96"/>
      <c r="W1431" s="96"/>
      <c r="X1431" s="96"/>
      <c r="Y1431" s="96"/>
      <c r="Z1431" s="96"/>
      <c r="AA1431" s="96"/>
      <c r="AB1431" s="96"/>
      <c r="AC1431" s="96"/>
      <c r="AD1431" s="70"/>
      <c r="AE1431" s="70"/>
      <c r="AF1431" s="70"/>
      <c r="AG1431" s="70"/>
      <c r="AH1431" s="70"/>
      <c r="AI1431" s="70"/>
      <c r="AJ1431" s="70"/>
      <c r="AK1431" s="70"/>
      <c r="AL1431" s="70"/>
      <c r="AM1431" s="70"/>
      <c r="AN1431" s="70"/>
      <c r="AO1431" s="70"/>
      <c r="AP1431" s="70"/>
      <c r="AQ1431" s="70"/>
      <c r="AR1431" s="70"/>
      <c r="AS1431" s="70"/>
      <c r="AT1431" s="70"/>
      <c r="AU1431" s="70"/>
      <c r="AV1431" s="70"/>
      <c r="AW1431" s="70"/>
      <c r="AX1431" s="70"/>
    </row>
    <row r="1432" ht="15.75" customHeight="1">
      <c r="A1432" s="90" t="s">
        <v>78</v>
      </c>
      <c r="B1432" s="92" t="s">
        <v>9709</v>
      </c>
      <c r="C1432" s="28"/>
      <c r="D1432" s="28"/>
      <c r="E1432" s="28"/>
      <c r="F1432" s="28"/>
      <c r="G1432" s="28"/>
      <c r="H1432" s="28"/>
      <c r="I1432" s="28"/>
      <c r="J1432" s="28"/>
      <c r="K1432" s="28"/>
      <c r="L1432" s="28"/>
      <c r="M1432" s="28"/>
      <c r="N1432" s="28"/>
      <c r="O1432" s="96"/>
      <c r="P1432" s="96"/>
      <c r="Q1432" s="96"/>
      <c r="R1432" s="96"/>
      <c r="S1432" s="96"/>
      <c r="T1432" s="178" t="s">
        <v>10877</v>
      </c>
      <c r="U1432" s="96"/>
      <c r="V1432" s="96"/>
      <c r="W1432" s="96"/>
      <c r="X1432" s="96"/>
      <c r="Y1432" s="96"/>
      <c r="Z1432" s="96"/>
      <c r="AA1432" s="96"/>
      <c r="AB1432" s="96"/>
      <c r="AC1432" s="96"/>
      <c r="AD1432" s="70"/>
      <c r="AE1432" s="70"/>
      <c r="AF1432" s="70"/>
      <c r="AG1432" s="70"/>
      <c r="AH1432" s="70"/>
      <c r="AI1432" s="70"/>
      <c r="AJ1432" s="70"/>
      <c r="AK1432" s="70"/>
      <c r="AL1432" s="70"/>
      <c r="AM1432" s="70"/>
      <c r="AN1432" s="70"/>
      <c r="AO1432" s="70"/>
      <c r="AP1432" s="70"/>
      <c r="AQ1432" s="70"/>
      <c r="AR1432" s="70"/>
      <c r="AS1432" s="70"/>
      <c r="AT1432" s="70"/>
      <c r="AU1432" s="70"/>
      <c r="AV1432" s="70"/>
      <c r="AW1432" s="70"/>
      <c r="AX1432" s="70"/>
    </row>
    <row r="1433" ht="15.75" customHeight="1">
      <c r="A1433" s="140" t="s">
        <v>237</v>
      </c>
      <c r="B1433" s="191" t="s">
        <v>9428</v>
      </c>
      <c r="C1433" s="28" t="s">
        <v>9429</v>
      </c>
      <c r="D1433" s="28"/>
      <c r="E1433" s="28"/>
      <c r="F1433" s="28"/>
      <c r="G1433" s="28"/>
      <c r="H1433" s="28"/>
      <c r="I1433" s="28"/>
      <c r="J1433" s="28"/>
      <c r="K1433" s="28"/>
      <c r="L1433" s="28"/>
      <c r="M1433" s="28"/>
      <c r="N1433" s="28"/>
      <c r="O1433" s="139"/>
      <c r="P1433" s="139"/>
      <c r="Q1433" s="139"/>
      <c r="R1433" s="139"/>
      <c r="S1433" s="139"/>
      <c r="T1433" s="139"/>
      <c r="U1433" s="139"/>
      <c r="V1433" s="139"/>
      <c r="W1433" s="139"/>
      <c r="X1433" s="139"/>
      <c r="Y1433" s="139"/>
      <c r="Z1433" s="139"/>
      <c r="AA1433" s="139"/>
      <c r="AB1433" s="139"/>
      <c r="AC1433" s="139"/>
      <c r="AD1433" s="139"/>
      <c r="AE1433" s="139"/>
      <c r="AF1433" s="139"/>
      <c r="AG1433" s="139"/>
      <c r="AH1433" s="139"/>
      <c r="AI1433" s="139"/>
      <c r="AJ1433" s="139"/>
      <c r="AK1433" s="139"/>
      <c r="AL1433" s="139"/>
      <c r="AM1433" s="139"/>
      <c r="AN1433" s="139"/>
      <c r="AO1433" s="70"/>
      <c r="AP1433" s="70"/>
      <c r="AQ1433" s="70"/>
      <c r="AR1433" s="70"/>
      <c r="AS1433" s="70"/>
      <c r="AT1433" s="70"/>
      <c r="AU1433" s="70"/>
      <c r="AV1433" s="70"/>
      <c r="AW1433" s="70"/>
      <c r="AX1433" s="70"/>
    </row>
    <row r="1434" ht="15.75" customHeight="1">
      <c r="A1434" s="90" t="s">
        <v>134</v>
      </c>
      <c r="B1434" s="216" t="s">
        <v>9710</v>
      </c>
      <c r="C1434" s="28"/>
      <c r="D1434" s="28"/>
      <c r="E1434" s="28"/>
      <c r="F1434" s="28"/>
      <c r="G1434" s="28"/>
      <c r="H1434" s="28"/>
      <c r="I1434" s="28"/>
      <c r="J1434" s="28"/>
      <c r="K1434" s="28"/>
      <c r="L1434" s="28"/>
      <c r="M1434" s="28"/>
      <c r="N1434" s="28"/>
      <c r="O1434" s="96"/>
      <c r="P1434" s="96"/>
      <c r="Q1434" s="96"/>
      <c r="R1434" s="96"/>
      <c r="S1434" s="96"/>
      <c r="T1434" s="178" t="s">
        <v>139</v>
      </c>
      <c r="U1434" s="96"/>
      <c r="V1434" s="96"/>
      <c r="W1434" s="96"/>
      <c r="X1434" s="96"/>
      <c r="Y1434" s="96"/>
      <c r="Z1434" s="96"/>
      <c r="AA1434" s="96"/>
      <c r="AB1434" s="96"/>
      <c r="AC1434" s="96"/>
      <c r="AD1434" s="70"/>
      <c r="AE1434" s="70"/>
      <c r="AF1434" s="70"/>
      <c r="AG1434" s="70"/>
      <c r="AH1434" s="70"/>
      <c r="AI1434" s="70"/>
      <c r="AJ1434" s="70"/>
      <c r="AK1434" s="70"/>
      <c r="AL1434" s="70"/>
      <c r="AM1434" s="70"/>
      <c r="AN1434" s="70"/>
      <c r="AO1434" s="70"/>
      <c r="AP1434" s="70"/>
      <c r="AQ1434" s="70"/>
      <c r="AR1434" s="70"/>
      <c r="AS1434" s="70"/>
      <c r="AT1434" s="70"/>
      <c r="AU1434" s="70"/>
      <c r="AV1434" s="70"/>
      <c r="AW1434" s="70"/>
      <c r="AX1434" s="70"/>
    </row>
    <row r="1435" ht="15.75" customHeight="1">
      <c r="A1435" s="140" t="s">
        <v>131</v>
      </c>
      <c r="B1435" s="164" t="s">
        <v>9711</v>
      </c>
      <c r="C1435" s="28" t="s">
        <v>9712</v>
      </c>
      <c r="D1435" s="28" t="s">
        <v>9713</v>
      </c>
      <c r="E1435" s="28" t="s">
        <v>9714</v>
      </c>
      <c r="F1435" s="28"/>
      <c r="G1435" s="28"/>
      <c r="H1435" s="28"/>
      <c r="I1435" s="28"/>
      <c r="J1435" s="28" t="s">
        <v>931</v>
      </c>
      <c r="K1435" s="28"/>
      <c r="L1435" s="28"/>
      <c r="M1435" s="28"/>
      <c r="N1435" s="28"/>
      <c r="O1435" s="190"/>
      <c r="P1435" s="139"/>
      <c r="Q1435" s="139"/>
      <c r="R1435" s="139"/>
      <c r="S1435" s="139"/>
      <c r="T1435" s="139"/>
      <c r="U1435" s="139"/>
      <c r="V1435" s="139"/>
      <c r="W1435" s="139"/>
      <c r="X1435" s="139"/>
      <c r="Y1435" s="139"/>
      <c r="Z1435" s="139"/>
      <c r="AA1435" s="139"/>
      <c r="AB1435" s="139"/>
      <c r="AC1435" s="139"/>
      <c r="AD1435" s="70"/>
      <c r="AE1435" s="70"/>
      <c r="AF1435" s="70"/>
      <c r="AG1435" s="70"/>
      <c r="AH1435" s="70"/>
      <c r="AI1435" s="70"/>
      <c r="AJ1435" s="70"/>
      <c r="AK1435" s="70"/>
      <c r="AL1435" s="70"/>
      <c r="AM1435" s="70"/>
      <c r="AN1435" s="70"/>
      <c r="AO1435" s="70"/>
      <c r="AP1435" s="70"/>
      <c r="AQ1435" s="70"/>
      <c r="AR1435" s="70"/>
      <c r="AS1435" s="70"/>
      <c r="AT1435" s="70"/>
      <c r="AU1435" s="70"/>
      <c r="AV1435" s="70"/>
      <c r="AW1435" s="70"/>
      <c r="AX1435" s="70"/>
    </row>
    <row r="1436" ht="15.75" customHeight="1">
      <c r="A1436" s="68" t="s">
        <v>463</v>
      </c>
      <c r="B1436" s="169" t="s">
        <v>9715</v>
      </c>
      <c r="C1436" s="28" t="s">
        <v>9719</v>
      </c>
      <c r="D1436" s="28" t="s">
        <v>9720</v>
      </c>
      <c r="E1436" s="28" t="s">
        <v>9721</v>
      </c>
      <c r="F1436" s="28"/>
      <c r="G1436" s="28"/>
      <c r="H1436" s="28"/>
      <c r="I1436" s="28"/>
      <c r="J1436" s="28" t="s">
        <v>8</v>
      </c>
      <c r="K1436" s="28"/>
      <c r="L1436" s="28"/>
      <c r="M1436" s="28"/>
      <c r="N1436" s="28"/>
      <c r="O1436" s="67"/>
      <c r="P1436" s="67"/>
      <c r="Q1436" s="67"/>
      <c r="R1436" s="67"/>
      <c r="S1436" s="67"/>
      <c r="T1436" s="67"/>
      <c r="U1436" s="67"/>
      <c r="V1436" s="67"/>
      <c r="W1436" s="67"/>
      <c r="X1436" s="67"/>
      <c r="Y1436" s="67"/>
      <c r="Z1436" s="67"/>
      <c r="AA1436" s="67"/>
      <c r="AB1436" s="67"/>
      <c r="AC1436" s="67"/>
      <c r="AD1436" s="70"/>
      <c r="AE1436" s="70"/>
      <c r="AF1436" s="70"/>
      <c r="AG1436" s="70"/>
      <c r="AH1436" s="70"/>
      <c r="AI1436" s="70"/>
      <c r="AJ1436" s="70"/>
      <c r="AK1436" s="70"/>
      <c r="AL1436" s="67"/>
      <c r="AM1436" s="67"/>
      <c r="AN1436" s="67"/>
      <c r="AO1436" s="70"/>
      <c r="AP1436" s="70"/>
      <c r="AQ1436" s="70"/>
      <c r="AR1436" s="70"/>
      <c r="AS1436" s="70"/>
      <c r="AT1436" s="70"/>
      <c r="AU1436" s="70"/>
      <c r="AV1436" s="70"/>
      <c r="AW1436" s="70"/>
      <c r="AX1436" s="70"/>
    </row>
    <row r="1437" ht="15.75" customHeight="1">
      <c r="A1437" s="68" t="s">
        <v>463</v>
      </c>
      <c r="B1437" s="169" t="s">
        <v>9722</v>
      </c>
      <c r="C1437" s="28" t="s">
        <v>9726</v>
      </c>
      <c r="D1437" s="28" t="s">
        <v>9727</v>
      </c>
      <c r="E1437" s="28" t="s">
        <v>9728</v>
      </c>
      <c r="F1437" s="28"/>
      <c r="G1437" s="28"/>
      <c r="H1437" s="28"/>
      <c r="I1437" s="28"/>
      <c r="J1437" s="28" t="s">
        <v>958</v>
      </c>
      <c r="K1437" s="28"/>
      <c r="L1437" s="28"/>
      <c r="M1437" s="28"/>
      <c r="N1437" s="28"/>
      <c r="O1437" s="67"/>
      <c r="P1437" s="67"/>
      <c r="Q1437" s="67" t="s">
        <v>145</v>
      </c>
      <c r="R1437" s="67"/>
      <c r="S1437" s="67"/>
      <c r="T1437" s="67"/>
      <c r="U1437" s="67"/>
      <c r="V1437" s="67"/>
      <c r="W1437" s="67"/>
      <c r="X1437" s="67"/>
      <c r="Y1437" s="67"/>
      <c r="Z1437" s="67"/>
      <c r="AA1437" s="67"/>
      <c r="AB1437" s="67"/>
      <c r="AC1437" s="67"/>
      <c r="AD1437" s="70"/>
      <c r="AE1437" s="70"/>
      <c r="AF1437" s="70"/>
      <c r="AG1437" s="70"/>
      <c r="AH1437" s="70"/>
      <c r="AI1437" s="70"/>
      <c r="AJ1437" s="70"/>
      <c r="AK1437" s="70"/>
      <c r="AL1437" s="67"/>
      <c r="AM1437" s="67"/>
      <c r="AN1437" s="67"/>
      <c r="AO1437" s="70"/>
      <c r="AP1437" s="70"/>
      <c r="AQ1437" s="70"/>
      <c r="AR1437" s="70"/>
      <c r="AS1437" s="70"/>
      <c r="AT1437" s="70"/>
      <c r="AU1437" s="70"/>
      <c r="AV1437" s="70"/>
      <c r="AW1437" s="70"/>
      <c r="AX1437" s="70"/>
    </row>
    <row r="1438" ht="15.75" customHeight="1">
      <c r="A1438" s="68" t="s">
        <v>463</v>
      </c>
      <c r="B1438" s="169" t="s">
        <v>9729</v>
      </c>
      <c r="C1438" s="28" t="s">
        <v>9733</v>
      </c>
      <c r="D1438" s="28" t="s">
        <v>9734</v>
      </c>
      <c r="E1438" s="28" t="s">
        <v>9735</v>
      </c>
      <c r="F1438" s="28"/>
      <c r="G1438" s="28"/>
      <c r="H1438" s="28"/>
      <c r="I1438" s="28"/>
      <c r="J1438" s="28" t="s">
        <v>958</v>
      </c>
      <c r="K1438" s="28"/>
      <c r="L1438" s="28"/>
      <c r="M1438" s="28"/>
      <c r="N1438" s="28"/>
      <c r="O1438" s="67"/>
      <c r="P1438" s="67"/>
      <c r="Q1438" s="67" t="s">
        <v>145</v>
      </c>
      <c r="R1438" s="67"/>
      <c r="S1438" s="67"/>
      <c r="T1438" s="67"/>
      <c r="U1438" s="67"/>
      <c r="V1438" s="67"/>
      <c r="W1438" s="67"/>
      <c r="X1438" s="67"/>
      <c r="Y1438" s="67"/>
      <c r="Z1438" s="67"/>
      <c r="AA1438" s="67"/>
      <c r="AB1438" s="67"/>
      <c r="AC1438" s="67"/>
      <c r="AD1438" s="70"/>
      <c r="AE1438" s="70"/>
      <c r="AF1438" s="70"/>
      <c r="AG1438" s="70"/>
      <c r="AH1438" s="70"/>
      <c r="AI1438" s="70"/>
      <c r="AJ1438" s="70"/>
      <c r="AK1438" s="70"/>
      <c r="AL1438" s="67"/>
      <c r="AM1438" s="67"/>
      <c r="AN1438" s="67"/>
      <c r="AO1438" s="70"/>
      <c r="AP1438" s="70"/>
      <c r="AQ1438" s="70"/>
      <c r="AR1438" s="70"/>
      <c r="AS1438" s="70"/>
      <c r="AT1438" s="70"/>
      <c r="AU1438" s="70"/>
      <c r="AV1438" s="70"/>
      <c r="AW1438" s="70"/>
      <c r="AX1438" s="70"/>
    </row>
    <row r="1439" ht="15.75" customHeight="1">
      <c r="A1439" s="68" t="s">
        <v>463</v>
      </c>
      <c r="B1439" s="169" t="s">
        <v>9736</v>
      </c>
      <c r="C1439" s="28" t="s">
        <v>9740</v>
      </c>
      <c r="D1439" s="28" t="s">
        <v>9741</v>
      </c>
      <c r="E1439" s="28" t="s">
        <v>9742</v>
      </c>
      <c r="F1439" s="28"/>
      <c r="G1439" s="28"/>
      <c r="H1439" s="28"/>
      <c r="I1439" s="28"/>
      <c r="J1439" s="28" t="s">
        <v>958</v>
      </c>
      <c r="K1439" s="28"/>
      <c r="L1439" s="28"/>
      <c r="M1439" s="28"/>
      <c r="N1439" s="28"/>
      <c r="O1439" s="67"/>
      <c r="P1439" s="67"/>
      <c r="Q1439" s="67" t="s">
        <v>145</v>
      </c>
      <c r="R1439" s="67"/>
      <c r="S1439" s="67"/>
      <c r="T1439" s="67"/>
      <c r="U1439" s="67"/>
      <c r="V1439" s="67"/>
      <c r="W1439" s="67"/>
      <c r="X1439" s="67"/>
      <c r="Y1439" s="67"/>
      <c r="Z1439" s="67"/>
      <c r="AA1439" s="67"/>
      <c r="AB1439" s="67"/>
      <c r="AC1439" s="67"/>
      <c r="AD1439" s="70"/>
      <c r="AE1439" s="70"/>
      <c r="AF1439" s="70"/>
      <c r="AG1439" s="70"/>
      <c r="AH1439" s="70"/>
      <c r="AI1439" s="70"/>
      <c r="AJ1439" s="70"/>
      <c r="AK1439" s="70"/>
      <c r="AL1439" s="67"/>
      <c r="AM1439" s="67"/>
      <c r="AN1439" s="67"/>
      <c r="AO1439" s="70"/>
      <c r="AP1439" s="70"/>
      <c r="AQ1439" s="70"/>
      <c r="AR1439" s="70"/>
      <c r="AS1439" s="70"/>
      <c r="AT1439" s="70"/>
      <c r="AU1439" s="70"/>
      <c r="AV1439" s="70"/>
      <c r="AW1439" s="70"/>
      <c r="AX1439" s="70"/>
    </row>
    <row r="1440" ht="15.75" customHeight="1">
      <c r="A1440" s="68" t="s">
        <v>463</v>
      </c>
      <c r="B1440" s="169" t="s">
        <v>9743</v>
      </c>
      <c r="C1440" s="28" t="s">
        <v>9747</v>
      </c>
      <c r="D1440" s="28" t="s">
        <v>9748</v>
      </c>
      <c r="E1440" s="28" t="s">
        <v>9749</v>
      </c>
      <c r="F1440" s="28"/>
      <c r="G1440" s="28"/>
      <c r="H1440" s="28"/>
      <c r="I1440" s="28"/>
      <c r="J1440" s="28" t="s">
        <v>958</v>
      </c>
      <c r="K1440" s="28"/>
      <c r="L1440" s="28"/>
      <c r="M1440" s="28"/>
      <c r="N1440" s="28"/>
      <c r="O1440" s="67"/>
      <c r="P1440" s="67"/>
      <c r="Q1440" s="67" t="s">
        <v>145</v>
      </c>
      <c r="R1440" s="67"/>
      <c r="S1440" s="67"/>
      <c r="T1440" s="67"/>
      <c r="U1440" s="67"/>
      <c r="V1440" s="67"/>
      <c r="W1440" s="67"/>
      <c r="X1440" s="67"/>
      <c r="Y1440" s="67"/>
      <c r="Z1440" s="67"/>
      <c r="AA1440" s="67"/>
      <c r="AB1440" s="67"/>
      <c r="AC1440" s="67"/>
      <c r="AD1440" s="70"/>
      <c r="AE1440" s="70"/>
      <c r="AF1440" s="70"/>
      <c r="AG1440" s="70"/>
      <c r="AH1440" s="70"/>
      <c r="AI1440" s="70"/>
      <c r="AJ1440" s="70"/>
      <c r="AK1440" s="70"/>
      <c r="AL1440" s="67"/>
      <c r="AM1440" s="67"/>
      <c r="AN1440" s="67"/>
      <c r="AO1440" s="70"/>
      <c r="AP1440" s="70"/>
      <c r="AQ1440" s="70"/>
      <c r="AR1440" s="70"/>
      <c r="AS1440" s="70"/>
      <c r="AT1440" s="70"/>
      <c r="AU1440" s="70"/>
      <c r="AV1440" s="70"/>
      <c r="AW1440" s="70"/>
      <c r="AX1440" s="70"/>
    </row>
    <row r="1441" ht="15.75" customHeight="1">
      <c r="A1441" s="68" t="s">
        <v>463</v>
      </c>
      <c r="B1441" s="169" t="s">
        <v>9750</v>
      </c>
      <c r="C1441" s="28" t="s">
        <v>9754</v>
      </c>
      <c r="D1441" s="28" t="s">
        <v>9755</v>
      </c>
      <c r="E1441" s="28" t="s">
        <v>9756</v>
      </c>
      <c r="F1441" s="28"/>
      <c r="G1441" s="28"/>
      <c r="H1441" s="28"/>
      <c r="I1441" s="28"/>
      <c r="J1441" s="28" t="s">
        <v>958</v>
      </c>
      <c r="K1441" s="28"/>
      <c r="L1441" s="28"/>
      <c r="M1441" s="28"/>
      <c r="N1441" s="28"/>
      <c r="O1441" s="67"/>
      <c r="P1441" s="67"/>
      <c r="Q1441" s="67" t="s">
        <v>145</v>
      </c>
      <c r="R1441" s="67"/>
      <c r="S1441" s="67"/>
      <c r="T1441" s="67"/>
      <c r="U1441" s="67"/>
      <c r="V1441" s="67"/>
      <c r="W1441" s="67"/>
      <c r="X1441" s="67"/>
      <c r="Y1441" s="67"/>
      <c r="Z1441" s="67"/>
      <c r="AA1441" s="67"/>
      <c r="AB1441" s="67"/>
      <c r="AC1441" s="67"/>
      <c r="AD1441" s="70"/>
      <c r="AE1441" s="70"/>
      <c r="AF1441" s="70"/>
      <c r="AG1441" s="70"/>
      <c r="AH1441" s="70"/>
      <c r="AI1441" s="70"/>
      <c r="AJ1441" s="70"/>
      <c r="AK1441" s="70"/>
      <c r="AL1441" s="67"/>
      <c r="AM1441" s="67"/>
      <c r="AN1441" s="67"/>
      <c r="AO1441" s="70"/>
      <c r="AP1441" s="70"/>
      <c r="AQ1441" s="70"/>
      <c r="AR1441" s="70"/>
      <c r="AS1441" s="70"/>
      <c r="AT1441" s="70"/>
      <c r="AU1441" s="70"/>
      <c r="AV1441" s="70"/>
      <c r="AW1441" s="70"/>
      <c r="AX1441" s="70"/>
    </row>
    <row r="1442" ht="15.75" customHeight="1">
      <c r="A1442" s="140" t="s">
        <v>237</v>
      </c>
      <c r="B1442" s="191" t="s">
        <v>9711</v>
      </c>
      <c r="C1442" s="28" t="s">
        <v>9712</v>
      </c>
      <c r="D1442" s="28" t="s">
        <v>9713</v>
      </c>
      <c r="E1442" s="28" t="s">
        <v>9714</v>
      </c>
      <c r="F1442" s="28"/>
      <c r="G1442" s="28"/>
      <c r="H1442" s="28"/>
      <c r="I1442" s="28"/>
      <c r="J1442" s="28"/>
      <c r="K1442" s="28"/>
      <c r="L1442" s="28"/>
      <c r="M1442" s="28"/>
      <c r="N1442" s="28"/>
      <c r="O1442" s="139"/>
      <c r="P1442" s="139"/>
      <c r="Q1442" s="139"/>
      <c r="R1442" s="139"/>
      <c r="S1442" s="139"/>
      <c r="T1442" s="139"/>
      <c r="U1442" s="139"/>
      <c r="V1442" s="139"/>
      <c r="W1442" s="139"/>
      <c r="X1442" s="139"/>
      <c r="Y1442" s="139"/>
      <c r="Z1442" s="139"/>
      <c r="AA1442" s="139"/>
      <c r="AB1442" s="139"/>
      <c r="AC1442" s="139"/>
      <c r="AD1442" s="70"/>
      <c r="AE1442" s="70"/>
      <c r="AF1442" s="70"/>
      <c r="AG1442" s="70"/>
      <c r="AH1442" s="70"/>
      <c r="AI1442" s="70"/>
      <c r="AJ1442" s="70"/>
      <c r="AK1442" s="70"/>
      <c r="AL1442" s="67"/>
      <c r="AM1442" s="67"/>
      <c r="AN1442" s="67"/>
      <c r="AO1442" s="70"/>
      <c r="AP1442" s="70"/>
      <c r="AQ1442" s="70"/>
      <c r="AR1442" s="70"/>
      <c r="AS1442" s="70"/>
      <c r="AT1442" s="70"/>
      <c r="AU1442" s="70"/>
      <c r="AV1442" s="70"/>
      <c r="AW1442" s="70"/>
      <c r="AX1442" s="70"/>
    </row>
    <row r="1443" ht="15.75" customHeight="1">
      <c r="A1443" s="179" t="s">
        <v>246</v>
      </c>
      <c r="B1443" s="180" t="s">
        <v>9757</v>
      </c>
      <c r="C1443" s="28" t="s">
        <v>9761</v>
      </c>
      <c r="D1443" s="28" t="s">
        <v>9762</v>
      </c>
      <c r="E1443" s="28" t="s">
        <v>9763</v>
      </c>
      <c r="F1443" s="28"/>
      <c r="G1443" s="28"/>
      <c r="H1443" s="28"/>
      <c r="I1443" s="28"/>
      <c r="J1443" s="28"/>
      <c r="K1443" s="28"/>
      <c r="L1443" s="28"/>
      <c r="M1443" s="28"/>
      <c r="N1443" s="28"/>
      <c r="O1443" s="181" t="s">
        <v>10878</v>
      </c>
      <c r="P1443" s="181"/>
      <c r="Q1443" s="181" t="s">
        <v>145</v>
      </c>
      <c r="R1443" s="181"/>
      <c r="S1443" s="181"/>
      <c r="T1443" s="181"/>
      <c r="U1443" s="181"/>
      <c r="V1443" s="181"/>
      <c r="W1443" s="181"/>
      <c r="X1443" s="181"/>
      <c r="Y1443" s="181"/>
      <c r="Z1443" s="181"/>
      <c r="AA1443" s="181"/>
      <c r="AB1443" s="181"/>
      <c r="AC1443" s="181"/>
      <c r="AD1443" s="70"/>
      <c r="AE1443" s="70"/>
      <c r="AF1443" s="70"/>
      <c r="AG1443" s="70"/>
      <c r="AH1443" s="70"/>
      <c r="AI1443" s="70"/>
      <c r="AJ1443" s="70"/>
      <c r="AK1443" s="70"/>
      <c r="AL1443" s="67"/>
      <c r="AM1443" s="67"/>
      <c r="AN1443" s="67"/>
      <c r="AO1443" s="70"/>
      <c r="AP1443" s="70"/>
      <c r="AQ1443" s="70"/>
      <c r="AR1443" s="70"/>
      <c r="AS1443" s="70"/>
      <c r="AT1443" s="70"/>
      <c r="AU1443" s="70"/>
      <c r="AV1443" s="70"/>
      <c r="AW1443" s="70"/>
      <c r="AX1443" s="70"/>
    </row>
    <row r="1444" ht="15.75" customHeight="1">
      <c r="A1444" s="170" t="s">
        <v>263</v>
      </c>
      <c r="B1444" s="171" t="s">
        <v>9764</v>
      </c>
      <c r="C1444" s="28" t="s">
        <v>9769</v>
      </c>
      <c r="D1444" s="28" t="s">
        <v>9770</v>
      </c>
      <c r="E1444" s="28" t="s">
        <v>9771</v>
      </c>
      <c r="F1444" s="28"/>
      <c r="G1444" s="28"/>
      <c r="H1444" s="28"/>
      <c r="I1444" s="28"/>
      <c r="J1444" s="28"/>
      <c r="K1444" s="28"/>
      <c r="L1444" s="28"/>
      <c r="M1444" s="28"/>
      <c r="N1444" s="28"/>
      <c r="O1444" s="173" t="s">
        <v>10879</v>
      </c>
      <c r="P1444" s="173"/>
      <c r="Q1444" s="173" t="s">
        <v>145</v>
      </c>
      <c r="R1444" s="173"/>
      <c r="S1444" s="173"/>
      <c r="T1444" s="173"/>
      <c r="U1444" s="173"/>
      <c r="V1444" s="173"/>
      <c r="W1444" s="173"/>
      <c r="X1444" s="173"/>
      <c r="Y1444" s="173"/>
      <c r="Z1444" s="173"/>
      <c r="AA1444" s="173"/>
      <c r="AB1444" s="173"/>
      <c r="AC1444" s="173"/>
      <c r="AD1444" s="70"/>
      <c r="AE1444" s="70"/>
      <c r="AF1444" s="70"/>
      <c r="AG1444" s="70"/>
      <c r="AH1444" s="70"/>
      <c r="AI1444" s="70"/>
      <c r="AJ1444" s="70"/>
      <c r="AK1444" s="70"/>
      <c r="AL1444" s="67"/>
      <c r="AM1444" s="67"/>
      <c r="AN1444" s="67"/>
      <c r="AO1444" s="70"/>
      <c r="AP1444" s="70"/>
      <c r="AQ1444" s="70"/>
      <c r="AR1444" s="70"/>
      <c r="AS1444" s="70"/>
      <c r="AT1444" s="70"/>
      <c r="AU1444" s="70"/>
      <c r="AV1444" s="70"/>
      <c r="AW1444" s="70"/>
      <c r="AX1444" s="70"/>
    </row>
    <row r="1445" ht="15.75" customHeight="1">
      <c r="A1445" s="68" t="s">
        <v>463</v>
      </c>
      <c r="B1445" s="169" t="s">
        <v>9772</v>
      </c>
      <c r="C1445" s="28" t="s">
        <v>9776</v>
      </c>
      <c r="D1445" s="28" t="s">
        <v>9777</v>
      </c>
      <c r="E1445" s="28" t="s">
        <v>9778</v>
      </c>
      <c r="F1445" s="28"/>
      <c r="G1445" s="28"/>
      <c r="H1445" s="28"/>
      <c r="I1445" s="28"/>
      <c r="J1445" s="28"/>
      <c r="K1445" s="28"/>
      <c r="L1445" s="28"/>
      <c r="M1445" s="28"/>
      <c r="N1445" s="28"/>
      <c r="O1445" s="67" t="s">
        <v>10831</v>
      </c>
      <c r="P1445" s="67"/>
      <c r="Q1445" s="67" t="s">
        <v>145</v>
      </c>
      <c r="R1445" s="67"/>
      <c r="S1445" s="67"/>
      <c r="T1445" s="67"/>
      <c r="U1445" s="67"/>
      <c r="V1445" s="67"/>
      <c r="W1445" s="67"/>
      <c r="X1445" s="67"/>
      <c r="Y1445" s="67"/>
      <c r="Z1445" s="67"/>
      <c r="AA1445" s="67"/>
      <c r="AB1445" s="67"/>
      <c r="AC1445" s="67"/>
      <c r="AD1445" s="70"/>
      <c r="AE1445" s="70"/>
      <c r="AF1445" s="70"/>
      <c r="AG1445" s="70"/>
      <c r="AH1445" s="70"/>
      <c r="AI1445" s="70"/>
      <c r="AJ1445" s="70"/>
      <c r="AK1445" s="70"/>
      <c r="AL1445" s="67"/>
      <c r="AM1445" s="67"/>
      <c r="AN1445" s="67"/>
      <c r="AO1445" s="70"/>
      <c r="AP1445" s="70"/>
      <c r="AQ1445" s="70"/>
      <c r="AR1445" s="70"/>
      <c r="AS1445" s="70"/>
      <c r="AT1445" s="70"/>
      <c r="AU1445" s="70"/>
      <c r="AV1445" s="70"/>
      <c r="AW1445" s="70"/>
      <c r="AX1445" s="70"/>
    </row>
    <row r="1446" ht="15.75" customHeight="1">
      <c r="A1446" s="179" t="s">
        <v>246</v>
      </c>
      <c r="B1446" s="180" t="s">
        <v>9779</v>
      </c>
      <c r="C1446" s="28" t="s">
        <v>9785</v>
      </c>
      <c r="D1446" s="28" t="s">
        <v>9786</v>
      </c>
      <c r="E1446" s="28" t="s">
        <v>9787</v>
      </c>
      <c r="F1446" s="28"/>
      <c r="G1446" s="28"/>
      <c r="H1446" s="28"/>
      <c r="I1446" s="28"/>
      <c r="J1446" s="28"/>
      <c r="K1446" s="28"/>
      <c r="L1446" s="28"/>
      <c r="M1446" s="28"/>
      <c r="N1446" s="28"/>
      <c r="O1446" s="181" t="s">
        <v>10880</v>
      </c>
      <c r="P1446" s="181"/>
      <c r="Q1446" s="181" t="s">
        <v>145</v>
      </c>
      <c r="R1446" s="181"/>
      <c r="S1446" s="181"/>
      <c r="T1446" s="181"/>
      <c r="U1446" s="181"/>
      <c r="V1446" s="181"/>
      <c r="W1446" s="181"/>
      <c r="X1446" s="181"/>
      <c r="Y1446" s="181"/>
      <c r="Z1446" s="181"/>
      <c r="AA1446" s="181"/>
      <c r="AB1446" s="181"/>
      <c r="AC1446" s="181"/>
      <c r="AD1446" s="70"/>
      <c r="AE1446" s="70"/>
      <c r="AF1446" s="70"/>
      <c r="AG1446" s="70"/>
      <c r="AH1446" s="70"/>
      <c r="AI1446" s="70"/>
      <c r="AJ1446" s="70"/>
      <c r="AK1446" s="70"/>
      <c r="AL1446" s="67"/>
      <c r="AM1446" s="67"/>
      <c r="AN1446" s="67"/>
      <c r="AO1446" s="70"/>
      <c r="AP1446" s="70"/>
      <c r="AQ1446" s="70"/>
      <c r="AR1446" s="70"/>
      <c r="AS1446" s="70"/>
      <c r="AT1446" s="70"/>
      <c r="AU1446" s="70"/>
      <c r="AV1446" s="70"/>
      <c r="AW1446" s="70"/>
      <c r="AX1446" s="70"/>
    </row>
    <row r="1447" ht="15.75" customHeight="1">
      <c r="A1447" s="68" t="s">
        <v>463</v>
      </c>
      <c r="B1447" s="169" t="s">
        <v>9788</v>
      </c>
      <c r="C1447" s="28" t="s">
        <v>9792</v>
      </c>
      <c r="D1447" s="28" t="s">
        <v>9793</v>
      </c>
      <c r="E1447" s="28" t="s">
        <v>9794</v>
      </c>
      <c r="F1447" s="28"/>
      <c r="G1447" s="28"/>
      <c r="H1447" s="28"/>
      <c r="I1447" s="28"/>
      <c r="J1447" s="28"/>
      <c r="K1447" s="28"/>
      <c r="L1447" s="28"/>
      <c r="M1447" s="28"/>
      <c r="N1447" s="28"/>
      <c r="O1447" s="67"/>
      <c r="P1447" s="67"/>
      <c r="Q1447" s="67" t="s">
        <v>145</v>
      </c>
      <c r="R1447" s="67"/>
      <c r="S1447" s="67"/>
      <c r="T1447" s="67"/>
      <c r="U1447" s="67"/>
      <c r="V1447" s="67"/>
      <c r="W1447" s="67"/>
      <c r="X1447" s="67"/>
      <c r="Y1447" s="67"/>
      <c r="Z1447" s="67"/>
      <c r="AA1447" s="67"/>
      <c r="AB1447" s="67"/>
      <c r="AC1447" s="67"/>
      <c r="AD1447" s="70"/>
      <c r="AE1447" s="70"/>
      <c r="AF1447" s="70"/>
      <c r="AG1447" s="70"/>
      <c r="AH1447" s="70"/>
      <c r="AI1447" s="70"/>
      <c r="AJ1447" s="70"/>
      <c r="AK1447" s="70"/>
      <c r="AL1447" s="67"/>
      <c r="AM1447" s="67"/>
      <c r="AN1447" s="67"/>
      <c r="AO1447" s="70"/>
      <c r="AP1447" s="70"/>
      <c r="AQ1447" s="70"/>
      <c r="AR1447" s="70"/>
      <c r="AS1447" s="70"/>
      <c r="AT1447" s="70"/>
      <c r="AU1447" s="70"/>
      <c r="AV1447" s="70"/>
      <c r="AW1447" s="70"/>
      <c r="AX1447" s="70"/>
    </row>
    <row r="1448" ht="15.75" customHeight="1">
      <c r="A1448" s="179" t="s">
        <v>246</v>
      </c>
      <c r="B1448" s="180" t="s">
        <v>9795</v>
      </c>
      <c r="C1448" s="28" t="s">
        <v>9799</v>
      </c>
      <c r="D1448" s="28" t="s">
        <v>9800</v>
      </c>
      <c r="E1448" s="28" t="s">
        <v>9801</v>
      </c>
      <c r="F1448" s="28"/>
      <c r="G1448" s="28"/>
      <c r="H1448" s="28"/>
      <c r="I1448" s="28"/>
      <c r="J1448" s="28"/>
      <c r="K1448" s="28"/>
      <c r="L1448" s="28"/>
      <c r="M1448" s="28"/>
      <c r="N1448" s="28"/>
      <c r="O1448" s="181" t="s">
        <v>10881</v>
      </c>
      <c r="P1448" s="181"/>
      <c r="Q1448" s="181" t="s">
        <v>145</v>
      </c>
      <c r="R1448" s="181"/>
      <c r="S1448" s="181"/>
      <c r="T1448" s="181"/>
      <c r="U1448" s="181"/>
      <c r="V1448" s="181"/>
      <c r="W1448" s="181"/>
      <c r="X1448" s="181"/>
      <c r="Y1448" s="181"/>
      <c r="Z1448" s="181"/>
      <c r="AA1448" s="181"/>
      <c r="AB1448" s="181"/>
      <c r="AC1448" s="181"/>
      <c r="AD1448" s="70"/>
      <c r="AE1448" s="70"/>
      <c r="AF1448" s="70"/>
      <c r="AG1448" s="70"/>
      <c r="AH1448" s="70"/>
      <c r="AI1448" s="70"/>
      <c r="AJ1448" s="70"/>
      <c r="AK1448" s="70"/>
      <c r="AL1448" s="67"/>
      <c r="AM1448" s="67"/>
      <c r="AN1448" s="67"/>
      <c r="AO1448" s="70"/>
      <c r="AP1448" s="70"/>
      <c r="AQ1448" s="70"/>
      <c r="AR1448" s="70"/>
      <c r="AS1448" s="70"/>
      <c r="AT1448" s="70"/>
      <c r="AU1448" s="70"/>
      <c r="AV1448" s="70"/>
      <c r="AW1448" s="70"/>
      <c r="AX1448" s="70"/>
    </row>
    <row r="1449" ht="15.75" customHeight="1">
      <c r="A1449" s="90" t="s">
        <v>134</v>
      </c>
      <c r="B1449" s="92" t="s">
        <v>9802</v>
      </c>
      <c r="C1449" s="28"/>
      <c r="D1449" s="28"/>
      <c r="E1449" s="28"/>
      <c r="F1449" s="28"/>
      <c r="G1449" s="28"/>
      <c r="H1449" s="28"/>
      <c r="I1449" s="28"/>
      <c r="J1449" s="28"/>
      <c r="K1449" s="28"/>
      <c r="L1449" s="28"/>
      <c r="M1449" s="28"/>
      <c r="N1449" s="28"/>
      <c r="O1449" s="96"/>
      <c r="P1449" s="96"/>
      <c r="Q1449" s="96"/>
      <c r="R1449" s="96"/>
      <c r="S1449" s="96"/>
      <c r="T1449" s="178" t="s">
        <v>139</v>
      </c>
      <c r="U1449" s="96"/>
      <c r="V1449" s="96"/>
      <c r="W1449" s="96"/>
      <c r="X1449" s="96"/>
      <c r="Y1449" s="96"/>
      <c r="Z1449" s="96"/>
      <c r="AA1449" s="96"/>
      <c r="AB1449" s="96"/>
      <c r="AC1449" s="96"/>
      <c r="AD1449" s="70"/>
      <c r="AE1449" s="70"/>
      <c r="AF1449" s="70"/>
      <c r="AG1449" s="70"/>
      <c r="AH1449" s="70"/>
      <c r="AI1449" s="70"/>
      <c r="AJ1449" s="70"/>
      <c r="AK1449" s="70"/>
      <c r="AL1449" s="70"/>
      <c r="AM1449" s="70"/>
      <c r="AN1449" s="70"/>
      <c r="AO1449" s="70"/>
      <c r="AP1449" s="70"/>
      <c r="AQ1449" s="70"/>
      <c r="AR1449" s="70"/>
      <c r="AS1449" s="70"/>
      <c r="AT1449" s="70"/>
      <c r="AU1449" s="70"/>
      <c r="AV1449" s="70"/>
      <c r="AW1449" s="70"/>
      <c r="AX1449" s="70"/>
    </row>
    <row r="1450" ht="15.75" customHeight="1">
      <c r="A1450" s="90" t="s">
        <v>78</v>
      </c>
      <c r="B1450" s="92" t="s">
        <v>9803</v>
      </c>
      <c r="C1450" s="28"/>
      <c r="D1450" s="28"/>
      <c r="E1450" s="28"/>
      <c r="F1450" s="28"/>
      <c r="G1450" s="28"/>
      <c r="H1450" s="28"/>
      <c r="I1450" s="28"/>
      <c r="J1450" s="28"/>
      <c r="K1450" s="28"/>
      <c r="L1450" s="28"/>
      <c r="M1450" s="28"/>
      <c r="N1450" s="28"/>
      <c r="O1450" s="96"/>
      <c r="P1450" s="96"/>
      <c r="Q1450" s="96"/>
      <c r="R1450" s="96"/>
      <c r="S1450" s="96"/>
      <c r="T1450" s="119" t="s">
        <v>10882</v>
      </c>
      <c r="U1450" s="96"/>
      <c r="V1450" s="96"/>
      <c r="W1450" s="96"/>
      <c r="X1450" s="96"/>
      <c r="Y1450" s="96"/>
      <c r="Z1450" s="96"/>
      <c r="AA1450" s="96"/>
      <c r="AB1450" s="96"/>
      <c r="AC1450" s="96"/>
      <c r="AD1450" s="70"/>
      <c r="AE1450" s="70"/>
      <c r="AF1450" s="70"/>
      <c r="AG1450" s="70"/>
      <c r="AH1450" s="70"/>
      <c r="AI1450" s="70"/>
      <c r="AJ1450" s="70"/>
      <c r="AK1450" s="70"/>
      <c r="AL1450" s="70"/>
      <c r="AM1450" s="70"/>
      <c r="AN1450" s="70"/>
      <c r="AO1450" s="70"/>
      <c r="AP1450" s="70"/>
      <c r="AQ1450" s="70"/>
      <c r="AR1450" s="70"/>
      <c r="AS1450" s="70"/>
      <c r="AT1450" s="70"/>
      <c r="AU1450" s="70"/>
      <c r="AV1450" s="70"/>
      <c r="AW1450" s="70"/>
      <c r="AX1450" s="70"/>
    </row>
    <row r="1451" ht="15.75" customHeight="1">
      <c r="A1451" s="90" t="s">
        <v>134</v>
      </c>
      <c r="B1451" s="92" t="s">
        <v>9804</v>
      </c>
      <c r="C1451" s="28"/>
      <c r="D1451" s="28"/>
      <c r="E1451" s="28"/>
      <c r="F1451" s="28"/>
      <c r="G1451" s="28"/>
      <c r="H1451" s="28"/>
      <c r="I1451" s="28"/>
      <c r="J1451" s="28"/>
      <c r="K1451" s="28"/>
      <c r="L1451" s="28"/>
      <c r="M1451" s="28"/>
      <c r="N1451" s="28"/>
      <c r="O1451" s="96"/>
      <c r="P1451" s="96"/>
      <c r="Q1451" s="96"/>
      <c r="R1451" s="96"/>
      <c r="S1451" s="96"/>
      <c r="T1451" s="178" t="s">
        <v>139</v>
      </c>
      <c r="U1451" s="96"/>
      <c r="V1451" s="96"/>
      <c r="W1451" s="96"/>
      <c r="X1451" s="96"/>
      <c r="Y1451" s="96"/>
      <c r="Z1451" s="96"/>
      <c r="AA1451" s="96"/>
      <c r="AB1451" s="96"/>
      <c r="AC1451" s="96"/>
      <c r="AD1451" s="70"/>
      <c r="AE1451" s="70"/>
      <c r="AF1451" s="70"/>
      <c r="AG1451" s="70"/>
      <c r="AH1451" s="70"/>
      <c r="AI1451" s="70"/>
      <c r="AJ1451" s="70"/>
      <c r="AK1451" s="70"/>
      <c r="AL1451" s="70"/>
      <c r="AM1451" s="70"/>
      <c r="AN1451" s="70"/>
      <c r="AO1451" s="70"/>
      <c r="AP1451" s="70"/>
      <c r="AQ1451" s="70"/>
      <c r="AR1451" s="70"/>
      <c r="AS1451" s="70"/>
      <c r="AT1451" s="70"/>
      <c r="AU1451" s="70"/>
      <c r="AV1451" s="70"/>
      <c r="AW1451" s="70"/>
      <c r="AX1451" s="70"/>
    </row>
    <row r="1452" ht="15.75" customHeight="1">
      <c r="A1452" s="166" t="s">
        <v>41</v>
      </c>
      <c r="B1452" s="167" t="s">
        <v>9805</v>
      </c>
      <c r="C1452" s="28" t="s">
        <v>9809</v>
      </c>
      <c r="D1452" s="28" t="s">
        <v>9810</v>
      </c>
      <c r="E1452" s="28" t="s">
        <v>9811</v>
      </c>
      <c r="F1452" s="28"/>
      <c r="G1452" s="28"/>
      <c r="H1452" s="28"/>
      <c r="I1452" s="28"/>
      <c r="J1452" s="28"/>
      <c r="K1452" s="28"/>
      <c r="L1452" s="28"/>
      <c r="M1452" s="28"/>
      <c r="N1452" s="28"/>
      <c r="O1452" s="126"/>
      <c r="P1452" s="126"/>
      <c r="Q1452" s="126"/>
      <c r="R1452" s="126"/>
      <c r="S1452" s="126"/>
      <c r="T1452" s="126"/>
      <c r="U1452" s="126"/>
      <c r="V1452" s="126"/>
      <c r="W1452" s="126"/>
      <c r="X1452" s="126"/>
      <c r="Y1452" s="126"/>
      <c r="Z1452" s="126"/>
      <c r="AA1452" s="126"/>
      <c r="AB1452" s="126"/>
      <c r="AC1452" s="126"/>
      <c r="AD1452" s="70"/>
      <c r="AE1452" s="70"/>
      <c r="AF1452" s="70"/>
      <c r="AG1452" s="70"/>
      <c r="AH1452" s="70"/>
      <c r="AI1452" s="70"/>
      <c r="AJ1452" s="70"/>
      <c r="AK1452" s="70"/>
      <c r="AL1452" s="67"/>
      <c r="AM1452" s="67"/>
      <c r="AN1452" s="67"/>
      <c r="AO1452" s="70"/>
      <c r="AP1452" s="70"/>
      <c r="AQ1452" s="70"/>
      <c r="AR1452" s="70"/>
      <c r="AS1452" s="70"/>
      <c r="AT1452" s="70"/>
      <c r="AU1452" s="70"/>
      <c r="AV1452" s="70"/>
      <c r="AW1452" s="70"/>
      <c r="AX1452" s="70"/>
    </row>
    <row r="1453" ht="15.75" customHeight="1">
      <c r="A1453" s="68" t="s">
        <v>5581</v>
      </c>
      <c r="B1453" s="169" t="s">
        <v>9812</v>
      </c>
      <c r="C1453" s="28" t="s">
        <v>9816</v>
      </c>
      <c r="D1453" s="28" t="s">
        <v>9817</v>
      </c>
      <c r="E1453" s="28" t="s">
        <v>9818</v>
      </c>
      <c r="F1453" s="28"/>
      <c r="G1453" s="28"/>
      <c r="H1453" s="28"/>
      <c r="I1453" s="28"/>
      <c r="J1453" s="28"/>
      <c r="K1453" s="28" t="s">
        <v>10536</v>
      </c>
      <c r="L1453" s="28"/>
      <c r="M1453" s="28"/>
      <c r="N1453" s="28"/>
      <c r="O1453" s="67"/>
      <c r="P1453" s="67"/>
      <c r="Q1453" s="67" t="s">
        <v>145</v>
      </c>
      <c r="R1453" s="67"/>
      <c r="S1453" s="67"/>
      <c r="T1453" s="67"/>
      <c r="U1453" s="67"/>
      <c r="V1453" s="67"/>
      <c r="W1453" s="67"/>
      <c r="X1453" s="67"/>
      <c r="Y1453" s="67"/>
      <c r="Z1453" s="67"/>
      <c r="AA1453" s="67"/>
      <c r="AB1453" s="67"/>
      <c r="AC1453" s="67"/>
      <c r="AD1453" s="70"/>
      <c r="AE1453" s="70"/>
      <c r="AF1453" s="70"/>
      <c r="AG1453" s="70"/>
      <c r="AH1453" s="70"/>
      <c r="AI1453" s="70"/>
      <c r="AJ1453" s="70"/>
      <c r="AK1453" s="70"/>
      <c r="AL1453" s="67"/>
      <c r="AM1453" s="67"/>
      <c r="AN1453" s="67"/>
      <c r="AO1453" s="70"/>
      <c r="AP1453" s="70"/>
      <c r="AQ1453" s="70"/>
      <c r="AR1453" s="70"/>
      <c r="AS1453" s="70"/>
      <c r="AT1453" s="70"/>
      <c r="AU1453" s="70"/>
      <c r="AV1453" s="70"/>
      <c r="AW1453" s="70"/>
      <c r="AX1453" s="70"/>
    </row>
    <row r="1454" ht="15.75" customHeight="1">
      <c r="A1454" s="179" t="s">
        <v>246</v>
      </c>
      <c r="B1454" s="180" t="s">
        <v>9819</v>
      </c>
      <c r="C1454" s="28" t="s">
        <v>9823</v>
      </c>
      <c r="D1454" s="28" t="s">
        <v>9824</v>
      </c>
      <c r="E1454" s="28" t="s">
        <v>9825</v>
      </c>
      <c r="F1454" s="28"/>
      <c r="G1454" s="28"/>
      <c r="H1454" s="28"/>
      <c r="I1454" s="28"/>
      <c r="J1454" s="28"/>
      <c r="K1454" s="28"/>
      <c r="L1454" s="28"/>
      <c r="M1454" s="28"/>
      <c r="N1454" s="28"/>
      <c r="O1454" s="181" t="s">
        <v>10883</v>
      </c>
      <c r="P1454" s="181"/>
      <c r="Q1454" s="181" t="s">
        <v>145</v>
      </c>
      <c r="R1454" s="181"/>
      <c r="S1454" s="181"/>
      <c r="T1454" s="181"/>
      <c r="U1454" s="181"/>
      <c r="V1454" s="181"/>
      <c r="W1454" s="181"/>
      <c r="X1454" s="181"/>
      <c r="Y1454" s="181"/>
      <c r="Z1454" s="181"/>
      <c r="AA1454" s="181"/>
      <c r="AB1454" s="181"/>
      <c r="AC1454" s="181"/>
      <c r="AD1454" s="70"/>
      <c r="AE1454" s="70"/>
      <c r="AF1454" s="70"/>
      <c r="AG1454" s="70"/>
      <c r="AH1454" s="70"/>
      <c r="AI1454" s="70"/>
      <c r="AJ1454" s="70"/>
      <c r="AK1454" s="70"/>
      <c r="AL1454" s="67"/>
      <c r="AM1454" s="67"/>
      <c r="AN1454" s="67"/>
      <c r="AO1454" s="70"/>
      <c r="AP1454" s="70"/>
      <c r="AQ1454" s="70"/>
      <c r="AR1454" s="70"/>
      <c r="AS1454" s="70"/>
      <c r="AT1454" s="70"/>
      <c r="AU1454" s="70"/>
      <c r="AV1454" s="70"/>
      <c r="AW1454" s="70"/>
      <c r="AX1454" s="70"/>
    </row>
    <row r="1455" ht="15.75" customHeight="1">
      <c r="A1455" s="174" t="s">
        <v>698</v>
      </c>
      <c r="B1455" s="175" t="s">
        <v>9826</v>
      </c>
      <c r="C1455" s="28" t="s">
        <v>5598</v>
      </c>
      <c r="D1455" s="28" t="s">
        <v>5599</v>
      </c>
      <c r="E1455" s="28" t="s">
        <v>5600</v>
      </c>
      <c r="F1455" s="28"/>
      <c r="G1455" s="28"/>
      <c r="H1455" s="28"/>
      <c r="I1455" s="28"/>
      <c r="J1455" s="28"/>
      <c r="K1455" s="28"/>
      <c r="L1455" s="28"/>
      <c r="M1455" s="28"/>
      <c r="N1455" s="28"/>
      <c r="O1455" s="177" t="s">
        <v>10884</v>
      </c>
      <c r="P1455" s="176"/>
      <c r="Q1455" s="176"/>
      <c r="R1455" s="176"/>
      <c r="S1455" s="176"/>
      <c r="T1455" s="176"/>
      <c r="U1455" s="177" t="s">
        <v>10885</v>
      </c>
      <c r="V1455" s="176"/>
      <c r="W1455" s="176"/>
      <c r="X1455" s="176"/>
      <c r="Y1455" s="176"/>
      <c r="Z1455" s="176"/>
      <c r="AA1455" s="176"/>
      <c r="AB1455" s="176"/>
      <c r="AC1455" s="176"/>
      <c r="AD1455" s="70"/>
      <c r="AE1455" s="70"/>
      <c r="AF1455" s="70"/>
      <c r="AG1455" s="70"/>
      <c r="AH1455" s="70"/>
      <c r="AI1455" s="70"/>
      <c r="AJ1455" s="70"/>
      <c r="AK1455" s="70"/>
      <c r="AL1455" s="67"/>
      <c r="AM1455" s="67"/>
      <c r="AN1455" s="67"/>
      <c r="AO1455" s="70"/>
      <c r="AP1455" s="70"/>
      <c r="AQ1455" s="70"/>
      <c r="AR1455" s="70"/>
      <c r="AS1455" s="70"/>
      <c r="AT1455" s="70"/>
      <c r="AU1455" s="70"/>
      <c r="AV1455" s="70"/>
      <c r="AW1455" s="70"/>
      <c r="AX1455" s="70"/>
    </row>
    <row r="1456" ht="15.75" customHeight="1">
      <c r="A1456" s="90" t="s">
        <v>78</v>
      </c>
      <c r="B1456" s="92" t="s">
        <v>9827</v>
      </c>
      <c r="C1456" s="28"/>
      <c r="D1456" s="28"/>
      <c r="E1456" s="28"/>
      <c r="F1456" s="28"/>
      <c r="G1456" s="28"/>
      <c r="H1456" s="28"/>
      <c r="I1456" s="28"/>
      <c r="J1456" s="28"/>
      <c r="K1456" s="28"/>
      <c r="L1456" s="28"/>
      <c r="M1456" s="28"/>
      <c r="N1456" s="28"/>
      <c r="O1456" s="96"/>
      <c r="P1456" s="96"/>
      <c r="Q1456" s="96"/>
      <c r="R1456" s="96"/>
      <c r="S1456" s="96"/>
      <c r="T1456" s="178" t="s">
        <v>10886</v>
      </c>
      <c r="U1456" s="96"/>
      <c r="V1456" s="96"/>
      <c r="W1456" s="96"/>
      <c r="X1456" s="96"/>
      <c r="Y1456" s="96"/>
      <c r="Z1456" s="96"/>
      <c r="AA1456" s="96"/>
      <c r="AB1456" s="96"/>
      <c r="AC1456" s="96"/>
      <c r="AD1456" s="70"/>
      <c r="AE1456" s="70"/>
      <c r="AF1456" s="70"/>
      <c r="AG1456" s="70"/>
      <c r="AH1456" s="70"/>
      <c r="AI1456" s="70"/>
      <c r="AJ1456" s="70"/>
      <c r="AK1456" s="70"/>
      <c r="AL1456" s="67"/>
      <c r="AM1456" s="67"/>
      <c r="AN1456" s="67"/>
      <c r="AO1456" s="70"/>
      <c r="AP1456" s="70"/>
      <c r="AQ1456" s="70"/>
      <c r="AR1456" s="70"/>
      <c r="AS1456" s="70"/>
      <c r="AT1456" s="70"/>
      <c r="AU1456" s="70"/>
      <c r="AV1456" s="70"/>
      <c r="AW1456" s="70"/>
      <c r="AX1456" s="70"/>
    </row>
    <row r="1457" ht="15.75" customHeight="1">
      <c r="A1457" s="90" t="s">
        <v>78</v>
      </c>
      <c r="B1457" s="92" t="s">
        <v>9828</v>
      </c>
      <c r="C1457" s="28" t="s">
        <v>5602</v>
      </c>
      <c r="D1457" s="28" t="s">
        <v>5603</v>
      </c>
      <c r="E1457" s="28" t="s">
        <v>9829</v>
      </c>
      <c r="F1457" s="28"/>
      <c r="G1457" s="28"/>
      <c r="H1457" s="28"/>
      <c r="I1457" s="28"/>
      <c r="J1457" s="28"/>
      <c r="K1457" s="28"/>
      <c r="L1457" s="28"/>
      <c r="M1457" s="28"/>
      <c r="N1457" s="28"/>
      <c r="O1457" s="96"/>
      <c r="P1457" s="96"/>
      <c r="Q1457" s="96"/>
      <c r="R1457" s="96"/>
      <c r="S1457" s="96"/>
      <c r="T1457" s="178" t="s">
        <v>10887</v>
      </c>
      <c r="U1457" s="96"/>
      <c r="V1457" s="96"/>
      <c r="W1457" s="96"/>
      <c r="X1457" s="96"/>
      <c r="Y1457" s="96"/>
      <c r="Z1457" s="96"/>
      <c r="AA1457" s="96"/>
      <c r="AB1457" s="96"/>
      <c r="AC1457" s="96"/>
      <c r="AD1457" s="70"/>
      <c r="AE1457" s="70"/>
      <c r="AF1457" s="70"/>
      <c r="AG1457" s="70"/>
      <c r="AH1457" s="70"/>
      <c r="AI1457" s="70"/>
      <c r="AJ1457" s="70"/>
      <c r="AK1457" s="70"/>
      <c r="AL1457" s="67"/>
      <c r="AM1457" s="67"/>
      <c r="AN1457" s="67"/>
      <c r="AO1457" s="70"/>
      <c r="AP1457" s="70"/>
      <c r="AQ1457" s="70"/>
      <c r="AR1457" s="70"/>
      <c r="AS1457" s="70"/>
      <c r="AT1457" s="70"/>
      <c r="AU1457" s="70"/>
      <c r="AV1457" s="70"/>
      <c r="AW1457" s="70"/>
      <c r="AX1457" s="70"/>
    </row>
    <row r="1458" ht="15.75" customHeight="1">
      <c r="A1458" s="170" t="s">
        <v>263</v>
      </c>
      <c r="B1458" s="171" t="s">
        <v>9830</v>
      </c>
      <c r="C1458" s="28" t="s">
        <v>9834</v>
      </c>
      <c r="D1458" s="28" t="s">
        <v>9835</v>
      </c>
      <c r="E1458" s="28" t="s">
        <v>9836</v>
      </c>
      <c r="F1458" s="28"/>
      <c r="G1458" s="28"/>
      <c r="H1458" s="28"/>
      <c r="I1458" s="28"/>
      <c r="J1458" s="28"/>
      <c r="K1458" s="28"/>
      <c r="L1458" s="28" t="s">
        <v>687</v>
      </c>
      <c r="M1458" s="28"/>
      <c r="N1458" s="28"/>
      <c r="O1458" s="173"/>
      <c r="P1458" s="173"/>
      <c r="Q1458" s="173" t="s">
        <v>145</v>
      </c>
      <c r="R1458" s="173"/>
      <c r="S1458" s="173"/>
      <c r="T1458" s="173"/>
      <c r="U1458" s="173"/>
      <c r="V1458" s="173"/>
      <c r="W1458" s="173"/>
      <c r="X1458" s="173"/>
      <c r="Y1458" s="173"/>
      <c r="Z1458" s="173"/>
      <c r="AA1458" s="173"/>
      <c r="AB1458" s="173"/>
      <c r="AC1458" s="173"/>
      <c r="AD1458" s="70"/>
      <c r="AE1458" s="70"/>
      <c r="AF1458" s="70"/>
      <c r="AG1458" s="70"/>
      <c r="AH1458" s="70"/>
      <c r="AI1458" s="70"/>
      <c r="AJ1458" s="70"/>
      <c r="AK1458" s="70"/>
      <c r="AL1458" s="67"/>
      <c r="AM1458" s="67"/>
      <c r="AN1458" s="67"/>
      <c r="AO1458" s="70"/>
      <c r="AP1458" s="70"/>
      <c r="AQ1458" s="70"/>
      <c r="AR1458" s="70"/>
      <c r="AS1458" s="70"/>
      <c r="AT1458" s="70"/>
      <c r="AU1458" s="70"/>
      <c r="AV1458" s="70"/>
      <c r="AW1458" s="70"/>
      <c r="AX1458" s="70"/>
    </row>
    <row r="1459" ht="15.75" customHeight="1">
      <c r="A1459" s="68" t="s">
        <v>463</v>
      </c>
      <c r="B1459" s="169" t="s">
        <v>9837</v>
      </c>
      <c r="C1459" s="28" t="s">
        <v>9841</v>
      </c>
      <c r="D1459" s="28" t="s">
        <v>9842</v>
      </c>
      <c r="E1459" s="28" t="s">
        <v>9843</v>
      </c>
      <c r="F1459" s="28"/>
      <c r="G1459" s="28"/>
      <c r="H1459" s="28"/>
      <c r="I1459" s="28"/>
      <c r="J1459" s="28"/>
      <c r="K1459" s="28"/>
      <c r="L1459" s="28"/>
      <c r="M1459" s="28"/>
      <c r="N1459" s="28"/>
      <c r="O1459" s="67" t="s">
        <v>10888</v>
      </c>
      <c r="P1459" s="67"/>
      <c r="Q1459" s="67" t="s">
        <v>145</v>
      </c>
      <c r="R1459" s="67"/>
      <c r="S1459" s="67"/>
      <c r="T1459" s="67"/>
      <c r="U1459" s="67"/>
      <c r="V1459" s="67"/>
      <c r="W1459" s="67"/>
      <c r="X1459" s="67"/>
      <c r="Y1459" s="67"/>
      <c r="Z1459" s="67"/>
      <c r="AA1459" s="67"/>
      <c r="AB1459" s="67"/>
      <c r="AC1459" s="67"/>
      <c r="AD1459" s="70"/>
      <c r="AE1459" s="70"/>
      <c r="AF1459" s="70"/>
      <c r="AG1459" s="70"/>
      <c r="AH1459" s="70"/>
      <c r="AI1459" s="70"/>
      <c r="AJ1459" s="70"/>
      <c r="AK1459" s="70"/>
      <c r="AL1459" s="67"/>
      <c r="AM1459" s="67"/>
      <c r="AN1459" s="67"/>
      <c r="AO1459" s="70"/>
      <c r="AP1459" s="70"/>
      <c r="AQ1459" s="70"/>
      <c r="AR1459" s="70"/>
      <c r="AS1459" s="70"/>
      <c r="AT1459" s="70"/>
      <c r="AU1459" s="70"/>
      <c r="AV1459" s="70"/>
      <c r="AW1459" s="70"/>
      <c r="AX1459" s="70"/>
    </row>
    <row r="1460" ht="15.75" customHeight="1">
      <c r="A1460" s="174" t="s">
        <v>1015</v>
      </c>
      <c r="B1460" s="204" t="s">
        <v>9826</v>
      </c>
      <c r="C1460" s="28" t="s">
        <v>5598</v>
      </c>
      <c r="D1460" s="28" t="s">
        <v>5599</v>
      </c>
      <c r="E1460" s="28" t="s">
        <v>5600</v>
      </c>
      <c r="F1460" s="28"/>
      <c r="G1460" s="28"/>
      <c r="H1460" s="28"/>
      <c r="I1460" s="28"/>
      <c r="J1460" s="28"/>
      <c r="K1460" s="28"/>
      <c r="L1460" s="28"/>
      <c r="M1460" s="28"/>
      <c r="N1460" s="28"/>
      <c r="O1460" s="176"/>
      <c r="P1460" s="176"/>
      <c r="Q1460" s="176"/>
      <c r="R1460" s="176"/>
      <c r="S1460" s="176"/>
      <c r="T1460" s="176"/>
      <c r="U1460" s="176"/>
      <c r="V1460" s="176"/>
      <c r="W1460" s="176"/>
      <c r="X1460" s="176"/>
      <c r="Y1460" s="176"/>
      <c r="Z1460" s="176"/>
      <c r="AA1460" s="176"/>
      <c r="AB1460" s="176"/>
      <c r="AC1460" s="176"/>
      <c r="AD1460" s="70"/>
      <c r="AE1460" s="70"/>
      <c r="AF1460" s="70"/>
      <c r="AG1460" s="70"/>
      <c r="AH1460" s="70"/>
      <c r="AI1460" s="70"/>
      <c r="AJ1460" s="70"/>
      <c r="AK1460" s="70"/>
      <c r="AL1460" s="67"/>
      <c r="AM1460" s="67"/>
      <c r="AN1460" s="67"/>
      <c r="AO1460" s="70"/>
      <c r="AP1460" s="70"/>
      <c r="AQ1460" s="70"/>
      <c r="AR1460" s="70"/>
      <c r="AS1460" s="70"/>
      <c r="AT1460" s="70"/>
      <c r="AU1460" s="70"/>
      <c r="AV1460" s="70"/>
      <c r="AW1460" s="70"/>
      <c r="AX1460" s="70"/>
    </row>
    <row r="1461" ht="15.75" customHeight="1">
      <c r="A1461" s="90" t="s">
        <v>134</v>
      </c>
      <c r="B1461" s="92" t="s">
        <v>9844</v>
      </c>
      <c r="C1461" s="28"/>
      <c r="D1461" s="28"/>
      <c r="E1461" s="28"/>
      <c r="F1461" s="28"/>
      <c r="G1461" s="28"/>
      <c r="H1461" s="28"/>
      <c r="I1461" s="28"/>
      <c r="J1461" s="28"/>
      <c r="K1461" s="28"/>
      <c r="L1461" s="28"/>
      <c r="M1461" s="28"/>
      <c r="N1461" s="28"/>
      <c r="O1461" s="96"/>
      <c r="P1461" s="96"/>
      <c r="Q1461" s="96"/>
      <c r="R1461" s="96"/>
      <c r="S1461" s="96"/>
      <c r="T1461" s="178" t="s">
        <v>139</v>
      </c>
      <c r="U1461" s="96"/>
      <c r="V1461" s="96"/>
      <c r="W1461" s="96"/>
      <c r="X1461" s="96"/>
      <c r="Y1461" s="96"/>
      <c r="Z1461" s="96"/>
      <c r="AA1461" s="96"/>
      <c r="AB1461" s="96"/>
      <c r="AC1461" s="96"/>
      <c r="AD1461" s="70"/>
      <c r="AE1461" s="70"/>
      <c r="AF1461" s="70"/>
      <c r="AG1461" s="70"/>
      <c r="AH1461" s="70"/>
      <c r="AI1461" s="70"/>
      <c r="AJ1461" s="70"/>
      <c r="AK1461" s="70"/>
      <c r="AL1461" s="70"/>
      <c r="AM1461" s="70"/>
      <c r="AN1461" s="70"/>
      <c r="AO1461" s="70"/>
      <c r="AP1461" s="70"/>
      <c r="AQ1461" s="70"/>
      <c r="AR1461" s="70"/>
      <c r="AS1461" s="70"/>
      <c r="AT1461" s="70"/>
      <c r="AU1461" s="70"/>
      <c r="AV1461" s="70"/>
      <c r="AW1461" s="70"/>
      <c r="AX1461" s="70"/>
    </row>
    <row r="1462" ht="15.75" customHeight="1">
      <c r="A1462" s="90" t="s">
        <v>78</v>
      </c>
      <c r="B1462" s="92" t="s">
        <v>9845</v>
      </c>
      <c r="C1462" s="28"/>
      <c r="D1462" s="28"/>
      <c r="E1462" s="28"/>
      <c r="F1462" s="28"/>
      <c r="G1462" s="28"/>
      <c r="H1462" s="28"/>
      <c r="I1462" s="28"/>
      <c r="J1462" s="28"/>
      <c r="K1462" s="28"/>
      <c r="L1462" s="28"/>
      <c r="M1462" s="28"/>
      <c r="N1462" s="28"/>
      <c r="O1462" s="96"/>
      <c r="P1462" s="96"/>
      <c r="Q1462" s="96"/>
      <c r="R1462" s="96"/>
      <c r="S1462" s="96"/>
      <c r="T1462" s="178" t="s">
        <v>10889</v>
      </c>
      <c r="U1462" s="96"/>
      <c r="V1462" s="96"/>
      <c r="W1462" s="96"/>
      <c r="X1462" s="96"/>
      <c r="Y1462" s="96"/>
      <c r="Z1462" s="96"/>
      <c r="AA1462" s="96"/>
      <c r="AB1462" s="96"/>
      <c r="AC1462" s="96"/>
      <c r="AD1462" s="70"/>
      <c r="AE1462" s="70"/>
      <c r="AF1462" s="70"/>
      <c r="AG1462" s="70"/>
      <c r="AH1462" s="70"/>
      <c r="AI1462" s="70"/>
      <c r="AJ1462" s="70"/>
      <c r="AK1462" s="70"/>
      <c r="AL1462" s="70"/>
      <c r="AM1462" s="70"/>
      <c r="AN1462" s="70"/>
      <c r="AO1462" s="70"/>
      <c r="AP1462" s="70"/>
      <c r="AQ1462" s="70"/>
      <c r="AR1462" s="70"/>
      <c r="AS1462" s="70"/>
      <c r="AT1462" s="70"/>
      <c r="AU1462" s="70"/>
      <c r="AV1462" s="70"/>
      <c r="AW1462" s="70"/>
      <c r="AX1462" s="70"/>
    </row>
    <row r="1463" ht="15.75" customHeight="1">
      <c r="A1463" s="90" t="s">
        <v>78</v>
      </c>
      <c r="B1463" s="92" t="s">
        <v>9846</v>
      </c>
      <c r="C1463" s="28"/>
      <c r="D1463" s="28"/>
      <c r="E1463" s="28"/>
      <c r="F1463" s="28"/>
      <c r="G1463" s="28"/>
      <c r="H1463" s="28"/>
      <c r="I1463" s="28"/>
      <c r="J1463" s="28"/>
      <c r="K1463" s="28"/>
      <c r="L1463" s="28"/>
      <c r="M1463" s="28"/>
      <c r="N1463" s="28"/>
      <c r="O1463" s="96"/>
      <c r="P1463" s="96"/>
      <c r="Q1463" s="96"/>
      <c r="R1463" s="96"/>
      <c r="S1463" s="96"/>
      <c r="T1463" s="178" t="s">
        <v>10890</v>
      </c>
      <c r="U1463" s="96"/>
      <c r="V1463" s="96"/>
      <c r="W1463" s="96"/>
      <c r="X1463" s="96"/>
      <c r="Y1463" s="96"/>
      <c r="Z1463" s="96"/>
      <c r="AA1463" s="96"/>
      <c r="AB1463" s="96"/>
      <c r="AC1463" s="96"/>
      <c r="AD1463" s="70"/>
      <c r="AE1463" s="70"/>
      <c r="AF1463" s="70"/>
      <c r="AG1463" s="70"/>
      <c r="AH1463" s="70"/>
      <c r="AI1463" s="70"/>
      <c r="AJ1463" s="70"/>
      <c r="AK1463" s="70"/>
      <c r="AL1463" s="67"/>
      <c r="AM1463" s="67"/>
      <c r="AN1463" s="67"/>
      <c r="AO1463" s="70"/>
      <c r="AP1463" s="70"/>
      <c r="AQ1463" s="70"/>
      <c r="AR1463" s="70"/>
      <c r="AS1463" s="70"/>
      <c r="AT1463" s="70"/>
      <c r="AU1463" s="70"/>
      <c r="AV1463" s="70"/>
      <c r="AW1463" s="70"/>
      <c r="AX1463" s="70"/>
    </row>
    <row r="1464" ht="15.75" customHeight="1">
      <c r="A1464" s="68" t="s">
        <v>463</v>
      </c>
      <c r="B1464" s="169" t="s">
        <v>9847</v>
      </c>
      <c r="C1464" s="28" t="s">
        <v>9851</v>
      </c>
      <c r="D1464" s="28" t="s">
        <v>9852</v>
      </c>
      <c r="E1464" s="28" t="s">
        <v>9853</v>
      </c>
      <c r="F1464" s="28"/>
      <c r="G1464" s="28"/>
      <c r="H1464" s="28"/>
      <c r="I1464" s="28"/>
      <c r="J1464" s="28"/>
      <c r="K1464" s="28" t="s">
        <v>7067</v>
      </c>
      <c r="L1464" s="28" t="s">
        <v>10891</v>
      </c>
      <c r="M1464" s="28"/>
      <c r="N1464" s="28"/>
      <c r="O1464" s="67"/>
      <c r="P1464" s="67"/>
      <c r="Q1464" s="67" t="s">
        <v>145</v>
      </c>
      <c r="R1464" s="67"/>
      <c r="S1464" s="67"/>
      <c r="T1464" s="67"/>
      <c r="U1464" s="67"/>
      <c r="V1464" s="67"/>
      <c r="W1464" s="67"/>
      <c r="X1464" s="67"/>
      <c r="Y1464" s="67"/>
      <c r="Z1464" s="67"/>
      <c r="AA1464" s="67"/>
      <c r="AB1464" s="67"/>
      <c r="AC1464" s="67"/>
      <c r="AD1464" s="70"/>
      <c r="AE1464" s="70"/>
      <c r="AF1464" s="70"/>
      <c r="AG1464" s="70"/>
      <c r="AH1464" s="70"/>
      <c r="AI1464" s="70"/>
      <c r="AJ1464" s="70"/>
      <c r="AK1464" s="70"/>
      <c r="AL1464" s="67"/>
      <c r="AM1464" s="67"/>
      <c r="AN1464" s="67"/>
      <c r="AO1464" s="70"/>
      <c r="AP1464" s="70"/>
      <c r="AQ1464" s="70"/>
      <c r="AR1464" s="70"/>
      <c r="AS1464" s="70"/>
      <c r="AT1464" s="70"/>
      <c r="AU1464" s="70"/>
      <c r="AV1464" s="70"/>
      <c r="AW1464" s="70"/>
      <c r="AX1464" s="70"/>
    </row>
    <row r="1465" ht="15.75" customHeight="1">
      <c r="A1465" s="68"/>
      <c r="B1465" s="169"/>
      <c r="C1465" s="28"/>
      <c r="D1465" s="28"/>
      <c r="E1465" s="28"/>
      <c r="F1465" s="28"/>
      <c r="G1465" s="28"/>
      <c r="H1465" s="28"/>
      <c r="I1465" s="28"/>
      <c r="J1465" s="28"/>
      <c r="K1465" s="28"/>
      <c r="L1465" s="28"/>
      <c r="M1465" s="28"/>
      <c r="N1465" s="28"/>
      <c r="O1465" s="67"/>
      <c r="P1465" s="67"/>
      <c r="Q1465" s="67"/>
      <c r="R1465" s="67"/>
      <c r="S1465" s="67"/>
      <c r="T1465" s="67"/>
      <c r="U1465" s="67"/>
      <c r="V1465" s="67"/>
      <c r="W1465" s="67"/>
      <c r="X1465" s="67"/>
      <c r="Y1465" s="67"/>
      <c r="Z1465" s="67"/>
      <c r="AA1465" s="67"/>
      <c r="AB1465" s="67"/>
      <c r="AC1465" s="67"/>
      <c r="AD1465" s="67"/>
      <c r="AE1465" s="67"/>
      <c r="AF1465" s="67"/>
      <c r="AG1465" s="67"/>
      <c r="AH1465" s="67"/>
      <c r="AI1465" s="67"/>
      <c r="AJ1465" s="67"/>
      <c r="AK1465" s="67"/>
      <c r="AL1465" s="67"/>
      <c r="AM1465" s="67"/>
      <c r="AN1465" s="67"/>
      <c r="AO1465" s="70"/>
      <c r="AP1465" s="70"/>
      <c r="AQ1465" s="70"/>
      <c r="AR1465" s="70"/>
      <c r="AS1465" s="70"/>
      <c r="AT1465" s="70"/>
      <c r="AU1465" s="70"/>
      <c r="AV1465" s="70"/>
      <c r="AW1465" s="70"/>
      <c r="AX1465" s="70"/>
    </row>
    <row r="1466" ht="15.75" customHeight="1">
      <c r="A1466" s="68" t="s">
        <v>5720</v>
      </c>
      <c r="B1466" s="169" t="s">
        <v>9854</v>
      </c>
      <c r="C1466" s="28" t="s">
        <v>9858</v>
      </c>
      <c r="D1466" s="28" t="s">
        <v>9859</v>
      </c>
      <c r="E1466" s="28" t="s">
        <v>9860</v>
      </c>
      <c r="F1466" s="28" t="s">
        <v>10892</v>
      </c>
      <c r="G1466" s="28" t="s">
        <v>10893</v>
      </c>
      <c r="H1466" s="28" t="s">
        <v>10894</v>
      </c>
      <c r="I1466" s="28"/>
      <c r="J1466" s="28"/>
      <c r="K1466" s="28" t="s">
        <v>10536</v>
      </c>
      <c r="L1466" s="28"/>
      <c r="M1466" s="28"/>
      <c r="N1466" s="28"/>
      <c r="O1466" s="67"/>
      <c r="P1466" s="67"/>
      <c r="Q1466" s="67" t="s">
        <v>145</v>
      </c>
      <c r="R1466" s="67"/>
      <c r="S1466" s="67"/>
      <c r="T1466" s="67"/>
      <c r="U1466" s="67"/>
      <c r="V1466" s="67"/>
      <c r="W1466" s="67"/>
      <c r="X1466" s="67"/>
      <c r="Y1466" s="67"/>
      <c r="Z1466" s="67"/>
      <c r="AA1466" s="67"/>
      <c r="AB1466" s="67"/>
      <c r="AC1466" s="67"/>
      <c r="AD1466" s="67"/>
      <c r="AE1466" s="67"/>
      <c r="AF1466" s="67"/>
      <c r="AG1466" s="67"/>
      <c r="AH1466" s="67"/>
      <c r="AI1466" s="67"/>
      <c r="AJ1466" s="67"/>
      <c r="AK1466" s="67"/>
      <c r="AL1466" s="67"/>
      <c r="AM1466" s="67"/>
      <c r="AN1466" s="67"/>
      <c r="AO1466" s="70"/>
      <c r="AP1466" s="70"/>
      <c r="AQ1466" s="70"/>
      <c r="AR1466" s="70"/>
      <c r="AS1466" s="70"/>
      <c r="AT1466" s="70"/>
      <c r="AU1466" s="70"/>
      <c r="AV1466" s="70"/>
      <c r="AW1466" s="70"/>
      <c r="AX1466" s="70"/>
    </row>
    <row r="1467" ht="15.75" customHeight="1">
      <c r="A1467" s="179" t="s">
        <v>246</v>
      </c>
      <c r="B1467" s="180" t="s">
        <v>9861</v>
      </c>
      <c r="C1467" s="28" t="s">
        <v>9865</v>
      </c>
      <c r="D1467" s="28" t="s">
        <v>9866</v>
      </c>
      <c r="E1467" s="28" t="s">
        <v>9867</v>
      </c>
      <c r="F1467" s="28"/>
      <c r="G1467" s="28"/>
      <c r="H1467" s="28"/>
      <c r="I1467" s="28"/>
      <c r="J1467" s="28"/>
      <c r="K1467" s="28"/>
      <c r="L1467" s="28"/>
      <c r="M1467" s="28"/>
      <c r="N1467" s="28"/>
      <c r="O1467" s="181" t="s">
        <v>10895</v>
      </c>
      <c r="P1467" s="181"/>
      <c r="Q1467" s="181" t="s">
        <v>145</v>
      </c>
      <c r="R1467" s="181"/>
      <c r="S1467" s="181"/>
      <c r="T1467" s="181"/>
      <c r="U1467" s="181"/>
      <c r="V1467" s="181"/>
      <c r="W1467" s="181"/>
      <c r="X1467" s="181"/>
      <c r="Y1467" s="181"/>
      <c r="Z1467" s="181"/>
      <c r="AA1467" s="181"/>
      <c r="AB1467" s="181"/>
      <c r="AC1467" s="181"/>
      <c r="AD1467" s="181"/>
      <c r="AE1467" s="181"/>
      <c r="AF1467" s="181"/>
      <c r="AG1467" s="181"/>
      <c r="AH1467" s="181"/>
      <c r="AI1467" s="181"/>
      <c r="AJ1467" s="181"/>
      <c r="AK1467" s="181"/>
      <c r="AL1467" s="181"/>
      <c r="AM1467" s="181"/>
      <c r="AN1467" s="181"/>
      <c r="AO1467" s="70"/>
      <c r="AP1467" s="70"/>
      <c r="AQ1467" s="70"/>
      <c r="AR1467" s="70"/>
      <c r="AS1467" s="70"/>
      <c r="AT1467" s="70"/>
      <c r="AU1467" s="70"/>
      <c r="AV1467" s="70"/>
      <c r="AW1467" s="70"/>
      <c r="AX1467" s="70"/>
    </row>
    <row r="1468" ht="15.75" customHeight="1">
      <c r="A1468" s="90" t="s">
        <v>134</v>
      </c>
      <c r="B1468" s="92" t="s">
        <v>9868</v>
      </c>
      <c r="C1468" s="28"/>
      <c r="D1468" s="28"/>
      <c r="E1468" s="28"/>
      <c r="F1468" s="28"/>
      <c r="G1468" s="28"/>
      <c r="H1468" s="28"/>
      <c r="I1468" s="28"/>
      <c r="J1468" s="28"/>
      <c r="K1468" s="28"/>
      <c r="L1468" s="28"/>
      <c r="M1468" s="28"/>
      <c r="N1468" s="28"/>
      <c r="O1468" s="96"/>
      <c r="P1468" s="96"/>
      <c r="Q1468" s="96"/>
      <c r="R1468" s="96"/>
      <c r="S1468" s="96"/>
      <c r="T1468" s="178" t="s">
        <v>139</v>
      </c>
      <c r="U1468" s="96"/>
      <c r="V1468" s="96"/>
      <c r="W1468" s="96"/>
      <c r="X1468" s="96"/>
      <c r="Y1468" s="96"/>
      <c r="Z1468" s="96"/>
      <c r="AA1468" s="96"/>
      <c r="AB1468" s="96"/>
      <c r="AC1468" s="96"/>
      <c r="AD1468" s="70"/>
      <c r="AE1468" s="70"/>
      <c r="AF1468" s="70"/>
      <c r="AG1468" s="70"/>
      <c r="AH1468" s="70"/>
      <c r="AI1468" s="70"/>
      <c r="AJ1468" s="70"/>
      <c r="AK1468" s="70"/>
      <c r="AL1468" s="70"/>
      <c r="AM1468" s="70"/>
      <c r="AN1468" s="70"/>
      <c r="AO1468" s="70"/>
      <c r="AP1468" s="70"/>
      <c r="AQ1468" s="70"/>
      <c r="AR1468" s="70"/>
      <c r="AS1468" s="70"/>
      <c r="AT1468" s="70"/>
      <c r="AU1468" s="70"/>
      <c r="AV1468" s="70"/>
      <c r="AW1468" s="70"/>
      <c r="AX1468" s="70"/>
    </row>
    <row r="1469" ht="15.75" customHeight="1">
      <c r="A1469" s="174" t="s">
        <v>698</v>
      </c>
      <c r="B1469" s="175" t="s">
        <v>9869</v>
      </c>
      <c r="C1469" s="28" t="s">
        <v>9870</v>
      </c>
      <c r="D1469" s="28"/>
      <c r="E1469" s="28"/>
      <c r="F1469" s="28"/>
      <c r="G1469" s="28"/>
      <c r="H1469" s="28"/>
      <c r="I1469" s="28"/>
      <c r="J1469" s="28"/>
      <c r="K1469" s="28"/>
      <c r="L1469" s="28"/>
      <c r="M1469" s="28"/>
      <c r="N1469" s="28"/>
      <c r="O1469" s="177" t="s">
        <v>10896</v>
      </c>
      <c r="P1469" s="176"/>
      <c r="Q1469" s="176"/>
      <c r="R1469" s="176"/>
      <c r="S1469" s="176"/>
      <c r="T1469" s="176"/>
      <c r="U1469" s="177" t="s">
        <v>10897</v>
      </c>
      <c r="V1469" s="176"/>
      <c r="W1469" s="176"/>
      <c r="X1469" s="176"/>
      <c r="Y1469" s="176"/>
      <c r="Z1469" s="176"/>
      <c r="AA1469" s="176"/>
      <c r="AB1469" s="176"/>
      <c r="AC1469" s="176"/>
      <c r="AD1469" s="176"/>
      <c r="AE1469" s="176"/>
      <c r="AF1469" s="176"/>
      <c r="AG1469" s="176"/>
      <c r="AH1469" s="176"/>
      <c r="AI1469" s="176"/>
      <c r="AJ1469" s="176"/>
      <c r="AK1469" s="176"/>
      <c r="AL1469" s="176"/>
      <c r="AM1469" s="176"/>
      <c r="AN1469" s="176"/>
      <c r="AO1469" s="70"/>
      <c r="AP1469" s="70"/>
      <c r="AQ1469" s="70"/>
      <c r="AR1469" s="70"/>
      <c r="AS1469" s="70"/>
      <c r="AT1469" s="70"/>
      <c r="AU1469" s="70"/>
      <c r="AV1469" s="70"/>
      <c r="AW1469" s="70"/>
      <c r="AX1469" s="70"/>
    </row>
    <row r="1470" ht="15.75" customHeight="1">
      <c r="A1470" s="90" t="s">
        <v>78</v>
      </c>
      <c r="B1470" s="92" t="s">
        <v>9871</v>
      </c>
      <c r="C1470" s="28" t="s">
        <v>9872</v>
      </c>
      <c r="D1470" s="28"/>
      <c r="E1470" s="28"/>
      <c r="F1470" s="28"/>
      <c r="G1470" s="28"/>
      <c r="H1470" s="28"/>
      <c r="I1470" s="28"/>
      <c r="J1470" s="28"/>
      <c r="K1470" s="28"/>
      <c r="L1470" s="28"/>
      <c r="M1470" s="28"/>
      <c r="N1470" s="28"/>
      <c r="O1470" s="96"/>
      <c r="P1470" s="96"/>
      <c r="Q1470" s="96"/>
      <c r="R1470" s="96"/>
      <c r="S1470" s="96"/>
      <c r="T1470" s="178" t="s">
        <v>10898</v>
      </c>
      <c r="U1470" s="96"/>
      <c r="V1470" s="96"/>
      <c r="W1470" s="96"/>
      <c r="X1470" s="96"/>
      <c r="Y1470" s="96"/>
      <c r="Z1470" s="96"/>
      <c r="AA1470" s="96"/>
      <c r="AB1470" s="96"/>
      <c r="AC1470" s="96"/>
      <c r="AD1470" s="96"/>
      <c r="AE1470" s="96"/>
      <c r="AF1470" s="96"/>
      <c r="AG1470" s="96"/>
      <c r="AH1470" s="96"/>
      <c r="AI1470" s="96"/>
      <c r="AJ1470" s="96"/>
      <c r="AK1470" s="96"/>
      <c r="AL1470" s="96"/>
      <c r="AM1470" s="96"/>
      <c r="AN1470" s="96"/>
      <c r="AO1470" s="70"/>
      <c r="AP1470" s="70"/>
      <c r="AQ1470" s="70"/>
      <c r="AR1470" s="70"/>
      <c r="AS1470" s="70"/>
      <c r="AT1470" s="70"/>
      <c r="AU1470" s="70"/>
      <c r="AV1470" s="70"/>
      <c r="AW1470" s="70"/>
      <c r="AX1470" s="70"/>
    </row>
    <row r="1471" ht="15.75" customHeight="1">
      <c r="A1471" s="140" t="s">
        <v>131</v>
      </c>
      <c r="B1471" s="164" t="s">
        <v>9873</v>
      </c>
      <c r="C1471" s="28"/>
      <c r="D1471" s="28"/>
      <c r="E1471" s="28"/>
      <c r="F1471" s="28"/>
      <c r="G1471" s="28"/>
      <c r="H1471" s="28"/>
      <c r="I1471" s="28"/>
      <c r="J1471" s="28" t="s">
        <v>931</v>
      </c>
      <c r="K1471" s="28"/>
      <c r="L1471" s="28"/>
      <c r="M1471" s="28"/>
      <c r="N1471" s="28"/>
      <c r="O1471" s="190"/>
      <c r="P1471" s="139"/>
      <c r="Q1471" s="139"/>
      <c r="R1471" s="139"/>
      <c r="S1471" s="139"/>
      <c r="T1471" s="139"/>
      <c r="U1471" s="139"/>
      <c r="V1471" s="139"/>
      <c r="W1471" s="139"/>
      <c r="X1471" s="139"/>
      <c r="Y1471" s="139"/>
      <c r="Z1471" s="139"/>
      <c r="AA1471" s="139"/>
      <c r="AB1471" s="139"/>
      <c r="AC1471" s="139"/>
      <c r="AD1471" s="139"/>
      <c r="AE1471" s="139"/>
      <c r="AF1471" s="139"/>
      <c r="AG1471" s="139"/>
      <c r="AH1471" s="139"/>
      <c r="AI1471" s="139"/>
      <c r="AJ1471" s="139"/>
      <c r="AK1471" s="139"/>
      <c r="AL1471" s="139"/>
      <c r="AM1471" s="139"/>
      <c r="AN1471" s="139"/>
      <c r="AO1471" s="70"/>
      <c r="AP1471" s="70"/>
      <c r="AQ1471" s="70"/>
      <c r="AR1471" s="70"/>
      <c r="AS1471" s="70"/>
      <c r="AT1471" s="70"/>
      <c r="AU1471" s="70"/>
      <c r="AV1471" s="70"/>
      <c r="AW1471" s="70"/>
      <c r="AX1471" s="70"/>
    </row>
    <row r="1472" ht="15.75" customHeight="1">
      <c r="A1472" s="68" t="s">
        <v>2625</v>
      </c>
      <c r="B1472" s="169" t="s">
        <v>9874</v>
      </c>
      <c r="C1472" s="28" t="s">
        <v>9878</v>
      </c>
      <c r="D1472" s="28" t="s">
        <v>9879</v>
      </c>
      <c r="E1472" s="28" t="s">
        <v>9880</v>
      </c>
      <c r="F1472" s="28"/>
      <c r="G1472" s="28"/>
      <c r="H1472" s="28"/>
      <c r="I1472" s="28"/>
      <c r="J1472" s="28" t="s">
        <v>8</v>
      </c>
      <c r="K1472" s="28"/>
      <c r="L1472" s="28"/>
      <c r="M1472" s="28"/>
      <c r="N1472" s="28"/>
      <c r="O1472" s="67"/>
      <c r="P1472" s="67"/>
      <c r="Q1472" s="67"/>
      <c r="R1472" s="67"/>
      <c r="S1472" s="67"/>
      <c r="T1472" s="67"/>
      <c r="U1472" s="67"/>
      <c r="V1472" s="67"/>
      <c r="W1472" s="67"/>
      <c r="X1472" s="67"/>
      <c r="Y1472" s="67"/>
      <c r="Z1472" s="67"/>
      <c r="AA1472" s="67"/>
      <c r="AB1472" s="67"/>
      <c r="AC1472" s="67"/>
      <c r="AD1472" s="67"/>
      <c r="AE1472" s="67"/>
      <c r="AF1472" s="67"/>
      <c r="AG1472" s="67"/>
      <c r="AH1472" s="67"/>
      <c r="AI1472" s="67"/>
      <c r="AJ1472" s="67"/>
      <c r="AK1472" s="67"/>
      <c r="AL1472" s="67"/>
      <c r="AM1472" s="67"/>
      <c r="AN1472" s="67"/>
      <c r="AO1472" s="70"/>
      <c r="AP1472" s="70"/>
      <c r="AQ1472" s="70"/>
      <c r="AR1472" s="70"/>
      <c r="AS1472" s="70"/>
      <c r="AT1472" s="70"/>
      <c r="AU1472" s="70"/>
      <c r="AV1472" s="70"/>
      <c r="AW1472" s="70"/>
      <c r="AX1472" s="70"/>
    </row>
    <row r="1473" ht="15.75" customHeight="1">
      <c r="A1473" s="68" t="s">
        <v>2625</v>
      </c>
      <c r="B1473" s="169" t="s">
        <v>9881</v>
      </c>
      <c r="C1473" s="28" t="s">
        <v>9885</v>
      </c>
      <c r="D1473" s="28" t="s">
        <v>9886</v>
      </c>
      <c r="E1473" s="28" t="s">
        <v>9887</v>
      </c>
      <c r="F1473" s="28"/>
      <c r="G1473" s="28"/>
      <c r="H1473" s="28"/>
      <c r="I1473" s="28"/>
      <c r="J1473" s="28" t="s">
        <v>958</v>
      </c>
      <c r="K1473" s="28"/>
      <c r="L1473" s="28"/>
      <c r="M1473" s="28"/>
      <c r="N1473" s="28"/>
      <c r="O1473" s="67"/>
      <c r="P1473" s="67"/>
      <c r="Q1473" s="67" t="s">
        <v>145</v>
      </c>
      <c r="R1473" s="67"/>
      <c r="S1473" s="67"/>
      <c r="T1473" s="67"/>
      <c r="U1473" s="67"/>
      <c r="V1473" s="67"/>
      <c r="W1473" s="67"/>
      <c r="X1473" s="67"/>
      <c r="Y1473" s="67"/>
      <c r="Z1473" s="67"/>
      <c r="AA1473" s="67"/>
      <c r="AB1473" s="67"/>
      <c r="AC1473" s="67"/>
      <c r="AD1473" s="67"/>
      <c r="AE1473" s="67"/>
      <c r="AF1473" s="67"/>
      <c r="AG1473" s="67"/>
      <c r="AH1473" s="67"/>
      <c r="AI1473" s="67"/>
      <c r="AJ1473" s="67"/>
      <c r="AK1473" s="67"/>
      <c r="AL1473" s="67"/>
      <c r="AM1473" s="67"/>
      <c r="AN1473" s="67"/>
      <c r="AO1473" s="70"/>
      <c r="AP1473" s="70"/>
      <c r="AQ1473" s="70"/>
      <c r="AR1473" s="70"/>
      <c r="AS1473" s="70"/>
      <c r="AT1473" s="70"/>
      <c r="AU1473" s="70"/>
      <c r="AV1473" s="70"/>
      <c r="AW1473" s="70"/>
      <c r="AX1473" s="70"/>
    </row>
    <row r="1474" ht="15.75" customHeight="1">
      <c r="A1474" s="68" t="s">
        <v>2625</v>
      </c>
      <c r="B1474" s="169" t="s">
        <v>9888</v>
      </c>
      <c r="C1474" s="28" t="s">
        <v>9892</v>
      </c>
      <c r="D1474" s="28" t="s">
        <v>9893</v>
      </c>
      <c r="E1474" s="28" t="s">
        <v>9894</v>
      </c>
      <c r="F1474" s="28"/>
      <c r="G1474" s="28"/>
      <c r="H1474" s="28"/>
      <c r="I1474" s="28"/>
      <c r="J1474" s="28" t="s">
        <v>958</v>
      </c>
      <c r="K1474" s="28"/>
      <c r="L1474" s="28"/>
      <c r="M1474" s="28"/>
      <c r="N1474" s="28"/>
      <c r="O1474" s="67"/>
      <c r="P1474" s="67"/>
      <c r="Q1474" s="67" t="s">
        <v>145</v>
      </c>
      <c r="R1474" s="67"/>
      <c r="S1474" s="67"/>
      <c r="T1474" s="67"/>
      <c r="U1474" s="67"/>
      <c r="V1474" s="67"/>
      <c r="W1474" s="67"/>
      <c r="X1474" s="67"/>
      <c r="Y1474" s="67"/>
      <c r="Z1474" s="67"/>
      <c r="AA1474" s="67"/>
      <c r="AB1474" s="67"/>
      <c r="AC1474" s="67"/>
      <c r="AD1474" s="67"/>
      <c r="AE1474" s="67"/>
      <c r="AF1474" s="67"/>
      <c r="AG1474" s="67"/>
      <c r="AH1474" s="67"/>
      <c r="AI1474" s="67"/>
      <c r="AJ1474" s="67"/>
      <c r="AK1474" s="67"/>
      <c r="AL1474" s="67"/>
      <c r="AM1474" s="67"/>
      <c r="AN1474" s="67"/>
      <c r="AO1474" s="70"/>
      <c r="AP1474" s="70"/>
      <c r="AQ1474" s="70"/>
      <c r="AR1474" s="70"/>
      <c r="AS1474" s="70"/>
      <c r="AT1474" s="70"/>
      <c r="AU1474" s="70"/>
      <c r="AV1474" s="70"/>
      <c r="AW1474" s="70"/>
      <c r="AX1474" s="70"/>
    </row>
    <row r="1475" ht="15.75" customHeight="1">
      <c r="A1475" s="68" t="s">
        <v>2625</v>
      </c>
      <c r="B1475" s="169" t="s">
        <v>9895</v>
      </c>
      <c r="C1475" s="28" t="s">
        <v>9899</v>
      </c>
      <c r="D1475" s="28" t="s">
        <v>9900</v>
      </c>
      <c r="E1475" s="28" t="s">
        <v>9901</v>
      </c>
      <c r="F1475" s="28"/>
      <c r="G1475" s="28"/>
      <c r="H1475" s="28"/>
      <c r="I1475" s="28"/>
      <c r="J1475" s="28" t="s">
        <v>958</v>
      </c>
      <c r="K1475" s="28"/>
      <c r="L1475" s="28"/>
      <c r="M1475" s="28"/>
      <c r="N1475" s="28"/>
      <c r="O1475" s="67"/>
      <c r="P1475" s="67"/>
      <c r="Q1475" s="67" t="s">
        <v>145</v>
      </c>
      <c r="R1475" s="67"/>
      <c r="S1475" s="67"/>
      <c r="T1475" s="67"/>
      <c r="U1475" s="67"/>
      <c r="V1475" s="67"/>
      <c r="W1475" s="67"/>
      <c r="X1475" s="67"/>
      <c r="Y1475" s="67"/>
      <c r="Z1475" s="67"/>
      <c r="AA1475" s="67"/>
      <c r="AB1475" s="67"/>
      <c r="AC1475" s="67"/>
      <c r="AD1475" s="67"/>
      <c r="AE1475" s="67"/>
      <c r="AF1475" s="67"/>
      <c r="AG1475" s="67"/>
      <c r="AH1475" s="67"/>
      <c r="AI1475" s="67"/>
      <c r="AJ1475" s="67"/>
      <c r="AK1475" s="67"/>
      <c r="AL1475" s="67"/>
      <c r="AM1475" s="67"/>
      <c r="AN1475" s="67"/>
      <c r="AO1475" s="70"/>
      <c r="AP1475" s="70"/>
      <c r="AQ1475" s="70"/>
      <c r="AR1475" s="70"/>
      <c r="AS1475" s="70"/>
      <c r="AT1475" s="70"/>
      <c r="AU1475" s="70"/>
      <c r="AV1475" s="70"/>
      <c r="AW1475" s="70"/>
      <c r="AX1475" s="70"/>
    </row>
    <row r="1476" ht="15.75" customHeight="1">
      <c r="A1476" s="68" t="s">
        <v>2625</v>
      </c>
      <c r="B1476" s="169" t="s">
        <v>9902</v>
      </c>
      <c r="C1476" s="28" t="s">
        <v>9906</v>
      </c>
      <c r="D1476" s="28" t="s">
        <v>9907</v>
      </c>
      <c r="E1476" s="28" t="s">
        <v>9908</v>
      </c>
      <c r="F1476" s="28"/>
      <c r="G1476" s="28"/>
      <c r="H1476" s="28"/>
      <c r="I1476" s="28"/>
      <c r="J1476" s="28" t="s">
        <v>958</v>
      </c>
      <c r="K1476" s="28"/>
      <c r="L1476" s="28"/>
      <c r="M1476" s="28"/>
      <c r="N1476" s="28"/>
      <c r="O1476" s="67"/>
      <c r="P1476" s="67"/>
      <c r="Q1476" s="67" t="s">
        <v>145</v>
      </c>
      <c r="R1476" s="67"/>
      <c r="S1476" s="67"/>
      <c r="T1476" s="67"/>
      <c r="U1476" s="67"/>
      <c r="V1476" s="67"/>
      <c r="W1476" s="67"/>
      <c r="X1476" s="67"/>
      <c r="Y1476" s="67"/>
      <c r="Z1476" s="67"/>
      <c r="AA1476" s="67"/>
      <c r="AB1476" s="67"/>
      <c r="AC1476" s="67"/>
      <c r="AD1476" s="67"/>
      <c r="AE1476" s="67"/>
      <c r="AF1476" s="67"/>
      <c r="AG1476" s="67"/>
      <c r="AH1476" s="67"/>
      <c r="AI1476" s="67"/>
      <c r="AJ1476" s="67"/>
      <c r="AK1476" s="67"/>
      <c r="AL1476" s="67"/>
      <c r="AM1476" s="67"/>
      <c r="AN1476" s="67"/>
      <c r="AO1476" s="70"/>
      <c r="AP1476" s="70"/>
      <c r="AQ1476" s="70"/>
      <c r="AR1476" s="70"/>
      <c r="AS1476" s="70"/>
      <c r="AT1476" s="70"/>
      <c r="AU1476" s="70"/>
      <c r="AV1476" s="70"/>
      <c r="AW1476" s="70"/>
      <c r="AX1476" s="70"/>
    </row>
    <row r="1477" ht="15.75" customHeight="1">
      <c r="A1477" s="140" t="s">
        <v>237</v>
      </c>
      <c r="B1477" s="191" t="s">
        <v>9873</v>
      </c>
      <c r="C1477" s="28"/>
      <c r="D1477" s="28"/>
      <c r="E1477" s="28"/>
      <c r="F1477" s="28"/>
      <c r="G1477" s="28"/>
      <c r="H1477" s="28"/>
      <c r="I1477" s="28"/>
      <c r="J1477" s="28"/>
      <c r="K1477" s="28"/>
      <c r="L1477" s="28"/>
      <c r="M1477" s="28"/>
      <c r="N1477" s="28"/>
      <c r="O1477" s="139"/>
      <c r="P1477" s="139"/>
      <c r="Q1477" s="139"/>
      <c r="R1477" s="139"/>
      <c r="S1477" s="139"/>
      <c r="T1477" s="139"/>
      <c r="U1477" s="139"/>
      <c r="V1477" s="139"/>
      <c r="W1477" s="139"/>
      <c r="X1477" s="139"/>
      <c r="Y1477" s="139"/>
      <c r="Z1477" s="139"/>
      <c r="AA1477" s="139"/>
      <c r="AB1477" s="139"/>
      <c r="AC1477" s="139"/>
      <c r="AD1477" s="139"/>
      <c r="AE1477" s="139"/>
      <c r="AF1477" s="139"/>
      <c r="AG1477" s="139"/>
      <c r="AH1477" s="139"/>
      <c r="AI1477" s="139"/>
      <c r="AJ1477" s="139"/>
      <c r="AK1477" s="139"/>
      <c r="AL1477" s="139"/>
      <c r="AM1477" s="139"/>
      <c r="AN1477" s="139"/>
      <c r="AO1477" s="70"/>
      <c r="AP1477" s="70"/>
      <c r="AQ1477" s="70"/>
      <c r="AR1477" s="70"/>
      <c r="AS1477" s="70"/>
      <c r="AT1477" s="70"/>
      <c r="AU1477" s="70"/>
      <c r="AV1477" s="70"/>
      <c r="AW1477" s="70"/>
      <c r="AX1477" s="70"/>
    </row>
    <row r="1478" ht="15.75" customHeight="1">
      <c r="A1478" s="140" t="s">
        <v>131</v>
      </c>
      <c r="B1478" s="164" t="s">
        <v>9909</v>
      </c>
      <c r="C1478" s="28"/>
      <c r="D1478" s="28"/>
      <c r="E1478" s="28"/>
      <c r="F1478" s="28"/>
      <c r="G1478" s="28"/>
      <c r="H1478" s="28"/>
      <c r="I1478" s="28"/>
      <c r="J1478" s="28" t="s">
        <v>931</v>
      </c>
      <c r="K1478" s="28"/>
      <c r="L1478" s="28"/>
      <c r="M1478" s="28"/>
      <c r="N1478" s="28"/>
      <c r="O1478" s="190" t="s">
        <v>10899</v>
      </c>
      <c r="P1478" s="139"/>
      <c r="Q1478" s="139"/>
      <c r="R1478" s="139"/>
      <c r="S1478" s="139"/>
      <c r="T1478" s="139"/>
      <c r="U1478" s="139"/>
      <c r="V1478" s="139"/>
      <c r="W1478" s="139"/>
      <c r="X1478" s="139"/>
      <c r="Y1478" s="139"/>
      <c r="Z1478" s="139"/>
      <c r="AA1478" s="139"/>
      <c r="AB1478" s="139"/>
      <c r="AC1478" s="139"/>
      <c r="AD1478" s="139"/>
      <c r="AE1478" s="139"/>
      <c r="AF1478" s="139"/>
      <c r="AG1478" s="139"/>
      <c r="AH1478" s="139"/>
      <c r="AI1478" s="139"/>
      <c r="AJ1478" s="139"/>
      <c r="AK1478" s="139"/>
      <c r="AL1478" s="139"/>
      <c r="AM1478" s="139"/>
      <c r="AN1478" s="139"/>
      <c r="AO1478" s="70"/>
      <c r="AP1478" s="70"/>
      <c r="AQ1478" s="70"/>
      <c r="AR1478" s="70"/>
      <c r="AS1478" s="70"/>
      <c r="AT1478" s="70"/>
      <c r="AU1478" s="70"/>
      <c r="AV1478" s="70"/>
      <c r="AW1478" s="70"/>
      <c r="AX1478" s="70"/>
    </row>
    <row r="1479" ht="15.75" customHeight="1">
      <c r="A1479" s="166" t="s">
        <v>41</v>
      </c>
      <c r="B1479" s="167" t="s">
        <v>9910</v>
      </c>
      <c r="C1479" s="28" t="s">
        <v>9914</v>
      </c>
      <c r="D1479" s="28" t="s">
        <v>9915</v>
      </c>
      <c r="E1479" s="28" t="s">
        <v>9916</v>
      </c>
      <c r="F1479" s="28"/>
      <c r="G1479" s="28"/>
      <c r="H1479" s="28"/>
      <c r="I1479" s="28"/>
      <c r="J1479" s="28" t="s">
        <v>8</v>
      </c>
      <c r="K1479" s="28"/>
      <c r="L1479" s="28"/>
      <c r="M1479" s="28"/>
      <c r="N1479" s="28"/>
      <c r="O1479" s="126"/>
      <c r="P1479" s="126"/>
      <c r="Q1479" s="126"/>
      <c r="R1479" s="126"/>
      <c r="S1479" s="126"/>
      <c r="T1479" s="126"/>
      <c r="U1479" s="126"/>
      <c r="V1479" s="126"/>
      <c r="W1479" s="126"/>
      <c r="X1479" s="126"/>
      <c r="Y1479" s="126"/>
      <c r="Z1479" s="126"/>
      <c r="AA1479" s="126"/>
      <c r="AB1479" s="126"/>
      <c r="AC1479" s="126"/>
      <c r="AD1479" s="126"/>
      <c r="AE1479" s="126"/>
      <c r="AF1479" s="126"/>
      <c r="AG1479" s="126"/>
      <c r="AH1479" s="126"/>
      <c r="AI1479" s="126"/>
      <c r="AJ1479" s="126"/>
      <c r="AK1479" s="126"/>
      <c r="AL1479" s="126"/>
      <c r="AM1479" s="126"/>
      <c r="AN1479" s="126"/>
      <c r="AO1479" s="70"/>
      <c r="AP1479" s="70"/>
      <c r="AQ1479" s="70"/>
      <c r="AR1479" s="70"/>
      <c r="AS1479" s="70"/>
      <c r="AT1479" s="70"/>
      <c r="AU1479" s="70"/>
      <c r="AV1479" s="70"/>
      <c r="AW1479" s="70"/>
      <c r="AX1479" s="70"/>
    </row>
    <row r="1480" ht="15.75" customHeight="1">
      <c r="A1480" s="170" t="s">
        <v>263</v>
      </c>
      <c r="B1480" s="171" t="s">
        <v>9917</v>
      </c>
      <c r="C1480" s="28" t="s">
        <v>9921</v>
      </c>
      <c r="D1480" s="28" t="s">
        <v>9922</v>
      </c>
      <c r="E1480" s="28" t="s">
        <v>9923</v>
      </c>
      <c r="F1480" s="28" t="s">
        <v>10900</v>
      </c>
      <c r="G1480" s="28" t="s">
        <v>10901</v>
      </c>
      <c r="H1480" s="28" t="s">
        <v>10902</v>
      </c>
      <c r="I1480" s="28"/>
      <c r="J1480" s="28" t="s">
        <v>958</v>
      </c>
      <c r="K1480" s="28" t="s">
        <v>864</v>
      </c>
      <c r="L1480" s="28"/>
      <c r="M1480" s="28"/>
      <c r="N1480" s="28"/>
      <c r="O1480" s="173" t="s">
        <v>10903</v>
      </c>
      <c r="P1480" s="173"/>
      <c r="Q1480" s="173" t="s">
        <v>145</v>
      </c>
      <c r="R1480" s="173"/>
      <c r="S1480" s="173"/>
      <c r="T1480" s="173"/>
      <c r="U1480" s="173"/>
      <c r="V1480" s="173"/>
      <c r="W1480" s="173"/>
      <c r="X1480" s="173"/>
      <c r="Y1480" s="173"/>
      <c r="Z1480" s="173"/>
      <c r="AA1480" s="173"/>
      <c r="AB1480" s="173"/>
      <c r="AC1480" s="173"/>
      <c r="AD1480" s="173"/>
      <c r="AE1480" s="173"/>
      <c r="AF1480" s="173"/>
      <c r="AG1480" s="173"/>
      <c r="AH1480" s="173"/>
      <c r="AI1480" s="173"/>
      <c r="AJ1480" s="173"/>
      <c r="AK1480" s="173"/>
      <c r="AL1480" s="173"/>
      <c r="AM1480" s="173"/>
      <c r="AN1480" s="173"/>
      <c r="AO1480" s="70"/>
      <c r="AP1480" s="70"/>
      <c r="AQ1480" s="70"/>
      <c r="AR1480" s="70"/>
      <c r="AS1480" s="70"/>
      <c r="AT1480" s="70"/>
      <c r="AU1480" s="70"/>
      <c r="AV1480" s="70"/>
      <c r="AW1480" s="70"/>
      <c r="AX1480" s="70"/>
    </row>
    <row r="1481" ht="15.75" customHeight="1">
      <c r="A1481" s="170" t="s">
        <v>263</v>
      </c>
      <c r="B1481" s="171" t="s">
        <v>9924</v>
      </c>
      <c r="C1481" s="28" t="s">
        <v>9928</v>
      </c>
      <c r="D1481" s="28" t="s">
        <v>9929</v>
      </c>
      <c r="E1481" s="28" t="s">
        <v>9930</v>
      </c>
      <c r="F1481" s="28"/>
      <c r="G1481" s="28"/>
      <c r="H1481" s="28"/>
      <c r="I1481" s="28"/>
      <c r="J1481" s="28" t="s">
        <v>958</v>
      </c>
      <c r="K1481" s="28" t="s">
        <v>864</v>
      </c>
      <c r="L1481" s="28"/>
      <c r="M1481" s="28"/>
      <c r="N1481" s="28"/>
      <c r="O1481" s="173" t="s">
        <v>10904</v>
      </c>
      <c r="P1481" s="173"/>
      <c r="Q1481" s="173" t="s">
        <v>145</v>
      </c>
      <c r="R1481" s="173"/>
      <c r="S1481" s="173"/>
      <c r="T1481" s="173"/>
      <c r="U1481" s="173"/>
      <c r="V1481" s="173"/>
      <c r="W1481" s="173"/>
      <c r="X1481" s="173"/>
      <c r="Y1481" s="173"/>
      <c r="Z1481" s="173"/>
      <c r="AA1481" s="173"/>
      <c r="AB1481" s="173"/>
      <c r="AC1481" s="173"/>
      <c r="AD1481" s="173"/>
      <c r="AE1481" s="173"/>
      <c r="AF1481" s="173"/>
      <c r="AG1481" s="173"/>
      <c r="AH1481" s="173"/>
      <c r="AI1481" s="173"/>
      <c r="AJ1481" s="173"/>
      <c r="AK1481" s="173"/>
      <c r="AL1481" s="173"/>
      <c r="AM1481" s="173"/>
      <c r="AN1481" s="173"/>
      <c r="AO1481" s="70"/>
      <c r="AP1481" s="70"/>
      <c r="AQ1481" s="70"/>
      <c r="AR1481" s="70"/>
      <c r="AS1481" s="70"/>
      <c r="AT1481" s="70"/>
      <c r="AU1481" s="70"/>
      <c r="AV1481" s="70"/>
      <c r="AW1481" s="70"/>
      <c r="AX1481" s="70"/>
    </row>
    <row r="1482" ht="15.75" customHeight="1">
      <c r="A1482" s="170" t="s">
        <v>263</v>
      </c>
      <c r="B1482" s="171" t="s">
        <v>9931</v>
      </c>
      <c r="C1482" s="28" t="s">
        <v>9935</v>
      </c>
      <c r="D1482" s="28" t="s">
        <v>9936</v>
      </c>
      <c r="E1482" s="28" t="s">
        <v>9937</v>
      </c>
      <c r="F1482" s="28"/>
      <c r="G1482" s="28"/>
      <c r="H1482" s="28"/>
      <c r="I1482" s="28"/>
      <c r="J1482" s="28" t="s">
        <v>958</v>
      </c>
      <c r="K1482" s="28" t="s">
        <v>864</v>
      </c>
      <c r="L1482" s="28"/>
      <c r="M1482" s="28"/>
      <c r="N1482" s="28"/>
      <c r="O1482" s="170" t="s">
        <v>10905</v>
      </c>
      <c r="P1482" s="170"/>
      <c r="Q1482" s="170" t="s">
        <v>145</v>
      </c>
      <c r="R1482" s="173"/>
      <c r="S1482" s="173"/>
      <c r="T1482" s="173"/>
      <c r="U1482" s="173"/>
      <c r="V1482" s="173"/>
      <c r="W1482" s="173"/>
      <c r="X1482" s="173"/>
      <c r="Y1482" s="173"/>
      <c r="Z1482" s="173"/>
      <c r="AA1482" s="173"/>
      <c r="AB1482" s="173"/>
      <c r="AC1482" s="173"/>
      <c r="AD1482" s="173"/>
      <c r="AE1482" s="173"/>
      <c r="AF1482" s="173"/>
      <c r="AG1482" s="173"/>
      <c r="AH1482" s="173"/>
      <c r="AI1482" s="173"/>
      <c r="AJ1482" s="173"/>
      <c r="AK1482" s="173"/>
      <c r="AL1482" s="173"/>
      <c r="AM1482" s="173"/>
      <c r="AN1482" s="173"/>
      <c r="AO1482" s="70"/>
      <c r="AP1482" s="70"/>
      <c r="AQ1482" s="70"/>
      <c r="AR1482" s="70"/>
      <c r="AS1482" s="70"/>
      <c r="AT1482" s="70"/>
      <c r="AU1482" s="70"/>
      <c r="AV1482" s="70"/>
      <c r="AW1482" s="70"/>
      <c r="AX1482" s="70"/>
    </row>
    <row r="1483" ht="15.75" customHeight="1">
      <c r="A1483" s="140" t="s">
        <v>237</v>
      </c>
      <c r="B1483" s="191" t="s">
        <v>9909</v>
      </c>
      <c r="C1483" s="28"/>
      <c r="D1483" s="28"/>
      <c r="E1483" s="28"/>
      <c r="F1483" s="28"/>
      <c r="G1483" s="28"/>
      <c r="H1483" s="28"/>
      <c r="I1483" s="28"/>
      <c r="J1483" s="28"/>
      <c r="K1483" s="28"/>
      <c r="L1483" s="28"/>
      <c r="M1483" s="28"/>
      <c r="N1483" s="28"/>
      <c r="O1483" s="139"/>
      <c r="P1483" s="140"/>
      <c r="Q1483" s="140"/>
      <c r="R1483" s="139"/>
      <c r="S1483" s="139"/>
      <c r="T1483" s="139"/>
      <c r="U1483" s="139"/>
      <c r="V1483" s="139"/>
      <c r="W1483" s="139"/>
      <c r="X1483" s="139"/>
      <c r="Y1483" s="139"/>
      <c r="Z1483" s="139"/>
      <c r="AA1483" s="139"/>
      <c r="AB1483" s="139"/>
      <c r="AC1483" s="139"/>
      <c r="AD1483" s="139"/>
      <c r="AE1483" s="139"/>
      <c r="AF1483" s="139"/>
      <c r="AG1483" s="139"/>
      <c r="AH1483" s="139"/>
      <c r="AI1483" s="139"/>
      <c r="AJ1483" s="139"/>
      <c r="AK1483" s="139"/>
      <c r="AL1483" s="139"/>
      <c r="AM1483" s="139"/>
      <c r="AN1483" s="139"/>
      <c r="AO1483" s="70"/>
      <c r="AP1483" s="70"/>
      <c r="AQ1483" s="70"/>
      <c r="AR1483" s="70"/>
      <c r="AS1483" s="70"/>
      <c r="AT1483" s="70"/>
      <c r="AU1483" s="70"/>
      <c r="AV1483" s="70"/>
      <c r="AW1483" s="70"/>
      <c r="AX1483" s="70"/>
    </row>
    <row r="1484" ht="15.75" customHeight="1">
      <c r="A1484" s="174" t="s">
        <v>1015</v>
      </c>
      <c r="B1484" s="204" t="s">
        <v>9869</v>
      </c>
      <c r="C1484" s="28" t="s">
        <v>9870</v>
      </c>
      <c r="D1484" s="28"/>
      <c r="E1484" s="28"/>
      <c r="F1484" s="28"/>
      <c r="G1484" s="28"/>
      <c r="H1484" s="28"/>
      <c r="I1484" s="28"/>
      <c r="J1484" s="28"/>
      <c r="K1484" s="28"/>
      <c r="L1484" s="28"/>
      <c r="M1484" s="28"/>
      <c r="N1484" s="28"/>
      <c r="O1484" s="174"/>
      <c r="P1484" s="174"/>
      <c r="Q1484" s="174"/>
      <c r="R1484" s="176"/>
      <c r="S1484" s="176"/>
      <c r="T1484" s="176"/>
      <c r="U1484" s="176"/>
      <c r="V1484" s="176"/>
      <c r="W1484" s="176"/>
      <c r="X1484" s="176"/>
      <c r="Y1484" s="176"/>
      <c r="Z1484" s="176"/>
      <c r="AA1484" s="176"/>
      <c r="AB1484" s="176"/>
      <c r="AC1484" s="176"/>
      <c r="AD1484" s="176"/>
      <c r="AE1484" s="176"/>
      <c r="AF1484" s="176"/>
      <c r="AG1484" s="176"/>
      <c r="AH1484" s="176"/>
      <c r="AI1484" s="176"/>
      <c r="AJ1484" s="176"/>
      <c r="AK1484" s="176"/>
      <c r="AL1484" s="176"/>
      <c r="AM1484" s="176"/>
      <c r="AN1484" s="176"/>
      <c r="AO1484" s="70"/>
      <c r="AP1484" s="70"/>
      <c r="AQ1484" s="70"/>
      <c r="AR1484" s="70"/>
      <c r="AS1484" s="70"/>
      <c r="AT1484" s="70"/>
      <c r="AU1484" s="70"/>
      <c r="AV1484" s="70"/>
      <c r="AW1484" s="70"/>
      <c r="AX1484" s="70"/>
    </row>
    <row r="1485" ht="15.75" customHeight="1">
      <c r="A1485" s="90" t="s">
        <v>134</v>
      </c>
      <c r="B1485" s="92" t="s">
        <v>9938</v>
      </c>
      <c r="C1485" s="28"/>
      <c r="D1485" s="28"/>
      <c r="E1485" s="28"/>
      <c r="F1485" s="28"/>
      <c r="G1485" s="28"/>
      <c r="H1485" s="28"/>
      <c r="I1485" s="28"/>
      <c r="J1485" s="28"/>
      <c r="K1485" s="28"/>
      <c r="L1485" s="28"/>
      <c r="M1485" s="28"/>
      <c r="N1485" s="28"/>
      <c r="O1485" s="96"/>
      <c r="P1485" s="96"/>
      <c r="Q1485" s="96"/>
      <c r="R1485" s="96"/>
      <c r="S1485" s="96"/>
      <c r="T1485" s="178" t="s">
        <v>139</v>
      </c>
      <c r="U1485" s="96"/>
      <c r="V1485" s="96"/>
      <c r="W1485" s="96"/>
      <c r="X1485" s="96"/>
      <c r="Y1485" s="96"/>
      <c r="Z1485" s="96"/>
      <c r="AA1485" s="96"/>
      <c r="AB1485" s="96"/>
      <c r="AC1485" s="96"/>
      <c r="AD1485" s="70"/>
      <c r="AE1485" s="70"/>
      <c r="AF1485" s="70"/>
      <c r="AG1485" s="70"/>
      <c r="AH1485" s="70"/>
      <c r="AI1485" s="70"/>
      <c r="AJ1485" s="70"/>
      <c r="AK1485" s="70"/>
      <c r="AL1485" s="70"/>
      <c r="AM1485" s="70"/>
      <c r="AN1485" s="70"/>
      <c r="AO1485" s="70"/>
      <c r="AP1485" s="70"/>
      <c r="AQ1485" s="70"/>
      <c r="AR1485" s="70"/>
      <c r="AS1485" s="70"/>
      <c r="AT1485" s="70"/>
      <c r="AU1485" s="70"/>
      <c r="AV1485" s="70"/>
      <c r="AW1485" s="70"/>
      <c r="AX1485" s="70"/>
    </row>
    <row r="1486" ht="15.75" customHeight="1">
      <c r="A1486" s="90" t="s">
        <v>78</v>
      </c>
      <c r="B1486" s="92" t="s">
        <v>9939</v>
      </c>
      <c r="C1486" s="28"/>
      <c r="D1486" s="28"/>
      <c r="E1486" s="28"/>
      <c r="F1486" s="28"/>
      <c r="G1486" s="28"/>
      <c r="H1486" s="28"/>
      <c r="I1486" s="28"/>
      <c r="J1486" s="28"/>
      <c r="K1486" s="28"/>
      <c r="L1486" s="28"/>
      <c r="M1486" s="28"/>
      <c r="N1486" s="28"/>
      <c r="O1486" s="96"/>
      <c r="P1486" s="96"/>
      <c r="Q1486" s="96"/>
      <c r="R1486" s="96"/>
      <c r="S1486" s="96"/>
      <c r="T1486" s="178" t="s">
        <v>10906</v>
      </c>
      <c r="U1486" s="96"/>
      <c r="V1486" s="96"/>
      <c r="W1486" s="96"/>
      <c r="X1486" s="96"/>
      <c r="Y1486" s="96"/>
      <c r="Z1486" s="96"/>
      <c r="AA1486" s="96"/>
      <c r="AB1486" s="96"/>
      <c r="AC1486" s="96"/>
      <c r="AD1486" s="70"/>
      <c r="AE1486" s="70"/>
      <c r="AF1486" s="70"/>
      <c r="AG1486" s="70"/>
      <c r="AH1486" s="70"/>
      <c r="AI1486" s="70"/>
      <c r="AJ1486" s="70"/>
      <c r="AK1486" s="70"/>
      <c r="AL1486" s="70"/>
      <c r="AM1486" s="70"/>
      <c r="AN1486" s="70"/>
      <c r="AO1486" s="70"/>
      <c r="AP1486" s="70"/>
      <c r="AQ1486" s="70"/>
      <c r="AR1486" s="70"/>
      <c r="AS1486" s="70"/>
      <c r="AT1486" s="70"/>
      <c r="AU1486" s="70"/>
      <c r="AV1486" s="70"/>
      <c r="AW1486" s="70"/>
      <c r="AX1486" s="70"/>
    </row>
    <row r="1487" ht="15.75" customHeight="1">
      <c r="A1487" s="90" t="s">
        <v>134</v>
      </c>
      <c r="B1487" s="92" t="s">
        <v>9940</v>
      </c>
      <c r="C1487" s="28"/>
      <c r="D1487" s="28"/>
      <c r="E1487" s="28"/>
      <c r="F1487" s="28"/>
      <c r="G1487" s="28"/>
      <c r="H1487" s="28"/>
      <c r="I1487" s="28"/>
      <c r="J1487" s="28"/>
      <c r="K1487" s="28"/>
      <c r="L1487" s="28"/>
      <c r="M1487" s="28"/>
      <c r="N1487" s="28"/>
      <c r="O1487" s="96"/>
      <c r="P1487" s="96"/>
      <c r="Q1487" s="96"/>
      <c r="R1487" s="96"/>
      <c r="S1487" s="96"/>
      <c r="T1487" s="178" t="s">
        <v>139</v>
      </c>
      <c r="U1487" s="96"/>
      <c r="V1487" s="96"/>
      <c r="W1487" s="96"/>
      <c r="X1487" s="96"/>
      <c r="Y1487" s="96"/>
      <c r="Z1487" s="96"/>
      <c r="AA1487" s="96"/>
      <c r="AB1487" s="96"/>
      <c r="AC1487" s="96"/>
      <c r="AD1487" s="70"/>
      <c r="AE1487" s="70"/>
      <c r="AF1487" s="70"/>
      <c r="AG1487" s="70"/>
      <c r="AH1487" s="70"/>
      <c r="AI1487" s="70"/>
      <c r="AJ1487" s="70"/>
      <c r="AK1487" s="70"/>
      <c r="AL1487" s="70"/>
      <c r="AM1487" s="70"/>
      <c r="AN1487" s="70"/>
      <c r="AO1487" s="70"/>
      <c r="AP1487" s="70"/>
      <c r="AQ1487" s="70"/>
      <c r="AR1487" s="70"/>
      <c r="AS1487" s="70"/>
      <c r="AT1487" s="70"/>
      <c r="AU1487" s="70"/>
      <c r="AV1487" s="70"/>
      <c r="AW1487" s="70"/>
      <c r="AX1487" s="70"/>
    </row>
    <row r="1488" ht="15.75" customHeight="1">
      <c r="A1488" s="166" t="s">
        <v>41</v>
      </c>
      <c r="B1488" s="167" t="s">
        <v>9941</v>
      </c>
      <c r="C1488" s="28" t="s">
        <v>9945</v>
      </c>
      <c r="D1488" s="28" t="s">
        <v>9946</v>
      </c>
      <c r="E1488" s="28" t="s">
        <v>9947</v>
      </c>
      <c r="F1488" s="28"/>
      <c r="G1488" s="28"/>
      <c r="H1488" s="28"/>
      <c r="I1488" s="28"/>
      <c r="J1488" s="28"/>
      <c r="K1488" s="28"/>
      <c r="L1488" s="28"/>
      <c r="M1488" s="28"/>
      <c r="N1488" s="28"/>
      <c r="O1488" s="126"/>
      <c r="P1488" s="126"/>
      <c r="Q1488" s="126"/>
      <c r="R1488" s="126"/>
      <c r="S1488" s="126"/>
      <c r="T1488" s="126"/>
      <c r="U1488" s="126"/>
      <c r="V1488" s="126"/>
      <c r="W1488" s="126"/>
      <c r="X1488" s="126"/>
      <c r="Y1488" s="126"/>
      <c r="Z1488" s="126"/>
      <c r="AA1488" s="126"/>
      <c r="AB1488" s="126"/>
      <c r="AC1488" s="126"/>
      <c r="AD1488" s="70"/>
      <c r="AE1488" s="70"/>
      <c r="AF1488" s="70"/>
      <c r="AG1488" s="70"/>
      <c r="AH1488" s="70"/>
      <c r="AI1488" s="70"/>
      <c r="AJ1488" s="70"/>
      <c r="AK1488" s="70"/>
      <c r="AL1488" s="126"/>
      <c r="AM1488" s="126"/>
      <c r="AN1488" s="126"/>
      <c r="AO1488" s="70"/>
      <c r="AP1488" s="70"/>
      <c r="AQ1488" s="70"/>
      <c r="AR1488" s="70"/>
      <c r="AS1488" s="70"/>
      <c r="AT1488" s="70"/>
      <c r="AU1488" s="70"/>
      <c r="AV1488" s="70"/>
      <c r="AW1488" s="70"/>
      <c r="AX1488" s="70"/>
    </row>
    <row r="1489" ht="15.75" customHeight="1">
      <c r="A1489" s="68" t="s">
        <v>2625</v>
      </c>
      <c r="B1489" s="169" t="s">
        <v>9948</v>
      </c>
      <c r="C1489" s="28" t="s">
        <v>9952</v>
      </c>
      <c r="D1489" s="28" t="s">
        <v>9953</v>
      </c>
      <c r="E1489" s="28" t="s">
        <v>9954</v>
      </c>
      <c r="F1489" s="28"/>
      <c r="G1489" s="28"/>
      <c r="H1489" s="28"/>
      <c r="I1489" s="28"/>
      <c r="J1489" s="28"/>
      <c r="K1489" s="28"/>
      <c r="L1489" s="28"/>
      <c r="M1489" s="28"/>
      <c r="N1489" s="28"/>
      <c r="O1489" s="67"/>
      <c r="P1489" s="67"/>
      <c r="Q1489" s="67" t="s">
        <v>145</v>
      </c>
      <c r="R1489" s="67"/>
      <c r="S1489" s="67"/>
      <c r="T1489" s="67"/>
      <c r="U1489" s="67"/>
      <c r="V1489" s="67"/>
      <c r="W1489" s="67"/>
      <c r="X1489" s="67"/>
      <c r="Y1489" s="67"/>
      <c r="Z1489" s="67"/>
      <c r="AA1489" s="67"/>
      <c r="AB1489" s="67"/>
      <c r="AC1489" s="67"/>
      <c r="AD1489" s="70"/>
      <c r="AE1489" s="70"/>
      <c r="AF1489" s="70"/>
      <c r="AG1489" s="70"/>
      <c r="AH1489" s="70"/>
      <c r="AI1489" s="70"/>
      <c r="AJ1489" s="70"/>
      <c r="AK1489" s="70"/>
      <c r="AL1489" s="126"/>
      <c r="AM1489" s="126"/>
      <c r="AN1489" s="126"/>
      <c r="AO1489" s="70"/>
      <c r="AP1489" s="70"/>
      <c r="AQ1489" s="70"/>
      <c r="AR1489" s="70"/>
      <c r="AS1489" s="70"/>
      <c r="AT1489" s="70"/>
      <c r="AU1489" s="70"/>
      <c r="AV1489" s="70"/>
      <c r="AW1489" s="70"/>
      <c r="AX1489" s="70"/>
    </row>
    <row r="1490" ht="15.75" customHeight="1">
      <c r="A1490" s="170" t="s">
        <v>263</v>
      </c>
      <c r="B1490" s="171" t="s">
        <v>9955</v>
      </c>
      <c r="C1490" s="28" t="s">
        <v>9960</v>
      </c>
      <c r="D1490" s="28" t="s">
        <v>9961</v>
      </c>
      <c r="E1490" s="28" t="s">
        <v>9962</v>
      </c>
      <c r="F1490" s="28"/>
      <c r="G1490" s="28"/>
      <c r="H1490" s="28"/>
      <c r="I1490" s="28"/>
      <c r="J1490" s="28"/>
      <c r="K1490" s="28"/>
      <c r="L1490" s="28"/>
      <c r="M1490" s="28"/>
      <c r="N1490" s="28"/>
      <c r="O1490" s="173" t="s">
        <v>10907</v>
      </c>
      <c r="P1490" s="173"/>
      <c r="Q1490" s="173" t="s">
        <v>145</v>
      </c>
      <c r="R1490" s="173"/>
      <c r="S1490" s="173"/>
      <c r="T1490" s="173"/>
      <c r="U1490" s="173"/>
      <c r="V1490" s="173"/>
      <c r="W1490" s="173"/>
      <c r="X1490" s="173"/>
      <c r="Y1490" s="173"/>
      <c r="Z1490" s="173"/>
      <c r="AA1490" s="173"/>
      <c r="AB1490" s="173"/>
      <c r="AC1490" s="173"/>
      <c r="AD1490" s="70"/>
      <c r="AE1490" s="70"/>
      <c r="AF1490" s="70"/>
      <c r="AG1490" s="70"/>
      <c r="AH1490" s="70"/>
      <c r="AI1490" s="70"/>
      <c r="AJ1490" s="70"/>
      <c r="AK1490" s="70"/>
      <c r="AL1490" s="126"/>
      <c r="AM1490" s="126"/>
      <c r="AN1490" s="126"/>
      <c r="AO1490" s="70"/>
      <c r="AP1490" s="70"/>
      <c r="AQ1490" s="70"/>
      <c r="AR1490" s="70"/>
      <c r="AS1490" s="70"/>
      <c r="AT1490" s="70"/>
      <c r="AU1490" s="70"/>
      <c r="AV1490" s="70"/>
      <c r="AW1490" s="70"/>
      <c r="AX1490" s="70"/>
    </row>
    <row r="1491" ht="15.75" customHeight="1">
      <c r="A1491" s="170" t="s">
        <v>263</v>
      </c>
      <c r="B1491" s="171" t="s">
        <v>9963</v>
      </c>
      <c r="C1491" s="28" t="s">
        <v>9967</v>
      </c>
      <c r="D1491" s="28" t="s">
        <v>9968</v>
      </c>
      <c r="E1491" s="28" t="s">
        <v>9969</v>
      </c>
      <c r="F1491" s="28"/>
      <c r="G1491" s="28"/>
      <c r="H1491" s="28"/>
      <c r="I1491" s="28"/>
      <c r="J1491" s="28"/>
      <c r="K1491" s="28"/>
      <c r="L1491" s="28"/>
      <c r="M1491" s="28"/>
      <c r="N1491" s="28"/>
      <c r="O1491" s="173"/>
      <c r="P1491" s="173"/>
      <c r="Q1491" s="173" t="s">
        <v>145</v>
      </c>
      <c r="R1491" s="173"/>
      <c r="S1491" s="173"/>
      <c r="T1491" s="173"/>
      <c r="U1491" s="173"/>
      <c r="V1491" s="173"/>
      <c r="W1491" s="173"/>
      <c r="X1491" s="173"/>
      <c r="Y1491" s="173"/>
      <c r="Z1491" s="173"/>
      <c r="AA1491" s="173"/>
      <c r="AB1491" s="173"/>
      <c r="AC1491" s="173"/>
      <c r="AD1491" s="70"/>
      <c r="AE1491" s="70"/>
      <c r="AF1491" s="70"/>
      <c r="AG1491" s="70"/>
      <c r="AH1491" s="70"/>
      <c r="AI1491" s="70"/>
      <c r="AJ1491" s="70"/>
      <c r="AK1491" s="70"/>
      <c r="AL1491" s="126"/>
      <c r="AM1491" s="126"/>
      <c r="AN1491" s="126"/>
      <c r="AO1491" s="70"/>
      <c r="AP1491" s="70"/>
      <c r="AQ1491" s="70"/>
      <c r="AR1491" s="70"/>
      <c r="AS1491" s="70"/>
      <c r="AT1491" s="70"/>
      <c r="AU1491" s="70"/>
      <c r="AV1491" s="70"/>
      <c r="AW1491" s="70"/>
      <c r="AX1491" s="70"/>
    </row>
    <row r="1492" ht="15.75" customHeight="1">
      <c r="A1492" s="68" t="s">
        <v>2625</v>
      </c>
      <c r="B1492" s="169" t="s">
        <v>9970</v>
      </c>
      <c r="C1492" s="28" t="s">
        <v>9974</v>
      </c>
      <c r="D1492" s="28" t="s">
        <v>9975</v>
      </c>
      <c r="E1492" s="28" t="s">
        <v>9976</v>
      </c>
      <c r="F1492" s="28"/>
      <c r="G1492" s="28"/>
      <c r="H1492" s="28"/>
      <c r="I1492" s="28"/>
      <c r="J1492" s="28"/>
      <c r="K1492" s="28"/>
      <c r="L1492" s="28"/>
      <c r="M1492" s="28"/>
      <c r="N1492" s="28"/>
      <c r="O1492" s="67" t="s">
        <v>10908</v>
      </c>
      <c r="P1492" s="67"/>
      <c r="Q1492" s="67" t="s">
        <v>145</v>
      </c>
      <c r="R1492" s="67"/>
      <c r="S1492" s="67"/>
      <c r="T1492" s="67"/>
      <c r="U1492" s="67"/>
      <c r="V1492" s="67"/>
      <c r="W1492" s="67"/>
      <c r="X1492" s="67"/>
      <c r="Y1492" s="67"/>
      <c r="Z1492" s="67"/>
      <c r="AA1492" s="67"/>
      <c r="AB1492" s="67"/>
      <c r="AC1492" s="67"/>
      <c r="AD1492" s="126"/>
      <c r="AE1492" s="126"/>
      <c r="AF1492" s="126"/>
      <c r="AG1492" s="126"/>
      <c r="AH1492" s="126"/>
      <c r="AI1492" s="126"/>
      <c r="AJ1492" s="126"/>
      <c r="AK1492" s="126"/>
      <c r="AL1492" s="126"/>
      <c r="AM1492" s="126"/>
      <c r="AN1492" s="126"/>
      <c r="AO1492" s="70"/>
      <c r="AP1492" s="70"/>
      <c r="AQ1492" s="70"/>
      <c r="AR1492" s="70"/>
      <c r="AS1492" s="70"/>
      <c r="AT1492" s="70"/>
      <c r="AU1492" s="70"/>
      <c r="AV1492" s="70"/>
      <c r="AW1492" s="70"/>
      <c r="AX1492" s="70"/>
    </row>
    <row r="1493" ht="15.75" customHeight="1">
      <c r="A1493" s="68" t="s">
        <v>463</v>
      </c>
      <c r="B1493" s="169" t="s">
        <v>9977</v>
      </c>
      <c r="C1493" s="28" t="s">
        <v>9981</v>
      </c>
      <c r="D1493" s="28" t="s">
        <v>9982</v>
      </c>
      <c r="E1493" s="28" t="s">
        <v>9983</v>
      </c>
      <c r="F1493" s="28"/>
      <c r="G1493" s="28"/>
      <c r="H1493" s="28"/>
      <c r="I1493" s="28"/>
      <c r="J1493" s="28"/>
      <c r="K1493" s="28"/>
      <c r="L1493" s="28"/>
      <c r="M1493" s="28"/>
      <c r="N1493" s="28"/>
      <c r="O1493" s="67"/>
      <c r="P1493" s="67"/>
      <c r="Q1493" s="67" t="s">
        <v>145</v>
      </c>
      <c r="R1493" s="67"/>
      <c r="S1493" s="67"/>
      <c r="T1493" s="67"/>
      <c r="U1493" s="67"/>
      <c r="V1493" s="67"/>
      <c r="W1493" s="67"/>
      <c r="X1493" s="67"/>
      <c r="Y1493" s="67"/>
      <c r="Z1493" s="67"/>
      <c r="AA1493" s="67"/>
      <c r="AB1493" s="67"/>
      <c r="AC1493" s="67"/>
      <c r="AD1493" s="126"/>
      <c r="AE1493" s="126"/>
      <c r="AF1493" s="126"/>
      <c r="AG1493" s="126"/>
      <c r="AH1493" s="126"/>
      <c r="AI1493" s="126"/>
      <c r="AJ1493" s="126"/>
      <c r="AK1493" s="126"/>
      <c r="AL1493" s="126"/>
      <c r="AM1493" s="126"/>
      <c r="AN1493" s="126"/>
      <c r="AO1493" s="70"/>
      <c r="AP1493" s="70"/>
      <c r="AQ1493" s="70"/>
      <c r="AR1493" s="70"/>
      <c r="AS1493" s="70"/>
      <c r="AT1493" s="70"/>
      <c r="AU1493" s="70"/>
      <c r="AV1493" s="70"/>
      <c r="AW1493" s="70"/>
      <c r="AX1493" s="70"/>
    </row>
    <row r="1494" ht="15.75" customHeight="1">
      <c r="A1494" s="68" t="s">
        <v>2625</v>
      </c>
      <c r="B1494" s="169" t="s">
        <v>9984</v>
      </c>
      <c r="C1494" s="28" t="s">
        <v>9989</v>
      </c>
      <c r="D1494" s="28" t="s">
        <v>9990</v>
      </c>
      <c r="E1494" s="28" t="s">
        <v>9991</v>
      </c>
      <c r="F1494" s="28"/>
      <c r="G1494" s="28"/>
      <c r="H1494" s="28"/>
      <c r="I1494" s="28"/>
      <c r="J1494" s="28"/>
      <c r="K1494" s="28"/>
      <c r="L1494" s="28"/>
      <c r="M1494" s="28"/>
      <c r="N1494" s="28"/>
      <c r="O1494" s="67" t="s">
        <v>10909</v>
      </c>
      <c r="P1494" s="67"/>
      <c r="Q1494" s="67" t="s">
        <v>145</v>
      </c>
      <c r="R1494" s="67"/>
      <c r="S1494" s="67"/>
      <c r="T1494" s="67"/>
      <c r="U1494" s="67"/>
      <c r="V1494" s="67"/>
      <c r="W1494" s="67"/>
      <c r="X1494" s="67"/>
      <c r="Y1494" s="67"/>
      <c r="Z1494" s="67"/>
      <c r="AA1494" s="67"/>
      <c r="AB1494" s="67"/>
      <c r="AC1494" s="67"/>
      <c r="AD1494" s="126"/>
      <c r="AE1494" s="126"/>
      <c r="AF1494" s="126"/>
      <c r="AG1494" s="126"/>
      <c r="AH1494" s="126"/>
      <c r="AI1494" s="126"/>
      <c r="AJ1494" s="126"/>
      <c r="AK1494" s="126"/>
      <c r="AL1494" s="126"/>
      <c r="AM1494" s="126"/>
      <c r="AN1494" s="126"/>
      <c r="AO1494" s="70"/>
      <c r="AP1494" s="70"/>
      <c r="AQ1494" s="70"/>
      <c r="AR1494" s="70"/>
      <c r="AS1494" s="70"/>
      <c r="AT1494" s="70"/>
      <c r="AU1494" s="70"/>
      <c r="AV1494" s="70"/>
      <c r="AW1494" s="70"/>
      <c r="AX1494" s="70"/>
    </row>
    <row r="1495" ht="15.75" customHeight="1">
      <c r="A1495" s="90" t="s">
        <v>134</v>
      </c>
      <c r="B1495" s="92" t="s">
        <v>9992</v>
      </c>
      <c r="C1495" s="28"/>
      <c r="D1495" s="28"/>
      <c r="E1495" s="28"/>
      <c r="F1495" s="28"/>
      <c r="G1495" s="28"/>
      <c r="H1495" s="28"/>
      <c r="I1495" s="28"/>
      <c r="J1495" s="28"/>
      <c r="K1495" s="28"/>
      <c r="L1495" s="28"/>
      <c r="M1495" s="28"/>
      <c r="N1495" s="28"/>
      <c r="O1495" s="96"/>
      <c r="P1495" s="96"/>
      <c r="Q1495" s="96"/>
      <c r="R1495" s="96"/>
      <c r="S1495" s="96"/>
      <c r="T1495" s="178" t="s">
        <v>139</v>
      </c>
      <c r="U1495" s="96"/>
      <c r="V1495" s="96"/>
      <c r="W1495" s="96"/>
      <c r="X1495" s="96"/>
      <c r="Y1495" s="96"/>
      <c r="Z1495" s="96"/>
      <c r="AA1495" s="96"/>
      <c r="AB1495" s="96"/>
      <c r="AC1495" s="96"/>
      <c r="AD1495" s="70"/>
      <c r="AE1495" s="70"/>
      <c r="AF1495" s="70"/>
      <c r="AG1495" s="70"/>
      <c r="AH1495" s="70"/>
      <c r="AI1495" s="70"/>
      <c r="AJ1495" s="70"/>
      <c r="AK1495" s="70"/>
      <c r="AL1495" s="70"/>
      <c r="AM1495" s="70"/>
      <c r="AN1495" s="70"/>
      <c r="AO1495" s="70"/>
      <c r="AP1495" s="70"/>
      <c r="AQ1495" s="70"/>
      <c r="AR1495" s="70"/>
      <c r="AS1495" s="70"/>
      <c r="AT1495" s="70"/>
      <c r="AU1495" s="70"/>
      <c r="AV1495" s="70"/>
      <c r="AW1495" s="70"/>
      <c r="AX1495" s="70"/>
    </row>
    <row r="1496" ht="15.75" customHeight="1">
      <c r="A1496" s="90" t="s">
        <v>78</v>
      </c>
      <c r="B1496" s="92" t="s">
        <v>9993</v>
      </c>
      <c r="C1496" s="28"/>
      <c r="D1496" s="28"/>
      <c r="E1496" s="28"/>
      <c r="F1496" s="28"/>
      <c r="G1496" s="28"/>
      <c r="H1496" s="28"/>
      <c r="I1496" s="28"/>
      <c r="J1496" s="28"/>
      <c r="K1496" s="28"/>
      <c r="L1496" s="28"/>
      <c r="M1496" s="28"/>
      <c r="N1496" s="28"/>
      <c r="O1496" s="96"/>
      <c r="P1496" s="96"/>
      <c r="Q1496" s="96"/>
      <c r="R1496" s="96"/>
      <c r="S1496" s="96"/>
      <c r="T1496" s="178" t="s">
        <v>10910</v>
      </c>
      <c r="U1496" s="96"/>
      <c r="V1496" s="96"/>
      <c r="W1496" s="96"/>
      <c r="X1496" s="96"/>
      <c r="Y1496" s="96"/>
      <c r="Z1496" s="96"/>
      <c r="AA1496" s="96"/>
      <c r="AB1496" s="96"/>
      <c r="AC1496" s="96"/>
      <c r="AD1496" s="70"/>
      <c r="AE1496" s="70"/>
      <c r="AF1496" s="70"/>
      <c r="AG1496" s="70"/>
      <c r="AH1496" s="70"/>
      <c r="AI1496" s="70"/>
      <c r="AJ1496" s="70"/>
      <c r="AK1496" s="70"/>
      <c r="AL1496" s="70"/>
      <c r="AM1496" s="70"/>
      <c r="AN1496" s="70"/>
      <c r="AO1496" s="70"/>
      <c r="AP1496" s="70"/>
      <c r="AQ1496" s="70"/>
      <c r="AR1496" s="70"/>
      <c r="AS1496" s="70"/>
      <c r="AT1496" s="70"/>
      <c r="AU1496" s="70"/>
      <c r="AV1496" s="70"/>
      <c r="AW1496" s="70"/>
      <c r="AX1496" s="70"/>
    </row>
    <row r="1497" ht="15.75" customHeight="1">
      <c r="A1497" s="90" t="s">
        <v>134</v>
      </c>
      <c r="B1497" s="92" t="s">
        <v>9994</v>
      </c>
      <c r="C1497" s="28"/>
      <c r="D1497" s="28"/>
      <c r="E1497" s="28"/>
      <c r="F1497" s="28"/>
      <c r="G1497" s="28"/>
      <c r="H1497" s="28"/>
      <c r="I1497" s="28"/>
      <c r="J1497" s="28"/>
      <c r="K1497" s="28"/>
      <c r="L1497" s="28"/>
      <c r="M1497" s="28"/>
      <c r="N1497" s="28"/>
      <c r="O1497" s="96"/>
      <c r="P1497" s="96"/>
      <c r="Q1497" s="96"/>
      <c r="R1497" s="96"/>
      <c r="S1497" s="96"/>
      <c r="T1497" s="178" t="s">
        <v>139</v>
      </c>
      <c r="U1497" s="96"/>
      <c r="V1497" s="96"/>
      <c r="W1497" s="96"/>
      <c r="X1497" s="96"/>
      <c r="Y1497" s="96"/>
      <c r="Z1497" s="96"/>
      <c r="AA1497" s="96"/>
      <c r="AB1497" s="96"/>
      <c r="AC1497" s="96"/>
      <c r="AD1497" s="70"/>
      <c r="AE1497" s="70"/>
      <c r="AF1497" s="70"/>
      <c r="AG1497" s="70"/>
      <c r="AH1497" s="70"/>
      <c r="AI1497" s="70"/>
      <c r="AJ1497" s="70"/>
      <c r="AK1497" s="70"/>
      <c r="AL1497" s="70"/>
      <c r="AM1497" s="70"/>
      <c r="AN1497" s="70"/>
      <c r="AO1497" s="70"/>
      <c r="AP1497" s="70"/>
      <c r="AQ1497" s="70"/>
      <c r="AR1497" s="70"/>
      <c r="AS1497" s="70"/>
      <c r="AT1497" s="70"/>
      <c r="AU1497" s="70"/>
      <c r="AV1497" s="70"/>
      <c r="AW1497" s="70"/>
      <c r="AX1497" s="70"/>
    </row>
    <row r="1498" ht="15.75" customHeight="1">
      <c r="A1498" s="166" t="s">
        <v>41</v>
      </c>
      <c r="B1498" s="167" t="s">
        <v>9995</v>
      </c>
      <c r="C1498" s="28" t="s">
        <v>9999</v>
      </c>
      <c r="D1498" s="28" t="s">
        <v>10000</v>
      </c>
      <c r="E1498" s="28" t="s">
        <v>10001</v>
      </c>
      <c r="F1498" s="28"/>
      <c r="G1498" s="28"/>
      <c r="H1498" s="28"/>
      <c r="I1498" s="28"/>
      <c r="J1498" s="28"/>
      <c r="K1498" s="28"/>
      <c r="L1498" s="28"/>
      <c r="M1498" s="28"/>
      <c r="N1498" s="28"/>
      <c r="O1498" s="126"/>
      <c r="P1498" s="126"/>
      <c r="Q1498" s="126"/>
      <c r="R1498" s="126"/>
      <c r="S1498" s="126"/>
      <c r="T1498" s="126"/>
      <c r="U1498" s="126"/>
      <c r="V1498" s="126"/>
      <c r="W1498" s="126"/>
      <c r="X1498" s="126"/>
      <c r="Y1498" s="126"/>
      <c r="Z1498" s="126"/>
      <c r="AA1498" s="126"/>
      <c r="AB1498" s="126"/>
      <c r="AC1498" s="126"/>
      <c r="AD1498" s="126"/>
      <c r="AE1498" s="126"/>
      <c r="AF1498" s="126"/>
      <c r="AG1498" s="126"/>
      <c r="AH1498" s="126"/>
      <c r="AI1498" s="126"/>
      <c r="AJ1498" s="126"/>
      <c r="AK1498" s="126"/>
      <c r="AL1498" s="126"/>
      <c r="AM1498" s="126"/>
      <c r="AN1498" s="126"/>
      <c r="AO1498" s="70"/>
      <c r="AP1498" s="70"/>
      <c r="AQ1498" s="70"/>
      <c r="AR1498" s="70"/>
      <c r="AS1498" s="70"/>
      <c r="AT1498" s="70"/>
      <c r="AU1498" s="70"/>
      <c r="AV1498" s="70"/>
      <c r="AW1498" s="70"/>
      <c r="AX1498" s="70"/>
    </row>
    <row r="1499" ht="15.75" customHeight="1">
      <c r="A1499" s="68" t="s">
        <v>2625</v>
      </c>
      <c r="B1499" s="169" t="s">
        <v>10002</v>
      </c>
      <c r="C1499" s="28" t="s">
        <v>10007</v>
      </c>
      <c r="D1499" s="28" t="s">
        <v>10008</v>
      </c>
      <c r="E1499" s="28" t="s">
        <v>10009</v>
      </c>
      <c r="F1499" s="28"/>
      <c r="G1499" s="28"/>
      <c r="H1499" s="28"/>
      <c r="I1499" s="28"/>
      <c r="J1499" s="28"/>
      <c r="K1499" s="28"/>
      <c r="L1499" s="28"/>
      <c r="M1499" s="28"/>
      <c r="N1499" s="28"/>
      <c r="O1499" s="67"/>
      <c r="P1499" s="67"/>
      <c r="Q1499" s="67" t="s">
        <v>145</v>
      </c>
      <c r="R1499" s="67"/>
      <c r="S1499" s="67"/>
      <c r="T1499" s="67"/>
      <c r="U1499" s="67"/>
      <c r="V1499" s="67"/>
      <c r="W1499" s="67"/>
      <c r="X1499" s="67"/>
      <c r="Y1499" s="67"/>
      <c r="Z1499" s="67"/>
      <c r="AA1499" s="67"/>
      <c r="AB1499" s="67"/>
      <c r="AC1499" s="67"/>
      <c r="AD1499" s="67"/>
      <c r="AE1499" s="67"/>
      <c r="AF1499" s="67"/>
      <c r="AG1499" s="67"/>
      <c r="AH1499" s="67"/>
      <c r="AI1499" s="67"/>
      <c r="AJ1499" s="67"/>
      <c r="AK1499" s="67"/>
      <c r="AL1499" s="67"/>
      <c r="AM1499" s="67"/>
      <c r="AN1499" s="67"/>
      <c r="AO1499" s="70"/>
      <c r="AP1499" s="70"/>
      <c r="AQ1499" s="70"/>
      <c r="AR1499" s="70"/>
      <c r="AS1499" s="70"/>
      <c r="AT1499" s="70"/>
      <c r="AU1499" s="70"/>
      <c r="AV1499" s="70"/>
      <c r="AW1499" s="70"/>
      <c r="AX1499" s="70"/>
    </row>
    <row r="1500" ht="15.75" customHeight="1">
      <c r="A1500" s="170" t="s">
        <v>263</v>
      </c>
      <c r="B1500" s="171" t="s">
        <v>10010</v>
      </c>
      <c r="C1500" s="28" t="s">
        <v>10014</v>
      </c>
      <c r="D1500" s="28" t="s">
        <v>10015</v>
      </c>
      <c r="E1500" s="28" t="s">
        <v>10016</v>
      </c>
      <c r="F1500" s="28"/>
      <c r="G1500" s="28"/>
      <c r="H1500" s="28"/>
      <c r="I1500" s="28"/>
      <c r="J1500" s="28"/>
      <c r="K1500" s="28" t="s">
        <v>907</v>
      </c>
      <c r="L1500" s="28"/>
      <c r="M1500" s="28"/>
      <c r="N1500" s="28"/>
      <c r="O1500" s="173" t="s">
        <v>10911</v>
      </c>
      <c r="P1500" s="173"/>
      <c r="Q1500" s="173" t="s">
        <v>145</v>
      </c>
      <c r="R1500" s="173"/>
      <c r="S1500" s="173"/>
      <c r="T1500" s="173"/>
      <c r="U1500" s="173"/>
      <c r="V1500" s="173"/>
      <c r="W1500" s="173"/>
      <c r="X1500" s="173"/>
      <c r="Y1500" s="173"/>
      <c r="Z1500" s="173"/>
      <c r="AA1500" s="173"/>
      <c r="AB1500" s="173"/>
      <c r="AC1500" s="173"/>
      <c r="AD1500" s="173"/>
      <c r="AE1500" s="173"/>
      <c r="AF1500" s="173"/>
      <c r="AG1500" s="173"/>
      <c r="AH1500" s="173"/>
      <c r="AI1500" s="173"/>
      <c r="AJ1500" s="173"/>
      <c r="AK1500" s="173"/>
      <c r="AL1500" s="173"/>
      <c r="AM1500" s="173"/>
      <c r="AN1500" s="173"/>
      <c r="AO1500" s="70"/>
      <c r="AP1500" s="70"/>
      <c r="AQ1500" s="70"/>
      <c r="AR1500" s="70"/>
      <c r="AS1500" s="70"/>
      <c r="AT1500" s="70"/>
      <c r="AU1500" s="70"/>
      <c r="AV1500" s="70"/>
      <c r="AW1500" s="70"/>
      <c r="AX1500" s="70"/>
    </row>
    <row r="1501" ht="15.75" customHeight="1">
      <c r="A1501" s="68" t="s">
        <v>2625</v>
      </c>
      <c r="B1501" s="169" t="s">
        <v>10017</v>
      </c>
      <c r="C1501" s="28" t="s">
        <v>10022</v>
      </c>
      <c r="D1501" s="28" t="s">
        <v>10023</v>
      </c>
      <c r="E1501" s="28" t="s">
        <v>10024</v>
      </c>
      <c r="F1501" s="28"/>
      <c r="G1501" s="28"/>
      <c r="H1501" s="28"/>
      <c r="I1501" s="28"/>
      <c r="J1501" s="28"/>
      <c r="K1501" s="28"/>
      <c r="L1501" s="28"/>
      <c r="M1501" s="28"/>
      <c r="N1501" s="28"/>
      <c r="O1501" s="67"/>
      <c r="P1501" s="67"/>
      <c r="Q1501" s="67" t="s">
        <v>145</v>
      </c>
      <c r="R1501" s="67"/>
      <c r="S1501" s="67"/>
      <c r="T1501" s="67"/>
      <c r="U1501" s="67"/>
      <c r="V1501" s="67"/>
      <c r="W1501" s="67"/>
      <c r="X1501" s="67"/>
      <c r="Y1501" s="67"/>
      <c r="Z1501" s="67"/>
      <c r="AA1501" s="67"/>
      <c r="AB1501" s="67"/>
      <c r="AC1501" s="67"/>
      <c r="AD1501" s="67"/>
      <c r="AE1501" s="67"/>
      <c r="AF1501" s="67"/>
      <c r="AG1501" s="67"/>
      <c r="AH1501" s="67"/>
      <c r="AI1501" s="67"/>
      <c r="AJ1501" s="67"/>
      <c r="AK1501" s="67"/>
      <c r="AL1501" s="67"/>
      <c r="AM1501" s="67"/>
      <c r="AN1501" s="67"/>
      <c r="AO1501" s="70"/>
      <c r="AP1501" s="70"/>
      <c r="AQ1501" s="70"/>
      <c r="AR1501" s="70"/>
      <c r="AS1501" s="70"/>
      <c r="AT1501" s="70"/>
      <c r="AU1501" s="70"/>
      <c r="AV1501" s="70"/>
      <c r="AW1501" s="70"/>
      <c r="AX1501" s="70"/>
    </row>
    <row r="1502" ht="15.75" customHeight="1">
      <c r="A1502" s="170" t="s">
        <v>263</v>
      </c>
      <c r="B1502" s="171" t="s">
        <v>10025</v>
      </c>
      <c r="C1502" s="28" t="s">
        <v>10029</v>
      </c>
      <c r="D1502" s="28" t="s">
        <v>10030</v>
      </c>
      <c r="E1502" s="28" t="s">
        <v>10031</v>
      </c>
      <c r="F1502" s="28"/>
      <c r="G1502" s="28"/>
      <c r="H1502" s="28"/>
      <c r="I1502" s="28"/>
      <c r="J1502" s="28"/>
      <c r="K1502" s="28" t="s">
        <v>907</v>
      </c>
      <c r="L1502" s="28"/>
      <c r="M1502" s="28"/>
      <c r="N1502" s="28"/>
      <c r="O1502" s="173" t="s">
        <v>10912</v>
      </c>
      <c r="P1502" s="173"/>
      <c r="Q1502" s="173" t="s">
        <v>145</v>
      </c>
      <c r="R1502" s="173"/>
      <c r="S1502" s="173"/>
      <c r="T1502" s="173"/>
      <c r="U1502" s="173"/>
      <c r="V1502" s="173"/>
      <c r="W1502" s="173"/>
      <c r="X1502" s="173"/>
      <c r="Y1502" s="173"/>
      <c r="Z1502" s="173"/>
      <c r="AA1502" s="173"/>
      <c r="AB1502" s="173"/>
      <c r="AC1502" s="173"/>
      <c r="AD1502" s="173"/>
      <c r="AE1502" s="173"/>
      <c r="AF1502" s="173"/>
      <c r="AG1502" s="173"/>
      <c r="AH1502" s="173"/>
      <c r="AI1502" s="173"/>
      <c r="AJ1502" s="173"/>
      <c r="AK1502" s="173"/>
      <c r="AL1502" s="173"/>
      <c r="AM1502" s="173"/>
      <c r="AN1502" s="173"/>
      <c r="AO1502" s="70"/>
      <c r="AP1502" s="70"/>
      <c r="AQ1502" s="70"/>
      <c r="AR1502" s="70"/>
      <c r="AS1502" s="70"/>
      <c r="AT1502" s="70"/>
      <c r="AU1502" s="70"/>
      <c r="AV1502" s="70"/>
      <c r="AW1502" s="70"/>
      <c r="AX1502" s="70"/>
    </row>
    <row r="1503" ht="15.75" customHeight="1">
      <c r="A1503" s="170" t="s">
        <v>263</v>
      </c>
      <c r="B1503" s="171" t="s">
        <v>10032</v>
      </c>
      <c r="C1503" s="28" t="s">
        <v>10036</v>
      </c>
      <c r="D1503" s="28" t="s">
        <v>10037</v>
      </c>
      <c r="E1503" s="28" t="s">
        <v>10038</v>
      </c>
      <c r="F1503" s="28"/>
      <c r="G1503" s="28"/>
      <c r="H1503" s="28"/>
      <c r="I1503" s="28"/>
      <c r="J1503" s="28"/>
      <c r="K1503" s="28" t="s">
        <v>907</v>
      </c>
      <c r="L1503" s="28"/>
      <c r="M1503" s="28"/>
      <c r="N1503" s="28"/>
      <c r="O1503" s="173"/>
      <c r="P1503" s="173"/>
      <c r="Q1503" s="173" t="s">
        <v>145</v>
      </c>
      <c r="R1503" s="173"/>
      <c r="S1503" s="173"/>
      <c r="T1503" s="173"/>
      <c r="U1503" s="173"/>
      <c r="V1503" s="173"/>
      <c r="W1503" s="173"/>
      <c r="X1503" s="173"/>
      <c r="Y1503" s="173"/>
      <c r="Z1503" s="173"/>
      <c r="AA1503" s="173"/>
      <c r="AB1503" s="173"/>
      <c r="AC1503" s="173"/>
      <c r="AD1503" s="173"/>
      <c r="AE1503" s="173"/>
      <c r="AF1503" s="173"/>
      <c r="AG1503" s="173"/>
      <c r="AH1503" s="173"/>
      <c r="AI1503" s="173"/>
      <c r="AJ1503" s="173"/>
      <c r="AK1503" s="173"/>
      <c r="AL1503" s="173"/>
      <c r="AM1503" s="173"/>
      <c r="AN1503" s="173"/>
      <c r="AO1503" s="70"/>
      <c r="AP1503" s="70"/>
      <c r="AQ1503" s="70"/>
      <c r="AR1503" s="70"/>
      <c r="AS1503" s="70"/>
      <c r="AT1503" s="70"/>
      <c r="AU1503" s="70"/>
      <c r="AV1503" s="70"/>
      <c r="AW1503" s="70"/>
      <c r="AX1503" s="70"/>
    </row>
    <row r="1504" ht="15.75" customHeight="1">
      <c r="A1504" s="68" t="s">
        <v>2625</v>
      </c>
      <c r="B1504" s="169" t="s">
        <v>10040</v>
      </c>
      <c r="C1504" s="28" t="s">
        <v>10044</v>
      </c>
      <c r="D1504" s="28" t="s">
        <v>10045</v>
      </c>
      <c r="E1504" s="28" t="s">
        <v>10046</v>
      </c>
      <c r="F1504" s="28"/>
      <c r="G1504" s="28"/>
      <c r="H1504" s="28"/>
      <c r="I1504" s="28"/>
      <c r="J1504" s="28"/>
      <c r="K1504" s="28"/>
      <c r="L1504" s="28"/>
      <c r="M1504" s="28"/>
      <c r="N1504" s="28"/>
      <c r="O1504" s="67"/>
      <c r="P1504" s="67"/>
      <c r="Q1504" s="67" t="s">
        <v>145</v>
      </c>
      <c r="R1504" s="67"/>
      <c r="S1504" s="67"/>
      <c r="T1504" s="67"/>
      <c r="U1504" s="67"/>
      <c r="V1504" s="67"/>
      <c r="W1504" s="67"/>
      <c r="X1504" s="67"/>
      <c r="Y1504" s="67"/>
      <c r="Z1504" s="67"/>
      <c r="AA1504" s="67"/>
      <c r="AB1504" s="67"/>
      <c r="AC1504" s="67"/>
      <c r="AD1504" s="67"/>
      <c r="AE1504" s="67"/>
      <c r="AF1504" s="67"/>
      <c r="AG1504" s="67"/>
      <c r="AH1504" s="67"/>
      <c r="AI1504" s="67"/>
      <c r="AJ1504" s="67"/>
      <c r="AK1504" s="67"/>
      <c r="AL1504" s="67"/>
      <c r="AM1504" s="67"/>
      <c r="AN1504" s="67"/>
      <c r="AO1504" s="70"/>
      <c r="AP1504" s="70"/>
      <c r="AQ1504" s="70"/>
      <c r="AR1504" s="70"/>
      <c r="AS1504" s="70"/>
      <c r="AT1504" s="70"/>
      <c r="AU1504" s="70"/>
      <c r="AV1504" s="70"/>
      <c r="AW1504" s="70"/>
      <c r="AX1504" s="70"/>
    </row>
    <row r="1505" ht="15.75" customHeight="1">
      <c r="A1505" s="170" t="s">
        <v>263</v>
      </c>
      <c r="B1505" s="171" t="s">
        <v>10047</v>
      </c>
      <c r="C1505" s="28" t="s">
        <v>10051</v>
      </c>
      <c r="D1505" s="28" t="s">
        <v>10052</v>
      </c>
      <c r="E1505" s="28" t="s">
        <v>10053</v>
      </c>
      <c r="F1505" s="28"/>
      <c r="G1505" s="28"/>
      <c r="H1505" s="28"/>
      <c r="I1505" s="28"/>
      <c r="J1505" s="28"/>
      <c r="K1505" s="28" t="s">
        <v>907</v>
      </c>
      <c r="L1505" s="28"/>
      <c r="M1505" s="28"/>
      <c r="N1505" s="28"/>
      <c r="O1505" s="173" t="s">
        <v>10913</v>
      </c>
      <c r="P1505" s="173"/>
      <c r="Q1505" s="173" t="s">
        <v>145</v>
      </c>
      <c r="R1505" s="173"/>
      <c r="S1505" s="173"/>
      <c r="T1505" s="173"/>
      <c r="U1505" s="173"/>
      <c r="V1505" s="173"/>
      <c r="W1505" s="173"/>
      <c r="X1505" s="173"/>
      <c r="Y1505" s="173"/>
      <c r="Z1505" s="173"/>
      <c r="AA1505" s="173"/>
      <c r="AB1505" s="173"/>
      <c r="AC1505" s="173"/>
      <c r="AD1505" s="173"/>
      <c r="AE1505" s="173"/>
      <c r="AF1505" s="173"/>
      <c r="AG1505" s="173"/>
      <c r="AH1505" s="173"/>
      <c r="AI1505" s="173"/>
      <c r="AJ1505" s="173"/>
      <c r="AK1505" s="173"/>
      <c r="AL1505" s="173"/>
      <c r="AM1505" s="173"/>
      <c r="AN1505" s="173"/>
      <c r="AO1505" s="70"/>
      <c r="AP1505" s="70"/>
      <c r="AQ1505" s="70"/>
      <c r="AR1505" s="70"/>
      <c r="AS1505" s="70"/>
      <c r="AT1505" s="70"/>
      <c r="AU1505" s="70"/>
      <c r="AV1505" s="70"/>
      <c r="AW1505" s="70"/>
      <c r="AX1505" s="70"/>
    </row>
    <row r="1506" ht="15.75" customHeight="1">
      <c r="A1506" s="68" t="s">
        <v>2625</v>
      </c>
      <c r="B1506" s="169" t="s">
        <v>10054</v>
      </c>
      <c r="C1506" s="28" t="s">
        <v>10061</v>
      </c>
      <c r="D1506" s="28" t="s">
        <v>10062</v>
      </c>
      <c r="E1506" s="28" t="s">
        <v>10063</v>
      </c>
      <c r="F1506" s="28"/>
      <c r="G1506" s="28"/>
      <c r="H1506" s="28"/>
      <c r="I1506" s="28"/>
      <c r="J1506" s="28"/>
      <c r="K1506" s="28"/>
      <c r="L1506" s="28"/>
      <c r="M1506" s="28"/>
      <c r="N1506" s="28"/>
      <c r="O1506" s="67"/>
      <c r="P1506" s="67"/>
      <c r="Q1506" s="67" t="s">
        <v>145</v>
      </c>
      <c r="R1506" s="67"/>
      <c r="S1506" s="67"/>
      <c r="T1506" s="67"/>
      <c r="U1506" s="67"/>
      <c r="V1506" s="67"/>
      <c r="W1506" s="67"/>
      <c r="X1506" s="67"/>
      <c r="Y1506" s="67"/>
      <c r="Z1506" s="67"/>
      <c r="AA1506" s="67"/>
      <c r="AB1506" s="67"/>
      <c r="AC1506" s="67"/>
      <c r="AD1506" s="67"/>
      <c r="AE1506" s="67"/>
      <c r="AF1506" s="67"/>
      <c r="AG1506" s="67"/>
      <c r="AH1506" s="67"/>
      <c r="AI1506" s="67"/>
      <c r="AJ1506" s="67"/>
      <c r="AK1506" s="67"/>
      <c r="AL1506" s="67"/>
      <c r="AM1506" s="67"/>
      <c r="AN1506" s="67"/>
      <c r="AO1506" s="70"/>
      <c r="AP1506" s="70"/>
      <c r="AQ1506" s="70"/>
      <c r="AR1506" s="70"/>
      <c r="AS1506" s="70"/>
      <c r="AT1506" s="70"/>
      <c r="AU1506" s="70"/>
      <c r="AV1506" s="70"/>
      <c r="AW1506" s="70"/>
      <c r="AX1506" s="70"/>
    </row>
    <row r="1507" ht="15.75" customHeight="1">
      <c r="A1507" s="170" t="s">
        <v>263</v>
      </c>
      <c r="B1507" s="171" t="s">
        <v>10064</v>
      </c>
      <c r="C1507" s="28" t="s">
        <v>10068</v>
      </c>
      <c r="D1507" s="28" t="s">
        <v>10069</v>
      </c>
      <c r="E1507" s="28" t="s">
        <v>10070</v>
      </c>
      <c r="F1507" s="28"/>
      <c r="G1507" s="28"/>
      <c r="H1507" s="28"/>
      <c r="I1507" s="28"/>
      <c r="J1507" s="28"/>
      <c r="K1507" s="28" t="s">
        <v>907</v>
      </c>
      <c r="L1507" s="28"/>
      <c r="M1507" s="28"/>
      <c r="N1507" s="28"/>
      <c r="O1507" s="173" t="s">
        <v>10914</v>
      </c>
      <c r="P1507" s="173"/>
      <c r="Q1507" s="173" t="s">
        <v>145</v>
      </c>
      <c r="R1507" s="173"/>
      <c r="S1507" s="173"/>
      <c r="T1507" s="173"/>
      <c r="U1507" s="173"/>
      <c r="V1507" s="173"/>
      <c r="W1507" s="173"/>
      <c r="X1507" s="173"/>
      <c r="Y1507" s="173"/>
      <c r="Z1507" s="173"/>
      <c r="AA1507" s="173"/>
      <c r="AB1507" s="173"/>
      <c r="AC1507" s="173"/>
      <c r="AD1507" s="173"/>
      <c r="AE1507" s="173"/>
      <c r="AF1507" s="173"/>
      <c r="AG1507" s="173"/>
      <c r="AH1507" s="173"/>
      <c r="AI1507" s="173"/>
      <c r="AJ1507" s="173"/>
      <c r="AK1507" s="173"/>
      <c r="AL1507" s="173"/>
      <c r="AM1507" s="173"/>
      <c r="AN1507" s="173"/>
      <c r="AO1507" s="70"/>
      <c r="AP1507" s="70"/>
      <c r="AQ1507" s="70"/>
      <c r="AR1507" s="70"/>
      <c r="AS1507" s="70"/>
      <c r="AT1507" s="70"/>
      <c r="AU1507" s="70"/>
      <c r="AV1507" s="70"/>
      <c r="AW1507" s="70"/>
      <c r="AX1507" s="70"/>
    </row>
    <row r="1508" ht="15.75" customHeight="1">
      <c r="A1508" s="170" t="s">
        <v>263</v>
      </c>
      <c r="B1508" s="171" t="s">
        <v>10071</v>
      </c>
      <c r="C1508" s="28" t="s">
        <v>10075</v>
      </c>
      <c r="D1508" s="28" t="s">
        <v>10076</v>
      </c>
      <c r="E1508" s="28" t="s">
        <v>10077</v>
      </c>
      <c r="F1508" s="28"/>
      <c r="G1508" s="28"/>
      <c r="H1508" s="28"/>
      <c r="I1508" s="28"/>
      <c r="J1508" s="28"/>
      <c r="K1508" s="28" t="s">
        <v>907</v>
      </c>
      <c r="L1508" s="28"/>
      <c r="M1508" s="28"/>
      <c r="N1508" s="28"/>
      <c r="O1508" s="173"/>
      <c r="P1508" s="173"/>
      <c r="Q1508" s="173" t="s">
        <v>145</v>
      </c>
      <c r="R1508" s="173"/>
      <c r="S1508" s="173"/>
      <c r="T1508" s="173"/>
      <c r="U1508" s="173"/>
      <c r="V1508" s="173"/>
      <c r="W1508" s="173"/>
      <c r="X1508" s="173"/>
      <c r="Y1508" s="173"/>
      <c r="Z1508" s="173"/>
      <c r="AA1508" s="173"/>
      <c r="AB1508" s="173"/>
      <c r="AC1508" s="173"/>
      <c r="AD1508" s="173"/>
      <c r="AE1508" s="173"/>
      <c r="AF1508" s="173"/>
      <c r="AG1508" s="173"/>
      <c r="AH1508" s="173"/>
      <c r="AI1508" s="173"/>
      <c r="AJ1508" s="173"/>
      <c r="AK1508" s="173"/>
      <c r="AL1508" s="173"/>
      <c r="AM1508" s="173"/>
      <c r="AN1508" s="173"/>
      <c r="AO1508" s="70"/>
      <c r="AP1508" s="70"/>
      <c r="AQ1508" s="70"/>
      <c r="AR1508" s="70"/>
      <c r="AS1508" s="70"/>
      <c r="AT1508" s="70"/>
      <c r="AU1508" s="70"/>
      <c r="AV1508" s="70"/>
      <c r="AW1508" s="70"/>
      <c r="AX1508" s="70"/>
    </row>
    <row r="1509" ht="15.75" customHeight="1">
      <c r="A1509" s="90" t="s">
        <v>134</v>
      </c>
      <c r="B1509" s="92" t="s">
        <v>10078</v>
      </c>
      <c r="C1509" s="28"/>
      <c r="D1509" s="28"/>
      <c r="E1509" s="28"/>
      <c r="F1509" s="28"/>
      <c r="G1509" s="28"/>
      <c r="H1509" s="28"/>
      <c r="I1509" s="28"/>
      <c r="J1509" s="28"/>
      <c r="K1509" s="28"/>
      <c r="L1509" s="28"/>
      <c r="M1509" s="28"/>
      <c r="N1509" s="28"/>
      <c r="O1509" s="96"/>
      <c r="P1509" s="96"/>
      <c r="Q1509" s="96"/>
      <c r="R1509" s="96"/>
      <c r="S1509" s="96"/>
      <c r="T1509" s="178" t="s">
        <v>139</v>
      </c>
      <c r="U1509" s="96"/>
      <c r="V1509" s="96"/>
      <c r="W1509" s="96"/>
      <c r="X1509" s="96"/>
      <c r="Y1509" s="96"/>
      <c r="Z1509" s="96"/>
      <c r="AA1509" s="96"/>
      <c r="AB1509" s="96"/>
      <c r="AC1509" s="96"/>
      <c r="AD1509" s="70"/>
      <c r="AE1509" s="70"/>
      <c r="AF1509" s="70"/>
      <c r="AG1509" s="70"/>
      <c r="AH1509" s="70"/>
      <c r="AI1509" s="70"/>
      <c r="AJ1509" s="70"/>
      <c r="AK1509" s="70"/>
      <c r="AL1509" s="70"/>
      <c r="AM1509" s="70"/>
      <c r="AN1509" s="70"/>
      <c r="AO1509" s="70"/>
      <c r="AP1509" s="70"/>
      <c r="AQ1509" s="70"/>
      <c r="AR1509" s="70"/>
      <c r="AS1509" s="70"/>
      <c r="AT1509" s="70"/>
      <c r="AU1509" s="70"/>
      <c r="AV1509" s="70"/>
      <c r="AW1509" s="70"/>
      <c r="AX1509" s="70"/>
    </row>
    <row r="1510" ht="15.75" customHeight="1">
      <c r="A1510" s="90" t="s">
        <v>78</v>
      </c>
      <c r="B1510" s="92" t="s">
        <v>10080</v>
      </c>
      <c r="C1510" s="28"/>
      <c r="D1510" s="28"/>
      <c r="E1510" s="28"/>
      <c r="F1510" s="28"/>
      <c r="G1510" s="28"/>
      <c r="H1510" s="28"/>
      <c r="I1510" s="28"/>
      <c r="J1510" s="28"/>
      <c r="K1510" s="28"/>
      <c r="L1510" s="28"/>
      <c r="M1510" s="28"/>
      <c r="N1510" s="28"/>
      <c r="O1510" s="96"/>
      <c r="P1510" s="96"/>
      <c r="Q1510" s="96"/>
      <c r="R1510" s="96"/>
      <c r="S1510" s="96"/>
      <c r="T1510" s="178" t="s">
        <v>10915</v>
      </c>
      <c r="U1510" s="96"/>
      <c r="V1510" s="96"/>
      <c r="W1510" s="96"/>
      <c r="X1510" s="96"/>
      <c r="Y1510" s="96"/>
      <c r="Z1510" s="96"/>
      <c r="AA1510" s="96"/>
      <c r="AB1510" s="96"/>
      <c r="AC1510" s="96"/>
      <c r="AD1510" s="70"/>
      <c r="AE1510" s="70"/>
      <c r="AF1510" s="70"/>
      <c r="AG1510" s="70"/>
      <c r="AH1510" s="70"/>
      <c r="AI1510" s="70"/>
      <c r="AJ1510" s="70"/>
      <c r="AK1510" s="70"/>
      <c r="AL1510" s="70"/>
      <c r="AM1510" s="70"/>
      <c r="AN1510" s="70"/>
      <c r="AO1510" s="70"/>
      <c r="AP1510" s="70"/>
      <c r="AQ1510" s="70"/>
      <c r="AR1510" s="70"/>
      <c r="AS1510" s="70"/>
      <c r="AT1510" s="70"/>
      <c r="AU1510" s="70"/>
      <c r="AV1510" s="70"/>
      <c r="AW1510" s="70"/>
      <c r="AX1510" s="70"/>
    </row>
    <row r="1511" ht="15.75" customHeight="1">
      <c r="A1511" s="221"/>
      <c r="B1511" s="222"/>
      <c r="C1511" s="28" t="s">
        <v>50</v>
      </c>
      <c r="D1511" s="28" t="s">
        <v>50</v>
      </c>
      <c r="E1511" s="28" t="s">
        <v>50</v>
      </c>
      <c r="F1511" s="28"/>
      <c r="G1511" s="28"/>
      <c r="H1511" s="28"/>
      <c r="I1511" s="28"/>
      <c r="J1511" s="28"/>
      <c r="K1511" s="28"/>
      <c r="L1511" s="28"/>
      <c r="M1511" s="28"/>
      <c r="N1511" s="28"/>
      <c r="O1511" s="70"/>
      <c r="P1511" s="70"/>
      <c r="Q1511" s="70"/>
      <c r="R1511" s="70"/>
      <c r="S1511" s="70"/>
      <c r="T1511" s="70"/>
      <c r="U1511" s="70"/>
      <c r="V1511" s="70"/>
      <c r="W1511" s="70"/>
      <c r="X1511" s="70"/>
      <c r="Y1511" s="70"/>
      <c r="Z1511" s="70"/>
      <c r="AA1511" s="70"/>
      <c r="AB1511" s="70"/>
      <c r="AC1511" s="70"/>
      <c r="AD1511" s="70"/>
      <c r="AE1511" s="70"/>
      <c r="AF1511" s="70"/>
      <c r="AG1511" s="70"/>
      <c r="AH1511" s="70"/>
      <c r="AI1511" s="70"/>
      <c r="AJ1511" s="70"/>
      <c r="AK1511" s="70"/>
      <c r="AL1511" s="70"/>
      <c r="AM1511" s="70"/>
      <c r="AN1511" s="70"/>
      <c r="AO1511" s="70"/>
      <c r="AP1511" s="70"/>
      <c r="AQ1511" s="70"/>
      <c r="AR1511" s="70"/>
      <c r="AS1511" s="70"/>
      <c r="AT1511" s="70"/>
      <c r="AU1511" s="70"/>
      <c r="AV1511" s="70"/>
      <c r="AW1511" s="70"/>
      <c r="AX1511" s="70"/>
    </row>
    <row r="1512" ht="15.75" customHeight="1">
      <c r="A1512" s="140" t="s">
        <v>131</v>
      </c>
      <c r="B1512" s="164" t="s">
        <v>10081</v>
      </c>
      <c r="C1512" s="28"/>
      <c r="D1512" s="28"/>
      <c r="E1512" s="28"/>
      <c r="F1512" s="28"/>
      <c r="G1512" s="28"/>
      <c r="H1512" s="28"/>
      <c r="I1512" s="28"/>
      <c r="J1512" s="28"/>
      <c r="K1512" s="28"/>
      <c r="L1512" s="28"/>
      <c r="M1512" s="28"/>
      <c r="N1512" s="28"/>
      <c r="O1512" s="190"/>
      <c r="P1512" s="139"/>
      <c r="Q1512" s="139"/>
      <c r="R1512" s="139"/>
      <c r="S1512" s="139"/>
      <c r="T1512" s="139"/>
      <c r="U1512" s="139"/>
      <c r="V1512" s="139"/>
      <c r="W1512" s="139"/>
      <c r="X1512" s="139"/>
      <c r="Y1512" s="139"/>
      <c r="Z1512" s="139"/>
      <c r="AA1512" s="139"/>
      <c r="AB1512" s="139"/>
      <c r="AC1512" s="139"/>
      <c r="AD1512" s="70"/>
      <c r="AE1512" s="70"/>
      <c r="AF1512" s="70"/>
      <c r="AG1512" s="70"/>
      <c r="AH1512" s="70"/>
      <c r="AI1512" s="70"/>
      <c r="AJ1512" s="70"/>
      <c r="AK1512" s="70"/>
      <c r="AL1512" s="70"/>
      <c r="AM1512" s="70"/>
      <c r="AN1512" s="70"/>
      <c r="AO1512" s="70"/>
      <c r="AP1512" s="70"/>
      <c r="AQ1512" s="70"/>
      <c r="AR1512" s="70"/>
      <c r="AS1512" s="70"/>
      <c r="AT1512" s="70"/>
      <c r="AU1512" s="70"/>
      <c r="AV1512" s="70"/>
      <c r="AW1512" s="70"/>
      <c r="AX1512" s="70"/>
    </row>
    <row r="1513" ht="15.75" customHeight="1">
      <c r="A1513" s="90" t="s">
        <v>134</v>
      </c>
      <c r="B1513" s="92" t="s">
        <v>10082</v>
      </c>
      <c r="C1513" s="28"/>
      <c r="D1513" s="28"/>
      <c r="E1513" s="28"/>
      <c r="F1513" s="28"/>
      <c r="G1513" s="28"/>
      <c r="H1513" s="28"/>
      <c r="I1513" s="28"/>
      <c r="J1513" s="28"/>
      <c r="K1513" s="28"/>
      <c r="L1513" s="28"/>
      <c r="M1513" s="28"/>
      <c r="N1513" s="28"/>
      <c r="O1513" s="96"/>
      <c r="P1513" s="96"/>
      <c r="Q1513" s="96"/>
      <c r="R1513" s="96"/>
      <c r="S1513" s="96"/>
      <c r="T1513" s="178" t="s">
        <v>139</v>
      </c>
      <c r="U1513" s="96"/>
      <c r="V1513" s="96"/>
      <c r="W1513" s="96"/>
      <c r="X1513" s="96"/>
      <c r="Y1513" s="96"/>
      <c r="Z1513" s="96"/>
      <c r="AA1513" s="96"/>
      <c r="AB1513" s="96"/>
      <c r="AC1513" s="96"/>
      <c r="AD1513" s="70"/>
      <c r="AE1513" s="70"/>
      <c r="AF1513" s="70"/>
      <c r="AG1513" s="70"/>
      <c r="AH1513" s="70"/>
      <c r="AI1513" s="70"/>
      <c r="AJ1513" s="70"/>
      <c r="AK1513" s="70"/>
      <c r="AL1513" s="70"/>
      <c r="AM1513" s="70"/>
      <c r="AN1513" s="70"/>
      <c r="AO1513" s="70"/>
      <c r="AP1513" s="70"/>
      <c r="AQ1513" s="70"/>
      <c r="AR1513" s="70"/>
      <c r="AS1513" s="70"/>
      <c r="AT1513" s="70"/>
      <c r="AU1513" s="70"/>
      <c r="AV1513" s="70"/>
      <c r="AW1513" s="70"/>
      <c r="AX1513" s="70"/>
    </row>
    <row r="1514" ht="15.75" customHeight="1">
      <c r="A1514" s="68" t="s">
        <v>10083</v>
      </c>
      <c r="B1514" s="169" t="s">
        <v>10084</v>
      </c>
      <c r="C1514" s="28" t="s">
        <v>10088</v>
      </c>
      <c r="D1514" s="28" t="s">
        <v>10089</v>
      </c>
      <c r="E1514" s="28" t="s">
        <v>10090</v>
      </c>
      <c r="F1514" s="28"/>
      <c r="G1514" s="28"/>
      <c r="H1514" s="28"/>
      <c r="I1514" s="28"/>
      <c r="J1514" s="28"/>
      <c r="K1514" s="28" t="s">
        <v>10916</v>
      </c>
      <c r="L1514" s="28"/>
      <c r="M1514" s="28"/>
      <c r="N1514" s="28"/>
      <c r="O1514" s="67"/>
      <c r="P1514" s="67"/>
      <c r="Q1514" s="67" t="s">
        <v>145</v>
      </c>
      <c r="R1514" s="67"/>
      <c r="S1514" s="67"/>
      <c r="T1514" s="67"/>
      <c r="U1514" s="67"/>
      <c r="V1514" s="67"/>
      <c r="W1514" s="67"/>
      <c r="X1514" s="67"/>
      <c r="Y1514" s="67"/>
      <c r="Z1514" s="67"/>
      <c r="AA1514" s="67"/>
      <c r="AB1514" s="67"/>
      <c r="AC1514" s="67"/>
      <c r="AD1514" s="67"/>
      <c r="AE1514" s="67"/>
      <c r="AF1514" s="67"/>
      <c r="AG1514" s="67"/>
      <c r="AH1514" s="67"/>
      <c r="AI1514" s="67"/>
      <c r="AJ1514" s="67"/>
      <c r="AK1514" s="67"/>
      <c r="AL1514" s="67"/>
      <c r="AM1514" s="67"/>
      <c r="AN1514" s="67"/>
      <c r="AO1514" s="70"/>
      <c r="AP1514" s="70"/>
      <c r="AQ1514" s="70"/>
      <c r="AR1514" s="70"/>
      <c r="AS1514" s="70"/>
      <c r="AT1514" s="70"/>
      <c r="AU1514" s="70"/>
      <c r="AV1514" s="70"/>
      <c r="AW1514" s="70"/>
      <c r="AX1514" s="70"/>
    </row>
    <row r="1515" ht="15.75" customHeight="1">
      <c r="A1515" s="174" t="s">
        <v>698</v>
      </c>
      <c r="B1515" s="175" t="s">
        <v>10091</v>
      </c>
      <c r="C1515" s="28" t="s">
        <v>10092</v>
      </c>
      <c r="D1515" s="28" t="s">
        <v>10093</v>
      </c>
      <c r="E1515" s="28" t="s">
        <v>10094</v>
      </c>
      <c r="F1515" s="28"/>
      <c r="G1515" s="28"/>
      <c r="H1515" s="28"/>
      <c r="I1515" s="28"/>
      <c r="J1515" s="28"/>
      <c r="K1515" s="28"/>
      <c r="L1515" s="28"/>
      <c r="M1515" s="28"/>
      <c r="N1515" s="28"/>
      <c r="O1515" s="177" t="s">
        <v>10917</v>
      </c>
      <c r="P1515" s="176"/>
      <c r="Q1515" s="176"/>
      <c r="R1515" s="176"/>
      <c r="S1515" s="176"/>
      <c r="T1515" s="176"/>
      <c r="U1515" s="177" t="s">
        <v>10918</v>
      </c>
      <c r="V1515" s="176"/>
      <c r="W1515" s="176"/>
      <c r="X1515" s="176"/>
      <c r="Y1515" s="176"/>
      <c r="Z1515" s="176"/>
      <c r="AA1515" s="176"/>
      <c r="AB1515" s="176"/>
      <c r="AC1515" s="176"/>
      <c r="AD1515" s="176"/>
      <c r="AE1515" s="176"/>
      <c r="AF1515" s="176"/>
      <c r="AG1515" s="176"/>
      <c r="AH1515" s="176"/>
      <c r="AI1515" s="176"/>
      <c r="AJ1515" s="176"/>
      <c r="AK1515" s="176"/>
      <c r="AL1515" s="176"/>
      <c r="AM1515" s="176"/>
      <c r="AN1515" s="176"/>
      <c r="AO1515" s="70"/>
      <c r="AP1515" s="70"/>
      <c r="AQ1515" s="70"/>
      <c r="AR1515" s="70"/>
      <c r="AS1515" s="70"/>
      <c r="AT1515" s="70"/>
      <c r="AU1515" s="70"/>
      <c r="AV1515" s="70"/>
      <c r="AW1515" s="70"/>
      <c r="AX1515" s="70"/>
    </row>
    <row r="1516" ht="15.75" customHeight="1">
      <c r="A1516" s="90" t="s">
        <v>78</v>
      </c>
      <c r="B1516" s="92" t="s">
        <v>10095</v>
      </c>
      <c r="C1516" s="28" t="s">
        <v>10096</v>
      </c>
      <c r="D1516" s="28" t="s">
        <v>10097</v>
      </c>
      <c r="E1516" s="28" t="s">
        <v>10098</v>
      </c>
      <c r="F1516" s="28"/>
      <c r="G1516" s="28"/>
      <c r="H1516" s="28"/>
      <c r="I1516" s="28"/>
      <c r="J1516" s="28"/>
      <c r="K1516" s="28"/>
      <c r="L1516" s="28"/>
      <c r="M1516" s="28"/>
      <c r="N1516" s="28"/>
      <c r="O1516" s="96"/>
      <c r="P1516" s="96"/>
      <c r="Q1516" s="96"/>
      <c r="R1516" s="96"/>
      <c r="S1516" s="96"/>
      <c r="T1516" s="178" t="s">
        <v>10919</v>
      </c>
      <c r="U1516" s="96"/>
      <c r="V1516" s="96"/>
      <c r="W1516" s="96"/>
      <c r="X1516" s="96"/>
      <c r="Y1516" s="96"/>
      <c r="Z1516" s="96"/>
      <c r="AA1516" s="96"/>
      <c r="AB1516" s="96"/>
      <c r="AC1516" s="96"/>
      <c r="AD1516" s="96"/>
      <c r="AE1516" s="96"/>
      <c r="AF1516" s="96"/>
      <c r="AG1516" s="96"/>
      <c r="AH1516" s="96"/>
      <c r="AI1516" s="96"/>
      <c r="AJ1516" s="96"/>
      <c r="AK1516" s="96"/>
      <c r="AL1516" s="96"/>
      <c r="AM1516" s="96"/>
      <c r="AN1516" s="96"/>
      <c r="AO1516" s="70"/>
      <c r="AP1516" s="70"/>
      <c r="AQ1516" s="70"/>
      <c r="AR1516" s="70"/>
      <c r="AS1516" s="70"/>
      <c r="AT1516" s="70"/>
      <c r="AU1516" s="70"/>
      <c r="AV1516" s="70"/>
      <c r="AW1516" s="70"/>
      <c r="AX1516" s="70"/>
    </row>
    <row r="1517" ht="15.75" customHeight="1">
      <c r="A1517" s="170" t="s">
        <v>263</v>
      </c>
      <c r="B1517" s="171" t="s">
        <v>10099</v>
      </c>
      <c r="C1517" s="28" t="s">
        <v>10103</v>
      </c>
      <c r="D1517" s="28" t="s">
        <v>10104</v>
      </c>
      <c r="E1517" s="28" t="s">
        <v>10105</v>
      </c>
      <c r="F1517" s="28"/>
      <c r="G1517" s="28"/>
      <c r="H1517" s="28"/>
      <c r="I1517" s="28"/>
      <c r="J1517" s="28"/>
      <c r="K1517" s="28" t="s">
        <v>864</v>
      </c>
      <c r="L1517" s="28"/>
      <c r="M1517" s="28"/>
      <c r="N1517" s="28"/>
      <c r="O1517" s="173"/>
      <c r="P1517" s="173"/>
      <c r="Q1517" s="173" t="s">
        <v>145</v>
      </c>
      <c r="R1517" s="173"/>
      <c r="S1517" s="173"/>
      <c r="T1517" s="173"/>
      <c r="U1517" s="173"/>
      <c r="V1517" s="173"/>
      <c r="W1517" s="173"/>
      <c r="X1517" s="173"/>
      <c r="Y1517" s="173"/>
      <c r="Z1517" s="173"/>
      <c r="AA1517" s="173"/>
      <c r="AB1517" s="173"/>
      <c r="AC1517" s="173"/>
      <c r="AD1517" s="173"/>
      <c r="AE1517" s="173"/>
      <c r="AF1517" s="173"/>
      <c r="AG1517" s="173"/>
      <c r="AH1517" s="173"/>
      <c r="AI1517" s="173"/>
      <c r="AJ1517" s="173"/>
      <c r="AK1517" s="173"/>
      <c r="AL1517" s="173"/>
      <c r="AM1517" s="173"/>
      <c r="AN1517" s="173"/>
      <c r="AO1517" s="70"/>
      <c r="AP1517" s="70"/>
      <c r="AQ1517" s="70"/>
      <c r="AR1517" s="70"/>
      <c r="AS1517" s="70"/>
      <c r="AT1517" s="70"/>
      <c r="AU1517" s="70"/>
      <c r="AV1517" s="70"/>
      <c r="AW1517" s="70"/>
      <c r="AX1517" s="70"/>
    </row>
    <row r="1518" ht="15.75" customHeight="1">
      <c r="A1518" s="174" t="s">
        <v>1015</v>
      </c>
      <c r="B1518" s="204" t="s">
        <v>10091</v>
      </c>
      <c r="C1518" s="28" t="s">
        <v>10092</v>
      </c>
      <c r="D1518" s="28" t="s">
        <v>10093</v>
      </c>
      <c r="E1518" s="28" t="s">
        <v>10094</v>
      </c>
      <c r="F1518" s="28"/>
      <c r="G1518" s="28"/>
      <c r="H1518" s="28"/>
      <c r="I1518" s="28"/>
      <c r="J1518" s="28"/>
      <c r="K1518" s="28"/>
      <c r="L1518" s="28"/>
      <c r="M1518" s="28"/>
      <c r="N1518" s="28"/>
      <c r="O1518" s="176"/>
      <c r="P1518" s="176"/>
      <c r="Q1518" s="176"/>
      <c r="R1518" s="176"/>
      <c r="S1518" s="176"/>
      <c r="T1518" s="176"/>
      <c r="U1518" s="176"/>
      <c r="V1518" s="176"/>
      <c r="W1518" s="176"/>
      <c r="X1518" s="176"/>
      <c r="Y1518" s="176"/>
      <c r="Z1518" s="176"/>
      <c r="AA1518" s="176"/>
      <c r="AB1518" s="176"/>
      <c r="AC1518" s="176"/>
      <c r="AD1518" s="176"/>
      <c r="AE1518" s="176"/>
      <c r="AF1518" s="176"/>
      <c r="AG1518" s="176"/>
      <c r="AH1518" s="176"/>
      <c r="AI1518" s="176"/>
      <c r="AJ1518" s="176"/>
      <c r="AK1518" s="176"/>
      <c r="AL1518" s="176"/>
      <c r="AM1518" s="176"/>
      <c r="AN1518" s="176"/>
      <c r="AO1518" s="70"/>
      <c r="AP1518" s="70"/>
      <c r="AQ1518" s="70"/>
      <c r="AR1518" s="70"/>
      <c r="AS1518" s="70"/>
      <c r="AT1518" s="70"/>
      <c r="AU1518" s="70"/>
      <c r="AV1518" s="70"/>
      <c r="AW1518" s="70"/>
      <c r="AX1518" s="70"/>
    </row>
    <row r="1519" ht="15.75" customHeight="1">
      <c r="A1519" s="68" t="s">
        <v>10106</v>
      </c>
      <c r="B1519" s="169" t="s">
        <v>10107</v>
      </c>
      <c r="C1519" s="28" t="s">
        <v>10111</v>
      </c>
      <c r="D1519" s="28" t="s">
        <v>10112</v>
      </c>
      <c r="E1519" s="28" t="s">
        <v>10113</v>
      </c>
      <c r="F1519" s="28"/>
      <c r="G1519" s="28"/>
      <c r="H1519" s="28"/>
      <c r="I1519" s="28"/>
      <c r="J1519" s="28"/>
      <c r="K1519" s="28" t="s">
        <v>10916</v>
      </c>
      <c r="L1519" s="28"/>
      <c r="M1519" s="28"/>
      <c r="N1519" s="28"/>
      <c r="O1519" s="67"/>
      <c r="P1519" s="67"/>
      <c r="Q1519" s="67" t="s">
        <v>145</v>
      </c>
      <c r="R1519" s="67"/>
      <c r="S1519" s="67"/>
      <c r="T1519" s="67"/>
      <c r="U1519" s="67"/>
      <c r="V1519" s="67"/>
      <c r="W1519" s="67"/>
      <c r="X1519" s="67"/>
      <c r="Y1519" s="67"/>
      <c r="Z1519" s="67"/>
      <c r="AA1519" s="67"/>
      <c r="AB1519" s="67"/>
      <c r="AC1519" s="67"/>
      <c r="AD1519" s="67"/>
      <c r="AE1519" s="67"/>
      <c r="AF1519" s="67"/>
      <c r="AG1519" s="67"/>
      <c r="AH1519" s="67"/>
      <c r="AI1519" s="67"/>
      <c r="AJ1519" s="67"/>
      <c r="AK1519" s="67"/>
      <c r="AL1519" s="67"/>
      <c r="AM1519" s="67"/>
      <c r="AN1519" s="67"/>
      <c r="AO1519" s="70"/>
      <c r="AP1519" s="70"/>
      <c r="AQ1519" s="70"/>
      <c r="AR1519" s="70"/>
      <c r="AS1519" s="70"/>
      <c r="AT1519" s="70"/>
      <c r="AU1519" s="70"/>
      <c r="AV1519" s="70"/>
      <c r="AW1519" s="70"/>
      <c r="AX1519" s="70"/>
    </row>
    <row r="1520" ht="15.75" customHeight="1">
      <c r="A1520" s="174" t="s">
        <v>698</v>
      </c>
      <c r="B1520" s="175" t="s">
        <v>10114</v>
      </c>
      <c r="C1520" s="28" t="s">
        <v>10115</v>
      </c>
      <c r="D1520" s="28" t="s">
        <v>10116</v>
      </c>
      <c r="E1520" s="28" t="s">
        <v>10117</v>
      </c>
      <c r="F1520" s="28"/>
      <c r="G1520" s="28"/>
      <c r="H1520" s="28"/>
      <c r="I1520" s="28"/>
      <c r="J1520" s="28"/>
      <c r="K1520" s="28"/>
      <c r="L1520" s="28"/>
      <c r="M1520" s="28"/>
      <c r="N1520" s="28"/>
      <c r="O1520" s="177" t="s">
        <v>10920</v>
      </c>
      <c r="P1520" s="176"/>
      <c r="Q1520" s="176"/>
      <c r="R1520" s="176"/>
      <c r="S1520" s="176"/>
      <c r="T1520" s="176"/>
      <c r="U1520" s="177" t="s">
        <v>10921</v>
      </c>
      <c r="V1520" s="176"/>
      <c r="W1520" s="176"/>
      <c r="X1520" s="176"/>
      <c r="Y1520" s="176"/>
      <c r="Z1520" s="176"/>
      <c r="AA1520" s="176"/>
      <c r="AB1520" s="176"/>
      <c r="AC1520" s="176"/>
      <c r="AD1520" s="176"/>
      <c r="AE1520" s="176"/>
      <c r="AF1520" s="176"/>
      <c r="AG1520" s="176"/>
      <c r="AH1520" s="176"/>
      <c r="AI1520" s="176"/>
      <c r="AJ1520" s="176"/>
      <c r="AK1520" s="176"/>
      <c r="AL1520" s="176"/>
      <c r="AM1520" s="176"/>
      <c r="AN1520" s="176"/>
      <c r="AO1520" s="70"/>
      <c r="AP1520" s="70"/>
      <c r="AQ1520" s="70"/>
      <c r="AR1520" s="70"/>
      <c r="AS1520" s="70"/>
      <c r="AT1520" s="70"/>
      <c r="AU1520" s="70"/>
      <c r="AV1520" s="70"/>
      <c r="AW1520" s="70"/>
      <c r="AX1520" s="70"/>
    </row>
    <row r="1521" ht="15.75" customHeight="1">
      <c r="A1521" s="90" t="s">
        <v>78</v>
      </c>
      <c r="B1521" s="92" t="s">
        <v>10118</v>
      </c>
      <c r="C1521" s="28" t="s">
        <v>10119</v>
      </c>
      <c r="D1521" s="28" t="s">
        <v>10120</v>
      </c>
      <c r="E1521" s="28" t="s">
        <v>10121</v>
      </c>
      <c r="F1521" s="28"/>
      <c r="G1521" s="28"/>
      <c r="H1521" s="28"/>
      <c r="I1521" s="28"/>
      <c r="J1521" s="28"/>
      <c r="K1521" s="28"/>
      <c r="L1521" s="28"/>
      <c r="M1521" s="28"/>
      <c r="N1521" s="28"/>
      <c r="O1521" s="96"/>
      <c r="P1521" s="96"/>
      <c r="Q1521" s="96"/>
      <c r="R1521" s="96"/>
      <c r="S1521" s="96"/>
      <c r="T1521" s="178" t="s">
        <v>10922</v>
      </c>
      <c r="U1521" s="96"/>
      <c r="V1521" s="96"/>
      <c r="W1521" s="96"/>
      <c r="X1521" s="96"/>
      <c r="Y1521" s="96"/>
      <c r="Z1521" s="96"/>
      <c r="AA1521" s="96"/>
      <c r="AB1521" s="96"/>
      <c r="AC1521" s="96"/>
      <c r="AD1521" s="96"/>
      <c r="AE1521" s="96"/>
      <c r="AF1521" s="96"/>
      <c r="AG1521" s="96"/>
      <c r="AH1521" s="96"/>
      <c r="AI1521" s="96"/>
      <c r="AJ1521" s="96"/>
      <c r="AK1521" s="96"/>
      <c r="AL1521" s="96"/>
      <c r="AM1521" s="96"/>
      <c r="AN1521" s="96"/>
      <c r="AO1521" s="70"/>
      <c r="AP1521" s="70"/>
      <c r="AQ1521" s="70"/>
      <c r="AR1521" s="70"/>
      <c r="AS1521" s="70"/>
      <c r="AT1521" s="70"/>
      <c r="AU1521" s="70"/>
      <c r="AV1521" s="70"/>
      <c r="AW1521" s="70"/>
      <c r="AX1521" s="70"/>
    </row>
    <row r="1522" ht="15.75" customHeight="1">
      <c r="A1522" s="170" t="s">
        <v>263</v>
      </c>
      <c r="B1522" s="171" t="s">
        <v>10122</v>
      </c>
      <c r="C1522" s="28" t="s">
        <v>10126</v>
      </c>
      <c r="D1522" s="28" t="s">
        <v>10127</v>
      </c>
      <c r="E1522" s="28" t="s">
        <v>10128</v>
      </c>
      <c r="F1522" s="28"/>
      <c r="G1522" s="28"/>
      <c r="H1522" s="28"/>
      <c r="I1522" s="28"/>
      <c r="J1522" s="28"/>
      <c r="K1522" s="28" t="s">
        <v>864</v>
      </c>
      <c r="L1522" s="28"/>
      <c r="M1522" s="28"/>
      <c r="N1522" s="28"/>
      <c r="O1522" s="173"/>
      <c r="P1522" s="173"/>
      <c r="Q1522" s="173" t="s">
        <v>145</v>
      </c>
      <c r="R1522" s="173"/>
      <c r="S1522" s="173"/>
      <c r="T1522" s="173"/>
      <c r="U1522" s="173"/>
      <c r="V1522" s="173"/>
      <c r="W1522" s="173"/>
      <c r="X1522" s="173"/>
      <c r="Y1522" s="173"/>
      <c r="Z1522" s="173"/>
      <c r="AA1522" s="173"/>
      <c r="AB1522" s="173"/>
      <c r="AC1522" s="173"/>
      <c r="AD1522" s="173"/>
      <c r="AE1522" s="173"/>
      <c r="AF1522" s="173"/>
      <c r="AG1522" s="173"/>
      <c r="AH1522" s="173"/>
      <c r="AI1522" s="173"/>
      <c r="AJ1522" s="173"/>
      <c r="AK1522" s="173"/>
      <c r="AL1522" s="173"/>
      <c r="AM1522" s="173"/>
      <c r="AN1522" s="173"/>
      <c r="AO1522" s="70"/>
      <c r="AP1522" s="70"/>
      <c r="AQ1522" s="70"/>
      <c r="AR1522" s="70"/>
      <c r="AS1522" s="70"/>
      <c r="AT1522" s="70"/>
      <c r="AU1522" s="70"/>
      <c r="AV1522" s="70"/>
      <c r="AW1522" s="70"/>
      <c r="AX1522" s="70"/>
    </row>
    <row r="1523" ht="15.75" customHeight="1">
      <c r="A1523" s="174" t="s">
        <v>1015</v>
      </c>
      <c r="B1523" s="204" t="s">
        <v>10114</v>
      </c>
      <c r="C1523" s="28" t="s">
        <v>10115</v>
      </c>
      <c r="D1523" s="28" t="s">
        <v>10116</v>
      </c>
      <c r="E1523" s="28" t="s">
        <v>10117</v>
      </c>
      <c r="F1523" s="28"/>
      <c r="G1523" s="28"/>
      <c r="H1523" s="28"/>
      <c r="I1523" s="28"/>
      <c r="J1523" s="28"/>
      <c r="K1523" s="28"/>
      <c r="L1523" s="28"/>
      <c r="M1523" s="28"/>
      <c r="N1523" s="28"/>
      <c r="O1523" s="176"/>
      <c r="P1523" s="176"/>
      <c r="Q1523" s="176"/>
      <c r="R1523" s="176"/>
      <c r="S1523" s="176"/>
      <c r="T1523" s="176"/>
      <c r="U1523" s="176"/>
      <c r="V1523" s="176"/>
      <c r="W1523" s="176"/>
      <c r="X1523" s="176"/>
      <c r="Y1523" s="176"/>
      <c r="Z1523" s="176"/>
      <c r="AA1523" s="176"/>
      <c r="AB1523" s="176"/>
      <c r="AC1523" s="176"/>
      <c r="AD1523" s="176"/>
      <c r="AE1523" s="176"/>
      <c r="AF1523" s="176"/>
      <c r="AG1523" s="176"/>
      <c r="AH1523" s="176"/>
      <c r="AI1523" s="176"/>
      <c r="AJ1523" s="176"/>
      <c r="AK1523" s="176"/>
      <c r="AL1523" s="176"/>
      <c r="AM1523" s="176"/>
      <c r="AN1523" s="176"/>
      <c r="AO1523" s="70"/>
      <c r="AP1523" s="70"/>
      <c r="AQ1523" s="70"/>
      <c r="AR1523" s="70"/>
      <c r="AS1523" s="70"/>
      <c r="AT1523" s="70"/>
      <c r="AU1523" s="70"/>
      <c r="AV1523" s="70"/>
      <c r="AW1523" s="70"/>
      <c r="AX1523" s="70"/>
    </row>
    <row r="1524" ht="15.75" customHeight="1">
      <c r="A1524" s="140" t="s">
        <v>131</v>
      </c>
      <c r="B1524" s="193" t="s">
        <v>10129</v>
      </c>
      <c r="C1524" s="28"/>
      <c r="D1524" s="28"/>
      <c r="E1524" s="28"/>
      <c r="F1524" s="28"/>
      <c r="G1524" s="28"/>
      <c r="H1524" s="28"/>
      <c r="I1524" s="28"/>
      <c r="J1524" s="28" t="s">
        <v>931</v>
      </c>
      <c r="K1524" s="28"/>
      <c r="L1524" s="28"/>
      <c r="M1524" s="28"/>
      <c r="N1524" s="28"/>
      <c r="O1524" s="190"/>
      <c r="P1524" s="139"/>
      <c r="Q1524" s="139"/>
      <c r="R1524" s="139"/>
      <c r="S1524" s="139"/>
      <c r="T1524" s="139"/>
      <c r="U1524" s="139"/>
      <c r="V1524" s="139"/>
      <c r="W1524" s="139"/>
      <c r="X1524" s="139"/>
      <c r="Y1524" s="139"/>
      <c r="Z1524" s="139"/>
      <c r="AA1524" s="139"/>
      <c r="AB1524" s="139"/>
      <c r="AC1524" s="139"/>
      <c r="AD1524" s="70"/>
      <c r="AE1524" s="70"/>
      <c r="AF1524" s="70"/>
      <c r="AG1524" s="70"/>
      <c r="AH1524" s="70"/>
      <c r="AI1524" s="70"/>
      <c r="AJ1524" s="70"/>
      <c r="AK1524" s="70"/>
      <c r="AL1524" s="70"/>
      <c r="AM1524" s="70"/>
      <c r="AN1524" s="70"/>
      <c r="AO1524" s="70"/>
      <c r="AP1524" s="70"/>
      <c r="AQ1524" s="70"/>
      <c r="AR1524" s="70"/>
      <c r="AS1524" s="70"/>
      <c r="AT1524" s="70"/>
      <c r="AU1524" s="70"/>
      <c r="AV1524" s="70"/>
      <c r="AW1524" s="70"/>
      <c r="AX1524" s="70"/>
    </row>
    <row r="1525" ht="15.75" customHeight="1">
      <c r="A1525" s="68" t="s">
        <v>2625</v>
      </c>
      <c r="B1525" s="169" t="s">
        <v>10130</v>
      </c>
      <c r="C1525" s="28" t="s">
        <v>10134</v>
      </c>
      <c r="D1525" s="28" t="s">
        <v>10135</v>
      </c>
      <c r="E1525" s="183" t="s">
        <v>10923</v>
      </c>
      <c r="F1525" s="28"/>
      <c r="G1525" s="28"/>
      <c r="H1525" s="28"/>
      <c r="I1525" s="28"/>
      <c r="J1525" s="28" t="s">
        <v>8</v>
      </c>
      <c r="K1525" s="28"/>
      <c r="L1525" s="28"/>
      <c r="M1525" s="28"/>
      <c r="N1525" s="28"/>
      <c r="O1525" s="67"/>
      <c r="P1525" s="67"/>
      <c r="Q1525" s="67"/>
      <c r="R1525" s="67"/>
      <c r="S1525" s="67"/>
      <c r="T1525" s="67"/>
      <c r="U1525" s="67"/>
      <c r="V1525" s="67"/>
      <c r="W1525" s="67"/>
      <c r="X1525" s="67"/>
      <c r="Y1525" s="67"/>
      <c r="Z1525" s="67"/>
      <c r="AA1525" s="67"/>
      <c r="AB1525" s="67"/>
      <c r="AC1525" s="67"/>
      <c r="AD1525" s="70"/>
      <c r="AE1525" s="70"/>
      <c r="AF1525" s="70"/>
      <c r="AG1525" s="70"/>
      <c r="AH1525" s="70"/>
      <c r="AI1525" s="70"/>
      <c r="AJ1525" s="70"/>
      <c r="AK1525" s="70"/>
      <c r="AL1525" s="70"/>
      <c r="AM1525" s="70"/>
      <c r="AN1525" s="70"/>
      <c r="AO1525" s="70"/>
      <c r="AP1525" s="70"/>
      <c r="AQ1525" s="70"/>
      <c r="AR1525" s="70"/>
      <c r="AS1525" s="70"/>
      <c r="AT1525" s="70"/>
      <c r="AU1525" s="70"/>
      <c r="AV1525" s="70"/>
      <c r="AW1525" s="70"/>
      <c r="AX1525" s="70"/>
    </row>
    <row r="1526" ht="15.75" customHeight="1">
      <c r="A1526" s="67" t="s">
        <v>2625</v>
      </c>
      <c r="B1526" s="169" t="s">
        <v>10137</v>
      </c>
      <c r="C1526" s="28" t="s">
        <v>10141</v>
      </c>
      <c r="D1526" s="28" t="s">
        <v>10142</v>
      </c>
      <c r="E1526" s="28" t="s">
        <v>10143</v>
      </c>
      <c r="F1526" s="28"/>
      <c r="G1526" s="28"/>
      <c r="H1526" s="28"/>
      <c r="I1526" s="28"/>
      <c r="J1526" s="28" t="s">
        <v>958</v>
      </c>
      <c r="K1526" s="28"/>
      <c r="L1526" s="28"/>
      <c r="M1526" s="28"/>
      <c r="N1526" s="28"/>
      <c r="O1526" s="67"/>
      <c r="P1526" s="67"/>
      <c r="Q1526" s="67" t="s">
        <v>145</v>
      </c>
      <c r="R1526" s="67"/>
      <c r="S1526" s="67"/>
      <c r="T1526" s="67"/>
      <c r="U1526" s="67"/>
      <c r="V1526" s="67"/>
      <c r="W1526" s="67"/>
      <c r="X1526" s="67"/>
      <c r="Y1526" s="67"/>
      <c r="Z1526" s="67"/>
      <c r="AA1526" s="67"/>
      <c r="AB1526" s="67"/>
      <c r="AC1526" s="67"/>
      <c r="AD1526" s="70"/>
      <c r="AE1526" s="70"/>
      <c r="AF1526" s="70"/>
      <c r="AG1526" s="70"/>
      <c r="AH1526" s="70"/>
      <c r="AI1526" s="70"/>
      <c r="AJ1526" s="70"/>
      <c r="AK1526" s="70"/>
      <c r="AL1526" s="70"/>
      <c r="AM1526" s="70"/>
      <c r="AN1526" s="70"/>
      <c r="AO1526" s="70"/>
      <c r="AP1526" s="70"/>
      <c r="AQ1526" s="70"/>
      <c r="AR1526" s="70"/>
      <c r="AS1526" s="70"/>
      <c r="AT1526" s="70"/>
      <c r="AU1526" s="70"/>
      <c r="AV1526" s="70"/>
      <c r="AW1526" s="70"/>
      <c r="AX1526" s="70"/>
    </row>
    <row r="1527" ht="15.75" customHeight="1">
      <c r="A1527" s="67" t="s">
        <v>2625</v>
      </c>
      <c r="B1527" s="169" t="s">
        <v>10144</v>
      </c>
      <c r="C1527" s="28" t="s">
        <v>10148</v>
      </c>
      <c r="D1527" s="28" t="s">
        <v>10149</v>
      </c>
      <c r="E1527" s="28" t="s">
        <v>10150</v>
      </c>
      <c r="F1527" s="28"/>
      <c r="G1527" s="28"/>
      <c r="H1527" s="28"/>
      <c r="I1527" s="28"/>
      <c r="J1527" s="28" t="s">
        <v>958</v>
      </c>
      <c r="K1527" s="28"/>
      <c r="L1527" s="28"/>
      <c r="M1527" s="28"/>
      <c r="N1527" s="28"/>
      <c r="O1527" s="67"/>
      <c r="P1527" s="67"/>
      <c r="Q1527" s="67" t="s">
        <v>145</v>
      </c>
      <c r="R1527" s="67"/>
      <c r="S1527" s="67"/>
      <c r="T1527" s="67"/>
      <c r="U1527" s="67"/>
      <c r="V1527" s="67"/>
      <c r="W1527" s="67"/>
      <c r="X1527" s="67"/>
      <c r="Y1527" s="67"/>
      <c r="Z1527" s="67"/>
      <c r="AA1527" s="67"/>
      <c r="AB1527" s="67"/>
      <c r="AC1527" s="67"/>
      <c r="AD1527" s="70"/>
      <c r="AE1527" s="70"/>
      <c r="AF1527" s="70"/>
      <c r="AG1527" s="70"/>
      <c r="AH1527" s="70"/>
      <c r="AI1527" s="70"/>
      <c r="AJ1527" s="70"/>
      <c r="AK1527" s="70"/>
      <c r="AL1527" s="70"/>
      <c r="AM1527" s="70"/>
      <c r="AN1527" s="70"/>
      <c r="AO1527" s="70"/>
      <c r="AP1527" s="70"/>
      <c r="AQ1527" s="70"/>
      <c r="AR1527" s="70"/>
      <c r="AS1527" s="70"/>
      <c r="AT1527" s="70"/>
      <c r="AU1527" s="70"/>
      <c r="AV1527" s="70"/>
      <c r="AW1527" s="70"/>
      <c r="AX1527" s="70"/>
    </row>
    <row r="1528" ht="15.75" customHeight="1">
      <c r="A1528" s="67" t="s">
        <v>2625</v>
      </c>
      <c r="B1528" s="169" t="s">
        <v>10151</v>
      </c>
      <c r="C1528" s="28" t="s">
        <v>10155</v>
      </c>
      <c r="D1528" s="28" t="s">
        <v>10156</v>
      </c>
      <c r="E1528" s="28" t="s">
        <v>10157</v>
      </c>
      <c r="F1528" s="28"/>
      <c r="G1528" s="28"/>
      <c r="H1528" s="28"/>
      <c r="I1528" s="28"/>
      <c r="J1528" s="28" t="s">
        <v>958</v>
      </c>
      <c r="K1528" s="28"/>
      <c r="L1528" s="28"/>
      <c r="M1528" s="28"/>
      <c r="N1528" s="28"/>
      <c r="O1528" s="67"/>
      <c r="P1528" s="67"/>
      <c r="Q1528" s="67" t="s">
        <v>145</v>
      </c>
      <c r="R1528" s="67"/>
      <c r="S1528" s="67"/>
      <c r="T1528" s="67"/>
      <c r="U1528" s="67"/>
      <c r="V1528" s="67"/>
      <c r="W1528" s="67"/>
      <c r="X1528" s="67"/>
      <c r="Y1528" s="67"/>
      <c r="Z1528" s="67"/>
      <c r="AA1528" s="67"/>
      <c r="AB1528" s="67"/>
      <c r="AC1528" s="67"/>
      <c r="AD1528" s="70"/>
      <c r="AE1528" s="70"/>
      <c r="AF1528" s="70"/>
      <c r="AG1528" s="70"/>
      <c r="AH1528" s="70"/>
      <c r="AI1528" s="70"/>
      <c r="AJ1528" s="70"/>
      <c r="AK1528" s="70"/>
      <c r="AL1528" s="70"/>
      <c r="AM1528" s="70"/>
      <c r="AN1528" s="70"/>
      <c r="AO1528" s="70"/>
      <c r="AP1528" s="70"/>
      <c r="AQ1528" s="70"/>
      <c r="AR1528" s="70"/>
      <c r="AS1528" s="70"/>
      <c r="AT1528" s="70"/>
      <c r="AU1528" s="70"/>
      <c r="AV1528" s="70"/>
      <c r="AW1528" s="70"/>
      <c r="AX1528" s="70"/>
    </row>
    <row r="1529" ht="15.75" customHeight="1">
      <c r="A1529" s="67" t="s">
        <v>2625</v>
      </c>
      <c r="B1529" s="169" t="s">
        <v>10158</v>
      </c>
      <c r="C1529" s="28" t="s">
        <v>10163</v>
      </c>
      <c r="D1529" s="28" t="s">
        <v>10164</v>
      </c>
      <c r="E1529" s="28" t="s">
        <v>10165</v>
      </c>
      <c r="F1529" s="28"/>
      <c r="G1529" s="28"/>
      <c r="H1529" s="28"/>
      <c r="I1529" s="28"/>
      <c r="J1529" s="28" t="s">
        <v>958</v>
      </c>
      <c r="K1529" s="28"/>
      <c r="L1529" s="28"/>
      <c r="M1529" s="28"/>
      <c r="N1529" s="28"/>
      <c r="O1529" s="67"/>
      <c r="P1529" s="67"/>
      <c r="Q1529" s="67" t="s">
        <v>145</v>
      </c>
      <c r="R1529" s="67"/>
      <c r="S1529" s="67"/>
      <c r="T1529" s="67"/>
      <c r="U1529" s="67"/>
      <c r="V1529" s="67"/>
      <c r="W1529" s="67"/>
      <c r="X1529" s="67"/>
      <c r="Y1529" s="67"/>
      <c r="Z1529" s="67"/>
      <c r="AA1529" s="67"/>
      <c r="AB1529" s="67"/>
      <c r="AC1529" s="67"/>
      <c r="AD1529" s="70"/>
      <c r="AE1529" s="70"/>
      <c r="AF1529" s="70"/>
      <c r="AG1529" s="70"/>
      <c r="AH1529" s="70"/>
      <c r="AI1529" s="70"/>
      <c r="AJ1529" s="70"/>
      <c r="AK1529" s="70"/>
      <c r="AL1529" s="70"/>
      <c r="AM1529" s="70"/>
      <c r="AN1529" s="70"/>
      <c r="AO1529" s="70"/>
      <c r="AP1529" s="70"/>
      <c r="AQ1529" s="70"/>
      <c r="AR1529" s="70"/>
      <c r="AS1529" s="70"/>
      <c r="AT1529" s="70"/>
      <c r="AU1529" s="70"/>
      <c r="AV1529" s="70"/>
      <c r="AW1529" s="70"/>
      <c r="AX1529" s="70"/>
    </row>
    <row r="1530" ht="15.75" customHeight="1">
      <c r="A1530" s="139" t="s">
        <v>237</v>
      </c>
      <c r="B1530" s="193" t="s">
        <v>10129</v>
      </c>
      <c r="C1530" s="28"/>
      <c r="D1530" s="28"/>
      <c r="E1530" s="28"/>
      <c r="F1530" s="28"/>
      <c r="G1530" s="28"/>
      <c r="H1530" s="28"/>
      <c r="I1530" s="28"/>
      <c r="J1530" s="28"/>
      <c r="K1530" s="28"/>
      <c r="L1530" s="28"/>
      <c r="M1530" s="28"/>
      <c r="N1530" s="28"/>
      <c r="O1530" s="139"/>
      <c r="P1530" s="139"/>
      <c r="Q1530" s="139"/>
      <c r="R1530" s="139"/>
      <c r="S1530" s="139"/>
      <c r="T1530" s="139"/>
      <c r="U1530" s="139"/>
      <c r="V1530" s="139"/>
      <c r="W1530" s="139"/>
      <c r="X1530" s="139"/>
      <c r="Y1530" s="139"/>
      <c r="Z1530" s="139"/>
      <c r="AA1530" s="139"/>
      <c r="AB1530" s="139"/>
      <c r="AC1530" s="139"/>
      <c r="AD1530" s="70"/>
      <c r="AE1530" s="70"/>
      <c r="AF1530" s="70"/>
      <c r="AG1530" s="70"/>
      <c r="AH1530" s="70"/>
      <c r="AI1530" s="70"/>
      <c r="AJ1530" s="70"/>
      <c r="AK1530" s="70"/>
      <c r="AL1530" s="70"/>
      <c r="AM1530" s="70"/>
      <c r="AN1530" s="70"/>
      <c r="AO1530" s="70"/>
      <c r="AP1530" s="70"/>
      <c r="AQ1530" s="70"/>
      <c r="AR1530" s="70"/>
      <c r="AS1530" s="70"/>
      <c r="AT1530" s="70"/>
      <c r="AU1530" s="70"/>
      <c r="AV1530" s="70"/>
      <c r="AW1530" s="70"/>
      <c r="AX1530" s="70"/>
    </row>
    <row r="1531" ht="15.75" customHeight="1">
      <c r="A1531" s="139" t="s">
        <v>237</v>
      </c>
      <c r="B1531" s="191" t="s">
        <v>10081</v>
      </c>
      <c r="C1531" s="28"/>
      <c r="D1531" s="28"/>
      <c r="E1531" s="28"/>
      <c r="F1531" s="28"/>
      <c r="G1531" s="28"/>
      <c r="H1531" s="28"/>
      <c r="I1531" s="28"/>
      <c r="J1531" s="28"/>
      <c r="K1531" s="28"/>
      <c r="L1531" s="28"/>
      <c r="M1531" s="28"/>
      <c r="N1531" s="28"/>
      <c r="O1531" s="139"/>
      <c r="P1531" s="139"/>
      <c r="Q1531" s="139"/>
      <c r="R1531" s="139"/>
      <c r="S1531" s="139"/>
      <c r="T1531" s="139"/>
      <c r="U1531" s="139"/>
      <c r="V1531" s="139"/>
      <c r="W1531" s="139"/>
      <c r="X1531" s="139"/>
      <c r="Y1531" s="139"/>
      <c r="Z1531" s="139"/>
      <c r="AA1531" s="139"/>
      <c r="AB1531" s="139"/>
      <c r="AC1531" s="139"/>
      <c r="AD1531" s="70"/>
      <c r="AE1531" s="70"/>
      <c r="AF1531" s="70"/>
      <c r="AG1531" s="70"/>
      <c r="AH1531" s="70"/>
      <c r="AI1531" s="70"/>
      <c r="AJ1531" s="70"/>
      <c r="AK1531" s="70"/>
      <c r="AL1531" s="70"/>
      <c r="AM1531" s="70"/>
      <c r="AN1531" s="70"/>
      <c r="AO1531" s="70"/>
      <c r="AP1531" s="70"/>
      <c r="AQ1531" s="70"/>
      <c r="AR1531" s="70"/>
      <c r="AS1531" s="70"/>
      <c r="AT1531" s="70"/>
      <c r="AU1531" s="70"/>
      <c r="AV1531" s="70"/>
      <c r="AW1531" s="70"/>
      <c r="AX1531" s="70"/>
    </row>
    <row r="1532" ht="15.75" customHeight="1">
      <c r="A1532" s="96" t="s">
        <v>134</v>
      </c>
      <c r="B1532" s="92" t="s">
        <v>10166</v>
      </c>
      <c r="C1532" s="28"/>
      <c r="D1532" s="28"/>
      <c r="E1532" s="28"/>
      <c r="F1532" s="28"/>
      <c r="G1532" s="28"/>
      <c r="H1532" s="28"/>
      <c r="I1532" s="28"/>
      <c r="J1532" s="28"/>
      <c r="K1532" s="28"/>
      <c r="L1532" s="28"/>
      <c r="M1532" s="28"/>
      <c r="N1532" s="28"/>
      <c r="O1532" s="96"/>
      <c r="P1532" s="96"/>
      <c r="Q1532" s="96"/>
      <c r="R1532" s="96"/>
      <c r="S1532" s="96"/>
      <c r="T1532" s="178" t="s">
        <v>139</v>
      </c>
      <c r="U1532" s="96"/>
      <c r="V1532" s="96"/>
      <c r="W1532" s="96"/>
      <c r="X1532" s="96"/>
      <c r="Y1532" s="96"/>
      <c r="Z1532" s="96"/>
      <c r="AA1532" s="96"/>
      <c r="AB1532" s="96"/>
      <c r="AC1532" s="96"/>
      <c r="AD1532" s="70"/>
      <c r="AE1532" s="70"/>
      <c r="AF1532" s="70"/>
      <c r="AG1532" s="70"/>
      <c r="AH1532" s="70"/>
      <c r="AI1532" s="70"/>
      <c r="AJ1532" s="70"/>
      <c r="AK1532" s="70"/>
      <c r="AL1532" s="70"/>
      <c r="AM1532" s="70"/>
      <c r="AN1532" s="70"/>
      <c r="AO1532" s="70"/>
      <c r="AP1532" s="70"/>
      <c r="AQ1532" s="70"/>
      <c r="AR1532" s="70"/>
      <c r="AS1532" s="70"/>
      <c r="AT1532" s="70"/>
      <c r="AU1532" s="70"/>
      <c r="AV1532" s="70"/>
      <c r="AW1532" s="70"/>
      <c r="AX1532" s="70"/>
    </row>
    <row r="1533" ht="15.75" customHeight="1">
      <c r="A1533" s="96" t="s">
        <v>78</v>
      </c>
      <c r="B1533" s="92" t="s">
        <v>10167</v>
      </c>
      <c r="C1533" s="28"/>
      <c r="D1533" s="28"/>
      <c r="E1533" s="28"/>
      <c r="F1533" s="28"/>
      <c r="G1533" s="28"/>
      <c r="H1533" s="28"/>
      <c r="I1533" s="28"/>
      <c r="J1533" s="28"/>
      <c r="K1533" s="28"/>
      <c r="L1533" s="28"/>
      <c r="M1533" s="28"/>
      <c r="N1533" s="28"/>
      <c r="O1533" s="96"/>
      <c r="P1533" s="96"/>
      <c r="Q1533" s="96"/>
      <c r="R1533" s="96"/>
      <c r="S1533" s="96"/>
      <c r="T1533" s="178" t="s">
        <v>10924</v>
      </c>
      <c r="U1533" s="96"/>
      <c r="V1533" s="96"/>
      <c r="W1533" s="96"/>
      <c r="X1533" s="96"/>
      <c r="Y1533" s="96"/>
      <c r="Z1533" s="96"/>
      <c r="AA1533" s="96"/>
      <c r="AB1533" s="96"/>
      <c r="AC1533" s="96"/>
      <c r="AD1533" s="70"/>
      <c r="AE1533" s="70"/>
      <c r="AF1533" s="70"/>
      <c r="AG1533" s="70"/>
      <c r="AH1533" s="70"/>
      <c r="AI1533" s="70"/>
      <c r="AJ1533" s="70"/>
      <c r="AK1533" s="70"/>
      <c r="AL1533" s="70"/>
      <c r="AM1533" s="70"/>
      <c r="AN1533" s="70"/>
      <c r="AO1533" s="70"/>
      <c r="AP1533" s="70"/>
      <c r="AQ1533" s="70"/>
      <c r="AR1533" s="70"/>
      <c r="AS1533" s="70"/>
      <c r="AT1533" s="70"/>
      <c r="AU1533" s="70"/>
      <c r="AV1533" s="70"/>
      <c r="AW1533" s="70"/>
      <c r="AX1533" s="70"/>
    </row>
    <row r="1534" ht="15.75" customHeight="1">
      <c r="A1534" s="139" t="s">
        <v>237</v>
      </c>
      <c r="B1534" s="191" t="s">
        <v>8538</v>
      </c>
      <c r="C1534" s="28"/>
      <c r="D1534" s="28"/>
      <c r="E1534" s="28"/>
      <c r="F1534" s="28"/>
      <c r="G1534" s="28"/>
      <c r="H1534" s="28"/>
      <c r="I1534" s="28"/>
      <c r="J1534" s="28"/>
      <c r="K1534" s="28"/>
      <c r="L1534" s="28"/>
      <c r="M1534" s="28"/>
      <c r="N1534" s="28"/>
      <c r="O1534" s="139"/>
      <c r="P1534" s="139"/>
      <c r="Q1534" s="139"/>
      <c r="R1534" s="139"/>
      <c r="S1534" s="139"/>
      <c r="T1534" s="139"/>
      <c r="U1534" s="139"/>
      <c r="V1534" s="139"/>
      <c r="W1534" s="139"/>
      <c r="X1534" s="139"/>
      <c r="Y1534" s="139"/>
      <c r="Z1534" s="139"/>
      <c r="AA1534" s="139"/>
      <c r="AB1534" s="139"/>
      <c r="AC1534" s="139"/>
      <c r="AD1534" s="70"/>
      <c r="AE1534" s="70"/>
      <c r="AF1534" s="70"/>
      <c r="AG1534" s="70"/>
      <c r="AH1534" s="70"/>
      <c r="AI1534" s="70"/>
      <c r="AJ1534" s="70"/>
      <c r="AK1534" s="70"/>
      <c r="AL1534" s="70"/>
      <c r="AM1534" s="70"/>
      <c r="AN1534" s="70"/>
      <c r="AO1534" s="70"/>
      <c r="AP1534" s="70"/>
      <c r="AQ1534" s="70"/>
      <c r="AR1534" s="70"/>
      <c r="AS1534" s="70"/>
      <c r="AT1534" s="70"/>
      <c r="AU1534" s="70"/>
      <c r="AV1534" s="70"/>
      <c r="AW1534" s="70"/>
      <c r="AX1534" s="70"/>
    </row>
    <row r="1535" ht="15.75" customHeight="1">
      <c r="A1535" s="139" t="s">
        <v>237</v>
      </c>
      <c r="B1535" s="139" t="s">
        <v>7819</v>
      </c>
      <c r="C1535" s="28" t="s">
        <v>7820</v>
      </c>
      <c r="D1535" s="28"/>
      <c r="E1535" s="28"/>
      <c r="F1535" s="28"/>
      <c r="G1535" s="28"/>
      <c r="H1535" s="28"/>
      <c r="I1535" s="28"/>
      <c r="J1535" s="28"/>
      <c r="K1535" s="28"/>
      <c r="L1535" s="28"/>
      <c r="M1535" s="28"/>
      <c r="N1535" s="28"/>
      <c r="O1535" s="139"/>
      <c r="P1535" s="139"/>
      <c r="Q1535" s="139"/>
      <c r="R1535" s="139"/>
      <c r="S1535" s="139"/>
      <c r="T1535" s="139"/>
      <c r="U1535" s="139"/>
      <c r="V1535" s="139"/>
      <c r="W1535" s="139"/>
      <c r="X1535" s="139"/>
      <c r="Y1535" s="139"/>
      <c r="Z1535" s="139"/>
      <c r="AA1535" s="139"/>
      <c r="AB1535" s="139"/>
      <c r="AC1535" s="139"/>
      <c r="AD1535" s="70"/>
      <c r="AE1535" s="70"/>
      <c r="AF1535" s="70"/>
      <c r="AG1535" s="70"/>
      <c r="AH1535" s="70"/>
      <c r="AI1535" s="70"/>
      <c r="AJ1535" s="70"/>
      <c r="AK1535" s="70"/>
      <c r="AL1535" s="70"/>
      <c r="AM1535" s="70"/>
      <c r="AN1535" s="70"/>
      <c r="AO1535" s="70"/>
      <c r="AP1535" s="70"/>
      <c r="AQ1535" s="70"/>
      <c r="AR1535" s="70"/>
      <c r="AS1535" s="70"/>
      <c r="AT1535" s="70"/>
      <c r="AU1535" s="70"/>
      <c r="AV1535" s="70"/>
      <c r="AW1535" s="70"/>
      <c r="AX1535" s="70"/>
    </row>
    <row r="1536" ht="15.75" customHeight="1">
      <c r="A1536" s="96" t="s">
        <v>134</v>
      </c>
      <c r="B1536" s="92" t="s">
        <v>10168</v>
      </c>
      <c r="C1536" s="28"/>
      <c r="D1536" s="28"/>
      <c r="E1536" s="28"/>
      <c r="F1536" s="28"/>
      <c r="G1536" s="28"/>
      <c r="H1536" s="28"/>
      <c r="I1536" s="28"/>
      <c r="J1536" s="28"/>
      <c r="K1536" s="28"/>
      <c r="L1536" s="28"/>
      <c r="M1536" s="28"/>
      <c r="N1536" s="28"/>
      <c r="O1536" s="96"/>
      <c r="P1536" s="96"/>
      <c r="Q1536" s="96"/>
      <c r="R1536" s="96"/>
      <c r="S1536" s="96"/>
      <c r="T1536" s="178" t="s">
        <v>139</v>
      </c>
      <c r="U1536" s="96"/>
      <c r="V1536" s="96"/>
      <c r="W1536" s="96"/>
      <c r="X1536" s="96"/>
      <c r="Y1536" s="96"/>
      <c r="Z1536" s="96"/>
      <c r="AA1536" s="96"/>
      <c r="AB1536" s="96"/>
      <c r="AC1536" s="96"/>
      <c r="AD1536" s="70"/>
      <c r="AE1536" s="70"/>
      <c r="AF1536" s="70"/>
      <c r="AG1536" s="70"/>
      <c r="AH1536" s="70"/>
      <c r="AI1536" s="70"/>
      <c r="AJ1536" s="70"/>
      <c r="AK1536" s="70"/>
      <c r="AL1536" s="70"/>
      <c r="AM1536" s="70"/>
      <c r="AN1536" s="70"/>
      <c r="AO1536" s="70"/>
      <c r="AP1536" s="70"/>
      <c r="AQ1536" s="70"/>
      <c r="AR1536" s="70"/>
      <c r="AS1536" s="70"/>
      <c r="AT1536" s="70"/>
      <c r="AU1536" s="70"/>
      <c r="AV1536" s="70"/>
      <c r="AW1536" s="70"/>
      <c r="AX1536" s="70"/>
    </row>
    <row r="1537" ht="15.75" customHeight="1">
      <c r="A1537" s="96" t="s">
        <v>78</v>
      </c>
      <c r="B1537" s="92" t="s">
        <v>10169</v>
      </c>
      <c r="C1537" s="28"/>
      <c r="D1537" s="28"/>
      <c r="E1537" s="28"/>
      <c r="F1537" s="28"/>
      <c r="G1537" s="28"/>
      <c r="H1537" s="28"/>
      <c r="I1537" s="28"/>
      <c r="J1537" s="28"/>
      <c r="K1537" s="28"/>
      <c r="L1537" s="28"/>
      <c r="M1537" s="28"/>
      <c r="N1537" s="28"/>
      <c r="O1537" s="96"/>
      <c r="P1537" s="96"/>
      <c r="Q1537" s="96"/>
      <c r="R1537" s="96"/>
      <c r="S1537" s="96"/>
      <c r="T1537" s="178" t="s">
        <v>10925</v>
      </c>
      <c r="U1537" s="96"/>
      <c r="V1537" s="96"/>
      <c r="W1537" s="96"/>
      <c r="X1537" s="96"/>
      <c r="Y1537" s="96"/>
      <c r="Z1537" s="96"/>
      <c r="AA1537" s="96"/>
      <c r="AB1537" s="96"/>
      <c r="AC1537" s="96"/>
      <c r="AD1537" s="70"/>
      <c r="AE1537" s="70"/>
      <c r="AF1537" s="70"/>
      <c r="AG1537" s="70"/>
      <c r="AH1537" s="70"/>
      <c r="AI1537" s="70"/>
      <c r="AJ1537" s="70"/>
      <c r="AK1537" s="70"/>
      <c r="AL1537" s="70"/>
      <c r="AM1537" s="70"/>
      <c r="AN1537" s="70"/>
      <c r="AO1537" s="70"/>
      <c r="AP1537" s="70"/>
      <c r="AQ1537" s="70"/>
      <c r="AR1537" s="70"/>
      <c r="AS1537" s="70"/>
      <c r="AT1537" s="70"/>
      <c r="AU1537" s="70"/>
      <c r="AV1537" s="70"/>
      <c r="AW1537" s="70"/>
      <c r="AX1537" s="70"/>
    </row>
    <row r="1538" ht="15.75" customHeight="1">
      <c r="A1538" s="139" t="s">
        <v>237</v>
      </c>
      <c r="B1538" s="139" t="s">
        <v>585</v>
      </c>
      <c r="C1538" s="28"/>
      <c r="D1538" s="28"/>
      <c r="E1538" s="28"/>
      <c r="F1538" s="28"/>
      <c r="G1538" s="28"/>
      <c r="H1538" s="28"/>
      <c r="I1538" s="28"/>
      <c r="J1538" s="28"/>
      <c r="K1538" s="28"/>
      <c r="L1538" s="28"/>
      <c r="M1538" s="28"/>
      <c r="N1538" s="28"/>
      <c r="O1538" s="139"/>
      <c r="P1538" s="139"/>
      <c r="Q1538" s="139"/>
      <c r="R1538" s="139"/>
      <c r="S1538" s="139"/>
      <c r="T1538" s="139"/>
      <c r="U1538" s="139"/>
      <c r="V1538" s="139"/>
      <c r="W1538" s="139"/>
      <c r="X1538" s="139"/>
      <c r="Y1538" s="139"/>
      <c r="Z1538" s="139"/>
      <c r="AA1538" s="139"/>
      <c r="AB1538" s="139"/>
      <c r="AC1538" s="139"/>
      <c r="AD1538" s="70"/>
      <c r="AE1538" s="70"/>
      <c r="AF1538" s="70"/>
      <c r="AG1538" s="70"/>
      <c r="AH1538" s="70"/>
      <c r="AI1538" s="70"/>
      <c r="AJ1538" s="70"/>
      <c r="AK1538" s="70"/>
      <c r="AL1538" s="70"/>
      <c r="AM1538" s="70"/>
      <c r="AN1538" s="70"/>
      <c r="AO1538" s="70"/>
      <c r="AP1538" s="70"/>
      <c r="AQ1538" s="70"/>
      <c r="AR1538" s="70"/>
      <c r="AS1538" s="70"/>
      <c r="AT1538" s="70"/>
      <c r="AU1538" s="70"/>
      <c r="AV1538" s="70"/>
      <c r="AW1538" s="70"/>
      <c r="AX1538" s="70"/>
    </row>
    <row r="1539" ht="15.75" customHeight="1">
      <c r="A1539" s="70"/>
      <c r="B1539" s="70"/>
      <c r="C1539" s="28"/>
      <c r="D1539" s="28"/>
      <c r="E1539" s="28"/>
      <c r="F1539" s="28"/>
      <c r="G1539" s="28"/>
      <c r="H1539" s="28"/>
      <c r="I1539" s="28"/>
      <c r="J1539" s="28"/>
      <c r="K1539" s="28"/>
      <c r="L1539" s="28"/>
      <c r="M1539" s="28"/>
      <c r="N1539" s="28"/>
      <c r="O1539" s="70"/>
      <c r="P1539" s="70"/>
      <c r="Q1539" s="70"/>
      <c r="R1539" s="70"/>
      <c r="S1539" s="70"/>
      <c r="T1539" s="70"/>
      <c r="U1539" s="70"/>
      <c r="V1539" s="70"/>
      <c r="W1539" s="70"/>
      <c r="X1539" s="70"/>
      <c r="Y1539" s="70"/>
      <c r="Z1539" s="70"/>
      <c r="AA1539" s="70"/>
      <c r="AB1539" s="70"/>
      <c r="AC1539" s="70"/>
      <c r="AD1539" s="70"/>
      <c r="AE1539" s="70"/>
      <c r="AF1539" s="70"/>
      <c r="AG1539" s="70"/>
      <c r="AH1539" s="70"/>
      <c r="AI1539" s="70"/>
      <c r="AJ1539" s="70"/>
      <c r="AK1539" s="70"/>
      <c r="AL1539" s="70"/>
      <c r="AM1539" s="70"/>
      <c r="AN1539" s="70"/>
      <c r="AO1539" s="70"/>
      <c r="AP1539" s="70"/>
      <c r="AQ1539" s="70"/>
      <c r="AR1539" s="70"/>
      <c r="AS1539" s="70"/>
      <c r="AT1539" s="70"/>
      <c r="AU1539" s="70"/>
      <c r="AV1539" s="70"/>
      <c r="AW1539" s="70"/>
      <c r="AX1539" s="70"/>
    </row>
    <row r="1540" ht="15.75" customHeight="1">
      <c r="A1540" s="139" t="s">
        <v>131</v>
      </c>
      <c r="B1540" s="190" t="s">
        <v>10170</v>
      </c>
      <c r="C1540" s="28" t="s">
        <v>10171</v>
      </c>
      <c r="D1540" s="28" t="s">
        <v>10172</v>
      </c>
      <c r="E1540" s="28" t="s">
        <v>10173</v>
      </c>
      <c r="F1540" s="28"/>
      <c r="G1540" s="28"/>
      <c r="H1540" s="28"/>
      <c r="I1540" s="28"/>
      <c r="J1540" s="28"/>
      <c r="K1540" s="28"/>
      <c r="L1540" s="28"/>
      <c r="M1540" s="28"/>
      <c r="N1540" s="28"/>
      <c r="O1540" s="190"/>
      <c r="P1540" s="139"/>
      <c r="Q1540" s="139"/>
      <c r="R1540" s="139"/>
      <c r="S1540" s="139"/>
      <c r="T1540" s="139"/>
      <c r="U1540" s="139"/>
      <c r="V1540" s="139"/>
      <c r="W1540" s="139"/>
      <c r="X1540" s="139"/>
      <c r="Y1540" s="139"/>
      <c r="Z1540" s="139"/>
      <c r="AA1540" s="139"/>
      <c r="AB1540" s="139"/>
      <c r="AC1540" s="139"/>
      <c r="AD1540" s="70"/>
      <c r="AE1540" s="70"/>
      <c r="AF1540" s="70"/>
      <c r="AG1540" s="70"/>
      <c r="AH1540" s="70"/>
      <c r="AI1540" s="70"/>
      <c r="AJ1540" s="70"/>
      <c r="AK1540" s="70"/>
      <c r="AL1540" s="70"/>
      <c r="AM1540" s="70"/>
      <c r="AN1540" s="70"/>
      <c r="AO1540" s="70"/>
      <c r="AP1540" s="70"/>
      <c r="AQ1540" s="70"/>
      <c r="AR1540" s="70"/>
      <c r="AS1540" s="70"/>
      <c r="AT1540" s="70"/>
      <c r="AU1540" s="70"/>
      <c r="AV1540" s="70"/>
      <c r="AW1540" s="70"/>
      <c r="AX1540" s="70"/>
    </row>
    <row r="1541" ht="15.75" customHeight="1">
      <c r="A1541" s="126" t="s">
        <v>41</v>
      </c>
      <c r="B1541" s="330" t="s">
        <v>10174</v>
      </c>
      <c r="C1541" s="28" t="s">
        <v>10178</v>
      </c>
      <c r="D1541" s="28" t="s">
        <v>10179</v>
      </c>
      <c r="E1541" s="28" t="s">
        <v>10180</v>
      </c>
      <c r="F1541" s="28"/>
      <c r="G1541" s="28"/>
      <c r="H1541" s="28"/>
      <c r="I1541" s="28"/>
      <c r="J1541" s="28"/>
      <c r="K1541" s="28"/>
      <c r="L1541" s="28"/>
      <c r="M1541" s="28"/>
      <c r="N1541" s="28"/>
      <c r="O1541" s="126"/>
      <c r="P1541" s="126"/>
      <c r="Q1541" s="126"/>
      <c r="R1541" s="126"/>
      <c r="S1541" s="126"/>
      <c r="T1541" s="126"/>
      <c r="U1541" s="126"/>
      <c r="V1541" s="126"/>
      <c r="W1541" s="126"/>
      <c r="X1541" s="126"/>
      <c r="Y1541" s="126"/>
      <c r="Z1541" s="126"/>
      <c r="AA1541" s="126"/>
      <c r="AB1541" s="126"/>
      <c r="AC1541" s="126"/>
      <c r="AD1541" s="70"/>
      <c r="AE1541" s="70"/>
      <c r="AF1541" s="70"/>
      <c r="AG1541" s="70"/>
      <c r="AH1541" s="70"/>
      <c r="AI1541" s="70"/>
      <c r="AJ1541" s="70"/>
      <c r="AK1541" s="70"/>
      <c r="AL1541" s="70"/>
      <c r="AM1541" s="70"/>
      <c r="AN1541" s="70"/>
      <c r="AO1541" s="70"/>
      <c r="AP1541" s="70"/>
      <c r="AQ1541" s="70"/>
      <c r="AR1541" s="70"/>
      <c r="AS1541" s="70"/>
      <c r="AT1541" s="70"/>
      <c r="AU1541" s="70"/>
      <c r="AV1541" s="70"/>
      <c r="AW1541" s="70"/>
      <c r="AX1541" s="70"/>
    </row>
    <row r="1542" ht="15.75" customHeight="1">
      <c r="A1542" s="181" t="s">
        <v>246</v>
      </c>
      <c r="B1542" s="331" t="s">
        <v>10181</v>
      </c>
      <c r="C1542" s="28" t="s">
        <v>10185</v>
      </c>
      <c r="D1542" s="28" t="s">
        <v>10186</v>
      </c>
      <c r="E1542" s="28" t="s">
        <v>10187</v>
      </c>
      <c r="F1542" s="28"/>
      <c r="G1542" s="28"/>
      <c r="H1542" s="28"/>
      <c r="I1542" s="28"/>
      <c r="J1542" s="28" t="s">
        <v>10926</v>
      </c>
      <c r="K1542" s="28"/>
      <c r="L1542" s="28"/>
      <c r="M1542" s="28"/>
      <c r="N1542" s="28"/>
      <c r="O1542" s="181"/>
      <c r="P1542" s="181"/>
      <c r="Q1542" s="181" t="s">
        <v>145</v>
      </c>
      <c r="R1542" s="181"/>
      <c r="S1542" s="181"/>
      <c r="T1542" s="181"/>
      <c r="U1542" s="181"/>
      <c r="V1542" s="181"/>
      <c r="W1542" s="181"/>
      <c r="X1542" s="181"/>
      <c r="Y1542" s="181"/>
      <c r="Z1542" s="181"/>
      <c r="AA1542" s="181"/>
      <c r="AB1542" s="181"/>
      <c r="AC1542" s="181"/>
      <c r="AD1542" s="70"/>
      <c r="AE1542" s="70"/>
      <c r="AF1542" s="70"/>
      <c r="AG1542" s="70"/>
      <c r="AH1542" s="70"/>
      <c r="AI1542" s="70"/>
      <c r="AJ1542" s="70"/>
      <c r="AK1542" s="70"/>
      <c r="AL1542" s="70"/>
      <c r="AM1542" s="70"/>
      <c r="AN1542" s="70"/>
      <c r="AO1542" s="70"/>
      <c r="AP1542" s="70"/>
      <c r="AQ1542" s="70"/>
      <c r="AR1542" s="70"/>
      <c r="AS1542" s="70"/>
      <c r="AT1542" s="70"/>
      <c r="AU1542" s="70"/>
      <c r="AV1542" s="70"/>
      <c r="AW1542" s="70"/>
      <c r="AX1542" s="70"/>
    </row>
    <row r="1543" ht="15.75" customHeight="1">
      <c r="A1543" s="67" t="s">
        <v>463</v>
      </c>
      <c r="B1543" s="289" t="s">
        <v>10188</v>
      </c>
      <c r="C1543" s="28" t="s">
        <v>10192</v>
      </c>
      <c r="D1543" s="28" t="s">
        <v>10193</v>
      </c>
      <c r="E1543" s="28" t="s">
        <v>10194</v>
      </c>
      <c r="F1543" s="28"/>
      <c r="G1543" s="28"/>
      <c r="H1543" s="28"/>
      <c r="I1543" s="28"/>
      <c r="J1543" s="28"/>
      <c r="K1543" s="28"/>
      <c r="L1543" s="28"/>
      <c r="M1543" s="28"/>
      <c r="N1543" s="28"/>
      <c r="O1543" s="67"/>
      <c r="P1543" s="67"/>
      <c r="Q1543" s="67" t="s">
        <v>145</v>
      </c>
      <c r="R1543" s="67"/>
      <c r="S1543" s="67"/>
      <c r="T1543" s="67"/>
      <c r="U1543" s="67"/>
      <c r="V1543" s="67"/>
      <c r="W1543" s="67"/>
      <c r="X1543" s="67"/>
      <c r="Y1543" s="67"/>
      <c r="Z1543" s="67"/>
      <c r="AA1543" s="67"/>
      <c r="AB1543" s="67"/>
      <c r="AC1543" s="67"/>
      <c r="AD1543" s="70"/>
      <c r="AE1543" s="70"/>
      <c r="AF1543" s="70"/>
      <c r="AG1543" s="70"/>
      <c r="AH1543" s="70"/>
      <c r="AI1543" s="70"/>
      <c r="AJ1543" s="70"/>
      <c r="AK1543" s="70"/>
      <c r="AL1543" s="70"/>
      <c r="AM1543" s="70"/>
      <c r="AN1543" s="70"/>
      <c r="AO1543" s="70"/>
      <c r="AP1543" s="70"/>
      <c r="AQ1543" s="70"/>
      <c r="AR1543" s="70"/>
      <c r="AS1543" s="70"/>
      <c r="AT1543" s="70"/>
      <c r="AU1543" s="70"/>
      <c r="AV1543" s="70"/>
      <c r="AW1543" s="70"/>
      <c r="AX1543" s="70"/>
    </row>
    <row r="1544" ht="15.75" customHeight="1">
      <c r="A1544" s="126" t="s">
        <v>41</v>
      </c>
      <c r="B1544" s="330" t="s">
        <v>10195</v>
      </c>
      <c r="C1544" s="28" t="s">
        <v>10199</v>
      </c>
      <c r="D1544" s="28" t="s">
        <v>10200</v>
      </c>
      <c r="E1544" s="28" t="s">
        <v>10201</v>
      </c>
      <c r="F1544" s="28"/>
      <c r="G1544" s="28"/>
      <c r="H1544" s="28"/>
      <c r="I1544" s="28"/>
      <c r="J1544" s="28"/>
      <c r="K1544" s="28"/>
      <c r="L1544" s="28"/>
      <c r="M1544" s="28"/>
      <c r="N1544" s="28"/>
      <c r="O1544" s="126" t="s">
        <v>10927</v>
      </c>
      <c r="P1544" s="126"/>
      <c r="Q1544" s="126" t="s">
        <v>145</v>
      </c>
      <c r="R1544" s="126"/>
      <c r="S1544" s="126"/>
      <c r="T1544" s="126"/>
      <c r="U1544" s="126"/>
      <c r="V1544" s="126"/>
      <c r="W1544" s="126"/>
      <c r="X1544" s="126"/>
      <c r="Y1544" s="126"/>
      <c r="Z1544" s="126"/>
      <c r="AA1544" s="126"/>
      <c r="AB1544" s="126"/>
      <c r="AC1544" s="126"/>
      <c r="AD1544" s="70"/>
      <c r="AE1544" s="70"/>
      <c r="AF1544" s="70"/>
      <c r="AG1544" s="70"/>
      <c r="AH1544" s="70"/>
      <c r="AI1544" s="70"/>
      <c r="AJ1544" s="70"/>
      <c r="AK1544" s="70"/>
      <c r="AL1544" s="70"/>
      <c r="AM1544" s="70"/>
      <c r="AN1544" s="70"/>
      <c r="AO1544" s="70"/>
      <c r="AP1544" s="70"/>
      <c r="AQ1544" s="70"/>
      <c r="AR1544" s="70"/>
      <c r="AS1544" s="70"/>
      <c r="AT1544" s="70"/>
      <c r="AU1544" s="70"/>
      <c r="AV1544" s="70"/>
      <c r="AW1544" s="70"/>
      <c r="AX1544" s="70"/>
    </row>
    <row r="1545" ht="15.75" customHeight="1">
      <c r="A1545" s="67" t="s">
        <v>10202</v>
      </c>
      <c r="B1545" s="289" t="s">
        <v>10203</v>
      </c>
      <c r="C1545" s="28" t="s">
        <v>10207</v>
      </c>
      <c r="D1545" s="28" t="s">
        <v>10208</v>
      </c>
      <c r="E1545" s="28" t="s">
        <v>10209</v>
      </c>
      <c r="F1545" s="28" t="s">
        <v>10928</v>
      </c>
      <c r="G1545" s="28" t="s">
        <v>10929</v>
      </c>
      <c r="H1545" s="28" t="s">
        <v>10930</v>
      </c>
      <c r="I1545" s="28"/>
      <c r="J1545" s="28"/>
      <c r="K1545" s="28"/>
      <c r="L1545" s="28"/>
      <c r="M1545" s="28"/>
      <c r="N1545" s="28"/>
      <c r="O1545" s="67"/>
      <c r="P1545" s="67"/>
      <c r="Q1545" s="67" t="s">
        <v>145</v>
      </c>
      <c r="R1545" s="67"/>
      <c r="S1545" s="67"/>
      <c r="T1545" s="67"/>
      <c r="U1545" s="67"/>
      <c r="V1545" s="67"/>
      <c r="W1545" s="67"/>
      <c r="X1545" s="67"/>
      <c r="Y1545" s="67"/>
      <c r="Z1545" s="67"/>
      <c r="AA1545" s="67"/>
      <c r="AB1545" s="67"/>
      <c r="AC1545" s="67"/>
      <c r="AD1545" s="70"/>
      <c r="AE1545" s="70"/>
      <c r="AF1545" s="70"/>
      <c r="AG1545" s="70"/>
      <c r="AH1545" s="70"/>
      <c r="AI1545" s="70"/>
      <c r="AJ1545" s="70"/>
      <c r="AK1545" s="70"/>
      <c r="AL1545" s="70"/>
      <c r="AM1545" s="70"/>
      <c r="AN1545" s="70"/>
      <c r="AO1545" s="70"/>
      <c r="AP1545" s="70"/>
      <c r="AQ1545" s="70"/>
      <c r="AR1545" s="70"/>
      <c r="AS1545" s="70"/>
      <c r="AT1545" s="70"/>
      <c r="AU1545" s="70"/>
      <c r="AV1545" s="70"/>
      <c r="AW1545" s="70"/>
      <c r="AX1545" s="70"/>
    </row>
    <row r="1546" ht="15.75" customHeight="1">
      <c r="A1546" s="126" t="s">
        <v>41</v>
      </c>
      <c r="B1546" s="330" t="s">
        <v>10210</v>
      </c>
      <c r="C1546" s="28" t="s">
        <v>10214</v>
      </c>
      <c r="D1546" s="28" t="s">
        <v>10215</v>
      </c>
      <c r="E1546" s="28" t="s">
        <v>10216</v>
      </c>
      <c r="F1546" s="28"/>
      <c r="G1546" s="28"/>
      <c r="H1546" s="28"/>
      <c r="I1546" s="28"/>
      <c r="J1546" s="28"/>
      <c r="K1546" s="28"/>
      <c r="L1546" s="28"/>
      <c r="M1546" s="28"/>
      <c r="N1546" s="28"/>
      <c r="O1546" s="126" t="s">
        <v>10931</v>
      </c>
      <c r="P1546" s="126"/>
      <c r="Q1546" s="126" t="s">
        <v>145</v>
      </c>
      <c r="R1546" s="126"/>
      <c r="S1546" s="126"/>
      <c r="T1546" s="126"/>
      <c r="U1546" s="126"/>
      <c r="V1546" s="126"/>
      <c r="W1546" s="126"/>
      <c r="X1546" s="126"/>
      <c r="Y1546" s="126"/>
      <c r="Z1546" s="126"/>
      <c r="AA1546" s="126"/>
      <c r="AB1546" s="126"/>
      <c r="AC1546" s="126"/>
      <c r="AD1546" s="70"/>
      <c r="AE1546" s="70"/>
      <c r="AF1546" s="70"/>
      <c r="AG1546" s="70"/>
      <c r="AH1546" s="70"/>
      <c r="AI1546" s="70"/>
      <c r="AJ1546" s="70"/>
      <c r="AK1546" s="70"/>
      <c r="AL1546" s="70"/>
      <c r="AM1546" s="70"/>
      <c r="AN1546" s="70"/>
      <c r="AO1546" s="70"/>
      <c r="AP1546" s="70"/>
      <c r="AQ1546" s="70"/>
      <c r="AR1546" s="70"/>
      <c r="AS1546" s="70"/>
      <c r="AT1546" s="70"/>
      <c r="AU1546" s="70"/>
      <c r="AV1546" s="70"/>
      <c r="AW1546" s="70"/>
      <c r="AX1546" s="70"/>
    </row>
    <row r="1547" ht="15.75" customHeight="1">
      <c r="A1547" s="67" t="s">
        <v>463</v>
      </c>
      <c r="B1547" s="289" t="s">
        <v>10217</v>
      </c>
      <c r="C1547" s="28" t="s">
        <v>10221</v>
      </c>
      <c r="D1547" s="28" t="s">
        <v>10222</v>
      </c>
      <c r="E1547" s="28" t="s">
        <v>10223</v>
      </c>
      <c r="F1547" s="28"/>
      <c r="G1547" s="28"/>
      <c r="H1547" s="28"/>
      <c r="I1547" s="28"/>
      <c r="J1547" s="28"/>
      <c r="K1547" s="28"/>
      <c r="L1547" s="28"/>
      <c r="M1547" s="28"/>
      <c r="N1547" s="28"/>
      <c r="O1547" s="67"/>
      <c r="P1547" s="67"/>
      <c r="Q1547" s="67" t="s">
        <v>145</v>
      </c>
      <c r="R1547" s="67"/>
      <c r="S1547" s="67"/>
      <c r="T1547" s="67"/>
      <c r="U1547" s="67"/>
      <c r="V1547" s="67"/>
      <c r="W1547" s="67"/>
      <c r="X1547" s="67"/>
      <c r="Y1547" s="67"/>
      <c r="Z1547" s="67"/>
      <c r="AA1547" s="67"/>
      <c r="AB1547" s="67"/>
      <c r="AC1547" s="67"/>
      <c r="AD1547" s="70"/>
      <c r="AE1547" s="70"/>
      <c r="AF1547" s="70"/>
      <c r="AG1547" s="70"/>
      <c r="AH1547" s="70"/>
      <c r="AI1547" s="70"/>
      <c r="AJ1547" s="70"/>
      <c r="AK1547" s="70"/>
      <c r="AL1547" s="70"/>
      <c r="AM1547" s="70"/>
      <c r="AN1547" s="70"/>
      <c r="AO1547" s="70"/>
      <c r="AP1547" s="70"/>
      <c r="AQ1547" s="70"/>
      <c r="AR1547" s="70"/>
      <c r="AS1547" s="70"/>
      <c r="AT1547" s="70"/>
      <c r="AU1547" s="70"/>
      <c r="AV1547" s="70"/>
      <c r="AW1547" s="70"/>
      <c r="AX1547" s="70"/>
    </row>
    <row r="1548" ht="15.75" customHeight="1">
      <c r="A1548" s="67" t="s">
        <v>463</v>
      </c>
      <c r="B1548" s="289" t="s">
        <v>10224</v>
      </c>
      <c r="C1548" s="28" t="s">
        <v>10228</v>
      </c>
      <c r="D1548" s="28" t="s">
        <v>10229</v>
      </c>
      <c r="E1548" s="28" t="s">
        <v>10230</v>
      </c>
      <c r="F1548" s="28"/>
      <c r="G1548" s="28"/>
      <c r="H1548" s="28"/>
      <c r="I1548" s="28"/>
      <c r="J1548" s="28"/>
      <c r="K1548" s="28"/>
      <c r="L1548" s="28"/>
      <c r="M1548" s="28"/>
      <c r="N1548" s="28"/>
      <c r="O1548" s="67" t="s">
        <v>10932</v>
      </c>
      <c r="P1548" s="67"/>
      <c r="Q1548" s="67" t="s">
        <v>145</v>
      </c>
      <c r="R1548" s="67"/>
      <c r="S1548" s="67"/>
      <c r="T1548" s="67"/>
      <c r="U1548" s="67"/>
      <c r="V1548" s="67"/>
      <c r="W1548" s="67"/>
      <c r="X1548" s="67"/>
      <c r="Y1548" s="67"/>
      <c r="Z1548" s="67"/>
      <c r="AA1548" s="67"/>
      <c r="AB1548" s="67"/>
      <c r="AC1548" s="67"/>
      <c r="AD1548" s="70"/>
      <c r="AE1548" s="70"/>
      <c r="AF1548" s="70"/>
      <c r="AG1548" s="70"/>
      <c r="AH1548" s="70"/>
      <c r="AI1548" s="70"/>
      <c r="AJ1548" s="70"/>
      <c r="AK1548" s="70"/>
      <c r="AL1548" s="70"/>
      <c r="AM1548" s="70"/>
      <c r="AN1548" s="70"/>
      <c r="AO1548" s="70"/>
      <c r="AP1548" s="70"/>
      <c r="AQ1548" s="70"/>
      <c r="AR1548" s="70"/>
      <c r="AS1548" s="70"/>
      <c r="AT1548" s="70"/>
      <c r="AU1548" s="70"/>
      <c r="AV1548" s="70"/>
      <c r="AW1548" s="70"/>
      <c r="AX1548" s="70"/>
    </row>
    <row r="1549" ht="15.75" customHeight="1">
      <c r="A1549" s="181" t="s">
        <v>246</v>
      </c>
      <c r="B1549" s="331" t="s">
        <v>10231</v>
      </c>
      <c r="C1549" s="28" t="s">
        <v>10235</v>
      </c>
      <c r="D1549" s="28" t="s">
        <v>10236</v>
      </c>
      <c r="E1549" s="28" t="s">
        <v>10237</v>
      </c>
      <c r="F1549" s="28"/>
      <c r="G1549" s="28"/>
      <c r="H1549" s="28"/>
      <c r="I1549" s="28"/>
      <c r="J1549" s="28" t="s">
        <v>10926</v>
      </c>
      <c r="K1549" s="28"/>
      <c r="L1549" s="28"/>
      <c r="M1549" s="28"/>
      <c r="N1549" s="28"/>
      <c r="O1549" s="181" t="s">
        <v>10933</v>
      </c>
      <c r="P1549" s="181"/>
      <c r="Q1549" s="181" t="s">
        <v>145</v>
      </c>
      <c r="R1549" s="181"/>
      <c r="S1549" s="181"/>
      <c r="T1549" s="181"/>
      <c r="U1549" s="181"/>
      <c r="V1549" s="181"/>
      <c r="W1549" s="181"/>
      <c r="X1549" s="181"/>
      <c r="Y1549" s="181"/>
      <c r="Z1549" s="181"/>
      <c r="AA1549" s="181"/>
      <c r="AB1549" s="181"/>
      <c r="AC1549" s="181"/>
      <c r="AD1549" s="70"/>
      <c r="AE1549" s="70"/>
      <c r="AF1549" s="70"/>
      <c r="AG1549" s="70"/>
      <c r="AH1549" s="70"/>
      <c r="AI1549" s="70"/>
      <c r="AJ1549" s="70"/>
      <c r="AK1549" s="70"/>
      <c r="AL1549" s="70"/>
      <c r="AM1549" s="70"/>
      <c r="AN1549" s="70"/>
      <c r="AO1549" s="70"/>
      <c r="AP1549" s="70"/>
      <c r="AQ1549" s="70"/>
      <c r="AR1549" s="70"/>
      <c r="AS1549" s="70"/>
      <c r="AT1549" s="70"/>
      <c r="AU1549" s="70"/>
      <c r="AV1549" s="70"/>
      <c r="AW1549" s="70"/>
      <c r="AX1549" s="70"/>
    </row>
    <row r="1550" ht="15.75" customHeight="1">
      <c r="A1550" s="67" t="s">
        <v>463</v>
      </c>
      <c r="B1550" s="289" t="s">
        <v>10239</v>
      </c>
      <c r="C1550" s="28" t="s">
        <v>10243</v>
      </c>
      <c r="D1550" s="28" t="s">
        <v>10244</v>
      </c>
      <c r="E1550" s="28" t="s">
        <v>10245</v>
      </c>
      <c r="F1550" s="28"/>
      <c r="G1550" s="28"/>
      <c r="H1550" s="28"/>
      <c r="I1550" s="28"/>
      <c r="J1550" s="28"/>
      <c r="K1550" s="28"/>
      <c r="L1550" s="28"/>
      <c r="M1550" s="28"/>
      <c r="N1550" s="28"/>
      <c r="O1550" s="67" t="s">
        <v>10933</v>
      </c>
      <c r="P1550" s="67"/>
      <c r="Q1550" s="67" t="s">
        <v>145</v>
      </c>
      <c r="R1550" s="67"/>
      <c r="S1550" s="67"/>
      <c r="T1550" s="67"/>
      <c r="U1550" s="67"/>
      <c r="V1550" s="67"/>
      <c r="W1550" s="67"/>
      <c r="X1550" s="67"/>
      <c r="Y1550" s="67"/>
      <c r="Z1550" s="67"/>
      <c r="AA1550" s="67"/>
      <c r="AB1550" s="67"/>
      <c r="AC1550" s="67"/>
      <c r="AD1550" s="70"/>
      <c r="AE1550" s="70"/>
      <c r="AF1550" s="70"/>
      <c r="AG1550" s="70"/>
      <c r="AH1550" s="70"/>
      <c r="AI1550" s="70"/>
      <c r="AJ1550" s="70"/>
      <c r="AK1550" s="70"/>
      <c r="AL1550" s="70"/>
      <c r="AM1550" s="70"/>
      <c r="AN1550" s="70"/>
      <c r="AO1550" s="70"/>
      <c r="AP1550" s="70"/>
      <c r="AQ1550" s="70"/>
      <c r="AR1550" s="70"/>
      <c r="AS1550" s="70"/>
      <c r="AT1550" s="70"/>
      <c r="AU1550" s="70"/>
      <c r="AV1550" s="70"/>
      <c r="AW1550" s="70"/>
      <c r="AX1550" s="70"/>
    </row>
    <row r="1551" ht="15.75" customHeight="1">
      <c r="A1551" s="126" t="s">
        <v>41</v>
      </c>
      <c r="B1551" s="330" t="s">
        <v>10246</v>
      </c>
      <c r="C1551" s="28" t="s">
        <v>10250</v>
      </c>
      <c r="D1551" s="28" t="s">
        <v>10251</v>
      </c>
      <c r="E1551" s="28" t="s">
        <v>10252</v>
      </c>
      <c r="F1551" s="28"/>
      <c r="G1551" s="28"/>
      <c r="H1551" s="28"/>
      <c r="I1551" s="28"/>
      <c r="J1551" s="28"/>
      <c r="K1551" s="28"/>
      <c r="L1551" s="28"/>
      <c r="M1551" s="28"/>
      <c r="N1551" s="28"/>
      <c r="O1551" s="126" t="s">
        <v>10934</v>
      </c>
      <c r="P1551" s="126"/>
      <c r="Q1551" s="126" t="s">
        <v>145</v>
      </c>
      <c r="R1551" s="126"/>
      <c r="S1551" s="126"/>
      <c r="T1551" s="126"/>
      <c r="U1551" s="126"/>
      <c r="V1551" s="126"/>
      <c r="W1551" s="126"/>
      <c r="X1551" s="126"/>
      <c r="Y1551" s="126"/>
      <c r="Z1551" s="126"/>
      <c r="AA1551" s="126"/>
      <c r="AB1551" s="126"/>
      <c r="AC1551" s="126"/>
      <c r="AD1551" s="70"/>
      <c r="AE1551" s="70"/>
      <c r="AF1551" s="70"/>
      <c r="AG1551" s="70"/>
      <c r="AH1551" s="70"/>
      <c r="AI1551" s="70"/>
      <c r="AJ1551" s="70"/>
      <c r="AK1551" s="70"/>
      <c r="AL1551" s="70"/>
      <c r="AM1551" s="70"/>
      <c r="AN1551" s="70"/>
      <c r="AO1551" s="70"/>
      <c r="AP1551" s="70"/>
      <c r="AQ1551" s="70"/>
      <c r="AR1551" s="70"/>
      <c r="AS1551" s="70"/>
      <c r="AT1551" s="70"/>
      <c r="AU1551" s="70"/>
      <c r="AV1551" s="70"/>
      <c r="AW1551" s="70"/>
      <c r="AX1551" s="70"/>
    </row>
    <row r="1552" ht="15.75" customHeight="1">
      <c r="A1552" s="67" t="s">
        <v>463</v>
      </c>
      <c r="B1552" s="289" t="s">
        <v>10253</v>
      </c>
      <c r="C1552" s="28" t="s">
        <v>10257</v>
      </c>
      <c r="D1552" s="28" t="s">
        <v>10258</v>
      </c>
      <c r="E1552" s="28" t="s">
        <v>10259</v>
      </c>
      <c r="F1552" s="28"/>
      <c r="G1552" s="28"/>
      <c r="H1552" s="28"/>
      <c r="I1552" s="28"/>
      <c r="J1552" s="28"/>
      <c r="K1552" s="28"/>
      <c r="L1552" s="28"/>
      <c r="M1552" s="28"/>
      <c r="N1552" s="28"/>
      <c r="O1552" s="67"/>
      <c r="P1552" s="67"/>
      <c r="Q1552" s="67" t="s">
        <v>145</v>
      </c>
      <c r="R1552" s="67"/>
      <c r="S1552" s="67"/>
      <c r="T1552" s="67"/>
      <c r="U1552" s="67"/>
      <c r="V1552" s="67"/>
      <c r="W1552" s="67"/>
      <c r="X1552" s="67"/>
      <c r="Y1552" s="67"/>
      <c r="Z1552" s="67"/>
      <c r="AA1552" s="67"/>
      <c r="AB1552" s="67"/>
      <c r="AC1552" s="67"/>
      <c r="AD1552" s="70"/>
      <c r="AE1552" s="70"/>
      <c r="AF1552" s="70"/>
      <c r="AG1552" s="70"/>
      <c r="AH1552" s="70"/>
      <c r="AI1552" s="70"/>
      <c r="AJ1552" s="70"/>
      <c r="AK1552" s="70"/>
      <c r="AL1552" s="70"/>
      <c r="AM1552" s="70"/>
      <c r="AN1552" s="70"/>
      <c r="AO1552" s="70"/>
      <c r="AP1552" s="70"/>
      <c r="AQ1552" s="70"/>
      <c r="AR1552" s="70"/>
      <c r="AS1552" s="70"/>
      <c r="AT1552" s="70"/>
      <c r="AU1552" s="70"/>
      <c r="AV1552" s="70"/>
      <c r="AW1552" s="70"/>
      <c r="AX1552" s="70"/>
    </row>
    <row r="1553" ht="15.75" customHeight="1">
      <c r="A1553" s="173" t="s">
        <v>263</v>
      </c>
      <c r="B1553" s="332" t="s">
        <v>10260</v>
      </c>
      <c r="C1553" s="28" t="s">
        <v>10264</v>
      </c>
      <c r="D1553" s="183" t="s">
        <v>10935</v>
      </c>
      <c r="E1553" s="183" t="s">
        <v>10936</v>
      </c>
      <c r="F1553" s="28"/>
      <c r="G1553" s="28"/>
      <c r="H1553" s="28"/>
      <c r="I1553" s="28"/>
      <c r="J1553" s="28"/>
      <c r="K1553" s="28"/>
      <c r="L1553" s="28"/>
      <c r="M1553" s="28"/>
      <c r="N1553" s="28"/>
      <c r="O1553" s="173" t="s">
        <v>10937</v>
      </c>
      <c r="P1553" s="173"/>
      <c r="Q1553" s="173" t="s">
        <v>145</v>
      </c>
      <c r="R1553" s="173"/>
      <c r="S1553" s="173"/>
      <c r="T1553" s="173"/>
      <c r="U1553" s="173"/>
      <c r="V1553" s="173"/>
      <c r="W1553" s="173"/>
      <c r="X1553" s="173"/>
      <c r="Y1553" s="173"/>
      <c r="Z1553" s="173"/>
      <c r="AA1553" s="173"/>
      <c r="AB1553" s="173"/>
      <c r="AC1553" s="173"/>
      <c r="AD1553" s="70"/>
      <c r="AE1553" s="70"/>
      <c r="AF1553" s="70"/>
      <c r="AG1553" s="70"/>
      <c r="AH1553" s="70"/>
      <c r="AI1553" s="70"/>
      <c r="AJ1553" s="70"/>
      <c r="AK1553" s="70"/>
      <c r="AL1553" s="70"/>
      <c r="AM1553" s="70"/>
      <c r="AN1553" s="70"/>
      <c r="AO1553" s="70"/>
      <c r="AP1553" s="70"/>
      <c r="AQ1553" s="70"/>
      <c r="AR1553" s="70"/>
      <c r="AS1553" s="70"/>
      <c r="AT1553" s="70"/>
      <c r="AU1553" s="70"/>
      <c r="AV1553" s="70"/>
      <c r="AW1553" s="70"/>
      <c r="AX1553" s="70"/>
    </row>
    <row r="1554" ht="15.75" customHeight="1">
      <c r="A1554" s="176" t="s">
        <v>698</v>
      </c>
      <c r="B1554" s="177" t="s">
        <v>10267</v>
      </c>
      <c r="C1554" s="28" t="s">
        <v>10268</v>
      </c>
      <c r="D1554" s="28"/>
      <c r="E1554" s="28"/>
      <c r="F1554" s="28"/>
      <c r="G1554" s="28"/>
      <c r="H1554" s="28"/>
      <c r="I1554" s="28"/>
      <c r="J1554" s="28"/>
      <c r="K1554" s="28"/>
      <c r="L1554" s="28"/>
      <c r="M1554" s="28"/>
      <c r="N1554" s="28"/>
      <c r="O1554" s="177" t="s">
        <v>10937</v>
      </c>
      <c r="P1554" s="176"/>
      <c r="Q1554" s="176"/>
      <c r="R1554" s="176"/>
      <c r="S1554" s="176"/>
      <c r="T1554" s="176"/>
      <c r="U1554" s="177" t="s">
        <v>10938</v>
      </c>
      <c r="V1554" s="176"/>
      <c r="W1554" s="176"/>
      <c r="X1554" s="176"/>
      <c r="Y1554" s="176"/>
      <c r="Z1554" s="176"/>
      <c r="AA1554" s="176"/>
      <c r="AB1554" s="176"/>
      <c r="AC1554" s="176"/>
      <c r="AD1554" s="70"/>
      <c r="AE1554" s="70"/>
      <c r="AF1554" s="70"/>
      <c r="AG1554" s="70"/>
      <c r="AH1554" s="70"/>
      <c r="AI1554" s="70"/>
      <c r="AJ1554" s="70"/>
      <c r="AK1554" s="70"/>
      <c r="AL1554" s="70"/>
      <c r="AM1554" s="70"/>
      <c r="AN1554" s="70"/>
      <c r="AO1554" s="70"/>
      <c r="AP1554" s="70"/>
      <c r="AQ1554" s="70"/>
      <c r="AR1554" s="70"/>
      <c r="AS1554" s="70"/>
      <c r="AT1554" s="70"/>
      <c r="AU1554" s="70"/>
      <c r="AV1554" s="70"/>
      <c r="AW1554" s="70"/>
      <c r="AX1554" s="70"/>
    </row>
    <row r="1555" ht="15.75" customHeight="1">
      <c r="A1555" s="181" t="s">
        <v>246</v>
      </c>
      <c r="B1555" s="331" t="s">
        <v>10269</v>
      </c>
      <c r="C1555" s="28" t="s">
        <v>10273</v>
      </c>
      <c r="D1555" s="28" t="s">
        <v>10274</v>
      </c>
      <c r="E1555" s="28" t="s">
        <v>10275</v>
      </c>
      <c r="F1555" s="28"/>
      <c r="G1555" s="28"/>
      <c r="H1555" s="28"/>
      <c r="I1555" s="28"/>
      <c r="J1555" s="28" t="s">
        <v>10926</v>
      </c>
      <c r="K1555" s="28"/>
      <c r="L1555" s="28"/>
      <c r="M1555" s="28"/>
      <c r="N1555" s="28"/>
      <c r="O1555" s="181"/>
      <c r="P1555" s="181"/>
      <c r="Q1555" s="181" t="s">
        <v>145</v>
      </c>
      <c r="R1555" s="181"/>
      <c r="S1555" s="181"/>
      <c r="T1555" s="181"/>
      <c r="U1555" s="181"/>
      <c r="V1555" s="181"/>
      <c r="W1555" s="181"/>
      <c r="X1555" s="181"/>
      <c r="Y1555" s="181"/>
      <c r="Z1555" s="181"/>
      <c r="AA1555" s="181"/>
      <c r="AB1555" s="181"/>
      <c r="AC1555" s="181"/>
      <c r="AD1555" s="70"/>
      <c r="AE1555" s="70"/>
      <c r="AF1555" s="70"/>
      <c r="AG1555" s="70"/>
      <c r="AH1555" s="70"/>
      <c r="AI1555" s="70"/>
      <c r="AJ1555" s="70"/>
      <c r="AK1555" s="70"/>
      <c r="AL1555" s="70"/>
      <c r="AM1555" s="70"/>
      <c r="AN1555" s="70"/>
      <c r="AO1555" s="70"/>
      <c r="AP1555" s="70"/>
      <c r="AQ1555" s="70"/>
      <c r="AR1555" s="70"/>
      <c r="AS1555" s="70"/>
      <c r="AT1555" s="70"/>
      <c r="AU1555" s="70"/>
      <c r="AV1555" s="70"/>
      <c r="AW1555" s="70"/>
      <c r="AX1555" s="70"/>
    </row>
    <row r="1556" ht="15.75" customHeight="1">
      <c r="A1556" s="176" t="s">
        <v>1015</v>
      </c>
      <c r="B1556" s="176" t="s">
        <v>10267</v>
      </c>
      <c r="C1556" s="28" t="s">
        <v>10268</v>
      </c>
      <c r="D1556" s="28"/>
      <c r="E1556" s="28"/>
      <c r="F1556" s="28"/>
      <c r="G1556" s="28"/>
      <c r="H1556" s="28"/>
      <c r="I1556" s="28"/>
      <c r="J1556" s="28"/>
      <c r="K1556" s="28"/>
      <c r="L1556" s="28"/>
      <c r="M1556" s="28"/>
      <c r="N1556" s="28"/>
      <c r="O1556" s="176"/>
      <c r="P1556" s="176"/>
      <c r="Q1556" s="176"/>
      <c r="R1556" s="176"/>
      <c r="S1556" s="176"/>
      <c r="T1556" s="176"/>
      <c r="U1556" s="176"/>
      <c r="V1556" s="176"/>
      <c r="W1556" s="176"/>
      <c r="X1556" s="176"/>
      <c r="Y1556" s="176"/>
      <c r="Z1556" s="176"/>
      <c r="AA1556" s="176"/>
      <c r="AB1556" s="176"/>
      <c r="AC1556" s="176"/>
      <c r="AD1556" s="70"/>
      <c r="AE1556" s="70"/>
      <c r="AF1556" s="70"/>
      <c r="AG1556" s="70"/>
      <c r="AH1556" s="70"/>
      <c r="AI1556" s="70"/>
      <c r="AJ1556" s="70"/>
      <c r="AK1556" s="70"/>
      <c r="AL1556" s="70"/>
      <c r="AM1556" s="70"/>
      <c r="AN1556" s="70"/>
      <c r="AO1556" s="70"/>
      <c r="AP1556" s="70"/>
      <c r="AQ1556" s="70"/>
      <c r="AR1556" s="70"/>
      <c r="AS1556" s="70"/>
      <c r="AT1556" s="70"/>
      <c r="AU1556" s="70"/>
      <c r="AV1556" s="70"/>
      <c r="AW1556" s="70"/>
      <c r="AX1556" s="70"/>
    </row>
    <row r="1557" ht="15.75" customHeight="1">
      <c r="A1557" s="67" t="s">
        <v>463</v>
      </c>
      <c r="B1557" s="289" t="s">
        <v>10277</v>
      </c>
      <c r="C1557" s="28" t="s">
        <v>10281</v>
      </c>
      <c r="D1557" s="28" t="s">
        <v>10282</v>
      </c>
      <c r="E1557" s="28" t="s">
        <v>10283</v>
      </c>
      <c r="F1557" s="28"/>
      <c r="G1557" s="28"/>
      <c r="H1557" s="28"/>
      <c r="I1557" s="28"/>
      <c r="J1557" s="28"/>
      <c r="K1557" s="28"/>
      <c r="L1557" s="28"/>
      <c r="M1557" s="28"/>
      <c r="N1557" s="28"/>
      <c r="O1557" s="67"/>
      <c r="P1557" s="67"/>
      <c r="Q1557" s="67" t="s">
        <v>145</v>
      </c>
      <c r="R1557" s="67"/>
      <c r="S1557" s="67"/>
      <c r="T1557" s="67"/>
      <c r="U1557" s="67"/>
      <c r="V1557" s="67"/>
      <c r="W1557" s="67"/>
      <c r="X1557" s="67"/>
      <c r="Y1557" s="67"/>
      <c r="Z1557" s="67"/>
      <c r="AA1557" s="67"/>
      <c r="AB1557" s="67"/>
      <c r="AC1557" s="67"/>
      <c r="AD1557" s="70"/>
      <c r="AE1557" s="70"/>
      <c r="AF1557" s="70"/>
      <c r="AG1557" s="70"/>
      <c r="AH1557" s="70"/>
      <c r="AI1557" s="70"/>
      <c r="AJ1557" s="70"/>
      <c r="AK1557" s="70"/>
      <c r="AL1557" s="70"/>
      <c r="AM1557" s="70"/>
      <c r="AN1557" s="70"/>
      <c r="AO1557" s="70"/>
      <c r="AP1557" s="70"/>
      <c r="AQ1557" s="70"/>
      <c r="AR1557" s="70"/>
      <c r="AS1557" s="70"/>
      <c r="AT1557" s="70"/>
      <c r="AU1557" s="70"/>
      <c r="AV1557" s="70"/>
      <c r="AW1557" s="70"/>
      <c r="AX1557" s="70"/>
    </row>
    <row r="1558" ht="15.75" customHeight="1">
      <c r="A1558" s="139" t="s">
        <v>131</v>
      </c>
      <c r="B1558" s="190" t="s">
        <v>10284</v>
      </c>
      <c r="C1558" s="28" t="s">
        <v>10285</v>
      </c>
      <c r="D1558" s="28"/>
      <c r="E1558" s="28"/>
      <c r="F1558" s="28"/>
      <c r="G1558" s="28"/>
      <c r="H1558" s="28"/>
      <c r="I1558" s="28"/>
      <c r="J1558" s="28" t="s">
        <v>931</v>
      </c>
      <c r="K1558" s="28"/>
      <c r="L1558" s="28"/>
      <c r="M1558" s="28"/>
      <c r="N1558" s="28"/>
      <c r="O1558" s="190"/>
      <c r="P1558" s="139"/>
      <c r="Q1558" s="139"/>
      <c r="R1558" s="139"/>
      <c r="S1558" s="139"/>
      <c r="T1558" s="139"/>
      <c r="U1558" s="139"/>
      <c r="V1558" s="139"/>
      <c r="W1558" s="139"/>
      <c r="X1558" s="139"/>
      <c r="Y1558" s="139"/>
      <c r="Z1558" s="139"/>
      <c r="AA1558" s="139"/>
      <c r="AB1558" s="139"/>
      <c r="AC1558" s="139"/>
      <c r="AD1558" s="70"/>
      <c r="AE1558" s="70"/>
      <c r="AF1558" s="70"/>
      <c r="AG1558" s="70"/>
      <c r="AH1558" s="70"/>
      <c r="AI1558" s="70"/>
      <c r="AJ1558" s="70"/>
      <c r="AK1558" s="70"/>
      <c r="AL1558" s="70"/>
      <c r="AM1558" s="70"/>
      <c r="AN1558" s="70"/>
      <c r="AO1558" s="70"/>
      <c r="AP1558" s="70"/>
      <c r="AQ1558" s="70"/>
      <c r="AR1558" s="70"/>
      <c r="AS1558" s="70"/>
      <c r="AT1558" s="70"/>
      <c r="AU1558" s="70"/>
      <c r="AV1558" s="70"/>
      <c r="AW1558" s="70"/>
      <c r="AX1558" s="70"/>
    </row>
    <row r="1559" ht="15.75" customHeight="1">
      <c r="A1559" s="181" t="s">
        <v>246</v>
      </c>
      <c r="B1559" s="331" t="s">
        <v>10286</v>
      </c>
      <c r="C1559" s="28" t="s">
        <v>10290</v>
      </c>
      <c r="D1559" s="28" t="s">
        <v>10291</v>
      </c>
      <c r="E1559" s="28" t="s">
        <v>10292</v>
      </c>
      <c r="F1559" s="28"/>
      <c r="G1559" s="28"/>
      <c r="H1559" s="28"/>
      <c r="I1559" s="28"/>
      <c r="J1559" s="28"/>
      <c r="K1559" s="28"/>
      <c r="L1559" s="28"/>
      <c r="M1559" s="28"/>
      <c r="N1559" s="28"/>
      <c r="O1559" s="181" t="s">
        <v>10939</v>
      </c>
      <c r="P1559" s="181"/>
      <c r="Q1559" s="181" t="s">
        <v>145</v>
      </c>
      <c r="R1559" s="181"/>
      <c r="S1559" s="181"/>
      <c r="T1559" s="181"/>
      <c r="U1559" s="181"/>
      <c r="V1559" s="181"/>
      <c r="W1559" s="181"/>
      <c r="X1559" s="181"/>
      <c r="Y1559" s="181"/>
      <c r="Z1559" s="181"/>
      <c r="AA1559" s="181"/>
      <c r="AB1559" s="181"/>
      <c r="AC1559" s="181"/>
      <c r="AD1559" s="70"/>
      <c r="AE1559" s="70"/>
      <c r="AF1559" s="70"/>
      <c r="AG1559" s="70"/>
      <c r="AH1559" s="70"/>
      <c r="AI1559" s="70"/>
      <c r="AJ1559" s="70"/>
      <c r="AK1559" s="70"/>
      <c r="AL1559" s="70"/>
      <c r="AM1559" s="70"/>
      <c r="AN1559" s="70"/>
      <c r="AO1559" s="70"/>
      <c r="AP1559" s="70"/>
      <c r="AQ1559" s="70"/>
      <c r="AR1559" s="70"/>
      <c r="AS1559" s="70"/>
      <c r="AT1559" s="70"/>
      <c r="AU1559" s="70"/>
      <c r="AV1559" s="70"/>
      <c r="AW1559" s="70"/>
      <c r="AX1559" s="70"/>
    </row>
    <row r="1560" ht="15.75" customHeight="1">
      <c r="A1560" s="181" t="s">
        <v>246</v>
      </c>
      <c r="B1560" s="331" t="s">
        <v>10293</v>
      </c>
      <c r="C1560" s="28" t="s">
        <v>10297</v>
      </c>
      <c r="D1560" s="28" t="s">
        <v>10298</v>
      </c>
      <c r="E1560" s="28" t="s">
        <v>10299</v>
      </c>
      <c r="F1560" s="28"/>
      <c r="G1560" s="28"/>
      <c r="H1560" s="28"/>
      <c r="I1560" s="28"/>
      <c r="J1560" s="28"/>
      <c r="K1560" s="28"/>
      <c r="L1560" s="28"/>
      <c r="M1560" s="28"/>
      <c r="N1560" s="28"/>
      <c r="O1560" s="181" t="s">
        <v>10939</v>
      </c>
      <c r="P1560" s="181"/>
      <c r="Q1560" s="181" t="s">
        <v>145</v>
      </c>
      <c r="R1560" s="181"/>
      <c r="S1560" s="181"/>
      <c r="T1560" s="181"/>
      <c r="U1560" s="181"/>
      <c r="V1560" s="181"/>
      <c r="W1560" s="181"/>
      <c r="X1560" s="181"/>
      <c r="Y1560" s="181"/>
      <c r="Z1560" s="181"/>
      <c r="AA1560" s="181"/>
      <c r="AB1560" s="181"/>
      <c r="AC1560" s="181"/>
      <c r="AD1560" s="70"/>
      <c r="AE1560" s="70"/>
      <c r="AF1560" s="70"/>
      <c r="AG1560" s="70"/>
      <c r="AH1560" s="70"/>
      <c r="AI1560" s="70"/>
      <c r="AJ1560" s="70"/>
      <c r="AK1560" s="70"/>
      <c r="AL1560" s="70"/>
      <c r="AM1560" s="70"/>
      <c r="AN1560" s="70"/>
      <c r="AO1560" s="70"/>
      <c r="AP1560" s="70"/>
      <c r="AQ1560" s="70"/>
      <c r="AR1560" s="70"/>
      <c r="AS1560" s="70"/>
      <c r="AT1560" s="70"/>
      <c r="AU1560" s="70"/>
      <c r="AV1560" s="70"/>
      <c r="AW1560" s="70"/>
      <c r="AX1560" s="70"/>
    </row>
    <row r="1561" ht="15.75" customHeight="1">
      <c r="A1561" s="139" t="s">
        <v>237</v>
      </c>
      <c r="B1561" s="139" t="s">
        <v>10284</v>
      </c>
      <c r="C1561" s="28" t="s">
        <v>10285</v>
      </c>
      <c r="D1561" s="28"/>
      <c r="E1561" s="28"/>
      <c r="F1561" s="28"/>
      <c r="G1561" s="28"/>
      <c r="H1561" s="28"/>
      <c r="I1561" s="28"/>
      <c r="J1561" s="28"/>
      <c r="K1561" s="28"/>
      <c r="L1561" s="28"/>
      <c r="M1561" s="28"/>
      <c r="N1561" s="28"/>
      <c r="O1561" s="139"/>
      <c r="P1561" s="139"/>
      <c r="Q1561" s="139"/>
      <c r="R1561" s="139"/>
      <c r="S1561" s="139"/>
      <c r="T1561" s="139"/>
      <c r="U1561" s="139"/>
      <c r="V1561" s="139"/>
      <c r="W1561" s="139"/>
      <c r="X1561" s="139"/>
      <c r="Y1561" s="139"/>
      <c r="Z1561" s="139"/>
      <c r="AA1561" s="139"/>
      <c r="AB1561" s="139"/>
      <c r="AC1561" s="139"/>
      <c r="AD1561" s="70"/>
      <c r="AE1561" s="70"/>
      <c r="AF1561" s="70"/>
      <c r="AG1561" s="70"/>
      <c r="AH1561" s="70"/>
      <c r="AI1561" s="70"/>
      <c r="AJ1561" s="70"/>
      <c r="AK1561" s="70"/>
      <c r="AL1561" s="70"/>
      <c r="AM1561" s="70"/>
      <c r="AN1561" s="70"/>
      <c r="AO1561" s="70"/>
      <c r="AP1561" s="70"/>
      <c r="AQ1561" s="70"/>
      <c r="AR1561" s="70"/>
      <c r="AS1561" s="70"/>
      <c r="AT1561" s="70"/>
      <c r="AU1561" s="70"/>
      <c r="AV1561" s="70"/>
      <c r="AW1561" s="70"/>
      <c r="AX1561" s="70"/>
    </row>
    <row r="1562" ht="15.75" customHeight="1">
      <c r="A1562" s="96" t="s">
        <v>78</v>
      </c>
      <c r="B1562" s="178" t="s">
        <v>10300</v>
      </c>
      <c r="C1562" s="28"/>
      <c r="D1562" s="28"/>
      <c r="E1562" s="28"/>
      <c r="F1562" s="28"/>
      <c r="G1562" s="28"/>
      <c r="H1562" s="28"/>
      <c r="I1562" s="28"/>
      <c r="J1562" s="28"/>
      <c r="K1562" s="28"/>
      <c r="L1562" s="28"/>
      <c r="M1562" s="28"/>
      <c r="N1562" s="28"/>
      <c r="O1562" s="96"/>
      <c r="P1562" s="96"/>
      <c r="Q1562" s="96"/>
      <c r="R1562" s="96"/>
      <c r="S1562" s="96"/>
      <c r="T1562" s="178" t="s">
        <v>10940</v>
      </c>
      <c r="U1562" s="96"/>
      <c r="V1562" s="96"/>
      <c r="W1562" s="96"/>
      <c r="X1562" s="96"/>
      <c r="Y1562" s="96"/>
      <c r="Z1562" s="96"/>
      <c r="AA1562" s="96"/>
      <c r="AB1562" s="96"/>
      <c r="AC1562" s="96"/>
      <c r="AD1562" s="70"/>
      <c r="AE1562" s="70"/>
      <c r="AF1562" s="70"/>
      <c r="AG1562" s="70"/>
      <c r="AH1562" s="70"/>
      <c r="AI1562" s="70"/>
      <c r="AJ1562" s="70"/>
      <c r="AK1562" s="70"/>
      <c r="AL1562" s="70"/>
      <c r="AM1562" s="70"/>
      <c r="AN1562" s="70"/>
      <c r="AO1562" s="70"/>
      <c r="AP1562" s="70"/>
      <c r="AQ1562" s="70"/>
      <c r="AR1562" s="70"/>
      <c r="AS1562" s="70"/>
      <c r="AT1562" s="70"/>
      <c r="AU1562" s="70"/>
      <c r="AV1562" s="70"/>
      <c r="AW1562" s="70"/>
      <c r="AX1562" s="70"/>
    </row>
    <row r="1563" ht="15.75" customHeight="1">
      <c r="A1563" s="181" t="s">
        <v>246</v>
      </c>
      <c r="B1563" s="331" t="s">
        <v>10301</v>
      </c>
      <c r="C1563" s="28" t="s">
        <v>10304</v>
      </c>
      <c r="D1563" s="28" t="s">
        <v>10305</v>
      </c>
      <c r="E1563" s="28" t="s">
        <v>10305</v>
      </c>
      <c r="F1563" s="28"/>
      <c r="G1563" s="28"/>
      <c r="H1563" s="28"/>
      <c r="I1563" s="28"/>
      <c r="J1563" s="28" t="s">
        <v>10926</v>
      </c>
      <c r="K1563" s="28"/>
      <c r="L1563" s="28"/>
      <c r="M1563" s="28"/>
      <c r="N1563" s="28"/>
      <c r="O1563" s="181" t="s">
        <v>10939</v>
      </c>
      <c r="P1563" s="181"/>
      <c r="Q1563" s="181" t="s">
        <v>145</v>
      </c>
      <c r="R1563" s="181"/>
      <c r="S1563" s="181"/>
      <c r="T1563" s="181"/>
      <c r="U1563" s="181"/>
      <c r="V1563" s="181"/>
      <c r="W1563" s="181"/>
      <c r="X1563" s="181"/>
      <c r="Y1563" s="181"/>
      <c r="Z1563" s="181"/>
      <c r="AA1563" s="181"/>
      <c r="AB1563" s="181"/>
      <c r="AC1563" s="181"/>
      <c r="AD1563" s="70"/>
      <c r="AE1563" s="70"/>
      <c r="AF1563" s="70"/>
      <c r="AG1563" s="70"/>
      <c r="AH1563" s="70"/>
      <c r="AI1563" s="70"/>
      <c r="AJ1563" s="70"/>
      <c r="AK1563" s="70"/>
      <c r="AL1563" s="70"/>
      <c r="AM1563" s="70"/>
      <c r="AN1563" s="70"/>
      <c r="AO1563" s="70"/>
      <c r="AP1563" s="70"/>
      <c r="AQ1563" s="70"/>
      <c r="AR1563" s="70"/>
      <c r="AS1563" s="70"/>
      <c r="AT1563" s="70"/>
      <c r="AU1563" s="70"/>
      <c r="AV1563" s="70"/>
      <c r="AW1563" s="70"/>
      <c r="AX1563" s="70"/>
    </row>
    <row r="1564" ht="15.75" customHeight="1">
      <c r="A1564" s="67" t="s">
        <v>5785</v>
      </c>
      <c r="B1564" s="289" t="s">
        <v>10306</v>
      </c>
      <c r="C1564" s="28" t="s">
        <v>10310</v>
      </c>
      <c r="D1564" s="28" t="s">
        <v>10311</v>
      </c>
      <c r="E1564" s="28" t="s">
        <v>10312</v>
      </c>
      <c r="F1564" s="28"/>
      <c r="G1564" s="28"/>
      <c r="H1564" s="28"/>
      <c r="I1564" s="28"/>
      <c r="J1564" s="28"/>
      <c r="K1564" s="28"/>
      <c r="L1564" s="28"/>
      <c r="M1564" s="28"/>
      <c r="N1564" s="28"/>
      <c r="O1564" s="67" t="s">
        <v>10939</v>
      </c>
      <c r="P1564" s="67"/>
      <c r="Q1564" s="67" t="s">
        <v>145</v>
      </c>
      <c r="R1564" s="67"/>
      <c r="S1564" s="67"/>
      <c r="T1564" s="67"/>
      <c r="U1564" s="67"/>
      <c r="V1564" s="67"/>
      <c r="W1564" s="67"/>
      <c r="X1564" s="67"/>
      <c r="Y1564" s="67"/>
      <c r="Z1564" s="67"/>
      <c r="AA1564" s="67"/>
      <c r="AB1564" s="67"/>
      <c r="AC1564" s="67"/>
      <c r="AD1564" s="70"/>
      <c r="AE1564" s="70"/>
      <c r="AF1564" s="70"/>
      <c r="AG1564" s="70"/>
      <c r="AH1564" s="70"/>
      <c r="AI1564" s="70"/>
      <c r="AJ1564" s="70"/>
      <c r="AK1564" s="70"/>
      <c r="AL1564" s="70"/>
      <c r="AM1564" s="70"/>
      <c r="AN1564" s="70"/>
      <c r="AO1564" s="70"/>
      <c r="AP1564" s="70"/>
      <c r="AQ1564" s="70"/>
      <c r="AR1564" s="70"/>
      <c r="AS1564" s="70"/>
      <c r="AT1564" s="70"/>
      <c r="AU1564" s="70"/>
      <c r="AV1564" s="70"/>
      <c r="AW1564" s="70"/>
      <c r="AX1564" s="70"/>
    </row>
    <row r="1565" ht="15.75" customHeight="1">
      <c r="A1565" s="67" t="s">
        <v>463</v>
      </c>
      <c r="B1565" s="289" t="s">
        <v>10313</v>
      </c>
      <c r="C1565" s="28" t="s">
        <v>10317</v>
      </c>
      <c r="D1565" s="28" t="s">
        <v>10318</v>
      </c>
      <c r="E1565" s="28" t="s">
        <v>10319</v>
      </c>
      <c r="F1565" s="28"/>
      <c r="G1565" s="28"/>
      <c r="H1565" s="28"/>
      <c r="I1565" s="28"/>
      <c r="J1565" s="28"/>
      <c r="K1565" s="28"/>
      <c r="L1565" s="28"/>
      <c r="M1565" s="28"/>
      <c r="N1565" s="28"/>
      <c r="O1565" s="67" t="s">
        <v>10939</v>
      </c>
      <c r="P1565" s="67"/>
      <c r="Q1565" s="67" t="s">
        <v>145</v>
      </c>
      <c r="R1565" s="67"/>
      <c r="S1565" s="67"/>
      <c r="T1565" s="67"/>
      <c r="U1565" s="67"/>
      <c r="V1565" s="67"/>
      <c r="W1565" s="67"/>
      <c r="X1565" s="67"/>
      <c r="Y1565" s="67"/>
      <c r="Z1565" s="67"/>
      <c r="AA1565" s="67"/>
      <c r="AB1565" s="67"/>
      <c r="AC1565" s="67"/>
      <c r="AD1565" s="70"/>
      <c r="AE1565" s="70"/>
      <c r="AF1565" s="70"/>
      <c r="AG1565" s="70"/>
      <c r="AH1565" s="70"/>
      <c r="AI1565" s="70"/>
      <c r="AJ1565" s="70"/>
      <c r="AK1565" s="70"/>
      <c r="AL1565" s="70"/>
      <c r="AM1565" s="70"/>
      <c r="AN1565" s="70"/>
      <c r="AO1565" s="70"/>
      <c r="AP1565" s="70"/>
      <c r="AQ1565" s="70"/>
      <c r="AR1565" s="70"/>
      <c r="AS1565" s="70"/>
      <c r="AT1565" s="70"/>
      <c r="AU1565" s="70"/>
      <c r="AV1565" s="70"/>
      <c r="AW1565" s="70"/>
      <c r="AX1565" s="70"/>
    </row>
    <row r="1566" ht="15.75" customHeight="1">
      <c r="A1566" s="126" t="s">
        <v>41</v>
      </c>
      <c r="B1566" s="330" t="s">
        <v>10320</v>
      </c>
      <c r="C1566" s="28" t="s">
        <v>10324</v>
      </c>
      <c r="D1566" s="28" t="s">
        <v>10325</v>
      </c>
      <c r="E1566" s="28" t="s">
        <v>10326</v>
      </c>
      <c r="F1566" s="28"/>
      <c r="G1566" s="28"/>
      <c r="H1566" s="28"/>
      <c r="I1566" s="28"/>
      <c r="J1566" s="28"/>
      <c r="K1566" s="28"/>
      <c r="L1566" s="28"/>
      <c r="M1566" s="28"/>
      <c r="N1566" s="28"/>
      <c r="O1566" s="126" t="s">
        <v>10941</v>
      </c>
      <c r="P1566" s="126"/>
      <c r="Q1566" s="126" t="s">
        <v>145</v>
      </c>
      <c r="R1566" s="126"/>
      <c r="S1566" s="126"/>
      <c r="T1566" s="126"/>
      <c r="U1566" s="126"/>
      <c r="V1566" s="126"/>
      <c r="W1566" s="126"/>
      <c r="X1566" s="126"/>
      <c r="Y1566" s="126"/>
      <c r="Z1566" s="126"/>
      <c r="AA1566" s="126"/>
      <c r="AB1566" s="126"/>
      <c r="AC1566" s="126"/>
      <c r="AD1566" s="70"/>
      <c r="AE1566" s="70"/>
      <c r="AF1566" s="70"/>
      <c r="AG1566" s="70"/>
      <c r="AH1566" s="70"/>
      <c r="AI1566" s="70"/>
      <c r="AJ1566" s="70"/>
      <c r="AK1566" s="70"/>
      <c r="AL1566" s="70"/>
      <c r="AM1566" s="70"/>
      <c r="AN1566" s="70"/>
      <c r="AO1566" s="70"/>
      <c r="AP1566" s="70"/>
      <c r="AQ1566" s="70"/>
      <c r="AR1566" s="70"/>
      <c r="AS1566" s="70"/>
      <c r="AT1566" s="70"/>
      <c r="AU1566" s="70"/>
      <c r="AV1566" s="70"/>
      <c r="AW1566" s="70"/>
      <c r="AX1566" s="70"/>
    </row>
    <row r="1567" ht="15.75" customHeight="1">
      <c r="A1567" s="67" t="s">
        <v>10202</v>
      </c>
      <c r="B1567" s="289" t="s">
        <v>10327</v>
      </c>
      <c r="C1567" s="28" t="s">
        <v>10331</v>
      </c>
      <c r="D1567" s="28" t="s">
        <v>10332</v>
      </c>
      <c r="E1567" s="28" t="s">
        <v>10333</v>
      </c>
      <c r="F1567" s="28"/>
      <c r="G1567" s="28"/>
      <c r="H1567" s="28"/>
      <c r="I1567" s="28"/>
      <c r="J1567" s="28"/>
      <c r="K1567" s="28"/>
      <c r="L1567" s="28"/>
      <c r="M1567" s="28"/>
      <c r="N1567" s="28"/>
      <c r="O1567" s="67" t="s">
        <v>10939</v>
      </c>
      <c r="P1567" s="67"/>
      <c r="Q1567" s="67" t="s">
        <v>145</v>
      </c>
      <c r="R1567" s="67"/>
      <c r="S1567" s="67"/>
      <c r="T1567" s="67"/>
      <c r="U1567" s="67"/>
      <c r="V1567" s="67"/>
      <c r="W1567" s="67"/>
      <c r="X1567" s="67"/>
      <c r="Y1567" s="67"/>
      <c r="Z1567" s="67"/>
      <c r="AA1567" s="67"/>
      <c r="AB1567" s="67"/>
      <c r="AC1567" s="67"/>
      <c r="AD1567" s="70"/>
      <c r="AE1567" s="70"/>
      <c r="AF1567" s="70"/>
      <c r="AG1567" s="70"/>
      <c r="AH1567" s="70"/>
      <c r="AI1567" s="70"/>
      <c r="AJ1567" s="70"/>
      <c r="AK1567" s="70"/>
      <c r="AL1567" s="70"/>
      <c r="AM1567" s="70"/>
      <c r="AN1567" s="70"/>
      <c r="AO1567" s="70"/>
      <c r="AP1567" s="70"/>
      <c r="AQ1567" s="70"/>
      <c r="AR1567" s="70"/>
      <c r="AS1567" s="70"/>
      <c r="AT1567" s="70"/>
      <c r="AU1567" s="70"/>
      <c r="AV1567" s="70"/>
      <c r="AW1567" s="70"/>
      <c r="AX1567" s="70"/>
    </row>
    <row r="1568" ht="15.75" customHeight="1">
      <c r="A1568" s="126" t="s">
        <v>41</v>
      </c>
      <c r="B1568" s="330" t="s">
        <v>10334</v>
      </c>
      <c r="C1568" s="28" t="s">
        <v>10338</v>
      </c>
      <c r="D1568" s="28" t="s">
        <v>10339</v>
      </c>
      <c r="E1568" s="28" t="s">
        <v>10340</v>
      </c>
      <c r="F1568" s="28"/>
      <c r="G1568" s="28"/>
      <c r="H1568" s="28"/>
      <c r="I1568" s="28"/>
      <c r="J1568" s="28"/>
      <c r="K1568" s="28"/>
      <c r="L1568" s="28"/>
      <c r="M1568" s="28"/>
      <c r="N1568" s="28"/>
      <c r="O1568" s="126" t="s">
        <v>10942</v>
      </c>
      <c r="P1568" s="126"/>
      <c r="Q1568" s="126" t="s">
        <v>145</v>
      </c>
      <c r="R1568" s="126"/>
      <c r="S1568" s="126"/>
      <c r="T1568" s="126"/>
      <c r="U1568" s="126"/>
      <c r="V1568" s="126"/>
      <c r="W1568" s="126"/>
      <c r="X1568" s="126"/>
      <c r="Y1568" s="126"/>
      <c r="Z1568" s="126"/>
      <c r="AA1568" s="126"/>
      <c r="AB1568" s="126"/>
      <c r="AC1568" s="126"/>
      <c r="AD1568" s="70"/>
      <c r="AE1568" s="70"/>
      <c r="AF1568" s="70"/>
      <c r="AG1568" s="70"/>
      <c r="AH1568" s="70"/>
      <c r="AI1568" s="70"/>
      <c r="AJ1568" s="70"/>
      <c r="AK1568" s="70"/>
      <c r="AL1568" s="70"/>
      <c r="AM1568" s="70"/>
      <c r="AN1568" s="70"/>
      <c r="AO1568" s="70"/>
      <c r="AP1568" s="70"/>
      <c r="AQ1568" s="70"/>
      <c r="AR1568" s="70"/>
      <c r="AS1568" s="70"/>
      <c r="AT1568" s="70"/>
      <c r="AU1568" s="70"/>
      <c r="AV1568" s="70"/>
      <c r="AW1568" s="70"/>
      <c r="AX1568" s="70"/>
    </row>
    <row r="1569" ht="15.75" customHeight="1">
      <c r="A1569" s="67" t="s">
        <v>463</v>
      </c>
      <c r="B1569" s="289" t="s">
        <v>10341</v>
      </c>
      <c r="C1569" s="28" t="s">
        <v>10345</v>
      </c>
      <c r="D1569" s="28" t="s">
        <v>10346</v>
      </c>
      <c r="E1569" s="28" t="s">
        <v>10347</v>
      </c>
      <c r="F1569" s="28"/>
      <c r="G1569" s="28"/>
      <c r="H1569" s="28"/>
      <c r="I1569" s="28"/>
      <c r="J1569" s="28"/>
      <c r="K1569" s="28"/>
      <c r="L1569" s="28"/>
      <c r="M1569" s="28"/>
      <c r="N1569" s="28"/>
      <c r="O1569" s="67" t="s">
        <v>10939</v>
      </c>
      <c r="P1569" s="67"/>
      <c r="Q1569" s="67" t="s">
        <v>145</v>
      </c>
      <c r="R1569" s="67"/>
      <c r="S1569" s="67"/>
      <c r="T1569" s="67"/>
      <c r="U1569" s="67"/>
      <c r="V1569" s="67"/>
      <c r="W1569" s="67"/>
      <c r="X1569" s="67"/>
      <c r="Y1569" s="67"/>
      <c r="Z1569" s="67"/>
      <c r="AA1569" s="67"/>
      <c r="AB1569" s="67"/>
      <c r="AC1569" s="67"/>
      <c r="AD1569" s="70"/>
      <c r="AE1569" s="70"/>
      <c r="AF1569" s="70"/>
      <c r="AG1569" s="70"/>
      <c r="AH1569" s="70"/>
      <c r="AI1569" s="70"/>
      <c r="AJ1569" s="70"/>
      <c r="AK1569" s="70"/>
      <c r="AL1569" s="70"/>
      <c r="AM1569" s="70"/>
      <c r="AN1569" s="70"/>
      <c r="AO1569" s="70"/>
      <c r="AP1569" s="70"/>
      <c r="AQ1569" s="70"/>
      <c r="AR1569" s="70"/>
      <c r="AS1569" s="70"/>
      <c r="AT1569" s="70"/>
      <c r="AU1569" s="70"/>
      <c r="AV1569" s="70"/>
      <c r="AW1569" s="70"/>
      <c r="AX1569" s="70"/>
    </row>
    <row r="1570" ht="15.75" customHeight="1">
      <c r="A1570" s="139" t="s">
        <v>131</v>
      </c>
      <c r="B1570" s="190" t="s">
        <v>10348</v>
      </c>
      <c r="C1570" s="28" t="s">
        <v>10349</v>
      </c>
      <c r="D1570" s="28"/>
      <c r="E1570" s="28"/>
      <c r="F1570" s="28"/>
      <c r="G1570" s="28"/>
      <c r="H1570" s="28"/>
      <c r="I1570" s="28"/>
      <c r="J1570" s="28" t="s">
        <v>931</v>
      </c>
      <c r="K1570" s="28"/>
      <c r="L1570" s="28"/>
      <c r="M1570" s="28"/>
      <c r="N1570" s="28"/>
      <c r="O1570" s="190"/>
      <c r="P1570" s="139"/>
      <c r="Q1570" s="139"/>
      <c r="R1570" s="139"/>
      <c r="S1570" s="139"/>
      <c r="T1570" s="139"/>
      <c r="U1570" s="139"/>
      <c r="V1570" s="139"/>
      <c r="W1570" s="139"/>
      <c r="X1570" s="139"/>
      <c r="Y1570" s="139"/>
      <c r="Z1570" s="139"/>
      <c r="AA1570" s="139"/>
      <c r="AB1570" s="139"/>
      <c r="AC1570" s="139"/>
      <c r="AD1570" s="70"/>
      <c r="AE1570" s="70"/>
      <c r="AF1570" s="70"/>
      <c r="AG1570" s="70"/>
      <c r="AH1570" s="70"/>
      <c r="AI1570" s="70"/>
      <c r="AJ1570" s="70"/>
      <c r="AK1570" s="70"/>
      <c r="AL1570" s="70"/>
      <c r="AM1570" s="70"/>
      <c r="AN1570" s="70"/>
      <c r="AO1570" s="70"/>
      <c r="AP1570" s="70"/>
      <c r="AQ1570" s="70"/>
      <c r="AR1570" s="70"/>
      <c r="AS1570" s="70"/>
      <c r="AT1570" s="70"/>
      <c r="AU1570" s="70"/>
      <c r="AV1570" s="70"/>
      <c r="AW1570" s="70"/>
      <c r="AX1570" s="70"/>
    </row>
    <row r="1571" ht="15.75" customHeight="1">
      <c r="A1571" s="181" t="s">
        <v>246</v>
      </c>
      <c r="B1571" s="331" t="s">
        <v>10350</v>
      </c>
      <c r="C1571" s="28" t="s">
        <v>10354</v>
      </c>
      <c r="D1571" s="28" t="s">
        <v>10355</v>
      </c>
      <c r="E1571" s="28" t="s">
        <v>10356</v>
      </c>
      <c r="F1571" s="28"/>
      <c r="G1571" s="28"/>
      <c r="H1571" s="28"/>
      <c r="I1571" s="28"/>
      <c r="J1571" s="28"/>
      <c r="K1571" s="28"/>
      <c r="L1571" s="28"/>
      <c r="M1571" s="28"/>
      <c r="N1571" s="28"/>
      <c r="O1571" s="181" t="s">
        <v>10943</v>
      </c>
      <c r="P1571" s="181"/>
      <c r="Q1571" s="181" t="s">
        <v>145</v>
      </c>
      <c r="R1571" s="181"/>
      <c r="S1571" s="181"/>
      <c r="T1571" s="181"/>
      <c r="U1571" s="181"/>
      <c r="V1571" s="181"/>
      <c r="W1571" s="181"/>
      <c r="X1571" s="181"/>
      <c r="Y1571" s="181"/>
      <c r="Z1571" s="181"/>
      <c r="AA1571" s="181"/>
      <c r="AB1571" s="181"/>
      <c r="AC1571" s="181"/>
      <c r="AD1571" s="70"/>
      <c r="AE1571" s="70"/>
      <c r="AF1571" s="70"/>
      <c r="AG1571" s="70"/>
      <c r="AH1571" s="70"/>
      <c r="AI1571" s="70"/>
      <c r="AJ1571" s="70"/>
      <c r="AK1571" s="70"/>
      <c r="AL1571" s="70"/>
      <c r="AM1571" s="70"/>
      <c r="AN1571" s="70"/>
      <c r="AO1571" s="70"/>
      <c r="AP1571" s="70"/>
      <c r="AQ1571" s="70"/>
      <c r="AR1571" s="70"/>
      <c r="AS1571" s="70"/>
      <c r="AT1571" s="70"/>
      <c r="AU1571" s="70"/>
      <c r="AV1571" s="70"/>
      <c r="AW1571" s="70"/>
      <c r="AX1571" s="70"/>
    </row>
    <row r="1572" ht="15.75" customHeight="1">
      <c r="A1572" s="181" t="s">
        <v>246</v>
      </c>
      <c r="B1572" s="331" t="s">
        <v>10357</v>
      </c>
      <c r="C1572" s="28" t="s">
        <v>10361</v>
      </c>
      <c r="D1572" s="28" t="s">
        <v>10362</v>
      </c>
      <c r="E1572" s="28" t="s">
        <v>10363</v>
      </c>
      <c r="F1572" s="28"/>
      <c r="G1572" s="28"/>
      <c r="H1572" s="28"/>
      <c r="I1572" s="28"/>
      <c r="J1572" s="28"/>
      <c r="K1572" s="28"/>
      <c r="L1572" s="28"/>
      <c r="M1572" s="28"/>
      <c r="N1572" s="28"/>
      <c r="O1572" s="181" t="s">
        <v>10943</v>
      </c>
      <c r="P1572" s="181"/>
      <c r="Q1572" s="181" t="s">
        <v>145</v>
      </c>
      <c r="R1572" s="181"/>
      <c r="S1572" s="181"/>
      <c r="T1572" s="181"/>
      <c r="U1572" s="181"/>
      <c r="V1572" s="181"/>
      <c r="W1572" s="181"/>
      <c r="X1572" s="181"/>
      <c r="Y1572" s="181"/>
      <c r="Z1572" s="181"/>
      <c r="AA1572" s="181"/>
      <c r="AB1572" s="181"/>
      <c r="AC1572" s="181"/>
      <c r="AD1572" s="70"/>
      <c r="AE1572" s="70"/>
      <c r="AF1572" s="70"/>
      <c r="AG1572" s="70"/>
      <c r="AH1572" s="70"/>
      <c r="AI1572" s="70"/>
      <c r="AJ1572" s="70"/>
      <c r="AK1572" s="70"/>
      <c r="AL1572" s="70"/>
      <c r="AM1572" s="70"/>
      <c r="AN1572" s="70"/>
      <c r="AO1572" s="70"/>
      <c r="AP1572" s="70"/>
      <c r="AQ1572" s="70"/>
      <c r="AR1572" s="70"/>
      <c r="AS1572" s="70"/>
      <c r="AT1572" s="70"/>
      <c r="AU1572" s="70"/>
      <c r="AV1572" s="70"/>
      <c r="AW1572" s="70"/>
      <c r="AX1572" s="70"/>
    </row>
    <row r="1573" ht="15.75" customHeight="1">
      <c r="A1573" s="139" t="s">
        <v>237</v>
      </c>
      <c r="B1573" s="139" t="s">
        <v>10348</v>
      </c>
      <c r="C1573" s="28" t="s">
        <v>10349</v>
      </c>
      <c r="D1573" s="28"/>
      <c r="E1573" s="28"/>
      <c r="F1573" s="28"/>
      <c r="G1573" s="28"/>
      <c r="H1573" s="28"/>
      <c r="I1573" s="28"/>
      <c r="J1573" s="28"/>
      <c r="K1573" s="28"/>
      <c r="L1573" s="28"/>
      <c r="M1573" s="28"/>
      <c r="N1573" s="28"/>
      <c r="O1573" s="139"/>
      <c r="P1573" s="139"/>
      <c r="Q1573" s="139"/>
      <c r="R1573" s="139"/>
      <c r="S1573" s="139"/>
      <c r="T1573" s="139"/>
      <c r="U1573" s="139"/>
      <c r="V1573" s="139"/>
      <c r="W1573" s="139"/>
      <c r="X1573" s="139"/>
      <c r="Y1573" s="139"/>
      <c r="Z1573" s="139"/>
      <c r="AA1573" s="139"/>
      <c r="AB1573" s="139"/>
      <c r="AC1573" s="139"/>
      <c r="AD1573" s="70"/>
      <c r="AE1573" s="70"/>
      <c r="AF1573" s="70"/>
      <c r="AG1573" s="70"/>
      <c r="AH1573" s="70"/>
      <c r="AI1573" s="70"/>
      <c r="AJ1573" s="70"/>
      <c r="AK1573" s="70"/>
      <c r="AL1573" s="70"/>
      <c r="AM1573" s="70"/>
      <c r="AN1573" s="70"/>
      <c r="AO1573" s="70"/>
      <c r="AP1573" s="70"/>
      <c r="AQ1573" s="70"/>
      <c r="AR1573" s="70"/>
      <c r="AS1573" s="70"/>
      <c r="AT1573" s="70"/>
      <c r="AU1573" s="70"/>
      <c r="AV1573" s="70"/>
      <c r="AW1573" s="70"/>
      <c r="AX1573" s="70"/>
    </row>
    <row r="1574" ht="15.75" customHeight="1">
      <c r="A1574" s="96" t="s">
        <v>78</v>
      </c>
      <c r="B1574" s="178" t="s">
        <v>10364</v>
      </c>
      <c r="C1574" s="28"/>
      <c r="D1574" s="28"/>
      <c r="E1574" s="28"/>
      <c r="F1574" s="28"/>
      <c r="G1574" s="28"/>
      <c r="H1574" s="28"/>
      <c r="I1574" s="28"/>
      <c r="J1574" s="28"/>
      <c r="K1574" s="28"/>
      <c r="L1574" s="28"/>
      <c r="M1574" s="28"/>
      <c r="N1574" s="28"/>
      <c r="O1574" s="96"/>
      <c r="P1574" s="96"/>
      <c r="Q1574" s="96"/>
      <c r="R1574" s="96"/>
      <c r="S1574" s="96"/>
      <c r="T1574" s="178" t="s">
        <v>10944</v>
      </c>
      <c r="U1574" s="96"/>
      <c r="V1574" s="96"/>
      <c r="W1574" s="96"/>
      <c r="X1574" s="96"/>
      <c r="Y1574" s="96"/>
      <c r="Z1574" s="96"/>
      <c r="AA1574" s="96"/>
      <c r="AB1574" s="96"/>
      <c r="AC1574" s="96"/>
      <c r="AD1574" s="70"/>
      <c r="AE1574" s="70"/>
      <c r="AF1574" s="70"/>
      <c r="AG1574" s="70"/>
      <c r="AH1574" s="70"/>
      <c r="AI1574" s="70"/>
      <c r="AJ1574" s="70"/>
      <c r="AK1574" s="70"/>
      <c r="AL1574" s="70"/>
      <c r="AM1574" s="70"/>
      <c r="AN1574" s="70"/>
      <c r="AO1574" s="70"/>
      <c r="AP1574" s="70"/>
      <c r="AQ1574" s="70"/>
      <c r="AR1574" s="70"/>
      <c r="AS1574" s="70"/>
      <c r="AT1574" s="70"/>
      <c r="AU1574" s="70"/>
      <c r="AV1574" s="70"/>
      <c r="AW1574" s="70"/>
      <c r="AX1574" s="70"/>
    </row>
    <row r="1575" ht="15.75" customHeight="1">
      <c r="A1575" s="181" t="s">
        <v>246</v>
      </c>
      <c r="B1575" s="331" t="s">
        <v>10365</v>
      </c>
      <c r="C1575" s="28" t="s">
        <v>10369</v>
      </c>
      <c r="D1575" s="28" t="s">
        <v>10370</v>
      </c>
      <c r="E1575" s="28" t="s">
        <v>10371</v>
      </c>
      <c r="F1575" s="28"/>
      <c r="G1575" s="28"/>
      <c r="H1575" s="28"/>
      <c r="I1575" s="28"/>
      <c r="J1575" s="28" t="s">
        <v>10926</v>
      </c>
      <c r="K1575" s="28"/>
      <c r="L1575" s="28"/>
      <c r="M1575" s="28"/>
      <c r="N1575" s="28"/>
      <c r="O1575" s="181" t="s">
        <v>10943</v>
      </c>
      <c r="P1575" s="181"/>
      <c r="Q1575" s="181" t="s">
        <v>145</v>
      </c>
      <c r="R1575" s="181"/>
      <c r="S1575" s="181"/>
      <c r="T1575" s="181"/>
      <c r="U1575" s="181"/>
      <c r="V1575" s="181"/>
      <c r="W1575" s="181"/>
      <c r="X1575" s="181"/>
      <c r="Y1575" s="181"/>
      <c r="Z1575" s="181"/>
      <c r="AA1575" s="181"/>
      <c r="AB1575" s="181"/>
      <c r="AC1575" s="181"/>
      <c r="AD1575" s="70"/>
      <c r="AE1575" s="70"/>
      <c r="AF1575" s="70"/>
      <c r="AG1575" s="70"/>
      <c r="AH1575" s="70"/>
      <c r="AI1575" s="70"/>
      <c r="AJ1575" s="70"/>
      <c r="AK1575" s="70"/>
      <c r="AL1575" s="70"/>
      <c r="AM1575" s="70"/>
      <c r="AN1575" s="70"/>
      <c r="AO1575" s="70"/>
      <c r="AP1575" s="70"/>
      <c r="AQ1575" s="70"/>
      <c r="AR1575" s="70"/>
      <c r="AS1575" s="70"/>
      <c r="AT1575" s="70"/>
      <c r="AU1575" s="70"/>
      <c r="AV1575" s="70"/>
      <c r="AW1575" s="70"/>
      <c r="AX1575" s="70"/>
    </row>
    <row r="1576" ht="15.75" customHeight="1">
      <c r="A1576" s="67" t="s">
        <v>5785</v>
      </c>
      <c r="B1576" s="289" t="s">
        <v>10372</v>
      </c>
      <c r="C1576" s="28" t="s">
        <v>10376</v>
      </c>
      <c r="D1576" s="28" t="s">
        <v>10377</v>
      </c>
      <c r="E1576" s="28" t="s">
        <v>10378</v>
      </c>
      <c r="F1576" s="28"/>
      <c r="G1576" s="28"/>
      <c r="H1576" s="28"/>
      <c r="I1576" s="28"/>
      <c r="J1576" s="28"/>
      <c r="K1576" s="28"/>
      <c r="L1576" s="28"/>
      <c r="M1576" s="28"/>
      <c r="N1576" s="28"/>
      <c r="O1576" s="67" t="s">
        <v>10943</v>
      </c>
      <c r="P1576" s="67"/>
      <c r="Q1576" s="67" t="s">
        <v>145</v>
      </c>
      <c r="R1576" s="67"/>
      <c r="S1576" s="67"/>
      <c r="T1576" s="67"/>
      <c r="U1576" s="67"/>
      <c r="V1576" s="67"/>
      <c r="W1576" s="67"/>
      <c r="X1576" s="67"/>
      <c r="Y1576" s="67"/>
      <c r="Z1576" s="67"/>
      <c r="AA1576" s="67"/>
      <c r="AB1576" s="67"/>
      <c r="AC1576" s="67"/>
      <c r="AD1576" s="70"/>
      <c r="AE1576" s="70"/>
      <c r="AF1576" s="70"/>
      <c r="AG1576" s="70"/>
      <c r="AH1576" s="70"/>
      <c r="AI1576" s="70"/>
      <c r="AJ1576" s="70"/>
      <c r="AK1576" s="70"/>
      <c r="AL1576" s="70"/>
      <c r="AM1576" s="70"/>
      <c r="AN1576" s="70"/>
      <c r="AO1576" s="70"/>
      <c r="AP1576" s="70"/>
      <c r="AQ1576" s="70"/>
      <c r="AR1576" s="70"/>
      <c r="AS1576" s="70"/>
      <c r="AT1576" s="70"/>
      <c r="AU1576" s="70"/>
      <c r="AV1576" s="70"/>
      <c r="AW1576" s="70"/>
      <c r="AX1576" s="70"/>
    </row>
    <row r="1577" ht="15.75" customHeight="1">
      <c r="A1577" s="67" t="s">
        <v>463</v>
      </c>
      <c r="B1577" s="289" t="s">
        <v>10379</v>
      </c>
      <c r="C1577" s="28" t="s">
        <v>10383</v>
      </c>
      <c r="D1577" s="28" t="s">
        <v>10384</v>
      </c>
      <c r="E1577" s="28" t="s">
        <v>10385</v>
      </c>
      <c r="F1577" s="28"/>
      <c r="G1577" s="28"/>
      <c r="H1577" s="28"/>
      <c r="I1577" s="28"/>
      <c r="J1577" s="28"/>
      <c r="K1577" s="28"/>
      <c r="L1577" s="28"/>
      <c r="M1577" s="28"/>
      <c r="N1577" s="28"/>
      <c r="O1577" s="67" t="s">
        <v>10943</v>
      </c>
      <c r="P1577" s="67"/>
      <c r="Q1577" s="67" t="s">
        <v>145</v>
      </c>
      <c r="R1577" s="67"/>
      <c r="S1577" s="67"/>
      <c r="T1577" s="67"/>
      <c r="U1577" s="67"/>
      <c r="V1577" s="67"/>
      <c r="W1577" s="67"/>
      <c r="X1577" s="67"/>
      <c r="Y1577" s="67"/>
      <c r="Z1577" s="67"/>
      <c r="AA1577" s="67"/>
      <c r="AB1577" s="67"/>
      <c r="AC1577" s="67"/>
      <c r="AD1577" s="70"/>
      <c r="AE1577" s="70"/>
      <c r="AF1577" s="70"/>
      <c r="AG1577" s="70"/>
      <c r="AH1577" s="70"/>
      <c r="AI1577" s="70"/>
      <c r="AJ1577" s="70"/>
      <c r="AK1577" s="70"/>
      <c r="AL1577" s="70"/>
      <c r="AM1577" s="70"/>
      <c r="AN1577" s="70"/>
      <c r="AO1577" s="70"/>
      <c r="AP1577" s="70"/>
      <c r="AQ1577" s="70"/>
      <c r="AR1577" s="70"/>
      <c r="AS1577" s="70"/>
      <c r="AT1577" s="70"/>
      <c r="AU1577" s="70"/>
      <c r="AV1577" s="70"/>
      <c r="AW1577" s="70"/>
      <c r="AX1577" s="70"/>
    </row>
    <row r="1578" ht="15.75" customHeight="1">
      <c r="A1578" s="126" t="s">
        <v>41</v>
      </c>
      <c r="B1578" s="330" t="s">
        <v>10386</v>
      </c>
      <c r="C1578" s="28" t="s">
        <v>10390</v>
      </c>
      <c r="D1578" s="28" t="s">
        <v>10391</v>
      </c>
      <c r="E1578" s="28" t="s">
        <v>10392</v>
      </c>
      <c r="F1578" s="28"/>
      <c r="G1578" s="28"/>
      <c r="H1578" s="28"/>
      <c r="I1578" s="28"/>
      <c r="J1578" s="28"/>
      <c r="K1578" s="28"/>
      <c r="L1578" s="28"/>
      <c r="M1578" s="28"/>
      <c r="N1578" s="28"/>
      <c r="O1578" s="126" t="s">
        <v>10945</v>
      </c>
      <c r="P1578" s="126"/>
      <c r="Q1578" s="126" t="s">
        <v>145</v>
      </c>
      <c r="R1578" s="126"/>
      <c r="S1578" s="126"/>
      <c r="T1578" s="126"/>
      <c r="U1578" s="126"/>
      <c r="V1578" s="126"/>
      <c r="W1578" s="126"/>
      <c r="X1578" s="126"/>
      <c r="Y1578" s="126"/>
      <c r="Z1578" s="126"/>
      <c r="AA1578" s="126"/>
      <c r="AB1578" s="126"/>
      <c r="AC1578" s="126"/>
      <c r="AD1578" s="70"/>
      <c r="AE1578" s="70"/>
      <c r="AF1578" s="70"/>
      <c r="AG1578" s="70"/>
      <c r="AH1578" s="70"/>
      <c r="AI1578" s="70"/>
      <c r="AJ1578" s="70"/>
      <c r="AK1578" s="70"/>
      <c r="AL1578" s="70"/>
      <c r="AM1578" s="70"/>
      <c r="AN1578" s="70"/>
      <c r="AO1578" s="70"/>
      <c r="AP1578" s="70"/>
      <c r="AQ1578" s="70"/>
      <c r="AR1578" s="70"/>
      <c r="AS1578" s="70"/>
      <c r="AT1578" s="70"/>
      <c r="AU1578" s="70"/>
      <c r="AV1578" s="70"/>
      <c r="AW1578" s="70"/>
      <c r="AX1578" s="70"/>
    </row>
    <row r="1579" ht="15.75" customHeight="1">
      <c r="A1579" s="67" t="s">
        <v>10202</v>
      </c>
      <c r="B1579" s="289" t="s">
        <v>10393</v>
      </c>
      <c r="C1579" s="28" t="s">
        <v>10397</v>
      </c>
      <c r="D1579" s="28" t="s">
        <v>10398</v>
      </c>
      <c r="E1579" s="28" t="s">
        <v>10399</v>
      </c>
      <c r="F1579" s="28"/>
      <c r="G1579" s="28"/>
      <c r="H1579" s="28"/>
      <c r="I1579" s="28"/>
      <c r="J1579" s="28"/>
      <c r="K1579" s="28"/>
      <c r="L1579" s="28"/>
      <c r="M1579" s="28"/>
      <c r="N1579" s="28"/>
      <c r="O1579" s="67" t="s">
        <v>10943</v>
      </c>
      <c r="P1579" s="67"/>
      <c r="Q1579" s="67" t="s">
        <v>145</v>
      </c>
      <c r="R1579" s="67"/>
      <c r="S1579" s="67"/>
      <c r="T1579" s="67"/>
      <c r="U1579" s="67"/>
      <c r="V1579" s="67"/>
      <c r="W1579" s="67"/>
      <c r="X1579" s="67"/>
      <c r="Y1579" s="67"/>
      <c r="Z1579" s="67"/>
      <c r="AA1579" s="67"/>
      <c r="AB1579" s="67"/>
      <c r="AC1579" s="67"/>
      <c r="AD1579" s="70"/>
      <c r="AE1579" s="70"/>
      <c r="AF1579" s="70"/>
      <c r="AG1579" s="70"/>
      <c r="AH1579" s="70"/>
      <c r="AI1579" s="70"/>
      <c r="AJ1579" s="70"/>
      <c r="AK1579" s="70"/>
      <c r="AL1579" s="70"/>
      <c r="AM1579" s="70"/>
      <c r="AN1579" s="70"/>
      <c r="AO1579" s="70"/>
      <c r="AP1579" s="70"/>
      <c r="AQ1579" s="70"/>
      <c r="AR1579" s="70"/>
      <c r="AS1579" s="70"/>
      <c r="AT1579" s="70"/>
      <c r="AU1579" s="70"/>
      <c r="AV1579" s="70"/>
      <c r="AW1579" s="70"/>
      <c r="AX1579" s="70"/>
    </row>
    <row r="1580" ht="15.75" customHeight="1">
      <c r="A1580" s="126" t="s">
        <v>41</v>
      </c>
      <c r="B1580" s="330" t="s">
        <v>10400</v>
      </c>
      <c r="C1580" s="28" t="s">
        <v>10404</v>
      </c>
      <c r="D1580" s="28" t="s">
        <v>10405</v>
      </c>
      <c r="E1580" s="28" t="s">
        <v>10406</v>
      </c>
      <c r="F1580" s="28"/>
      <c r="G1580" s="28"/>
      <c r="H1580" s="28"/>
      <c r="I1580" s="28"/>
      <c r="J1580" s="28"/>
      <c r="K1580" s="28"/>
      <c r="L1580" s="28"/>
      <c r="M1580" s="28"/>
      <c r="N1580" s="28"/>
      <c r="O1580" s="126" t="s">
        <v>10946</v>
      </c>
      <c r="P1580" s="126"/>
      <c r="Q1580" s="126" t="s">
        <v>145</v>
      </c>
      <c r="R1580" s="126"/>
      <c r="S1580" s="126"/>
      <c r="T1580" s="126"/>
      <c r="U1580" s="126"/>
      <c r="V1580" s="126"/>
      <c r="W1580" s="126"/>
      <c r="X1580" s="126"/>
      <c r="Y1580" s="126"/>
      <c r="Z1580" s="126"/>
      <c r="AA1580" s="126"/>
      <c r="AB1580" s="126"/>
      <c r="AC1580" s="126"/>
      <c r="AD1580" s="70"/>
      <c r="AE1580" s="70"/>
      <c r="AF1580" s="70"/>
      <c r="AG1580" s="70"/>
      <c r="AH1580" s="70"/>
      <c r="AI1580" s="70"/>
      <c r="AJ1580" s="70"/>
      <c r="AK1580" s="70"/>
      <c r="AL1580" s="70"/>
      <c r="AM1580" s="70"/>
      <c r="AN1580" s="70"/>
      <c r="AO1580" s="70"/>
      <c r="AP1580" s="70"/>
      <c r="AQ1580" s="70"/>
      <c r="AR1580" s="70"/>
      <c r="AS1580" s="70"/>
      <c r="AT1580" s="70"/>
      <c r="AU1580" s="70"/>
      <c r="AV1580" s="70"/>
      <c r="AW1580" s="70"/>
      <c r="AX1580" s="70"/>
    </row>
    <row r="1581" ht="15.75" customHeight="1">
      <c r="A1581" s="139" t="s">
        <v>237</v>
      </c>
      <c r="B1581" s="139" t="s">
        <v>10170</v>
      </c>
      <c r="C1581" s="28" t="s">
        <v>10171</v>
      </c>
      <c r="D1581" s="28" t="s">
        <v>10172</v>
      </c>
      <c r="E1581" s="28" t="s">
        <v>10173</v>
      </c>
      <c r="F1581" s="28"/>
      <c r="G1581" s="28"/>
      <c r="H1581" s="28"/>
      <c r="I1581" s="28"/>
      <c r="J1581" s="28"/>
      <c r="K1581" s="28"/>
      <c r="L1581" s="28"/>
      <c r="M1581" s="28"/>
      <c r="N1581" s="28"/>
      <c r="O1581" s="139"/>
      <c r="P1581" s="139"/>
      <c r="Q1581" s="139"/>
      <c r="R1581" s="139"/>
      <c r="S1581" s="139"/>
      <c r="T1581" s="139"/>
      <c r="U1581" s="139"/>
      <c r="V1581" s="139"/>
      <c r="W1581" s="139"/>
      <c r="X1581" s="139"/>
      <c r="Y1581" s="139"/>
      <c r="Z1581" s="139"/>
      <c r="AA1581" s="139"/>
      <c r="AB1581" s="139"/>
      <c r="AC1581" s="139"/>
      <c r="AD1581" s="70"/>
      <c r="AE1581" s="70"/>
      <c r="AF1581" s="70"/>
      <c r="AG1581" s="70"/>
      <c r="AH1581" s="70"/>
      <c r="AI1581" s="70"/>
      <c r="AJ1581" s="70"/>
      <c r="AK1581" s="70"/>
      <c r="AL1581" s="70"/>
      <c r="AM1581" s="70"/>
      <c r="AN1581" s="70"/>
      <c r="AO1581" s="70"/>
      <c r="AP1581" s="70"/>
      <c r="AQ1581" s="70"/>
      <c r="AR1581" s="70"/>
      <c r="AS1581" s="70"/>
      <c r="AT1581" s="70"/>
      <c r="AU1581" s="70"/>
      <c r="AV1581" s="70"/>
      <c r="AW1581" s="70"/>
      <c r="AX1581" s="70"/>
    </row>
    <row r="1582" ht="15.75" customHeight="1">
      <c r="A1582" s="70"/>
      <c r="B1582" s="70"/>
      <c r="C1582" s="28"/>
      <c r="D1582" s="28"/>
      <c r="E1582" s="28"/>
      <c r="F1582" s="28"/>
      <c r="G1582" s="28"/>
      <c r="H1582" s="28"/>
      <c r="I1582" s="28"/>
      <c r="J1582" s="28"/>
      <c r="K1582" s="28"/>
      <c r="L1582" s="28"/>
      <c r="M1582" s="28"/>
      <c r="N1582" s="28"/>
      <c r="O1582" s="70"/>
      <c r="P1582" s="70"/>
      <c r="Q1582" s="70"/>
      <c r="R1582" s="70"/>
      <c r="S1582" s="70"/>
      <c r="T1582" s="70"/>
      <c r="U1582" s="70"/>
      <c r="V1582" s="70"/>
      <c r="W1582" s="70"/>
      <c r="X1582" s="70"/>
      <c r="Y1582" s="70"/>
      <c r="Z1582" s="70"/>
      <c r="AA1582" s="70"/>
      <c r="AB1582" s="70"/>
      <c r="AC1582" s="70"/>
      <c r="AD1582" s="70"/>
      <c r="AE1582" s="70"/>
      <c r="AF1582" s="70"/>
      <c r="AG1582" s="70"/>
      <c r="AH1582" s="70"/>
      <c r="AI1582" s="70"/>
      <c r="AJ1582" s="70"/>
      <c r="AK1582" s="70"/>
      <c r="AL1582" s="70"/>
      <c r="AM1582" s="70"/>
      <c r="AN1582" s="70"/>
      <c r="AO1582" s="70"/>
      <c r="AP1582" s="70"/>
      <c r="AQ1582" s="70"/>
      <c r="AR1582" s="70"/>
      <c r="AS1582" s="70"/>
      <c r="AT1582" s="70"/>
      <c r="AU1582" s="70"/>
      <c r="AV1582" s="70"/>
      <c r="AW1582" s="70"/>
      <c r="AX1582" s="70"/>
    </row>
    <row r="1583" ht="15.75" customHeight="1">
      <c r="A1583" s="139" t="s">
        <v>131</v>
      </c>
      <c r="B1583" s="190" t="s">
        <v>10407</v>
      </c>
      <c r="C1583" s="28" t="s">
        <v>10408</v>
      </c>
      <c r="D1583" s="28" t="s">
        <v>10409</v>
      </c>
      <c r="E1583" s="28" t="s">
        <v>10410</v>
      </c>
      <c r="F1583" s="28"/>
      <c r="G1583" s="28"/>
      <c r="H1583" s="28"/>
      <c r="I1583" s="28"/>
      <c r="J1583" s="28"/>
      <c r="K1583" s="28"/>
      <c r="L1583" s="28"/>
      <c r="M1583" s="28"/>
      <c r="N1583" s="28"/>
      <c r="O1583" s="190"/>
      <c r="P1583" s="139"/>
      <c r="Q1583" s="139"/>
      <c r="R1583" s="139"/>
      <c r="S1583" s="139"/>
      <c r="T1583" s="139"/>
      <c r="U1583" s="139"/>
      <c r="V1583" s="139"/>
      <c r="W1583" s="139"/>
      <c r="X1583" s="139"/>
      <c r="Y1583" s="139"/>
      <c r="Z1583" s="139"/>
      <c r="AA1583" s="139"/>
      <c r="AB1583" s="139"/>
      <c r="AC1583" s="139"/>
      <c r="AD1583" s="70"/>
      <c r="AE1583" s="70"/>
      <c r="AF1583" s="70"/>
      <c r="AG1583" s="70"/>
      <c r="AH1583" s="70"/>
      <c r="AI1583" s="70"/>
      <c r="AJ1583" s="70"/>
      <c r="AK1583" s="70"/>
      <c r="AL1583" s="70"/>
      <c r="AM1583" s="70"/>
      <c r="AN1583" s="70"/>
      <c r="AO1583" s="70"/>
      <c r="AP1583" s="70"/>
      <c r="AQ1583" s="70"/>
      <c r="AR1583" s="70"/>
      <c r="AS1583" s="70"/>
      <c r="AT1583" s="70"/>
      <c r="AU1583" s="70"/>
      <c r="AV1583" s="70"/>
      <c r="AW1583" s="70"/>
      <c r="AX1583" s="70"/>
    </row>
    <row r="1584" ht="15.75" customHeight="1">
      <c r="A1584" s="67" t="s">
        <v>10411</v>
      </c>
      <c r="B1584" s="289" t="s">
        <v>10412</v>
      </c>
      <c r="C1584" s="28" t="s">
        <v>10416</v>
      </c>
      <c r="D1584" s="28" t="s">
        <v>10417</v>
      </c>
      <c r="E1584" s="28" t="s">
        <v>10418</v>
      </c>
      <c r="F1584" s="28"/>
      <c r="G1584" s="28"/>
      <c r="H1584" s="28"/>
      <c r="I1584" s="28"/>
      <c r="J1584" s="28"/>
      <c r="K1584" s="28"/>
      <c r="L1584" s="28"/>
      <c r="M1584" s="28"/>
      <c r="N1584" s="28"/>
      <c r="O1584" s="67"/>
      <c r="P1584" s="67"/>
      <c r="Q1584" s="67" t="s">
        <v>145</v>
      </c>
      <c r="R1584" s="67"/>
      <c r="S1584" s="67"/>
      <c r="T1584" s="67"/>
      <c r="U1584" s="67"/>
      <c r="V1584" s="67"/>
      <c r="W1584" s="67"/>
      <c r="X1584" s="67"/>
      <c r="Y1584" s="67"/>
      <c r="Z1584" s="67"/>
      <c r="AA1584" s="67"/>
      <c r="AB1584" s="67"/>
      <c r="AC1584" s="67"/>
      <c r="AD1584" s="70"/>
      <c r="AE1584" s="70"/>
      <c r="AF1584" s="70"/>
      <c r="AG1584" s="70"/>
      <c r="AH1584" s="70"/>
      <c r="AI1584" s="70"/>
      <c r="AJ1584" s="70"/>
      <c r="AK1584" s="70"/>
      <c r="AL1584" s="70"/>
      <c r="AM1584" s="70"/>
      <c r="AN1584" s="70"/>
      <c r="AO1584" s="70"/>
      <c r="AP1584" s="70"/>
      <c r="AQ1584" s="70"/>
      <c r="AR1584" s="70"/>
      <c r="AS1584" s="70"/>
      <c r="AT1584" s="70"/>
      <c r="AU1584" s="70"/>
      <c r="AV1584" s="70"/>
      <c r="AW1584" s="70"/>
      <c r="AX1584" s="70"/>
    </row>
    <row r="1585" ht="15.75" customHeight="1">
      <c r="A1585" s="67" t="s">
        <v>10419</v>
      </c>
      <c r="B1585" s="289" t="s">
        <v>10420</v>
      </c>
      <c r="C1585" s="28" t="s">
        <v>10424</v>
      </c>
      <c r="D1585" s="28" t="s">
        <v>10425</v>
      </c>
      <c r="E1585" s="28" t="s">
        <v>10426</v>
      </c>
      <c r="F1585" s="28"/>
      <c r="G1585" s="28"/>
      <c r="H1585" s="28"/>
      <c r="I1585" s="28"/>
      <c r="J1585" s="28"/>
      <c r="K1585" s="28"/>
      <c r="L1585" s="28"/>
      <c r="M1585" s="28"/>
      <c r="N1585" s="28"/>
      <c r="O1585" s="67"/>
      <c r="P1585" s="67"/>
      <c r="Q1585" s="67" t="s">
        <v>145</v>
      </c>
      <c r="R1585" s="67"/>
      <c r="S1585" s="67"/>
      <c r="T1585" s="67"/>
      <c r="U1585" s="67"/>
      <c r="V1585" s="67"/>
      <c r="W1585" s="67"/>
      <c r="X1585" s="67"/>
      <c r="Y1585" s="67"/>
      <c r="Z1585" s="67"/>
      <c r="AA1585" s="67"/>
      <c r="AB1585" s="67"/>
      <c r="AC1585" s="67"/>
      <c r="AD1585" s="70"/>
      <c r="AE1585" s="70"/>
      <c r="AF1585" s="70"/>
      <c r="AG1585" s="70"/>
      <c r="AH1585" s="70"/>
      <c r="AI1585" s="70"/>
      <c r="AJ1585" s="70"/>
      <c r="AK1585" s="70"/>
      <c r="AL1585" s="70"/>
      <c r="AM1585" s="70"/>
      <c r="AN1585" s="70"/>
      <c r="AO1585" s="70"/>
      <c r="AP1585" s="70"/>
      <c r="AQ1585" s="70"/>
      <c r="AR1585" s="70"/>
      <c r="AS1585" s="70"/>
      <c r="AT1585" s="70"/>
      <c r="AU1585" s="70"/>
      <c r="AV1585" s="70"/>
      <c r="AW1585" s="70"/>
      <c r="AX1585" s="70"/>
    </row>
    <row r="1586" ht="15.75" customHeight="1">
      <c r="A1586" s="67" t="s">
        <v>10427</v>
      </c>
      <c r="B1586" s="289" t="s">
        <v>10428</v>
      </c>
      <c r="C1586" s="28" t="s">
        <v>10432</v>
      </c>
      <c r="D1586" s="28" t="s">
        <v>10433</v>
      </c>
      <c r="E1586" s="28" t="s">
        <v>10434</v>
      </c>
      <c r="F1586" s="28"/>
      <c r="G1586" s="28"/>
      <c r="H1586" s="28"/>
      <c r="I1586" s="28"/>
      <c r="J1586" s="28"/>
      <c r="K1586" s="28"/>
      <c r="L1586" s="28"/>
      <c r="M1586" s="28"/>
      <c r="N1586" s="28"/>
      <c r="O1586" s="67"/>
      <c r="P1586" s="67"/>
      <c r="Q1586" s="67" t="s">
        <v>145</v>
      </c>
      <c r="R1586" s="67"/>
      <c r="S1586" s="67"/>
      <c r="T1586" s="67"/>
      <c r="U1586" s="67"/>
      <c r="V1586" s="67"/>
      <c r="W1586" s="67"/>
      <c r="X1586" s="67"/>
      <c r="Y1586" s="67"/>
      <c r="Z1586" s="67"/>
      <c r="AA1586" s="67"/>
      <c r="AB1586" s="67"/>
      <c r="AC1586" s="67"/>
      <c r="AD1586" s="70"/>
      <c r="AE1586" s="70"/>
      <c r="AF1586" s="70"/>
      <c r="AG1586" s="70"/>
      <c r="AH1586" s="70"/>
      <c r="AI1586" s="70"/>
      <c r="AJ1586" s="70"/>
      <c r="AK1586" s="70"/>
      <c r="AL1586" s="70"/>
      <c r="AM1586" s="70"/>
      <c r="AN1586" s="70"/>
      <c r="AO1586" s="70"/>
      <c r="AP1586" s="70"/>
      <c r="AQ1586" s="70"/>
      <c r="AR1586" s="70"/>
      <c r="AS1586" s="70"/>
      <c r="AT1586" s="70"/>
      <c r="AU1586" s="70"/>
      <c r="AV1586" s="70"/>
      <c r="AW1586" s="70"/>
      <c r="AX1586" s="70"/>
    </row>
    <row r="1587" ht="15.75" customHeight="1">
      <c r="A1587" s="67" t="s">
        <v>10435</v>
      </c>
      <c r="B1587" s="289" t="s">
        <v>10436</v>
      </c>
      <c r="C1587" s="28" t="s">
        <v>10440</v>
      </c>
      <c r="D1587" s="28" t="s">
        <v>10441</v>
      </c>
      <c r="E1587" s="28" t="s">
        <v>10442</v>
      </c>
      <c r="F1587" s="28"/>
      <c r="G1587" s="28"/>
      <c r="H1587" s="28"/>
      <c r="I1587" s="28"/>
      <c r="J1587" s="28"/>
      <c r="K1587" s="28"/>
      <c r="L1587" s="28"/>
      <c r="M1587" s="28"/>
      <c r="N1587" s="28"/>
      <c r="O1587" s="67"/>
      <c r="P1587" s="67"/>
      <c r="Q1587" s="67" t="s">
        <v>145</v>
      </c>
      <c r="R1587" s="67"/>
      <c r="S1587" s="67"/>
      <c r="T1587" s="67"/>
      <c r="U1587" s="67"/>
      <c r="V1587" s="67"/>
      <c r="W1587" s="67"/>
      <c r="X1587" s="67"/>
      <c r="Y1587" s="67"/>
      <c r="Z1587" s="67"/>
      <c r="AA1587" s="67"/>
      <c r="AB1587" s="67"/>
      <c r="AC1587" s="67"/>
      <c r="AD1587" s="70"/>
      <c r="AE1587" s="70"/>
      <c r="AF1587" s="70"/>
      <c r="AG1587" s="70"/>
      <c r="AH1587" s="70"/>
      <c r="AI1587" s="70"/>
      <c r="AJ1587" s="70"/>
      <c r="AK1587" s="70"/>
      <c r="AL1587" s="70"/>
      <c r="AM1587" s="70"/>
      <c r="AN1587" s="70"/>
      <c r="AO1587" s="70"/>
      <c r="AP1587" s="70"/>
      <c r="AQ1587" s="70"/>
      <c r="AR1587" s="70"/>
      <c r="AS1587" s="70"/>
      <c r="AT1587" s="70"/>
      <c r="AU1587" s="70"/>
      <c r="AV1587" s="70"/>
      <c r="AW1587" s="70"/>
      <c r="AX1587" s="70"/>
    </row>
    <row r="1588" ht="15.75" customHeight="1">
      <c r="A1588" s="181" t="s">
        <v>246</v>
      </c>
      <c r="B1588" s="331" t="s">
        <v>10443</v>
      </c>
      <c r="C1588" s="28" t="s">
        <v>10447</v>
      </c>
      <c r="D1588" s="28" t="s">
        <v>10448</v>
      </c>
      <c r="E1588" s="28" t="s">
        <v>10449</v>
      </c>
      <c r="F1588" s="28"/>
      <c r="G1588" s="28" t="s">
        <v>10947</v>
      </c>
      <c r="H1588" s="28"/>
      <c r="I1588" s="28"/>
      <c r="J1588" s="28"/>
      <c r="K1588" s="28"/>
      <c r="L1588" s="28"/>
      <c r="M1588" s="28"/>
      <c r="N1588" s="28"/>
      <c r="O1588" s="181"/>
      <c r="P1588" s="181"/>
      <c r="Q1588" s="181"/>
      <c r="R1588" s="181"/>
      <c r="S1588" s="181"/>
      <c r="T1588" s="181"/>
      <c r="U1588" s="181"/>
      <c r="V1588" s="181"/>
      <c r="W1588" s="181"/>
      <c r="X1588" s="181"/>
      <c r="Y1588" s="181"/>
      <c r="Z1588" s="181"/>
      <c r="AA1588" s="181"/>
      <c r="AB1588" s="181"/>
      <c r="AC1588" s="181"/>
      <c r="AD1588" s="70"/>
      <c r="AE1588" s="70"/>
      <c r="AF1588" s="70"/>
      <c r="AG1588" s="70"/>
      <c r="AH1588" s="70"/>
      <c r="AI1588" s="70"/>
      <c r="AJ1588" s="70"/>
      <c r="AK1588" s="70"/>
      <c r="AL1588" s="70"/>
      <c r="AM1588" s="70"/>
      <c r="AN1588" s="70"/>
      <c r="AO1588" s="70"/>
      <c r="AP1588" s="70"/>
      <c r="AQ1588" s="70"/>
      <c r="AR1588" s="70"/>
      <c r="AS1588" s="70"/>
      <c r="AT1588" s="70"/>
      <c r="AU1588" s="70"/>
      <c r="AV1588" s="70"/>
      <c r="AW1588" s="70"/>
      <c r="AX1588" s="70"/>
    </row>
    <row r="1589" ht="15.75" customHeight="1">
      <c r="A1589" s="333" t="s">
        <v>547</v>
      </c>
      <c r="B1589" s="334" t="s">
        <v>10450</v>
      </c>
      <c r="C1589" s="28" t="s">
        <v>10451</v>
      </c>
      <c r="D1589" s="28" t="s">
        <v>10452</v>
      </c>
      <c r="E1589" s="28" t="s">
        <v>10453</v>
      </c>
      <c r="F1589" s="28" t="s">
        <v>10948</v>
      </c>
      <c r="G1589" s="28" t="s">
        <v>10949</v>
      </c>
      <c r="H1589" s="28"/>
      <c r="I1589" s="28"/>
      <c r="J1589" s="28"/>
      <c r="K1589" s="28"/>
      <c r="L1589" s="28"/>
      <c r="M1589" s="28"/>
      <c r="N1589" s="28"/>
      <c r="O1589" s="333"/>
      <c r="P1589" s="333"/>
      <c r="Q1589" s="333"/>
      <c r="R1589" s="333"/>
      <c r="S1589" s="333"/>
      <c r="T1589" s="333"/>
      <c r="U1589" s="333"/>
      <c r="V1589" s="333"/>
      <c r="W1589" s="333"/>
      <c r="X1589" s="333"/>
      <c r="Y1589" s="333"/>
      <c r="Z1589" s="333"/>
      <c r="AA1589" s="333"/>
      <c r="AB1589" s="333"/>
      <c r="AC1589" s="333"/>
      <c r="AD1589" s="70"/>
      <c r="AE1589" s="70"/>
      <c r="AF1589" s="70"/>
      <c r="AG1589" s="70"/>
      <c r="AH1589" s="70"/>
      <c r="AI1589" s="70"/>
      <c r="AJ1589" s="70"/>
      <c r="AK1589" s="70"/>
      <c r="AL1589" s="70"/>
      <c r="AM1589" s="70"/>
      <c r="AN1589" s="70"/>
      <c r="AO1589" s="70"/>
      <c r="AP1589" s="70"/>
      <c r="AQ1589" s="70"/>
      <c r="AR1589" s="70"/>
      <c r="AS1589" s="70"/>
      <c r="AT1589" s="70"/>
      <c r="AU1589" s="70"/>
      <c r="AV1589" s="70"/>
      <c r="AW1589" s="70"/>
      <c r="AX1589" s="70"/>
    </row>
    <row r="1590" ht="15.75" customHeight="1">
      <c r="A1590" s="139" t="s">
        <v>237</v>
      </c>
      <c r="B1590" s="139" t="s">
        <v>10407</v>
      </c>
      <c r="C1590" s="28" t="s">
        <v>10408</v>
      </c>
      <c r="D1590" s="28" t="s">
        <v>10409</v>
      </c>
      <c r="E1590" s="28" t="s">
        <v>10454</v>
      </c>
      <c r="F1590" s="28"/>
      <c r="G1590" s="28"/>
      <c r="H1590" s="28"/>
      <c r="I1590" s="28"/>
      <c r="J1590" s="28"/>
      <c r="K1590" s="28"/>
      <c r="L1590" s="28"/>
      <c r="M1590" s="28"/>
      <c r="N1590" s="28"/>
      <c r="O1590" s="139"/>
      <c r="P1590" s="139"/>
      <c r="Q1590" s="139"/>
      <c r="R1590" s="139"/>
      <c r="S1590" s="139"/>
      <c r="T1590" s="139"/>
      <c r="U1590" s="139"/>
      <c r="V1590" s="139"/>
      <c r="W1590" s="139"/>
      <c r="X1590" s="139"/>
      <c r="Y1590" s="139"/>
      <c r="Z1590" s="139"/>
      <c r="AA1590" s="139"/>
      <c r="AB1590" s="139"/>
      <c r="AC1590" s="139"/>
      <c r="AD1590" s="70"/>
      <c r="AE1590" s="70"/>
      <c r="AF1590" s="70"/>
      <c r="AG1590" s="70"/>
      <c r="AH1590" s="70"/>
      <c r="AI1590" s="70"/>
      <c r="AJ1590" s="70"/>
      <c r="AK1590" s="70"/>
      <c r="AL1590" s="70"/>
      <c r="AM1590" s="70"/>
      <c r="AN1590" s="70"/>
      <c r="AO1590" s="70"/>
      <c r="AP1590" s="70"/>
      <c r="AQ1590" s="70"/>
      <c r="AR1590" s="70"/>
      <c r="AS1590" s="70"/>
      <c r="AT1590" s="70"/>
      <c r="AU1590" s="70"/>
      <c r="AV1590" s="70"/>
      <c r="AW1590" s="70"/>
      <c r="AX1590" s="70"/>
    </row>
    <row r="1591" ht="15.75" customHeight="1">
      <c r="A1591" s="70"/>
      <c r="B1591" s="70"/>
      <c r="C1591" s="28"/>
      <c r="D1591" s="28"/>
      <c r="E1591" s="28"/>
      <c r="F1591" s="28"/>
      <c r="G1591" s="28"/>
      <c r="H1591" s="28"/>
      <c r="I1591" s="28"/>
      <c r="J1591" s="28"/>
      <c r="K1591" s="28"/>
      <c r="L1591" s="28"/>
      <c r="M1591" s="28"/>
      <c r="N1591" s="28"/>
      <c r="O1591" s="70"/>
      <c r="P1591" s="70"/>
      <c r="Q1591" s="70"/>
      <c r="R1591" s="70"/>
      <c r="S1591" s="70"/>
      <c r="T1591" s="70"/>
      <c r="U1591" s="70"/>
      <c r="V1591" s="70"/>
      <c r="W1591" s="70"/>
      <c r="X1591" s="70"/>
      <c r="Y1591" s="70"/>
      <c r="Z1591" s="70"/>
      <c r="AA1591" s="70"/>
      <c r="AB1591" s="70"/>
      <c r="AC1591" s="70"/>
      <c r="AD1591" s="70"/>
      <c r="AE1591" s="70"/>
      <c r="AF1591" s="70"/>
      <c r="AG1591" s="70"/>
      <c r="AH1591" s="70"/>
      <c r="AI1591" s="70"/>
      <c r="AJ1591" s="70"/>
      <c r="AK1591" s="70"/>
      <c r="AL1591" s="70"/>
      <c r="AM1591" s="70"/>
      <c r="AN1591" s="70"/>
      <c r="AO1591" s="70"/>
      <c r="AP1591" s="70"/>
      <c r="AQ1591" s="70"/>
      <c r="AR1591" s="70"/>
      <c r="AS1591" s="70"/>
      <c r="AT1591" s="70"/>
      <c r="AU1591" s="70"/>
      <c r="AV1591" s="70"/>
      <c r="AW1591" s="70"/>
      <c r="AX1591" s="70"/>
    </row>
    <row r="1592" ht="15.75" customHeight="1">
      <c r="A1592" s="139" t="s">
        <v>237</v>
      </c>
      <c r="B1592" s="139" t="s">
        <v>577</v>
      </c>
      <c r="C1592" s="28" t="s">
        <v>10455</v>
      </c>
      <c r="D1592" s="28"/>
      <c r="E1592" s="28"/>
      <c r="F1592" s="28"/>
      <c r="G1592" s="28"/>
      <c r="H1592" s="28"/>
      <c r="I1592" s="28"/>
      <c r="J1592" s="28"/>
      <c r="K1592" s="28"/>
      <c r="L1592" s="28"/>
      <c r="M1592" s="28"/>
      <c r="N1592" s="28"/>
      <c r="O1592" s="139"/>
      <c r="P1592" s="139"/>
      <c r="Q1592" s="139"/>
      <c r="R1592" s="139"/>
      <c r="S1592" s="139"/>
      <c r="T1592" s="139"/>
      <c r="U1592" s="139"/>
      <c r="V1592" s="139"/>
      <c r="W1592" s="139"/>
      <c r="X1592" s="139"/>
      <c r="Y1592" s="139"/>
      <c r="Z1592" s="139"/>
      <c r="AA1592" s="139"/>
      <c r="AB1592" s="139"/>
      <c r="AC1592" s="139"/>
      <c r="AD1592" s="70"/>
      <c r="AE1592" s="70"/>
      <c r="AF1592" s="70"/>
      <c r="AG1592" s="70"/>
      <c r="AH1592" s="70"/>
      <c r="AI1592" s="70"/>
      <c r="AJ1592" s="70"/>
      <c r="AK1592" s="70"/>
      <c r="AL1592" s="70"/>
      <c r="AM1592" s="70"/>
      <c r="AN1592" s="70"/>
      <c r="AO1592" s="70"/>
      <c r="AP1592" s="70"/>
      <c r="AQ1592" s="70"/>
      <c r="AR1592" s="70"/>
      <c r="AS1592" s="70"/>
      <c r="AT1592" s="70"/>
      <c r="AU1592" s="70"/>
      <c r="AV1592" s="70"/>
      <c r="AW1592" s="70"/>
      <c r="AX1592" s="70"/>
    </row>
    <row r="1593" ht="15.75" customHeight="1">
      <c r="A1593" s="126" t="s">
        <v>41</v>
      </c>
      <c r="B1593" s="330" t="s">
        <v>10456</v>
      </c>
      <c r="C1593" s="28" t="s">
        <v>10460</v>
      </c>
      <c r="D1593" s="28" t="s">
        <v>10461</v>
      </c>
      <c r="E1593" s="28" t="s">
        <v>10462</v>
      </c>
      <c r="F1593" s="28"/>
      <c r="G1593" s="28"/>
      <c r="H1593" s="28"/>
      <c r="I1593" s="28"/>
      <c r="J1593" s="28"/>
      <c r="K1593" s="28"/>
      <c r="L1593" s="28"/>
      <c r="M1593" s="28"/>
      <c r="N1593" s="28"/>
      <c r="O1593" s="126"/>
      <c r="P1593" s="126"/>
      <c r="Q1593" s="126"/>
      <c r="R1593" s="126"/>
      <c r="S1593" s="126"/>
      <c r="T1593" s="126"/>
      <c r="U1593" s="126"/>
      <c r="V1593" s="126"/>
      <c r="W1593" s="126"/>
      <c r="X1593" s="126"/>
      <c r="Y1593" s="126"/>
      <c r="Z1593" s="126"/>
      <c r="AA1593" s="126"/>
      <c r="AB1593" s="126"/>
      <c r="AC1593" s="126"/>
      <c r="AD1593" s="70"/>
      <c r="AE1593" s="70"/>
      <c r="AF1593" s="70"/>
      <c r="AG1593" s="70"/>
      <c r="AH1593" s="70"/>
      <c r="AI1593" s="70"/>
      <c r="AJ1593" s="70"/>
      <c r="AK1593" s="70"/>
      <c r="AL1593" s="70"/>
      <c r="AM1593" s="70"/>
      <c r="AN1593" s="70"/>
      <c r="AO1593" s="70"/>
      <c r="AP1593" s="70"/>
      <c r="AQ1593" s="70"/>
      <c r="AR1593" s="70"/>
      <c r="AS1593" s="70"/>
      <c r="AT1593" s="70"/>
      <c r="AU1593" s="70"/>
      <c r="AV1593" s="70"/>
      <c r="AW1593" s="70"/>
      <c r="AX1593" s="70"/>
    </row>
    <row r="1594" ht="15.75" customHeight="1">
      <c r="A1594" s="335" t="s">
        <v>237</v>
      </c>
      <c r="B1594" s="157" t="s">
        <v>458</v>
      </c>
      <c r="C1594" s="28"/>
      <c r="D1594" s="28"/>
      <c r="E1594" s="28"/>
      <c r="F1594" s="28"/>
      <c r="G1594" s="28"/>
      <c r="H1594" s="28"/>
      <c r="I1594" s="28"/>
      <c r="J1594" s="28"/>
      <c r="K1594" s="28"/>
      <c r="L1594" s="28"/>
      <c r="M1594" s="28"/>
      <c r="N1594" s="28"/>
      <c r="O1594" s="158"/>
      <c r="P1594" s="159"/>
      <c r="Q1594" s="159"/>
      <c r="R1594" s="160"/>
      <c r="S1594" s="160"/>
      <c r="T1594" s="139"/>
      <c r="U1594" s="160"/>
      <c r="V1594" s="160"/>
      <c r="W1594" s="160"/>
      <c r="X1594" s="160"/>
      <c r="Y1594" s="160"/>
      <c r="Z1594" s="160"/>
      <c r="AA1594" s="160"/>
      <c r="AB1594" s="160"/>
      <c r="AC1594" s="160"/>
      <c r="AD1594" s="121"/>
      <c r="AE1594" s="121"/>
      <c r="AF1594" s="121"/>
      <c r="AG1594" s="121"/>
      <c r="AH1594" s="121"/>
      <c r="AI1594" s="121"/>
      <c r="AJ1594" s="121"/>
      <c r="AK1594" s="121"/>
      <c r="AL1594" s="121"/>
      <c r="AM1594" s="121"/>
      <c r="AN1594" s="121"/>
      <c r="AO1594" s="121"/>
      <c r="AP1594" s="121"/>
      <c r="AQ1594" s="121"/>
      <c r="AR1594" s="121"/>
      <c r="AS1594" s="121"/>
      <c r="AT1594" s="121"/>
      <c r="AU1594" s="121"/>
      <c r="AV1594" s="121"/>
      <c r="AW1594" s="121"/>
      <c r="AX1594" s="121"/>
    </row>
    <row r="1595">
      <c r="A1595" s="136"/>
      <c r="B1595" s="136"/>
      <c r="C1595" s="28"/>
      <c r="D1595" s="28"/>
      <c r="E1595" s="28"/>
      <c r="F1595" s="28"/>
      <c r="G1595" s="28"/>
      <c r="H1595" s="28"/>
      <c r="I1595" s="28"/>
      <c r="J1595" s="28"/>
      <c r="K1595" s="28"/>
      <c r="L1595" s="28"/>
      <c r="M1595" s="28"/>
      <c r="N1595" s="28"/>
      <c r="O1595" s="136"/>
      <c r="P1595" s="136"/>
      <c r="Q1595" s="136"/>
      <c r="R1595" s="136"/>
      <c r="S1595" s="136"/>
      <c r="T1595" s="136"/>
      <c r="U1595" s="136"/>
      <c r="V1595" s="136"/>
      <c r="W1595" s="136"/>
      <c r="X1595" s="136"/>
      <c r="Y1595" s="136"/>
      <c r="Z1595" s="136"/>
      <c r="AA1595" s="136"/>
      <c r="AB1595" s="136"/>
      <c r="AC1595" s="136"/>
      <c r="AD1595" s="136"/>
      <c r="AE1595" s="136"/>
      <c r="AF1595" s="136"/>
      <c r="AG1595" s="136"/>
      <c r="AH1595" s="136"/>
      <c r="AI1595" s="136"/>
      <c r="AJ1595" s="136"/>
      <c r="AK1595" s="136"/>
      <c r="AL1595" s="136"/>
      <c r="AM1595" s="136"/>
      <c r="AN1595" s="136"/>
      <c r="AO1595" s="136"/>
      <c r="AP1595" s="136"/>
      <c r="AQ1595" s="136"/>
      <c r="AR1595" s="136"/>
      <c r="AS1595" s="136"/>
      <c r="AT1595" s="136"/>
      <c r="AU1595" s="136"/>
      <c r="AV1595" s="136"/>
      <c r="AW1595" s="136"/>
      <c r="AX1595" s="136"/>
    </row>
    <row r="1596">
      <c r="A1596" s="136"/>
      <c r="B1596" s="136"/>
      <c r="C1596" s="28"/>
      <c r="D1596" s="28"/>
      <c r="E1596" s="28"/>
      <c r="F1596" s="28"/>
      <c r="G1596" s="28"/>
      <c r="H1596" s="28"/>
      <c r="I1596" s="28"/>
      <c r="J1596" s="28"/>
      <c r="K1596" s="28"/>
      <c r="L1596" s="28"/>
      <c r="M1596" s="28"/>
      <c r="N1596" s="28"/>
      <c r="O1596" s="136"/>
      <c r="P1596" s="136"/>
      <c r="Q1596" s="136"/>
      <c r="R1596" s="136"/>
      <c r="S1596" s="136"/>
      <c r="T1596" s="136"/>
      <c r="U1596" s="136"/>
      <c r="V1596" s="136"/>
      <c r="W1596" s="136"/>
      <c r="X1596" s="136"/>
      <c r="Y1596" s="136"/>
      <c r="Z1596" s="136"/>
      <c r="AA1596" s="136"/>
      <c r="AB1596" s="136"/>
      <c r="AC1596" s="136"/>
      <c r="AD1596" s="136"/>
      <c r="AE1596" s="136"/>
      <c r="AF1596" s="136"/>
      <c r="AG1596" s="136"/>
      <c r="AH1596" s="136"/>
      <c r="AI1596" s="136"/>
      <c r="AJ1596" s="136"/>
      <c r="AK1596" s="136"/>
      <c r="AL1596" s="136"/>
      <c r="AM1596" s="136"/>
      <c r="AN1596" s="136"/>
      <c r="AO1596" s="136"/>
      <c r="AP1596" s="136"/>
      <c r="AQ1596" s="136"/>
      <c r="AR1596" s="136"/>
      <c r="AS1596" s="136"/>
      <c r="AT1596" s="136"/>
      <c r="AU1596" s="136"/>
      <c r="AV1596" s="136"/>
      <c r="AW1596" s="136"/>
      <c r="AX1596" s="136"/>
    </row>
    <row r="1597">
      <c r="A1597" s="136"/>
      <c r="B1597" s="136"/>
      <c r="C1597" s="28"/>
      <c r="D1597" s="28"/>
      <c r="E1597" s="28"/>
      <c r="F1597" s="28"/>
      <c r="G1597" s="28"/>
      <c r="H1597" s="28"/>
      <c r="I1597" s="28"/>
      <c r="J1597" s="28"/>
      <c r="K1597" s="28"/>
      <c r="L1597" s="28"/>
      <c r="M1597" s="28"/>
      <c r="N1597" s="28"/>
      <c r="O1597" s="136"/>
      <c r="P1597" s="136"/>
      <c r="Q1597" s="136"/>
      <c r="R1597" s="136"/>
      <c r="S1597" s="136"/>
      <c r="T1597" s="136"/>
      <c r="U1597" s="136"/>
      <c r="V1597" s="136"/>
      <c r="W1597" s="136"/>
      <c r="X1597" s="136"/>
      <c r="Y1597" s="136"/>
      <c r="Z1597" s="136"/>
      <c r="AA1597" s="136"/>
      <c r="AB1597" s="136"/>
      <c r="AC1597" s="136"/>
      <c r="AD1597" s="136"/>
      <c r="AE1597" s="136"/>
      <c r="AF1597" s="136"/>
      <c r="AG1597" s="136"/>
      <c r="AH1597" s="136"/>
      <c r="AI1597" s="136"/>
      <c r="AJ1597" s="136"/>
      <c r="AK1597" s="136"/>
      <c r="AL1597" s="136"/>
      <c r="AM1597" s="136"/>
      <c r="AN1597" s="136"/>
      <c r="AO1597" s="136"/>
      <c r="AP1597" s="136"/>
      <c r="AQ1597" s="136"/>
      <c r="AR1597" s="136"/>
      <c r="AS1597" s="136"/>
      <c r="AT1597" s="136"/>
      <c r="AU1597" s="136"/>
      <c r="AV1597" s="136"/>
      <c r="AW1597" s="136"/>
      <c r="AX1597" s="136"/>
    </row>
    <row r="1598">
      <c r="A1598" s="136"/>
      <c r="B1598" s="136"/>
      <c r="C1598" s="28"/>
      <c r="D1598" s="28"/>
      <c r="E1598" s="28"/>
      <c r="F1598" s="28"/>
      <c r="G1598" s="28"/>
      <c r="H1598" s="28"/>
      <c r="I1598" s="28"/>
      <c r="J1598" s="28"/>
      <c r="K1598" s="28"/>
      <c r="L1598" s="28"/>
      <c r="M1598" s="28"/>
      <c r="N1598" s="28"/>
      <c r="O1598" s="136"/>
      <c r="P1598" s="136"/>
      <c r="Q1598" s="136"/>
      <c r="R1598" s="136"/>
      <c r="S1598" s="136"/>
      <c r="T1598" s="136"/>
      <c r="U1598" s="136"/>
      <c r="V1598" s="136"/>
      <c r="W1598" s="136"/>
      <c r="X1598" s="136"/>
      <c r="Y1598" s="136"/>
      <c r="Z1598" s="136"/>
      <c r="AA1598" s="136"/>
      <c r="AB1598" s="136"/>
      <c r="AC1598" s="136"/>
      <c r="AD1598" s="136"/>
      <c r="AE1598" s="136"/>
      <c r="AF1598" s="136"/>
      <c r="AG1598" s="136"/>
      <c r="AH1598" s="136"/>
      <c r="AI1598" s="136"/>
      <c r="AJ1598" s="136"/>
      <c r="AK1598" s="136"/>
      <c r="AL1598" s="136"/>
      <c r="AM1598" s="136"/>
      <c r="AN1598" s="136"/>
      <c r="AO1598" s="136"/>
      <c r="AP1598" s="136"/>
      <c r="AQ1598" s="136"/>
      <c r="AR1598" s="136"/>
      <c r="AS1598" s="136"/>
      <c r="AT1598" s="136"/>
      <c r="AU1598" s="136"/>
      <c r="AV1598" s="136"/>
      <c r="AW1598" s="136"/>
      <c r="AX1598" s="136"/>
    </row>
    <row r="1599">
      <c r="A1599" s="136"/>
      <c r="B1599" s="136"/>
      <c r="C1599" s="28"/>
      <c r="D1599" s="28"/>
      <c r="E1599" s="28"/>
      <c r="F1599" s="28"/>
      <c r="G1599" s="28"/>
      <c r="H1599" s="28"/>
      <c r="I1599" s="28"/>
      <c r="J1599" s="28"/>
      <c r="K1599" s="28"/>
      <c r="L1599" s="28"/>
      <c r="M1599" s="28"/>
      <c r="N1599" s="28"/>
      <c r="O1599" s="136"/>
      <c r="P1599" s="136"/>
      <c r="Q1599" s="136"/>
      <c r="R1599" s="136"/>
      <c r="S1599" s="136"/>
      <c r="T1599" s="136"/>
      <c r="U1599" s="136"/>
      <c r="V1599" s="136"/>
      <c r="W1599" s="136"/>
      <c r="X1599" s="136"/>
      <c r="Y1599" s="136"/>
      <c r="Z1599" s="136"/>
      <c r="AA1599" s="136"/>
      <c r="AB1599" s="136"/>
      <c r="AC1599" s="136"/>
      <c r="AD1599" s="136"/>
      <c r="AE1599" s="136"/>
      <c r="AF1599" s="136"/>
      <c r="AG1599" s="136"/>
      <c r="AH1599" s="136"/>
      <c r="AI1599" s="136"/>
      <c r="AJ1599" s="136"/>
      <c r="AK1599" s="136"/>
      <c r="AL1599" s="136"/>
      <c r="AM1599" s="136"/>
      <c r="AN1599" s="136"/>
      <c r="AO1599" s="136"/>
      <c r="AP1599" s="136"/>
      <c r="AQ1599" s="136"/>
      <c r="AR1599" s="136"/>
      <c r="AS1599" s="136"/>
      <c r="AT1599" s="136"/>
      <c r="AU1599" s="136"/>
      <c r="AV1599" s="136"/>
      <c r="AW1599" s="136"/>
      <c r="AX1599" s="136"/>
    </row>
    <row r="1600">
      <c r="A1600" s="136"/>
      <c r="B1600" s="136"/>
      <c r="C1600" s="28"/>
      <c r="D1600" s="28"/>
      <c r="E1600" s="28"/>
      <c r="F1600" s="28"/>
      <c r="G1600" s="28"/>
      <c r="H1600" s="28"/>
      <c r="I1600" s="28"/>
      <c r="J1600" s="28"/>
      <c r="K1600" s="28"/>
      <c r="L1600" s="28"/>
      <c r="M1600" s="28"/>
      <c r="N1600" s="28"/>
      <c r="O1600" s="136"/>
      <c r="P1600" s="136"/>
      <c r="Q1600" s="136"/>
      <c r="R1600" s="136"/>
      <c r="S1600" s="136"/>
      <c r="T1600" s="136"/>
      <c r="U1600" s="136"/>
      <c r="V1600" s="136"/>
      <c r="W1600" s="136"/>
      <c r="X1600" s="136"/>
      <c r="Y1600" s="136"/>
      <c r="Z1600" s="136"/>
      <c r="AA1600" s="136"/>
      <c r="AB1600" s="136"/>
      <c r="AC1600" s="136"/>
      <c r="AD1600" s="136"/>
      <c r="AE1600" s="136"/>
      <c r="AF1600" s="136"/>
      <c r="AG1600" s="136"/>
      <c r="AH1600" s="136"/>
      <c r="AI1600" s="136"/>
      <c r="AJ1600" s="136"/>
      <c r="AK1600" s="136"/>
      <c r="AL1600" s="136"/>
      <c r="AM1600" s="136"/>
      <c r="AN1600" s="136"/>
      <c r="AO1600" s="136"/>
      <c r="AP1600" s="136"/>
      <c r="AQ1600" s="136"/>
      <c r="AR1600" s="136"/>
      <c r="AS1600" s="136"/>
      <c r="AT1600" s="136"/>
      <c r="AU1600" s="136"/>
      <c r="AV1600" s="136"/>
      <c r="AW1600" s="136"/>
      <c r="AX1600" s="136"/>
    </row>
    <row r="1601">
      <c r="A1601" s="136"/>
      <c r="B1601" s="136"/>
      <c r="C1601" s="28"/>
      <c r="D1601" s="28"/>
      <c r="E1601" s="28"/>
      <c r="F1601" s="28"/>
      <c r="G1601" s="28"/>
      <c r="H1601" s="28"/>
      <c r="I1601" s="28"/>
      <c r="J1601" s="28"/>
      <c r="K1601" s="28"/>
      <c r="L1601" s="28"/>
      <c r="M1601" s="28"/>
      <c r="N1601" s="28"/>
      <c r="O1601" s="136"/>
      <c r="P1601" s="136"/>
      <c r="Q1601" s="136"/>
      <c r="R1601" s="136"/>
      <c r="S1601" s="136"/>
      <c r="T1601" s="136"/>
      <c r="U1601" s="136"/>
      <c r="V1601" s="136"/>
      <c r="W1601" s="136"/>
      <c r="X1601" s="136"/>
      <c r="Y1601" s="136"/>
      <c r="Z1601" s="136"/>
      <c r="AA1601" s="136"/>
      <c r="AB1601" s="136"/>
      <c r="AC1601" s="136"/>
      <c r="AD1601" s="136"/>
      <c r="AE1601" s="136"/>
      <c r="AF1601" s="136"/>
      <c r="AG1601" s="136"/>
      <c r="AH1601" s="136"/>
      <c r="AI1601" s="136"/>
      <c r="AJ1601" s="136"/>
      <c r="AK1601" s="136"/>
      <c r="AL1601" s="136"/>
      <c r="AM1601" s="136"/>
      <c r="AN1601" s="136"/>
      <c r="AO1601" s="136"/>
      <c r="AP1601" s="136"/>
      <c r="AQ1601" s="136"/>
      <c r="AR1601" s="136"/>
      <c r="AS1601" s="136"/>
      <c r="AT1601" s="136"/>
      <c r="AU1601" s="136"/>
      <c r="AV1601" s="136"/>
      <c r="AW1601" s="136"/>
      <c r="AX1601" s="136"/>
    </row>
    <row r="1602">
      <c r="A1602" s="136"/>
      <c r="B1602" s="136"/>
      <c r="C1602" s="28"/>
      <c r="D1602" s="28"/>
      <c r="E1602" s="28"/>
      <c r="F1602" s="28"/>
      <c r="G1602" s="28"/>
      <c r="H1602" s="28"/>
      <c r="I1602" s="28"/>
      <c r="J1602" s="28"/>
      <c r="K1602" s="28"/>
      <c r="L1602" s="28"/>
      <c r="M1602" s="28"/>
      <c r="N1602" s="28"/>
      <c r="O1602" s="136"/>
      <c r="P1602" s="136"/>
      <c r="Q1602" s="136"/>
      <c r="R1602" s="136"/>
      <c r="S1602" s="136"/>
      <c r="T1602" s="136"/>
      <c r="U1602" s="136"/>
      <c r="V1602" s="136"/>
      <c r="W1602" s="136"/>
      <c r="X1602" s="136"/>
      <c r="Y1602" s="136"/>
      <c r="Z1602" s="136"/>
      <c r="AA1602" s="136"/>
      <c r="AB1602" s="136"/>
      <c r="AC1602" s="136"/>
      <c r="AD1602" s="136"/>
      <c r="AE1602" s="136"/>
      <c r="AF1602" s="136"/>
      <c r="AG1602" s="136"/>
      <c r="AH1602" s="136"/>
      <c r="AI1602" s="136"/>
      <c r="AJ1602" s="136"/>
      <c r="AK1602" s="136"/>
      <c r="AL1602" s="136"/>
      <c r="AM1602" s="136"/>
      <c r="AN1602" s="136"/>
      <c r="AO1602" s="136"/>
      <c r="AP1602" s="136"/>
      <c r="AQ1602" s="136"/>
      <c r="AR1602" s="136"/>
      <c r="AS1602" s="136"/>
      <c r="AT1602" s="136"/>
      <c r="AU1602" s="136"/>
      <c r="AV1602" s="136"/>
      <c r="AW1602" s="136"/>
      <c r="AX1602" s="136"/>
    </row>
    <row r="1603" ht="15.75" customHeight="1">
      <c r="A1603" s="24"/>
      <c r="B1603" s="24"/>
      <c r="C1603" s="28"/>
      <c r="D1603" s="28"/>
      <c r="E1603" s="28"/>
      <c r="F1603" s="28"/>
      <c r="G1603" s="28"/>
      <c r="H1603" s="28"/>
      <c r="I1603" s="28"/>
      <c r="J1603" s="28"/>
      <c r="K1603" s="28"/>
      <c r="L1603" s="28"/>
      <c r="M1603" s="28"/>
      <c r="N1603" s="28"/>
      <c r="O1603" s="24"/>
      <c r="P1603" s="24"/>
      <c r="Q1603" s="24"/>
      <c r="R1603" s="24"/>
      <c r="S1603" s="24"/>
      <c r="T1603" s="24"/>
      <c r="U1603" s="24"/>
      <c r="V1603" s="24"/>
      <c r="W1603" s="24"/>
      <c r="X1603" s="24"/>
      <c r="Y1603" s="24"/>
      <c r="Z1603" s="24"/>
      <c r="AA1603" s="24"/>
      <c r="AB1603" s="24"/>
      <c r="AC1603" s="24"/>
      <c r="AD1603" s="24"/>
      <c r="AE1603" s="24"/>
      <c r="AF1603" s="24"/>
      <c r="AG1603" s="24"/>
      <c r="AH1603" s="24"/>
      <c r="AI1603" s="24"/>
      <c r="AJ1603" s="24"/>
      <c r="AK1603" s="24"/>
      <c r="AL1603" s="24"/>
      <c r="AM1603" s="24"/>
      <c r="AN1603" s="24"/>
      <c r="AO1603" s="24"/>
      <c r="AP1603" s="24"/>
      <c r="AQ1603" s="24"/>
      <c r="AR1603" s="24"/>
      <c r="AS1603" s="24"/>
      <c r="AT1603" s="24"/>
      <c r="AU1603" s="24"/>
      <c r="AV1603" s="24"/>
      <c r="AW1603" s="24"/>
      <c r="AX1603" s="24"/>
    </row>
    <row r="1604" ht="15.75" customHeight="1">
      <c r="A1604" s="24"/>
      <c r="B1604" s="24"/>
      <c r="C1604" s="28"/>
      <c r="D1604" s="28"/>
      <c r="E1604" s="28"/>
      <c r="F1604" s="28"/>
      <c r="G1604" s="28"/>
      <c r="H1604" s="28"/>
      <c r="I1604" s="28"/>
      <c r="J1604" s="28"/>
      <c r="K1604" s="28"/>
      <c r="L1604" s="28"/>
      <c r="M1604" s="28"/>
      <c r="N1604" s="28"/>
      <c r="O1604" s="24"/>
      <c r="P1604" s="24"/>
      <c r="Q1604" s="24"/>
      <c r="R1604" s="24"/>
      <c r="S1604" s="24"/>
      <c r="T1604" s="24"/>
      <c r="U1604" s="24"/>
      <c r="V1604" s="24"/>
      <c r="W1604" s="24"/>
      <c r="X1604" s="24"/>
      <c r="Y1604" s="24"/>
      <c r="Z1604" s="24"/>
      <c r="AA1604" s="24"/>
      <c r="AB1604" s="24"/>
      <c r="AC1604" s="24"/>
      <c r="AD1604" s="24"/>
      <c r="AE1604" s="24"/>
      <c r="AF1604" s="24"/>
      <c r="AG1604" s="24"/>
      <c r="AH1604" s="24"/>
      <c r="AI1604" s="24"/>
      <c r="AJ1604" s="24"/>
      <c r="AK1604" s="24"/>
      <c r="AL1604" s="24"/>
      <c r="AM1604" s="24"/>
      <c r="AN1604" s="24"/>
      <c r="AO1604" s="24"/>
      <c r="AP1604" s="24"/>
      <c r="AQ1604" s="24"/>
      <c r="AR1604" s="24"/>
      <c r="AS1604" s="24"/>
      <c r="AT1604" s="24"/>
      <c r="AU1604" s="24"/>
      <c r="AV1604" s="24"/>
      <c r="AW1604" s="24"/>
      <c r="AX1604" s="24"/>
    </row>
    <row r="1605" ht="15.75" customHeight="1">
      <c r="A1605" s="24"/>
      <c r="B1605" s="24"/>
      <c r="C1605" s="28"/>
      <c r="D1605" s="28"/>
      <c r="E1605" s="28"/>
      <c r="F1605" s="28"/>
      <c r="G1605" s="28"/>
      <c r="H1605" s="28"/>
      <c r="I1605" s="28"/>
      <c r="J1605" s="28"/>
      <c r="K1605" s="28"/>
      <c r="L1605" s="28"/>
      <c r="M1605" s="28"/>
      <c r="N1605" s="28"/>
      <c r="O1605" s="24"/>
      <c r="P1605" s="24"/>
      <c r="Q1605" s="24"/>
      <c r="R1605" s="24"/>
      <c r="S1605" s="24"/>
      <c r="T1605" s="24"/>
      <c r="U1605" s="24"/>
      <c r="V1605" s="24"/>
      <c r="W1605" s="24"/>
      <c r="X1605" s="24"/>
      <c r="Y1605" s="24"/>
      <c r="Z1605" s="24"/>
      <c r="AA1605" s="24"/>
      <c r="AB1605" s="24"/>
      <c r="AC1605" s="24"/>
      <c r="AD1605" s="24"/>
      <c r="AE1605" s="24"/>
      <c r="AF1605" s="24"/>
      <c r="AG1605" s="24"/>
      <c r="AH1605" s="24"/>
      <c r="AI1605" s="24"/>
      <c r="AJ1605" s="24"/>
      <c r="AK1605" s="24"/>
      <c r="AL1605" s="24"/>
      <c r="AM1605" s="24"/>
      <c r="AN1605" s="24"/>
      <c r="AO1605" s="24"/>
      <c r="AP1605" s="24"/>
      <c r="AQ1605" s="24"/>
      <c r="AR1605" s="24"/>
      <c r="AS1605" s="24"/>
      <c r="AT1605" s="24"/>
      <c r="AU1605" s="24"/>
      <c r="AV1605" s="24"/>
      <c r="AW1605" s="24"/>
      <c r="AX1605" s="24"/>
    </row>
    <row r="1606" ht="15.75" customHeight="1">
      <c r="A1606" s="24"/>
      <c r="B1606" s="24"/>
      <c r="C1606" s="28"/>
      <c r="D1606" s="28"/>
      <c r="E1606" s="28"/>
      <c r="F1606" s="28"/>
      <c r="G1606" s="28"/>
      <c r="H1606" s="28"/>
      <c r="I1606" s="28"/>
      <c r="J1606" s="28"/>
      <c r="K1606" s="28"/>
      <c r="L1606" s="28"/>
      <c r="M1606" s="28"/>
      <c r="N1606" s="28"/>
      <c r="O1606" s="24"/>
      <c r="P1606" s="24"/>
      <c r="Q1606" s="24"/>
      <c r="R1606" s="24"/>
      <c r="S1606" s="24"/>
      <c r="T1606" s="24"/>
      <c r="U1606" s="24"/>
      <c r="V1606" s="24"/>
      <c r="W1606" s="24"/>
      <c r="X1606" s="24"/>
      <c r="Y1606" s="24"/>
      <c r="Z1606" s="24"/>
      <c r="AA1606" s="24"/>
      <c r="AB1606" s="24"/>
      <c r="AC1606" s="24"/>
      <c r="AD1606" s="24"/>
      <c r="AE1606" s="24"/>
      <c r="AF1606" s="24"/>
      <c r="AG1606" s="24"/>
      <c r="AH1606" s="24"/>
      <c r="AI1606" s="24"/>
      <c r="AJ1606" s="24"/>
      <c r="AK1606" s="24"/>
      <c r="AL1606" s="24"/>
      <c r="AM1606" s="24"/>
      <c r="AN1606" s="24"/>
      <c r="AO1606" s="24"/>
      <c r="AP1606" s="24"/>
      <c r="AQ1606" s="24"/>
      <c r="AR1606" s="24"/>
      <c r="AS1606" s="24"/>
      <c r="AT1606" s="24"/>
      <c r="AU1606" s="24"/>
      <c r="AV1606" s="24"/>
      <c r="AW1606" s="24"/>
      <c r="AX1606" s="24"/>
    </row>
    <row r="1607" ht="15.75" customHeight="1">
      <c r="A1607" s="24"/>
      <c r="B1607" s="24"/>
      <c r="C1607" s="28"/>
      <c r="D1607" s="28"/>
      <c r="E1607" s="28"/>
      <c r="F1607" s="28"/>
      <c r="G1607" s="28"/>
      <c r="H1607" s="28"/>
      <c r="I1607" s="28"/>
      <c r="J1607" s="28"/>
      <c r="K1607" s="28"/>
      <c r="L1607" s="28"/>
      <c r="M1607" s="28"/>
      <c r="N1607" s="28"/>
      <c r="O1607" s="24"/>
      <c r="P1607" s="24"/>
      <c r="Q1607" s="24"/>
      <c r="R1607" s="24"/>
      <c r="S1607" s="24"/>
      <c r="T1607" s="24"/>
      <c r="U1607" s="24"/>
      <c r="V1607" s="24"/>
      <c r="W1607" s="24"/>
      <c r="X1607" s="24"/>
      <c r="Y1607" s="24"/>
      <c r="Z1607" s="24"/>
      <c r="AA1607" s="24"/>
      <c r="AB1607" s="24"/>
      <c r="AC1607" s="24"/>
      <c r="AD1607" s="24"/>
      <c r="AE1607" s="24"/>
      <c r="AF1607" s="24"/>
      <c r="AG1607" s="24"/>
      <c r="AH1607" s="24"/>
      <c r="AI1607" s="24"/>
      <c r="AJ1607" s="24"/>
      <c r="AK1607" s="24"/>
      <c r="AL1607" s="24"/>
      <c r="AM1607" s="24"/>
      <c r="AN1607" s="24"/>
      <c r="AO1607" s="24"/>
      <c r="AP1607" s="24"/>
      <c r="AQ1607" s="24"/>
      <c r="AR1607" s="24"/>
      <c r="AS1607" s="24"/>
      <c r="AT1607" s="24"/>
      <c r="AU1607" s="24"/>
      <c r="AV1607" s="24"/>
      <c r="AW1607" s="24"/>
      <c r="AX1607" s="24"/>
    </row>
    <row r="1608" ht="15.75" customHeight="1">
      <c r="A1608" s="24"/>
      <c r="B1608" s="24"/>
      <c r="C1608" s="28"/>
      <c r="D1608" s="28"/>
      <c r="E1608" s="28"/>
      <c r="F1608" s="28"/>
      <c r="G1608" s="28"/>
      <c r="H1608" s="28"/>
      <c r="I1608" s="28"/>
      <c r="J1608" s="28"/>
      <c r="K1608" s="28"/>
      <c r="L1608" s="28"/>
      <c r="M1608" s="28"/>
      <c r="N1608" s="28"/>
      <c r="O1608" s="24"/>
      <c r="P1608" s="24"/>
      <c r="Q1608" s="24"/>
      <c r="R1608" s="24"/>
      <c r="S1608" s="24"/>
      <c r="T1608" s="24"/>
      <c r="U1608" s="24"/>
      <c r="V1608" s="24"/>
      <c r="W1608" s="24"/>
      <c r="X1608" s="24"/>
      <c r="Y1608" s="24"/>
      <c r="Z1608" s="24"/>
      <c r="AA1608" s="24"/>
      <c r="AB1608" s="24"/>
      <c r="AC1608" s="24"/>
      <c r="AD1608" s="24"/>
      <c r="AE1608" s="24"/>
      <c r="AF1608" s="24"/>
      <c r="AG1608" s="24"/>
      <c r="AH1608" s="24"/>
      <c r="AI1608" s="24"/>
      <c r="AJ1608" s="24"/>
      <c r="AK1608" s="24"/>
      <c r="AL1608" s="24"/>
      <c r="AM1608" s="24"/>
      <c r="AN1608" s="24"/>
      <c r="AO1608" s="24"/>
      <c r="AP1608" s="24"/>
      <c r="AQ1608" s="24"/>
      <c r="AR1608" s="24"/>
      <c r="AS1608" s="24"/>
      <c r="AT1608" s="24"/>
      <c r="AU1608" s="24"/>
      <c r="AV1608" s="24"/>
      <c r="AW1608" s="24"/>
      <c r="AX1608" s="24"/>
    </row>
    <row r="1609" ht="15.75" customHeight="1">
      <c r="A1609" s="24"/>
      <c r="B1609" s="24"/>
      <c r="C1609" s="28"/>
      <c r="D1609" s="28"/>
      <c r="E1609" s="28"/>
      <c r="F1609" s="28"/>
      <c r="G1609" s="28"/>
      <c r="H1609" s="28"/>
      <c r="I1609" s="28"/>
      <c r="J1609" s="28"/>
      <c r="K1609" s="28"/>
      <c r="L1609" s="28"/>
      <c r="M1609" s="28"/>
      <c r="N1609" s="28"/>
      <c r="O1609" s="24"/>
      <c r="P1609" s="24"/>
      <c r="Q1609" s="24"/>
      <c r="R1609" s="24"/>
      <c r="S1609" s="24"/>
      <c r="T1609" s="24"/>
      <c r="U1609" s="24"/>
      <c r="V1609" s="24"/>
      <c r="W1609" s="24"/>
      <c r="X1609" s="24"/>
      <c r="Y1609" s="24"/>
      <c r="Z1609" s="24"/>
      <c r="AA1609" s="24"/>
      <c r="AB1609" s="24"/>
      <c r="AC1609" s="24"/>
      <c r="AD1609" s="24"/>
      <c r="AE1609" s="24"/>
      <c r="AF1609" s="24"/>
      <c r="AG1609" s="24"/>
      <c r="AH1609" s="24"/>
      <c r="AI1609" s="24"/>
      <c r="AJ1609" s="24"/>
      <c r="AK1609" s="24"/>
      <c r="AL1609" s="24"/>
      <c r="AM1609" s="24"/>
      <c r="AN1609" s="24"/>
      <c r="AO1609" s="24"/>
      <c r="AP1609" s="24"/>
      <c r="AQ1609" s="24"/>
      <c r="AR1609" s="24"/>
      <c r="AS1609" s="24"/>
      <c r="AT1609" s="24"/>
      <c r="AU1609" s="24"/>
      <c r="AV1609" s="24"/>
      <c r="AW1609" s="24"/>
      <c r="AX1609" s="24"/>
    </row>
    <row r="1610" ht="15.75" customHeight="1">
      <c r="A1610" s="24"/>
      <c r="B1610" s="24"/>
      <c r="C1610" s="28"/>
      <c r="D1610" s="28"/>
      <c r="E1610" s="28"/>
      <c r="F1610" s="28"/>
      <c r="G1610" s="28"/>
      <c r="H1610" s="28"/>
      <c r="I1610" s="28"/>
      <c r="J1610" s="28"/>
      <c r="K1610" s="28"/>
      <c r="L1610" s="28"/>
      <c r="M1610" s="28"/>
      <c r="N1610" s="28"/>
      <c r="O1610" s="24"/>
      <c r="P1610" s="24"/>
      <c r="Q1610" s="24"/>
      <c r="R1610" s="24"/>
      <c r="S1610" s="24"/>
      <c r="T1610" s="24"/>
      <c r="U1610" s="24"/>
      <c r="V1610" s="24"/>
      <c r="W1610" s="24"/>
      <c r="X1610" s="24"/>
      <c r="Y1610" s="24"/>
      <c r="Z1610" s="24"/>
      <c r="AA1610" s="24"/>
      <c r="AB1610" s="24"/>
      <c r="AC1610" s="24"/>
      <c r="AD1610" s="24"/>
      <c r="AE1610" s="24"/>
      <c r="AF1610" s="24"/>
      <c r="AG1610" s="24"/>
      <c r="AH1610" s="24"/>
      <c r="AI1610" s="24"/>
      <c r="AJ1610" s="24"/>
      <c r="AK1610" s="24"/>
      <c r="AL1610" s="24"/>
      <c r="AM1610" s="24"/>
      <c r="AN1610" s="24"/>
      <c r="AO1610" s="24"/>
      <c r="AP1610" s="24"/>
      <c r="AQ1610" s="24"/>
      <c r="AR1610" s="24"/>
      <c r="AS1610" s="24"/>
      <c r="AT1610" s="24"/>
      <c r="AU1610" s="24"/>
      <c r="AV1610" s="24"/>
      <c r="AW1610" s="24"/>
      <c r="AX1610" s="24"/>
    </row>
    <row r="1611" ht="15.75" customHeight="1">
      <c r="A1611" s="24"/>
      <c r="B1611" s="24"/>
      <c r="C1611" s="28"/>
      <c r="D1611" s="28"/>
      <c r="E1611" s="28"/>
      <c r="F1611" s="28"/>
      <c r="G1611" s="28"/>
      <c r="H1611" s="28"/>
      <c r="I1611" s="28"/>
      <c r="J1611" s="28"/>
      <c r="K1611" s="28"/>
      <c r="L1611" s="28"/>
      <c r="M1611" s="28"/>
      <c r="N1611" s="28"/>
      <c r="O1611" s="24"/>
      <c r="P1611" s="24"/>
      <c r="Q1611" s="24"/>
      <c r="R1611" s="24"/>
      <c r="S1611" s="24"/>
      <c r="T1611" s="24"/>
      <c r="U1611" s="24"/>
      <c r="V1611" s="24"/>
      <c r="W1611" s="24"/>
      <c r="X1611" s="24"/>
      <c r="Y1611" s="24"/>
      <c r="Z1611" s="24"/>
      <c r="AA1611" s="24"/>
      <c r="AB1611" s="24"/>
      <c r="AC1611" s="24"/>
      <c r="AD1611" s="24"/>
      <c r="AE1611" s="24"/>
      <c r="AF1611" s="24"/>
      <c r="AG1611" s="24"/>
      <c r="AH1611" s="24"/>
      <c r="AI1611" s="24"/>
      <c r="AJ1611" s="24"/>
      <c r="AK1611" s="24"/>
      <c r="AL1611" s="24"/>
      <c r="AM1611" s="24"/>
      <c r="AN1611" s="24"/>
      <c r="AO1611" s="24"/>
      <c r="AP1611" s="24"/>
      <c r="AQ1611" s="24"/>
      <c r="AR1611" s="24"/>
      <c r="AS1611" s="24"/>
      <c r="AT1611" s="24"/>
      <c r="AU1611" s="24"/>
      <c r="AV1611" s="24"/>
      <c r="AW1611" s="24"/>
      <c r="AX1611" s="24"/>
    </row>
    <row r="1612" ht="15.75" customHeight="1">
      <c r="A1612" s="24"/>
      <c r="B1612" s="24"/>
      <c r="C1612" s="28"/>
      <c r="D1612" s="28"/>
      <c r="E1612" s="28"/>
      <c r="F1612" s="28"/>
      <c r="G1612" s="28"/>
      <c r="H1612" s="28"/>
      <c r="I1612" s="28"/>
      <c r="J1612" s="28"/>
      <c r="K1612" s="28"/>
      <c r="L1612" s="28"/>
      <c r="M1612" s="28"/>
      <c r="N1612" s="28"/>
      <c r="O1612" s="24"/>
      <c r="P1612" s="24"/>
      <c r="Q1612" s="24"/>
      <c r="R1612" s="24"/>
      <c r="S1612" s="24"/>
      <c r="T1612" s="24"/>
      <c r="U1612" s="24"/>
      <c r="V1612" s="24"/>
      <c r="W1612" s="24"/>
      <c r="X1612" s="24"/>
      <c r="Y1612" s="24"/>
      <c r="Z1612" s="24"/>
      <c r="AA1612" s="24"/>
      <c r="AB1612" s="24"/>
      <c r="AC1612" s="24"/>
      <c r="AD1612" s="24"/>
      <c r="AE1612" s="24"/>
      <c r="AF1612" s="24"/>
      <c r="AG1612" s="24"/>
      <c r="AH1612" s="24"/>
      <c r="AI1612" s="24"/>
      <c r="AJ1612" s="24"/>
      <c r="AK1612" s="24"/>
      <c r="AL1612" s="24"/>
      <c r="AM1612" s="24"/>
      <c r="AN1612" s="24"/>
      <c r="AO1612" s="24"/>
      <c r="AP1612" s="24"/>
      <c r="AQ1612" s="24"/>
      <c r="AR1612" s="24"/>
      <c r="AS1612" s="24"/>
      <c r="AT1612" s="24"/>
      <c r="AU1612" s="24"/>
      <c r="AV1612" s="24"/>
      <c r="AW1612" s="24"/>
      <c r="AX1612" s="24"/>
    </row>
    <row r="1613" ht="15.75" customHeight="1">
      <c r="A1613" s="24"/>
      <c r="B1613" s="24"/>
      <c r="C1613" s="28"/>
      <c r="D1613" s="28"/>
      <c r="E1613" s="28"/>
      <c r="F1613" s="28"/>
      <c r="G1613" s="28"/>
      <c r="H1613" s="28"/>
      <c r="I1613" s="28"/>
      <c r="J1613" s="28"/>
      <c r="K1613" s="28"/>
      <c r="L1613" s="28"/>
      <c r="M1613" s="28"/>
      <c r="N1613" s="28"/>
      <c r="O1613" s="24"/>
      <c r="P1613" s="24"/>
      <c r="Q1613" s="24"/>
      <c r="R1613" s="24"/>
      <c r="S1613" s="24"/>
      <c r="T1613" s="24"/>
      <c r="U1613" s="24"/>
      <c r="V1613" s="24"/>
      <c r="W1613" s="24"/>
      <c r="X1613" s="24"/>
      <c r="Y1613" s="24"/>
      <c r="Z1613" s="24"/>
      <c r="AA1613" s="24"/>
      <c r="AB1613" s="24"/>
      <c r="AC1613" s="24"/>
      <c r="AD1613" s="24"/>
      <c r="AE1613" s="24"/>
      <c r="AF1613" s="24"/>
      <c r="AG1613" s="24"/>
      <c r="AH1613" s="24"/>
      <c r="AI1613" s="24"/>
      <c r="AJ1613" s="24"/>
      <c r="AK1613" s="24"/>
      <c r="AL1613" s="24"/>
      <c r="AM1613" s="24"/>
      <c r="AN1613" s="24"/>
      <c r="AO1613" s="24"/>
      <c r="AP1613" s="24"/>
      <c r="AQ1613" s="24"/>
      <c r="AR1613" s="24"/>
      <c r="AS1613" s="24"/>
      <c r="AT1613" s="24"/>
      <c r="AU1613" s="24"/>
      <c r="AV1613" s="24"/>
      <c r="AW1613" s="24"/>
      <c r="AX1613" s="24"/>
    </row>
    <row r="1614" ht="15.75" customHeight="1">
      <c r="A1614" s="24"/>
      <c r="B1614" s="24"/>
      <c r="C1614" s="28"/>
      <c r="D1614" s="28"/>
      <c r="E1614" s="28"/>
      <c r="F1614" s="28"/>
      <c r="G1614" s="28"/>
      <c r="H1614" s="28"/>
      <c r="I1614" s="28"/>
      <c r="J1614" s="28"/>
      <c r="K1614" s="28"/>
      <c r="L1614" s="28"/>
      <c r="M1614" s="28"/>
      <c r="N1614" s="28"/>
      <c r="O1614" s="24"/>
      <c r="P1614" s="24"/>
      <c r="Q1614" s="24"/>
      <c r="R1614" s="24"/>
      <c r="S1614" s="24"/>
      <c r="T1614" s="24"/>
      <c r="U1614" s="24"/>
      <c r="V1614" s="24"/>
      <c r="W1614" s="24"/>
      <c r="X1614" s="24"/>
      <c r="Y1614" s="24"/>
      <c r="Z1614" s="24"/>
      <c r="AA1614" s="24"/>
      <c r="AB1614" s="24"/>
      <c r="AC1614" s="24"/>
      <c r="AD1614" s="24"/>
      <c r="AE1614" s="24"/>
      <c r="AF1614" s="24"/>
      <c r="AG1614" s="24"/>
      <c r="AH1614" s="24"/>
      <c r="AI1614" s="24"/>
      <c r="AJ1614" s="24"/>
      <c r="AK1614" s="24"/>
      <c r="AL1614" s="24"/>
      <c r="AM1614" s="24"/>
      <c r="AN1614" s="24"/>
      <c r="AO1614" s="24"/>
      <c r="AP1614" s="24"/>
      <c r="AQ1614" s="24"/>
      <c r="AR1614" s="24"/>
      <c r="AS1614" s="24"/>
      <c r="AT1614" s="24"/>
      <c r="AU1614" s="24"/>
      <c r="AV1614" s="24"/>
      <c r="AW1614" s="24"/>
      <c r="AX1614" s="24"/>
    </row>
    <row r="1615" ht="15.75" customHeight="1">
      <c r="A1615" s="24"/>
      <c r="B1615" s="24"/>
      <c r="C1615" s="28"/>
      <c r="D1615" s="28"/>
      <c r="E1615" s="28"/>
      <c r="F1615" s="28"/>
      <c r="G1615" s="28"/>
      <c r="H1615" s="28"/>
      <c r="I1615" s="28"/>
      <c r="J1615" s="28"/>
      <c r="K1615" s="28"/>
      <c r="L1615" s="28"/>
      <c r="M1615" s="28"/>
      <c r="N1615" s="28"/>
      <c r="O1615" s="24"/>
      <c r="P1615" s="24"/>
      <c r="Q1615" s="24"/>
      <c r="R1615" s="24"/>
      <c r="S1615" s="24"/>
      <c r="T1615" s="24"/>
      <c r="U1615" s="24"/>
      <c r="V1615" s="24"/>
      <c r="W1615" s="24"/>
      <c r="X1615" s="24"/>
      <c r="Y1615" s="24"/>
      <c r="Z1615" s="24"/>
      <c r="AA1615" s="24"/>
      <c r="AB1615" s="24"/>
      <c r="AC1615" s="24"/>
      <c r="AD1615" s="24"/>
      <c r="AE1615" s="24"/>
      <c r="AF1615" s="24"/>
      <c r="AG1615" s="24"/>
      <c r="AH1615" s="24"/>
      <c r="AI1615" s="24"/>
      <c r="AJ1615" s="24"/>
      <c r="AK1615" s="24"/>
      <c r="AL1615" s="24"/>
      <c r="AM1615" s="24"/>
      <c r="AN1615" s="24"/>
      <c r="AO1615" s="24"/>
      <c r="AP1615" s="24"/>
      <c r="AQ1615" s="24"/>
      <c r="AR1615" s="24"/>
      <c r="AS1615" s="24"/>
      <c r="AT1615" s="24"/>
      <c r="AU1615" s="24"/>
      <c r="AV1615" s="24"/>
      <c r="AW1615" s="24"/>
      <c r="AX1615" s="24"/>
    </row>
    <row r="1616" ht="15.75" customHeight="1">
      <c r="A1616" s="24"/>
      <c r="B1616" s="24"/>
      <c r="C1616" s="28"/>
      <c r="D1616" s="28"/>
      <c r="E1616" s="28"/>
      <c r="F1616" s="28"/>
      <c r="G1616" s="28"/>
      <c r="H1616" s="28"/>
      <c r="I1616" s="28"/>
      <c r="J1616" s="28"/>
      <c r="K1616" s="28"/>
      <c r="L1616" s="28"/>
      <c r="M1616" s="28"/>
      <c r="N1616" s="28"/>
      <c r="O1616" s="24"/>
      <c r="P1616" s="24"/>
      <c r="Q1616" s="24"/>
      <c r="R1616" s="24"/>
      <c r="S1616" s="24"/>
      <c r="T1616" s="24"/>
      <c r="U1616" s="24"/>
      <c r="V1616" s="24"/>
      <c r="W1616" s="24"/>
      <c r="X1616" s="24"/>
      <c r="Y1616" s="24"/>
      <c r="Z1616" s="24"/>
      <c r="AA1616" s="24"/>
      <c r="AB1616" s="24"/>
      <c r="AC1616" s="24"/>
      <c r="AD1616" s="24"/>
      <c r="AE1616" s="24"/>
      <c r="AF1616" s="24"/>
      <c r="AG1616" s="24"/>
      <c r="AH1616" s="24"/>
      <c r="AI1616" s="24"/>
      <c r="AJ1616" s="24"/>
      <c r="AK1616" s="24"/>
      <c r="AL1616" s="24"/>
      <c r="AM1616" s="24"/>
      <c r="AN1616" s="24"/>
      <c r="AO1616" s="24"/>
      <c r="AP1616" s="24"/>
      <c r="AQ1616" s="24"/>
      <c r="AR1616" s="24"/>
      <c r="AS1616" s="24"/>
      <c r="AT1616" s="24"/>
      <c r="AU1616" s="24"/>
      <c r="AV1616" s="24"/>
      <c r="AW1616" s="24"/>
      <c r="AX1616" s="24"/>
    </row>
    <row r="1617" ht="15.75" customHeight="1">
      <c r="A1617" s="24"/>
      <c r="B1617" s="24"/>
      <c r="C1617" s="28"/>
      <c r="D1617" s="28"/>
      <c r="E1617" s="28"/>
      <c r="F1617" s="28"/>
      <c r="G1617" s="28"/>
      <c r="H1617" s="28"/>
      <c r="I1617" s="28"/>
      <c r="J1617" s="28"/>
      <c r="K1617" s="28"/>
      <c r="L1617" s="28"/>
      <c r="M1617" s="28"/>
      <c r="N1617" s="28"/>
      <c r="O1617" s="24"/>
      <c r="P1617" s="24"/>
      <c r="Q1617" s="24"/>
      <c r="R1617" s="24"/>
      <c r="S1617" s="24"/>
      <c r="T1617" s="24"/>
      <c r="U1617" s="24"/>
      <c r="V1617" s="24"/>
      <c r="W1617" s="24"/>
      <c r="X1617" s="24"/>
      <c r="Y1617" s="24"/>
      <c r="Z1617" s="24"/>
      <c r="AA1617" s="24"/>
      <c r="AB1617" s="24"/>
      <c r="AC1617" s="24"/>
      <c r="AD1617" s="24"/>
      <c r="AE1617" s="24"/>
      <c r="AF1617" s="24"/>
      <c r="AG1617" s="24"/>
      <c r="AH1617" s="24"/>
      <c r="AI1617" s="24"/>
      <c r="AJ1617" s="24"/>
      <c r="AK1617" s="24"/>
      <c r="AL1617" s="24"/>
      <c r="AM1617" s="24"/>
      <c r="AN1617" s="24"/>
      <c r="AO1617" s="24"/>
      <c r="AP1617" s="24"/>
      <c r="AQ1617" s="24"/>
      <c r="AR1617" s="24"/>
      <c r="AS1617" s="24"/>
      <c r="AT1617" s="24"/>
      <c r="AU1617" s="24"/>
      <c r="AV1617" s="24"/>
      <c r="AW1617" s="24"/>
      <c r="AX1617" s="24"/>
    </row>
    <row r="1618" ht="15.75" customHeight="1">
      <c r="A1618" s="24"/>
      <c r="B1618" s="24"/>
      <c r="C1618" s="28"/>
      <c r="D1618" s="28"/>
      <c r="E1618" s="28"/>
      <c r="F1618" s="28"/>
      <c r="G1618" s="28"/>
      <c r="H1618" s="28"/>
      <c r="I1618" s="28"/>
      <c r="J1618" s="28"/>
      <c r="K1618" s="28"/>
      <c r="L1618" s="28"/>
      <c r="M1618" s="28"/>
      <c r="N1618" s="28"/>
      <c r="O1618" s="24"/>
      <c r="P1618" s="24"/>
      <c r="Q1618" s="24"/>
      <c r="R1618" s="24"/>
      <c r="S1618" s="24"/>
      <c r="T1618" s="24"/>
      <c r="U1618" s="24"/>
      <c r="V1618" s="24"/>
      <c r="W1618" s="24"/>
      <c r="X1618" s="24"/>
      <c r="Y1618" s="24"/>
      <c r="Z1618" s="24"/>
      <c r="AA1618" s="24"/>
      <c r="AB1618" s="24"/>
      <c r="AC1618" s="24"/>
      <c r="AD1618" s="24"/>
      <c r="AE1618" s="24"/>
      <c r="AF1618" s="24"/>
      <c r="AG1618" s="24"/>
      <c r="AH1618" s="24"/>
      <c r="AI1618" s="24"/>
      <c r="AJ1618" s="24"/>
      <c r="AK1618" s="24"/>
      <c r="AL1618" s="24"/>
      <c r="AM1618" s="24"/>
      <c r="AN1618" s="24"/>
      <c r="AO1618" s="24"/>
      <c r="AP1618" s="24"/>
      <c r="AQ1618" s="24"/>
      <c r="AR1618" s="24"/>
      <c r="AS1618" s="24"/>
      <c r="AT1618" s="24"/>
      <c r="AU1618" s="24"/>
      <c r="AV1618" s="24"/>
      <c r="AW1618" s="24"/>
      <c r="AX1618" s="24"/>
    </row>
    <row r="1619" ht="15.75" customHeight="1">
      <c r="A1619" s="24"/>
      <c r="B1619" s="24"/>
      <c r="C1619" s="28"/>
      <c r="D1619" s="28"/>
      <c r="E1619" s="28"/>
      <c r="F1619" s="28"/>
      <c r="G1619" s="28"/>
      <c r="H1619" s="28"/>
      <c r="I1619" s="28"/>
      <c r="J1619" s="28"/>
      <c r="K1619" s="28"/>
      <c r="L1619" s="28"/>
      <c r="M1619" s="28"/>
      <c r="N1619" s="28"/>
      <c r="O1619" s="24"/>
      <c r="P1619" s="24"/>
      <c r="Q1619" s="24"/>
      <c r="R1619" s="24"/>
      <c r="S1619" s="24"/>
      <c r="T1619" s="24"/>
      <c r="U1619" s="24"/>
      <c r="V1619" s="24"/>
      <c r="W1619" s="24"/>
      <c r="X1619" s="24"/>
      <c r="Y1619" s="24"/>
      <c r="Z1619" s="24"/>
      <c r="AA1619" s="24"/>
      <c r="AB1619" s="24"/>
      <c r="AC1619" s="24"/>
      <c r="AD1619" s="24"/>
      <c r="AE1619" s="24"/>
      <c r="AF1619" s="24"/>
      <c r="AG1619" s="24"/>
      <c r="AH1619" s="24"/>
      <c r="AI1619" s="24"/>
      <c r="AJ1619" s="24"/>
      <c r="AK1619" s="24"/>
      <c r="AL1619" s="24"/>
      <c r="AM1619" s="24"/>
      <c r="AN1619" s="24"/>
      <c r="AO1619" s="24"/>
      <c r="AP1619" s="24"/>
      <c r="AQ1619" s="24"/>
      <c r="AR1619" s="24"/>
      <c r="AS1619" s="24"/>
      <c r="AT1619" s="24"/>
      <c r="AU1619" s="24"/>
      <c r="AV1619" s="24"/>
      <c r="AW1619" s="24"/>
      <c r="AX1619" s="24"/>
    </row>
    <row r="1620" ht="15.75" customHeight="1">
      <c r="A1620" s="24"/>
      <c r="B1620" s="24"/>
      <c r="C1620" s="28"/>
      <c r="D1620" s="28"/>
      <c r="E1620" s="28"/>
      <c r="F1620" s="28"/>
      <c r="G1620" s="28"/>
      <c r="H1620" s="28"/>
      <c r="I1620" s="28"/>
      <c r="J1620" s="28"/>
      <c r="K1620" s="28"/>
      <c r="L1620" s="28"/>
      <c r="M1620" s="28"/>
      <c r="N1620" s="28"/>
      <c r="O1620" s="24"/>
      <c r="P1620" s="24"/>
      <c r="Q1620" s="24"/>
      <c r="R1620" s="24"/>
      <c r="S1620" s="24"/>
      <c r="T1620" s="24"/>
      <c r="U1620" s="24"/>
      <c r="V1620" s="24"/>
      <c r="W1620" s="24"/>
      <c r="X1620" s="24"/>
      <c r="Y1620" s="24"/>
      <c r="Z1620" s="24"/>
      <c r="AA1620" s="24"/>
      <c r="AB1620" s="24"/>
      <c r="AC1620" s="24"/>
      <c r="AD1620" s="24"/>
      <c r="AE1620" s="24"/>
      <c r="AF1620" s="24"/>
      <c r="AG1620" s="24"/>
      <c r="AH1620" s="24"/>
      <c r="AI1620" s="24"/>
      <c r="AJ1620" s="24"/>
      <c r="AK1620" s="24"/>
      <c r="AL1620" s="24"/>
      <c r="AM1620" s="24"/>
      <c r="AN1620" s="24"/>
      <c r="AO1620" s="24"/>
      <c r="AP1620" s="24"/>
      <c r="AQ1620" s="24"/>
      <c r="AR1620" s="24"/>
      <c r="AS1620" s="24"/>
      <c r="AT1620" s="24"/>
      <c r="AU1620" s="24"/>
      <c r="AV1620" s="24"/>
      <c r="AW1620" s="24"/>
      <c r="AX1620" s="24"/>
    </row>
    <row r="1621" ht="15.75" customHeight="1">
      <c r="A1621" s="24"/>
      <c r="B1621" s="24"/>
      <c r="C1621" s="28"/>
      <c r="D1621" s="28"/>
      <c r="E1621" s="28"/>
      <c r="F1621" s="28"/>
      <c r="G1621" s="28"/>
      <c r="H1621" s="28"/>
      <c r="I1621" s="28"/>
      <c r="J1621" s="28"/>
      <c r="K1621" s="28"/>
      <c r="L1621" s="28"/>
      <c r="M1621" s="28"/>
      <c r="N1621" s="28"/>
      <c r="O1621" s="24"/>
      <c r="P1621" s="24"/>
      <c r="Q1621" s="24"/>
      <c r="R1621" s="24"/>
      <c r="S1621" s="24"/>
      <c r="T1621" s="24"/>
      <c r="U1621" s="24"/>
      <c r="V1621" s="24"/>
      <c r="W1621" s="24"/>
      <c r="X1621" s="24"/>
      <c r="Y1621" s="24"/>
      <c r="Z1621" s="24"/>
      <c r="AA1621" s="24"/>
      <c r="AB1621" s="24"/>
      <c r="AC1621" s="24"/>
      <c r="AD1621" s="24"/>
      <c r="AE1621" s="24"/>
      <c r="AF1621" s="24"/>
      <c r="AG1621" s="24"/>
      <c r="AH1621" s="24"/>
      <c r="AI1621" s="24"/>
      <c r="AJ1621" s="24"/>
      <c r="AK1621" s="24"/>
      <c r="AL1621" s="24"/>
      <c r="AM1621" s="24"/>
      <c r="AN1621" s="24"/>
      <c r="AO1621" s="24"/>
      <c r="AP1621" s="24"/>
      <c r="AQ1621" s="24"/>
      <c r="AR1621" s="24"/>
      <c r="AS1621" s="24"/>
      <c r="AT1621" s="24"/>
      <c r="AU1621" s="24"/>
      <c r="AV1621" s="24"/>
      <c r="AW1621" s="24"/>
      <c r="AX1621" s="24"/>
    </row>
    <row r="1622" ht="15.75" customHeight="1">
      <c r="A1622" s="24"/>
      <c r="B1622" s="24"/>
      <c r="C1622" s="28"/>
      <c r="D1622" s="28"/>
      <c r="E1622" s="28"/>
      <c r="F1622" s="28"/>
      <c r="G1622" s="28"/>
      <c r="H1622" s="28"/>
      <c r="I1622" s="28"/>
      <c r="J1622" s="28"/>
      <c r="K1622" s="28"/>
      <c r="L1622" s="28"/>
      <c r="M1622" s="28"/>
      <c r="N1622" s="28"/>
      <c r="O1622" s="24"/>
      <c r="P1622" s="24"/>
      <c r="Q1622" s="24"/>
      <c r="R1622" s="24"/>
      <c r="S1622" s="24"/>
      <c r="T1622" s="24"/>
      <c r="U1622" s="24"/>
      <c r="V1622" s="24"/>
      <c r="W1622" s="24"/>
      <c r="X1622" s="24"/>
      <c r="Y1622" s="24"/>
      <c r="Z1622" s="24"/>
      <c r="AA1622" s="24"/>
      <c r="AB1622" s="24"/>
      <c r="AC1622" s="24"/>
      <c r="AD1622" s="24"/>
      <c r="AE1622" s="24"/>
      <c r="AF1622" s="24"/>
      <c r="AG1622" s="24"/>
      <c r="AH1622" s="24"/>
      <c r="AI1622" s="24"/>
      <c r="AJ1622" s="24"/>
      <c r="AK1622" s="24"/>
      <c r="AL1622" s="24"/>
      <c r="AM1622" s="24"/>
      <c r="AN1622" s="24"/>
      <c r="AO1622" s="24"/>
      <c r="AP1622" s="24"/>
      <c r="AQ1622" s="24"/>
      <c r="AR1622" s="24"/>
      <c r="AS1622" s="24"/>
      <c r="AT1622" s="24"/>
      <c r="AU1622" s="24"/>
      <c r="AV1622" s="24"/>
      <c r="AW1622" s="24"/>
      <c r="AX1622" s="24"/>
    </row>
    <row r="1623" ht="15.75" customHeight="1">
      <c r="A1623" s="24"/>
      <c r="B1623" s="24"/>
      <c r="C1623" s="28"/>
      <c r="D1623" s="28"/>
      <c r="E1623" s="28"/>
      <c r="F1623" s="28"/>
      <c r="G1623" s="28"/>
      <c r="H1623" s="28"/>
      <c r="I1623" s="28"/>
      <c r="J1623" s="28"/>
      <c r="K1623" s="28"/>
      <c r="L1623" s="28"/>
      <c r="M1623" s="28"/>
      <c r="N1623" s="28"/>
      <c r="O1623" s="24"/>
      <c r="P1623" s="24"/>
      <c r="Q1623" s="24"/>
      <c r="R1623" s="24"/>
      <c r="S1623" s="24"/>
      <c r="T1623" s="24"/>
      <c r="U1623" s="24"/>
      <c r="V1623" s="24"/>
      <c r="W1623" s="24"/>
      <c r="X1623" s="24"/>
      <c r="Y1623" s="24"/>
      <c r="Z1623" s="24"/>
      <c r="AA1623" s="24"/>
      <c r="AB1623" s="24"/>
      <c r="AC1623" s="24"/>
      <c r="AD1623" s="24"/>
      <c r="AE1623" s="24"/>
      <c r="AF1623" s="24"/>
      <c r="AG1623" s="24"/>
      <c r="AH1623" s="24"/>
      <c r="AI1623" s="24"/>
      <c r="AJ1623" s="24"/>
      <c r="AK1623" s="24"/>
      <c r="AL1623" s="24"/>
      <c r="AM1623" s="24"/>
      <c r="AN1623" s="24"/>
      <c r="AO1623" s="24"/>
      <c r="AP1623" s="24"/>
      <c r="AQ1623" s="24"/>
      <c r="AR1623" s="24"/>
      <c r="AS1623" s="24"/>
      <c r="AT1623" s="24"/>
      <c r="AU1623" s="24"/>
      <c r="AV1623" s="24"/>
      <c r="AW1623" s="24"/>
      <c r="AX1623" s="24"/>
    </row>
    <row r="1624" ht="15.75" customHeight="1">
      <c r="A1624" s="24"/>
      <c r="B1624" s="24"/>
      <c r="C1624" s="28"/>
      <c r="D1624" s="28"/>
      <c r="E1624" s="28"/>
      <c r="F1624" s="28"/>
      <c r="G1624" s="28"/>
      <c r="H1624" s="28"/>
      <c r="I1624" s="28"/>
      <c r="J1624" s="28"/>
      <c r="K1624" s="28"/>
      <c r="L1624" s="28"/>
      <c r="M1624" s="28"/>
      <c r="N1624" s="28"/>
      <c r="O1624" s="24"/>
      <c r="P1624" s="24"/>
      <c r="Q1624" s="24"/>
      <c r="R1624" s="24"/>
      <c r="S1624" s="24"/>
      <c r="T1624" s="24"/>
      <c r="U1624" s="24"/>
      <c r="V1624" s="24"/>
      <c r="W1624" s="24"/>
      <c r="X1624" s="24"/>
      <c r="Y1624" s="24"/>
      <c r="Z1624" s="24"/>
      <c r="AA1624" s="24"/>
      <c r="AB1624" s="24"/>
      <c r="AC1624" s="24"/>
      <c r="AD1624" s="24"/>
      <c r="AE1624" s="24"/>
      <c r="AF1624" s="24"/>
      <c r="AG1624" s="24"/>
      <c r="AH1624" s="24"/>
      <c r="AI1624" s="24"/>
      <c r="AJ1624" s="24"/>
      <c r="AK1624" s="24"/>
      <c r="AL1624" s="24"/>
      <c r="AM1624" s="24"/>
      <c r="AN1624" s="24"/>
      <c r="AO1624" s="24"/>
      <c r="AP1624" s="24"/>
      <c r="AQ1624" s="24"/>
      <c r="AR1624" s="24"/>
      <c r="AS1624" s="24"/>
      <c r="AT1624" s="24"/>
      <c r="AU1624" s="24"/>
      <c r="AV1624" s="24"/>
      <c r="AW1624" s="24"/>
      <c r="AX1624" s="24"/>
    </row>
    <row r="1625" ht="15.75" customHeight="1">
      <c r="A1625" s="24"/>
      <c r="B1625" s="24"/>
      <c r="C1625" s="28"/>
      <c r="D1625" s="28"/>
      <c r="E1625" s="28"/>
      <c r="F1625" s="28"/>
      <c r="G1625" s="28"/>
      <c r="H1625" s="28"/>
      <c r="I1625" s="28"/>
      <c r="J1625" s="28"/>
      <c r="K1625" s="28"/>
      <c r="L1625" s="28"/>
      <c r="M1625" s="28"/>
      <c r="N1625" s="28"/>
      <c r="O1625" s="24"/>
      <c r="P1625" s="24"/>
      <c r="Q1625" s="24"/>
      <c r="R1625" s="24"/>
      <c r="S1625" s="24"/>
      <c r="T1625" s="24"/>
      <c r="U1625" s="24"/>
      <c r="V1625" s="24"/>
      <c r="W1625" s="24"/>
      <c r="X1625" s="24"/>
      <c r="Y1625" s="24"/>
      <c r="Z1625" s="24"/>
      <c r="AA1625" s="24"/>
      <c r="AB1625" s="24"/>
      <c r="AC1625" s="24"/>
      <c r="AD1625" s="24"/>
      <c r="AE1625" s="24"/>
      <c r="AF1625" s="24"/>
      <c r="AG1625" s="24"/>
      <c r="AH1625" s="24"/>
      <c r="AI1625" s="24"/>
      <c r="AJ1625" s="24"/>
      <c r="AK1625" s="24"/>
      <c r="AL1625" s="24"/>
      <c r="AM1625" s="24"/>
      <c r="AN1625" s="24"/>
      <c r="AO1625" s="24"/>
      <c r="AP1625" s="24"/>
      <c r="AQ1625" s="24"/>
      <c r="AR1625" s="24"/>
      <c r="AS1625" s="24"/>
      <c r="AT1625" s="24"/>
      <c r="AU1625" s="24"/>
      <c r="AV1625" s="24"/>
      <c r="AW1625" s="24"/>
      <c r="AX1625" s="24"/>
    </row>
    <row r="1626" ht="15.75" customHeight="1">
      <c r="A1626" s="24"/>
      <c r="B1626" s="24"/>
      <c r="C1626" s="28"/>
      <c r="D1626" s="28"/>
      <c r="E1626" s="28"/>
      <c r="F1626" s="28"/>
      <c r="G1626" s="28"/>
      <c r="H1626" s="28"/>
      <c r="I1626" s="28"/>
      <c r="J1626" s="28"/>
      <c r="K1626" s="28"/>
      <c r="L1626" s="28"/>
      <c r="M1626" s="28"/>
      <c r="N1626" s="28"/>
      <c r="O1626" s="24"/>
      <c r="P1626" s="24"/>
      <c r="Q1626" s="24"/>
      <c r="R1626" s="24"/>
      <c r="S1626" s="24"/>
      <c r="T1626" s="24"/>
      <c r="U1626" s="24"/>
      <c r="V1626" s="24"/>
      <c r="W1626" s="24"/>
      <c r="X1626" s="24"/>
      <c r="Y1626" s="24"/>
      <c r="Z1626" s="24"/>
      <c r="AA1626" s="24"/>
      <c r="AB1626" s="24"/>
      <c r="AC1626" s="24"/>
      <c r="AD1626" s="24"/>
      <c r="AE1626" s="24"/>
      <c r="AF1626" s="24"/>
      <c r="AG1626" s="24"/>
      <c r="AH1626" s="24"/>
      <c r="AI1626" s="24"/>
      <c r="AJ1626" s="24"/>
      <c r="AK1626" s="24"/>
      <c r="AL1626" s="24"/>
      <c r="AM1626" s="24"/>
      <c r="AN1626" s="24"/>
      <c r="AO1626" s="24"/>
      <c r="AP1626" s="24"/>
      <c r="AQ1626" s="24"/>
      <c r="AR1626" s="24"/>
      <c r="AS1626" s="24"/>
      <c r="AT1626" s="24"/>
      <c r="AU1626" s="24"/>
      <c r="AV1626" s="24"/>
      <c r="AW1626" s="24"/>
      <c r="AX1626" s="24"/>
    </row>
    <row r="1627" ht="15.75" customHeight="1">
      <c r="A1627" s="24"/>
      <c r="B1627" s="24"/>
      <c r="C1627" s="28"/>
      <c r="D1627" s="28"/>
      <c r="E1627" s="28"/>
      <c r="F1627" s="28"/>
      <c r="G1627" s="28"/>
      <c r="H1627" s="28"/>
      <c r="I1627" s="28"/>
      <c r="J1627" s="28"/>
      <c r="K1627" s="28"/>
      <c r="L1627" s="28"/>
      <c r="M1627" s="28"/>
      <c r="N1627" s="28"/>
      <c r="O1627" s="24"/>
      <c r="P1627" s="24"/>
      <c r="Q1627" s="24"/>
      <c r="R1627" s="24"/>
      <c r="S1627" s="24"/>
      <c r="T1627" s="24"/>
      <c r="U1627" s="24"/>
      <c r="V1627" s="24"/>
      <c r="W1627" s="24"/>
      <c r="X1627" s="24"/>
      <c r="Y1627" s="24"/>
      <c r="Z1627" s="24"/>
      <c r="AA1627" s="24"/>
      <c r="AB1627" s="24"/>
      <c r="AC1627" s="24"/>
      <c r="AD1627" s="24"/>
      <c r="AE1627" s="24"/>
      <c r="AF1627" s="24"/>
      <c r="AG1627" s="24"/>
      <c r="AH1627" s="24"/>
      <c r="AI1627" s="24"/>
      <c r="AJ1627" s="24"/>
      <c r="AK1627" s="24"/>
      <c r="AL1627" s="24"/>
      <c r="AM1627" s="24"/>
      <c r="AN1627" s="24"/>
      <c r="AO1627" s="24"/>
      <c r="AP1627" s="24"/>
      <c r="AQ1627" s="24"/>
      <c r="AR1627" s="24"/>
      <c r="AS1627" s="24"/>
      <c r="AT1627" s="24"/>
      <c r="AU1627" s="24"/>
      <c r="AV1627" s="24"/>
      <c r="AW1627" s="24"/>
      <c r="AX1627" s="24"/>
    </row>
    <row r="1628" ht="15.75" customHeight="1">
      <c r="A1628" s="24"/>
      <c r="B1628" s="24"/>
      <c r="C1628" s="28"/>
      <c r="D1628" s="28"/>
      <c r="E1628" s="28"/>
      <c r="F1628" s="28"/>
      <c r="G1628" s="28"/>
      <c r="H1628" s="28"/>
      <c r="I1628" s="28"/>
      <c r="J1628" s="28"/>
      <c r="K1628" s="28"/>
      <c r="L1628" s="28"/>
      <c r="M1628" s="28"/>
      <c r="N1628" s="28"/>
      <c r="O1628" s="24"/>
      <c r="P1628" s="24"/>
      <c r="Q1628" s="24"/>
      <c r="R1628" s="24"/>
      <c r="S1628" s="24"/>
      <c r="T1628" s="24"/>
      <c r="U1628" s="24"/>
      <c r="V1628" s="24"/>
      <c r="W1628" s="24"/>
      <c r="X1628" s="24"/>
      <c r="Y1628" s="24"/>
      <c r="Z1628" s="24"/>
      <c r="AA1628" s="24"/>
      <c r="AB1628" s="24"/>
      <c r="AC1628" s="24"/>
      <c r="AD1628" s="24"/>
      <c r="AE1628" s="24"/>
      <c r="AF1628" s="24"/>
      <c r="AG1628" s="24"/>
      <c r="AH1628" s="24"/>
      <c r="AI1628" s="24"/>
      <c r="AJ1628" s="24"/>
      <c r="AK1628" s="24"/>
      <c r="AL1628" s="24"/>
      <c r="AM1628" s="24"/>
      <c r="AN1628" s="24"/>
      <c r="AO1628" s="24"/>
      <c r="AP1628" s="24"/>
      <c r="AQ1628" s="24"/>
      <c r="AR1628" s="24"/>
      <c r="AS1628" s="24"/>
      <c r="AT1628" s="24"/>
      <c r="AU1628" s="24"/>
      <c r="AV1628" s="24"/>
      <c r="AW1628" s="24"/>
      <c r="AX1628" s="24"/>
    </row>
    <row r="1629" ht="15.75" customHeight="1">
      <c r="A1629" s="24"/>
      <c r="B1629" s="24"/>
      <c r="C1629" s="28"/>
      <c r="D1629" s="28"/>
      <c r="E1629" s="28"/>
      <c r="F1629" s="28"/>
      <c r="G1629" s="28"/>
      <c r="H1629" s="28"/>
      <c r="I1629" s="28"/>
      <c r="J1629" s="28"/>
      <c r="K1629" s="28"/>
      <c r="L1629" s="28"/>
      <c r="M1629" s="28"/>
      <c r="N1629" s="28"/>
      <c r="O1629" s="24"/>
      <c r="P1629" s="24"/>
      <c r="Q1629" s="24"/>
      <c r="R1629" s="24"/>
      <c r="S1629" s="24"/>
      <c r="T1629" s="24"/>
      <c r="U1629" s="24"/>
      <c r="V1629" s="24"/>
      <c r="W1629" s="24"/>
      <c r="X1629" s="24"/>
      <c r="Y1629" s="24"/>
      <c r="Z1629" s="24"/>
      <c r="AA1629" s="24"/>
      <c r="AB1629" s="24"/>
      <c r="AC1629" s="24"/>
      <c r="AD1629" s="24"/>
      <c r="AE1629" s="24"/>
      <c r="AF1629" s="24"/>
      <c r="AG1629" s="24"/>
      <c r="AH1629" s="24"/>
      <c r="AI1629" s="24"/>
      <c r="AJ1629" s="24"/>
      <c r="AK1629" s="24"/>
      <c r="AL1629" s="24"/>
      <c r="AM1629" s="24"/>
      <c r="AN1629" s="24"/>
      <c r="AO1629" s="24"/>
      <c r="AP1629" s="24"/>
      <c r="AQ1629" s="24"/>
      <c r="AR1629" s="24"/>
      <c r="AS1629" s="24"/>
      <c r="AT1629" s="24"/>
      <c r="AU1629" s="24"/>
      <c r="AV1629" s="24"/>
      <c r="AW1629" s="24"/>
      <c r="AX1629" s="24"/>
    </row>
    <row r="1630" ht="15.75" customHeight="1">
      <c r="A1630" s="24"/>
      <c r="B1630" s="24"/>
      <c r="C1630" s="28"/>
      <c r="D1630" s="28"/>
      <c r="E1630" s="28"/>
      <c r="F1630" s="28"/>
      <c r="G1630" s="28"/>
      <c r="H1630" s="28"/>
      <c r="I1630" s="28"/>
      <c r="J1630" s="28"/>
      <c r="K1630" s="28"/>
      <c r="L1630" s="28"/>
      <c r="M1630" s="28"/>
      <c r="N1630" s="28"/>
      <c r="O1630" s="24"/>
      <c r="P1630" s="24"/>
      <c r="Q1630" s="24"/>
      <c r="R1630" s="24"/>
      <c r="S1630" s="24"/>
      <c r="T1630" s="24"/>
      <c r="U1630" s="24"/>
      <c r="V1630" s="24"/>
      <c r="W1630" s="24"/>
      <c r="X1630" s="24"/>
      <c r="Y1630" s="24"/>
      <c r="Z1630" s="24"/>
      <c r="AA1630" s="24"/>
      <c r="AB1630" s="24"/>
      <c r="AC1630" s="24"/>
      <c r="AD1630" s="24"/>
      <c r="AE1630" s="24"/>
      <c r="AF1630" s="24"/>
      <c r="AG1630" s="24"/>
      <c r="AH1630" s="24"/>
      <c r="AI1630" s="24"/>
      <c r="AJ1630" s="24"/>
      <c r="AK1630" s="24"/>
      <c r="AL1630" s="24"/>
      <c r="AM1630" s="24"/>
      <c r="AN1630" s="24"/>
      <c r="AO1630" s="24"/>
      <c r="AP1630" s="24"/>
      <c r="AQ1630" s="24"/>
      <c r="AR1630" s="24"/>
      <c r="AS1630" s="24"/>
      <c r="AT1630" s="24"/>
      <c r="AU1630" s="24"/>
      <c r="AV1630" s="24"/>
      <c r="AW1630" s="24"/>
      <c r="AX1630" s="24"/>
    </row>
    <row r="1631" ht="15.75" customHeight="1">
      <c r="A1631" s="24"/>
      <c r="B1631" s="24"/>
      <c r="C1631" s="28"/>
      <c r="D1631" s="28"/>
      <c r="E1631" s="28"/>
      <c r="F1631" s="28"/>
      <c r="G1631" s="28"/>
      <c r="H1631" s="28"/>
      <c r="I1631" s="28"/>
      <c r="J1631" s="28"/>
      <c r="K1631" s="28"/>
      <c r="L1631" s="28"/>
      <c r="M1631" s="28"/>
      <c r="N1631" s="28"/>
      <c r="O1631" s="24"/>
      <c r="P1631" s="24"/>
      <c r="Q1631" s="24"/>
      <c r="R1631" s="24"/>
      <c r="S1631" s="24"/>
      <c r="T1631" s="24"/>
      <c r="U1631" s="24"/>
      <c r="V1631" s="24"/>
      <c r="W1631" s="24"/>
      <c r="X1631" s="24"/>
      <c r="Y1631" s="24"/>
      <c r="Z1631" s="24"/>
      <c r="AA1631" s="24"/>
      <c r="AB1631" s="24"/>
      <c r="AC1631" s="24"/>
      <c r="AD1631" s="24"/>
      <c r="AE1631" s="24"/>
      <c r="AF1631" s="24"/>
      <c r="AG1631" s="24"/>
      <c r="AH1631" s="24"/>
      <c r="AI1631" s="24"/>
      <c r="AJ1631" s="24"/>
      <c r="AK1631" s="24"/>
      <c r="AL1631" s="24"/>
      <c r="AM1631" s="24"/>
      <c r="AN1631" s="24"/>
      <c r="AO1631" s="24"/>
      <c r="AP1631" s="24"/>
      <c r="AQ1631" s="24"/>
      <c r="AR1631" s="24"/>
      <c r="AS1631" s="24"/>
      <c r="AT1631" s="24"/>
      <c r="AU1631" s="24"/>
      <c r="AV1631" s="24"/>
      <c r="AW1631" s="24"/>
      <c r="AX1631" s="24"/>
    </row>
    <row r="1632" ht="15.75" customHeight="1">
      <c r="A1632" s="24"/>
      <c r="B1632" s="24"/>
      <c r="C1632" s="28"/>
      <c r="D1632" s="28"/>
      <c r="E1632" s="28"/>
      <c r="F1632" s="28"/>
      <c r="G1632" s="28"/>
      <c r="H1632" s="28"/>
      <c r="I1632" s="28"/>
      <c r="J1632" s="28"/>
      <c r="K1632" s="28"/>
      <c r="L1632" s="28"/>
      <c r="M1632" s="28"/>
      <c r="N1632" s="28"/>
      <c r="O1632" s="24"/>
      <c r="P1632" s="24"/>
      <c r="Q1632" s="24"/>
      <c r="R1632" s="24"/>
      <c r="S1632" s="24"/>
      <c r="T1632" s="24"/>
      <c r="U1632" s="24"/>
      <c r="V1632" s="24"/>
      <c r="W1632" s="24"/>
      <c r="X1632" s="24"/>
      <c r="Y1632" s="24"/>
      <c r="Z1632" s="24"/>
      <c r="AA1632" s="24"/>
      <c r="AB1632" s="24"/>
      <c r="AC1632" s="24"/>
      <c r="AD1632" s="24"/>
      <c r="AE1632" s="24"/>
      <c r="AF1632" s="24"/>
      <c r="AG1632" s="24"/>
      <c r="AH1632" s="24"/>
      <c r="AI1632" s="24"/>
      <c r="AJ1632" s="24"/>
      <c r="AK1632" s="24"/>
      <c r="AL1632" s="24"/>
      <c r="AM1632" s="24"/>
      <c r="AN1632" s="24"/>
      <c r="AO1632" s="24"/>
      <c r="AP1632" s="24"/>
      <c r="AQ1632" s="24"/>
      <c r="AR1632" s="24"/>
      <c r="AS1632" s="24"/>
      <c r="AT1632" s="24"/>
      <c r="AU1632" s="24"/>
      <c r="AV1632" s="24"/>
      <c r="AW1632" s="24"/>
      <c r="AX1632" s="24"/>
    </row>
    <row r="1633" ht="15.75" customHeight="1">
      <c r="A1633" s="24"/>
      <c r="B1633" s="24"/>
      <c r="C1633" s="28"/>
      <c r="D1633" s="28"/>
      <c r="E1633" s="28"/>
      <c r="F1633" s="28"/>
      <c r="G1633" s="28"/>
      <c r="H1633" s="28"/>
      <c r="I1633" s="28"/>
      <c r="J1633" s="28"/>
      <c r="K1633" s="28"/>
      <c r="L1633" s="28"/>
      <c r="M1633" s="28"/>
      <c r="N1633" s="28"/>
      <c r="O1633" s="24"/>
      <c r="P1633" s="24"/>
      <c r="Q1633" s="24"/>
      <c r="R1633" s="24"/>
      <c r="S1633" s="24"/>
      <c r="T1633" s="24"/>
      <c r="U1633" s="24"/>
      <c r="V1633" s="24"/>
      <c r="W1633" s="24"/>
      <c r="X1633" s="24"/>
      <c r="Y1633" s="24"/>
      <c r="Z1633" s="24"/>
      <c r="AA1633" s="24"/>
      <c r="AB1633" s="24"/>
      <c r="AC1633" s="24"/>
      <c r="AD1633" s="24"/>
      <c r="AE1633" s="24"/>
      <c r="AF1633" s="24"/>
      <c r="AG1633" s="24"/>
      <c r="AH1633" s="24"/>
      <c r="AI1633" s="24"/>
      <c r="AJ1633" s="24"/>
      <c r="AK1633" s="24"/>
      <c r="AL1633" s="24"/>
      <c r="AM1633" s="24"/>
      <c r="AN1633" s="24"/>
      <c r="AO1633" s="24"/>
      <c r="AP1633" s="24"/>
      <c r="AQ1633" s="24"/>
      <c r="AR1633" s="24"/>
      <c r="AS1633" s="24"/>
      <c r="AT1633" s="24"/>
      <c r="AU1633" s="24"/>
      <c r="AV1633" s="24"/>
      <c r="AW1633" s="24"/>
      <c r="AX1633" s="24"/>
    </row>
    <row r="1634" ht="15.75" customHeight="1">
      <c r="A1634" s="24"/>
      <c r="B1634" s="24"/>
      <c r="C1634" s="28"/>
      <c r="D1634" s="28"/>
      <c r="E1634" s="28"/>
      <c r="F1634" s="28"/>
      <c r="G1634" s="28"/>
      <c r="H1634" s="28"/>
      <c r="I1634" s="28"/>
      <c r="J1634" s="28"/>
      <c r="K1634" s="28"/>
      <c r="L1634" s="28"/>
      <c r="M1634" s="28"/>
      <c r="N1634" s="28"/>
      <c r="O1634" s="24"/>
      <c r="P1634" s="24"/>
      <c r="Q1634" s="24"/>
      <c r="R1634" s="24"/>
      <c r="S1634" s="24"/>
      <c r="T1634" s="24"/>
      <c r="U1634" s="24"/>
      <c r="V1634" s="24"/>
      <c r="W1634" s="24"/>
      <c r="X1634" s="24"/>
      <c r="Y1634" s="24"/>
      <c r="Z1634" s="24"/>
      <c r="AA1634" s="24"/>
      <c r="AB1634" s="24"/>
      <c r="AC1634" s="24"/>
      <c r="AD1634" s="24"/>
      <c r="AE1634" s="24"/>
      <c r="AF1634" s="24"/>
      <c r="AG1634" s="24"/>
      <c r="AH1634" s="24"/>
      <c r="AI1634" s="24"/>
      <c r="AJ1634" s="24"/>
      <c r="AK1634" s="24"/>
      <c r="AL1634" s="24"/>
      <c r="AM1634" s="24"/>
      <c r="AN1634" s="24"/>
      <c r="AO1634" s="24"/>
      <c r="AP1634" s="24"/>
      <c r="AQ1634" s="24"/>
      <c r="AR1634" s="24"/>
      <c r="AS1634" s="24"/>
      <c r="AT1634" s="24"/>
      <c r="AU1634" s="24"/>
      <c r="AV1634" s="24"/>
      <c r="AW1634" s="24"/>
      <c r="AX1634" s="24"/>
    </row>
    <row r="1635" ht="15.75" customHeight="1">
      <c r="A1635" s="24"/>
      <c r="B1635" s="24"/>
      <c r="C1635" s="28"/>
      <c r="D1635" s="28"/>
      <c r="E1635" s="28"/>
      <c r="F1635" s="28"/>
      <c r="G1635" s="28"/>
      <c r="H1635" s="28"/>
      <c r="I1635" s="28"/>
      <c r="J1635" s="28"/>
      <c r="K1635" s="28"/>
      <c r="L1635" s="28"/>
      <c r="M1635" s="28"/>
      <c r="N1635" s="28"/>
      <c r="O1635" s="24"/>
      <c r="P1635" s="24"/>
      <c r="Q1635" s="24"/>
      <c r="R1635" s="24"/>
      <c r="S1635" s="24"/>
      <c r="T1635" s="24"/>
      <c r="U1635" s="24"/>
      <c r="V1635" s="24"/>
      <c r="W1635" s="24"/>
      <c r="X1635" s="24"/>
      <c r="Y1635" s="24"/>
      <c r="Z1635" s="24"/>
      <c r="AA1635" s="24"/>
      <c r="AB1635" s="24"/>
      <c r="AC1635" s="24"/>
      <c r="AD1635" s="24"/>
      <c r="AE1635" s="24"/>
      <c r="AF1635" s="24"/>
      <c r="AG1635" s="24"/>
      <c r="AH1635" s="24"/>
      <c r="AI1635" s="24"/>
      <c r="AJ1635" s="24"/>
      <c r="AK1635" s="24"/>
      <c r="AL1635" s="24"/>
      <c r="AM1635" s="24"/>
      <c r="AN1635" s="24"/>
      <c r="AO1635" s="24"/>
      <c r="AP1635" s="24"/>
      <c r="AQ1635" s="24"/>
      <c r="AR1635" s="24"/>
      <c r="AS1635" s="24"/>
      <c r="AT1635" s="24"/>
      <c r="AU1635" s="24"/>
      <c r="AV1635" s="24"/>
      <c r="AW1635" s="24"/>
      <c r="AX1635" s="24"/>
    </row>
    <row r="1636" ht="15.75" customHeight="1">
      <c r="A1636" s="24"/>
      <c r="B1636" s="24"/>
      <c r="C1636" s="28"/>
      <c r="D1636" s="28"/>
      <c r="E1636" s="28"/>
      <c r="F1636" s="28"/>
      <c r="G1636" s="28"/>
      <c r="H1636" s="28"/>
      <c r="I1636" s="28"/>
      <c r="J1636" s="28"/>
      <c r="K1636" s="28"/>
      <c r="L1636" s="28"/>
      <c r="M1636" s="28"/>
      <c r="N1636" s="28"/>
      <c r="O1636" s="24"/>
      <c r="P1636" s="24"/>
      <c r="Q1636" s="24"/>
      <c r="R1636" s="24"/>
      <c r="S1636" s="24"/>
      <c r="T1636" s="24"/>
      <c r="U1636" s="24"/>
      <c r="V1636" s="24"/>
      <c r="W1636" s="24"/>
      <c r="X1636" s="24"/>
      <c r="Y1636" s="24"/>
      <c r="Z1636" s="24"/>
      <c r="AA1636" s="24"/>
      <c r="AB1636" s="24"/>
      <c r="AC1636" s="24"/>
      <c r="AD1636" s="24"/>
      <c r="AE1636" s="24"/>
      <c r="AF1636" s="24"/>
      <c r="AG1636" s="24"/>
      <c r="AH1636" s="24"/>
      <c r="AI1636" s="24"/>
      <c r="AJ1636" s="24"/>
      <c r="AK1636" s="24"/>
      <c r="AL1636" s="24"/>
      <c r="AM1636" s="24"/>
      <c r="AN1636" s="24"/>
      <c r="AO1636" s="24"/>
      <c r="AP1636" s="24"/>
      <c r="AQ1636" s="24"/>
      <c r="AR1636" s="24"/>
      <c r="AS1636" s="24"/>
      <c r="AT1636" s="24"/>
      <c r="AU1636" s="24"/>
      <c r="AV1636" s="24"/>
      <c r="AW1636" s="24"/>
      <c r="AX1636" s="24"/>
    </row>
    <row r="1637" ht="15.75" customHeight="1">
      <c r="A1637" s="24"/>
      <c r="B1637" s="24"/>
      <c r="C1637" s="28"/>
      <c r="D1637" s="28"/>
      <c r="E1637" s="28"/>
      <c r="F1637" s="28"/>
      <c r="G1637" s="28"/>
      <c r="H1637" s="28"/>
      <c r="I1637" s="28"/>
      <c r="J1637" s="28"/>
      <c r="K1637" s="28"/>
      <c r="L1637" s="28"/>
      <c r="M1637" s="28"/>
      <c r="N1637" s="28"/>
      <c r="O1637" s="24"/>
      <c r="P1637" s="24"/>
      <c r="Q1637" s="24"/>
      <c r="R1637" s="24"/>
      <c r="S1637" s="24"/>
      <c r="T1637" s="24"/>
      <c r="U1637" s="24"/>
      <c r="V1637" s="24"/>
      <c r="W1637" s="24"/>
      <c r="X1637" s="24"/>
      <c r="Y1637" s="24"/>
      <c r="Z1637" s="24"/>
      <c r="AA1637" s="24"/>
      <c r="AB1637" s="24"/>
      <c r="AC1637" s="24"/>
      <c r="AD1637" s="24"/>
      <c r="AE1637" s="24"/>
      <c r="AF1637" s="24"/>
      <c r="AG1637" s="24"/>
      <c r="AH1637" s="24"/>
      <c r="AI1637" s="24"/>
      <c r="AJ1637" s="24"/>
      <c r="AK1637" s="24"/>
      <c r="AL1637" s="24"/>
      <c r="AM1637" s="24"/>
      <c r="AN1637" s="24"/>
      <c r="AO1637" s="24"/>
      <c r="AP1637" s="24"/>
      <c r="AQ1637" s="24"/>
      <c r="AR1637" s="24"/>
      <c r="AS1637" s="24"/>
      <c r="AT1637" s="24"/>
      <c r="AU1637" s="24"/>
      <c r="AV1637" s="24"/>
      <c r="AW1637" s="24"/>
      <c r="AX1637" s="24"/>
    </row>
    <row r="1638" ht="15.75" customHeight="1">
      <c r="A1638" s="24"/>
      <c r="B1638" s="24"/>
      <c r="C1638" s="28"/>
      <c r="D1638" s="28"/>
      <c r="E1638" s="28"/>
      <c r="F1638" s="28"/>
      <c r="G1638" s="28"/>
      <c r="H1638" s="28"/>
      <c r="I1638" s="28"/>
      <c r="J1638" s="28"/>
      <c r="K1638" s="28"/>
      <c r="L1638" s="28"/>
      <c r="M1638" s="28"/>
      <c r="N1638" s="28"/>
      <c r="O1638" s="24"/>
      <c r="P1638" s="24"/>
      <c r="Q1638" s="24"/>
      <c r="R1638" s="24"/>
      <c r="S1638" s="24"/>
      <c r="T1638" s="24"/>
      <c r="U1638" s="24"/>
      <c r="V1638" s="24"/>
      <c r="W1638" s="24"/>
      <c r="X1638" s="24"/>
      <c r="Y1638" s="24"/>
      <c r="Z1638" s="24"/>
      <c r="AA1638" s="24"/>
      <c r="AB1638" s="24"/>
      <c r="AC1638" s="24"/>
      <c r="AD1638" s="24"/>
      <c r="AE1638" s="24"/>
      <c r="AF1638" s="24"/>
      <c r="AG1638" s="24"/>
      <c r="AH1638" s="24"/>
      <c r="AI1638" s="24"/>
      <c r="AJ1638" s="24"/>
      <c r="AK1638" s="24"/>
      <c r="AL1638" s="24"/>
      <c r="AM1638" s="24"/>
      <c r="AN1638" s="24"/>
      <c r="AO1638" s="24"/>
      <c r="AP1638" s="24"/>
      <c r="AQ1638" s="24"/>
      <c r="AR1638" s="24"/>
      <c r="AS1638" s="24"/>
      <c r="AT1638" s="24"/>
      <c r="AU1638" s="24"/>
      <c r="AV1638" s="24"/>
      <c r="AW1638" s="24"/>
      <c r="AX1638" s="24"/>
    </row>
    <row r="1639" ht="15.75" customHeight="1">
      <c r="A1639" s="24"/>
      <c r="B1639" s="24"/>
      <c r="C1639" s="28"/>
      <c r="D1639" s="28"/>
      <c r="E1639" s="28"/>
      <c r="F1639" s="28"/>
      <c r="G1639" s="28"/>
      <c r="H1639" s="28"/>
      <c r="I1639" s="28"/>
      <c r="J1639" s="28"/>
      <c r="K1639" s="28"/>
      <c r="L1639" s="28"/>
      <c r="M1639" s="28"/>
      <c r="N1639" s="28"/>
      <c r="O1639" s="24"/>
      <c r="P1639" s="24"/>
      <c r="Q1639" s="24"/>
      <c r="R1639" s="24"/>
      <c r="S1639" s="24"/>
      <c r="T1639" s="24"/>
      <c r="U1639" s="24"/>
      <c r="V1639" s="24"/>
      <c r="W1639" s="24"/>
      <c r="X1639" s="24"/>
      <c r="Y1639" s="24"/>
      <c r="Z1639" s="24"/>
      <c r="AA1639" s="24"/>
      <c r="AB1639" s="24"/>
      <c r="AC1639" s="24"/>
      <c r="AD1639" s="24"/>
      <c r="AE1639" s="24"/>
      <c r="AF1639" s="24"/>
      <c r="AG1639" s="24"/>
      <c r="AH1639" s="24"/>
      <c r="AI1639" s="24"/>
      <c r="AJ1639" s="24"/>
      <c r="AK1639" s="24"/>
      <c r="AL1639" s="24"/>
      <c r="AM1639" s="24"/>
      <c r="AN1639" s="24"/>
      <c r="AO1639" s="24"/>
      <c r="AP1639" s="24"/>
      <c r="AQ1639" s="24"/>
      <c r="AR1639" s="24"/>
      <c r="AS1639" s="24"/>
      <c r="AT1639" s="24"/>
      <c r="AU1639" s="24"/>
      <c r="AV1639" s="24"/>
      <c r="AW1639" s="24"/>
      <c r="AX1639" s="24"/>
    </row>
    <row r="1640" ht="15.75" customHeight="1">
      <c r="A1640" s="24"/>
      <c r="B1640" s="24"/>
      <c r="C1640" s="28"/>
      <c r="D1640" s="28"/>
      <c r="E1640" s="28"/>
      <c r="F1640" s="28"/>
      <c r="G1640" s="28"/>
      <c r="H1640" s="28"/>
      <c r="I1640" s="28"/>
      <c r="J1640" s="28"/>
      <c r="K1640" s="28"/>
      <c r="L1640" s="28"/>
      <c r="M1640" s="28"/>
      <c r="N1640" s="28"/>
      <c r="O1640" s="24"/>
      <c r="P1640" s="24"/>
      <c r="Q1640" s="24"/>
      <c r="R1640" s="24"/>
      <c r="S1640" s="24"/>
      <c r="T1640" s="24"/>
      <c r="U1640" s="24"/>
      <c r="V1640" s="24"/>
      <c r="W1640" s="24"/>
      <c r="X1640" s="24"/>
      <c r="Y1640" s="24"/>
      <c r="Z1640" s="24"/>
      <c r="AA1640" s="24"/>
      <c r="AB1640" s="24"/>
      <c r="AC1640" s="24"/>
      <c r="AD1640" s="24"/>
      <c r="AE1640" s="24"/>
      <c r="AF1640" s="24"/>
      <c r="AG1640" s="24"/>
      <c r="AH1640" s="24"/>
      <c r="AI1640" s="24"/>
      <c r="AJ1640" s="24"/>
      <c r="AK1640" s="24"/>
      <c r="AL1640" s="24"/>
      <c r="AM1640" s="24"/>
      <c r="AN1640" s="24"/>
      <c r="AO1640" s="24"/>
      <c r="AP1640" s="24"/>
      <c r="AQ1640" s="24"/>
      <c r="AR1640" s="24"/>
      <c r="AS1640" s="24"/>
      <c r="AT1640" s="24"/>
      <c r="AU1640" s="24"/>
      <c r="AV1640" s="24"/>
      <c r="AW1640" s="24"/>
      <c r="AX1640" s="24"/>
    </row>
    <row r="1641" ht="15.75" customHeight="1">
      <c r="A1641" s="24"/>
      <c r="B1641" s="24"/>
      <c r="C1641" s="28"/>
      <c r="D1641" s="28"/>
      <c r="E1641" s="28"/>
      <c r="F1641" s="28"/>
      <c r="G1641" s="28"/>
      <c r="H1641" s="28"/>
      <c r="I1641" s="28"/>
      <c r="J1641" s="28"/>
      <c r="K1641" s="28"/>
      <c r="L1641" s="28"/>
      <c r="M1641" s="28"/>
      <c r="N1641" s="28"/>
      <c r="O1641" s="24"/>
      <c r="P1641" s="24"/>
      <c r="Q1641" s="24"/>
      <c r="R1641" s="24"/>
      <c r="S1641" s="24"/>
      <c r="T1641" s="24"/>
      <c r="U1641" s="24"/>
      <c r="V1641" s="24"/>
      <c r="W1641" s="24"/>
      <c r="X1641" s="24"/>
      <c r="Y1641" s="24"/>
      <c r="Z1641" s="24"/>
      <c r="AA1641" s="24"/>
      <c r="AB1641" s="24"/>
      <c r="AC1641" s="24"/>
      <c r="AD1641" s="24"/>
      <c r="AE1641" s="24"/>
      <c r="AF1641" s="24"/>
      <c r="AG1641" s="24"/>
      <c r="AH1641" s="24"/>
      <c r="AI1641" s="24"/>
      <c r="AJ1641" s="24"/>
      <c r="AK1641" s="24"/>
      <c r="AL1641" s="24"/>
      <c r="AM1641" s="24"/>
      <c r="AN1641" s="24"/>
      <c r="AO1641" s="24"/>
      <c r="AP1641" s="24"/>
      <c r="AQ1641" s="24"/>
      <c r="AR1641" s="24"/>
      <c r="AS1641" s="24"/>
      <c r="AT1641" s="24"/>
      <c r="AU1641" s="24"/>
      <c r="AV1641" s="24"/>
      <c r="AW1641" s="24"/>
      <c r="AX1641" s="24"/>
    </row>
    <row r="1642" ht="15.75" customHeight="1">
      <c r="A1642" s="24"/>
      <c r="B1642" s="24"/>
      <c r="C1642" s="28"/>
      <c r="D1642" s="28"/>
      <c r="E1642" s="28"/>
      <c r="F1642" s="28"/>
      <c r="G1642" s="28"/>
      <c r="H1642" s="28"/>
      <c r="I1642" s="28"/>
      <c r="J1642" s="28"/>
      <c r="K1642" s="28"/>
      <c r="L1642" s="28"/>
      <c r="M1642" s="28"/>
      <c r="N1642" s="28"/>
      <c r="O1642" s="24"/>
      <c r="P1642" s="24"/>
      <c r="Q1642" s="24"/>
      <c r="R1642" s="24"/>
      <c r="S1642" s="24"/>
      <c r="T1642" s="24"/>
      <c r="U1642" s="24"/>
      <c r="V1642" s="24"/>
      <c r="W1642" s="24"/>
      <c r="X1642" s="24"/>
      <c r="Y1642" s="24"/>
      <c r="Z1642" s="24"/>
      <c r="AA1642" s="24"/>
      <c r="AB1642" s="24"/>
      <c r="AC1642" s="24"/>
      <c r="AD1642" s="24"/>
      <c r="AE1642" s="24"/>
      <c r="AF1642" s="24"/>
      <c r="AG1642" s="24"/>
      <c r="AH1642" s="24"/>
      <c r="AI1642" s="24"/>
      <c r="AJ1642" s="24"/>
      <c r="AK1642" s="24"/>
      <c r="AL1642" s="24"/>
      <c r="AM1642" s="24"/>
      <c r="AN1642" s="24"/>
      <c r="AO1642" s="24"/>
      <c r="AP1642" s="24"/>
      <c r="AQ1642" s="24"/>
      <c r="AR1642" s="24"/>
      <c r="AS1642" s="24"/>
      <c r="AT1642" s="24"/>
      <c r="AU1642" s="24"/>
      <c r="AV1642" s="24"/>
      <c r="AW1642" s="24"/>
      <c r="AX1642" s="24"/>
    </row>
    <row r="1643" ht="15.75" customHeight="1">
      <c r="A1643" s="24"/>
      <c r="B1643" s="24"/>
      <c r="C1643" s="28"/>
      <c r="D1643" s="28"/>
      <c r="E1643" s="28"/>
      <c r="F1643" s="28"/>
      <c r="G1643" s="28"/>
      <c r="H1643" s="28"/>
      <c r="I1643" s="28"/>
      <c r="J1643" s="28"/>
      <c r="K1643" s="28"/>
      <c r="L1643" s="28"/>
      <c r="M1643" s="28"/>
      <c r="N1643" s="28"/>
      <c r="O1643" s="24"/>
      <c r="P1643" s="24"/>
      <c r="Q1643" s="24"/>
      <c r="R1643" s="24"/>
      <c r="S1643" s="24"/>
      <c r="T1643" s="24"/>
      <c r="U1643" s="24"/>
      <c r="V1643" s="24"/>
      <c r="W1643" s="24"/>
      <c r="X1643" s="24"/>
      <c r="Y1643" s="24"/>
      <c r="Z1643" s="24"/>
      <c r="AA1643" s="24"/>
      <c r="AB1643" s="24"/>
      <c r="AC1643" s="24"/>
      <c r="AD1643" s="24"/>
      <c r="AE1643" s="24"/>
      <c r="AF1643" s="24"/>
      <c r="AG1643" s="24"/>
      <c r="AH1643" s="24"/>
      <c r="AI1643" s="24"/>
      <c r="AJ1643" s="24"/>
      <c r="AK1643" s="24"/>
      <c r="AL1643" s="24"/>
      <c r="AM1643" s="24"/>
      <c r="AN1643" s="24"/>
      <c r="AO1643" s="24"/>
      <c r="AP1643" s="24"/>
      <c r="AQ1643" s="24"/>
      <c r="AR1643" s="24"/>
      <c r="AS1643" s="24"/>
      <c r="AT1643" s="24"/>
      <c r="AU1643" s="24"/>
      <c r="AV1643" s="24"/>
      <c r="AW1643" s="24"/>
      <c r="AX1643" s="24"/>
    </row>
    <row r="1644" ht="15.75" customHeight="1">
      <c r="A1644" s="24"/>
      <c r="B1644" s="24"/>
      <c r="C1644" s="28"/>
      <c r="D1644" s="28"/>
      <c r="E1644" s="28"/>
      <c r="F1644" s="28"/>
      <c r="G1644" s="28"/>
      <c r="H1644" s="28"/>
      <c r="I1644" s="28"/>
      <c r="J1644" s="28"/>
      <c r="K1644" s="28"/>
      <c r="L1644" s="28"/>
      <c r="M1644" s="28"/>
      <c r="N1644" s="28"/>
      <c r="O1644" s="24"/>
      <c r="P1644" s="24"/>
      <c r="Q1644" s="24"/>
      <c r="R1644" s="24"/>
      <c r="S1644" s="24"/>
      <c r="T1644" s="24"/>
      <c r="U1644" s="24"/>
      <c r="V1644" s="24"/>
      <c r="W1644" s="24"/>
      <c r="X1644" s="24"/>
      <c r="Y1644" s="24"/>
      <c r="Z1644" s="24"/>
      <c r="AA1644" s="24"/>
      <c r="AB1644" s="24"/>
      <c r="AC1644" s="24"/>
      <c r="AD1644" s="24"/>
      <c r="AE1644" s="24"/>
      <c r="AF1644" s="24"/>
      <c r="AG1644" s="24"/>
      <c r="AH1644" s="24"/>
      <c r="AI1644" s="24"/>
      <c r="AJ1644" s="24"/>
      <c r="AK1644" s="24"/>
      <c r="AL1644" s="24"/>
      <c r="AM1644" s="24"/>
      <c r="AN1644" s="24"/>
      <c r="AO1644" s="24"/>
      <c r="AP1644" s="24"/>
      <c r="AQ1644" s="24"/>
      <c r="AR1644" s="24"/>
      <c r="AS1644" s="24"/>
      <c r="AT1644" s="24"/>
      <c r="AU1644" s="24"/>
      <c r="AV1644" s="24"/>
      <c r="AW1644" s="24"/>
      <c r="AX1644" s="24"/>
    </row>
    <row r="1645" ht="15.75" customHeight="1">
      <c r="A1645" s="24"/>
      <c r="B1645" s="24"/>
      <c r="C1645" s="28"/>
      <c r="D1645" s="28"/>
      <c r="E1645" s="28"/>
      <c r="F1645" s="28"/>
      <c r="G1645" s="28"/>
      <c r="H1645" s="28"/>
      <c r="I1645" s="28"/>
      <c r="J1645" s="28"/>
      <c r="K1645" s="28"/>
      <c r="L1645" s="28"/>
      <c r="M1645" s="28"/>
      <c r="N1645" s="28"/>
      <c r="O1645" s="24"/>
      <c r="P1645" s="24"/>
      <c r="Q1645" s="24"/>
      <c r="R1645" s="24"/>
      <c r="S1645" s="24"/>
      <c r="T1645" s="24"/>
      <c r="U1645" s="24"/>
      <c r="V1645" s="24"/>
      <c r="W1645" s="24"/>
      <c r="X1645" s="24"/>
      <c r="Y1645" s="24"/>
      <c r="Z1645" s="24"/>
      <c r="AA1645" s="24"/>
      <c r="AB1645" s="24"/>
      <c r="AC1645" s="24"/>
      <c r="AD1645" s="24"/>
      <c r="AE1645" s="24"/>
      <c r="AF1645" s="24"/>
      <c r="AG1645" s="24"/>
      <c r="AH1645" s="24"/>
      <c r="AI1645" s="24"/>
      <c r="AJ1645" s="24"/>
      <c r="AK1645" s="24"/>
      <c r="AL1645" s="24"/>
      <c r="AM1645" s="24"/>
      <c r="AN1645" s="24"/>
      <c r="AO1645" s="24"/>
      <c r="AP1645" s="24"/>
      <c r="AQ1645" s="24"/>
      <c r="AR1645" s="24"/>
      <c r="AS1645" s="24"/>
      <c r="AT1645" s="24"/>
      <c r="AU1645" s="24"/>
      <c r="AV1645" s="24"/>
      <c r="AW1645" s="24"/>
      <c r="AX1645" s="24"/>
    </row>
    <row r="1646" ht="15.75" customHeight="1">
      <c r="A1646" s="24"/>
      <c r="B1646" s="24"/>
      <c r="C1646" s="28"/>
      <c r="D1646" s="28"/>
      <c r="E1646" s="28"/>
      <c r="F1646" s="28"/>
      <c r="G1646" s="28"/>
      <c r="H1646" s="28"/>
      <c r="I1646" s="28"/>
      <c r="J1646" s="28"/>
      <c r="K1646" s="28"/>
      <c r="L1646" s="28"/>
      <c r="M1646" s="28"/>
      <c r="N1646" s="28"/>
      <c r="O1646" s="24"/>
      <c r="P1646" s="24"/>
      <c r="Q1646" s="24"/>
      <c r="R1646" s="24"/>
      <c r="S1646" s="24"/>
      <c r="T1646" s="24"/>
      <c r="U1646" s="24"/>
      <c r="V1646" s="24"/>
      <c r="W1646" s="24"/>
      <c r="X1646" s="24"/>
      <c r="Y1646" s="24"/>
      <c r="Z1646" s="24"/>
      <c r="AA1646" s="24"/>
      <c r="AB1646" s="24"/>
      <c r="AC1646" s="24"/>
      <c r="AD1646" s="24"/>
      <c r="AE1646" s="24"/>
      <c r="AF1646" s="24"/>
      <c r="AG1646" s="24"/>
      <c r="AH1646" s="24"/>
      <c r="AI1646" s="24"/>
      <c r="AJ1646" s="24"/>
      <c r="AK1646" s="24"/>
      <c r="AL1646" s="24"/>
      <c r="AM1646" s="24"/>
      <c r="AN1646" s="24"/>
      <c r="AO1646" s="24"/>
      <c r="AP1646" s="24"/>
      <c r="AQ1646" s="24"/>
      <c r="AR1646" s="24"/>
      <c r="AS1646" s="24"/>
      <c r="AT1646" s="24"/>
      <c r="AU1646" s="24"/>
      <c r="AV1646" s="24"/>
      <c r="AW1646" s="24"/>
      <c r="AX1646" s="24"/>
    </row>
    <row r="1647" ht="15.75" customHeight="1">
      <c r="A1647" s="24"/>
      <c r="B1647" s="24"/>
      <c r="C1647" s="28"/>
      <c r="D1647" s="28"/>
      <c r="E1647" s="28"/>
      <c r="F1647" s="28"/>
      <c r="G1647" s="28"/>
      <c r="H1647" s="28"/>
      <c r="I1647" s="28"/>
      <c r="J1647" s="28"/>
      <c r="K1647" s="28"/>
      <c r="L1647" s="28"/>
      <c r="M1647" s="28"/>
      <c r="N1647" s="28"/>
      <c r="O1647" s="24"/>
      <c r="P1647" s="24"/>
      <c r="Q1647" s="24"/>
      <c r="R1647" s="24"/>
      <c r="S1647" s="24"/>
      <c r="T1647" s="24"/>
      <c r="U1647" s="24"/>
      <c r="V1647" s="24"/>
      <c r="W1647" s="24"/>
      <c r="X1647" s="24"/>
      <c r="Y1647" s="24"/>
      <c r="Z1647" s="24"/>
      <c r="AA1647" s="24"/>
      <c r="AB1647" s="24"/>
      <c r="AC1647" s="24"/>
      <c r="AD1647" s="24"/>
      <c r="AE1647" s="24"/>
      <c r="AF1647" s="24"/>
      <c r="AG1647" s="24"/>
      <c r="AH1647" s="24"/>
      <c r="AI1647" s="24"/>
      <c r="AJ1647" s="24"/>
      <c r="AK1647" s="24"/>
      <c r="AL1647" s="24"/>
      <c r="AM1647" s="24"/>
      <c r="AN1647" s="24"/>
      <c r="AO1647" s="24"/>
      <c r="AP1647" s="24"/>
      <c r="AQ1647" s="24"/>
      <c r="AR1647" s="24"/>
      <c r="AS1647" s="24"/>
      <c r="AT1647" s="24"/>
      <c r="AU1647" s="24"/>
      <c r="AV1647" s="24"/>
      <c r="AW1647" s="24"/>
      <c r="AX1647" s="24"/>
    </row>
    <row r="1648" ht="15.75" customHeight="1">
      <c r="A1648" s="24"/>
      <c r="B1648" s="24"/>
      <c r="C1648" s="28"/>
      <c r="D1648" s="28"/>
      <c r="E1648" s="28"/>
      <c r="F1648" s="28"/>
      <c r="G1648" s="28"/>
      <c r="H1648" s="28"/>
      <c r="I1648" s="28"/>
      <c r="J1648" s="28"/>
      <c r="K1648" s="28"/>
      <c r="L1648" s="28"/>
      <c r="M1648" s="28"/>
      <c r="N1648" s="28"/>
      <c r="O1648" s="24"/>
      <c r="P1648" s="24"/>
      <c r="Q1648" s="24"/>
      <c r="R1648" s="24"/>
      <c r="S1648" s="24"/>
      <c r="T1648" s="24"/>
      <c r="U1648" s="24"/>
      <c r="V1648" s="24"/>
      <c r="W1648" s="24"/>
      <c r="X1648" s="24"/>
      <c r="Y1648" s="24"/>
      <c r="Z1648" s="24"/>
      <c r="AA1648" s="24"/>
      <c r="AB1648" s="24"/>
      <c r="AC1648" s="24"/>
      <c r="AD1648" s="24"/>
      <c r="AE1648" s="24"/>
      <c r="AF1648" s="24"/>
      <c r="AG1648" s="24"/>
      <c r="AH1648" s="24"/>
      <c r="AI1648" s="24"/>
      <c r="AJ1648" s="24"/>
      <c r="AK1648" s="24"/>
      <c r="AL1648" s="24"/>
      <c r="AM1648" s="24"/>
      <c r="AN1648" s="24"/>
      <c r="AO1648" s="24"/>
      <c r="AP1648" s="24"/>
      <c r="AQ1648" s="24"/>
      <c r="AR1648" s="24"/>
      <c r="AS1648" s="24"/>
      <c r="AT1648" s="24"/>
      <c r="AU1648" s="24"/>
      <c r="AV1648" s="24"/>
      <c r="AW1648" s="24"/>
      <c r="AX1648" s="24"/>
    </row>
    <row r="1649" ht="15.75" customHeight="1">
      <c r="A1649" s="24"/>
      <c r="B1649" s="24"/>
      <c r="C1649" s="28"/>
      <c r="D1649" s="28"/>
      <c r="E1649" s="28"/>
      <c r="F1649" s="28"/>
      <c r="G1649" s="28"/>
      <c r="H1649" s="28"/>
      <c r="I1649" s="28"/>
      <c r="J1649" s="28"/>
      <c r="K1649" s="28"/>
      <c r="L1649" s="28"/>
      <c r="M1649" s="28"/>
      <c r="N1649" s="28"/>
      <c r="O1649" s="24"/>
      <c r="P1649" s="24"/>
      <c r="Q1649" s="24"/>
      <c r="R1649" s="24"/>
      <c r="S1649" s="24"/>
      <c r="T1649" s="24"/>
      <c r="U1649" s="24"/>
      <c r="V1649" s="24"/>
      <c r="W1649" s="24"/>
      <c r="X1649" s="24"/>
      <c r="Y1649" s="24"/>
      <c r="Z1649" s="24"/>
      <c r="AA1649" s="24"/>
      <c r="AB1649" s="24"/>
      <c r="AC1649" s="24"/>
      <c r="AD1649" s="24"/>
      <c r="AE1649" s="24"/>
      <c r="AF1649" s="24"/>
      <c r="AG1649" s="24"/>
      <c r="AH1649" s="24"/>
      <c r="AI1649" s="24"/>
      <c r="AJ1649" s="24"/>
      <c r="AK1649" s="24"/>
      <c r="AL1649" s="24"/>
      <c r="AM1649" s="24"/>
      <c r="AN1649" s="24"/>
      <c r="AO1649" s="24"/>
      <c r="AP1649" s="24"/>
      <c r="AQ1649" s="24"/>
      <c r="AR1649" s="24"/>
      <c r="AS1649" s="24"/>
      <c r="AT1649" s="24"/>
      <c r="AU1649" s="24"/>
      <c r="AV1649" s="24"/>
      <c r="AW1649" s="24"/>
      <c r="AX1649" s="24"/>
    </row>
    <row r="1650" ht="15.75" customHeight="1">
      <c r="A1650" s="24"/>
      <c r="B1650" s="24"/>
      <c r="C1650" s="28"/>
      <c r="D1650" s="28"/>
      <c r="E1650" s="28"/>
      <c r="F1650" s="28"/>
      <c r="G1650" s="28"/>
      <c r="H1650" s="28"/>
      <c r="I1650" s="28"/>
      <c r="J1650" s="28"/>
      <c r="K1650" s="28"/>
      <c r="L1650" s="28"/>
      <c r="M1650" s="28"/>
      <c r="N1650" s="28"/>
      <c r="O1650" s="24"/>
      <c r="P1650" s="24"/>
      <c r="Q1650" s="24"/>
      <c r="R1650" s="24"/>
      <c r="S1650" s="24"/>
      <c r="T1650" s="24"/>
      <c r="U1650" s="24"/>
      <c r="V1650" s="24"/>
      <c r="W1650" s="24"/>
      <c r="X1650" s="24"/>
      <c r="Y1650" s="24"/>
      <c r="Z1650" s="24"/>
      <c r="AA1650" s="24"/>
      <c r="AB1650" s="24"/>
      <c r="AC1650" s="24"/>
      <c r="AD1650" s="24"/>
      <c r="AE1650" s="24"/>
      <c r="AF1650" s="24"/>
      <c r="AG1650" s="24"/>
      <c r="AH1650" s="24"/>
      <c r="AI1650" s="24"/>
      <c r="AJ1650" s="24"/>
      <c r="AK1650" s="24"/>
      <c r="AL1650" s="24"/>
      <c r="AM1650" s="24"/>
      <c r="AN1650" s="24"/>
      <c r="AO1650" s="24"/>
      <c r="AP1650" s="24"/>
      <c r="AQ1650" s="24"/>
      <c r="AR1650" s="24"/>
      <c r="AS1650" s="24"/>
      <c r="AT1650" s="24"/>
      <c r="AU1650" s="24"/>
      <c r="AV1650" s="24"/>
      <c r="AW1650" s="24"/>
      <c r="AX1650" s="24"/>
    </row>
    <row r="1651" ht="15.75" customHeight="1">
      <c r="A1651" s="24"/>
      <c r="B1651" s="24"/>
      <c r="C1651" s="28"/>
      <c r="D1651" s="28"/>
      <c r="E1651" s="28"/>
      <c r="F1651" s="28"/>
      <c r="G1651" s="28"/>
      <c r="H1651" s="28"/>
      <c r="I1651" s="28"/>
      <c r="J1651" s="28"/>
      <c r="K1651" s="28"/>
      <c r="L1651" s="28"/>
      <c r="M1651" s="28"/>
      <c r="N1651" s="28"/>
      <c r="O1651" s="24"/>
      <c r="P1651" s="24"/>
      <c r="Q1651" s="24"/>
      <c r="R1651" s="24"/>
      <c r="S1651" s="24"/>
      <c r="T1651" s="24"/>
      <c r="U1651" s="24"/>
      <c r="V1651" s="24"/>
      <c r="W1651" s="24"/>
      <c r="X1651" s="24"/>
      <c r="Y1651" s="24"/>
      <c r="Z1651" s="24"/>
      <c r="AA1651" s="24"/>
      <c r="AB1651" s="24"/>
      <c r="AC1651" s="24"/>
      <c r="AD1651" s="24"/>
      <c r="AE1651" s="24"/>
      <c r="AF1651" s="24"/>
      <c r="AG1651" s="24"/>
      <c r="AH1651" s="24"/>
      <c r="AI1651" s="24"/>
      <c r="AJ1651" s="24"/>
      <c r="AK1651" s="24"/>
      <c r="AL1651" s="24"/>
      <c r="AM1651" s="24"/>
      <c r="AN1651" s="24"/>
      <c r="AO1651" s="24"/>
      <c r="AP1651" s="24"/>
      <c r="AQ1651" s="24"/>
      <c r="AR1651" s="24"/>
      <c r="AS1651" s="24"/>
      <c r="AT1651" s="24"/>
      <c r="AU1651" s="24"/>
      <c r="AV1651" s="24"/>
      <c r="AW1651" s="24"/>
      <c r="AX1651" s="24"/>
    </row>
    <row r="1652" ht="15.75" customHeight="1">
      <c r="A1652" s="24"/>
      <c r="B1652" s="24"/>
      <c r="C1652" s="28"/>
      <c r="D1652" s="28"/>
      <c r="E1652" s="28"/>
      <c r="F1652" s="28"/>
      <c r="G1652" s="28"/>
      <c r="H1652" s="28"/>
      <c r="I1652" s="28"/>
      <c r="J1652" s="28"/>
      <c r="K1652" s="28"/>
      <c r="L1652" s="28"/>
      <c r="M1652" s="28"/>
      <c r="N1652" s="28"/>
      <c r="O1652" s="24"/>
      <c r="P1652" s="24"/>
      <c r="Q1652" s="24"/>
      <c r="R1652" s="24"/>
      <c r="S1652" s="24"/>
      <c r="T1652" s="24"/>
      <c r="U1652" s="24"/>
      <c r="V1652" s="24"/>
      <c r="W1652" s="24"/>
      <c r="X1652" s="24"/>
      <c r="Y1652" s="24"/>
      <c r="Z1652" s="24"/>
      <c r="AA1652" s="24"/>
      <c r="AB1652" s="24"/>
      <c r="AC1652" s="24"/>
      <c r="AD1652" s="24"/>
      <c r="AE1652" s="24"/>
      <c r="AF1652" s="24"/>
      <c r="AG1652" s="24"/>
      <c r="AH1652" s="24"/>
      <c r="AI1652" s="24"/>
      <c r="AJ1652" s="24"/>
      <c r="AK1652" s="24"/>
      <c r="AL1652" s="24"/>
      <c r="AM1652" s="24"/>
      <c r="AN1652" s="24"/>
      <c r="AO1652" s="24"/>
      <c r="AP1652" s="24"/>
      <c r="AQ1652" s="24"/>
      <c r="AR1652" s="24"/>
      <c r="AS1652" s="24"/>
      <c r="AT1652" s="24"/>
      <c r="AU1652" s="24"/>
      <c r="AV1652" s="24"/>
      <c r="AW1652" s="24"/>
      <c r="AX1652" s="24"/>
    </row>
    <row r="1653" ht="15.75" customHeight="1">
      <c r="A1653" s="24"/>
      <c r="B1653" s="24"/>
      <c r="C1653" s="28"/>
      <c r="D1653" s="28"/>
      <c r="E1653" s="28"/>
      <c r="F1653" s="28"/>
      <c r="G1653" s="28"/>
      <c r="H1653" s="28"/>
      <c r="I1653" s="28"/>
      <c r="J1653" s="28"/>
      <c r="K1653" s="28"/>
      <c r="L1653" s="28"/>
      <c r="M1653" s="28"/>
      <c r="N1653" s="28"/>
      <c r="O1653" s="24"/>
      <c r="P1653" s="24"/>
      <c r="Q1653" s="24"/>
      <c r="R1653" s="24"/>
      <c r="S1653" s="24"/>
      <c r="T1653" s="24"/>
      <c r="U1653" s="24"/>
      <c r="V1653" s="24"/>
      <c r="W1653" s="24"/>
      <c r="X1653" s="24"/>
      <c r="Y1653" s="24"/>
      <c r="Z1653" s="24"/>
      <c r="AA1653" s="24"/>
      <c r="AB1653" s="24"/>
      <c r="AC1653" s="24"/>
      <c r="AD1653" s="24"/>
      <c r="AE1653" s="24"/>
      <c r="AF1653" s="24"/>
      <c r="AG1653" s="24"/>
      <c r="AH1653" s="24"/>
      <c r="AI1653" s="24"/>
      <c r="AJ1653" s="24"/>
      <c r="AK1653" s="24"/>
      <c r="AL1653" s="24"/>
      <c r="AM1653" s="24"/>
      <c r="AN1653" s="24"/>
      <c r="AO1653" s="24"/>
      <c r="AP1653" s="24"/>
      <c r="AQ1653" s="24"/>
      <c r="AR1653" s="24"/>
      <c r="AS1653" s="24"/>
      <c r="AT1653" s="24"/>
      <c r="AU1653" s="24"/>
      <c r="AV1653" s="24"/>
      <c r="AW1653" s="24"/>
      <c r="AX1653" s="24"/>
    </row>
    <row r="1654" ht="15.75" customHeight="1">
      <c r="A1654" s="24"/>
      <c r="B1654" s="24"/>
      <c r="C1654" s="28"/>
      <c r="D1654" s="28"/>
      <c r="E1654" s="28"/>
      <c r="F1654" s="28"/>
      <c r="G1654" s="28"/>
      <c r="H1654" s="28"/>
      <c r="I1654" s="28"/>
      <c r="J1654" s="28"/>
      <c r="K1654" s="28"/>
      <c r="L1654" s="28"/>
      <c r="M1654" s="28"/>
      <c r="N1654" s="28"/>
      <c r="O1654" s="24"/>
      <c r="P1654" s="24"/>
      <c r="Q1654" s="24"/>
      <c r="R1654" s="24"/>
      <c r="S1654" s="24"/>
      <c r="T1654" s="24"/>
      <c r="U1654" s="24"/>
      <c r="V1654" s="24"/>
      <c r="W1654" s="24"/>
      <c r="X1654" s="24"/>
      <c r="Y1654" s="24"/>
      <c r="Z1654" s="24"/>
      <c r="AA1654" s="24"/>
      <c r="AB1654" s="24"/>
      <c r="AC1654" s="24"/>
      <c r="AD1654" s="24"/>
      <c r="AE1654" s="24"/>
      <c r="AF1654" s="24"/>
      <c r="AG1654" s="24"/>
      <c r="AH1654" s="24"/>
      <c r="AI1654" s="24"/>
      <c r="AJ1654" s="24"/>
      <c r="AK1654" s="24"/>
      <c r="AL1654" s="24"/>
      <c r="AM1654" s="24"/>
      <c r="AN1654" s="24"/>
      <c r="AO1654" s="24"/>
      <c r="AP1654" s="24"/>
      <c r="AQ1654" s="24"/>
      <c r="AR1654" s="24"/>
      <c r="AS1654" s="24"/>
      <c r="AT1654" s="24"/>
      <c r="AU1654" s="24"/>
      <c r="AV1654" s="24"/>
      <c r="AW1654" s="24"/>
      <c r="AX1654" s="24"/>
    </row>
    <row r="1655" ht="15.75" customHeight="1">
      <c r="A1655" s="24"/>
      <c r="B1655" s="24"/>
      <c r="C1655" s="28"/>
      <c r="D1655" s="28"/>
      <c r="E1655" s="28"/>
      <c r="F1655" s="28"/>
      <c r="G1655" s="28"/>
      <c r="H1655" s="28"/>
      <c r="I1655" s="28"/>
      <c r="J1655" s="28"/>
      <c r="K1655" s="28"/>
      <c r="L1655" s="28"/>
      <c r="M1655" s="28"/>
      <c r="N1655" s="28"/>
      <c r="O1655" s="24"/>
      <c r="P1655" s="24"/>
      <c r="Q1655" s="24"/>
      <c r="R1655" s="24"/>
      <c r="S1655" s="24"/>
      <c r="T1655" s="24"/>
      <c r="U1655" s="24"/>
      <c r="V1655" s="24"/>
      <c r="W1655" s="24"/>
      <c r="X1655" s="24"/>
      <c r="Y1655" s="24"/>
      <c r="Z1655" s="24"/>
      <c r="AA1655" s="24"/>
      <c r="AB1655" s="24"/>
      <c r="AC1655" s="24"/>
      <c r="AD1655" s="24"/>
      <c r="AE1655" s="24"/>
      <c r="AF1655" s="24"/>
      <c r="AG1655" s="24"/>
      <c r="AH1655" s="24"/>
      <c r="AI1655" s="24"/>
      <c r="AJ1655" s="24"/>
      <c r="AK1655" s="24"/>
      <c r="AL1655" s="24"/>
      <c r="AM1655" s="24"/>
      <c r="AN1655" s="24"/>
      <c r="AO1655" s="24"/>
      <c r="AP1655" s="24"/>
      <c r="AQ1655" s="24"/>
      <c r="AR1655" s="24"/>
      <c r="AS1655" s="24"/>
      <c r="AT1655" s="24"/>
      <c r="AU1655" s="24"/>
      <c r="AV1655" s="24"/>
      <c r="AW1655" s="24"/>
      <c r="AX1655" s="24"/>
    </row>
    <row r="1656" ht="15.75" customHeight="1">
      <c r="A1656" s="24"/>
      <c r="B1656" s="24"/>
      <c r="C1656" s="28"/>
      <c r="D1656" s="28"/>
      <c r="E1656" s="28"/>
      <c r="F1656" s="28"/>
      <c r="G1656" s="28"/>
      <c r="H1656" s="28"/>
      <c r="I1656" s="28"/>
      <c r="J1656" s="28"/>
      <c r="K1656" s="28"/>
      <c r="L1656" s="28"/>
      <c r="M1656" s="28"/>
      <c r="N1656" s="28"/>
      <c r="O1656" s="24"/>
      <c r="P1656" s="24"/>
      <c r="Q1656" s="24"/>
      <c r="R1656" s="24"/>
      <c r="S1656" s="24"/>
      <c r="T1656" s="24"/>
      <c r="U1656" s="24"/>
      <c r="V1656" s="24"/>
      <c r="W1656" s="24"/>
      <c r="X1656" s="24"/>
      <c r="Y1656" s="24"/>
      <c r="Z1656" s="24"/>
      <c r="AA1656" s="24"/>
      <c r="AB1656" s="24"/>
      <c r="AC1656" s="24"/>
      <c r="AD1656" s="24"/>
      <c r="AE1656" s="24"/>
      <c r="AF1656" s="24"/>
      <c r="AG1656" s="24"/>
      <c r="AH1656" s="24"/>
      <c r="AI1656" s="24"/>
      <c r="AJ1656" s="24"/>
      <c r="AK1656" s="24"/>
      <c r="AL1656" s="24"/>
      <c r="AM1656" s="24"/>
      <c r="AN1656" s="24"/>
      <c r="AO1656" s="24"/>
      <c r="AP1656" s="24"/>
      <c r="AQ1656" s="24"/>
      <c r="AR1656" s="24"/>
      <c r="AS1656" s="24"/>
      <c r="AT1656" s="24"/>
      <c r="AU1656" s="24"/>
      <c r="AV1656" s="24"/>
      <c r="AW1656" s="24"/>
      <c r="AX1656" s="24"/>
    </row>
    <row r="1657" ht="15.75" customHeight="1">
      <c r="A1657" s="24"/>
      <c r="B1657" s="24"/>
      <c r="C1657" s="28"/>
      <c r="D1657" s="28"/>
      <c r="E1657" s="28"/>
      <c r="F1657" s="28"/>
      <c r="G1657" s="28"/>
      <c r="H1657" s="28"/>
      <c r="I1657" s="28"/>
      <c r="J1657" s="28"/>
      <c r="K1657" s="28"/>
      <c r="L1657" s="28"/>
      <c r="M1657" s="28"/>
      <c r="N1657" s="28"/>
      <c r="O1657" s="24"/>
      <c r="P1657" s="24"/>
      <c r="Q1657" s="24"/>
      <c r="R1657" s="24"/>
      <c r="S1657" s="24"/>
      <c r="T1657" s="24"/>
      <c r="U1657" s="24"/>
      <c r="V1657" s="24"/>
      <c r="W1657" s="24"/>
      <c r="X1657" s="24"/>
      <c r="Y1657" s="24"/>
      <c r="Z1657" s="24"/>
      <c r="AA1657" s="24"/>
      <c r="AB1657" s="24"/>
      <c r="AC1657" s="24"/>
      <c r="AD1657" s="24"/>
      <c r="AE1657" s="24"/>
      <c r="AF1657" s="24"/>
      <c r="AG1657" s="24"/>
      <c r="AH1657" s="24"/>
      <c r="AI1657" s="24"/>
      <c r="AJ1657" s="24"/>
      <c r="AK1657" s="24"/>
      <c r="AL1657" s="24"/>
      <c r="AM1657" s="24"/>
      <c r="AN1657" s="24"/>
      <c r="AO1657" s="24"/>
      <c r="AP1657" s="24"/>
      <c r="AQ1657" s="24"/>
      <c r="AR1657" s="24"/>
      <c r="AS1657" s="24"/>
      <c r="AT1657" s="24"/>
      <c r="AU1657" s="24"/>
      <c r="AV1657" s="24"/>
      <c r="AW1657" s="24"/>
      <c r="AX1657" s="24"/>
    </row>
    <row r="1658" ht="15.75" customHeight="1">
      <c r="A1658" s="24"/>
      <c r="B1658" s="24"/>
      <c r="C1658" s="28"/>
      <c r="D1658" s="28"/>
      <c r="E1658" s="28"/>
      <c r="F1658" s="28"/>
      <c r="G1658" s="28"/>
      <c r="H1658" s="28"/>
      <c r="I1658" s="28"/>
      <c r="J1658" s="28"/>
      <c r="K1658" s="28"/>
      <c r="L1658" s="28"/>
      <c r="M1658" s="28"/>
      <c r="N1658" s="28"/>
      <c r="O1658" s="24"/>
      <c r="P1658" s="24"/>
      <c r="Q1658" s="24"/>
      <c r="R1658" s="24"/>
      <c r="S1658" s="24"/>
      <c r="T1658" s="24"/>
      <c r="U1658" s="24"/>
      <c r="V1658" s="24"/>
      <c r="W1658" s="24"/>
      <c r="X1658" s="24"/>
      <c r="Y1658" s="24"/>
      <c r="Z1658" s="24"/>
      <c r="AA1658" s="24"/>
      <c r="AB1658" s="24"/>
      <c r="AC1658" s="24"/>
      <c r="AD1658" s="24"/>
      <c r="AE1658" s="24"/>
      <c r="AF1658" s="24"/>
      <c r="AG1658" s="24"/>
      <c r="AH1658" s="24"/>
      <c r="AI1658" s="24"/>
      <c r="AJ1658" s="24"/>
      <c r="AK1658" s="24"/>
      <c r="AL1658" s="24"/>
      <c r="AM1658" s="24"/>
      <c r="AN1658" s="24"/>
      <c r="AO1658" s="24"/>
      <c r="AP1658" s="24"/>
      <c r="AQ1658" s="24"/>
      <c r="AR1658" s="24"/>
      <c r="AS1658" s="24"/>
      <c r="AT1658" s="24"/>
      <c r="AU1658" s="24"/>
      <c r="AV1658" s="24"/>
      <c r="AW1658" s="24"/>
      <c r="AX1658" s="24"/>
    </row>
    <row r="1659" ht="15.75" customHeight="1">
      <c r="A1659" s="24"/>
      <c r="B1659" s="24"/>
      <c r="C1659" s="28"/>
      <c r="D1659" s="28"/>
      <c r="E1659" s="28"/>
      <c r="F1659" s="28"/>
      <c r="G1659" s="28"/>
      <c r="H1659" s="28"/>
      <c r="I1659" s="28"/>
      <c r="J1659" s="28"/>
      <c r="K1659" s="28"/>
      <c r="L1659" s="28"/>
      <c r="M1659" s="28"/>
      <c r="N1659" s="28"/>
      <c r="O1659" s="24"/>
      <c r="P1659" s="24"/>
      <c r="Q1659" s="24"/>
      <c r="R1659" s="24"/>
      <c r="S1659" s="24"/>
      <c r="T1659" s="24"/>
      <c r="U1659" s="24"/>
      <c r="V1659" s="24"/>
      <c r="W1659" s="24"/>
      <c r="X1659" s="24"/>
      <c r="Y1659" s="24"/>
      <c r="Z1659" s="24"/>
      <c r="AA1659" s="24"/>
      <c r="AB1659" s="24"/>
      <c r="AC1659" s="24"/>
      <c r="AD1659" s="24"/>
      <c r="AE1659" s="24"/>
      <c r="AF1659" s="24"/>
      <c r="AG1659" s="24"/>
      <c r="AH1659" s="24"/>
      <c r="AI1659" s="24"/>
      <c r="AJ1659" s="24"/>
      <c r="AK1659" s="24"/>
      <c r="AL1659" s="24"/>
      <c r="AM1659" s="24"/>
      <c r="AN1659" s="24"/>
      <c r="AO1659" s="24"/>
      <c r="AP1659" s="24"/>
      <c r="AQ1659" s="24"/>
      <c r="AR1659" s="24"/>
      <c r="AS1659" s="24"/>
      <c r="AT1659" s="24"/>
      <c r="AU1659" s="24"/>
      <c r="AV1659" s="24"/>
      <c r="AW1659" s="24"/>
      <c r="AX1659" s="24"/>
    </row>
    <row r="1660" ht="15.75" customHeight="1">
      <c r="A1660" s="24"/>
      <c r="B1660" s="24"/>
      <c r="C1660" s="28"/>
      <c r="D1660" s="28"/>
      <c r="E1660" s="28"/>
      <c r="F1660" s="28"/>
      <c r="G1660" s="28"/>
      <c r="H1660" s="28"/>
      <c r="I1660" s="28"/>
      <c r="J1660" s="28"/>
      <c r="K1660" s="28"/>
      <c r="L1660" s="28"/>
      <c r="M1660" s="28"/>
      <c r="N1660" s="28"/>
      <c r="O1660" s="24"/>
      <c r="P1660" s="24"/>
      <c r="Q1660" s="24"/>
      <c r="R1660" s="24"/>
      <c r="S1660" s="24"/>
      <c r="T1660" s="24"/>
      <c r="U1660" s="24"/>
      <c r="V1660" s="24"/>
      <c r="W1660" s="24"/>
      <c r="X1660" s="24"/>
      <c r="Y1660" s="24"/>
      <c r="Z1660" s="24"/>
      <c r="AA1660" s="24"/>
      <c r="AB1660" s="24"/>
      <c r="AC1660" s="24"/>
      <c r="AD1660" s="24"/>
      <c r="AE1660" s="24"/>
      <c r="AF1660" s="24"/>
      <c r="AG1660" s="24"/>
      <c r="AH1660" s="24"/>
      <c r="AI1660" s="24"/>
      <c r="AJ1660" s="24"/>
      <c r="AK1660" s="24"/>
      <c r="AL1660" s="24"/>
      <c r="AM1660" s="24"/>
      <c r="AN1660" s="24"/>
      <c r="AO1660" s="24"/>
      <c r="AP1660" s="24"/>
      <c r="AQ1660" s="24"/>
      <c r="AR1660" s="24"/>
      <c r="AS1660" s="24"/>
      <c r="AT1660" s="24"/>
      <c r="AU1660" s="24"/>
      <c r="AV1660" s="24"/>
      <c r="AW1660" s="24"/>
      <c r="AX1660" s="24"/>
    </row>
    <row r="1661" ht="15.75" customHeight="1">
      <c r="A1661" s="24"/>
      <c r="B1661" s="24"/>
      <c r="C1661" s="28"/>
      <c r="D1661" s="28"/>
      <c r="E1661" s="28"/>
      <c r="F1661" s="28"/>
      <c r="G1661" s="28"/>
      <c r="H1661" s="28"/>
      <c r="I1661" s="28"/>
      <c r="J1661" s="28"/>
      <c r="K1661" s="28"/>
      <c r="L1661" s="28"/>
      <c r="M1661" s="28"/>
      <c r="N1661" s="28"/>
      <c r="O1661" s="24"/>
      <c r="P1661" s="24"/>
      <c r="Q1661" s="24"/>
      <c r="R1661" s="24"/>
      <c r="S1661" s="24"/>
      <c r="T1661" s="24"/>
      <c r="U1661" s="24"/>
      <c r="V1661" s="24"/>
      <c r="W1661" s="24"/>
      <c r="X1661" s="24"/>
      <c r="Y1661" s="24"/>
      <c r="Z1661" s="24"/>
      <c r="AA1661" s="24"/>
      <c r="AB1661" s="24"/>
      <c r="AC1661" s="24"/>
      <c r="AD1661" s="24"/>
      <c r="AE1661" s="24"/>
      <c r="AF1661" s="24"/>
      <c r="AG1661" s="24"/>
      <c r="AH1661" s="24"/>
      <c r="AI1661" s="24"/>
      <c r="AJ1661" s="24"/>
      <c r="AK1661" s="24"/>
      <c r="AL1661" s="24"/>
      <c r="AM1661" s="24"/>
      <c r="AN1661" s="24"/>
      <c r="AO1661" s="24"/>
      <c r="AP1661" s="24"/>
      <c r="AQ1661" s="24"/>
      <c r="AR1661" s="24"/>
      <c r="AS1661" s="24"/>
      <c r="AT1661" s="24"/>
      <c r="AU1661" s="24"/>
      <c r="AV1661" s="24"/>
      <c r="AW1661" s="24"/>
      <c r="AX1661" s="24"/>
    </row>
    <row r="1662" ht="15.75" customHeight="1">
      <c r="A1662" s="24"/>
      <c r="B1662" s="24"/>
      <c r="C1662" s="28"/>
      <c r="D1662" s="28"/>
      <c r="E1662" s="28"/>
      <c r="F1662" s="28"/>
      <c r="G1662" s="28"/>
      <c r="H1662" s="28"/>
      <c r="I1662" s="28"/>
      <c r="J1662" s="28"/>
      <c r="K1662" s="28"/>
      <c r="L1662" s="28"/>
      <c r="M1662" s="28"/>
      <c r="N1662" s="28"/>
      <c r="O1662" s="24"/>
      <c r="P1662" s="24"/>
      <c r="Q1662" s="24"/>
      <c r="R1662" s="24"/>
      <c r="S1662" s="24"/>
      <c r="T1662" s="24"/>
      <c r="U1662" s="24"/>
      <c r="V1662" s="24"/>
      <c r="W1662" s="24"/>
      <c r="X1662" s="24"/>
      <c r="Y1662" s="24"/>
      <c r="Z1662" s="24"/>
      <c r="AA1662" s="24"/>
      <c r="AB1662" s="24"/>
      <c r="AC1662" s="24"/>
      <c r="AD1662" s="24"/>
      <c r="AE1662" s="24"/>
      <c r="AF1662" s="24"/>
      <c r="AG1662" s="24"/>
      <c r="AH1662" s="24"/>
      <c r="AI1662" s="24"/>
      <c r="AJ1662" s="24"/>
      <c r="AK1662" s="24"/>
      <c r="AL1662" s="24"/>
      <c r="AM1662" s="24"/>
      <c r="AN1662" s="24"/>
      <c r="AO1662" s="24"/>
      <c r="AP1662" s="24"/>
      <c r="AQ1662" s="24"/>
      <c r="AR1662" s="24"/>
      <c r="AS1662" s="24"/>
      <c r="AT1662" s="24"/>
      <c r="AU1662" s="24"/>
      <c r="AV1662" s="24"/>
      <c r="AW1662" s="24"/>
      <c r="AX1662" s="24"/>
    </row>
    <row r="1663" ht="15.75" customHeight="1">
      <c r="A1663" s="24"/>
      <c r="B1663" s="24"/>
      <c r="C1663" s="28"/>
      <c r="D1663" s="28"/>
      <c r="E1663" s="28"/>
      <c r="F1663" s="28"/>
      <c r="G1663" s="28"/>
      <c r="H1663" s="28"/>
      <c r="I1663" s="28"/>
      <c r="J1663" s="28"/>
      <c r="K1663" s="28"/>
      <c r="L1663" s="28"/>
      <c r="M1663" s="28"/>
      <c r="N1663" s="28"/>
      <c r="O1663" s="24"/>
      <c r="P1663" s="24"/>
      <c r="Q1663" s="24"/>
      <c r="R1663" s="24"/>
      <c r="S1663" s="24"/>
      <c r="T1663" s="24"/>
      <c r="U1663" s="24"/>
      <c r="V1663" s="24"/>
      <c r="W1663" s="24"/>
      <c r="X1663" s="24"/>
      <c r="Y1663" s="24"/>
      <c r="Z1663" s="24"/>
      <c r="AA1663" s="24"/>
      <c r="AB1663" s="24"/>
      <c r="AC1663" s="24"/>
      <c r="AD1663" s="24"/>
      <c r="AE1663" s="24"/>
      <c r="AF1663" s="24"/>
      <c r="AG1663" s="24"/>
      <c r="AH1663" s="24"/>
      <c r="AI1663" s="24"/>
      <c r="AJ1663" s="24"/>
      <c r="AK1663" s="24"/>
      <c r="AL1663" s="24"/>
      <c r="AM1663" s="24"/>
      <c r="AN1663" s="24"/>
      <c r="AO1663" s="24"/>
      <c r="AP1663" s="24"/>
      <c r="AQ1663" s="24"/>
      <c r="AR1663" s="24"/>
      <c r="AS1663" s="24"/>
      <c r="AT1663" s="24"/>
      <c r="AU1663" s="24"/>
      <c r="AV1663" s="24"/>
      <c r="AW1663" s="24"/>
      <c r="AX1663" s="24"/>
    </row>
    <row r="1664" ht="15.75" customHeight="1">
      <c r="A1664" s="24"/>
      <c r="B1664" s="24"/>
      <c r="C1664" s="28"/>
      <c r="D1664" s="28"/>
      <c r="E1664" s="28"/>
      <c r="F1664" s="28"/>
      <c r="G1664" s="28"/>
      <c r="H1664" s="28"/>
      <c r="I1664" s="28"/>
      <c r="J1664" s="28"/>
      <c r="K1664" s="28"/>
      <c r="L1664" s="28"/>
      <c r="M1664" s="28"/>
      <c r="N1664" s="28"/>
      <c r="O1664" s="24"/>
      <c r="P1664" s="24"/>
      <c r="Q1664" s="24"/>
      <c r="R1664" s="24"/>
      <c r="S1664" s="24"/>
      <c r="T1664" s="24"/>
      <c r="U1664" s="24"/>
      <c r="V1664" s="24"/>
      <c r="W1664" s="24"/>
      <c r="X1664" s="24"/>
      <c r="Y1664" s="24"/>
      <c r="Z1664" s="24"/>
      <c r="AA1664" s="24"/>
      <c r="AB1664" s="24"/>
      <c r="AC1664" s="24"/>
      <c r="AD1664" s="24"/>
      <c r="AE1664" s="24"/>
      <c r="AF1664" s="24"/>
      <c r="AG1664" s="24"/>
      <c r="AH1664" s="24"/>
      <c r="AI1664" s="24"/>
      <c r="AJ1664" s="24"/>
      <c r="AK1664" s="24"/>
      <c r="AL1664" s="24"/>
      <c r="AM1664" s="24"/>
      <c r="AN1664" s="24"/>
      <c r="AO1664" s="24"/>
      <c r="AP1664" s="24"/>
      <c r="AQ1664" s="24"/>
      <c r="AR1664" s="24"/>
      <c r="AS1664" s="24"/>
      <c r="AT1664" s="24"/>
      <c r="AU1664" s="24"/>
      <c r="AV1664" s="24"/>
      <c r="AW1664" s="24"/>
      <c r="AX1664" s="24"/>
    </row>
    <row r="1665" ht="15.75" customHeight="1">
      <c r="A1665" s="24"/>
      <c r="B1665" s="24"/>
      <c r="C1665" s="28"/>
      <c r="D1665" s="28"/>
      <c r="E1665" s="28"/>
      <c r="F1665" s="28"/>
      <c r="G1665" s="28"/>
      <c r="H1665" s="28"/>
      <c r="I1665" s="28"/>
      <c r="J1665" s="28"/>
      <c r="K1665" s="28"/>
      <c r="L1665" s="28"/>
      <c r="M1665" s="28"/>
      <c r="N1665" s="28"/>
      <c r="O1665" s="24"/>
      <c r="P1665" s="24"/>
      <c r="Q1665" s="24"/>
      <c r="R1665" s="24"/>
      <c r="S1665" s="24"/>
      <c r="T1665" s="24"/>
      <c r="U1665" s="24"/>
      <c r="V1665" s="24"/>
      <c r="W1665" s="24"/>
      <c r="X1665" s="24"/>
      <c r="Y1665" s="24"/>
      <c r="Z1665" s="24"/>
      <c r="AA1665" s="24"/>
      <c r="AB1665" s="24"/>
      <c r="AC1665" s="24"/>
      <c r="AD1665" s="24"/>
      <c r="AE1665" s="24"/>
      <c r="AF1665" s="24"/>
      <c r="AG1665" s="24"/>
      <c r="AH1665" s="24"/>
      <c r="AI1665" s="24"/>
      <c r="AJ1665" s="24"/>
      <c r="AK1665" s="24"/>
      <c r="AL1665" s="24"/>
      <c r="AM1665" s="24"/>
      <c r="AN1665" s="24"/>
      <c r="AO1665" s="24"/>
      <c r="AP1665" s="24"/>
      <c r="AQ1665" s="24"/>
      <c r="AR1665" s="24"/>
      <c r="AS1665" s="24"/>
      <c r="AT1665" s="24"/>
      <c r="AU1665" s="24"/>
      <c r="AV1665" s="24"/>
      <c r="AW1665" s="24"/>
      <c r="AX1665" s="24"/>
    </row>
    <row r="1666" ht="15.75" customHeight="1">
      <c r="A1666" s="24"/>
      <c r="B1666" s="24"/>
      <c r="C1666" s="28"/>
      <c r="D1666" s="28"/>
      <c r="E1666" s="28"/>
      <c r="F1666" s="28"/>
      <c r="G1666" s="28"/>
      <c r="H1666" s="28"/>
      <c r="I1666" s="28"/>
      <c r="J1666" s="28"/>
      <c r="K1666" s="28"/>
      <c r="L1666" s="28"/>
      <c r="M1666" s="28"/>
      <c r="N1666" s="28"/>
      <c r="O1666" s="24"/>
      <c r="P1666" s="24"/>
      <c r="Q1666" s="24"/>
      <c r="R1666" s="24"/>
      <c r="S1666" s="24"/>
      <c r="T1666" s="24"/>
      <c r="U1666" s="24"/>
      <c r="V1666" s="24"/>
      <c r="W1666" s="24"/>
      <c r="X1666" s="24"/>
      <c r="Y1666" s="24"/>
      <c r="Z1666" s="24"/>
      <c r="AA1666" s="24"/>
      <c r="AB1666" s="24"/>
      <c r="AC1666" s="24"/>
      <c r="AD1666" s="24"/>
      <c r="AE1666" s="24"/>
      <c r="AF1666" s="24"/>
      <c r="AG1666" s="24"/>
      <c r="AH1666" s="24"/>
      <c r="AI1666" s="24"/>
      <c r="AJ1666" s="24"/>
      <c r="AK1666" s="24"/>
      <c r="AL1666" s="24"/>
      <c r="AM1666" s="24"/>
      <c r="AN1666" s="24"/>
      <c r="AO1666" s="24"/>
      <c r="AP1666" s="24"/>
      <c r="AQ1666" s="24"/>
      <c r="AR1666" s="24"/>
      <c r="AS1666" s="24"/>
      <c r="AT1666" s="24"/>
      <c r="AU1666" s="24"/>
      <c r="AV1666" s="24"/>
      <c r="AW1666" s="24"/>
      <c r="AX1666" s="24"/>
    </row>
    <row r="1667" ht="15.75" customHeight="1">
      <c r="A1667" s="24"/>
      <c r="B1667" s="24"/>
      <c r="C1667" s="28"/>
      <c r="D1667" s="28"/>
      <c r="E1667" s="28"/>
      <c r="F1667" s="28"/>
      <c r="G1667" s="28"/>
      <c r="H1667" s="28"/>
      <c r="I1667" s="28"/>
      <c r="J1667" s="28"/>
      <c r="K1667" s="28"/>
      <c r="L1667" s="28"/>
      <c r="M1667" s="28"/>
      <c r="N1667" s="28"/>
      <c r="O1667" s="24"/>
      <c r="P1667" s="24"/>
      <c r="Q1667" s="24"/>
      <c r="R1667" s="24"/>
      <c r="S1667" s="24"/>
      <c r="T1667" s="24"/>
      <c r="U1667" s="24"/>
      <c r="V1667" s="24"/>
      <c r="W1667" s="24"/>
      <c r="X1667" s="24"/>
      <c r="Y1667" s="24"/>
      <c r="Z1667" s="24"/>
      <c r="AA1667" s="24"/>
      <c r="AB1667" s="24"/>
      <c r="AC1667" s="24"/>
      <c r="AD1667" s="24"/>
      <c r="AE1667" s="24"/>
      <c r="AF1667" s="24"/>
      <c r="AG1667" s="24"/>
      <c r="AH1667" s="24"/>
      <c r="AI1667" s="24"/>
      <c r="AJ1667" s="24"/>
      <c r="AK1667" s="24"/>
      <c r="AL1667" s="24"/>
      <c r="AM1667" s="24"/>
      <c r="AN1667" s="24"/>
      <c r="AO1667" s="24"/>
      <c r="AP1667" s="24"/>
      <c r="AQ1667" s="24"/>
      <c r="AR1667" s="24"/>
      <c r="AS1667" s="24"/>
      <c r="AT1667" s="24"/>
      <c r="AU1667" s="24"/>
      <c r="AV1667" s="24"/>
      <c r="AW1667" s="24"/>
      <c r="AX1667" s="24"/>
    </row>
    <row r="1668" ht="15.75" customHeight="1">
      <c r="A1668" s="24"/>
      <c r="B1668" s="24"/>
      <c r="C1668" s="28"/>
      <c r="D1668" s="28"/>
      <c r="E1668" s="28"/>
      <c r="F1668" s="28"/>
      <c r="G1668" s="28"/>
      <c r="H1668" s="28"/>
      <c r="I1668" s="28"/>
      <c r="J1668" s="28"/>
      <c r="K1668" s="28"/>
      <c r="L1668" s="28"/>
      <c r="M1668" s="28"/>
      <c r="N1668" s="28"/>
      <c r="O1668" s="24"/>
      <c r="P1668" s="24"/>
      <c r="Q1668" s="24"/>
      <c r="R1668" s="24"/>
      <c r="S1668" s="24"/>
      <c r="T1668" s="24"/>
      <c r="U1668" s="24"/>
      <c r="V1668" s="24"/>
      <c r="W1668" s="24"/>
      <c r="X1668" s="24"/>
      <c r="Y1668" s="24"/>
      <c r="Z1668" s="24"/>
      <c r="AA1668" s="24"/>
      <c r="AB1668" s="24"/>
      <c r="AC1668" s="24"/>
      <c r="AD1668" s="24"/>
      <c r="AE1668" s="24"/>
      <c r="AF1668" s="24"/>
      <c r="AG1668" s="24"/>
      <c r="AH1668" s="24"/>
      <c r="AI1668" s="24"/>
      <c r="AJ1668" s="24"/>
      <c r="AK1668" s="24"/>
      <c r="AL1668" s="24"/>
      <c r="AM1668" s="24"/>
      <c r="AN1668" s="24"/>
      <c r="AO1668" s="24"/>
      <c r="AP1668" s="24"/>
      <c r="AQ1668" s="24"/>
      <c r="AR1668" s="24"/>
      <c r="AS1668" s="24"/>
      <c r="AT1668" s="24"/>
      <c r="AU1668" s="24"/>
      <c r="AV1668" s="24"/>
      <c r="AW1668" s="24"/>
      <c r="AX1668" s="24"/>
    </row>
    <row r="1669" ht="15.75" customHeight="1">
      <c r="A1669" s="24"/>
      <c r="B1669" s="24"/>
      <c r="C1669" s="28"/>
      <c r="D1669" s="28"/>
      <c r="E1669" s="28"/>
      <c r="F1669" s="28"/>
      <c r="G1669" s="28"/>
      <c r="H1669" s="28"/>
      <c r="I1669" s="28"/>
      <c r="J1669" s="28"/>
      <c r="K1669" s="28"/>
      <c r="L1669" s="28"/>
      <c r="M1669" s="28"/>
      <c r="N1669" s="28"/>
      <c r="O1669" s="24"/>
      <c r="P1669" s="24"/>
      <c r="Q1669" s="24"/>
      <c r="R1669" s="24"/>
      <c r="S1669" s="24"/>
      <c r="T1669" s="24"/>
      <c r="U1669" s="24"/>
      <c r="V1669" s="24"/>
      <c r="W1669" s="24"/>
      <c r="X1669" s="24"/>
      <c r="Y1669" s="24"/>
      <c r="Z1669" s="24"/>
      <c r="AA1669" s="24"/>
      <c r="AB1669" s="24"/>
      <c r="AC1669" s="24"/>
      <c r="AD1669" s="24"/>
      <c r="AE1669" s="24"/>
      <c r="AF1669" s="24"/>
      <c r="AG1669" s="24"/>
      <c r="AH1669" s="24"/>
      <c r="AI1669" s="24"/>
      <c r="AJ1669" s="24"/>
      <c r="AK1669" s="24"/>
      <c r="AL1669" s="24"/>
      <c r="AM1669" s="24"/>
      <c r="AN1669" s="24"/>
      <c r="AO1669" s="24"/>
      <c r="AP1669" s="24"/>
      <c r="AQ1669" s="24"/>
      <c r="AR1669" s="24"/>
      <c r="AS1669" s="24"/>
      <c r="AT1669" s="24"/>
      <c r="AU1669" s="24"/>
      <c r="AV1669" s="24"/>
      <c r="AW1669" s="24"/>
      <c r="AX1669" s="24"/>
    </row>
    <row r="1670" ht="15.75" customHeight="1">
      <c r="A1670" s="24"/>
      <c r="B1670" s="24"/>
      <c r="C1670" s="28"/>
      <c r="D1670" s="28"/>
      <c r="E1670" s="28"/>
      <c r="F1670" s="28"/>
      <c r="G1670" s="28"/>
      <c r="H1670" s="28"/>
      <c r="I1670" s="28"/>
      <c r="J1670" s="28"/>
      <c r="K1670" s="28"/>
      <c r="L1670" s="28"/>
      <c r="M1670" s="28"/>
      <c r="N1670" s="28"/>
      <c r="O1670" s="24"/>
      <c r="P1670" s="24"/>
      <c r="Q1670" s="24"/>
      <c r="R1670" s="24"/>
      <c r="S1670" s="24"/>
      <c r="T1670" s="24"/>
      <c r="U1670" s="24"/>
      <c r="V1670" s="24"/>
      <c r="W1670" s="24"/>
      <c r="X1670" s="24"/>
      <c r="Y1670" s="24"/>
      <c r="Z1670" s="24"/>
      <c r="AA1670" s="24"/>
      <c r="AB1670" s="24"/>
      <c r="AC1670" s="24"/>
      <c r="AD1670" s="24"/>
      <c r="AE1670" s="24"/>
      <c r="AF1670" s="24"/>
      <c r="AG1670" s="24"/>
      <c r="AH1670" s="24"/>
      <c r="AI1670" s="24"/>
      <c r="AJ1670" s="24"/>
      <c r="AK1670" s="24"/>
      <c r="AL1670" s="24"/>
      <c r="AM1670" s="24"/>
      <c r="AN1670" s="24"/>
      <c r="AO1670" s="24"/>
      <c r="AP1670" s="24"/>
      <c r="AQ1670" s="24"/>
      <c r="AR1670" s="24"/>
      <c r="AS1670" s="24"/>
      <c r="AT1670" s="24"/>
      <c r="AU1670" s="24"/>
      <c r="AV1670" s="24"/>
      <c r="AW1670" s="24"/>
      <c r="AX1670" s="24"/>
    </row>
    <row r="1671" ht="15.75" customHeight="1">
      <c r="A1671" s="24"/>
      <c r="B1671" s="24"/>
      <c r="C1671" s="28"/>
      <c r="D1671" s="28"/>
      <c r="E1671" s="28"/>
      <c r="F1671" s="28"/>
      <c r="G1671" s="28"/>
      <c r="H1671" s="28"/>
      <c r="I1671" s="28"/>
      <c r="J1671" s="28"/>
      <c r="K1671" s="28"/>
      <c r="L1671" s="28"/>
      <c r="M1671" s="28"/>
      <c r="N1671" s="28"/>
      <c r="O1671" s="24"/>
      <c r="P1671" s="24"/>
      <c r="Q1671" s="24"/>
      <c r="R1671" s="24"/>
      <c r="S1671" s="24"/>
      <c r="T1671" s="24"/>
      <c r="U1671" s="24"/>
      <c r="V1671" s="24"/>
      <c r="W1671" s="24"/>
      <c r="X1671" s="24"/>
      <c r="Y1671" s="24"/>
      <c r="Z1671" s="24"/>
      <c r="AA1671" s="24"/>
      <c r="AB1671" s="24"/>
      <c r="AC1671" s="24"/>
      <c r="AD1671" s="24"/>
      <c r="AE1671" s="24"/>
      <c r="AF1671" s="24"/>
      <c r="AG1671" s="24"/>
      <c r="AH1671" s="24"/>
      <c r="AI1671" s="24"/>
      <c r="AJ1671" s="24"/>
      <c r="AK1671" s="24"/>
      <c r="AL1671" s="24"/>
      <c r="AM1671" s="24"/>
      <c r="AN1671" s="24"/>
      <c r="AO1671" s="24"/>
      <c r="AP1671" s="24"/>
      <c r="AQ1671" s="24"/>
      <c r="AR1671" s="24"/>
      <c r="AS1671" s="24"/>
      <c r="AT1671" s="24"/>
      <c r="AU1671" s="24"/>
      <c r="AV1671" s="24"/>
      <c r="AW1671" s="24"/>
      <c r="AX1671" s="24"/>
    </row>
    <row r="1672" ht="15.75" customHeight="1">
      <c r="A1672" s="24"/>
      <c r="B1672" s="24"/>
      <c r="C1672" s="28"/>
      <c r="D1672" s="28"/>
      <c r="E1672" s="28"/>
      <c r="F1672" s="28"/>
      <c r="G1672" s="28"/>
      <c r="H1672" s="28"/>
      <c r="I1672" s="28"/>
      <c r="J1672" s="28"/>
      <c r="K1672" s="28"/>
      <c r="L1672" s="28"/>
      <c r="M1672" s="28"/>
      <c r="N1672" s="28"/>
      <c r="O1672" s="24"/>
      <c r="P1672" s="24"/>
      <c r="Q1672" s="24"/>
      <c r="R1672" s="24"/>
      <c r="S1672" s="24"/>
      <c r="T1672" s="24"/>
      <c r="U1672" s="24"/>
      <c r="V1672" s="24"/>
      <c r="W1672" s="24"/>
      <c r="X1672" s="24"/>
      <c r="Y1672" s="24"/>
      <c r="Z1672" s="24"/>
      <c r="AA1672" s="24"/>
      <c r="AB1672" s="24"/>
      <c r="AC1672" s="24"/>
      <c r="AD1672" s="24"/>
      <c r="AE1672" s="24"/>
      <c r="AF1672" s="24"/>
      <c r="AG1672" s="24"/>
      <c r="AH1672" s="24"/>
      <c r="AI1672" s="24"/>
      <c r="AJ1672" s="24"/>
      <c r="AK1672" s="24"/>
      <c r="AL1672" s="24"/>
      <c r="AM1672" s="24"/>
      <c r="AN1672" s="24"/>
      <c r="AO1672" s="24"/>
      <c r="AP1672" s="24"/>
      <c r="AQ1672" s="24"/>
      <c r="AR1672" s="24"/>
      <c r="AS1672" s="24"/>
      <c r="AT1672" s="24"/>
      <c r="AU1672" s="24"/>
      <c r="AV1672" s="24"/>
      <c r="AW1672" s="24"/>
      <c r="AX1672" s="24"/>
    </row>
    <row r="1673" ht="15.75" customHeight="1">
      <c r="A1673" s="24"/>
      <c r="B1673" s="24"/>
      <c r="C1673" s="28"/>
      <c r="D1673" s="28"/>
      <c r="E1673" s="28"/>
      <c r="F1673" s="28"/>
      <c r="G1673" s="28"/>
      <c r="H1673" s="28"/>
      <c r="I1673" s="28"/>
      <c r="J1673" s="28"/>
      <c r="K1673" s="28"/>
      <c r="L1673" s="28"/>
      <c r="M1673" s="28"/>
      <c r="N1673" s="28"/>
      <c r="O1673" s="24"/>
      <c r="P1673" s="24"/>
      <c r="Q1673" s="24"/>
      <c r="R1673" s="24"/>
      <c r="S1673" s="24"/>
      <c r="T1673" s="24"/>
      <c r="U1673" s="24"/>
      <c r="V1673" s="24"/>
      <c r="W1673" s="24"/>
      <c r="X1673" s="24"/>
      <c r="Y1673" s="24"/>
      <c r="Z1673" s="24"/>
      <c r="AA1673" s="24"/>
      <c r="AB1673" s="24"/>
      <c r="AC1673" s="24"/>
      <c r="AD1673" s="24"/>
      <c r="AE1673" s="24"/>
      <c r="AF1673" s="24"/>
      <c r="AG1673" s="24"/>
      <c r="AH1673" s="24"/>
      <c r="AI1673" s="24"/>
      <c r="AJ1673" s="24"/>
      <c r="AK1673" s="24"/>
      <c r="AL1673" s="24"/>
      <c r="AM1673" s="24"/>
      <c r="AN1673" s="24"/>
      <c r="AO1673" s="24"/>
      <c r="AP1673" s="24"/>
      <c r="AQ1673" s="24"/>
      <c r="AR1673" s="24"/>
      <c r="AS1673" s="24"/>
      <c r="AT1673" s="24"/>
      <c r="AU1673" s="24"/>
      <c r="AV1673" s="24"/>
      <c r="AW1673" s="24"/>
      <c r="AX1673" s="24"/>
    </row>
    <row r="1674" ht="15.75" customHeight="1">
      <c r="A1674" s="24"/>
      <c r="B1674" s="24"/>
      <c r="C1674" s="28"/>
      <c r="D1674" s="28"/>
      <c r="E1674" s="28"/>
      <c r="F1674" s="28"/>
      <c r="G1674" s="28"/>
      <c r="H1674" s="28"/>
      <c r="I1674" s="28"/>
      <c r="J1674" s="28"/>
      <c r="K1674" s="28"/>
      <c r="L1674" s="28"/>
      <c r="M1674" s="28"/>
      <c r="N1674" s="28"/>
      <c r="O1674" s="24"/>
      <c r="P1674" s="24"/>
      <c r="Q1674" s="24"/>
      <c r="R1674" s="24"/>
      <c r="S1674" s="24"/>
      <c r="T1674" s="24"/>
      <c r="U1674" s="24"/>
      <c r="V1674" s="24"/>
      <c r="W1674" s="24"/>
      <c r="X1674" s="24"/>
      <c r="Y1674" s="24"/>
      <c r="Z1674" s="24"/>
      <c r="AA1674" s="24"/>
      <c r="AB1674" s="24"/>
      <c r="AC1674" s="24"/>
      <c r="AD1674" s="24"/>
      <c r="AE1674" s="24"/>
      <c r="AF1674" s="24"/>
      <c r="AG1674" s="24"/>
      <c r="AH1674" s="24"/>
      <c r="AI1674" s="24"/>
      <c r="AJ1674" s="24"/>
      <c r="AK1674" s="24"/>
      <c r="AL1674" s="24"/>
      <c r="AM1674" s="24"/>
      <c r="AN1674" s="24"/>
      <c r="AO1674" s="24"/>
      <c r="AP1674" s="24"/>
      <c r="AQ1674" s="24"/>
      <c r="AR1674" s="24"/>
      <c r="AS1674" s="24"/>
      <c r="AT1674" s="24"/>
      <c r="AU1674" s="24"/>
      <c r="AV1674" s="24"/>
      <c r="AW1674" s="24"/>
      <c r="AX1674" s="24"/>
    </row>
    <row r="1675" ht="15.75" customHeight="1">
      <c r="A1675" s="24"/>
      <c r="B1675" s="24"/>
      <c r="C1675" s="28"/>
      <c r="D1675" s="28"/>
      <c r="E1675" s="28"/>
      <c r="F1675" s="28"/>
      <c r="G1675" s="28"/>
      <c r="H1675" s="28"/>
      <c r="I1675" s="28"/>
      <c r="J1675" s="28"/>
      <c r="K1675" s="28"/>
      <c r="L1675" s="28"/>
      <c r="M1675" s="28"/>
      <c r="N1675" s="28"/>
      <c r="O1675" s="24"/>
      <c r="P1675" s="24"/>
      <c r="Q1675" s="24"/>
      <c r="R1675" s="24"/>
      <c r="S1675" s="24"/>
      <c r="T1675" s="24"/>
      <c r="U1675" s="24"/>
      <c r="V1675" s="24"/>
      <c r="W1675" s="24"/>
      <c r="X1675" s="24"/>
      <c r="Y1675" s="24"/>
      <c r="Z1675" s="24"/>
      <c r="AA1675" s="24"/>
      <c r="AB1675" s="24"/>
      <c r="AC1675" s="24"/>
      <c r="AD1675" s="24"/>
      <c r="AE1675" s="24"/>
      <c r="AF1675" s="24"/>
      <c r="AG1675" s="24"/>
      <c r="AH1675" s="24"/>
      <c r="AI1675" s="24"/>
      <c r="AJ1675" s="24"/>
      <c r="AK1675" s="24"/>
      <c r="AL1675" s="24"/>
      <c r="AM1675" s="24"/>
      <c r="AN1675" s="24"/>
      <c r="AO1675" s="24"/>
      <c r="AP1675" s="24"/>
      <c r="AQ1675" s="24"/>
      <c r="AR1675" s="24"/>
      <c r="AS1675" s="24"/>
      <c r="AT1675" s="24"/>
      <c r="AU1675" s="24"/>
      <c r="AV1675" s="24"/>
      <c r="AW1675" s="24"/>
      <c r="AX1675" s="24"/>
    </row>
    <row r="1676" ht="15.75" customHeight="1">
      <c r="A1676" s="24"/>
      <c r="B1676" s="24"/>
      <c r="C1676" s="28"/>
      <c r="D1676" s="28"/>
      <c r="E1676" s="28"/>
      <c r="F1676" s="28"/>
      <c r="G1676" s="28"/>
      <c r="H1676" s="28"/>
      <c r="I1676" s="28"/>
      <c r="J1676" s="28"/>
      <c r="K1676" s="28"/>
      <c r="L1676" s="28"/>
      <c r="M1676" s="28"/>
      <c r="N1676" s="28"/>
      <c r="O1676" s="24"/>
      <c r="P1676" s="24"/>
      <c r="Q1676" s="24"/>
      <c r="R1676" s="24"/>
      <c r="S1676" s="24"/>
      <c r="T1676" s="24"/>
      <c r="U1676" s="24"/>
      <c r="V1676" s="24"/>
      <c r="W1676" s="24"/>
      <c r="X1676" s="24"/>
      <c r="Y1676" s="24"/>
      <c r="Z1676" s="24"/>
      <c r="AA1676" s="24"/>
      <c r="AB1676" s="24"/>
      <c r="AC1676" s="24"/>
      <c r="AD1676" s="24"/>
      <c r="AE1676" s="24"/>
      <c r="AF1676" s="24"/>
      <c r="AG1676" s="24"/>
      <c r="AH1676" s="24"/>
      <c r="AI1676" s="24"/>
      <c r="AJ1676" s="24"/>
      <c r="AK1676" s="24"/>
      <c r="AL1676" s="24"/>
      <c r="AM1676" s="24"/>
      <c r="AN1676" s="24"/>
      <c r="AO1676" s="24"/>
      <c r="AP1676" s="24"/>
      <c r="AQ1676" s="24"/>
      <c r="AR1676" s="24"/>
      <c r="AS1676" s="24"/>
      <c r="AT1676" s="24"/>
      <c r="AU1676" s="24"/>
      <c r="AV1676" s="24"/>
      <c r="AW1676" s="24"/>
      <c r="AX1676" s="24"/>
    </row>
    <row r="1677" ht="15.75" customHeight="1">
      <c r="A1677" s="24"/>
      <c r="B1677" s="24"/>
      <c r="C1677" s="28"/>
      <c r="D1677" s="28"/>
      <c r="E1677" s="28"/>
      <c r="F1677" s="28"/>
      <c r="G1677" s="28"/>
      <c r="H1677" s="28"/>
      <c r="I1677" s="28"/>
      <c r="J1677" s="28"/>
      <c r="K1677" s="28"/>
      <c r="L1677" s="28"/>
      <c r="M1677" s="28"/>
      <c r="N1677" s="28"/>
      <c r="O1677" s="24"/>
      <c r="P1677" s="24"/>
      <c r="Q1677" s="24"/>
      <c r="R1677" s="24"/>
      <c r="S1677" s="24"/>
      <c r="T1677" s="24"/>
      <c r="U1677" s="24"/>
      <c r="V1677" s="24"/>
      <c r="W1677" s="24"/>
      <c r="X1677" s="24"/>
      <c r="Y1677" s="24"/>
      <c r="Z1677" s="24"/>
      <c r="AA1677" s="24"/>
      <c r="AB1677" s="24"/>
      <c r="AC1677" s="24"/>
      <c r="AD1677" s="24"/>
      <c r="AE1677" s="24"/>
      <c r="AF1677" s="24"/>
      <c r="AG1677" s="24"/>
      <c r="AH1677" s="24"/>
      <c r="AI1677" s="24"/>
      <c r="AJ1677" s="24"/>
      <c r="AK1677" s="24"/>
      <c r="AL1677" s="24"/>
      <c r="AM1677" s="24"/>
      <c r="AN1677" s="24"/>
      <c r="AO1677" s="24"/>
      <c r="AP1677" s="24"/>
      <c r="AQ1677" s="24"/>
      <c r="AR1677" s="24"/>
      <c r="AS1677" s="24"/>
      <c r="AT1677" s="24"/>
      <c r="AU1677" s="24"/>
      <c r="AV1677" s="24"/>
      <c r="AW1677" s="24"/>
      <c r="AX1677" s="24"/>
    </row>
    <row r="1678" ht="15.75" customHeight="1">
      <c r="A1678" s="24"/>
      <c r="B1678" s="24"/>
      <c r="C1678" s="28"/>
      <c r="D1678" s="28"/>
      <c r="E1678" s="28"/>
      <c r="F1678" s="28"/>
      <c r="G1678" s="28"/>
      <c r="H1678" s="28"/>
      <c r="I1678" s="28"/>
      <c r="J1678" s="28"/>
      <c r="K1678" s="28"/>
      <c r="L1678" s="28"/>
      <c r="M1678" s="28"/>
      <c r="N1678" s="28"/>
      <c r="O1678" s="24"/>
      <c r="P1678" s="24"/>
      <c r="Q1678" s="24"/>
      <c r="R1678" s="24"/>
      <c r="S1678" s="24"/>
      <c r="T1678" s="24"/>
      <c r="U1678" s="24"/>
      <c r="V1678" s="24"/>
      <c r="W1678" s="24"/>
      <c r="X1678" s="24"/>
      <c r="Y1678" s="24"/>
      <c r="Z1678" s="24"/>
      <c r="AA1678" s="24"/>
      <c r="AB1678" s="24"/>
      <c r="AC1678" s="24"/>
      <c r="AD1678" s="24"/>
      <c r="AE1678" s="24"/>
      <c r="AF1678" s="24"/>
      <c r="AG1678" s="24"/>
      <c r="AH1678" s="24"/>
      <c r="AI1678" s="24"/>
      <c r="AJ1678" s="24"/>
      <c r="AK1678" s="24"/>
      <c r="AL1678" s="24"/>
      <c r="AM1678" s="24"/>
      <c r="AN1678" s="24"/>
      <c r="AO1678" s="24"/>
      <c r="AP1678" s="24"/>
      <c r="AQ1678" s="24"/>
      <c r="AR1678" s="24"/>
      <c r="AS1678" s="24"/>
      <c r="AT1678" s="24"/>
      <c r="AU1678" s="24"/>
      <c r="AV1678" s="24"/>
      <c r="AW1678" s="24"/>
      <c r="AX1678" s="24"/>
    </row>
    <row r="1679" ht="15.75" customHeight="1">
      <c r="A1679" s="24"/>
      <c r="B1679" s="24"/>
      <c r="C1679" s="28"/>
      <c r="D1679" s="28"/>
      <c r="E1679" s="28"/>
      <c r="F1679" s="28"/>
      <c r="G1679" s="28"/>
      <c r="H1679" s="28"/>
      <c r="I1679" s="28"/>
      <c r="J1679" s="28"/>
      <c r="K1679" s="28"/>
      <c r="L1679" s="28"/>
      <c r="M1679" s="28"/>
      <c r="N1679" s="28"/>
      <c r="O1679" s="24"/>
      <c r="P1679" s="24"/>
      <c r="Q1679" s="24"/>
      <c r="R1679" s="24"/>
      <c r="S1679" s="24"/>
      <c r="T1679" s="24"/>
      <c r="U1679" s="24"/>
      <c r="V1679" s="24"/>
      <c r="W1679" s="24"/>
      <c r="X1679" s="24"/>
      <c r="Y1679" s="24"/>
      <c r="Z1679" s="24"/>
      <c r="AA1679" s="24"/>
      <c r="AB1679" s="24"/>
      <c r="AC1679" s="24"/>
      <c r="AD1679" s="24"/>
      <c r="AE1679" s="24"/>
      <c r="AF1679" s="24"/>
      <c r="AG1679" s="24"/>
      <c r="AH1679" s="24"/>
      <c r="AI1679" s="24"/>
      <c r="AJ1679" s="24"/>
      <c r="AK1679" s="24"/>
      <c r="AL1679" s="24"/>
      <c r="AM1679" s="24"/>
      <c r="AN1679" s="24"/>
      <c r="AO1679" s="24"/>
      <c r="AP1679" s="24"/>
      <c r="AQ1679" s="24"/>
      <c r="AR1679" s="24"/>
      <c r="AS1679" s="24"/>
      <c r="AT1679" s="24"/>
      <c r="AU1679" s="24"/>
      <c r="AV1679" s="24"/>
      <c r="AW1679" s="24"/>
      <c r="AX1679" s="24"/>
    </row>
    <row r="1680" ht="15.75" customHeight="1">
      <c r="A1680" s="24"/>
      <c r="B1680" s="24"/>
      <c r="C1680" s="28"/>
      <c r="D1680" s="28"/>
      <c r="E1680" s="28"/>
      <c r="F1680" s="28"/>
      <c r="G1680" s="28"/>
      <c r="H1680" s="28"/>
      <c r="I1680" s="28"/>
      <c r="J1680" s="28"/>
      <c r="K1680" s="28"/>
      <c r="L1680" s="28"/>
      <c r="M1680" s="28"/>
      <c r="N1680" s="28"/>
      <c r="O1680" s="24"/>
      <c r="P1680" s="24"/>
      <c r="Q1680" s="24"/>
      <c r="R1680" s="24"/>
      <c r="S1680" s="24"/>
      <c r="T1680" s="24"/>
      <c r="U1680" s="24"/>
      <c r="V1680" s="24"/>
      <c r="W1680" s="24"/>
      <c r="X1680" s="24"/>
      <c r="Y1680" s="24"/>
      <c r="Z1680" s="24"/>
      <c r="AA1680" s="24"/>
      <c r="AB1680" s="24"/>
      <c r="AC1680" s="24"/>
      <c r="AD1680" s="24"/>
      <c r="AE1680" s="24"/>
      <c r="AF1680" s="24"/>
      <c r="AG1680" s="24"/>
      <c r="AH1680" s="24"/>
      <c r="AI1680" s="24"/>
      <c r="AJ1680" s="24"/>
      <c r="AK1680" s="24"/>
      <c r="AL1680" s="24"/>
      <c r="AM1680" s="24"/>
      <c r="AN1680" s="24"/>
      <c r="AO1680" s="24"/>
      <c r="AP1680" s="24"/>
      <c r="AQ1680" s="24"/>
      <c r="AR1680" s="24"/>
      <c r="AS1680" s="24"/>
      <c r="AT1680" s="24"/>
      <c r="AU1680" s="24"/>
      <c r="AV1680" s="24"/>
      <c r="AW1680" s="24"/>
      <c r="AX1680" s="24"/>
    </row>
    <row r="1681" ht="15.75" customHeight="1">
      <c r="A1681" s="24"/>
      <c r="B1681" s="24"/>
      <c r="C1681" s="28"/>
      <c r="D1681" s="28"/>
      <c r="E1681" s="28"/>
      <c r="F1681" s="28"/>
      <c r="G1681" s="28"/>
      <c r="H1681" s="28"/>
      <c r="I1681" s="28"/>
      <c r="J1681" s="28"/>
      <c r="K1681" s="28"/>
      <c r="L1681" s="28"/>
      <c r="M1681" s="28"/>
      <c r="N1681" s="28"/>
      <c r="O1681" s="24"/>
      <c r="P1681" s="24"/>
      <c r="Q1681" s="24"/>
      <c r="R1681" s="24"/>
      <c r="S1681" s="24"/>
      <c r="T1681" s="24"/>
      <c r="U1681" s="24"/>
      <c r="V1681" s="24"/>
      <c r="W1681" s="24"/>
      <c r="X1681" s="24"/>
      <c r="Y1681" s="24"/>
      <c r="Z1681" s="24"/>
      <c r="AA1681" s="24"/>
      <c r="AB1681" s="24"/>
      <c r="AC1681" s="24"/>
      <c r="AD1681" s="24"/>
      <c r="AE1681" s="24"/>
      <c r="AF1681" s="24"/>
      <c r="AG1681" s="24"/>
      <c r="AH1681" s="24"/>
      <c r="AI1681" s="24"/>
      <c r="AJ1681" s="24"/>
      <c r="AK1681" s="24"/>
      <c r="AL1681" s="24"/>
      <c r="AM1681" s="24"/>
      <c r="AN1681" s="24"/>
      <c r="AO1681" s="24"/>
      <c r="AP1681" s="24"/>
      <c r="AQ1681" s="24"/>
      <c r="AR1681" s="24"/>
      <c r="AS1681" s="24"/>
      <c r="AT1681" s="24"/>
      <c r="AU1681" s="24"/>
      <c r="AV1681" s="24"/>
      <c r="AW1681" s="24"/>
      <c r="AX1681" s="24"/>
    </row>
    <row r="1682" ht="15.75" customHeight="1">
      <c r="A1682" s="24"/>
      <c r="B1682" s="24"/>
      <c r="C1682" s="28"/>
      <c r="D1682" s="28"/>
      <c r="E1682" s="28"/>
      <c r="F1682" s="28"/>
      <c r="G1682" s="28"/>
      <c r="H1682" s="28"/>
      <c r="I1682" s="28"/>
      <c r="J1682" s="28"/>
      <c r="K1682" s="28"/>
      <c r="L1682" s="28"/>
      <c r="M1682" s="28"/>
      <c r="N1682" s="28"/>
      <c r="O1682" s="24"/>
      <c r="P1682" s="24"/>
      <c r="Q1682" s="24"/>
      <c r="R1682" s="24"/>
      <c r="S1682" s="24"/>
      <c r="T1682" s="24"/>
      <c r="U1682" s="24"/>
      <c r="V1682" s="24"/>
      <c r="W1682" s="24"/>
      <c r="X1682" s="24"/>
      <c r="Y1682" s="24"/>
      <c r="Z1682" s="24"/>
      <c r="AA1682" s="24"/>
      <c r="AB1682" s="24"/>
      <c r="AC1682" s="24"/>
      <c r="AD1682" s="24"/>
      <c r="AE1682" s="24"/>
      <c r="AF1682" s="24"/>
      <c r="AG1682" s="24"/>
      <c r="AH1682" s="24"/>
      <c r="AI1682" s="24"/>
      <c r="AJ1682" s="24"/>
      <c r="AK1682" s="24"/>
      <c r="AL1682" s="24"/>
      <c r="AM1682" s="24"/>
      <c r="AN1682" s="24"/>
      <c r="AO1682" s="24"/>
      <c r="AP1682" s="24"/>
      <c r="AQ1682" s="24"/>
      <c r="AR1682" s="24"/>
      <c r="AS1682" s="24"/>
      <c r="AT1682" s="24"/>
      <c r="AU1682" s="24"/>
      <c r="AV1682" s="24"/>
      <c r="AW1682" s="24"/>
      <c r="AX1682" s="24"/>
    </row>
    <row r="1683" ht="15.75" customHeight="1">
      <c r="A1683" s="24"/>
      <c r="B1683" s="24"/>
      <c r="C1683" s="28"/>
      <c r="D1683" s="28"/>
      <c r="E1683" s="28"/>
      <c r="F1683" s="28"/>
      <c r="G1683" s="28"/>
      <c r="H1683" s="28"/>
      <c r="I1683" s="28"/>
      <c r="J1683" s="28"/>
      <c r="K1683" s="28"/>
      <c r="L1683" s="28"/>
      <c r="M1683" s="28"/>
      <c r="N1683" s="28"/>
      <c r="O1683" s="24"/>
      <c r="P1683" s="24"/>
      <c r="Q1683" s="24"/>
      <c r="R1683" s="24"/>
      <c r="S1683" s="24"/>
      <c r="T1683" s="24"/>
      <c r="U1683" s="24"/>
      <c r="V1683" s="24"/>
      <c r="W1683" s="24"/>
      <c r="X1683" s="24"/>
      <c r="Y1683" s="24"/>
      <c r="Z1683" s="24"/>
      <c r="AA1683" s="24"/>
      <c r="AB1683" s="24"/>
      <c r="AC1683" s="24"/>
      <c r="AD1683" s="24"/>
      <c r="AE1683" s="24"/>
      <c r="AF1683" s="24"/>
      <c r="AG1683" s="24"/>
      <c r="AH1683" s="24"/>
      <c r="AI1683" s="24"/>
      <c r="AJ1683" s="24"/>
      <c r="AK1683" s="24"/>
      <c r="AL1683" s="24"/>
      <c r="AM1683" s="24"/>
      <c r="AN1683" s="24"/>
      <c r="AO1683" s="24"/>
      <c r="AP1683" s="24"/>
      <c r="AQ1683" s="24"/>
      <c r="AR1683" s="24"/>
      <c r="AS1683" s="24"/>
      <c r="AT1683" s="24"/>
      <c r="AU1683" s="24"/>
      <c r="AV1683" s="24"/>
      <c r="AW1683" s="24"/>
      <c r="AX1683" s="24"/>
    </row>
    <row r="1684" ht="15.75" customHeight="1">
      <c r="A1684" s="24"/>
      <c r="B1684" s="24"/>
      <c r="C1684" s="28"/>
      <c r="D1684" s="28"/>
      <c r="E1684" s="28"/>
      <c r="F1684" s="28"/>
      <c r="G1684" s="28"/>
      <c r="H1684" s="28"/>
      <c r="I1684" s="28"/>
      <c r="J1684" s="28"/>
      <c r="K1684" s="28"/>
      <c r="L1684" s="28"/>
      <c r="M1684" s="28"/>
      <c r="N1684" s="28"/>
      <c r="O1684" s="24"/>
      <c r="P1684" s="24"/>
      <c r="Q1684" s="24"/>
      <c r="R1684" s="24"/>
      <c r="S1684" s="24"/>
      <c r="T1684" s="24"/>
      <c r="U1684" s="24"/>
      <c r="V1684" s="24"/>
      <c r="W1684" s="24"/>
      <c r="X1684" s="24"/>
      <c r="Y1684" s="24"/>
      <c r="Z1684" s="24"/>
      <c r="AA1684" s="24"/>
      <c r="AB1684" s="24"/>
      <c r="AC1684" s="24"/>
      <c r="AD1684" s="24"/>
      <c r="AE1684" s="24"/>
      <c r="AF1684" s="24"/>
      <c r="AG1684" s="24"/>
      <c r="AH1684" s="24"/>
      <c r="AI1684" s="24"/>
      <c r="AJ1684" s="24"/>
      <c r="AK1684" s="24"/>
      <c r="AL1684" s="24"/>
      <c r="AM1684" s="24"/>
      <c r="AN1684" s="24"/>
      <c r="AO1684" s="24"/>
      <c r="AP1684" s="24"/>
      <c r="AQ1684" s="24"/>
      <c r="AR1684" s="24"/>
      <c r="AS1684" s="24"/>
      <c r="AT1684" s="24"/>
      <c r="AU1684" s="24"/>
      <c r="AV1684" s="24"/>
      <c r="AW1684" s="24"/>
      <c r="AX1684" s="24"/>
    </row>
    <row r="1685" ht="15.75" customHeight="1">
      <c r="A1685" s="24"/>
      <c r="B1685" s="24"/>
      <c r="C1685" s="28"/>
      <c r="D1685" s="28"/>
      <c r="E1685" s="28"/>
      <c r="F1685" s="28"/>
      <c r="G1685" s="28"/>
      <c r="H1685" s="28"/>
      <c r="I1685" s="28"/>
      <c r="J1685" s="28"/>
      <c r="K1685" s="28"/>
      <c r="L1685" s="28"/>
      <c r="M1685" s="28"/>
      <c r="N1685" s="28"/>
      <c r="O1685" s="24"/>
      <c r="P1685" s="24"/>
      <c r="Q1685" s="24"/>
      <c r="R1685" s="24"/>
      <c r="S1685" s="24"/>
      <c r="T1685" s="24"/>
      <c r="U1685" s="24"/>
      <c r="V1685" s="24"/>
      <c r="W1685" s="24"/>
      <c r="X1685" s="24"/>
      <c r="Y1685" s="24"/>
      <c r="Z1685" s="24"/>
      <c r="AA1685" s="24"/>
      <c r="AB1685" s="24"/>
      <c r="AC1685" s="24"/>
      <c r="AD1685" s="24"/>
      <c r="AE1685" s="24"/>
      <c r="AF1685" s="24"/>
      <c r="AG1685" s="24"/>
      <c r="AH1685" s="24"/>
      <c r="AI1685" s="24"/>
      <c r="AJ1685" s="24"/>
      <c r="AK1685" s="24"/>
      <c r="AL1685" s="24"/>
      <c r="AM1685" s="24"/>
      <c r="AN1685" s="24"/>
      <c r="AO1685" s="24"/>
      <c r="AP1685" s="24"/>
      <c r="AQ1685" s="24"/>
      <c r="AR1685" s="24"/>
      <c r="AS1685" s="24"/>
      <c r="AT1685" s="24"/>
      <c r="AU1685" s="24"/>
      <c r="AV1685" s="24"/>
      <c r="AW1685" s="24"/>
      <c r="AX1685" s="24"/>
    </row>
    <row r="1686" ht="15.75" customHeight="1">
      <c r="A1686" s="24"/>
      <c r="B1686" s="24"/>
      <c r="C1686" s="28"/>
      <c r="D1686" s="28"/>
      <c r="E1686" s="28"/>
      <c r="F1686" s="28"/>
      <c r="G1686" s="28"/>
      <c r="H1686" s="28"/>
      <c r="I1686" s="28"/>
      <c r="J1686" s="28"/>
      <c r="K1686" s="28"/>
      <c r="L1686" s="28"/>
      <c r="M1686" s="28"/>
      <c r="N1686" s="28"/>
      <c r="O1686" s="24"/>
      <c r="P1686" s="24"/>
      <c r="Q1686" s="24"/>
      <c r="R1686" s="24"/>
      <c r="S1686" s="24"/>
      <c r="T1686" s="24"/>
      <c r="U1686" s="24"/>
      <c r="V1686" s="24"/>
      <c r="W1686" s="24"/>
      <c r="X1686" s="24"/>
      <c r="Y1686" s="24"/>
      <c r="Z1686" s="24"/>
      <c r="AA1686" s="24"/>
      <c r="AB1686" s="24"/>
      <c r="AC1686" s="24"/>
      <c r="AD1686" s="24"/>
      <c r="AE1686" s="24"/>
      <c r="AF1686" s="24"/>
      <c r="AG1686" s="24"/>
      <c r="AH1686" s="24"/>
      <c r="AI1686" s="24"/>
      <c r="AJ1686" s="24"/>
      <c r="AK1686" s="24"/>
      <c r="AL1686" s="24"/>
      <c r="AM1686" s="24"/>
      <c r="AN1686" s="24"/>
      <c r="AO1686" s="24"/>
      <c r="AP1686" s="24"/>
      <c r="AQ1686" s="24"/>
      <c r="AR1686" s="24"/>
      <c r="AS1686" s="24"/>
      <c r="AT1686" s="24"/>
      <c r="AU1686" s="24"/>
      <c r="AV1686" s="24"/>
      <c r="AW1686" s="24"/>
      <c r="AX1686" s="24"/>
    </row>
    <row r="1687" ht="15.75" customHeight="1">
      <c r="A1687" s="24"/>
      <c r="B1687" s="24"/>
      <c r="C1687" s="28"/>
      <c r="D1687" s="28"/>
      <c r="E1687" s="28"/>
      <c r="F1687" s="28"/>
      <c r="G1687" s="28"/>
      <c r="H1687" s="28"/>
      <c r="I1687" s="28"/>
      <c r="J1687" s="28"/>
      <c r="K1687" s="28"/>
      <c r="L1687" s="28"/>
      <c r="M1687" s="28"/>
      <c r="N1687" s="28"/>
      <c r="O1687" s="24"/>
      <c r="P1687" s="24"/>
      <c r="Q1687" s="24"/>
      <c r="R1687" s="24"/>
      <c r="S1687" s="24"/>
      <c r="T1687" s="24"/>
      <c r="U1687" s="24"/>
      <c r="V1687" s="24"/>
      <c r="W1687" s="24"/>
      <c r="X1687" s="24"/>
      <c r="Y1687" s="24"/>
      <c r="Z1687" s="24"/>
      <c r="AA1687" s="24"/>
      <c r="AB1687" s="24"/>
      <c r="AC1687" s="24"/>
      <c r="AD1687" s="24"/>
      <c r="AE1687" s="24"/>
      <c r="AF1687" s="24"/>
      <c r="AG1687" s="24"/>
      <c r="AH1687" s="24"/>
      <c r="AI1687" s="24"/>
      <c r="AJ1687" s="24"/>
      <c r="AK1687" s="24"/>
      <c r="AL1687" s="24"/>
      <c r="AM1687" s="24"/>
      <c r="AN1687" s="24"/>
      <c r="AO1687" s="24"/>
      <c r="AP1687" s="24"/>
      <c r="AQ1687" s="24"/>
      <c r="AR1687" s="24"/>
      <c r="AS1687" s="24"/>
      <c r="AT1687" s="24"/>
      <c r="AU1687" s="24"/>
      <c r="AV1687" s="24"/>
      <c r="AW1687" s="24"/>
      <c r="AX1687" s="24"/>
    </row>
    <row r="1688" ht="15.75" customHeight="1">
      <c r="A1688" s="24"/>
      <c r="B1688" s="24"/>
      <c r="C1688" s="28"/>
      <c r="D1688" s="28"/>
      <c r="E1688" s="28"/>
      <c r="F1688" s="28"/>
      <c r="G1688" s="28"/>
      <c r="H1688" s="28"/>
      <c r="I1688" s="28"/>
      <c r="J1688" s="28"/>
      <c r="K1688" s="28"/>
      <c r="L1688" s="28"/>
      <c r="M1688" s="28"/>
      <c r="N1688" s="28"/>
      <c r="O1688" s="24"/>
      <c r="P1688" s="24"/>
      <c r="Q1688" s="24"/>
      <c r="R1688" s="24"/>
      <c r="S1688" s="24"/>
      <c r="T1688" s="24"/>
      <c r="U1688" s="24"/>
      <c r="V1688" s="24"/>
      <c r="W1688" s="24"/>
      <c r="X1688" s="24"/>
      <c r="Y1688" s="24"/>
      <c r="Z1688" s="24"/>
      <c r="AA1688" s="24"/>
      <c r="AB1688" s="24"/>
      <c r="AC1688" s="24"/>
      <c r="AD1688" s="24"/>
      <c r="AE1688" s="24"/>
      <c r="AF1688" s="24"/>
      <c r="AG1688" s="24"/>
      <c r="AH1688" s="24"/>
      <c r="AI1688" s="24"/>
      <c r="AJ1688" s="24"/>
      <c r="AK1688" s="24"/>
      <c r="AL1688" s="24"/>
      <c r="AM1688" s="24"/>
      <c r="AN1688" s="24"/>
      <c r="AO1688" s="24"/>
      <c r="AP1688" s="24"/>
      <c r="AQ1688" s="24"/>
      <c r="AR1688" s="24"/>
      <c r="AS1688" s="24"/>
      <c r="AT1688" s="24"/>
      <c r="AU1688" s="24"/>
      <c r="AV1688" s="24"/>
      <c r="AW1688" s="24"/>
      <c r="AX1688" s="24"/>
    </row>
    <row r="1689" ht="15.75" customHeight="1">
      <c r="A1689" s="24"/>
      <c r="B1689" s="24"/>
      <c r="C1689" s="28"/>
      <c r="D1689" s="28"/>
      <c r="E1689" s="28"/>
      <c r="F1689" s="28"/>
      <c r="G1689" s="28"/>
      <c r="H1689" s="28"/>
      <c r="I1689" s="28"/>
      <c r="J1689" s="28"/>
      <c r="K1689" s="28"/>
      <c r="L1689" s="28"/>
      <c r="M1689" s="28"/>
      <c r="N1689" s="28"/>
      <c r="O1689" s="24"/>
      <c r="P1689" s="24"/>
      <c r="Q1689" s="24"/>
      <c r="R1689" s="24"/>
      <c r="S1689" s="24"/>
      <c r="T1689" s="24"/>
      <c r="U1689" s="24"/>
      <c r="V1689" s="24"/>
      <c r="W1689" s="24"/>
      <c r="X1689" s="24"/>
      <c r="Y1689" s="24"/>
      <c r="Z1689" s="24"/>
      <c r="AA1689" s="24"/>
      <c r="AB1689" s="24"/>
      <c r="AC1689" s="24"/>
      <c r="AD1689" s="24"/>
      <c r="AE1689" s="24"/>
      <c r="AF1689" s="24"/>
      <c r="AG1689" s="24"/>
      <c r="AH1689" s="24"/>
      <c r="AI1689" s="24"/>
      <c r="AJ1689" s="24"/>
      <c r="AK1689" s="24"/>
      <c r="AL1689" s="24"/>
      <c r="AM1689" s="24"/>
      <c r="AN1689" s="24"/>
      <c r="AO1689" s="24"/>
      <c r="AP1689" s="24"/>
      <c r="AQ1689" s="24"/>
      <c r="AR1689" s="24"/>
      <c r="AS1689" s="24"/>
      <c r="AT1689" s="24"/>
      <c r="AU1689" s="24"/>
      <c r="AV1689" s="24"/>
      <c r="AW1689" s="24"/>
      <c r="AX1689" s="24"/>
    </row>
    <row r="1690" ht="15.75" customHeight="1">
      <c r="A1690" s="24"/>
      <c r="B1690" s="24"/>
      <c r="C1690" s="28"/>
      <c r="D1690" s="28"/>
      <c r="E1690" s="28"/>
      <c r="F1690" s="28"/>
      <c r="G1690" s="28"/>
      <c r="H1690" s="28"/>
      <c r="I1690" s="28"/>
      <c r="J1690" s="28"/>
      <c r="K1690" s="28"/>
      <c r="L1690" s="28"/>
      <c r="M1690" s="28"/>
      <c r="N1690" s="28"/>
      <c r="O1690" s="24"/>
      <c r="P1690" s="24"/>
      <c r="Q1690" s="24"/>
      <c r="R1690" s="24"/>
      <c r="S1690" s="24"/>
      <c r="T1690" s="24"/>
      <c r="U1690" s="24"/>
      <c r="V1690" s="24"/>
      <c r="W1690" s="24"/>
      <c r="X1690" s="24"/>
      <c r="Y1690" s="24"/>
      <c r="Z1690" s="24"/>
      <c r="AA1690" s="24"/>
      <c r="AB1690" s="24"/>
      <c r="AC1690" s="24"/>
      <c r="AD1690" s="24"/>
      <c r="AE1690" s="24"/>
      <c r="AF1690" s="24"/>
      <c r="AG1690" s="24"/>
      <c r="AH1690" s="24"/>
      <c r="AI1690" s="24"/>
      <c r="AJ1690" s="24"/>
      <c r="AK1690" s="24"/>
      <c r="AL1690" s="24"/>
      <c r="AM1690" s="24"/>
      <c r="AN1690" s="24"/>
      <c r="AO1690" s="24"/>
      <c r="AP1690" s="24"/>
      <c r="AQ1690" s="24"/>
      <c r="AR1690" s="24"/>
      <c r="AS1690" s="24"/>
      <c r="AT1690" s="24"/>
      <c r="AU1690" s="24"/>
      <c r="AV1690" s="24"/>
      <c r="AW1690" s="24"/>
      <c r="AX1690" s="24"/>
    </row>
    <row r="1691" ht="15.75" customHeight="1">
      <c r="A1691" s="24"/>
      <c r="B1691" s="24"/>
      <c r="C1691" s="28"/>
      <c r="D1691" s="28"/>
      <c r="E1691" s="28"/>
      <c r="F1691" s="28"/>
      <c r="G1691" s="28"/>
      <c r="H1691" s="28"/>
      <c r="I1691" s="28"/>
      <c r="J1691" s="28"/>
      <c r="K1691" s="28"/>
      <c r="L1691" s="28"/>
      <c r="M1691" s="28"/>
      <c r="N1691" s="28"/>
      <c r="O1691" s="24"/>
      <c r="P1691" s="24"/>
      <c r="Q1691" s="24"/>
      <c r="R1691" s="24"/>
      <c r="S1691" s="24"/>
      <c r="T1691" s="24"/>
      <c r="U1691" s="24"/>
      <c r="V1691" s="24"/>
      <c r="W1691" s="24"/>
      <c r="X1691" s="24"/>
      <c r="Y1691" s="24"/>
      <c r="Z1691" s="24"/>
      <c r="AA1691" s="24"/>
      <c r="AB1691" s="24"/>
      <c r="AC1691" s="24"/>
      <c r="AD1691" s="24"/>
      <c r="AE1691" s="24"/>
      <c r="AF1691" s="24"/>
      <c r="AG1691" s="24"/>
      <c r="AH1691" s="24"/>
      <c r="AI1691" s="24"/>
      <c r="AJ1691" s="24"/>
      <c r="AK1691" s="24"/>
      <c r="AL1691" s="24"/>
      <c r="AM1691" s="24"/>
      <c r="AN1691" s="24"/>
      <c r="AO1691" s="24"/>
      <c r="AP1691" s="24"/>
      <c r="AQ1691" s="24"/>
      <c r="AR1691" s="24"/>
      <c r="AS1691" s="24"/>
      <c r="AT1691" s="24"/>
      <c r="AU1691" s="24"/>
      <c r="AV1691" s="24"/>
      <c r="AW1691" s="24"/>
      <c r="AX1691" s="24"/>
    </row>
    <row r="1692" ht="15.75" customHeight="1">
      <c r="A1692" s="24"/>
      <c r="B1692" s="24"/>
      <c r="C1692" s="28"/>
      <c r="D1692" s="28"/>
      <c r="E1692" s="28"/>
      <c r="F1692" s="28"/>
      <c r="G1692" s="28"/>
      <c r="H1692" s="28"/>
      <c r="I1692" s="28"/>
      <c r="J1692" s="28"/>
      <c r="K1692" s="28"/>
      <c r="L1692" s="28"/>
      <c r="M1692" s="28"/>
      <c r="N1692" s="28"/>
      <c r="O1692" s="24"/>
      <c r="P1692" s="24"/>
      <c r="Q1692" s="24"/>
      <c r="R1692" s="24"/>
      <c r="S1692" s="24"/>
      <c r="T1692" s="24"/>
      <c r="U1692" s="24"/>
      <c r="V1692" s="24"/>
      <c r="W1692" s="24"/>
      <c r="X1692" s="24"/>
      <c r="Y1692" s="24"/>
      <c r="Z1692" s="24"/>
      <c r="AA1692" s="24"/>
      <c r="AB1692" s="24"/>
      <c r="AC1692" s="24"/>
      <c r="AD1692" s="24"/>
      <c r="AE1692" s="24"/>
      <c r="AF1692" s="24"/>
      <c r="AG1692" s="24"/>
      <c r="AH1692" s="24"/>
      <c r="AI1692" s="24"/>
      <c r="AJ1692" s="24"/>
      <c r="AK1692" s="24"/>
      <c r="AL1692" s="24"/>
      <c r="AM1692" s="24"/>
      <c r="AN1692" s="24"/>
      <c r="AO1692" s="24"/>
      <c r="AP1692" s="24"/>
      <c r="AQ1692" s="24"/>
      <c r="AR1692" s="24"/>
      <c r="AS1692" s="24"/>
      <c r="AT1692" s="24"/>
      <c r="AU1692" s="24"/>
      <c r="AV1692" s="24"/>
      <c r="AW1692" s="24"/>
      <c r="AX1692" s="24"/>
    </row>
    <row r="1693" ht="15.75" customHeight="1">
      <c r="A1693" s="24"/>
      <c r="B1693" s="24"/>
      <c r="C1693" s="28"/>
      <c r="D1693" s="28"/>
      <c r="E1693" s="28"/>
      <c r="F1693" s="28"/>
      <c r="G1693" s="28"/>
      <c r="H1693" s="28"/>
      <c r="I1693" s="28"/>
      <c r="J1693" s="28"/>
      <c r="K1693" s="28"/>
      <c r="L1693" s="28"/>
      <c r="M1693" s="28"/>
      <c r="N1693" s="28"/>
      <c r="O1693" s="24"/>
      <c r="P1693" s="24"/>
      <c r="Q1693" s="24"/>
      <c r="R1693" s="24"/>
      <c r="S1693" s="24"/>
      <c r="T1693" s="24"/>
      <c r="U1693" s="24"/>
      <c r="V1693" s="24"/>
      <c r="W1693" s="24"/>
      <c r="X1693" s="24"/>
      <c r="Y1693" s="24"/>
      <c r="Z1693" s="24"/>
      <c r="AA1693" s="24"/>
      <c r="AB1693" s="24"/>
      <c r="AC1693" s="24"/>
      <c r="AD1693" s="24"/>
      <c r="AE1693" s="24"/>
      <c r="AF1693" s="24"/>
      <c r="AG1693" s="24"/>
      <c r="AH1693" s="24"/>
      <c r="AI1693" s="24"/>
      <c r="AJ1693" s="24"/>
      <c r="AK1693" s="24"/>
      <c r="AL1693" s="24"/>
      <c r="AM1693" s="24"/>
      <c r="AN1693" s="24"/>
      <c r="AO1693" s="24"/>
      <c r="AP1693" s="24"/>
      <c r="AQ1693" s="24"/>
      <c r="AR1693" s="24"/>
      <c r="AS1693" s="24"/>
      <c r="AT1693" s="24"/>
      <c r="AU1693" s="24"/>
      <c r="AV1693" s="24"/>
      <c r="AW1693" s="24"/>
      <c r="AX1693" s="24"/>
    </row>
    <row r="1694" ht="15.75" customHeight="1">
      <c r="A1694" s="24"/>
      <c r="B1694" s="24"/>
      <c r="C1694" s="28"/>
      <c r="D1694" s="28"/>
      <c r="E1694" s="28"/>
      <c r="F1694" s="28"/>
      <c r="G1694" s="28"/>
      <c r="H1694" s="28"/>
      <c r="I1694" s="28"/>
      <c r="J1694" s="28"/>
      <c r="K1694" s="28"/>
      <c r="L1694" s="28"/>
      <c r="M1694" s="28"/>
      <c r="N1694" s="28"/>
      <c r="O1694" s="24"/>
      <c r="P1694" s="24"/>
      <c r="Q1694" s="24"/>
      <c r="R1694" s="24"/>
      <c r="S1694" s="24"/>
      <c r="T1694" s="24"/>
      <c r="U1694" s="24"/>
      <c r="V1694" s="24"/>
      <c r="W1694" s="24"/>
      <c r="X1694" s="24"/>
      <c r="Y1694" s="24"/>
      <c r="Z1694" s="24"/>
      <c r="AA1694" s="24"/>
      <c r="AB1694" s="24"/>
      <c r="AC1694" s="24"/>
      <c r="AD1694" s="24"/>
      <c r="AE1694" s="24"/>
      <c r="AF1694" s="24"/>
      <c r="AG1694" s="24"/>
      <c r="AH1694" s="24"/>
      <c r="AI1694" s="24"/>
      <c r="AJ1694" s="24"/>
      <c r="AK1694" s="24"/>
      <c r="AL1694" s="24"/>
      <c r="AM1694" s="24"/>
      <c r="AN1694" s="24"/>
      <c r="AO1694" s="24"/>
      <c r="AP1694" s="24"/>
      <c r="AQ1694" s="24"/>
      <c r="AR1694" s="24"/>
      <c r="AS1694" s="24"/>
      <c r="AT1694" s="24"/>
      <c r="AU1694" s="24"/>
      <c r="AV1694" s="24"/>
      <c r="AW1694" s="24"/>
      <c r="AX1694" s="24"/>
    </row>
    <row r="1695" ht="15.75" customHeight="1">
      <c r="A1695" s="24"/>
      <c r="B1695" s="24"/>
      <c r="C1695" s="28"/>
      <c r="D1695" s="28"/>
      <c r="E1695" s="28"/>
      <c r="F1695" s="28"/>
      <c r="G1695" s="28"/>
      <c r="H1695" s="28"/>
      <c r="I1695" s="28"/>
      <c r="J1695" s="28"/>
      <c r="K1695" s="28"/>
      <c r="L1695" s="28"/>
      <c r="M1695" s="28"/>
      <c r="N1695" s="28"/>
      <c r="O1695" s="24"/>
      <c r="P1695" s="24"/>
      <c r="Q1695" s="24"/>
      <c r="R1695" s="24"/>
      <c r="S1695" s="24"/>
      <c r="T1695" s="24"/>
      <c r="U1695" s="24"/>
      <c r="V1695" s="24"/>
      <c r="W1695" s="24"/>
      <c r="X1695" s="24"/>
      <c r="Y1695" s="24"/>
      <c r="Z1695" s="24"/>
      <c r="AA1695" s="24"/>
      <c r="AB1695" s="24"/>
      <c r="AC1695" s="24"/>
      <c r="AD1695" s="24"/>
      <c r="AE1695" s="24"/>
      <c r="AF1695" s="24"/>
      <c r="AG1695" s="24"/>
      <c r="AH1695" s="24"/>
      <c r="AI1695" s="24"/>
      <c r="AJ1695" s="24"/>
      <c r="AK1695" s="24"/>
      <c r="AL1695" s="24"/>
      <c r="AM1695" s="24"/>
      <c r="AN1695" s="24"/>
      <c r="AO1695" s="24"/>
      <c r="AP1695" s="24"/>
      <c r="AQ1695" s="24"/>
      <c r="AR1695" s="24"/>
      <c r="AS1695" s="24"/>
      <c r="AT1695" s="24"/>
      <c r="AU1695" s="24"/>
      <c r="AV1695" s="24"/>
      <c r="AW1695" s="24"/>
      <c r="AX1695" s="24"/>
    </row>
    <row r="1696" ht="15.75" customHeight="1">
      <c r="A1696" s="24"/>
      <c r="B1696" s="24"/>
      <c r="C1696" s="28"/>
      <c r="D1696" s="28"/>
      <c r="E1696" s="28"/>
      <c r="F1696" s="28"/>
      <c r="G1696" s="28"/>
      <c r="H1696" s="28"/>
      <c r="I1696" s="28"/>
      <c r="J1696" s="28"/>
      <c r="K1696" s="28"/>
      <c r="L1696" s="28"/>
      <c r="M1696" s="28"/>
      <c r="N1696" s="28"/>
      <c r="O1696" s="24"/>
      <c r="P1696" s="24"/>
      <c r="Q1696" s="24"/>
      <c r="R1696" s="24"/>
      <c r="S1696" s="24"/>
      <c r="T1696" s="24"/>
      <c r="U1696" s="24"/>
      <c r="V1696" s="24"/>
      <c r="W1696" s="24"/>
      <c r="X1696" s="24"/>
      <c r="Y1696" s="24"/>
      <c r="Z1696" s="24"/>
      <c r="AA1696" s="24"/>
      <c r="AB1696" s="24"/>
      <c r="AC1696" s="24"/>
      <c r="AD1696" s="24"/>
      <c r="AE1696" s="24"/>
      <c r="AF1696" s="24"/>
      <c r="AG1696" s="24"/>
      <c r="AH1696" s="24"/>
      <c r="AI1696" s="24"/>
      <c r="AJ1696" s="24"/>
      <c r="AK1696" s="24"/>
      <c r="AL1696" s="24"/>
      <c r="AM1696" s="24"/>
      <c r="AN1696" s="24"/>
      <c r="AO1696" s="24"/>
      <c r="AP1696" s="24"/>
      <c r="AQ1696" s="24"/>
      <c r="AR1696" s="24"/>
      <c r="AS1696" s="24"/>
      <c r="AT1696" s="24"/>
      <c r="AU1696" s="24"/>
      <c r="AV1696" s="24"/>
      <c r="AW1696" s="24"/>
      <c r="AX1696" s="24"/>
    </row>
    <row r="1697" ht="15.75" customHeight="1">
      <c r="A1697" s="24"/>
      <c r="B1697" s="24"/>
      <c r="C1697" s="28"/>
      <c r="D1697" s="28"/>
      <c r="E1697" s="28"/>
      <c r="F1697" s="28"/>
      <c r="G1697" s="28"/>
      <c r="H1697" s="28"/>
      <c r="I1697" s="28"/>
      <c r="J1697" s="28"/>
      <c r="K1697" s="28"/>
      <c r="L1697" s="28"/>
      <c r="M1697" s="28"/>
      <c r="N1697" s="28"/>
      <c r="O1697" s="24"/>
      <c r="P1697" s="24"/>
      <c r="Q1697" s="24"/>
      <c r="R1697" s="24"/>
      <c r="S1697" s="24"/>
      <c r="T1697" s="24"/>
      <c r="U1697" s="24"/>
      <c r="V1697" s="24"/>
      <c r="W1697" s="24"/>
      <c r="X1697" s="24"/>
      <c r="Y1697" s="24"/>
      <c r="Z1697" s="24"/>
      <c r="AA1697" s="24"/>
      <c r="AB1697" s="24"/>
      <c r="AC1697" s="24"/>
      <c r="AD1697" s="24"/>
      <c r="AE1697" s="24"/>
      <c r="AF1697" s="24"/>
      <c r="AG1697" s="24"/>
      <c r="AH1697" s="24"/>
      <c r="AI1697" s="24"/>
      <c r="AJ1697" s="24"/>
      <c r="AK1697" s="24"/>
      <c r="AL1697" s="24"/>
      <c r="AM1697" s="24"/>
      <c r="AN1697" s="24"/>
      <c r="AO1697" s="24"/>
      <c r="AP1697" s="24"/>
      <c r="AQ1697" s="24"/>
      <c r="AR1697" s="24"/>
      <c r="AS1697" s="24"/>
      <c r="AT1697" s="24"/>
      <c r="AU1697" s="24"/>
      <c r="AV1697" s="24"/>
      <c r="AW1697" s="24"/>
      <c r="AX1697" s="24"/>
    </row>
    <row r="1698" ht="15.75" customHeight="1">
      <c r="A1698" s="24"/>
      <c r="B1698" s="24"/>
      <c r="C1698" s="28"/>
      <c r="D1698" s="28"/>
      <c r="E1698" s="28"/>
      <c r="F1698" s="28"/>
      <c r="G1698" s="28"/>
      <c r="H1698" s="28"/>
      <c r="I1698" s="28"/>
      <c r="J1698" s="28"/>
      <c r="K1698" s="28"/>
      <c r="L1698" s="28"/>
      <c r="M1698" s="28"/>
      <c r="N1698" s="28"/>
      <c r="O1698" s="24"/>
      <c r="P1698" s="24"/>
      <c r="Q1698" s="24"/>
      <c r="R1698" s="24"/>
      <c r="S1698" s="24"/>
      <c r="T1698" s="24"/>
      <c r="U1698" s="24"/>
      <c r="V1698" s="24"/>
      <c r="W1698" s="24"/>
      <c r="X1698" s="24"/>
      <c r="Y1698" s="24"/>
      <c r="Z1698" s="24"/>
      <c r="AA1698" s="24"/>
      <c r="AB1698" s="24"/>
      <c r="AC1698" s="24"/>
      <c r="AD1698" s="24"/>
      <c r="AE1698" s="24"/>
      <c r="AF1698" s="24"/>
      <c r="AG1698" s="24"/>
      <c r="AH1698" s="24"/>
      <c r="AI1698" s="24"/>
      <c r="AJ1698" s="24"/>
      <c r="AK1698" s="24"/>
      <c r="AL1698" s="24"/>
      <c r="AM1698" s="24"/>
      <c r="AN1698" s="24"/>
      <c r="AO1698" s="24"/>
      <c r="AP1698" s="24"/>
      <c r="AQ1698" s="24"/>
      <c r="AR1698" s="24"/>
      <c r="AS1698" s="24"/>
      <c r="AT1698" s="24"/>
      <c r="AU1698" s="24"/>
      <c r="AV1698" s="24"/>
      <c r="AW1698" s="24"/>
      <c r="AX1698" s="24"/>
    </row>
    <row r="1699" ht="15.75" customHeight="1">
      <c r="A1699" s="24"/>
      <c r="B1699" s="24"/>
      <c r="C1699" s="28"/>
      <c r="D1699" s="28"/>
      <c r="E1699" s="28"/>
      <c r="F1699" s="28"/>
      <c r="G1699" s="28"/>
      <c r="H1699" s="28"/>
      <c r="I1699" s="28"/>
      <c r="J1699" s="28"/>
      <c r="K1699" s="28"/>
      <c r="L1699" s="28"/>
      <c r="M1699" s="28"/>
      <c r="N1699" s="28"/>
      <c r="O1699" s="24"/>
      <c r="P1699" s="24"/>
      <c r="Q1699" s="24"/>
      <c r="R1699" s="24"/>
      <c r="S1699" s="24"/>
      <c r="T1699" s="24"/>
      <c r="U1699" s="24"/>
      <c r="V1699" s="24"/>
      <c r="W1699" s="24"/>
      <c r="X1699" s="24"/>
      <c r="Y1699" s="24"/>
      <c r="Z1699" s="24"/>
      <c r="AA1699" s="24"/>
      <c r="AB1699" s="24"/>
      <c r="AC1699" s="24"/>
      <c r="AD1699" s="24"/>
      <c r="AE1699" s="24"/>
      <c r="AF1699" s="24"/>
      <c r="AG1699" s="24"/>
      <c r="AH1699" s="24"/>
      <c r="AI1699" s="24"/>
      <c r="AJ1699" s="24"/>
      <c r="AK1699" s="24"/>
      <c r="AL1699" s="24"/>
      <c r="AM1699" s="24"/>
      <c r="AN1699" s="24"/>
      <c r="AO1699" s="24"/>
      <c r="AP1699" s="24"/>
      <c r="AQ1699" s="24"/>
      <c r="AR1699" s="24"/>
      <c r="AS1699" s="24"/>
      <c r="AT1699" s="24"/>
      <c r="AU1699" s="24"/>
      <c r="AV1699" s="24"/>
      <c r="AW1699" s="24"/>
      <c r="AX1699" s="24"/>
    </row>
    <row r="1700" ht="15.75" customHeight="1">
      <c r="A1700" s="24"/>
      <c r="B1700" s="24"/>
      <c r="C1700" s="28"/>
      <c r="D1700" s="28"/>
      <c r="E1700" s="28"/>
      <c r="F1700" s="28"/>
      <c r="G1700" s="28"/>
      <c r="H1700" s="28"/>
      <c r="I1700" s="28"/>
      <c r="J1700" s="28"/>
      <c r="K1700" s="28"/>
      <c r="L1700" s="28"/>
      <c r="M1700" s="28"/>
      <c r="N1700" s="28"/>
      <c r="O1700" s="24"/>
      <c r="P1700" s="24"/>
      <c r="Q1700" s="24"/>
      <c r="R1700" s="24"/>
      <c r="S1700" s="24"/>
      <c r="T1700" s="24"/>
      <c r="U1700" s="24"/>
      <c r="V1700" s="24"/>
      <c r="W1700" s="24"/>
      <c r="X1700" s="24"/>
      <c r="Y1700" s="24"/>
      <c r="Z1700" s="24"/>
      <c r="AA1700" s="24"/>
      <c r="AB1700" s="24"/>
      <c r="AC1700" s="24"/>
      <c r="AD1700" s="24"/>
      <c r="AE1700" s="24"/>
      <c r="AF1700" s="24"/>
      <c r="AG1700" s="24"/>
      <c r="AH1700" s="24"/>
      <c r="AI1700" s="24"/>
      <c r="AJ1700" s="24"/>
      <c r="AK1700" s="24"/>
      <c r="AL1700" s="24"/>
      <c r="AM1700" s="24"/>
      <c r="AN1700" s="24"/>
      <c r="AO1700" s="24"/>
      <c r="AP1700" s="24"/>
      <c r="AQ1700" s="24"/>
      <c r="AR1700" s="24"/>
      <c r="AS1700" s="24"/>
      <c r="AT1700" s="24"/>
      <c r="AU1700" s="24"/>
      <c r="AV1700" s="24"/>
      <c r="AW1700" s="24"/>
      <c r="AX1700" s="24"/>
    </row>
    <row r="1701" ht="15.75" customHeight="1">
      <c r="A1701" s="24"/>
      <c r="B1701" s="24"/>
      <c r="C1701" s="28"/>
      <c r="D1701" s="28"/>
      <c r="E1701" s="28"/>
      <c r="F1701" s="28"/>
      <c r="G1701" s="28"/>
      <c r="H1701" s="28"/>
      <c r="I1701" s="28"/>
      <c r="J1701" s="28"/>
      <c r="K1701" s="28"/>
      <c r="L1701" s="28"/>
      <c r="M1701" s="28"/>
      <c r="N1701" s="28"/>
      <c r="O1701" s="24"/>
      <c r="P1701" s="24"/>
      <c r="Q1701" s="24"/>
      <c r="R1701" s="24"/>
      <c r="S1701" s="24"/>
      <c r="T1701" s="24"/>
      <c r="U1701" s="24"/>
      <c r="V1701" s="24"/>
      <c r="W1701" s="24"/>
      <c r="X1701" s="24"/>
      <c r="Y1701" s="24"/>
      <c r="Z1701" s="24"/>
      <c r="AA1701" s="24"/>
      <c r="AB1701" s="24"/>
      <c r="AC1701" s="24"/>
      <c r="AD1701" s="24"/>
      <c r="AE1701" s="24"/>
      <c r="AF1701" s="24"/>
      <c r="AG1701" s="24"/>
      <c r="AH1701" s="24"/>
      <c r="AI1701" s="24"/>
      <c r="AJ1701" s="24"/>
      <c r="AK1701" s="24"/>
      <c r="AL1701" s="24"/>
      <c r="AM1701" s="24"/>
      <c r="AN1701" s="24"/>
      <c r="AO1701" s="24"/>
      <c r="AP1701" s="24"/>
      <c r="AQ1701" s="24"/>
      <c r="AR1701" s="24"/>
      <c r="AS1701" s="24"/>
      <c r="AT1701" s="24"/>
      <c r="AU1701" s="24"/>
      <c r="AV1701" s="24"/>
      <c r="AW1701" s="24"/>
      <c r="AX1701" s="24"/>
    </row>
    <row r="1702" ht="15.75" customHeight="1">
      <c r="A1702" s="24"/>
      <c r="B1702" s="24"/>
      <c r="C1702" s="28"/>
      <c r="D1702" s="28"/>
      <c r="E1702" s="28"/>
      <c r="F1702" s="28"/>
      <c r="G1702" s="28"/>
      <c r="H1702" s="28"/>
      <c r="I1702" s="28"/>
      <c r="J1702" s="28"/>
      <c r="K1702" s="28"/>
      <c r="L1702" s="28"/>
      <c r="M1702" s="28"/>
      <c r="N1702" s="28"/>
      <c r="O1702" s="24"/>
      <c r="P1702" s="24"/>
      <c r="Q1702" s="24"/>
      <c r="R1702" s="24"/>
      <c r="S1702" s="24"/>
      <c r="T1702" s="24"/>
      <c r="U1702" s="24"/>
      <c r="V1702" s="24"/>
      <c r="W1702" s="24"/>
      <c r="X1702" s="24"/>
      <c r="Y1702" s="24"/>
      <c r="Z1702" s="24"/>
      <c r="AA1702" s="24"/>
      <c r="AB1702" s="24"/>
      <c r="AC1702" s="24"/>
      <c r="AD1702" s="24"/>
      <c r="AE1702" s="24"/>
      <c r="AF1702" s="24"/>
      <c r="AG1702" s="24"/>
      <c r="AH1702" s="24"/>
      <c r="AI1702" s="24"/>
      <c r="AJ1702" s="24"/>
      <c r="AK1702" s="24"/>
      <c r="AL1702" s="24"/>
      <c r="AM1702" s="24"/>
      <c r="AN1702" s="24"/>
      <c r="AO1702" s="24"/>
      <c r="AP1702" s="24"/>
      <c r="AQ1702" s="24"/>
      <c r="AR1702" s="24"/>
      <c r="AS1702" s="24"/>
      <c r="AT1702" s="24"/>
      <c r="AU1702" s="24"/>
      <c r="AV1702" s="24"/>
      <c r="AW1702" s="24"/>
      <c r="AX1702" s="24"/>
    </row>
    <row r="1703" ht="15.75" customHeight="1">
      <c r="A1703" s="24"/>
      <c r="B1703" s="24"/>
      <c r="C1703" s="28"/>
      <c r="D1703" s="28"/>
      <c r="E1703" s="28"/>
      <c r="F1703" s="28"/>
      <c r="G1703" s="28"/>
      <c r="H1703" s="28"/>
      <c r="I1703" s="28"/>
      <c r="J1703" s="28"/>
      <c r="K1703" s="28"/>
      <c r="L1703" s="28"/>
      <c r="M1703" s="28"/>
      <c r="N1703" s="28"/>
      <c r="O1703" s="24"/>
      <c r="P1703" s="24"/>
      <c r="Q1703" s="24"/>
      <c r="R1703" s="24"/>
      <c r="S1703" s="24"/>
      <c r="T1703" s="24"/>
      <c r="U1703" s="24"/>
      <c r="V1703" s="24"/>
      <c r="W1703" s="24"/>
      <c r="X1703" s="24"/>
      <c r="Y1703" s="24"/>
      <c r="Z1703" s="24"/>
      <c r="AA1703" s="24"/>
      <c r="AB1703" s="24"/>
      <c r="AC1703" s="24"/>
      <c r="AD1703" s="24"/>
      <c r="AE1703" s="24"/>
      <c r="AF1703" s="24"/>
      <c r="AG1703" s="24"/>
      <c r="AH1703" s="24"/>
      <c r="AI1703" s="24"/>
      <c r="AJ1703" s="24"/>
      <c r="AK1703" s="24"/>
      <c r="AL1703" s="24"/>
      <c r="AM1703" s="24"/>
      <c r="AN1703" s="24"/>
      <c r="AO1703" s="24"/>
      <c r="AP1703" s="24"/>
      <c r="AQ1703" s="24"/>
      <c r="AR1703" s="24"/>
      <c r="AS1703" s="24"/>
      <c r="AT1703" s="24"/>
      <c r="AU1703" s="24"/>
      <c r="AV1703" s="24"/>
      <c r="AW1703" s="24"/>
      <c r="AX1703" s="24"/>
    </row>
    <row r="1704" ht="15.75" customHeight="1">
      <c r="A1704" s="24"/>
      <c r="B1704" s="24"/>
      <c r="C1704" s="28"/>
      <c r="D1704" s="28"/>
      <c r="E1704" s="28"/>
      <c r="F1704" s="28"/>
      <c r="G1704" s="28"/>
      <c r="H1704" s="28"/>
      <c r="I1704" s="28"/>
      <c r="J1704" s="28"/>
      <c r="K1704" s="28"/>
      <c r="L1704" s="28"/>
      <c r="M1704" s="28"/>
      <c r="N1704" s="28"/>
      <c r="O1704" s="24"/>
      <c r="P1704" s="24"/>
      <c r="Q1704" s="24"/>
      <c r="R1704" s="24"/>
      <c r="S1704" s="24"/>
      <c r="T1704" s="24"/>
      <c r="U1704" s="24"/>
      <c r="V1704" s="24"/>
      <c r="W1704" s="24"/>
      <c r="X1704" s="24"/>
      <c r="Y1704" s="24"/>
      <c r="Z1704" s="24"/>
      <c r="AA1704" s="24"/>
      <c r="AB1704" s="24"/>
      <c r="AC1704" s="24"/>
      <c r="AD1704" s="24"/>
      <c r="AE1704" s="24"/>
      <c r="AF1704" s="24"/>
      <c r="AG1704" s="24"/>
      <c r="AH1704" s="24"/>
      <c r="AI1704" s="24"/>
      <c r="AJ1704" s="24"/>
      <c r="AK1704" s="24"/>
      <c r="AL1704" s="24"/>
      <c r="AM1704" s="24"/>
      <c r="AN1704" s="24"/>
      <c r="AO1704" s="24"/>
      <c r="AP1704" s="24"/>
      <c r="AQ1704" s="24"/>
      <c r="AR1704" s="24"/>
      <c r="AS1704" s="24"/>
      <c r="AT1704" s="24"/>
      <c r="AU1704" s="24"/>
      <c r="AV1704" s="24"/>
      <c r="AW1704" s="24"/>
      <c r="AX1704" s="24"/>
    </row>
    <row r="1705" ht="15.75" customHeight="1">
      <c r="A1705" s="24"/>
      <c r="B1705" s="24"/>
      <c r="C1705" s="28"/>
      <c r="D1705" s="28"/>
      <c r="E1705" s="28"/>
      <c r="F1705" s="28"/>
      <c r="G1705" s="28"/>
      <c r="H1705" s="28"/>
      <c r="I1705" s="28"/>
      <c r="J1705" s="28"/>
      <c r="K1705" s="28"/>
      <c r="L1705" s="28"/>
      <c r="M1705" s="28"/>
      <c r="N1705" s="28"/>
      <c r="O1705" s="24"/>
      <c r="P1705" s="24"/>
      <c r="Q1705" s="24"/>
      <c r="R1705" s="24"/>
      <c r="S1705" s="24"/>
      <c r="T1705" s="24"/>
      <c r="U1705" s="24"/>
      <c r="V1705" s="24"/>
      <c r="W1705" s="24"/>
      <c r="X1705" s="24"/>
      <c r="Y1705" s="24"/>
      <c r="Z1705" s="24"/>
      <c r="AA1705" s="24"/>
      <c r="AB1705" s="24"/>
      <c r="AC1705" s="24"/>
      <c r="AD1705" s="24"/>
      <c r="AE1705" s="24"/>
      <c r="AF1705" s="24"/>
      <c r="AG1705" s="24"/>
      <c r="AH1705" s="24"/>
      <c r="AI1705" s="24"/>
      <c r="AJ1705" s="24"/>
      <c r="AK1705" s="24"/>
      <c r="AL1705" s="24"/>
      <c r="AM1705" s="24"/>
      <c r="AN1705" s="24"/>
      <c r="AO1705" s="24"/>
      <c r="AP1705" s="24"/>
      <c r="AQ1705" s="24"/>
      <c r="AR1705" s="24"/>
      <c r="AS1705" s="24"/>
      <c r="AT1705" s="24"/>
      <c r="AU1705" s="24"/>
      <c r="AV1705" s="24"/>
      <c r="AW1705" s="24"/>
      <c r="AX1705" s="24"/>
    </row>
    <row r="1706" ht="15.75" customHeight="1">
      <c r="A1706" s="24"/>
      <c r="B1706" s="24"/>
      <c r="C1706" s="28"/>
      <c r="D1706" s="28"/>
      <c r="E1706" s="28"/>
      <c r="F1706" s="28"/>
      <c r="G1706" s="28"/>
      <c r="H1706" s="28"/>
      <c r="I1706" s="28"/>
      <c r="J1706" s="28"/>
      <c r="K1706" s="28"/>
      <c r="L1706" s="28"/>
      <c r="M1706" s="28"/>
      <c r="N1706" s="28"/>
      <c r="O1706" s="24"/>
      <c r="P1706" s="24"/>
      <c r="Q1706" s="24"/>
      <c r="R1706" s="24"/>
      <c r="S1706" s="24"/>
      <c r="T1706" s="24"/>
      <c r="U1706" s="24"/>
      <c r="V1706" s="24"/>
      <c r="W1706" s="24"/>
      <c r="X1706" s="24"/>
      <c r="Y1706" s="24"/>
      <c r="Z1706" s="24"/>
      <c r="AA1706" s="24"/>
      <c r="AB1706" s="24"/>
      <c r="AC1706" s="24"/>
      <c r="AD1706" s="24"/>
      <c r="AE1706" s="24"/>
      <c r="AF1706" s="24"/>
      <c r="AG1706" s="24"/>
      <c r="AH1706" s="24"/>
      <c r="AI1706" s="24"/>
      <c r="AJ1706" s="24"/>
      <c r="AK1706" s="24"/>
      <c r="AL1706" s="24"/>
      <c r="AM1706" s="24"/>
      <c r="AN1706" s="24"/>
      <c r="AO1706" s="24"/>
      <c r="AP1706" s="24"/>
      <c r="AQ1706" s="24"/>
      <c r="AR1706" s="24"/>
      <c r="AS1706" s="24"/>
      <c r="AT1706" s="24"/>
      <c r="AU1706" s="24"/>
      <c r="AV1706" s="24"/>
      <c r="AW1706" s="24"/>
      <c r="AX1706" s="24"/>
    </row>
    <row r="1707" ht="15.75" customHeight="1">
      <c r="A1707" s="24"/>
      <c r="B1707" s="24"/>
      <c r="C1707" s="28"/>
      <c r="D1707" s="28"/>
      <c r="E1707" s="28"/>
      <c r="F1707" s="28"/>
      <c r="G1707" s="28"/>
      <c r="H1707" s="28"/>
      <c r="I1707" s="28"/>
      <c r="J1707" s="28"/>
      <c r="K1707" s="28"/>
      <c r="L1707" s="28"/>
      <c r="M1707" s="28"/>
      <c r="N1707" s="28"/>
      <c r="O1707" s="24"/>
      <c r="P1707" s="24"/>
      <c r="Q1707" s="24"/>
      <c r="R1707" s="24"/>
      <c r="S1707" s="24"/>
      <c r="T1707" s="24"/>
      <c r="U1707" s="24"/>
      <c r="V1707" s="24"/>
      <c r="W1707" s="24"/>
      <c r="X1707" s="24"/>
      <c r="Y1707" s="24"/>
      <c r="Z1707" s="24"/>
      <c r="AA1707" s="24"/>
      <c r="AB1707" s="24"/>
      <c r="AC1707" s="24"/>
      <c r="AD1707" s="24"/>
      <c r="AE1707" s="24"/>
      <c r="AF1707" s="24"/>
      <c r="AG1707" s="24"/>
      <c r="AH1707" s="24"/>
      <c r="AI1707" s="24"/>
      <c r="AJ1707" s="24"/>
      <c r="AK1707" s="24"/>
      <c r="AL1707" s="24"/>
      <c r="AM1707" s="24"/>
      <c r="AN1707" s="24"/>
      <c r="AO1707" s="24"/>
      <c r="AP1707" s="24"/>
      <c r="AQ1707" s="24"/>
      <c r="AR1707" s="24"/>
      <c r="AS1707" s="24"/>
      <c r="AT1707" s="24"/>
      <c r="AU1707" s="24"/>
      <c r="AV1707" s="24"/>
      <c r="AW1707" s="24"/>
      <c r="AX1707" s="24"/>
    </row>
    <row r="1708" ht="15.75" customHeight="1">
      <c r="A1708" s="24"/>
      <c r="B1708" s="24"/>
      <c r="C1708" s="28"/>
      <c r="D1708" s="28"/>
      <c r="E1708" s="28"/>
      <c r="F1708" s="28"/>
      <c r="G1708" s="28"/>
      <c r="H1708" s="28"/>
      <c r="I1708" s="28"/>
      <c r="J1708" s="28"/>
      <c r="K1708" s="28"/>
      <c r="L1708" s="28"/>
      <c r="M1708" s="28"/>
      <c r="N1708" s="28"/>
      <c r="O1708" s="24"/>
      <c r="P1708" s="24"/>
      <c r="Q1708" s="24"/>
      <c r="R1708" s="24"/>
      <c r="S1708" s="24"/>
      <c r="T1708" s="24"/>
      <c r="U1708" s="24"/>
      <c r="V1708" s="24"/>
      <c r="W1708" s="24"/>
      <c r="X1708" s="24"/>
      <c r="Y1708" s="24"/>
      <c r="Z1708" s="24"/>
      <c r="AA1708" s="24"/>
      <c r="AB1708" s="24"/>
      <c r="AC1708" s="24"/>
      <c r="AD1708" s="24"/>
      <c r="AE1708" s="24"/>
      <c r="AF1708" s="24"/>
      <c r="AG1708" s="24"/>
      <c r="AH1708" s="24"/>
      <c r="AI1708" s="24"/>
      <c r="AJ1708" s="24"/>
      <c r="AK1708" s="24"/>
      <c r="AL1708" s="24"/>
      <c r="AM1708" s="24"/>
      <c r="AN1708" s="24"/>
      <c r="AO1708" s="24"/>
      <c r="AP1708" s="24"/>
      <c r="AQ1708" s="24"/>
      <c r="AR1708" s="24"/>
      <c r="AS1708" s="24"/>
      <c r="AT1708" s="24"/>
      <c r="AU1708" s="24"/>
      <c r="AV1708" s="24"/>
      <c r="AW1708" s="24"/>
      <c r="AX1708" s="24"/>
    </row>
    <row r="1709" ht="15.75" customHeight="1">
      <c r="A1709" s="24"/>
      <c r="B1709" s="24"/>
      <c r="C1709" s="28"/>
      <c r="D1709" s="28"/>
      <c r="E1709" s="28"/>
      <c r="F1709" s="28"/>
      <c r="G1709" s="28"/>
      <c r="H1709" s="28"/>
      <c r="I1709" s="28"/>
      <c r="J1709" s="28"/>
      <c r="K1709" s="28"/>
      <c r="L1709" s="28"/>
      <c r="M1709" s="28"/>
      <c r="N1709" s="28"/>
      <c r="O1709" s="24"/>
      <c r="P1709" s="24"/>
      <c r="Q1709" s="24"/>
      <c r="R1709" s="24"/>
      <c r="S1709" s="24"/>
      <c r="T1709" s="24"/>
      <c r="U1709" s="24"/>
      <c r="V1709" s="24"/>
      <c r="W1709" s="24"/>
      <c r="X1709" s="24"/>
      <c r="Y1709" s="24"/>
      <c r="Z1709" s="24"/>
      <c r="AA1709" s="24"/>
      <c r="AB1709" s="24"/>
      <c r="AC1709" s="24"/>
      <c r="AD1709" s="24"/>
      <c r="AE1709" s="24"/>
      <c r="AF1709" s="24"/>
      <c r="AG1709" s="24"/>
      <c r="AH1709" s="24"/>
      <c r="AI1709" s="24"/>
      <c r="AJ1709" s="24"/>
      <c r="AK1709" s="24"/>
      <c r="AL1709" s="24"/>
      <c r="AM1709" s="24"/>
      <c r="AN1709" s="24"/>
      <c r="AO1709" s="24"/>
      <c r="AP1709" s="24"/>
      <c r="AQ1709" s="24"/>
      <c r="AR1709" s="24"/>
      <c r="AS1709" s="24"/>
      <c r="AT1709" s="24"/>
      <c r="AU1709" s="24"/>
      <c r="AV1709" s="24"/>
      <c r="AW1709" s="24"/>
      <c r="AX1709" s="24"/>
    </row>
    <row r="1710" ht="15.75" customHeight="1">
      <c r="A1710" s="24"/>
      <c r="B1710" s="24"/>
      <c r="C1710" s="28"/>
      <c r="D1710" s="28"/>
      <c r="E1710" s="28"/>
      <c r="F1710" s="28"/>
      <c r="G1710" s="28"/>
      <c r="H1710" s="28"/>
      <c r="I1710" s="28"/>
      <c r="J1710" s="28"/>
      <c r="K1710" s="28"/>
      <c r="L1710" s="28"/>
      <c r="M1710" s="28"/>
      <c r="N1710" s="28"/>
      <c r="O1710" s="24"/>
      <c r="P1710" s="24"/>
      <c r="Q1710" s="24"/>
      <c r="R1710" s="24"/>
      <c r="S1710" s="24"/>
      <c r="T1710" s="24"/>
      <c r="U1710" s="24"/>
      <c r="V1710" s="24"/>
      <c r="W1710" s="24"/>
      <c r="X1710" s="24"/>
      <c r="Y1710" s="24"/>
      <c r="Z1710" s="24"/>
      <c r="AA1710" s="24"/>
      <c r="AB1710" s="24"/>
      <c r="AC1710" s="24"/>
      <c r="AD1710" s="24"/>
      <c r="AE1710" s="24"/>
      <c r="AF1710" s="24"/>
      <c r="AG1710" s="24"/>
      <c r="AH1710" s="24"/>
      <c r="AI1710" s="24"/>
      <c r="AJ1710" s="24"/>
      <c r="AK1710" s="24"/>
      <c r="AL1710" s="24"/>
      <c r="AM1710" s="24"/>
      <c r="AN1710" s="24"/>
      <c r="AO1710" s="24"/>
      <c r="AP1710" s="24"/>
      <c r="AQ1710" s="24"/>
      <c r="AR1710" s="24"/>
      <c r="AS1710" s="24"/>
      <c r="AT1710" s="24"/>
      <c r="AU1710" s="24"/>
      <c r="AV1710" s="24"/>
      <c r="AW1710" s="24"/>
      <c r="AX1710" s="24"/>
    </row>
    <row r="1711" ht="15.75" customHeight="1">
      <c r="A1711" s="24"/>
      <c r="B1711" s="24"/>
      <c r="C1711" s="28"/>
      <c r="D1711" s="28"/>
      <c r="E1711" s="28"/>
      <c r="F1711" s="28"/>
      <c r="G1711" s="28"/>
      <c r="H1711" s="28"/>
      <c r="I1711" s="28"/>
      <c r="J1711" s="28"/>
      <c r="K1711" s="28"/>
      <c r="L1711" s="28"/>
      <c r="M1711" s="28"/>
      <c r="N1711" s="28"/>
      <c r="O1711" s="24"/>
      <c r="P1711" s="24"/>
      <c r="Q1711" s="24"/>
      <c r="R1711" s="24"/>
      <c r="S1711" s="24"/>
      <c r="T1711" s="24"/>
      <c r="U1711" s="24"/>
      <c r="V1711" s="24"/>
      <c r="W1711" s="24"/>
      <c r="X1711" s="24"/>
      <c r="Y1711" s="24"/>
      <c r="Z1711" s="24"/>
      <c r="AA1711" s="24"/>
      <c r="AB1711" s="24"/>
      <c r="AC1711" s="24"/>
      <c r="AD1711" s="24"/>
      <c r="AE1711" s="24"/>
      <c r="AF1711" s="24"/>
      <c r="AG1711" s="24"/>
      <c r="AH1711" s="24"/>
      <c r="AI1711" s="24"/>
      <c r="AJ1711" s="24"/>
      <c r="AK1711" s="24"/>
      <c r="AL1711" s="24"/>
      <c r="AM1711" s="24"/>
      <c r="AN1711" s="24"/>
      <c r="AO1711" s="24"/>
      <c r="AP1711" s="24"/>
      <c r="AQ1711" s="24"/>
      <c r="AR1711" s="24"/>
      <c r="AS1711" s="24"/>
      <c r="AT1711" s="24"/>
      <c r="AU1711" s="24"/>
      <c r="AV1711" s="24"/>
      <c r="AW1711" s="24"/>
      <c r="AX1711" s="24"/>
    </row>
    <row r="1712" ht="15.75" customHeight="1">
      <c r="A1712" s="24"/>
      <c r="B1712" s="24"/>
      <c r="C1712" s="28"/>
      <c r="D1712" s="28"/>
      <c r="E1712" s="28"/>
      <c r="F1712" s="28"/>
      <c r="G1712" s="28"/>
      <c r="H1712" s="28"/>
      <c r="I1712" s="28"/>
      <c r="J1712" s="28"/>
      <c r="K1712" s="28"/>
      <c r="L1712" s="28"/>
      <c r="M1712" s="28"/>
      <c r="N1712" s="28"/>
      <c r="O1712" s="24"/>
      <c r="P1712" s="24"/>
      <c r="Q1712" s="24"/>
      <c r="R1712" s="24"/>
      <c r="S1712" s="24"/>
      <c r="T1712" s="24"/>
      <c r="U1712" s="24"/>
      <c r="V1712" s="24"/>
      <c r="W1712" s="24"/>
      <c r="X1712" s="24"/>
      <c r="Y1712" s="24"/>
      <c r="Z1712" s="24"/>
      <c r="AA1712" s="24"/>
      <c r="AB1712" s="24"/>
      <c r="AC1712" s="24"/>
      <c r="AD1712" s="24"/>
      <c r="AE1712" s="24"/>
      <c r="AF1712" s="24"/>
      <c r="AG1712" s="24"/>
      <c r="AH1712" s="24"/>
      <c r="AI1712" s="24"/>
      <c r="AJ1712" s="24"/>
      <c r="AK1712" s="24"/>
      <c r="AL1712" s="24"/>
      <c r="AM1712" s="24"/>
      <c r="AN1712" s="24"/>
      <c r="AO1712" s="24"/>
      <c r="AP1712" s="24"/>
      <c r="AQ1712" s="24"/>
      <c r="AR1712" s="24"/>
      <c r="AS1712" s="24"/>
      <c r="AT1712" s="24"/>
      <c r="AU1712" s="24"/>
      <c r="AV1712" s="24"/>
      <c r="AW1712" s="24"/>
      <c r="AX1712" s="24"/>
    </row>
    <row r="1713" ht="15.75" customHeight="1">
      <c r="A1713" s="24"/>
      <c r="B1713" s="24"/>
      <c r="C1713" s="28"/>
      <c r="D1713" s="28"/>
      <c r="E1713" s="28"/>
      <c r="F1713" s="28"/>
      <c r="G1713" s="28"/>
      <c r="H1713" s="28"/>
      <c r="I1713" s="28"/>
      <c r="J1713" s="28"/>
      <c r="K1713" s="28"/>
      <c r="L1713" s="28"/>
      <c r="M1713" s="28"/>
      <c r="N1713" s="28"/>
      <c r="O1713" s="24"/>
      <c r="P1713" s="24"/>
      <c r="Q1713" s="24"/>
      <c r="R1713" s="24"/>
      <c r="S1713" s="24"/>
      <c r="T1713" s="24"/>
      <c r="U1713" s="24"/>
      <c r="V1713" s="24"/>
      <c r="W1713" s="24"/>
      <c r="X1713" s="24"/>
      <c r="Y1713" s="24"/>
      <c r="Z1713" s="24"/>
      <c r="AA1713" s="24"/>
      <c r="AB1713" s="24"/>
      <c r="AC1713" s="24"/>
      <c r="AD1713" s="24"/>
      <c r="AE1713" s="24"/>
      <c r="AF1713" s="24"/>
      <c r="AG1713" s="24"/>
      <c r="AH1713" s="24"/>
      <c r="AI1713" s="24"/>
      <c r="AJ1713" s="24"/>
      <c r="AK1713" s="24"/>
      <c r="AL1713" s="24"/>
      <c r="AM1713" s="24"/>
      <c r="AN1713" s="24"/>
      <c r="AO1713" s="24"/>
      <c r="AP1713" s="24"/>
      <c r="AQ1713" s="24"/>
      <c r="AR1713" s="24"/>
      <c r="AS1713" s="24"/>
      <c r="AT1713" s="24"/>
      <c r="AU1713" s="24"/>
      <c r="AV1713" s="24"/>
      <c r="AW1713" s="24"/>
      <c r="AX1713" s="24"/>
    </row>
    <row r="1714" ht="15.75" customHeight="1">
      <c r="A1714" s="24"/>
      <c r="B1714" s="24"/>
      <c r="C1714" s="28"/>
      <c r="D1714" s="28"/>
      <c r="E1714" s="28"/>
      <c r="F1714" s="28"/>
      <c r="G1714" s="28"/>
      <c r="H1714" s="28"/>
      <c r="I1714" s="28"/>
      <c r="J1714" s="28"/>
      <c r="K1714" s="28"/>
      <c r="L1714" s="28"/>
      <c r="M1714" s="28"/>
      <c r="N1714" s="28"/>
      <c r="O1714" s="24"/>
      <c r="P1714" s="24"/>
      <c r="Q1714" s="24"/>
      <c r="R1714" s="24"/>
      <c r="S1714" s="24"/>
      <c r="T1714" s="24"/>
      <c r="U1714" s="24"/>
      <c r="V1714" s="24"/>
      <c r="W1714" s="24"/>
      <c r="X1714" s="24"/>
      <c r="Y1714" s="24"/>
      <c r="Z1714" s="24"/>
      <c r="AA1714" s="24"/>
      <c r="AB1714" s="24"/>
      <c r="AC1714" s="24"/>
      <c r="AD1714" s="24"/>
      <c r="AE1714" s="24"/>
      <c r="AF1714" s="24"/>
      <c r="AG1714" s="24"/>
      <c r="AH1714" s="24"/>
      <c r="AI1714" s="24"/>
      <c r="AJ1714" s="24"/>
      <c r="AK1714" s="24"/>
      <c r="AL1714" s="24"/>
      <c r="AM1714" s="24"/>
      <c r="AN1714" s="24"/>
      <c r="AO1714" s="24"/>
      <c r="AP1714" s="24"/>
      <c r="AQ1714" s="24"/>
      <c r="AR1714" s="24"/>
      <c r="AS1714" s="24"/>
      <c r="AT1714" s="24"/>
      <c r="AU1714" s="24"/>
      <c r="AV1714" s="24"/>
      <c r="AW1714" s="24"/>
      <c r="AX1714" s="24"/>
    </row>
    <row r="1715" ht="15.75" customHeight="1">
      <c r="A1715" s="24"/>
      <c r="B1715" s="24"/>
      <c r="C1715" s="28"/>
      <c r="D1715" s="28"/>
      <c r="E1715" s="28"/>
      <c r="F1715" s="28"/>
      <c r="G1715" s="28"/>
      <c r="H1715" s="28"/>
      <c r="I1715" s="28"/>
      <c r="J1715" s="28"/>
      <c r="K1715" s="28"/>
      <c r="L1715" s="28"/>
      <c r="M1715" s="28"/>
      <c r="N1715" s="28"/>
      <c r="O1715" s="24"/>
      <c r="P1715" s="24"/>
      <c r="Q1715" s="24"/>
      <c r="R1715" s="24"/>
      <c r="S1715" s="24"/>
      <c r="T1715" s="24"/>
      <c r="U1715" s="24"/>
      <c r="V1715" s="24"/>
      <c r="W1715" s="24"/>
      <c r="X1715" s="24"/>
      <c r="Y1715" s="24"/>
      <c r="Z1715" s="24"/>
      <c r="AA1715" s="24"/>
      <c r="AB1715" s="24"/>
      <c r="AC1715" s="24"/>
      <c r="AD1715" s="24"/>
      <c r="AE1715" s="24"/>
      <c r="AF1715" s="24"/>
      <c r="AG1715" s="24"/>
      <c r="AH1715" s="24"/>
      <c r="AI1715" s="24"/>
      <c r="AJ1715" s="24"/>
      <c r="AK1715" s="24"/>
      <c r="AL1715" s="24"/>
      <c r="AM1715" s="24"/>
      <c r="AN1715" s="24"/>
      <c r="AO1715" s="24"/>
      <c r="AP1715" s="24"/>
      <c r="AQ1715" s="24"/>
      <c r="AR1715" s="24"/>
      <c r="AS1715" s="24"/>
      <c r="AT1715" s="24"/>
      <c r="AU1715" s="24"/>
      <c r="AV1715" s="24"/>
      <c r="AW1715" s="24"/>
      <c r="AX1715" s="24"/>
    </row>
    <row r="1716" ht="15.75" customHeight="1">
      <c r="A1716" s="24"/>
      <c r="B1716" s="24"/>
      <c r="C1716" s="28"/>
      <c r="D1716" s="28"/>
      <c r="E1716" s="28"/>
      <c r="F1716" s="28"/>
      <c r="G1716" s="28"/>
      <c r="H1716" s="28"/>
      <c r="I1716" s="28"/>
      <c r="J1716" s="28"/>
      <c r="K1716" s="28"/>
      <c r="L1716" s="28"/>
      <c r="M1716" s="28"/>
      <c r="N1716" s="28"/>
      <c r="O1716" s="24"/>
      <c r="P1716" s="24"/>
      <c r="Q1716" s="24"/>
      <c r="R1716" s="24"/>
      <c r="S1716" s="24"/>
      <c r="T1716" s="24"/>
      <c r="U1716" s="24"/>
      <c r="V1716" s="24"/>
      <c r="W1716" s="24"/>
      <c r="X1716" s="24"/>
      <c r="Y1716" s="24"/>
      <c r="Z1716" s="24"/>
      <c r="AA1716" s="24"/>
      <c r="AB1716" s="24"/>
      <c r="AC1716" s="24"/>
      <c r="AD1716" s="24"/>
      <c r="AE1716" s="24"/>
      <c r="AF1716" s="24"/>
      <c r="AG1716" s="24"/>
      <c r="AH1716" s="24"/>
      <c r="AI1716" s="24"/>
      <c r="AJ1716" s="24"/>
      <c r="AK1716" s="24"/>
      <c r="AL1716" s="24"/>
      <c r="AM1716" s="24"/>
      <c r="AN1716" s="24"/>
      <c r="AO1716" s="24"/>
      <c r="AP1716" s="24"/>
      <c r="AQ1716" s="24"/>
      <c r="AR1716" s="24"/>
      <c r="AS1716" s="24"/>
      <c r="AT1716" s="24"/>
      <c r="AU1716" s="24"/>
      <c r="AV1716" s="24"/>
      <c r="AW1716" s="24"/>
      <c r="AX1716" s="24"/>
    </row>
    <row r="1717" ht="15.75" customHeight="1">
      <c r="A1717" s="24"/>
      <c r="B1717" s="24"/>
      <c r="C1717" s="28"/>
      <c r="D1717" s="28"/>
      <c r="E1717" s="28"/>
      <c r="F1717" s="28"/>
      <c r="G1717" s="28"/>
      <c r="H1717" s="28"/>
      <c r="I1717" s="28"/>
      <c r="J1717" s="28"/>
      <c r="K1717" s="28"/>
      <c r="L1717" s="28"/>
      <c r="M1717" s="28"/>
      <c r="N1717" s="28"/>
      <c r="O1717" s="24"/>
      <c r="P1717" s="24"/>
      <c r="Q1717" s="24"/>
      <c r="R1717" s="24"/>
      <c r="S1717" s="24"/>
      <c r="T1717" s="24"/>
      <c r="U1717" s="24"/>
      <c r="V1717" s="24"/>
      <c r="W1717" s="24"/>
      <c r="X1717" s="24"/>
      <c r="Y1717" s="24"/>
      <c r="Z1717" s="24"/>
      <c r="AA1717" s="24"/>
      <c r="AB1717" s="24"/>
      <c r="AC1717" s="24"/>
      <c r="AD1717" s="24"/>
      <c r="AE1717" s="24"/>
      <c r="AF1717" s="24"/>
      <c r="AG1717" s="24"/>
      <c r="AH1717" s="24"/>
      <c r="AI1717" s="24"/>
      <c r="AJ1717" s="24"/>
      <c r="AK1717" s="24"/>
      <c r="AL1717" s="24"/>
      <c r="AM1717" s="24"/>
      <c r="AN1717" s="24"/>
      <c r="AO1717" s="24"/>
      <c r="AP1717" s="24"/>
      <c r="AQ1717" s="24"/>
      <c r="AR1717" s="24"/>
      <c r="AS1717" s="24"/>
      <c r="AT1717" s="24"/>
      <c r="AU1717" s="24"/>
      <c r="AV1717" s="24"/>
      <c r="AW1717" s="24"/>
      <c r="AX1717" s="24"/>
    </row>
    <row r="1718" ht="15.75" customHeight="1">
      <c r="A1718" s="24"/>
      <c r="B1718" s="24"/>
      <c r="C1718" s="28"/>
      <c r="D1718" s="28"/>
      <c r="E1718" s="28"/>
      <c r="F1718" s="28"/>
      <c r="G1718" s="28"/>
      <c r="H1718" s="28"/>
      <c r="I1718" s="28"/>
      <c r="J1718" s="28"/>
      <c r="K1718" s="28"/>
      <c r="L1718" s="28"/>
      <c r="M1718" s="28"/>
      <c r="N1718" s="28"/>
      <c r="O1718" s="24"/>
      <c r="P1718" s="24"/>
      <c r="Q1718" s="24"/>
      <c r="R1718" s="24"/>
      <c r="S1718" s="24"/>
      <c r="T1718" s="24"/>
      <c r="U1718" s="24"/>
      <c r="V1718" s="24"/>
      <c r="W1718" s="24"/>
      <c r="X1718" s="24"/>
      <c r="Y1718" s="24"/>
      <c r="Z1718" s="24"/>
      <c r="AA1718" s="24"/>
      <c r="AB1718" s="24"/>
      <c r="AC1718" s="24"/>
      <c r="AD1718" s="24"/>
      <c r="AE1718" s="24"/>
      <c r="AF1718" s="24"/>
      <c r="AG1718" s="24"/>
      <c r="AH1718" s="24"/>
      <c r="AI1718" s="24"/>
      <c r="AJ1718" s="24"/>
      <c r="AK1718" s="24"/>
      <c r="AL1718" s="24"/>
      <c r="AM1718" s="24"/>
      <c r="AN1718" s="24"/>
      <c r="AO1718" s="24"/>
      <c r="AP1718" s="24"/>
      <c r="AQ1718" s="24"/>
      <c r="AR1718" s="24"/>
      <c r="AS1718" s="24"/>
      <c r="AT1718" s="24"/>
      <c r="AU1718" s="24"/>
      <c r="AV1718" s="24"/>
      <c r="AW1718" s="24"/>
      <c r="AX1718" s="24"/>
    </row>
    <row r="1719" ht="15.75" customHeight="1">
      <c r="A1719" s="24"/>
      <c r="B1719" s="24"/>
      <c r="C1719" s="28"/>
      <c r="D1719" s="28"/>
      <c r="E1719" s="28"/>
      <c r="F1719" s="28"/>
      <c r="G1719" s="28"/>
      <c r="H1719" s="28"/>
      <c r="I1719" s="28"/>
      <c r="J1719" s="28"/>
      <c r="K1719" s="28"/>
      <c r="L1719" s="28"/>
      <c r="M1719" s="28"/>
      <c r="N1719" s="28"/>
      <c r="O1719" s="24"/>
      <c r="P1719" s="24"/>
      <c r="Q1719" s="24"/>
      <c r="R1719" s="24"/>
      <c r="S1719" s="24"/>
      <c r="T1719" s="24"/>
      <c r="U1719" s="24"/>
      <c r="V1719" s="24"/>
      <c r="W1719" s="24"/>
      <c r="X1719" s="24"/>
      <c r="Y1719" s="24"/>
      <c r="Z1719" s="24"/>
      <c r="AA1719" s="24"/>
      <c r="AB1719" s="24"/>
      <c r="AC1719" s="24"/>
      <c r="AD1719" s="24"/>
      <c r="AE1719" s="24"/>
      <c r="AF1719" s="24"/>
      <c r="AG1719" s="24"/>
      <c r="AH1719" s="24"/>
      <c r="AI1719" s="24"/>
      <c r="AJ1719" s="24"/>
      <c r="AK1719" s="24"/>
      <c r="AL1719" s="24"/>
      <c r="AM1719" s="24"/>
      <c r="AN1719" s="24"/>
      <c r="AO1719" s="24"/>
      <c r="AP1719" s="24"/>
      <c r="AQ1719" s="24"/>
      <c r="AR1719" s="24"/>
      <c r="AS1719" s="24"/>
      <c r="AT1719" s="24"/>
      <c r="AU1719" s="24"/>
      <c r="AV1719" s="24"/>
      <c r="AW1719" s="24"/>
      <c r="AX1719" s="24"/>
    </row>
    <row r="1720" ht="15.75" customHeight="1">
      <c r="A1720" s="24"/>
      <c r="B1720" s="24"/>
      <c r="C1720" s="28"/>
      <c r="D1720" s="28"/>
      <c r="E1720" s="28"/>
      <c r="F1720" s="28"/>
      <c r="G1720" s="28"/>
      <c r="H1720" s="28"/>
      <c r="I1720" s="28"/>
      <c r="J1720" s="28"/>
      <c r="K1720" s="28"/>
      <c r="L1720" s="28"/>
      <c r="M1720" s="28"/>
      <c r="N1720" s="28"/>
      <c r="O1720" s="24"/>
      <c r="P1720" s="24"/>
      <c r="Q1720" s="24"/>
      <c r="R1720" s="24"/>
      <c r="S1720" s="24"/>
      <c r="T1720" s="24"/>
      <c r="U1720" s="24"/>
      <c r="V1720" s="24"/>
      <c r="W1720" s="24"/>
      <c r="X1720" s="24"/>
      <c r="Y1720" s="24"/>
      <c r="Z1720" s="24"/>
      <c r="AA1720" s="24"/>
      <c r="AB1720" s="24"/>
      <c r="AC1720" s="24"/>
      <c r="AD1720" s="24"/>
      <c r="AE1720" s="24"/>
      <c r="AF1720" s="24"/>
      <c r="AG1720" s="24"/>
      <c r="AH1720" s="24"/>
      <c r="AI1720" s="24"/>
      <c r="AJ1720" s="24"/>
      <c r="AK1720" s="24"/>
      <c r="AL1720" s="24"/>
      <c r="AM1720" s="24"/>
      <c r="AN1720" s="24"/>
      <c r="AO1720" s="24"/>
      <c r="AP1720" s="24"/>
      <c r="AQ1720" s="24"/>
      <c r="AR1720" s="24"/>
      <c r="AS1720" s="24"/>
      <c r="AT1720" s="24"/>
      <c r="AU1720" s="24"/>
      <c r="AV1720" s="24"/>
      <c r="AW1720" s="24"/>
      <c r="AX1720" s="24"/>
    </row>
    <row r="1721" ht="15.75" customHeight="1">
      <c r="A1721" s="24"/>
      <c r="B1721" s="24"/>
      <c r="C1721" s="28"/>
      <c r="D1721" s="28"/>
      <c r="E1721" s="28"/>
      <c r="F1721" s="28"/>
      <c r="G1721" s="28"/>
      <c r="H1721" s="28"/>
      <c r="I1721" s="28"/>
      <c r="J1721" s="28"/>
      <c r="K1721" s="28"/>
      <c r="L1721" s="28"/>
      <c r="M1721" s="28"/>
      <c r="N1721" s="28"/>
      <c r="O1721" s="24"/>
      <c r="P1721" s="24"/>
      <c r="Q1721" s="24"/>
      <c r="R1721" s="24"/>
      <c r="S1721" s="24"/>
      <c r="T1721" s="24"/>
      <c r="U1721" s="24"/>
      <c r="V1721" s="24"/>
      <c r="W1721" s="24"/>
      <c r="X1721" s="24"/>
      <c r="Y1721" s="24"/>
      <c r="Z1721" s="24"/>
      <c r="AA1721" s="24"/>
      <c r="AB1721" s="24"/>
      <c r="AC1721" s="24"/>
      <c r="AD1721" s="24"/>
      <c r="AE1721" s="24"/>
      <c r="AF1721" s="24"/>
      <c r="AG1721" s="24"/>
      <c r="AH1721" s="24"/>
      <c r="AI1721" s="24"/>
      <c r="AJ1721" s="24"/>
      <c r="AK1721" s="24"/>
      <c r="AL1721" s="24"/>
      <c r="AM1721" s="24"/>
      <c r="AN1721" s="24"/>
      <c r="AO1721" s="24"/>
      <c r="AP1721" s="24"/>
      <c r="AQ1721" s="24"/>
      <c r="AR1721" s="24"/>
      <c r="AS1721" s="24"/>
      <c r="AT1721" s="24"/>
      <c r="AU1721" s="24"/>
      <c r="AV1721" s="24"/>
      <c r="AW1721" s="24"/>
      <c r="AX1721" s="24"/>
    </row>
    <row r="1722" ht="15.75" customHeight="1">
      <c r="A1722" s="24"/>
      <c r="B1722" s="24"/>
      <c r="C1722" s="28"/>
      <c r="D1722" s="28"/>
      <c r="E1722" s="28"/>
      <c r="F1722" s="28"/>
      <c r="G1722" s="28"/>
      <c r="H1722" s="28"/>
      <c r="I1722" s="28"/>
      <c r="J1722" s="28"/>
      <c r="K1722" s="28"/>
      <c r="L1722" s="28"/>
      <c r="M1722" s="28"/>
      <c r="N1722" s="28"/>
      <c r="O1722" s="24"/>
      <c r="P1722" s="24"/>
      <c r="Q1722" s="24"/>
      <c r="R1722" s="24"/>
      <c r="S1722" s="24"/>
      <c r="T1722" s="24"/>
      <c r="U1722" s="24"/>
      <c r="V1722" s="24"/>
      <c r="W1722" s="24"/>
      <c r="X1722" s="24"/>
      <c r="Y1722" s="24"/>
      <c r="Z1722" s="24"/>
      <c r="AA1722" s="24"/>
      <c r="AB1722" s="24"/>
      <c r="AC1722" s="24"/>
      <c r="AD1722" s="24"/>
      <c r="AE1722" s="24"/>
      <c r="AF1722" s="24"/>
      <c r="AG1722" s="24"/>
      <c r="AH1722" s="24"/>
      <c r="AI1722" s="24"/>
      <c r="AJ1722" s="24"/>
      <c r="AK1722" s="24"/>
      <c r="AL1722" s="24"/>
      <c r="AM1722" s="24"/>
      <c r="AN1722" s="24"/>
      <c r="AO1722" s="24"/>
      <c r="AP1722" s="24"/>
      <c r="AQ1722" s="24"/>
      <c r="AR1722" s="24"/>
      <c r="AS1722" s="24"/>
      <c r="AT1722" s="24"/>
      <c r="AU1722" s="24"/>
      <c r="AV1722" s="24"/>
      <c r="AW1722" s="24"/>
      <c r="AX1722" s="24"/>
    </row>
    <row r="1723" ht="15.75" customHeight="1">
      <c r="A1723" s="24"/>
      <c r="B1723" s="24"/>
      <c r="C1723" s="28"/>
      <c r="D1723" s="28"/>
      <c r="E1723" s="28"/>
      <c r="F1723" s="28"/>
      <c r="G1723" s="28"/>
      <c r="H1723" s="28"/>
      <c r="I1723" s="28"/>
      <c r="J1723" s="28"/>
      <c r="K1723" s="28"/>
      <c r="L1723" s="28"/>
      <c r="M1723" s="28"/>
      <c r="N1723" s="28"/>
      <c r="O1723" s="24"/>
      <c r="P1723" s="24"/>
      <c r="Q1723" s="24"/>
      <c r="R1723" s="24"/>
      <c r="S1723" s="24"/>
      <c r="T1723" s="24"/>
      <c r="U1723" s="24"/>
      <c r="V1723" s="24"/>
      <c r="W1723" s="24"/>
      <c r="X1723" s="24"/>
      <c r="Y1723" s="24"/>
      <c r="Z1723" s="24"/>
      <c r="AA1723" s="24"/>
      <c r="AB1723" s="24"/>
      <c r="AC1723" s="24"/>
      <c r="AD1723" s="24"/>
      <c r="AE1723" s="24"/>
      <c r="AF1723" s="24"/>
      <c r="AG1723" s="24"/>
      <c r="AH1723" s="24"/>
      <c r="AI1723" s="24"/>
      <c r="AJ1723" s="24"/>
      <c r="AK1723" s="24"/>
      <c r="AL1723" s="24"/>
      <c r="AM1723" s="24"/>
      <c r="AN1723" s="24"/>
      <c r="AO1723" s="24"/>
      <c r="AP1723" s="24"/>
      <c r="AQ1723" s="24"/>
      <c r="AR1723" s="24"/>
      <c r="AS1723" s="24"/>
      <c r="AT1723" s="24"/>
      <c r="AU1723" s="24"/>
      <c r="AV1723" s="24"/>
      <c r="AW1723" s="24"/>
      <c r="AX1723" s="24"/>
    </row>
    <row r="1724" ht="15.75" customHeight="1">
      <c r="A1724" s="24"/>
      <c r="B1724" s="24"/>
      <c r="C1724" s="28"/>
      <c r="D1724" s="28"/>
      <c r="E1724" s="28"/>
      <c r="F1724" s="28"/>
      <c r="G1724" s="28"/>
      <c r="H1724" s="28"/>
      <c r="I1724" s="28"/>
      <c r="J1724" s="28"/>
      <c r="K1724" s="28"/>
      <c r="L1724" s="28"/>
      <c r="M1724" s="28"/>
      <c r="N1724" s="28"/>
      <c r="O1724" s="24"/>
      <c r="P1724" s="24"/>
      <c r="Q1724" s="24"/>
      <c r="R1724" s="24"/>
      <c r="S1724" s="24"/>
      <c r="T1724" s="24"/>
      <c r="U1724" s="24"/>
      <c r="V1724" s="24"/>
      <c r="W1724" s="24"/>
      <c r="X1724" s="24"/>
      <c r="Y1724" s="24"/>
      <c r="Z1724" s="24"/>
      <c r="AA1724" s="24"/>
      <c r="AB1724" s="24"/>
      <c r="AC1724" s="24"/>
      <c r="AD1724" s="24"/>
      <c r="AE1724" s="24"/>
      <c r="AF1724" s="24"/>
      <c r="AG1724" s="24"/>
      <c r="AH1724" s="24"/>
      <c r="AI1724" s="24"/>
      <c r="AJ1724" s="24"/>
      <c r="AK1724" s="24"/>
      <c r="AL1724" s="24"/>
      <c r="AM1724" s="24"/>
      <c r="AN1724" s="24"/>
      <c r="AO1724" s="24"/>
      <c r="AP1724" s="24"/>
      <c r="AQ1724" s="24"/>
      <c r="AR1724" s="24"/>
      <c r="AS1724" s="24"/>
      <c r="AT1724" s="24"/>
      <c r="AU1724" s="24"/>
      <c r="AV1724" s="24"/>
      <c r="AW1724" s="24"/>
      <c r="AX1724" s="24"/>
    </row>
    <row r="1725" ht="15.75" customHeight="1">
      <c r="A1725" s="24"/>
      <c r="B1725" s="24"/>
      <c r="C1725" s="28"/>
      <c r="D1725" s="28"/>
      <c r="E1725" s="28"/>
      <c r="F1725" s="28"/>
      <c r="G1725" s="28"/>
      <c r="H1725" s="28"/>
      <c r="I1725" s="28"/>
      <c r="J1725" s="28"/>
      <c r="K1725" s="28"/>
      <c r="L1725" s="28"/>
      <c r="M1725" s="28"/>
      <c r="N1725" s="28"/>
      <c r="O1725" s="24"/>
      <c r="P1725" s="24"/>
      <c r="Q1725" s="24"/>
      <c r="R1725" s="24"/>
      <c r="S1725" s="24"/>
      <c r="T1725" s="24"/>
      <c r="U1725" s="24"/>
      <c r="V1725" s="24"/>
      <c r="W1725" s="24"/>
      <c r="X1725" s="24"/>
      <c r="Y1725" s="24"/>
      <c r="Z1725" s="24"/>
      <c r="AA1725" s="24"/>
      <c r="AB1725" s="24"/>
      <c r="AC1725" s="24"/>
      <c r="AD1725" s="24"/>
      <c r="AE1725" s="24"/>
      <c r="AF1725" s="24"/>
      <c r="AG1725" s="24"/>
      <c r="AH1725" s="24"/>
      <c r="AI1725" s="24"/>
      <c r="AJ1725" s="24"/>
      <c r="AK1725" s="24"/>
      <c r="AL1725" s="24"/>
      <c r="AM1725" s="24"/>
      <c r="AN1725" s="24"/>
      <c r="AO1725" s="24"/>
      <c r="AP1725" s="24"/>
      <c r="AQ1725" s="24"/>
      <c r="AR1725" s="24"/>
      <c r="AS1725" s="24"/>
      <c r="AT1725" s="24"/>
      <c r="AU1725" s="24"/>
      <c r="AV1725" s="24"/>
      <c r="AW1725" s="24"/>
      <c r="AX1725" s="24"/>
    </row>
    <row r="1726" ht="15.75" customHeight="1">
      <c r="A1726" s="24"/>
      <c r="B1726" s="24"/>
      <c r="C1726" s="28"/>
      <c r="D1726" s="28"/>
      <c r="E1726" s="28"/>
      <c r="F1726" s="28"/>
      <c r="G1726" s="28"/>
      <c r="H1726" s="28"/>
      <c r="I1726" s="28"/>
      <c r="J1726" s="28"/>
      <c r="K1726" s="28"/>
      <c r="L1726" s="28"/>
      <c r="M1726" s="28"/>
      <c r="N1726" s="28"/>
      <c r="O1726" s="24"/>
      <c r="P1726" s="24"/>
      <c r="Q1726" s="24"/>
      <c r="R1726" s="24"/>
      <c r="S1726" s="24"/>
      <c r="T1726" s="24"/>
      <c r="U1726" s="24"/>
      <c r="V1726" s="24"/>
      <c r="W1726" s="24"/>
      <c r="X1726" s="24"/>
      <c r="Y1726" s="24"/>
      <c r="Z1726" s="24"/>
      <c r="AA1726" s="24"/>
      <c r="AB1726" s="24"/>
      <c r="AC1726" s="24"/>
      <c r="AD1726" s="24"/>
      <c r="AE1726" s="24"/>
      <c r="AF1726" s="24"/>
      <c r="AG1726" s="24"/>
      <c r="AH1726" s="24"/>
      <c r="AI1726" s="24"/>
      <c r="AJ1726" s="24"/>
      <c r="AK1726" s="24"/>
      <c r="AL1726" s="24"/>
      <c r="AM1726" s="24"/>
      <c r="AN1726" s="24"/>
      <c r="AO1726" s="24"/>
      <c r="AP1726" s="24"/>
      <c r="AQ1726" s="24"/>
      <c r="AR1726" s="24"/>
      <c r="AS1726" s="24"/>
      <c r="AT1726" s="24"/>
      <c r="AU1726" s="24"/>
      <c r="AV1726" s="24"/>
      <c r="AW1726" s="24"/>
      <c r="AX1726" s="24"/>
    </row>
    <row r="1727" ht="15.75" customHeight="1">
      <c r="A1727" s="24"/>
      <c r="B1727" s="24"/>
      <c r="C1727" s="28"/>
      <c r="D1727" s="28"/>
      <c r="E1727" s="28"/>
      <c r="F1727" s="28"/>
      <c r="G1727" s="28"/>
      <c r="H1727" s="28"/>
      <c r="I1727" s="28"/>
      <c r="J1727" s="28"/>
      <c r="K1727" s="28"/>
      <c r="L1727" s="28"/>
      <c r="M1727" s="28"/>
      <c r="N1727" s="28"/>
      <c r="O1727" s="24"/>
      <c r="P1727" s="24"/>
      <c r="Q1727" s="24"/>
      <c r="R1727" s="24"/>
      <c r="S1727" s="24"/>
      <c r="T1727" s="24"/>
      <c r="U1727" s="24"/>
      <c r="V1727" s="24"/>
      <c r="W1727" s="24"/>
      <c r="X1727" s="24"/>
      <c r="Y1727" s="24"/>
      <c r="Z1727" s="24"/>
      <c r="AA1727" s="24"/>
      <c r="AB1727" s="24"/>
      <c r="AC1727" s="24"/>
      <c r="AD1727" s="24"/>
      <c r="AE1727" s="24"/>
      <c r="AF1727" s="24"/>
      <c r="AG1727" s="24"/>
      <c r="AH1727" s="24"/>
      <c r="AI1727" s="24"/>
      <c r="AJ1727" s="24"/>
      <c r="AK1727" s="24"/>
      <c r="AL1727" s="24"/>
      <c r="AM1727" s="24"/>
      <c r="AN1727" s="24"/>
      <c r="AO1727" s="24"/>
      <c r="AP1727" s="24"/>
      <c r="AQ1727" s="24"/>
      <c r="AR1727" s="24"/>
      <c r="AS1727" s="24"/>
      <c r="AT1727" s="24"/>
      <c r="AU1727" s="24"/>
      <c r="AV1727" s="24"/>
      <c r="AW1727" s="24"/>
      <c r="AX1727" s="24"/>
    </row>
    <row r="1728" ht="15.75" customHeight="1">
      <c r="A1728" s="24"/>
      <c r="B1728" s="24"/>
      <c r="C1728" s="28"/>
      <c r="D1728" s="28"/>
      <c r="E1728" s="28"/>
      <c r="F1728" s="28"/>
      <c r="G1728" s="28"/>
      <c r="H1728" s="28"/>
      <c r="I1728" s="28"/>
      <c r="J1728" s="28"/>
      <c r="K1728" s="28"/>
      <c r="L1728" s="28"/>
      <c r="M1728" s="28"/>
      <c r="N1728" s="28"/>
      <c r="O1728" s="24"/>
      <c r="P1728" s="24"/>
      <c r="Q1728" s="24"/>
      <c r="R1728" s="24"/>
      <c r="S1728" s="24"/>
      <c r="T1728" s="24"/>
      <c r="U1728" s="24"/>
      <c r="V1728" s="24"/>
      <c r="W1728" s="24"/>
      <c r="X1728" s="24"/>
      <c r="Y1728" s="24"/>
      <c r="Z1728" s="24"/>
      <c r="AA1728" s="24"/>
      <c r="AB1728" s="24"/>
      <c r="AC1728" s="24"/>
      <c r="AD1728" s="24"/>
      <c r="AE1728" s="24"/>
      <c r="AF1728" s="24"/>
      <c r="AG1728" s="24"/>
      <c r="AH1728" s="24"/>
      <c r="AI1728" s="24"/>
      <c r="AJ1728" s="24"/>
      <c r="AK1728" s="24"/>
      <c r="AL1728" s="24"/>
      <c r="AM1728" s="24"/>
      <c r="AN1728" s="24"/>
      <c r="AO1728" s="24"/>
      <c r="AP1728" s="24"/>
      <c r="AQ1728" s="24"/>
      <c r="AR1728" s="24"/>
      <c r="AS1728" s="24"/>
      <c r="AT1728" s="24"/>
      <c r="AU1728" s="24"/>
      <c r="AV1728" s="24"/>
      <c r="AW1728" s="24"/>
      <c r="AX1728" s="24"/>
    </row>
    <row r="1729" ht="15.75" customHeight="1">
      <c r="A1729" s="24"/>
      <c r="B1729" s="24"/>
      <c r="C1729" s="28"/>
      <c r="D1729" s="28"/>
      <c r="E1729" s="28"/>
      <c r="F1729" s="28"/>
      <c r="G1729" s="28"/>
      <c r="H1729" s="28"/>
      <c r="I1729" s="28"/>
      <c r="J1729" s="28"/>
      <c r="K1729" s="28"/>
      <c r="L1729" s="28"/>
      <c r="M1729" s="28"/>
      <c r="N1729" s="28"/>
      <c r="O1729" s="24"/>
      <c r="P1729" s="24"/>
      <c r="Q1729" s="24"/>
      <c r="R1729" s="24"/>
      <c r="S1729" s="24"/>
      <c r="T1729" s="24"/>
      <c r="U1729" s="24"/>
      <c r="V1729" s="24"/>
      <c r="W1729" s="24"/>
      <c r="X1729" s="24"/>
      <c r="Y1729" s="24"/>
      <c r="Z1729" s="24"/>
      <c r="AA1729" s="24"/>
      <c r="AB1729" s="24"/>
      <c r="AC1729" s="24"/>
      <c r="AD1729" s="24"/>
      <c r="AE1729" s="24"/>
      <c r="AF1729" s="24"/>
      <c r="AG1729" s="24"/>
      <c r="AH1729" s="24"/>
      <c r="AI1729" s="24"/>
      <c r="AJ1729" s="24"/>
      <c r="AK1729" s="24"/>
      <c r="AL1729" s="24"/>
      <c r="AM1729" s="24"/>
      <c r="AN1729" s="24"/>
      <c r="AO1729" s="24"/>
      <c r="AP1729" s="24"/>
      <c r="AQ1729" s="24"/>
      <c r="AR1729" s="24"/>
      <c r="AS1729" s="24"/>
      <c r="AT1729" s="24"/>
      <c r="AU1729" s="24"/>
      <c r="AV1729" s="24"/>
      <c r="AW1729" s="24"/>
      <c r="AX1729" s="24"/>
    </row>
    <row r="1730" ht="15.75" customHeight="1">
      <c r="A1730" s="24"/>
      <c r="B1730" s="24"/>
      <c r="C1730" s="28"/>
      <c r="D1730" s="28"/>
      <c r="E1730" s="28"/>
      <c r="F1730" s="28"/>
      <c r="G1730" s="28"/>
      <c r="H1730" s="28"/>
      <c r="I1730" s="28"/>
      <c r="J1730" s="28"/>
      <c r="K1730" s="28"/>
      <c r="L1730" s="28"/>
      <c r="M1730" s="28"/>
      <c r="N1730" s="28"/>
      <c r="O1730" s="24"/>
      <c r="P1730" s="24"/>
      <c r="Q1730" s="24"/>
      <c r="R1730" s="24"/>
      <c r="S1730" s="24"/>
      <c r="T1730" s="24"/>
      <c r="U1730" s="24"/>
      <c r="V1730" s="24"/>
      <c r="W1730" s="24"/>
      <c r="X1730" s="24"/>
      <c r="Y1730" s="24"/>
      <c r="Z1730" s="24"/>
      <c r="AA1730" s="24"/>
      <c r="AB1730" s="24"/>
      <c r="AC1730" s="24"/>
      <c r="AD1730" s="24"/>
      <c r="AE1730" s="24"/>
      <c r="AF1730" s="24"/>
      <c r="AG1730" s="24"/>
      <c r="AH1730" s="24"/>
      <c r="AI1730" s="24"/>
      <c r="AJ1730" s="24"/>
      <c r="AK1730" s="24"/>
      <c r="AL1730" s="24"/>
      <c r="AM1730" s="24"/>
      <c r="AN1730" s="24"/>
      <c r="AO1730" s="24"/>
      <c r="AP1730" s="24"/>
      <c r="AQ1730" s="24"/>
      <c r="AR1730" s="24"/>
      <c r="AS1730" s="24"/>
      <c r="AT1730" s="24"/>
      <c r="AU1730" s="24"/>
      <c r="AV1730" s="24"/>
      <c r="AW1730" s="24"/>
      <c r="AX1730" s="24"/>
    </row>
    <row r="1731" ht="15.75" customHeight="1">
      <c r="A1731" s="24"/>
      <c r="B1731" s="24"/>
      <c r="C1731" s="28"/>
      <c r="D1731" s="28"/>
      <c r="E1731" s="28"/>
      <c r="F1731" s="28"/>
      <c r="G1731" s="28"/>
      <c r="H1731" s="28"/>
      <c r="I1731" s="28"/>
      <c r="J1731" s="28"/>
      <c r="K1731" s="28"/>
      <c r="L1731" s="28"/>
      <c r="M1731" s="28"/>
      <c r="N1731" s="28"/>
      <c r="O1731" s="24"/>
      <c r="P1731" s="24"/>
      <c r="Q1731" s="24"/>
      <c r="R1731" s="24"/>
      <c r="S1731" s="24"/>
      <c r="T1731" s="24"/>
      <c r="U1731" s="24"/>
      <c r="V1731" s="24"/>
      <c r="W1731" s="24"/>
      <c r="X1731" s="24"/>
      <c r="Y1731" s="24"/>
      <c r="Z1731" s="24"/>
      <c r="AA1731" s="24"/>
      <c r="AB1731" s="24"/>
      <c r="AC1731" s="24"/>
      <c r="AD1731" s="24"/>
      <c r="AE1731" s="24"/>
      <c r="AF1731" s="24"/>
      <c r="AG1731" s="24"/>
      <c r="AH1731" s="24"/>
      <c r="AI1731" s="24"/>
      <c r="AJ1731" s="24"/>
      <c r="AK1731" s="24"/>
      <c r="AL1731" s="24"/>
      <c r="AM1731" s="24"/>
      <c r="AN1731" s="24"/>
      <c r="AO1731" s="24"/>
      <c r="AP1731" s="24"/>
      <c r="AQ1731" s="24"/>
      <c r="AR1731" s="24"/>
      <c r="AS1731" s="24"/>
      <c r="AT1731" s="24"/>
      <c r="AU1731" s="24"/>
      <c r="AV1731" s="24"/>
      <c r="AW1731" s="24"/>
      <c r="AX1731" s="24"/>
    </row>
    <row r="1732" ht="15.75" customHeight="1">
      <c r="A1732" s="24"/>
      <c r="B1732" s="24"/>
      <c r="C1732" s="28"/>
      <c r="D1732" s="28"/>
      <c r="E1732" s="28"/>
      <c r="F1732" s="28"/>
      <c r="G1732" s="28"/>
      <c r="H1732" s="28"/>
      <c r="I1732" s="28"/>
      <c r="J1732" s="28"/>
      <c r="K1732" s="28"/>
      <c r="L1732" s="28"/>
      <c r="M1732" s="28"/>
      <c r="N1732" s="28"/>
      <c r="O1732" s="24"/>
      <c r="P1732" s="24"/>
      <c r="Q1732" s="24"/>
      <c r="R1732" s="24"/>
      <c r="S1732" s="24"/>
      <c r="T1732" s="24"/>
      <c r="U1732" s="24"/>
      <c r="V1732" s="24"/>
      <c r="W1732" s="24"/>
      <c r="X1732" s="24"/>
      <c r="Y1732" s="24"/>
      <c r="Z1732" s="24"/>
      <c r="AA1732" s="24"/>
      <c r="AB1732" s="24"/>
      <c r="AC1732" s="24"/>
      <c r="AD1732" s="24"/>
      <c r="AE1732" s="24"/>
      <c r="AF1732" s="24"/>
      <c r="AG1732" s="24"/>
      <c r="AH1732" s="24"/>
      <c r="AI1732" s="24"/>
      <c r="AJ1732" s="24"/>
      <c r="AK1732" s="24"/>
      <c r="AL1732" s="24"/>
      <c r="AM1732" s="24"/>
      <c r="AN1732" s="24"/>
      <c r="AO1732" s="24"/>
      <c r="AP1732" s="24"/>
      <c r="AQ1732" s="24"/>
      <c r="AR1732" s="24"/>
      <c r="AS1732" s="24"/>
      <c r="AT1732" s="24"/>
      <c r="AU1732" s="24"/>
      <c r="AV1732" s="24"/>
      <c r="AW1732" s="24"/>
      <c r="AX1732" s="24"/>
    </row>
    <row r="1733" ht="15.75" customHeight="1">
      <c r="A1733" s="24"/>
      <c r="B1733" s="24"/>
      <c r="C1733" s="28"/>
      <c r="D1733" s="28"/>
      <c r="E1733" s="28"/>
      <c r="F1733" s="28"/>
      <c r="G1733" s="28"/>
      <c r="H1733" s="28"/>
      <c r="I1733" s="28"/>
      <c r="J1733" s="28"/>
      <c r="K1733" s="28"/>
      <c r="L1733" s="28"/>
      <c r="M1733" s="28"/>
      <c r="N1733" s="28"/>
      <c r="O1733" s="24"/>
      <c r="P1733" s="24"/>
      <c r="Q1733" s="24"/>
      <c r="R1733" s="24"/>
      <c r="S1733" s="24"/>
      <c r="T1733" s="24"/>
      <c r="U1733" s="24"/>
      <c r="V1733" s="24"/>
      <c r="W1733" s="24"/>
      <c r="X1733" s="24"/>
      <c r="Y1733" s="24"/>
      <c r="Z1733" s="24"/>
      <c r="AA1733" s="24"/>
      <c r="AB1733" s="24"/>
      <c r="AC1733" s="24"/>
      <c r="AD1733" s="24"/>
      <c r="AE1733" s="24"/>
      <c r="AF1733" s="24"/>
      <c r="AG1733" s="24"/>
      <c r="AH1733" s="24"/>
      <c r="AI1733" s="24"/>
      <c r="AJ1733" s="24"/>
      <c r="AK1733" s="24"/>
      <c r="AL1733" s="24"/>
      <c r="AM1733" s="24"/>
      <c r="AN1733" s="24"/>
      <c r="AO1733" s="24"/>
      <c r="AP1733" s="24"/>
      <c r="AQ1733" s="24"/>
      <c r="AR1733" s="24"/>
      <c r="AS1733" s="24"/>
      <c r="AT1733" s="24"/>
      <c r="AU1733" s="24"/>
      <c r="AV1733" s="24"/>
      <c r="AW1733" s="24"/>
      <c r="AX1733" s="24"/>
    </row>
    <row r="1734" ht="15.75" customHeight="1">
      <c r="A1734" s="24"/>
      <c r="B1734" s="24"/>
      <c r="C1734" s="28"/>
      <c r="D1734" s="28"/>
      <c r="E1734" s="28"/>
      <c r="F1734" s="28"/>
      <c r="G1734" s="28"/>
      <c r="H1734" s="28"/>
      <c r="I1734" s="28"/>
      <c r="J1734" s="28"/>
      <c r="K1734" s="28"/>
      <c r="L1734" s="28"/>
      <c r="M1734" s="28"/>
      <c r="N1734" s="28"/>
      <c r="O1734" s="24"/>
      <c r="P1734" s="24"/>
      <c r="Q1734" s="24"/>
      <c r="R1734" s="24"/>
      <c r="S1734" s="24"/>
      <c r="T1734" s="24"/>
      <c r="U1734" s="24"/>
      <c r="V1734" s="24"/>
      <c r="W1734" s="24"/>
      <c r="X1734" s="24"/>
      <c r="Y1734" s="24"/>
      <c r="Z1734" s="24"/>
      <c r="AA1734" s="24"/>
      <c r="AB1734" s="24"/>
      <c r="AC1734" s="24"/>
      <c r="AD1734" s="24"/>
      <c r="AE1734" s="24"/>
      <c r="AF1734" s="24"/>
      <c r="AG1734" s="24"/>
      <c r="AH1734" s="24"/>
      <c r="AI1734" s="24"/>
      <c r="AJ1734" s="24"/>
      <c r="AK1734" s="24"/>
      <c r="AL1734" s="24"/>
      <c r="AM1734" s="24"/>
      <c r="AN1734" s="24"/>
      <c r="AO1734" s="24"/>
      <c r="AP1734" s="24"/>
      <c r="AQ1734" s="24"/>
      <c r="AR1734" s="24"/>
      <c r="AS1734" s="24"/>
      <c r="AT1734" s="24"/>
      <c r="AU1734" s="24"/>
      <c r="AV1734" s="24"/>
      <c r="AW1734" s="24"/>
      <c r="AX1734" s="24"/>
    </row>
    <row r="1735" ht="15.75" customHeight="1">
      <c r="A1735" s="24"/>
      <c r="B1735" s="24"/>
      <c r="C1735" s="28"/>
      <c r="D1735" s="28"/>
      <c r="E1735" s="28"/>
      <c r="F1735" s="28"/>
      <c r="G1735" s="28"/>
      <c r="H1735" s="28"/>
      <c r="I1735" s="28"/>
      <c r="J1735" s="28"/>
      <c r="K1735" s="28"/>
      <c r="L1735" s="28"/>
      <c r="M1735" s="28"/>
      <c r="N1735" s="28"/>
      <c r="O1735" s="24"/>
      <c r="P1735" s="24"/>
      <c r="Q1735" s="24"/>
      <c r="R1735" s="24"/>
      <c r="S1735" s="24"/>
      <c r="T1735" s="24"/>
      <c r="U1735" s="24"/>
      <c r="V1735" s="24"/>
      <c r="W1735" s="24"/>
      <c r="X1735" s="24"/>
      <c r="Y1735" s="24"/>
      <c r="Z1735" s="24"/>
      <c r="AA1735" s="24"/>
      <c r="AB1735" s="24"/>
      <c r="AC1735" s="24"/>
      <c r="AD1735" s="24"/>
      <c r="AE1735" s="24"/>
      <c r="AF1735" s="24"/>
      <c r="AG1735" s="24"/>
      <c r="AH1735" s="24"/>
      <c r="AI1735" s="24"/>
      <c r="AJ1735" s="24"/>
      <c r="AK1735" s="24"/>
      <c r="AL1735" s="24"/>
      <c r="AM1735" s="24"/>
      <c r="AN1735" s="24"/>
      <c r="AO1735" s="24"/>
      <c r="AP1735" s="24"/>
      <c r="AQ1735" s="24"/>
      <c r="AR1735" s="24"/>
      <c r="AS1735" s="24"/>
      <c r="AT1735" s="24"/>
      <c r="AU1735" s="24"/>
      <c r="AV1735" s="24"/>
      <c r="AW1735" s="24"/>
      <c r="AX1735" s="24"/>
    </row>
    <row r="1736" ht="15.75" customHeight="1">
      <c r="A1736" s="24"/>
      <c r="B1736" s="24"/>
      <c r="C1736" s="28"/>
      <c r="D1736" s="28"/>
      <c r="E1736" s="28"/>
      <c r="F1736" s="28"/>
      <c r="G1736" s="28"/>
      <c r="H1736" s="28"/>
      <c r="I1736" s="28"/>
      <c r="J1736" s="28"/>
      <c r="K1736" s="28"/>
      <c r="L1736" s="28"/>
      <c r="M1736" s="28"/>
      <c r="N1736" s="28"/>
      <c r="O1736" s="24"/>
      <c r="P1736" s="24"/>
      <c r="Q1736" s="24"/>
      <c r="R1736" s="24"/>
      <c r="S1736" s="24"/>
      <c r="T1736" s="24"/>
      <c r="U1736" s="24"/>
      <c r="V1736" s="24"/>
      <c r="W1736" s="24"/>
      <c r="X1736" s="24"/>
      <c r="Y1736" s="24"/>
      <c r="Z1736" s="24"/>
      <c r="AA1736" s="24"/>
      <c r="AB1736" s="24"/>
      <c r="AC1736" s="24"/>
      <c r="AD1736" s="24"/>
      <c r="AE1736" s="24"/>
      <c r="AF1736" s="24"/>
      <c r="AG1736" s="24"/>
      <c r="AH1736" s="24"/>
      <c r="AI1736" s="24"/>
      <c r="AJ1736" s="24"/>
      <c r="AK1736" s="24"/>
      <c r="AL1736" s="24"/>
      <c r="AM1736" s="24"/>
      <c r="AN1736" s="24"/>
      <c r="AO1736" s="24"/>
      <c r="AP1736" s="24"/>
      <c r="AQ1736" s="24"/>
      <c r="AR1736" s="24"/>
      <c r="AS1736" s="24"/>
      <c r="AT1736" s="24"/>
      <c r="AU1736" s="24"/>
      <c r="AV1736" s="24"/>
      <c r="AW1736" s="24"/>
      <c r="AX1736" s="24"/>
    </row>
    <row r="1737" ht="15.75" customHeight="1">
      <c r="A1737" s="24"/>
      <c r="B1737" s="24"/>
      <c r="C1737" s="28"/>
      <c r="D1737" s="28"/>
      <c r="E1737" s="28"/>
      <c r="F1737" s="28"/>
      <c r="G1737" s="28"/>
      <c r="H1737" s="28"/>
      <c r="I1737" s="28"/>
      <c r="J1737" s="28"/>
      <c r="K1737" s="28"/>
      <c r="L1737" s="28"/>
      <c r="M1737" s="28"/>
      <c r="N1737" s="28"/>
      <c r="O1737" s="24"/>
      <c r="P1737" s="24"/>
      <c r="Q1737" s="24"/>
      <c r="R1737" s="24"/>
      <c r="S1737" s="24"/>
      <c r="T1737" s="24"/>
      <c r="U1737" s="24"/>
      <c r="V1737" s="24"/>
      <c r="W1737" s="24"/>
      <c r="X1737" s="24"/>
      <c r="Y1737" s="24"/>
      <c r="Z1737" s="24"/>
      <c r="AA1737" s="24"/>
      <c r="AB1737" s="24"/>
      <c r="AC1737" s="24"/>
      <c r="AD1737" s="24"/>
      <c r="AE1737" s="24"/>
      <c r="AF1737" s="24"/>
      <c r="AG1737" s="24"/>
      <c r="AH1737" s="24"/>
      <c r="AI1737" s="24"/>
      <c r="AJ1737" s="24"/>
      <c r="AK1737" s="24"/>
      <c r="AL1737" s="24"/>
      <c r="AM1737" s="24"/>
      <c r="AN1737" s="24"/>
      <c r="AO1737" s="24"/>
      <c r="AP1737" s="24"/>
      <c r="AQ1737" s="24"/>
      <c r="AR1737" s="24"/>
      <c r="AS1737" s="24"/>
      <c r="AT1737" s="24"/>
      <c r="AU1737" s="24"/>
      <c r="AV1737" s="24"/>
      <c r="AW1737" s="24"/>
      <c r="AX1737" s="24"/>
    </row>
    <row r="1738" ht="15.75" customHeight="1">
      <c r="A1738" s="24"/>
      <c r="B1738" s="24"/>
      <c r="C1738" s="28"/>
      <c r="D1738" s="28"/>
      <c r="E1738" s="28"/>
      <c r="F1738" s="28"/>
      <c r="G1738" s="28"/>
      <c r="H1738" s="28"/>
      <c r="I1738" s="28"/>
      <c r="J1738" s="28"/>
      <c r="K1738" s="28"/>
      <c r="L1738" s="28"/>
      <c r="M1738" s="28"/>
      <c r="N1738" s="28"/>
      <c r="O1738" s="24"/>
      <c r="P1738" s="24"/>
      <c r="Q1738" s="24"/>
      <c r="R1738" s="24"/>
      <c r="S1738" s="24"/>
      <c r="T1738" s="24"/>
      <c r="U1738" s="24"/>
      <c r="V1738" s="24"/>
      <c r="W1738" s="24"/>
      <c r="X1738" s="24"/>
      <c r="Y1738" s="24"/>
      <c r="Z1738" s="24"/>
      <c r="AA1738" s="24"/>
      <c r="AB1738" s="24"/>
      <c r="AC1738" s="24"/>
      <c r="AD1738" s="24"/>
      <c r="AE1738" s="24"/>
      <c r="AF1738" s="24"/>
      <c r="AG1738" s="24"/>
      <c r="AH1738" s="24"/>
      <c r="AI1738" s="24"/>
      <c r="AJ1738" s="24"/>
      <c r="AK1738" s="24"/>
      <c r="AL1738" s="24"/>
      <c r="AM1738" s="24"/>
      <c r="AN1738" s="24"/>
      <c r="AO1738" s="24"/>
      <c r="AP1738" s="24"/>
      <c r="AQ1738" s="24"/>
      <c r="AR1738" s="24"/>
      <c r="AS1738" s="24"/>
      <c r="AT1738" s="24"/>
      <c r="AU1738" s="24"/>
      <c r="AV1738" s="24"/>
      <c r="AW1738" s="24"/>
      <c r="AX1738" s="24"/>
    </row>
    <row r="1739" ht="15.75" customHeight="1">
      <c r="A1739" s="24"/>
      <c r="B1739" s="24"/>
      <c r="C1739" s="28"/>
      <c r="D1739" s="28"/>
      <c r="E1739" s="28"/>
      <c r="F1739" s="28"/>
      <c r="G1739" s="28"/>
      <c r="H1739" s="28"/>
      <c r="I1739" s="28"/>
      <c r="J1739" s="28"/>
      <c r="K1739" s="28"/>
      <c r="L1739" s="28"/>
      <c r="M1739" s="28"/>
      <c r="N1739" s="28"/>
      <c r="O1739" s="24"/>
      <c r="P1739" s="24"/>
      <c r="Q1739" s="24"/>
      <c r="R1739" s="24"/>
      <c r="S1739" s="24"/>
      <c r="T1739" s="24"/>
      <c r="U1739" s="24"/>
      <c r="V1739" s="24"/>
      <c r="W1739" s="24"/>
      <c r="X1739" s="24"/>
      <c r="Y1739" s="24"/>
      <c r="Z1739" s="24"/>
      <c r="AA1739" s="24"/>
      <c r="AB1739" s="24"/>
      <c r="AC1739" s="24"/>
      <c r="AD1739" s="24"/>
      <c r="AE1739" s="24"/>
      <c r="AF1739" s="24"/>
      <c r="AG1739" s="24"/>
      <c r="AH1739" s="24"/>
      <c r="AI1739" s="24"/>
      <c r="AJ1739" s="24"/>
      <c r="AK1739" s="24"/>
      <c r="AL1739" s="24"/>
      <c r="AM1739" s="24"/>
      <c r="AN1739" s="24"/>
      <c r="AO1739" s="24"/>
      <c r="AP1739" s="24"/>
      <c r="AQ1739" s="24"/>
      <c r="AR1739" s="24"/>
      <c r="AS1739" s="24"/>
      <c r="AT1739" s="24"/>
      <c r="AU1739" s="24"/>
      <c r="AV1739" s="24"/>
      <c r="AW1739" s="24"/>
      <c r="AX1739" s="24"/>
    </row>
    <row r="1740" ht="15.75" customHeight="1">
      <c r="A1740" s="24"/>
      <c r="B1740" s="24"/>
      <c r="C1740" s="28"/>
      <c r="D1740" s="28"/>
      <c r="E1740" s="28"/>
      <c r="F1740" s="28"/>
      <c r="G1740" s="28"/>
      <c r="H1740" s="28"/>
      <c r="I1740" s="28"/>
      <c r="J1740" s="28"/>
      <c r="K1740" s="28"/>
      <c r="L1740" s="28"/>
      <c r="M1740" s="28"/>
      <c r="N1740" s="28"/>
      <c r="O1740" s="24"/>
      <c r="P1740" s="24"/>
      <c r="Q1740" s="24"/>
      <c r="R1740" s="24"/>
      <c r="S1740" s="24"/>
      <c r="T1740" s="24"/>
      <c r="U1740" s="24"/>
      <c r="V1740" s="24"/>
      <c r="W1740" s="24"/>
      <c r="X1740" s="24"/>
      <c r="Y1740" s="24"/>
      <c r="Z1740" s="24"/>
      <c r="AA1740" s="24"/>
      <c r="AB1740" s="24"/>
      <c r="AC1740" s="24"/>
      <c r="AD1740" s="24"/>
      <c r="AE1740" s="24"/>
      <c r="AF1740" s="24"/>
      <c r="AG1740" s="24"/>
      <c r="AH1740" s="24"/>
      <c r="AI1740" s="24"/>
      <c r="AJ1740" s="24"/>
      <c r="AK1740" s="24"/>
      <c r="AL1740" s="24"/>
      <c r="AM1740" s="24"/>
      <c r="AN1740" s="24"/>
      <c r="AO1740" s="24"/>
      <c r="AP1740" s="24"/>
      <c r="AQ1740" s="24"/>
      <c r="AR1740" s="24"/>
      <c r="AS1740" s="24"/>
      <c r="AT1740" s="24"/>
      <c r="AU1740" s="24"/>
      <c r="AV1740" s="24"/>
      <c r="AW1740" s="24"/>
      <c r="AX1740" s="24"/>
    </row>
    <row r="1741" ht="15.75" customHeight="1">
      <c r="A1741" s="24"/>
      <c r="B1741" s="24"/>
      <c r="C1741" s="28"/>
      <c r="D1741" s="28"/>
      <c r="E1741" s="28"/>
      <c r="F1741" s="28"/>
      <c r="G1741" s="28"/>
      <c r="H1741" s="28"/>
      <c r="I1741" s="28"/>
      <c r="J1741" s="28"/>
      <c r="K1741" s="28"/>
      <c r="L1741" s="28"/>
      <c r="M1741" s="28"/>
      <c r="N1741" s="28"/>
      <c r="O1741" s="24"/>
      <c r="P1741" s="24"/>
      <c r="Q1741" s="24"/>
      <c r="R1741" s="24"/>
      <c r="S1741" s="24"/>
      <c r="T1741" s="24"/>
      <c r="U1741" s="24"/>
      <c r="V1741" s="24"/>
      <c r="W1741" s="24"/>
      <c r="X1741" s="24"/>
      <c r="Y1741" s="24"/>
      <c r="Z1741" s="24"/>
      <c r="AA1741" s="24"/>
      <c r="AB1741" s="24"/>
      <c r="AC1741" s="24"/>
      <c r="AD1741" s="24"/>
      <c r="AE1741" s="24"/>
      <c r="AF1741" s="24"/>
      <c r="AG1741" s="24"/>
      <c r="AH1741" s="24"/>
      <c r="AI1741" s="24"/>
      <c r="AJ1741" s="24"/>
      <c r="AK1741" s="24"/>
      <c r="AL1741" s="24"/>
      <c r="AM1741" s="24"/>
      <c r="AN1741" s="24"/>
      <c r="AO1741" s="24"/>
      <c r="AP1741" s="24"/>
      <c r="AQ1741" s="24"/>
      <c r="AR1741" s="24"/>
      <c r="AS1741" s="24"/>
      <c r="AT1741" s="24"/>
      <c r="AU1741" s="24"/>
      <c r="AV1741" s="24"/>
      <c r="AW1741" s="24"/>
      <c r="AX1741" s="24"/>
    </row>
    <row r="1742" ht="15.75" customHeight="1">
      <c r="A1742" s="24"/>
      <c r="B1742" s="24"/>
      <c r="C1742" s="28"/>
      <c r="D1742" s="28"/>
      <c r="E1742" s="28"/>
      <c r="F1742" s="28"/>
      <c r="G1742" s="28"/>
      <c r="H1742" s="28"/>
      <c r="I1742" s="28"/>
      <c r="J1742" s="28"/>
      <c r="K1742" s="28"/>
      <c r="L1742" s="28"/>
      <c r="M1742" s="28"/>
      <c r="N1742" s="28"/>
      <c r="O1742" s="24"/>
      <c r="P1742" s="24"/>
      <c r="Q1742" s="24"/>
      <c r="R1742" s="24"/>
      <c r="S1742" s="24"/>
      <c r="T1742" s="24"/>
      <c r="U1742" s="24"/>
      <c r="V1742" s="24"/>
      <c r="W1742" s="24"/>
      <c r="X1742" s="24"/>
      <c r="Y1742" s="24"/>
      <c r="Z1742" s="24"/>
      <c r="AA1742" s="24"/>
      <c r="AB1742" s="24"/>
      <c r="AC1742" s="24"/>
      <c r="AD1742" s="24"/>
      <c r="AE1742" s="24"/>
      <c r="AF1742" s="24"/>
      <c r="AG1742" s="24"/>
      <c r="AH1742" s="24"/>
      <c r="AI1742" s="24"/>
      <c r="AJ1742" s="24"/>
      <c r="AK1742" s="24"/>
      <c r="AL1742" s="24"/>
      <c r="AM1742" s="24"/>
      <c r="AN1742" s="24"/>
      <c r="AO1742" s="24"/>
      <c r="AP1742" s="24"/>
      <c r="AQ1742" s="24"/>
      <c r="AR1742" s="24"/>
      <c r="AS1742" s="24"/>
      <c r="AT1742" s="24"/>
      <c r="AU1742" s="24"/>
      <c r="AV1742" s="24"/>
      <c r="AW1742" s="24"/>
      <c r="AX1742" s="24"/>
    </row>
    <row r="1743" ht="15.75" customHeight="1">
      <c r="A1743" s="24"/>
      <c r="B1743" s="24"/>
      <c r="C1743" s="28"/>
      <c r="D1743" s="28"/>
      <c r="E1743" s="28"/>
      <c r="F1743" s="28"/>
      <c r="G1743" s="28"/>
      <c r="H1743" s="28"/>
      <c r="I1743" s="28"/>
      <c r="J1743" s="28"/>
      <c r="K1743" s="28"/>
      <c r="L1743" s="28"/>
      <c r="M1743" s="28"/>
      <c r="N1743" s="28"/>
      <c r="O1743" s="24"/>
      <c r="P1743" s="24"/>
      <c r="Q1743" s="24"/>
      <c r="R1743" s="24"/>
      <c r="S1743" s="24"/>
      <c r="T1743" s="24"/>
      <c r="U1743" s="24"/>
      <c r="V1743" s="24"/>
      <c r="W1743" s="24"/>
      <c r="X1743" s="24"/>
      <c r="Y1743" s="24"/>
      <c r="Z1743" s="24"/>
      <c r="AA1743" s="24"/>
      <c r="AB1743" s="24"/>
      <c r="AC1743" s="24"/>
      <c r="AD1743" s="24"/>
      <c r="AE1743" s="24"/>
      <c r="AF1743" s="24"/>
      <c r="AG1743" s="24"/>
      <c r="AH1743" s="24"/>
      <c r="AI1743" s="24"/>
      <c r="AJ1743" s="24"/>
      <c r="AK1743" s="24"/>
      <c r="AL1743" s="24"/>
      <c r="AM1743" s="24"/>
      <c r="AN1743" s="24"/>
      <c r="AO1743" s="24"/>
      <c r="AP1743" s="24"/>
      <c r="AQ1743" s="24"/>
      <c r="AR1743" s="24"/>
      <c r="AS1743" s="24"/>
      <c r="AT1743" s="24"/>
      <c r="AU1743" s="24"/>
      <c r="AV1743" s="24"/>
      <c r="AW1743" s="24"/>
      <c r="AX1743" s="24"/>
    </row>
    <row r="1744" ht="15.75" customHeight="1">
      <c r="A1744" s="24"/>
      <c r="B1744" s="24"/>
      <c r="C1744" s="28"/>
      <c r="D1744" s="28"/>
      <c r="E1744" s="28"/>
      <c r="F1744" s="28"/>
      <c r="G1744" s="28"/>
      <c r="H1744" s="28"/>
      <c r="I1744" s="28"/>
      <c r="J1744" s="28"/>
      <c r="K1744" s="28"/>
      <c r="L1744" s="28"/>
      <c r="M1744" s="28"/>
      <c r="N1744" s="28"/>
      <c r="O1744" s="24"/>
      <c r="P1744" s="24"/>
      <c r="Q1744" s="24"/>
      <c r="R1744" s="24"/>
      <c r="S1744" s="24"/>
      <c r="T1744" s="24"/>
      <c r="U1744" s="24"/>
      <c r="V1744" s="24"/>
      <c r="W1744" s="24"/>
      <c r="X1744" s="24"/>
      <c r="Y1744" s="24"/>
      <c r="Z1744" s="24"/>
      <c r="AA1744" s="24"/>
      <c r="AB1744" s="24"/>
      <c r="AC1744" s="24"/>
      <c r="AD1744" s="24"/>
      <c r="AE1744" s="24"/>
      <c r="AF1744" s="24"/>
      <c r="AG1744" s="24"/>
      <c r="AH1744" s="24"/>
      <c r="AI1744" s="24"/>
      <c r="AJ1744" s="24"/>
      <c r="AK1744" s="24"/>
      <c r="AL1744" s="24"/>
      <c r="AM1744" s="24"/>
      <c r="AN1744" s="24"/>
      <c r="AO1744" s="24"/>
      <c r="AP1744" s="24"/>
      <c r="AQ1744" s="24"/>
      <c r="AR1744" s="24"/>
      <c r="AS1744" s="24"/>
      <c r="AT1744" s="24"/>
      <c r="AU1744" s="24"/>
      <c r="AV1744" s="24"/>
      <c r="AW1744" s="24"/>
      <c r="AX1744" s="24"/>
    </row>
    <row r="1745" ht="15.75" customHeight="1">
      <c r="A1745" s="24"/>
      <c r="B1745" s="24"/>
      <c r="C1745" s="28"/>
      <c r="D1745" s="28"/>
      <c r="E1745" s="28"/>
      <c r="F1745" s="28"/>
      <c r="G1745" s="28"/>
      <c r="H1745" s="28"/>
      <c r="I1745" s="28"/>
      <c r="J1745" s="28"/>
      <c r="K1745" s="28"/>
      <c r="L1745" s="28"/>
      <c r="M1745" s="28"/>
      <c r="N1745" s="28"/>
      <c r="O1745" s="24"/>
      <c r="P1745" s="24"/>
      <c r="Q1745" s="24"/>
      <c r="R1745" s="24"/>
      <c r="S1745" s="24"/>
      <c r="T1745" s="24"/>
      <c r="U1745" s="24"/>
      <c r="V1745" s="24"/>
      <c r="W1745" s="24"/>
      <c r="X1745" s="24"/>
      <c r="Y1745" s="24"/>
      <c r="Z1745" s="24"/>
      <c r="AA1745" s="24"/>
      <c r="AB1745" s="24"/>
      <c r="AC1745" s="24"/>
      <c r="AD1745" s="24"/>
      <c r="AE1745" s="24"/>
      <c r="AF1745" s="24"/>
      <c r="AG1745" s="24"/>
      <c r="AH1745" s="24"/>
      <c r="AI1745" s="24"/>
      <c r="AJ1745" s="24"/>
      <c r="AK1745" s="24"/>
      <c r="AL1745" s="24"/>
      <c r="AM1745" s="24"/>
      <c r="AN1745" s="24"/>
      <c r="AO1745" s="24"/>
      <c r="AP1745" s="24"/>
      <c r="AQ1745" s="24"/>
      <c r="AR1745" s="24"/>
      <c r="AS1745" s="24"/>
      <c r="AT1745" s="24"/>
      <c r="AU1745" s="24"/>
      <c r="AV1745" s="24"/>
      <c r="AW1745" s="24"/>
      <c r="AX1745" s="24"/>
    </row>
    <row r="1746" ht="15.75" customHeight="1">
      <c r="A1746" s="24"/>
      <c r="B1746" s="24"/>
      <c r="C1746" s="28"/>
      <c r="D1746" s="28"/>
      <c r="E1746" s="28"/>
      <c r="F1746" s="28"/>
      <c r="G1746" s="28"/>
      <c r="H1746" s="28"/>
      <c r="I1746" s="28"/>
      <c r="J1746" s="28"/>
      <c r="K1746" s="28"/>
      <c r="L1746" s="28"/>
      <c r="M1746" s="28"/>
      <c r="N1746" s="28"/>
      <c r="O1746" s="24"/>
      <c r="P1746" s="24"/>
      <c r="Q1746" s="24"/>
      <c r="R1746" s="24"/>
      <c r="S1746" s="24"/>
      <c r="T1746" s="24"/>
      <c r="U1746" s="24"/>
      <c r="V1746" s="24"/>
      <c r="W1746" s="24"/>
      <c r="X1746" s="24"/>
      <c r="Y1746" s="24"/>
      <c r="Z1746" s="24"/>
      <c r="AA1746" s="24"/>
      <c r="AB1746" s="24"/>
      <c r="AC1746" s="24"/>
      <c r="AD1746" s="24"/>
      <c r="AE1746" s="24"/>
      <c r="AF1746" s="24"/>
      <c r="AG1746" s="24"/>
      <c r="AH1746" s="24"/>
      <c r="AI1746" s="24"/>
      <c r="AJ1746" s="24"/>
      <c r="AK1746" s="24"/>
      <c r="AL1746" s="24"/>
      <c r="AM1746" s="24"/>
      <c r="AN1746" s="24"/>
      <c r="AO1746" s="24"/>
      <c r="AP1746" s="24"/>
      <c r="AQ1746" s="24"/>
      <c r="AR1746" s="24"/>
      <c r="AS1746" s="24"/>
      <c r="AT1746" s="24"/>
      <c r="AU1746" s="24"/>
      <c r="AV1746" s="24"/>
      <c r="AW1746" s="24"/>
      <c r="AX1746" s="24"/>
    </row>
    <row r="1747" ht="15.75" customHeight="1">
      <c r="A1747" s="24"/>
      <c r="B1747" s="24"/>
      <c r="C1747" s="28"/>
      <c r="D1747" s="28"/>
      <c r="E1747" s="28"/>
      <c r="F1747" s="28"/>
      <c r="G1747" s="28"/>
      <c r="H1747" s="28"/>
      <c r="I1747" s="28"/>
      <c r="J1747" s="28"/>
      <c r="K1747" s="28"/>
      <c r="L1747" s="28"/>
      <c r="M1747" s="28"/>
      <c r="N1747" s="28"/>
      <c r="O1747" s="24"/>
      <c r="P1747" s="24"/>
      <c r="Q1747" s="24"/>
      <c r="R1747" s="24"/>
      <c r="S1747" s="24"/>
      <c r="T1747" s="24"/>
      <c r="U1747" s="24"/>
      <c r="V1747" s="24"/>
      <c r="W1747" s="24"/>
      <c r="X1747" s="24"/>
      <c r="Y1747" s="24"/>
      <c r="Z1747" s="24"/>
      <c r="AA1747" s="24"/>
      <c r="AB1747" s="24"/>
      <c r="AC1747" s="24"/>
      <c r="AD1747" s="24"/>
      <c r="AE1747" s="24"/>
      <c r="AF1747" s="24"/>
      <c r="AG1747" s="24"/>
      <c r="AH1747" s="24"/>
      <c r="AI1747" s="24"/>
      <c r="AJ1747" s="24"/>
      <c r="AK1747" s="24"/>
      <c r="AL1747" s="24"/>
      <c r="AM1747" s="24"/>
      <c r="AN1747" s="24"/>
      <c r="AO1747" s="24"/>
      <c r="AP1747" s="24"/>
      <c r="AQ1747" s="24"/>
      <c r="AR1747" s="24"/>
      <c r="AS1747" s="24"/>
      <c r="AT1747" s="24"/>
      <c r="AU1747" s="24"/>
      <c r="AV1747" s="24"/>
      <c r="AW1747" s="24"/>
      <c r="AX1747" s="24"/>
    </row>
    <row r="1748" ht="15.75" customHeight="1">
      <c r="A1748" s="24"/>
      <c r="B1748" s="24"/>
      <c r="C1748" s="28"/>
      <c r="D1748" s="28"/>
      <c r="E1748" s="28"/>
      <c r="F1748" s="28"/>
      <c r="G1748" s="28"/>
      <c r="H1748" s="28"/>
      <c r="I1748" s="28"/>
      <c r="J1748" s="28"/>
      <c r="K1748" s="28"/>
      <c r="L1748" s="28"/>
      <c r="M1748" s="28"/>
      <c r="N1748" s="28"/>
      <c r="O1748" s="24"/>
      <c r="P1748" s="24"/>
      <c r="Q1748" s="24"/>
      <c r="R1748" s="24"/>
      <c r="S1748" s="24"/>
      <c r="T1748" s="24"/>
      <c r="U1748" s="24"/>
      <c r="V1748" s="24"/>
      <c r="W1748" s="24"/>
      <c r="X1748" s="24"/>
      <c r="Y1748" s="24"/>
      <c r="Z1748" s="24"/>
      <c r="AA1748" s="24"/>
      <c r="AB1748" s="24"/>
      <c r="AC1748" s="24"/>
      <c r="AD1748" s="24"/>
      <c r="AE1748" s="24"/>
      <c r="AF1748" s="24"/>
      <c r="AG1748" s="24"/>
      <c r="AH1748" s="24"/>
      <c r="AI1748" s="24"/>
      <c r="AJ1748" s="24"/>
      <c r="AK1748" s="24"/>
      <c r="AL1748" s="24"/>
      <c r="AM1748" s="24"/>
      <c r="AN1748" s="24"/>
      <c r="AO1748" s="24"/>
      <c r="AP1748" s="24"/>
      <c r="AQ1748" s="24"/>
      <c r="AR1748" s="24"/>
      <c r="AS1748" s="24"/>
      <c r="AT1748" s="24"/>
      <c r="AU1748" s="24"/>
      <c r="AV1748" s="24"/>
      <c r="AW1748" s="24"/>
      <c r="AX1748" s="24"/>
    </row>
    <row r="1749" ht="15.75" customHeight="1">
      <c r="A1749" s="24"/>
      <c r="B1749" s="24"/>
      <c r="C1749" s="28"/>
      <c r="D1749" s="28"/>
      <c r="E1749" s="28"/>
      <c r="F1749" s="28"/>
      <c r="G1749" s="28"/>
      <c r="H1749" s="28"/>
      <c r="I1749" s="28"/>
      <c r="J1749" s="28"/>
      <c r="K1749" s="28"/>
      <c r="L1749" s="28"/>
      <c r="M1749" s="28"/>
      <c r="N1749" s="28"/>
      <c r="O1749" s="24"/>
      <c r="P1749" s="24"/>
      <c r="Q1749" s="24"/>
      <c r="R1749" s="24"/>
      <c r="S1749" s="24"/>
      <c r="T1749" s="24"/>
      <c r="U1749" s="24"/>
      <c r="V1749" s="24"/>
      <c r="W1749" s="24"/>
      <c r="X1749" s="24"/>
      <c r="Y1749" s="24"/>
      <c r="Z1749" s="24"/>
      <c r="AA1749" s="24"/>
      <c r="AB1749" s="24"/>
      <c r="AC1749" s="24"/>
      <c r="AD1749" s="24"/>
      <c r="AE1749" s="24"/>
      <c r="AF1749" s="24"/>
      <c r="AG1749" s="24"/>
      <c r="AH1749" s="24"/>
      <c r="AI1749" s="24"/>
      <c r="AJ1749" s="24"/>
      <c r="AK1749" s="24"/>
      <c r="AL1749" s="24"/>
      <c r="AM1749" s="24"/>
      <c r="AN1749" s="24"/>
      <c r="AO1749" s="24"/>
      <c r="AP1749" s="24"/>
      <c r="AQ1749" s="24"/>
      <c r="AR1749" s="24"/>
      <c r="AS1749" s="24"/>
      <c r="AT1749" s="24"/>
      <c r="AU1749" s="24"/>
      <c r="AV1749" s="24"/>
      <c r="AW1749" s="24"/>
      <c r="AX1749" s="24"/>
    </row>
    <row r="1750" ht="15.75" customHeight="1">
      <c r="A1750" s="24"/>
      <c r="B1750" s="24"/>
      <c r="C1750" s="28"/>
      <c r="D1750" s="28"/>
      <c r="E1750" s="28"/>
      <c r="F1750" s="28"/>
      <c r="G1750" s="28"/>
      <c r="H1750" s="28"/>
      <c r="I1750" s="28"/>
      <c r="J1750" s="28"/>
      <c r="K1750" s="28"/>
      <c r="L1750" s="28"/>
      <c r="M1750" s="28"/>
      <c r="N1750" s="28"/>
      <c r="O1750" s="24"/>
      <c r="P1750" s="24"/>
      <c r="Q1750" s="24"/>
      <c r="R1750" s="24"/>
      <c r="S1750" s="24"/>
      <c r="T1750" s="24"/>
      <c r="U1750" s="24"/>
      <c r="V1750" s="24"/>
      <c r="W1750" s="24"/>
      <c r="X1750" s="24"/>
      <c r="Y1750" s="24"/>
      <c r="Z1750" s="24"/>
      <c r="AA1750" s="24"/>
      <c r="AB1750" s="24"/>
      <c r="AC1750" s="24"/>
      <c r="AD1750" s="24"/>
      <c r="AE1750" s="24"/>
      <c r="AF1750" s="24"/>
      <c r="AG1750" s="24"/>
      <c r="AH1750" s="24"/>
      <c r="AI1750" s="24"/>
      <c r="AJ1750" s="24"/>
      <c r="AK1750" s="24"/>
      <c r="AL1750" s="24"/>
      <c r="AM1750" s="24"/>
      <c r="AN1750" s="24"/>
      <c r="AO1750" s="24"/>
      <c r="AP1750" s="24"/>
      <c r="AQ1750" s="24"/>
      <c r="AR1750" s="24"/>
      <c r="AS1750" s="24"/>
      <c r="AT1750" s="24"/>
      <c r="AU1750" s="24"/>
      <c r="AV1750" s="24"/>
      <c r="AW1750" s="24"/>
      <c r="AX1750" s="24"/>
    </row>
    <row r="1751" ht="15.75" customHeight="1">
      <c r="A1751" s="24"/>
      <c r="B1751" s="24"/>
      <c r="C1751" s="28"/>
      <c r="D1751" s="28"/>
      <c r="E1751" s="28"/>
      <c r="F1751" s="28"/>
      <c r="G1751" s="28"/>
      <c r="H1751" s="28"/>
      <c r="I1751" s="28"/>
      <c r="J1751" s="28"/>
      <c r="K1751" s="28"/>
      <c r="L1751" s="28"/>
      <c r="M1751" s="28"/>
      <c r="N1751" s="28"/>
      <c r="O1751" s="24"/>
      <c r="P1751" s="24"/>
      <c r="Q1751" s="24"/>
      <c r="R1751" s="24"/>
      <c r="S1751" s="24"/>
      <c r="T1751" s="24"/>
      <c r="U1751" s="24"/>
      <c r="V1751" s="24"/>
      <c r="W1751" s="24"/>
      <c r="X1751" s="24"/>
      <c r="Y1751" s="24"/>
      <c r="Z1751" s="24"/>
      <c r="AA1751" s="24"/>
      <c r="AB1751" s="24"/>
      <c r="AC1751" s="24"/>
      <c r="AD1751" s="24"/>
      <c r="AE1751" s="24"/>
      <c r="AF1751" s="24"/>
      <c r="AG1751" s="24"/>
      <c r="AH1751" s="24"/>
      <c r="AI1751" s="24"/>
      <c r="AJ1751" s="24"/>
      <c r="AK1751" s="24"/>
      <c r="AL1751" s="24"/>
      <c r="AM1751" s="24"/>
      <c r="AN1751" s="24"/>
      <c r="AO1751" s="24"/>
      <c r="AP1751" s="24"/>
      <c r="AQ1751" s="24"/>
      <c r="AR1751" s="24"/>
      <c r="AS1751" s="24"/>
      <c r="AT1751" s="24"/>
      <c r="AU1751" s="24"/>
      <c r="AV1751" s="24"/>
      <c r="AW1751" s="24"/>
      <c r="AX1751" s="24"/>
    </row>
    <row r="1752" ht="15.75" customHeight="1">
      <c r="A1752" s="24"/>
      <c r="B1752" s="24"/>
      <c r="C1752" s="28"/>
      <c r="D1752" s="28"/>
      <c r="E1752" s="28"/>
      <c r="F1752" s="28"/>
      <c r="G1752" s="28"/>
      <c r="H1752" s="28"/>
      <c r="I1752" s="28"/>
      <c r="J1752" s="28"/>
      <c r="K1752" s="28"/>
      <c r="L1752" s="28"/>
      <c r="M1752" s="28"/>
      <c r="N1752" s="28"/>
      <c r="O1752" s="24"/>
      <c r="P1752" s="24"/>
      <c r="Q1752" s="24"/>
      <c r="R1752" s="24"/>
      <c r="S1752" s="24"/>
      <c r="T1752" s="24"/>
      <c r="U1752" s="24"/>
      <c r="V1752" s="24"/>
      <c r="W1752" s="24"/>
      <c r="X1752" s="24"/>
      <c r="Y1752" s="24"/>
      <c r="Z1752" s="24"/>
      <c r="AA1752" s="24"/>
      <c r="AB1752" s="24"/>
      <c r="AC1752" s="24"/>
      <c r="AD1752" s="24"/>
      <c r="AE1752" s="24"/>
      <c r="AF1752" s="24"/>
      <c r="AG1752" s="24"/>
      <c r="AH1752" s="24"/>
      <c r="AI1752" s="24"/>
      <c r="AJ1752" s="24"/>
      <c r="AK1752" s="24"/>
      <c r="AL1752" s="24"/>
      <c r="AM1752" s="24"/>
      <c r="AN1752" s="24"/>
      <c r="AO1752" s="24"/>
      <c r="AP1752" s="24"/>
      <c r="AQ1752" s="24"/>
      <c r="AR1752" s="24"/>
      <c r="AS1752" s="24"/>
      <c r="AT1752" s="24"/>
      <c r="AU1752" s="24"/>
      <c r="AV1752" s="24"/>
      <c r="AW1752" s="24"/>
      <c r="AX1752" s="24"/>
    </row>
    <row r="1753" ht="15.75" customHeight="1">
      <c r="A1753" s="24"/>
      <c r="B1753" s="24"/>
      <c r="C1753" s="28"/>
      <c r="D1753" s="28"/>
      <c r="E1753" s="28"/>
      <c r="F1753" s="28"/>
      <c r="G1753" s="28"/>
      <c r="H1753" s="28"/>
      <c r="I1753" s="28"/>
      <c r="J1753" s="28"/>
      <c r="K1753" s="28"/>
      <c r="L1753" s="28"/>
      <c r="M1753" s="28"/>
      <c r="N1753" s="28"/>
      <c r="O1753" s="24"/>
      <c r="P1753" s="24"/>
      <c r="Q1753" s="24"/>
      <c r="R1753" s="24"/>
      <c r="S1753" s="24"/>
      <c r="T1753" s="24"/>
      <c r="U1753" s="24"/>
      <c r="V1753" s="24"/>
      <c r="W1753" s="24"/>
      <c r="X1753" s="24"/>
      <c r="Y1753" s="24"/>
      <c r="Z1753" s="24"/>
      <c r="AA1753" s="24"/>
      <c r="AB1753" s="24"/>
      <c r="AC1753" s="24"/>
      <c r="AD1753" s="24"/>
      <c r="AE1753" s="24"/>
      <c r="AF1753" s="24"/>
      <c r="AG1753" s="24"/>
      <c r="AH1753" s="24"/>
      <c r="AI1753" s="24"/>
      <c r="AJ1753" s="24"/>
      <c r="AK1753" s="24"/>
      <c r="AL1753" s="24"/>
      <c r="AM1753" s="24"/>
      <c r="AN1753" s="24"/>
      <c r="AO1753" s="24"/>
      <c r="AP1753" s="24"/>
      <c r="AQ1753" s="24"/>
      <c r="AR1753" s="24"/>
      <c r="AS1753" s="24"/>
      <c r="AT1753" s="24"/>
      <c r="AU1753" s="24"/>
      <c r="AV1753" s="24"/>
      <c r="AW1753" s="24"/>
      <c r="AX1753" s="24"/>
    </row>
    <row r="1754" ht="15.75" customHeight="1">
      <c r="A1754" s="24"/>
      <c r="B1754" s="24"/>
      <c r="C1754" s="28"/>
      <c r="D1754" s="28"/>
      <c r="E1754" s="28"/>
      <c r="F1754" s="28"/>
      <c r="G1754" s="28"/>
      <c r="H1754" s="28"/>
      <c r="I1754" s="28"/>
      <c r="J1754" s="28"/>
      <c r="K1754" s="28"/>
      <c r="L1754" s="28"/>
      <c r="M1754" s="28"/>
      <c r="N1754" s="28"/>
      <c r="O1754" s="24"/>
      <c r="P1754" s="24"/>
      <c r="Q1754" s="24"/>
      <c r="R1754" s="24"/>
      <c r="S1754" s="24"/>
      <c r="T1754" s="24"/>
      <c r="U1754" s="24"/>
      <c r="V1754" s="24"/>
      <c r="W1754" s="24"/>
      <c r="X1754" s="24"/>
      <c r="Y1754" s="24"/>
      <c r="Z1754" s="24"/>
      <c r="AA1754" s="24"/>
      <c r="AB1754" s="24"/>
      <c r="AC1754" s="24"/>
      <c r="AD1754" s="24"/>
      <c r="AE1754" s="24"/>
      <c r="AF1754" s="24"/>
      <c r="AG1754" s="24"/>
      <c r="AH1754" s="24"/>
      <c r="AI1754" s="24"/>
      <c r="AJ1754" s="24"/>
      <c r="AK1754" s="24"/>
      <c r="AL1754" s="24"/>
      <c r="AM1754" s="24"/>
      <c r="AN1754" s="24"/>
      <c r="AO1754" s="24"/>
      <c r="AP1754" s="24"/>
      <c r="AQ1754" s="24"/>
      <c r="AR1754" s="24"/>
      <c r="AS1754" s="24"/>
      <c r="AT1754" s="24"/>
      <c r="AU1754" s="24"/>
      <c r="AV1754" s="24"/>
      <c r="AW1754" s="24"/>
      <c r="AX1754" s="24"/>
    </row>
    <row r="1755" ht="15.75" customHeight="1">
      <c r="A1755" s="24"/>
      <c r="B1755" s="24"/>
      <c r="C1755" s="28"/>
      <c r="D1755" s="28"/>
      <c r="E1755" s="28"/>
      <c r="F1755" s="28"/>
      <c r="G1755" s="28"/>
      <c r="H1755" s="28"/>
      <c r="I1755" s="28"/>
      <c r="J1755" s="28"/>
      <c r="K1755" s="28"/>
      <c r="L1755" s="28"/>
      <c r="M1755" s="28"/>
      <c r="N1755" s="28"/>
      <c r="O1755" s="24"/>
      <c r="P1755" s="24"/>
      <c r="Q1755" s="24"/>
      <c r="R1755" s="24"/>
      <c r="S1755" s="24"/>
      <c r="T1755" s="24"/>
      <c r="U1755" s="24"/>
      <c r="V1755" s="24"/>
      <c r="W1755" s="24"/>
      <c r="X1755" s="24"/>
      <c r="Y1755" s="24"/>
      <c r="Z1755" s="24"/>
      <c r="AA1755" s="24"/>
      <c r="AB1755" s="24"/>
      <c r="AC1755" s="24"/>
      <c r="AD1755" s="24"/>
      <c r="AE1755" s="24"/>
      <c r="AF1755" s="24"/>
      <c r="AG1755" s="24"/>
      <c r="AH1755" s="24"/>
      <c r="AI1755" s="24"/>
      <c r="AJ1755" s="24"/>
      <c r="AK1755" s="24"/>
      <c r="AL1755" s="24"/>
      <c r="AM1755" s="24"/>
      <c r="AN1755" s="24"/>
      <c r="AO1755" s="24"/>
      <c r="AP1755" s="24"/>
      <c r="AQ1755" s="24"/>
      <c r="AR1755" s="24"/>
      <c r="AS1755" s="24"/>
      <c r="AT1755" s="24"/>
      <c r="AU1755" s="24"/>
      <c r="AV1755" s="24"/>
      <c r="AW1755" s="24"/>
      <c r="AX1755" s="24"/>
    </row>
    <row r="1756" ht="15.75" customHeight="1">
      <c r="A1756" s="24"/>
      <c r="B1756" s="24"/>
      <c r="C1756" s="28"/>
      <c r="D1756" s="28"/>
      <c r="E1756" s="28"/>
      <c r="F1756" s="28"/>
      <c r="G1756" s="28"/>
      <c r="H1756" s="28"/>
      <c r="I1756" s="28"/>
      <c r="J1756" s="28"/>
      <c r="K1756" s="28"/>
      <c r="L1756" s="28"/>
      <c r="M1756" s="28"/>
      <c r="N1756" s="28"/>
      <c r="O1756" s="24"/>
      <c r="P1756" s="24"/>
      <c r="Q1756" s="24"/>
      <c r="R1756" s="24"/>
      <c r="S1756" s="24"/>
      <c r="T1756" s="24"/>
      <c r="U1756" s="24"/>
      <c r="V1756" s="24"/>
      <c r="W1756" s="24"/>
      <c r="X1756" s="24"/>
      <c r="Y1756" s="24"/>
      <c r="Z1756" s="24"/>
      <c r="AA1756" s="24"/>
      <c r="AB1756" s="24"/>
      <c r="AC1756" s="24"/>
      <c r="AD1756" s="24"/>
      <c r="AE1756" s="24"/>
      <c r="AF1756" s="24"/>
      <c r="AG1756" s="24"/>
      <c r="AH1756" s="24"/>
      <c r="AI1756" s="24"/>
      <c r="AJ1756" s="24"/>
      <c r="AK1756" s="24"/>
      <c r="AL1756" s="24"/>
      <c r="AM1756" s="24"/>
      <c r="AN1756" s="24"/>
      <c r="AO1756" s="24"/>
      <c r="AP1756" s="24"/>
      <c r="AQ1756" s="24"/>
      <c r="AR1756" s="24"/>
      <c r="AS1756" s="24"/>
      <c r="AT1756" s="24"/>
      <c r="AU1756" s="24"/>
      <c r="AV1756" s="24"/>
      <c r="AW1756" s="24"/>
      <c r="AX1756" s="24"/>
    </row>
    <row r="1757" ht="15.75" customHeight="1">
      <c r="A1757" s="24"/>
      <c r="B1757" s="24"/>
      <c r="C1757" s="28"/>
      <c r="D1757" s="28"/>
      <c r="E1757" s="28"/>
      <c r="F1757" s="28"/>
      <c r="G1757" s="28"/>
      <c r="H1757" s="28"/>
      <c r="I1757" s="28"/>
      <c r="J1757" s="28"/>
      <c r="K1757" s="28"/>
      <c r="L1757" s="28"/>
      <c r="M1757" s="28"/>
      <c r="N1757" s="28"/>
      <c r="O1757" s="24"/>
      <c r="P1757" s="24"/>
      <c r="Q1757" s="24"/>
      <c r="R1757" s="24"/>
      <c r="S1757" s="24"/>
      <c r="T1757" s="24"/>
      <c r="U1757" s="24"/>
      <c r="V1757" s="24"/>
      <c r="W1757" s="24"/>
      <c r="X1757" s="24"/>
      <c r="Y1757" s="24"/>
      <c r="Z1757" s="24"/>
      <c r="AA1757" s="24"/>
      <c r="AB1757" s="24"/>
      <c r="AC1757" s="24"/>
      <c r="AD1757" s="24"/>
      <c r="AE1757" s="24"/>
      <c r="AF1757" s="24"/>
      <c r="AG1757" s="24"/>
      <c r="AH1757" s="24"/>
      <c r="AI1757" s="24"/>
      <c r="AJ1757" s="24"/>
      <c r="AK1757" s="24"/>
      <c r="AL1757" s="24"/>
      <c r="AM1757" s="24"/>
      <c r="AN1757" s="24"/>
      <c r="AO1757" s="24"/>
      <c r="AP1757" s="24"/>
      <c r="AQ1757" s="24"/>
      <c r="AR1757" s="24"/>
      <c r="AS1757" s="24"/>
      <c r="AT1757" s="24"/>
      <c r="AU1757" s="24"/>
      <c r="AV1757" s="24"/>
      <c r="AW1757" s="24"/>
      <c r="AX1757" s="24"/>
    </row>
    <row r="1758" ht="15.75" customHeight="1">
      <c r="A1758" s="24"/>
      <c r="B1758" s="24"/>
      <c r="C1758" s="28"/>
      <c r="D1758" s="28"/>
      <c r="E1758" s="28"/>
      <c r="F1758" s="28"/>
      <c r="G1758" s="28"/>
      <c r="H1758" s="28"/>
      <c r="I1758" s="28"/>
      <c r="J1758" s="28"/>
      <c r="K1758" s="28"/>
      <c r="L1758" s="28"/>
      <c r="M1758" s="28"/>
      <c r="N1758" s="28"/>
      <c r="O1758" s="24"/>
      <c r="P1758" s="24"/>
      <c r="Q1758" s="24"/>
      <c r="R1758" s="24"/>
      <c r="S1758" s="24"/>
      <c r="T1758" s="24"/>
      <c r="U1758" s="24"/>
      <c r="V1758" s="24"/>
      <c r="W1758" s="24"/>
      <c r="X1758" s="24"/>
      <c r="Y1758" s="24"/>
      <c r="Z1758" s="24"/>
      <c r="AA1758" s="24"/>
      <c r="AB1758" s="24"/>
      <c r="AC1758" s="24"/>
      <c r="AD1758" s="24"/>
      <c r="AE1758" s="24"/>
      <c r="AF1758" s="24"/>
      <c r="AG1758" s="24"/>
      <c r="AH1758" s="24"/>
      <c r="AI1758" s="24"/>
      <c r="AJ1758" s="24"/>
      <c r="AK1758" s="24"/>
      <c r="AL1758" s="24"/>
      <c r="AM1758" s="24"/>
      <c r="AN1758" s="24"/>
      <c r="AO1758" s="24"/>
      <c r="AP1758" s="24"/>
      <c r="AQ1758" s="24"/>
      <c r="AR1758" s="24"/>
      <c r="AS1758" s="24"/>
      <c r="AT1758" s="24"/>
      <c r="AU1758" s="24"/>
      <c r="AV1758" s="24"/>
      <c r="AW1758" s="24"/>
      <c r="AX1758" s="24"/>
    </row>
    <row r="1759" ht="15.75" customHeight="1">
      <c r="A1759" s="24"/>
      <c r="B1759" s="24"/>
      <c r="C1759" s="28"/>
      <c r="D1759" s="28"/>
      <c r="E1759" s="28"/>
      <c r="F1759" s="28"/>
      <c r="G1759" s="28"/>
      <c r="H1759" s="28"/>
      <c r="I1759" s="28"/>
      <c r="J1759" s="28"/>
      <c r="K1759" s="28"/>
      <c r="L1759" s="28"/>
      <c r="M1759" s="28"/>
      <c r="N1759" s="28"/>
      <c r="O1759" s="24"/>
      <c r="P1759" s="24"/>
      <c r="Q1759" s="24"/>
      <c r="R1759" s="24"/>
      <c r="S1759" s="24"/>
      <c r="T1759" s="24"/>
      <c r="U1759" s="24"/>
      <c r="V1759" s="24"/>
      <c r="W1759" s="24"/>
      <c r="X1759" s="24"/>
      <c r="Y1759" s="24"/>
      <c r="Z1759" s="24"/>
      <c r="AA1759" s="24"/>
      <c r="AB1759" s="24"/>
      <c r="AC1759" s="24"/>
      <c r="AD1759" s="24"/>
      <c r="AE1759" s="24"/>
      <c r="AF1759" s="24"/>
      <c r="AG1759" s="24"/>
      <c r="AH1759" s="24"/>
      <c r="AI1759" s="24"/>
      <c r="AJ1759" s="24"/>
      <c r="AK1759" s="24"/>
      <c r="AL1759" s="24"/>
      <c r="AM1759" s="24"/>
      <c r="AN1759" s="24"/>
      <c r="AO1759" s="24"/>
      <c r="AP1759" s="24"/>
      <c r="AQ1759" s="24"/>
      <c r="AR1759" s="24"/>
      <c r="AS1759" s="24"/>
      <c r="AT1759" s="24"/>
      <c r="AU1759" s="24"/>
      <c r="AV1759" s="24"/>
      <c r="AW1759" s="24"/>
      <c r="AX1759" s="24"/>
    </row>
    <row r="1760" ht="15.75" customHeight="1">
      <c r="A1760" s="24"/>
      <c r="B1760" s="24"/>
      <c r="C1760" s="28"/>
      <c r="D1760" s="28"/>
      <c r="E1760" s="28"/>
      <c r="F1760" s="28"/>
      <c r="G1760" s="28"/>
      <c r="H1760" s="28"/>
      <c r="I1760" s="28"/>
      <c r="J1760" s="28"/>
      <c r="K1760" s="28"/>
      <c r="L1760" s="28"/>
      <c r="M1760" s="28"/>
      <c r="N1760" s="28"/>
      <c r="O1760" s="24"/>
      <c r="P1760" s="24"/>
      <c r="Q1760" s="24"/>
      <c r="R1760" s="24"/>
      <c r="S1760" s="24"/>
      <c r="T1760" s="24"/>
      <c r="U1760" s="24"/>
      <c r="V1760" s="24"/>
      <c r="W1760" s="24"/>
      <c r="X1760" s="24"/>
      <c r="Y1760" s="24"/>
      <c r="Z1760" s="24"/>
      <c r="AA1760" s="24"/>
      <c r="AB1760" s="24"/>
      <c r="AC1760" s="24"/>
      <c r="AD1760" s="24"/>
      <c r="AE1760" s="24"/>
      <c r="AF1760" s="24"/>
      <c r="AG1760" s="24"/>
      <c r="AH1760" s="24"/>
      <c r="AI1760" s="24"/>
      <c r="AJ1760" s="24"/>
      <c r="AK1760" s="24"/>
      <c r="AL1760" s="24"/>
      <c r="AM1760" s="24"/>
      <c r="AN1760" s="24"/>
      <c r="AO1760" s="24"/>
      <c r="AP1760" s="24"/>
      <c r="AQ1760" s="24"/>
      <c r="AR1760" s="24"/>
      <c r="AS1760" s="24"/>
      <c r="AT1760" s="24"/>
      <c r="AU1760" s="24"/>
      <c r="AV1760" s="24"/>
      <c r="AW1760" s="24"/>
      <c r="AX1760" s="24"/>
    </row>
    <row r="1761" ht="15.75" customHeight="1">
      <c r="A1761" s="24"/>
      <c r="B1761" s="24"/>
      <c r="C1761" s="28"/>
      <c r="D1761" s="28"/>
      <c r="E1761" s="28"/>
      <c r="F1761" s="28"/>
      <c r="G1761" s="28"/>
      <c r="H1761" s="28"/>
      <c r="I1761" s="28"/>
      <c r="J1761" s="28"/>
      <c r="K1761" s="28"/>
      <c r="L1761" s="28"/>
      <c r="M1761" s="28"/>
      <c r="N1761" s="28"/>
      <c r="O1761" s="24"/>
      <c r="P1761" s="24"/>
      <c r="Q1761" s="24"/>
      <c r="R1761" s="24"/>
      <c r="S1761" s="24"/>
      <c r="T1761" s="24"/>
      <c r="U1761" s="24"/>
      <c r="V1761" s="24"/>
      <c r="W1761" s="24"/>
      <c r="X1761" s="24"/>
      <c r="Y1761" s="24"/>
      <c r="Z1761" s="24"/>
      <c r="AA1761" s="24"/>
      <c r="AB1761" s="24"/>
      <c r="AC1761" s="24"/>
      <c r="AD1761" s="24"/>
      <c r="AE1761" s="24"/>
      <c r="AF1761" s="24"/>
      <c r="AG1761" s="24"/>
      <c r="AH1761" s="24"/>
      <c r="AI1761" s="24"/>
      <c r="AJ1761" s="24"/>
      <c r="AK1761" s="24"/>
      <c r="AL1761" s="24"/>
      <c r="AM1761" s="24"/>
      <c r="AN1761" s="24"/>
      <c r="AO1761" s="24"/>
      <c r="AP1761" s="24"/>
      <c r="AQ1761" s="24"/>
      <c r="AR1761" s="24"/>
      <c r="AS1761" s="24"/>
      <c r="AT1761" s="24"/>
      <c r="AU1761" s="24"/>
      <c r="AV1761" s="24"/>
      <c r="AW1761" s="24"/>
      <c r="AX1761" s="24"/>
    </row>
    <row r="1762" ht="15.75" customHeight="1">
      <c r="A1762" s="24"/>
      <c r="B1762" s="24"/>
      <c r="C1762" s="28"/>
      <c r="D1762" s="28"/>
      <c r="E1762" s="28"/>
      <c r="F1762" s="28"/>
      <c r="G1762" s="28"/>
      <c r="H1762" s="28"/>
      <c r="I1762" s="28"/>
      <c r="J1762" s="28"/>
      <c r="K1762" s="28"/>
      <c r="L1762" s="28"/>
      <c r="M1762" s="28"/>
      <c r="N1762" s="28"/>
      <c r="O1762" s="24"/>
      <c r="P1762" s="24"/>
      <c r="Q1762" s="24"/>
      <c r="R1762" s="24"/>
      <c r="S1762" s="24"/>
      <c r="T1762" s="24"/>
      <c r="U1762" s="24"/>
      <c r="V1762" s="24"/>
      <c r="W1762" s="24"/>
      <c r="X1762" s="24"/>
      <c r="Y1762" s="24"/>
      <c r="Z1762" s="24"/>
      <c r="AA1762" s="24"/>
      <c r="AB1762" s="24"/>
      <c r="AC1762" s="24"/>
      <c r="AD1762" s="24"/>
      <c r="AE1762" s="24"/>
      <c r="AF1762" s="24"/>
      <c r="AG1762" s="24"/>
      <c r="AH1762" s="24"/>
      <c r="AI1762" s="24"/>
      <c r="AJ1762" s="24"/>
      <c r="AK1762" s="24"/>
      <c r="AL1762" s="24"/>
      <c r="AM1762" s="24"/>
      <c r="AN1762" s="24"/>
      <c r="AO1762" s="24"/>
      <c r="AP1762" s="24"/>
      <c r="AQ1762" s="24"/>
      <c r="AR1762" s="24"/>
      <c r="AS1762" s="24"/>
      <c r="AT1762" s="24"/>
      <c r="AU1762" s="24"/>
      <c r="AV1762" s="24"/>
      <c r="AW1762" s="24"/>
      <c r="AX1762" s="24"/>
    </row>
    <row r="1763" ht="15.75" customHeight="1">
      <c r="A1763" s="24"/>
      <c r="B1763" s="24"/>
      <c r="C1763" s="28"/>
      <c r="D1763" s="28"/>
      <c r="E1763" s="28"/>
      <c r="F1763" s="28"/>
      <c r="G1763" s="28"/>
      <c r="H1763" s="28"/>
      <c r="I1763" s="28"/>
      <c r="J1763" s="28"/>
      <c r="K1763" s="28"/>
      <c r="L1763" s="28"/>
      <c r="M1763" s="28"/>
      <c r="N1763" s="28"/>
      <c r="O1763" s="24"/>
      <c r="P1763" s="24"/>
      <c r="Q1763" s="24"/>
      <c r="R1763" s="24"/>
      <c r="S1763" s="24"/>
      <c r="T1763" s="24"/>
      <c r="U1763" s="24"/>
      <c r="V1763" s="24"/>
      <c r="W1763" s="24"/>
      <c r="X1763" s="24"/>
      <c r="Y1763" s="24"/>
      <c r="Z1763" s="24"/>
      <c r="AA1763" s="24"/>
      <c r="AB1763" s="24"/>
      <c r="AC1763" s="24"/>
      <c r="AD1763" s="24"/>
      <c r="AE1763" s="24"/>
      <c r="AF1763" s="24"/>
      <c r="AG1763" s="24"/>
      <c r="AH1763" s="24"/>
      <c r="AI1763" s="24"/>
      <c r="AJ1763" s="24"/>
      <c r="AK1763" s="24"/>
      <c r="AL1763" s="24"/>
      <c r="AM1763" s="24"/>
      <c r="AN1763" s="24"/>
      <c r="AO1763" s="24"/>
      <c r="AP1763" s="24"/>
      <c r="AQ1763" s="24"/>
      <c r="AR1763" s="24"/>
      <c r="AS1763" s="24"/>
      <c r="AT1763" s="24"/>
      <c r="AU1763" s="24"/>
      <c r="AV1763" s="24"/>
      <c r="AW1763" s="24"/>
      <c r="AX1763" s="24"/>
    </row>
    <row r="1764" ht="15.75" customHeight="1">
      <c r="A1764" s="24"/>
      <c r="B1764" s="24"/>
      <c r="C1764" s="28"/>
      <c r="D1764" s="28"/>
      <c r="E1764" s="28"/>
      <c r="F1764" s="28"/>
      <c r="G1764" s="28"/>
      <c r="H1764" s="28"/>
      <c r="I1764" s="28"/>
      <c r="J1764" s="28"/>
      <c r="K1764" s="28"/>
      <c r="L1764" s="28"/>
      <c r="M1764" s="28"/>
      <c r="N1764" s="28"/>
      <c r="O1764" s="24"/>
      <c r="P1764" s="24"/>
      <c r="Q1764" s="24"/>
      <c r="R1764" s="24"/>
      <c r="S1764" s="24"/>
      <c r="T1764" s="24"/>
      <c r="U1764" s="24"/>
      <c r="V1764" s="24"/>
      <c r="W1764" s="24"/>
      <c r="X1764" s="24"/>
      <c r="Y1764" s="24"/>
      <c r="Z1764" s="24"/>
      <c r="AA1764" s="24"/>
      <c r="AB1764" s="24"/>
      <c r="AC1764" s="24"/>
      <c r="AD1764" s="24"/>
      <c r="AE1764" s="24"/>
      <c r="AF1764" s="24"/>
      <c r="AG1764" s="24"/>
      <c r="AH1764" s="24"/>
      <c r="AI1764" s="24"/>
      <c r="AJ1764" s="24"/>
      <c r="AK1764" s="24"/>
      <c r="AL1764" s="24"/>
      <c r="AM1764" s="24"/>
      <c r="AN1764" s="24"/>
      <c r="AO1764" s="24"/>
      <c r="AP1764" s="24"/>
      <c r="AQ1764" s="24"/>
      <c r="AR1764" s="24"/>
      <c r="AS1764" s="24"/>
      <c r="AT1764" s="24"/>
      <c r="AU1764" s="24"/>
      <c r="AV1764" s="24"/>
      <c r="AW1764" s="24"/>
      <c r="AX1764" s="24"/>
    </row>
    <row r="1765" ht="15.75" customHeight="1">
      <c r="A1765" s="24"/>
      <c r="B1765" s="24"/>
      <c r="C1765" s="28"/>
      <c r="D1765" s="28"/>
      <c r="E1765" s="28"/>
      <c r="F1765" s="28"/>
      <c r="G1765" s="28"/>
      <c r="H1765" s="28"/>
      <c r="I1765" s="28"/>
      <c r="J1765" s="28"/>
      <c r="K1765" s="28"/>
      <c r="L1765" s="28"/>
      <c r="M1765" s="28"/>
      <c r="N1765" s="28"/>
      <c r="O1765" s="24"/>
      <c r="P1765" s="24"/>
      <c r="Q1765" s="24"/>
      <c r="R1765" s="24"/>
      <c r="S1765" s="24"/>
      <c r="T1765" s="24"/>
      <c r="U1765" s="24"/>
      <c r="V1765" s="24"/>
      <c r="W1765" s="24"/>
      <c r="X1765" s="24"/>
      <c r="Y1765" s="24"/>
      <c r="Z1765" s="24"/>
      <c r="AA1765" s="24"/>
      <c r="AB1765" s="24"/>
      <c r="AC1765" s="24"/>
      <c r="AD1765" s="24"/>
      <c r="AE1765" s="24"/>
      <c r="AF1765" s="24"/>
      <c r="AG1765" s="24"/>
      <c r="AH1765" s="24"/>
      <c r="AI1765" s="24"/>
      <c r="AJ1765" s="24"/>
      <c r="AK1765" s="24"/>
      <c r="AL1765" s="24"/>
      <c r="AM1765" s="24"/>
      <c r="AN1765" s="24"/>
      <c r="AO1765" s="24"/>
      <c r="AP1765" s="24"/>
      <c r="AQ1765" s="24"/>
      <c r="AR1765" s="24"/>
      <c r="AS1765" s="24"/>
      <c r="AT1765" s="24"/>
      <c r="AU1765" s="24"/>
      <c r="AV1765" s="24"/>
      <c r="AW1765" s="24"/>
      <c r="AX1765" s="24"/>
    </row>
    <row r="1766" ht="15.75" customHeight="1">
      <c r="A1766" s="24"/>
      <c r="B1766" s="24"/>
      <c r="C1766" s="28"/>
      <c r="D1766" s="28"/>
      <c r="E1766" s="28"/>
      <c r="F1766" s="28"/>
      <c r="G1766" s="28"/>
      <c r="H1766" s="28"/>
      <c r="I1766" s="28"/>
      <c r="J1766" s="28"/>
      <c r="K1766" s="28"/>
      <c r="L1766" s="28"/>
      <c r="M1766" s="28"/>
      <c r="N1766" s="28"/>
      <c r="O1766" s="24"/>
      <c r="P1766" s="24"/>
      <c r="Q1766" s="24"/>
      <c r="R1766" s="24"/>
      <c r="S1766" s="24"/>
      <c r="T1766" s="24"/>
      <c r="U1766" s="24"/>
      <c r="V1766" s="24"/>
      <c r="W1766" s="24"/>
      <c r="X1766" s="24"/>
      <c r="Y1766" s="24"/>
      <c r="Z1766" s="24"/>
      <c r="AA1766" s="24"/>
      <c r="AB1766" s="24"/>
      <c r="AC1766" s="24"/>
      <c r="AD1766" s="24"/>
      <c r="AE1766" s="24"/>
      <c r="AF1766" s="24"/>
      <c r="AG1766" s="24"/>
      <c r="AH1766" s="24"/>
      <c r="AI1766" s="24"/>
      <c r="AJ1766" s="24"/>
      <c r="AK1766" s="24"/>
      <c r="AL1766" s="24"/>
      <c r="AM1766" s="24"/>
      <c r="AN1766" s="24"/>
      <c r="AO1766" s="24"/>
      <c r="AP1766" s="24"/>
      <c r="AQ1766" s="24"/>
      <c r="AR1766" s="24"/>
      <c r="AS1766" s="24"/>
      <c r="AT1766" s="24"/>
      <c r="AU1766" s="24"/>
      <c r="AV1766" s="24"/>
      <c r="AW1766" s="24"/>
      <c r="AX1766" s="24"/>
    </row>
    <row r="1767" ht="15.75" customHeight="1">
      <c r="A1767" s="24"/>
      <c r="B1767" s="24"/>
      <c r="C1767" s="28"/>
      <c r="D1767" s="28"/>
      <c r="E1767" s="28"/>
      <c r="F1767" s="28"/>
      <c r="G1767" s="28"/>
      <c r="H1767" s="28"/>
      <c r="I1767" s="28"/>
      <c r="J1767" s="28"/>
      <c r="K1767" s="28"/>
      <c r="L1767" s="28"/>
      <c r="M1767" s="28"/>
      <c r="N1767" s="28"/>
      <c r="O1767" s="24"/>
      <c r="P1767" s="24"/>
      <c r="Q1767" s="24"/>
      <c r="R1767" s="24"/>
      <c r="S1767" s="24"/>
      <c r="T1767" s="24"/>
      <c r="U1767" s="24"/>
      <c r="V1767" s="24"/>
      <c r="W1767" s="24"/>
      <c r="X1767" s="24"/>
      <c r="Y1767" s="24"/>
      <c r="Z1767" s="24"/>
      <c r="AA1767" s="24"/>
      <c r="AB1767" s="24"/>
      <c r="AC1767" s="24"/>
      <c r="AD1767" s="24"/>
      <c r="AE1767" s="24"/>
      <c r="AF1767" s="24"/>
      <c r="AG1767" s="24"/>
      <c r="AH1767" s="24"/>
      <c r="AI1767" s="24"/>
      <c r="AJ1767" s="24"/>
      <c r="AK1767" s="24"/>
      <c r="AL1767" s="24"/>
      <c r="AM1767" s="24"/>
      <c r="AN1767" s="24"/>
      <c r="AO1767" s="24"/>
      <c r="AP1767" s="24"/>
      <c r="AQ1767" s="24"/>
      <c r="AR1767" s="24"/>
      <c r="AS1767" s="24"/>
      <c r="AT1767" s="24"/>
      <c r="AU1767" s="24"/>
      <c r="AV1767" s="24"/>
      <c r="AW1767" s="24"/>
      <c r="AX1767" s="24"/>
    </row>
    <row r="1768" ht="15.75" customHeight="1">
      <c r="A1768" s="24"/>
      <c r="B1768" s="24"/>
      <c r="C1768" s="28"/>
      <c r="D1768" s="28"/>
      <c r="E1768" s="28"/>
      <c r="F1768" s="28"/>
      <c r="G1768" s="28"/>
      <c r="H1768" s="28"/>
      <c r="I1768" s="28"/>
      <c r="J1768" s="28"/>
      <c r="K1768" s="28"/>
      <c r="L1768" s="28"/>
      <c r="M1768" s="28"/>
      <c r="N1768" s="28"/>
      <c r="O1768" s="24"/>
      <c r="P1768" s="24"/>
      <c r="Q1768" s="24"/>
      <c r="R1768" s="24"/>
      <c r="S1768" s="24"/>
      <c r="T1768" s="24"/>
      <c r="U1768" s="24"/>
      <c r="V1768" s="24"/>
      <c r="W1768" s="24"/>
      <c r="X1768" s="24"/>
      <c r="Y1768" s="24"/>
      <c r="Z1768" s="24"/>
      <c r="AA1768" s="24"/>
      <c r="AB1768" s="24"/>
      <c r="AC1768" s="24"/>
      <c r="AD1768" s="24"/>
      <c r="AE1768" s="24"/>
      <c r="AF1768" s="24"/>
      <c r="AG1768" s="24"/>
      <c r="AH1768" s="24"/>
      <c r="AI1768" s="24"/>
      <c r="AJ1768" s="24"/>
      <c r="AK1768" s="24"/>
      <c r="AL1768" s="24"/>
      <c r="AM1768" s="24"/>
      <c r="AN1768" s="24"/>
      <c r="AO1768" s="24"/>
      <c r="AP1768" s="24"/>
      <c r="AQ1768" s="24"/>
      <c r="AR1768" s="24"/>
      <c r="AS1768" s="24"/>
      <c r="AT1768" s="24"/>
      <c r="AU1768" s="24"/>
      <c r="AV1768" s="24"/>
      <c r="AW1768" s="24"/>
      <c r="AX1768" s="24"/>
    </row>
    <row r="1769" ht="15.75" customHeight="1">
      <c r="A1769" s="24"/>
      <c r="B1769" s="24"/>
      <c r="C1769" s="28"/>
      <c r="D1769" s="28"/>
      <c r="E1769" s="28"/>
      <c r="F1769" s="28"/>
      <c r="G1769" s="28"/>
      <c r="H1769" s="28"/>
      <c r="I1769" s="28"/>
      <c r="J1769" s="28"/>
      <c r="K1769" s="28"/>
      <c r="L1769" s="28"/>
      <c r="M1769" s="28"/>
      <c r="N1769" s="28"/>
      <c r="O1769" s="24"/>
      <c r="P1769" s="24"/>
      <c r="Q1769" s="24"/>
      <c r="R1769" s="24"/>
      <c r="S1769" s="24"/>
      <c r="T1769" s="24"/>
      <c r="U1769" s="24"/>
      <c r="V1769" s="24"/>
      <c r="W1769" s="24"/>
      <c r="X1769" s="24"/>
      <c r="Y1769" s="24"/>
      <c r="Z1769" s="24"/>
      <c r="AA1769" s="24"/>
      <c r="AB1769" s="24"/>
      <c r="AC1769" s="24"/>
      <c r="AD1769" s="24"/>
      <c r="AE1769" s="24"/>
      <c r="AF1769" s="24"/>
      <c r="AG1769" s="24"/>
      <c r="AH1769" s="24"/>
      <c r="AI1769" s="24"/>
      <c r="AJ1769" s="24"/>
      <c r="AK1769" s="24"/>
      <c r="AL1769" s="24"/>
      <c r="AM1769" s="24"/>
      <c r="AN1769" s="24"/>
      <c r="AO1769" s="24"/>
      <c r="AP1769" s="24"/>
      <c r="AQ1769" s="24"/>
      <c r="AR1769" s="24"/>
      <c r="AS1769" s="24"/>
      <c r="AT1769" s="24"/>
      <c r="AU1769" s="24"/>
      <c r="AV1769" s="24"/>
      <c r="AW1769" s="24"/>
      <c r="AX1769" s="24"/>
    </row>
    <row r="1770" ht="15.75" customHeight="1">
      <c r="A1770" s="24"/>
      <c r="B1770" s="24"/>
      <c r="C1770" s="28"/>
      <c r="D1770" s="28"/>
      <c r="E1770" s="28"/>
      <c r="F1770" s="28"/>
      <c r="G1770" s="28"/>
      <c r="H1770" s="28"/>
      <c r="I1770" s="28"/>
      <c r="J1770" s="28"/>
      <c r="K1770" s="28"/>
      <c r="L1770" s="28"/>
      <c r="M1770" s="28"/>
      <c r="N1770" s="28"/>
      <c r="O1770" s="24"/>
      <c r="P1770" s="24"/>
      <c r="Q1770" s="24"/>
      <c r="R1770" s="24"/>
      <c r="S1770" s="24"/>
      <c r="T1770" s="24"/>
      <c r="U1770" s="24"/>
      <c r="V1770" s="24"/>
      <c r="W1770" s="24"/>
      <c r="X1770" s="24"/>
      <c r="Y1770" s="24"/>
      <c r="Z1770" s="24"/>
      <c r="AA1770" s="24"/>
      <c r="AB1770" s="24"/>
      <c r="AC1770" s="24"/>
      <c r="AD1770" s="24"/>
      <c r="AE1770" s="24"/>
      <c r="AF1770" s="24"/>
      <c r="AG1770" s="24"/>
      <c r="AH1770" s="24"/>
      <c r="AI1770" s="24"/>
      <c r="AJ1770" s="24"/>
      <c r="AK1770" s="24"/>
      <c r="AL1770" s="24"/>
      <c r="AM1770" s="24"/>
      <c r="AN1770" s="24"/>
      <c r="AO1770" s="24"/>
      <c r="AP1770" s="24"/>
      <c r="AQ1770" s="24"/>
      <c r="AR1770" s="24"/>
      <c r="AS1770" s="24"/>
      <c r="AT1770" s="24"/>
      <c r="AU1770" s="24"/>
      <c r="AV1770" s="24"/>
      <c r="AW1770" s="24"/>
      <c r="AX1770" s="24"/>
    </row>
    <row r="1771" ht="15.75" customHeight="1">
      <c r="A1771" s="24"/>
      <c r="B1771" s="24"/>
      <c r="C1771" s="28"/>
      <c r="D1771" s="28"/>
      <c r="E1771" s="28"/>
      <c r="F1771" s="28"/>
      <c r="G1771" s="28"/>
      <c r="H1771" s="28"/>
      <c r="I1771" s="28"/>
      <c r="J1771" s="28"/>
      <c r="K1771" s="28"/>
      <c r="L1771" s="28"/>
      <c r="M1771" s="28"/>
      <c r="N1771" s="28"/>
      <c r="O1771" s="24"/>
      <c r="P1771" s="24"/>
      <c r="Q1771" s="24"/>
      <c r="R1771" s="24"/>
      <c r="S1771" s="24"/>
      <c r="T1771" s="24"/>
      <c r="U1771" s="24"/>
      <c r="V1771" s="24"/>
      <c r="W1771" s="24"/>
      <c r="X1771" s="24"/>
      <c r="Y1771" s="24"/>
      <c r="Z1771" s="24"/>
      <c r="AA1771" s="24"/>
      <c r="AB1771" s="24"/>
      <c r="AC1771" s="24"/>
      <c r="AD1771" s="24"/>
      <c r="AE1771" s="24"/>
      <c r="AF1771" s="24"/>
      <c r="AG1771" s="24"/>
      <c r="AH1771" s="24"/>
      <c r="AI1771" s="24"/>
      <c r="AJ1771" s="24"/>
      <c r="AK1771" s="24"/>
      <c r="AL1771" s="24"/>
      <c r="AM1771" s="24"/>
      <c r="AN1771" s="24"/>
      <c r="AO1771" s="24"/>
      <c r="AP1771" s="24"/>
      <c r="AQ1771" s="24"/>
      <c r="AR1771" s="24"/>
      <c r="AS1771" s="24"/>
      <c r="AT1771" s="24"/>
      <c r="AU1771" s="24"/>
      <c r="AV1771" s="24"/>
      <c r="AW1771" s="24"/>
      <c r="AX1771" s="24"/>
    </row>
    <row r="1772" ht="15.75" customHeight="1">
      <c r="A1772" s="24"/>
      <c r="B1772" s="24"/>
      <c r="C1772" s="28"/>
      <c r="D1772" s="28"/>
      <c r="E1772" s="28"/>
      <c r="F1772" s="28"/>
      <c r="G1772" s="28"/>
      <c r="H1772" s="28"/>
      <c r="I1772" s="28"/>
      <c r="J1772" s="28"/>
      <c r="K1772" s="28"/>
      <c r="L1772" s="28"/>
      <c r="M1772" s="28"/>
      <c r="N1772" s="28"/>
      <c r="O1772" s="24"/>
      <c r="P1772" s="24"/>
      <c r="Q1772" s="24"/>
      <c r="R1772" s="24"/>
      <c r="S1772" s="24"/>
      <c r="T1772" s="24"/>
      <c r="U1772" s="24"/>
      <c r="V1772" s="24"/>
      <c r="W1772" s="24"/>
      <c r="X1772" s="24"/>
      <c r="Y1772" s="24"/>
      <c r="Z1772" s="24"/>
      <c r="AA1772" s="24"/>
      <c r="AB1772" s="24"/>
      <c r="AC1772" s="24"/>
      <c r="AD1772" s="24"/>
      <c r="AE1772" s="24"/>
      <c r="AF1772" s="24"/>
      <c r="AG1772" s="24"/>
      <c r="AH1772" s="24"/>
      <c r="AI1772" s="24"/>
      <c r="AJ1772" s="24"/>
      <c r="AK1772" s="24"/>
      <c r="AL1772" s="24"/>
      <c r="AM1772" s="24"/>
      <c r="AN1772" s="24"/>
      <c r="AO1772" s="24"/>
      <c r="AP1772" s="24"/>
      <c r="AQ1772" s="24"/>
      <c r="AR1772" s="24"/>
      <c r="AS1772" s="24"/>
      <c r="AT1772" s="24"/>
      <c r="AU1772" s="24"/>
      <c r="AV1772" s="24"/>
      <c r="AW1772" s="24"/>
      <c r="AX1772" s="24"/>
    </row>
    <row r="1773" ht="15.75" customHeight="1">
      <c r="A1773" s="24"/>
      <c r="B1773" s="24"/>
      <c r="C1773" s="28"/>
      <c r="D1773" s="28"/>
      <c r="E1773" s="28"/>
      <c r="F1773" s="28"/>
      <c r="G1773" s="28"/>
      <c r="H1773" s="28"/>
      <c r="I1773" s="28"/>
      <c r="J1773" s="28"/>
      <c r="K1773" s="28"/>
      <c r="L1773" s="28"/>
      <c r="M1773" s="28"/>
      <c r="N1773" s="28"/>
      <c r="O1773" s="24"/>
      <c r="P1773" s="24"/>
      <c r="Q1773" s="24"/>
      <c r="R1773" s="24"/>
      <c r="S1773" s="24"/>
      <c r="T1773" s="24"/>
      <c r="U1773" s="24"/>
      <c r="V1773" s="24"/>
      <c r="W1773" s="24"/>
      <c r="X1773" s="24"/>
      <c r="Y1773" s="24"/>
      <c r="Z1773" s="24"/>
      <c r="AA1773" s="24"/>
      <c r="AB1773" s="24"/>
      <c r="AC1773" s="24"/>
      <c r="AD1773" s="24"/>
      <c r="AE1773" s="24"/>
      <c r="AF1773" s="24"/>
      <c r="AG1773" s="24"/>
      <c r="AH1773" s="24"/>
      <c r="AI1773" s="24"/>
      <c r="AJ1773" s="24"/>
      <c r="AK1773" s="24"/>
      <c r="AL1773" s="24"/>
      <c r="AM1773" s="24"/>
      <c r="AN1773" s="24"/>
      <c r="AO1773" s="24"/>
      <c r="AP1773" s="24"/>
      <c r="AQ1773" s="24"/>
      <c r="AR1773" s="24"/>
      <c r="AS1773" s="24"/>
      <c r="AT1773" s="24"/>
      <c r="AU1773" s="24"/>
      <c r="AV1773" s="24"/>
      <c r="AW1773" s="24"/>
      <c r="AX1773" s="24"/>
    </row>
    <row r="1774" ht="15.75" customHeight="1">
      <c r="A1774" s="24"/>
      <c r="B1774" s="24"/>
      <c r="C1774" s="28"/>
      <c r="D1774" s="28"/>
      <c r="E1774" s="28"/>
      <c r="F1774" s="28"/>
      <c r="G1774" s="28"/>
      <c r="H1774" s="28"/>
      <c r="I1774" s="28"/>
      <c r="J1774" s="28"/>
      <c r="K1774" s="28"/>
      <c r="L1774" s="28"/>
      <c r="M1774" s="28"/>
      <c r="N1774" s="28"/>
      <c r="O1774" s="24"/>
      <c r="P1774" s="24"/>
      <c r="Q1774" s="24"/>
      <c r="R1774" s="24"/>
      <c r="S1774" s="24"/>
      <c r="T1774" s="24"/>
      <c r="U1774" s="24"/>
      <c r="V1774" s="24"/>
      <c r="W1774" s="24"/>
      <c r="X1774" s="24"/>
      <c r="Y1774" s="24"/>
      <c r="Z1774" s="24"/>
      <c r="AA1774" s="24"/>
      <c r="AB1774" s="24"/>
      <c r="AC1774" s="24"/>
      <c r="AD1774" s="24"/>
      <c r="AE1774" s="24"/>
      <c r="AF1774" s="24"/>
      <c r="AG1774" s="24"/>
      <c r="AH1774" s="24"/>
      <c r="AI1774" s="24"/>
      <c r="AJ1774" s="24"/>
      <c r="AK1774" s="24"/>
      <c r="AL1774" s="24"/>
      <c r="AM1774" s="24"/>
      <c r="AN1774" s="24"/>
      <c r="AO1774" s="24"/>
      <c r="AP1774" s="24"/>
      <c r="AQ1774" s="24"/>
      <c r="AR1774" s="24"/>
      <c r="AS1774" s="24"/>
      <c r="AT1774" s="24"/>
      <c r="AU1774" s="24"/>
      <c r="AV1774" s="24"/>
      <c r="AW1774" s="24"/>
      <c r="AX1774" s="24"/>
    </row>
    <row r="1775" ht="15.75" customHeight="1">
      <c r="A1775" s="24"/>
      <c r="B1775" s="24"/>
      <c r="C1775" s="28"/>
      <c r="D1775" s="28"/>
      <c r="E1775" s="28"/>
      <c r="F1775" s="28"/>
      <c r="G1775" s="28"/>
      <c r="H1775" s="28"/>
      <c r="I1775" s="28"/>
      <c r="J1775" s="28"/>
      <c r="K1775" s="28"/>
      <c r="L1775" s="28"/>
      <c r="M1775" s="28"/>
      <c r="N1775" s="28"/>
      <c r="O1775" s="24"/>
      <c r="P1775" s="24"/>
      <c r="Q1775" s="24"/>
      <c r="R1775" s="24"/>
      <c r="S1775" s="24"/>
      <c r="T1775" s="24"/>
      <c r="U1775" s="24"/>
      <c r="V1775" s="24"/>
      <c r="W1775" s="24"/>
      <c r="X1775" s="24"/>
      <c r="Y1775" s="24"/>
      <c r="Z1775" s="24"/>
      <c r="AA1775" s="24"/>
      <c r="AB1775" s="24"/>
      <c r="AC1775" s="24"/>
      <c r="AD1775" s="24"/>
      <c r="AE1775" s="24"/>
      <c r="AF1775" s="24"/>
      <c r="AG1775" s="24"/>
      <c r="AH1775" s="24"/>
      <c r="AI1775" s="24"/>
      <c r="AJ1775" s="24"/>
      <c r="AK1775" s="24"/>
      <c r="AL1775" s="24"/>
      <c r="AM1775" s="24"/>
      <c r="AN1775" s="24"/>
      <c r="AO1775" s="24"/>
      <c r="AP1775" s="24"/>
      <c r="AQ1775" s="24"/>
      <c r="AR1775" s="24"/>
      <c r="AS1775" s="24"/>
      <c r="AT1775" s="24"/>
      <c r="AU1775" s="24"/>
      <c r="AV1775" s="24"/>
      <c r="AW1775" s="24"/>
      <c r="AX1775" s="24"/>
    </row>
    <row r="1776" ht="15.75" customHeight="1">
      <c r="A1776" s="24"/>
      <c r="B1776" s="24"/>
      <c r="C1776" s="28"/>
      <c r="D1776" s="28"/>
      <c r="E1776" s="28"/>
      <c r="F1776" s="28"/>
      <c r="G1776" s="28"/>
      <c r="H1776" s="28"/>
      <c r="I1776" s="28"/>
      <c r="J1776" s="28"/>
      <c r="K1776" s="28"/>
      <c r="L1776" s="28"/>
      <c r="M1776" s="28"/>
      <c r="N1776" s="28"/>
      <c r="O1776" s="24"/>
      <c r="P1776" s="24"/>
      <c r="Q1776" s="24"/>
      <c r="R1776" s="24"/>
      <c r="S1776" s="24"/>
      <c r="T1776" s="24"/>
      <c r="U1776" s="24"/>
      <c r="V1776" s="24"/>
      <c r="W1776" s="24"/>
      <c r="X1776" s="24"/>
      <c r="Y1776" s="24"/>
      <c r="Z1776" s="24"/>
      <c r="AA1776" s="24"/>
      <c r="AB1776" s="24"/>
      <c r="AC1776" s="24"/>
      <c r="AD1776" s="24"/>
      <c r="AE1776" s="24"/>
      <c r="AF1776" s="24"/>
      <c r="AG1776" s="24"/>
      <c r="AH1776" s="24"/>
      <c r="AI1776" s="24"/>
      <c r="AJ1776" s="24"/>
      <c r="AK1776" s="24"/>
      <c r="AL1776" s="24"/>
      <c r="AM1776" s="24"/>
      <c r="AN1776" s="24"/>
      <c r="AO1776" s="24"/>
      <c r="AP1776" s="24"/>
      <c r="AQ1776" s="24"/>
      <c r="AR1776" s="24"/>
      <c r="AS1776" s="24"/>
      <c r="AT1776" s="24"/>
      <c r="AU1776" s="24"/>
      <c r="AV1776" s="24"/>
      <c r="AW1776" s="24"/>
      <c r="AX1776" s="24"/>
    </row>
    <row r="1777" ht="15.75" customHeight="1">
      <c r="A1777" s="24"/>
      <c r="B1777" s="24"/>
      <c r="C1777" s="28"/>
      <c r="D1777" s="28"/>
      <c r="E1777" s="28"/>
      <c r="F1777" s="28"/>
      <c r="G1777" s="28"/>
      <c r="H1777" s="28"/>
      <c r="I1777" s="28"/>
      <c r="J1777" s="28"/>
      <c r="K1777" s="28"/>
      <c r="L1777" s="28"/>
      <c r="M1777" s="28"/>
      <c r="N1777" s="28"/>
      <c r="O1777" s="24"/>
      <c r="P1777" s="24"/>
      <c r="Q1777" s="24"/>
      <c r="R1777" s="24"/>
      <c r="S1777" s="24"/>
      <c r="T1777" s="24"/>
      <c r="U1777" s="24"/>
      <c r="V1777" s="24"/>
      <c r="W1777" s="24"/>
      <c r="X1777" s="24"/>
      <c r="Y1777" s="24"/>
      <c r="Z1777" s="24"/>
      <c r="AA1777" s="24"/>
      <c r="AB1777" s="24"/>
      <c r="AC1777" s="24"/>
      <c r="AD1777" s="24"/>
      <c r="AE1777" s="24"/>
      <c r="AF1777" s="24"/>
      <c r="AG1777" s="24"/>
      <c r="AH1777" s="24"/>
      <c r="AI1777" s="24"/>
      <c r="AJ1777" s="24"/>
      <c r="AK1777" s="24"/>
      <c r="AL1777" s="24"/>
      <c r="AM1777" s="24"/>
      <c r="AN1777" s="24"/>
      <c r="AO1777" s="24"/>
      <c r="AP1777" s="24"/>
      <c r="AQ1777" s="24"/>
      <c r="AR1777" s="24"/>
      <c r="AS1777" s="24"/>
      <c r="AT1777" s="24"/>
      <c r="AU1777" s="24"/>
      <c r="AV1777" s="24"/>
      <c r="AW1777" s="24"/>
      <c r="AX1777" s="24"/>
    </row>
    <row r="1778" ht="15.75" customHeight="1">
      <c r="A1778" s="24"/>
      <c r="B1778" s="24"/>
      <c r="C1778" s="28"/>
      <c r="D1778" s="28"/>
      <c r="E1778" s="28"/>
      <c r="F1778" s="28"/>
      <c r="G1778" s="28"/>
      <c r="H1778" s="28"/>
      <c r="I1778" s="28"/>
      <c r="J1778" s="28"/>
      <c r="K1778" s="28"/>
      <c r="L1778" s="28"/>
      <c r="M1778" s="28"/>
      <c r="N1778" s="28"/>
      <c r="O1778" s="24"/>
      <c r="P1778" s="24"/>
      <c r="Q1778" s="24"/>
      <c r="R1778" s="24"/>
      <c r="S1778" s="24"/>
      <c r="T1778" s="24"/>
      <c r="U1778" s="24"/>
      <c r="V1778" s="24"/>
      <c r="W1778" s="24"/>
      <c r="X1778" s="24"/>
      <c r="Y1778" s="24"/>
      <c r="Z1778" s="24"/>
      <c r="AA1778" s="24"/>
      <c r="AB1778" s="24"/>
      <c r="AC1778" s="24"/>
      <c r="AD1778" s="24"/>
      <c r="AE1778" s="24"/>
      <c r="AF1778" s="24"/>
      <c r="AG1778" s="24"/>
      <c r="AH1778" s="24"/>
      <c r="AI1778" s="24"/>
      <c r="AJ1778" s="24"/>
      <c r="AK1778" s="24"/>
      <c r="AL1778" s="24"/>
      <c r="AM1778" s="24"/>
      <c r="AN1778" s="24"/>
      <c r="AO1778" s="24"/>
      <c r="AP1778" s="24"/>
      <c r="AQ1778" s="24"/>
      <c r="AR1778" s="24"/>
      <c r="AS1778" s="24"/>
      <c r="AT1778" s="24"/>
      <c r="AU1778" s="24"/>
      <c r="AV1778" s="24"/>
      <c r="AW1778" s="24"/>
      <c r="AX1778" s="24"/>
    </row>
    <row r="1779" ht="15.75" customHeight="1">
      <c r="A1779" s="24"/>
      <c r="B1779" s="24"/>
      <c r="C1779" s="28"/>
      <c r="D1779" s="28"/>
      <c r="E1779" s="28"/>
      <c r="F1779" s="28"/>
      <c r="G1779" s="28"/>
      <c r="H1779" s="28"/>
      <c r="I1779" s="28"/>
      <c r="J1779" s="28"/>
      <c r="K1779" s="28"/>
      <c r="L1779" s="28"/>
      <c r="M1779" s="28"/>
      <c r="N1779" s="28"/>
      <c r="O1779" s="24"/>
      <c r="P1779" s="24"/>
      <c r="Q1779" s="24"/>
      <c r="R1779" s="24"/>
      <c r="S1779" s="24"/>
      <c r="T1779" s="24"/>
      <c r="U1779" s="24"/>
      <c r="V1779" s="24"/>
      <c r="W1779" s="24"/>
      <c r="X1779" s="24"/>
      <c r="Y1779" s="24"/>
      <c r="Z1779" s="24"/>
      <c r="AA1779" s="24"/>
      <c r="AB1779" s="24"/>
      <c r="AC1779" s="24"/>
      <c r="AD1779" s="24"/>
      <c r="AE1779" s="24"/>
      <c r="AF1779" s="24"/>
      <c r="AG1779" s="24"/>
      <c r="AH1779" s="24"/>
      <c r="AI1779" s="24"/>
      <c r="AJ1779" s="24"/>
      <c r="AK1779" s="24"/>
      <c r="AL1779" s="24"/>
      <c r="AM1779" s="24"/>
      <c r="AN1779" s="24"/>
      <c r="AO1779" s="24"/>
      <c r="AP1779" s="24"/>
      <c r="AQ1779" s="24"/>
      <c r="AR1779" s="24"/>
      <c r="AS1779" s="24"/>
      <c r="AT1779" s="24"/>
      <c r="AU1779" s="24"/>
      <c r="AV1779" s="24"/>
      <c r="AW1779" s="24"/>
      <c r="AX1779" s="24"/>
    </row>
    <row r="1780" ht="15.75" customHeight="1">
      <c r="A1780" s="24"/>
      <c r="B1780" s="24"/>
      <c r="C1780" s="28"/>
      <c r="D1780" s="28"/>
      <c r="E1780" s="28"/>
      <c r="F1780" s="28"/>
      <c r="G1780" s="28"/>
      <c r="H1780" s="28"/>
      <c r="I1780" s="28"/>
      <c r="J1780" s="28"/>
      <c r="K1780" s="28"/>
      <c r="L1780" s="28"/>
      <c r="M1780" s="28"/>
      <c r="N1780" s="28"/>
      <c r="O1780" s="24"/>
      <c r="P1780" s="24"/>
      <c r="Q1780" s="24"/>
      <c r="R1780" s="24"/>
      <c r="S1780" s="24"/>
      <c r="T1780" s="24"/>
      <c r="U1780" s="24"/>
      <c r="V1780" s="24"/>
      <c r="W1780" s="24"/>
      <c r="X1780" s="24"/>
      <c r="Y1780" s="24"/>
      <c r="Z1780" s="24"/>
      <c r="AA1780" s="24"/>
      <c r="AB1780" s="24"/>
      <c r="AC1780" s="24"/>
      <c r="AD1780" s="24"/>
      <c r="AE1780" s="24"/>
      <c r="AF1780" s="24"/>
      <c r="AG1780" s="24"/>
      <c r="AH1780" s="24"/>
      <c r="AI1780" s="24"/>
      <c r="AJ1780" s="24"/>
      <c r="AK1780" s="24"/>
      <c r="AL1780" s="24"/>
      <c r="AM1780" s="24"/>
      <c r="AN1780" s="24"/>
      <c r="AO1780" s="24"/>
      <c r="AP1780" s="24"/>
      <c r="AQ1780" s="24"/>
      <c r="AR1780" s="24"/>
      <c r="AS1780" s="24"/>
      <c r="AT1780" s="24"/>
      <c r="AU1780" s="24"/>
      <c r="AV1780" s="24"/>
      <c r="AW1780" s="24"/>
      <c r="AX1780" s="24"/>
    </row>
    <row r="1781" ht="15.75" customHeight="1">
      <c r="A1781" s="24"/>
      <c r="B1781" s="24"/>
      <c r="C1781" s="28"/>
      <c r="D1781" s="28"/>
      <c r="E1781" s="28"/>
      <c r="F1781" s="28"/>
      <c r="G1781" s="28"/>
      <c r="H1781" s="28"/>
      <c r="I1781" s="28"/>
      <c r="J1781" s="28"/>
      <c r="K1781" s="28"/>
      <c r="L1781" s="28"/>
      <c r="M1781" s="28"/>
      <c r="N1781" s="28"/>
      <c r="O1781" s="24"/>
      <c r="P1781" s="24"/>
      <c r="Q1781" s="24"/>
      <c r="R1781" s="24"/>
      <c r="S1781" s="24"/>
      <c r="T1781" s="24"/>
      <c r="U1781" s="24"/>
      <c r="V1781" s="24"/>
      <c r="W1781" s="24"/>
      <c r="X1781" s="24"/>
      <c r="Y1781" s="24"/>
      <c r="Z1781" s="24"/>
      <c r="AA1781" s="24"/>
      <c r="AB1781" s="24"/>
      <c r="AC1781" s="24"/>
      <c r="AD1781" s="24"/>
      <c r="AE1781" s="24"/>
      <c r="AF1781" s="24"/>
      <c r="AG1781" s="24"/>
      <c r="AH1781" s="24"/>
      <c r="AI1781" s="24"/>
      <c r="AJ1781" s="24"/>
      <c r="AK1781" s="24"/>
      <c r="AL1781" s="24"/>
      <c r="AM1781" s="24"/>
      <c r="AN1781" s="24"/>
      <c r="AO1781" s="24"/>
      <c r="AP1781" s="24"/>
      <c r="AQ1781" s="24"/>
      <c r="AR1781" s="24"/>
      <c r="AS1781" s="24"/>
      <c r="AT1781" s="24"/>
      <c r="AU1781" s="24"/>
      <c r="AV1781" s="24"/>
      <c r="AW1781" s="24"/>
      <c r="AX1781" s="24"/>
    </row>
    <row r="1782" ht="15.75" customHeight="1">
      <c r="A1782" s="24"/>
      <c r="B1782" s="24"/>
      <c r="C1782" s="28"/>
      <c r="D1782" s="28"/>
      <c r="E1782" s="28"/>
      <c r="F1782" s="28"/>
      <c r="G1782" s="28"/>
      <c r="H1782" s="28"/>
      <c r="I1782" s="28"/>
      <c r="J1782" s="28"/>
      <c r="K1782" s="28"/>
      <c r="L1782" s="28"/>
      <c r="M1782" s="28"/>
      <c r="N1782" s="28"/>
      <c r="O1782" s="24"/>
      <c r="P1782" s="24"/>
      <c r="Q1782" s="24"/>
      <c r="R1782" s="24"/>
      <c r="S1782" s="24"/>
      <c r="T1782" s="24"/>
      <c r="U1782" s="24"/>
      <c r="V1782" s="24"/>
      <c r="W1782" s="24"/>
      <c r="X1782" s="24"/>
      <c r="Y1782" s="24"/>
      <c r="Z1782" s="24"/>
      <c r="AA1782" s="24"/>
      <c r="AB1782" s="24"/>
      <c r="AC1782" s="24"/>
      <c r="AD1782" s="24"/>
      <c r="AE1782" s="24"/>
      <c r="AF1782" s="24"/>
      <c r="AG1782" s="24"/>
      <c r="AH1782" s="24"/>
      <c r="AI1782" s="24"/>
      <c r="AJ1782" s="24"/>
      <c r="AK1782" s="24"/>
      <c r="AL1782" s="24"/>
      <c r="AM1782" s="24"/>
      <c r="AN1782" s="24"/>
      <c r="AO1782" s="24"/>
      <c r="AP1782" s="24"/>
      <c r="AQ1782" s="24"/>
      <c r="AR1782" s="24"/>
      <c r="AS1782" s="24"/>
      <c r="AT1782" s="24"/>
      <c r="AU1782" s="24"/>
      <c r="AV1782" s="24"/>
      <c r="AW1782" s="24"/>
      <c r="AX1782" s="24"/>
    </row>
    <row r="1783" ht="15.75" customHeight="1">
      <c r="A1783" s="24"/>
      <c r="B1783" s="24"/>
      <c r="C1783" s="28"/>
      <c r="D1783" s="28"/>
      <c r="E1783" s="28"/>
      <c r="F1783" s="28"/>
      <c r="G1783" s="28"/>
      <c r="H1783" s="28"/>
      <c r="I1783" s="28"/>
      <c r="J1783" s="28"/>
      <c r="K1783" s="28"/>
      <c r="L1783" s="28"/>
      <c r="M1783" s="28"/>
      <c r="N1783" s="28"/>
      <c r="O1783" s="24"/>
      <c r="P1783" s="24"/>
      <c r="Q1783" s="24"/>
      <c r="R1783" s="24"/>
      <c r="S1783" s="24"/>
      <c r="T1783" s="24"/>
      <c r="U1783" s="24"/>
      <c r="V1783" s="24"/>
      <c r="W1783" s="24"/>
      <c r="X1783" s="24"/>
      <c r="Y1783" s="24"/>
      <c r="Z1783" s="24"/>
      <c r="AA1783" s="24"/>
      <c r="AB1783" s="24"/>
      <c r="AC1783" s="24"/>
      <c r="AD1783" s="24"/>
      <c r="AE1783" s="24"/>
      <c r="AF1783" s="24"/>
      <c r="AG1783" s="24"/>
      <c r="AH1783" s="24"/>
      <c r="AI1783" s="24"/>
      <c r="AJ1783" s="24"/>
      <c r="AK1783" s="24"/>
      <c r="AL1783" s="24"/>
      <c r="AM1783" s="24"/>
      <c r="AN1783" s="24"/>
      <c r="AO1783" s="24"/>
      <c r="AP1783" s="24"/>
      <c r="AQ1783" s="24"/>
      <c r="AR1783" s="24"/>
      <c r="AS1783" s="24"/>
      <c r="AT1783" s="24"/>
      <c r="AU1783" s="24"/>
      <c r="AV1783" s="24"/>
      <c r="AW1783" s="24"/>
      <c r="AX1783" s="24"/>
    </row>
    <row r="1784" ht="15.75" customHeight="1">
      <c r="A1784" s="24"/>
      <c r="B1784" s="24"/>
      <c r="C1784" s="28"/>
      <c r="D1784" s="28"/>
      <c r="E1784" s="28"/>
      <c r="F1784" s="28"/>
      <c r="G1784" s="28"/>
      <c r="H1784" s="28"/>
      <c r="I1784" s="28"/>
      <c r="J1784" s="28"/>
      <c r="K1784" s="28"/>
      <c r="L1784" s="28"/>
      <c r="M1784" s="28"/>
      <c r="N1784" s="28"/>
      <c r="O1784" s="24"/>
      <c r="P1784" s="24"/>
      <c r="Q1784" s="24"/>
      <c r="R1784" s="24"/>
      <c r="S1784" s="24"/>
      <c r="T1784" s="24"/>
      <c r="U1784" s="24"/>
      <c r="V1784" s="24"/>
      <c r="W1784" s="24"/>
      <c r="X1784" s="24"/>
      <c r="Y1784" s="24"/>
      <c r="Z1784" s="24"/>
      <c r="AA1784" s="24"/>
      <c r="AB1784" s="24"/>
      <c r="AC1784" s="24"/>
      <c r="AD1784" s="24"/>
      <c r="AE1784" s="24"/>
      <c r="AF1784" s="24"/>
      <c r="AG1784" s="24"/>
      <c r="AH1784" s="24"/>
      <c r="AI1784" s="24"/>
      <c r="AJ1784" s="24"/>
      <c r="AK1784" s="24"/>
      <c r="AL1784" s="24"/>
      <c r="AM1784" s="24"/>
      <c r="AN1784" s="24"/>
      <c r="AO1784" s="24"/>
      <c r="AP1784" s="24"/>
      <c r="AQ1784" s="24"/>
      <c r="AR1784" s="24"/>
      <c r="AS1784" s="24"/>
      <c r="AT1784" s="24"/>
      <c r="AU1784" s="24"/>
      <c r="AV1784" s="24"/>
      <c r="AW1784" s="24"/>
      <c r="AX1784" s="24"/>
    </row>
    <row r="1785" ht="15.75" customHeight="1">
      <c r="A1785" s="24"/>
      <c r="B1785" s="24"/>
      <c r="C1785" s="28"/>
      <c r="D1785" s="28"/>
      <c r="E1785" s="28"/>
      <c r="F1785" s="28"/>
      <c r="G1785" s="28"/>
      <c r="H1785" s="28"/>
      <c r="I1785" s="28"/>
      <c r="J1785" s="28"/>
      <c r="K1785" s="28"/>
      <c r="L1785" s="28"/>
      <c r="M1785" s="28"/>
      <c r="N1785" s="28"/>
      <c r="O1785" s="24"/>
      <c r="P1785" s="24"/>
      <c r="Q1785" s="24"/>
      <c r="R1785" s="24"/>
      <c r="S1785" s="24"/>
      <c r="T1785" s="24"/>
      <c r="U1785" s="24"/>
      <c r="V1785" s="24"/>
      <c r="W1785" s="24"/>
      <c r="X1785" s="24"/>
      <c r="Y1785" s="24"/>
      <c r="Z1785" s="24"/>
      <c r="AA1785" s="24"/>
      <c r="AB1785" s="24"/>
      <c r="AC1785" s="24"/>
      <c r="AD1785" s="24"/>
      <c r="AE1785" s="24"/>
      <c r="AF1785" s="24"/>
      <c r="AG1785" s="24"/>
      <c r="AH1785" s="24"/>
      <c r="AI1785" s="24"/>
      <c r="AJ1785" s="24"/>
      <c r="AK1785" s="24"/>
      <c r="AL1785" s="24"/>
      <c r="AM1785" s="24"/>
      <c r="AN1785" s="24"/>
      <c r="AO1785" s="24"/>
      <c r="AP1785" s="24"/>
      <c r="AQ1785" s="24"/>
      <c r="AR1785" s="24"/>
      <c r="AS1785" s="24"/>
      <c r="AT1785" s="24"/>
      <c r="AU1785" s="24"/>
      <c r="AV1785" s="24"/>
      <c r="AW1785" s="24"/>
      <c r="AX1785" s="24"/>
    </row>
    <row r="1786" ht="15.75" customHeight="1">
      <c r="A1786" s="24"/>
      <c r="B1786" s="24"/>
      <c r="C1786" s="28"/>
      <c r="D1786" s="28"/>
      <c r="E1786" s="28"/>
      <c r="F1786" s="28"/>
      <c r="G1786" s="28"/>
      <c r="H1786" s="28"/>
      <c r="I1786" s="28"/>
      <c r="J1786" s="28"/>
      <c r="K1786" s="28"/>
      <c r="L1786" s="28"/>
      <c r="M1786" s="28"/>
      <c r="N1786" s="28"/>
      <c r="O1786" s="24"/>
      <c r="P1786" s="24"/>
      <c r="Q1786" s="24"/>
      <c r="R1786" s="24"/>
      <c r="S1786" s="24"/>
      <c r="T1786" s="24"/>
      <c r="U1786" s="24"/>
      <c r="V1786" s="24"/>
      <c r="W1786" s="24"/>
      <c r="X1786" s="24"/>
      <c r="Y1786" s="24"/>
      <c r="Z1786" s="24"/>
      <c r="AA1786" s="24"/>
      <c r="AB1786" s="24"/>
      <c r="AC1786" s="24"/>
      <c r="AD1786" s="24"/>
      <c r="AE1786" s="24"/>
      <c r="AF1786" s="24"/>
      <c r="AG1786" s="24"/>
      <c r="AH1786" s="24"/>
      <c r="AI1786" s="24"/>
      <c r="AJ1786" s="24"/>
      <c r="AK1786" s="24"/>
      <c r="AL1786" s="24"/>
      <c r="AM1786" s="24"/>
      <c r="AN1786" s="24"/>
      <c r="AO1786" s="24"/>
      <c r="AP1786" s="24"/>
      <c r="AQ1786" s="24"/>
      <c r="AR1786" s="24"/>
      <c r="AS1786" s="24"/>
      <c r="AT1786" s="24"/>
      <c r="AU1786" s="24"/>
      <c r="AV1786" s="24"/>
      <c r="AW1786" s="24"/>
      <c r="AX1786" s="24"/>
    </row>
    <row r="1787" ht="15.75" customHeight="1">
      <c r="A1787" s="24"/>
      <c r="B1787" s="24"/>
      <c r="C1787" s="28"/>
      <c r="D1787" s="28"/>
      <c r="E1787" s="28"/>
      <c r="F1787" s="28"/>
      <c r="G1787" s="28"/>
      <c r="H1787" s="28"/>
      <c r="I1787" s="28"/>
      <c r="J1787" s="28"/>
      <c r="K1787" s="28"/>
      <c r="L1787" s="28"/>
      <c r="M1787" s="28"/>
      <c r="N1787" s="28"/>
      <c r="O1787" s="24"/>
      <c r="P1787" s="24"/>
      <c r="Q1787" s="24"/>
      <c r="R1787" s="24"/>
      <c r="S1787" s="24"/>
      <c r="T1787" s="24"/>
      <c r="U1787" s="24"/>
      <c r="V1787" s="24"/>
      <c r="W1787" s="24"/>
      <c r="X1787" s="24"/>
      <c r="Y1787" s="24"/>
      <c r="Z1787" s="24"/>
      <c r="AA1787" s="24"/>
      <c r="AB1787" s="24"/>
      <c r="AC1787" s="24"/>
      <c r="AD1787" s="24"/>
      <c r="AE1787" s="24"/>
      <c r="AF1787" s="24"/>
      <c r="AG1787" s="24"/>
      <c r="AH1787" s="24"/>
      <c r="AI1787" s="24"/>
      <c r="AJ1787" s="24"/>
      <c r="AK1787" s="24"/>
      <c r="AL1787" s="24"/>
      <c r="AM1787" s="24"/>
      <c r="AN1787" s="24"/>
      <c r="AO1787" s="24"/>
      <c r="AP1787" s="24"/>
      <c r="AQ1787" s="24"/>
      <c r="AR1787" s="24"/>
      <c r="AS1787" s="24"/>
      <c r="AT1787" s="24"/>
      <c r="AU1787" s="24"/>
      <c r="AV1787" s="24"/>
      <c r="AW1787" s="24"/>
      <c r="AX1787" s="24"/>
    </row>
    <row r="1788" ht="15.75" customHeight="1">
      <c r="A1788" s="24"/>
      <c r="B1788" s="24"/>
      <c r="C1788" s="28"/>
      <c r="D1788" s="28"/>
      <c r="E1788" s="28"/>
      <c r="F1788" s="28"/>
      <c r="G1788" s="28"/>
      <c r="H1788" s="28"/>
      <c r="I1788" s="28"/>
      <c r="J1788" s="28"/>
      <c r="K1788" s="28"/>
      <c r="L1788" s="28"/>
      <c r="M1788" s="28"/>
      <c r="N1788" s="28"/>
      <c r="O1788" s="24"/>
      <c r="P1788" s="24"/>
      <c r="Q1788" s="24"/>
      <c r="R1788" s="24"/>
      <c r="S1788" s="24"/>
      <c r="T1788" s="24"/>
      <c r="U1788" s="24"/>
      <c r="V1788" s="24"/>
      <c r="W1788" s="24"/>
      <c r="X1788" s="24"/>
      <c r="Y1788" s="24"/>
      <c r="Z1788" s="24"/>
      <c r="AA1788" s="24"/>
      <c r="AB1788" s="24"/>
      <c r="AC1788" s="24"/>
      <c r="AD1788" s="24"/>
      <c r="AE1788" s="24"/>
      <c r="AF1788" s="24"/>
      <c r="AG1788" s="24"/>
      <c r="AH1788" s="24"/>
      <c r="AI1788" s="24"/>
      <c r="AJ1788" s="24"/>
      <c r="AK1788" s="24"/>
      <c r="AL1788" s="24"/>
      <c r="AM1788" s="24"/>
      <c r="AN1788" s="24"/>
      <c r="AO1788" s="24"/>
      <c r="AP1788" s="24"/>
      <c r="AQ1788" s="24"/>
      <c r="AR1788" s="24"/>
      <c r="AS1788" s="24"/>
      <c r="AT1788" s="24"/>
      <c r="AU1788" s="24"/>
      <c r="AV1788" s="24"/>
      <c r="AW1788" s="24"/>
      <c r="AX1788" s="24"/>
    </row>
    <row r="1789" ht="15.75" customHeight="1">
      <c r="A1789" s="24"/>
      <c r="B1789" s="24"/>
      <c r="C1789" s="28"/>
      <c r="D1789" s="28"/>
      <c r="E1789" s="28"/>
      <c r="F1789" s="28"/>
      <c r="G1789" s="28"/>
      <c r="H1789" s="28"/>
      <c r="I1789" s="28"/>
      <c r="J1789" s="28"/>
      <c r="K1789" s="28"/>
      <c r="L1789" s="28"/>
      <c r="M1789" s="28"/>
      <c r="N1789" s="28"/>
      <c r="O1789" s="24"/>
      <c r="P1789" s="24"/>
      <c r="Q1789" s="24"/>
      <c r="R1789" s="24"/>
      <c r="S1789" s="24"/>
      <c r="T1789" s="24"/>
      <c r="U1789" s="24"/>
      <c r="V1789" s="24"/>
      <c r="W1789" s="24"/>
      <c r="X1789" s="24"/>
      <c r="Y1789" s="24"/>
      <c r="Z1789" s="24"/>
      <c r="AA1789" s="24"/>
      <c r="AB1789" s="24"/>
      <c r="AC1789" s="24"/>
      <c r="AD1789" s="24"/>
      <c r="AE1789" s="24"/>
      <c r="AF1789" s="24"/>
      <c r="AG1789" s="24"/>
      <c r="AH1789" s="24"/>
      <c r="AI1789" s="24"/>
      <c r="AJ1789" s="24"/>
      <c r="AK1789" s="24"/>
      <c r="AL1789" s="24"/>
      <c r="AM1789" s="24"/>
      <c r="AN1789" s="24"/>
      <c r="AO1789" s="24"/>
      <c r="AP1789" s="24"/>
      <c r="AQ1789" s="24"/>
      <c r="AR1789" s="24"/>
      <c r="AS1789" s="24"/>
      <c r="AT1789" s="24"/>
      <c r="AU1789" s="24"/>
      <c r="AV1789" s="24"/>
      <c r="AW1789" s="24"/>
      <c r="AX1789" s="24"/>
    </row>
    <row r="1790" ht="15.75" customHeight="1">
      <c r="A1790" s="24"/>
      <c r="B1790" s="24"/>
      <c r="C1790" s="28"/>
      <c r="D1790" s="28"/>
      <c r="E1790" s="28"/>
      <c r="F1790" s="28"/>
      <c r="G1790" s="28"/>
      <c r="H1790" s="28"/>
      <c r="I1790" s="28"/>
      <c r="J1790" s="28"/>
      <c r="K1790" s="28"/>
      <c r="L1790" s="28"/>
      <c r="M1790" s="28"/>
      <c r="N1790" s="28"/>
      <c r="O1790" s="24"/>
      <c r="P1790" s="24"/>
      <c r="Q1790" s="24"/>
      <c r="R1790" s="24"/>
      <c r="S1790" s="24"/>
      <c r="T1790" s="24"/>
      <c r="U1790" s="24"/>
      <c r="V1790" s="24"/>
      <c r="W1790" s="24"/>
      <c r="X1790" s="24"/>
      <c r="Y1790" s="24"/>
      <c r="Z1790" s="24"/>
      <c r="AA1790" s="24"/>
      <c r="AB1790" s="24"/>
      <c r="AC1790" s="24"/>
      <c r="AD1790" s="24"/>
      <c r="AE1790" s="24"/>
      <c r="AF1790" s="24"/>
      <c r="AG1790" s="24"/>
      <c r="AH1790" s="24"/>
      <c r="AI1790" s="24"/>
      <c r="AJ1790" s="24"/>
      <c r="AK1790" s="24"/>
      <c r="AL1790" s="24"/>
      <c r="AM1790" s="24"/>
      <c r="AN1790" s="24"/>
      <c r="AO1790" s="24"/>
      <c r="AP1790" s="24"/>
      <c r="AQ1790" s="24"/>
      <c r="AR1790" s="24"/>
      <c r="AS1790" s="24"/>
      <c r="AT1790" s="24"/>
      <c r="AU1790" s="24"/>
      <c r="AV1790" s="24"/>
      <c r="AW1790" s="24"/>
      <c r="AX1790" s="24"/>
    </row>
    <row r="1791" ht="15.75" customHeight="1">
      <c r="A1791" s="24"/>
      <c r="B1791" s="24"/>
      <c r="C1791" s="28"/>
      <c r="D1791" s="28"/>
      <c r="E1791" s="28"/>
      <c r="F1791" s="28"/>
      <c r="G1791" s="28"/>
      <c r="H1791" s="28"/>
      <c r="I1791" s="28"/>
      <c r="J1791" s="28"/>
      <c r="K1791" s="28"/>
      <c r="L1791" s="28"/>
      <c r="M1791" s="28"/>
      <c r="N1791" s="28"/>
      <c r="O1791" s="24"/>
      <c r="P1791" s="24"/>
      <c r="Q1791" s="24"/>
      <c r="R1791" s="24"/>
      <c r="S1791" s="24"/>
      <c r="T1791" s="24"/>
      <c r="U1791" s="24"/>
      <c r="V1791" s="24"/>
      <c r="W1791" s="24"/>
      <c r="X1791" s="24"/>
      <c r="Y1791" s="24"/>
      <c r="Z1791" s="24"/>
      <c r="AA1791" s="24"/>
      <c r="AB1791" s="24"/>
      <c r="AC1791" s="24"/>
      <c r="AD1791" s="24"/>
      <c r="AE1791" s="24"/>
      <c r="AF1791" s="24"/>
      <c r="AG1791" s="24"/>
      <c r="AH1791" s="24"/>
      <c r="AI1791" s="24"/>
      <c r="AJ1791" s="24"/>
      <c r="AK1791" s="24"/>
      <c r="AL1791" s="24"/>
      <c r="AM1791" s="24"/>
      <c r="AN1791" s="24"/>
      <c r="AO1791" s="24"/>
      <c r="AP1791" s="24"/>
      <c r="AQ1791" s="24"/>
      <c r="AR1791" s="24"/>
      <c r="AS1791" s="24"/>
      <c r="AT1791" s="24"/>
      <c r="AU1791" s="24"/>
      <c r="AV1791" s="24"/>
      <c r="AW1791" s="24"/>
      <c r="AX1791" s="24"/>
    </row>
    <row r="1792" ht="15.75" customHeight="1">
      <c r="A1792" s="24"/>
      <c r="B1792" s="24"/>
      <c r="C1792" s="28"/>
      <c r="D1792" s="28"/>
      <c r="E1792" s="28"/>
      <c r="F1792" s="28"/>
      <c r="G1792" s="28"/>
      <c r="H1792" s="28"/>
      <c r="I1792" s="28"/>
      <c r="J1792" s="28"/>
      <c r="K1792" s="28"/>
      <c r="L1792" s="28"/>
      <c r="M1792" s="28"/>
      <c r="N1792" s="28"/>
      <c r="O1792" s="24"/>
      <c r="P1792" s="24"/>
      <c r="Q1792" s="24"/>
      <c r="R1792" s="24"/>
      <c r="S1792" s="24"/>
      <c r="T1792" s="24"/>
      <c r="U1792" s="24"/>
      <c r="V1792" s="24"/>
      <c r="W1792" s="24"/>
      <c r="X1792" s="24"/>
      <c r="Y1792" s="24"/>
      <c r="Z1792" s="24"/>
      <c r="AA1792" s="24"/>
      <c r="AB1792" s="24"/>
      <c r="AC1792" s="24"/>
      <c r="AD1792" s="24"/>
      <c r="AE1792" s="24"/>
      <c r="AF1792" s="24"/>
      <c r="AG1792" s="24"/>
      <c r="AH1792" s="24"/>
      <c r="AI1792" s="24"/>
      <c r="AJ1792" s="24"/>
      <c r="AK1792" s="24"/>
      <c r="AL1792" s="24"/>
      <c r="AM1792" s="24"/>
      <c r="AN1792" s="24"/>
      <c r="AO1792" s="24"/>
      <c r="AP1792" s="24"/>
      <c r="AQ1792" s="24"/>
      <c r="AR1792" s="24"/>
      <c r="AS1792" s="24"/>
      <c r="AT1792" s="24"/>
      <c r="AU1792" s="24"/>
      <c r="AV1792" s="24"/>
      <c r="AW1792" s="24"/>
      <c r="AX1792" s="24"/>
    </row>
    <row r="1793" ht="15.75" customHeight="1">
      <c r="A1793" s="24"/>
      <c r="B1793" s="24"/>
      <c r="C1793" s="28"/>
      <c r="D1793" s="28"/>
      <c r="E1793" s="28"/>
      <c r="F1793" s="28"/>
      <c r="G1793" s="28"/>
      <c r="H1793" s="28"/>
      <c r="I1793" s="28"/>
      <c r="J1793" s="28"/>
      <c r="K1793" s="28"/>
      <c r="L1793" s="28"/>
      <c r="M1793" s="28"/>
      <c r="N1793" s="28"/>
      <c r="O1793" s="24"/>
      <c r="P1793" s="24"/>
      <c r="Q1793" s="24"/>
      <c r="R1793" s="24"/>
      <c r="S1793" s="24"/>
      <c r="T1793" s="24"/>
      <c r="U1793" s="24"/>
      <c r="V1793" s="24"/>
      <c r="W1793" s="24"/>
      <c r="X1793" s="24"/>
      <c r="Y1793" s="24"/>
      <c r="Z1793" s="24"/>
      <c r="AA1793" s="24"/>
      <c r="AB1793" s="24"/>
      <c r="AC1793" s="24"/>
      <c r="AD1793" s="24"/>
      <c r="AE1793" s="24"/>
      <c r="AF1793" s="24"/>
      <c r="AG1793" s="24"/>
      <c r="AH1793" s="24"/>
      <c r="AI1793" s="24"/>
      <c r="AJ1793" s="24"/>
      <c r="AK1793" s="24"/>
      <c r="AL1793" s="24"/>
      <c r="AM1793" s="24"/>
      <c r="AN1793" s="24"/>
      <c r="AO1793" s="24"/>
      <c r="AP1793" s="24"/>
      <c r="AQ1793" s="24"/>
      <c r="AR1793" s="24"/>
      <c r="AS1793" s="24"/>
      <c r="AT1793" s="24"/>
      <c r="AU1793" s="24"/>
      <c r="AV1793" s="24"/>
      <c r="AW1793" s="24"/>
      <c r="AX1793" s="24"/>
    </row>
    <row r="1794" ht="15.75" customHeight="1">
      <c r="A1794" s="24"/>
      <c r="B1794" s="24"/>
      <c r="C1794" s="28"/>
      <c r="D1794" s="28"/>
      <c r="E1794" s="28"/>
      <c r="F1794" s="28"/>
      <c r="G1794" s="28"/>
      <c r="H1794" s="28"/>
      <c r="I1794" s="28"/>
      <c r="J1794" s="28"/>
      <c r="K1794" s="28"/>
      <c r="L1794" s="28"/>
      <c r="M1794" s="28"/>
      <c r="N1794" s="28"/>
      <c r="O1794" s="24"/>
      <c r="P1794" s="24"/>
      <c r="Q1794" s="24"/>
      <c r="R1794" s="24"/>
      <c r="S1794" s="24"/>
      <c r="T1794" s="24"/>
      <c r="U1794" s="24"/>
      <c r="V1794" s="24"/>
      <c r="W1794" s="24"/>
      <c r="X1794" s="24"/>
      <c r="Y1794" s="24"/>
      <c r="Z1794" s="24"/>
      <c r="AA1794" s="24"/>
      <c r="AB1794" s="24"/>
      <c r="AC1794" s="24"/>
      <c r="AD1794" s="24"/>
      <c r="AE1794" s="24"/>
      <c r="AF1794" s="24"/>
      <c r="AG1794" s="24"/>
      <c r="AH1794" s="24"/>
      <c r="AI1794" s="24"/>
      <c r="AJ1794" s="24"/>
      <c r="AK1794" s="24"/>
      <c r="AL1794" s="24"/>
      <c r="AM1794" s="24"/>
      <c r="AN1794" s="24"/>
      <c r="AO1794" s="24"/>
      <c r="AP1794" s="24"/>
      <c r="AQ1794" s="24"/>
      <c r="AR1794" s="24"/>
      <c r="AS1794" s="24"/>
      <c r="AT1794" s="24"/>
      <c r="AU1794" s="24"/>
      <c r="AV1794" s="24"/>
      <c r="AW1794" s="24"/>
      <c r="AX1794" s="24"/>
    </row>
    <row r="1795" ht="15.75" customHeight="1">
      <c r="A1795" s="24"/>
      <c r="B1795" s="24"/>
      <c r="C1795" s="28"/>
      <c r="D1795" s="28"/>
      <c r="E1795" s="28"/>
      <c r="F1795" s="28"/>
      <c r="G1795" s="28"/>
      <c r="H1795" s="28"/>
      <c r="I1795" s="28"/>
      <c r="J1795" s="28"/>
      <c r="K1795" s="28"/>
      <c r="L1795" s="28"/>
      <c r="M1795" s="28"/>
      <c r="N1795" s="28"/>
      <c r="O1795" s="24"/>
      <c r="P1795" s="24"/>
      <c r="Q1795" s="24"/>
      <c r="R1795" s="24"/>
      <c r="S1795" s="24"/>
      <c r="T1795" s="24"/>
      <c r="U1795" s="24"/>
      <c r="V1795" s="24"/>
      <c r="W1795" s="24"/>
      <c r="X1795" s="24"/>
      <c r="Y1795" s="24"/>
      <c r="Z1795" s="24"/>
      <c r="AA1795" s="24"/>
      <c r="AB1795" s="24"/>
      <c r="AC1795" s="24"/>
      <c r="AD1795" s="24"/>
      <c r="AE1795" s="24"/>
      <c r="AF1795" s="24"/>
      <c r="AG1795" s="24"/>
      <c r="AH1795" s="24"/>
      <c r="AI1795" s="24"/>
      <c r="AJ1795" s="24"/>
      <c r="AK1795" s="24"/>
      <c r="AL1795" s="24"/>
      <c r="AM1795" s="24"/>
      <c r="AN1795" s="24"/>
      <c r="AO1795" s="24"/>
      <c r="AP1795" s="24"/>
      <c r="AQ1795" s="24"/>
      <c r="AR1795" s="24"/>
      <c r="AS1795" s="24"/>
      <c r="AT1795" s="24"/>
      <c r="AU1795" s="24"/>
      <c r="AV1795" s="24"/>
      <c r="AW1795" s="24"/>
      <c r="AX1795" s="24"/>
    </row>
    <row r="1796" ht="15.75" customHeight="1">
      <c r="A1796" s="24"/>
      <c r="B1796" s="24"/>
      <c r="C1796" s="28"/>
      <c r="D1796" s="28"/>
      <c r="E1796" s="28"/>
      <c r="F1796" s="28"/>
      <c r="G1796" s="28"/>
      <c r="H1796" s="28"/>
      <c r="I1796" s="28"/>
      <c r="J1796" s="28"/>
      <c r="K1796" s="28"/>
      <c r="L1796" s="28"/>
      <c r="M1796" s="28"/>
      <c r="N1796" s="28"/>
      <c r="O1796" s="24"/>
      <c r="P1796" s="24"/>
      <c r="Q1796" s="24"/>
      <c r="R1796" s="24"/>
      <c r="S1796" s="24"/>
      <c r="T1796" s="24"/>
      <c r="U1796" s="24"/>
      <c r="V1796" s="24"/>
      <c r="W1796" s="24"/>
      <c r="X1796" s="24"/>
      <c r="Y1796" s="24"/>
      <c r="Z1796" s="24"/>
      <c r="AA1796" s="24"/>
      <c r="AB1796" s="24"/>
      <c r="AC1796" s="24"/>
      <c r="AD1796" s="24"/>
      <c r="AE1796" s="24"/>
      <c r="AF1796" s="24"/>
      <c r="AG1796" s="24"/>
      <c r="AH1796" s="24"/>
      <c r="AI1796" s="24"/>
      <c r="AJ1796" s="24"/>
      <c r="AK1796" s="24"/>
      <c r="AL1796" s="24"/>
      <c r="AM1796" s="24"/>
      <c r="AN1796" s="24"/>
      <c r="AO1796" s="24"/>
      <c r="AP1796" s="24"/>
      <c r="AQ1796" s="24"/>
      <c r="AR1796" s="24"/>
      <c r="AS1796" s="24"/>
      <c r="AT1796" s="24"/>
      <c r="AU1796" s="24"/>
      <c r="AV1796" s="24"/>
      <c r="AW1796" s="24"/>
      <c r="AX1796" s="24"/>
    </row>
    <row r="1797" ht="15.75" customHeight="1">
      <c r="A1797" s="24"/>
      <c r="B1797" s="24"/>
      <c r="C1797" s="28"/>
      <c r="D1797" s="28"/>
      <c r="E1797" s="28"/>
      <c r="F1797" s="28"/>
      <c r="G1797" s="28"/>
      <c r="H1797" s="28"/>
      <c r="I1797" s="28"/>
      <c r="J1797" s="28"/>
      <c r="K1797" s="28"/>
      <c r="L1797" s="28"/>
      <c r="M1797" s="28"/>
      <c r="N1797" s="28"/>
      <c r="O1797" s="24"/>
      <c r="P1797" s="24"/>
      <c r="Q1797" s="24"/>
      <c r="R1797" s="24"/>
      <c r="S1797" s="24"/>
      <c r="T1797" s="24"/>
      <c r="U1797" s="24"/>
      <c r="V1797" s="24"/>
      <c r="W1797" s="24"/>
      <c r="X1797" s="24"/>
      <c r="Y1797" s="24"/>
      <c r="Z1797" s="24"/>
      <c r="AA1797" s="24"/>
      <c r="AB1797" s="24"/>
      <c r="AC1797" s="24"/>
      <c r="AD1797" s="24"/>
      <c r="AE1797" s="24"/>
      <c r="AF1797" s="24"/>
      <c r="AG1797" s="24"/>
      <c r="AH1797" s="24"/>
      <c r="AI1797" s="24"/>
      <c r="AJ1797" s="24"/>
      <c r="AK1797" s="24"/>
      <c r="AL1797" s="24"/>
      <c r="AM1797" s="24"/>
      <c r="AN1797" s="24"/>
      <c r="AO1797" s="24"/>
      <c r="AP1797" s="24"/>
      <c r="AQ1797" s="24"/>
      <c r="AR1797" s="24"/>
      <c r="AS1797" s="24"/>
      <c r="AT1797" s="24"/>
      <c r="AU1797" s="24"/>
      <c r="AV1797" s="24"/>
      <c r="AW1797" s="24"/>
      <c r="AX1797" s="24"/>
    </row>
    <row r="1798" ht="15.75" customHeight="1">
      <c r="A1798" s="24"/>
      <c r="B1798" s="24"/>
      <c r="C1798" s="28"/>
      <c r="D1798" s="28"/>
      <c r="E1798" s="28"/>
      <c r="F1798" s="28"/>
      <c r="G1798" s="28"/>
      <c r="H1798" s="28"/>
      <c r="I1798" s="28"/>
      <c r="J1798" s="28"/>
      <c r="K1798" s="28"/>
      <c r="L1798" s="28"/>
      <c r="M1798" s="28"/>
      <c r="N1798" s="28"/>
      <c r="O1798" s="24"/>
      <c r="P1798" s="24"/>
      <c r="Q1798" s="24"/>
      <c r="R1798" s="24"/>
      <c r="S1798" s="24"/>
      <c r="T1798" s="24"/>
      <c r="U1798" s="24"/>
      <c r="V1798" s="24"/>
      <c r="W1798" s="24"/>
      <c r="X1798" s="24"/>
      <c r="Y1798" s="24"/>
      <c r="Z1798" s="24"/>
      <c r="AA1798" s="24"/>
      <c r="AB1798" s="24"/>
      <c r="AC1798" s="24"/>
      <c r="AD1798" s="24"/>
      <c r="AE1798" s="24"/>
      <c r="AF1798" s="24"/>
      <c r="AG1798" s="24"/>
      <c r="AH1798" s="24"/>
      <c r="AI1798" s="24"/>
      <c r="AJ1798" s="24"/>
      <c r="AK1798" s="24"/>
      <c r="AL1798" s="24"/>
      <c r="AM1798" s="24"/>
      <c r="AN1798" s="24"/>
      <c r="AO1798" s="24"/>
      <c r="AP1798" s="24"/>
      <c r="AQ1798" s="24"/>
      <c r="AR1798" s="24"/>
      <c r="AS1798" s="24"/>
      <c r="AT1798" s="24"/>
      <c r="AU1798" s="24"/>
      <c r="AV1798" s="24"/>
      <c r="AW1798" s="24"/>
      <c r="AX1798" s="24"/>
    </row>
    <row r="1799" ht="15.75" customHeight="1">
      <c r="A1799" s="24"/>
      <c r="B1799" s="24"/>
      <c r="C1799" s="28"/>
      <c r="D1799" s="28"/>
      <c r="E1799" s="28"/>
      <c r="F1799" s="28"/>
      <c r="G1799" s="28"/>
      <c r="H1799" s="28"/>
      <c r="I1799" s="28"/>
      <c r="J1799" s="28"/>
      <c r="K1799" s="28"/>
      <c r="L1799" s="28"/>
      <c r="M1799" s="28"/>
      <c r="N1799" s="28"/>
      <c r="O1799" s="24"/>
      <c r="P1799" s="24"/>
      <c r="Q1799" s="24"/>
      <c r="R1799" s="24"/>
      <c r="S1799" s="24"/>
      <c r="T1799" s="24"/>
      <c r="U1799" s="24"/>
      <c r="V1799" s="24"/>
      <c r="W1799" s="24"/>
      <c r="X1799" s="24"/>
      <c r="Y1799" s="24"/>
      <c r="Z1799" s="24"/>
      <c r="AA1799" s="24"/>
      <c r="AB1799" s="24"/>
      <c r="AC1799" s="24"/>
      <c r="AD1799" s="24"/>
      <c r="AE1799" s="24"/>
      <c r="AF1799" s="24"/>
      <c r="AG1799" s="24"/>
      <c r="AH1799" s="24"/>
      <c r="AI1799" s="24"/>
      <c r="AJ1799" s="24"/>
      <c r="AK1799" s="24"/>
      <c r="AL1799" s="24"/>
      <c r="AM1799" s="24"/>
      <c r="AN1799" s="24"/>
      <c r="AO1799" s="24"/>
      <c r="AP1799" s="24"/>
      <c r="AQ1799" s="24"/>
      <c r="AR1799" s="24"/>
      <c r="AS1799" s="24"/>
      <c r="AT1799" s="24"/>
      <c r="AU1799" s="24"/>
      <c r="AV1799" s="24"/>
      <c r="AW1799" s="24"/>
      <c r="AX1799" s="24"/>
    </row>
    <row r="1800" ht="15.75" customHeight="1">
      <c r="A1800" s="24"/>
      <c r="B1800" s="24"/>
      <c r="C1800" s="28"/>
      <c r="D1800" s="28"/>
      <c r="E1800" s="28"/>
      <c r="F1800" s="28"/>
      <c r="G1800" s="28"/>
      <c r="H1800" s="28"/>
      <c r="I1800" s="28"/>
      <c r="J1800" s="28"/>
      <c r="K1800" s="28"/>
      <c r="L1800" s="28"/>
      <c r="M1800" s="28"/>
      <c r="N1800" s="28"/>
      <c r="O1800" s="24"/>
      <c r="P1800" s="24"/>
      <c r="Q1800" s="24"/>
      <c r="R1800" s="24"/>
      <c r="S1800" s="24"/>
      <c r="T1800" s="24"/>
      <c r="U1800" s="24"/>
      <c r="V1800" s="24"/>
      <c r="W1800" s="24"/>
      <c r="X1800" s="24"/>
      <c r="Y1800" s="24"/>
      <c r="Z1800" s="24"/>
      <c r="AA1800" s="24"/>
      <c r="AB1800" s="24"/>
      <c r="AC1800" s="24"/>
      <c r="AD1800" s="24"/>
      <c r="AE1800" s="24"/>
      <c r="AF1800" s="24"/>
      <c r="AG1800" s="24"/>
      <c r="AH1800" s="24"/>
      <c r="AI1800" s="24"/>
      <c r="AJ1800" s="24"/>
      <c r="AK1800" s="24"/>
      <c r="AL1800" s="24"/>
      <c r="AM1800" s="24"/>
      <c r="AN1800" s="24"/>
      <c r="AO1800" s="24"/>
      <c r="AP1800" s="24"/>
      <c r="AQ1800" s="24"/>
      <c r="AR1800" s="24"/>
      <c r="AS1800" s="24"/>
      <c r="AT1800" s="24"/>
      <c r="AU1800" s="24"/>
      <c r="AV1800" s="24"/>
      <c r="AW1800" s="24"/>
      <c r="AX1800" s="24"/>
    </row>
    <row r="1801" ht="15.75" customHeight="1">
      <c r="A1801" s="24"/>
      <c r="B1801" s="24"/>
      <c r="C1801" s="28"/>
      <c r="D1801" s="28"/>
      <c r="E1801" s="28"/>
      <c r="F1801" s="28"/>
      <c r="G1801" s="28"/>
      <c r="H1801" s="28"/>
      <c r="I1801" s="28"/>
      <c r="J1801" s="28"/>
      <c r="K1801" s="28"/>
      <c r="L1801" s="28"/>
      <c r="M1801" s="28"/>
      <c r="N1801" s="28"/>
      <c r="O1801" s="24"/>
      <c r="P1801" s="24"/>
      <c r="Q1801" s="24"/>
      <c r="R1801" s="24"/>
      <c r="S1801" s="24"/>
      <c r="T1801" s="24"/>
      <c r="U1801" s="24"/>
      <c r="V1801" s="24"/>
      <c r="W1801" s="24"/>
      <c r="X1801" s="24"/>
      <c r="Y1801" s="24"/>
      <c r="Z1801" s="24"/>
      <c r="AA1801" s="24"/>
      <c r="AB1801" s="24"/>
      <c r="AC1801" s="24"/>
      <c r="AD1801" s="24"/>
      <c r="AE1801" s="24"/>
      <c r="AF1801" s="24"/>
      <c r="AG1801" s="24"/>
      <c r="AH1801" s="24"/>
      <c r="AI1801" s="24"/>
      <c r="AJ1801" s="24"/>
      <c r="AK1801" s="24"/>
      <c r="AL1801" s="24"/>
      <c r="AM1801" s="24"/>
      <c r="AN1801" s="24"/>
      <c r="AO1801" s="24"/>
      <c r="AP1801" s="24"/>
      <c r="AQ1801" s="24"/>
      <c r="AR1801" s="24"/>
      <c r="AS1801" s="24"/>
      <c r="AT1801" s="24"/>
      <c r="AU1801" s="24"/>
      <c r="AV1801" s="24"/>
      <c r="AW1801" s="24"/>
      <c r="AX1801" s="24"/>
    </row>
    <row r="1802" ht="15.75" customHeight="1">
      <c r="A1802" s="24"/>
      <c r="B1802" s="24"/>
      <c r="C1802" s="28"/>
      <c r="D1802" s="28"/>
      <c r="E1802" s="28"/>
      <c r="F1802" s="28"/>
      <c r="G1802" s="28"/>
      <c r="H1802" s="28"/>
      <c r="I1802" s="28"/>
      <c r="J1802" s="28"/>
      <c r="K1802" s="28"/>
      <c r="L1802" s="28"/>
      <c r="M1802" s="28"/>
      <c r="N1802" s="28"/>
      <c r="O1802" s="24"/>
      <c r="P1802" s="24"/>
      <c r="Q1802" s="24"/>
      <c r="R1802" s="24"/>
      <c r="S1802" s="24"/>
      <c r="T1802" s="24"/>
      <c r="U1802" s="24"/>
      <c r="V1802" s="24"/>
      <c r="W1802" s="24"/>
      <c r="X1802" s="24"/>
      <c r="Y1802" s="24"/>
      <c r="Z1802" s="24"/>
      <c r="AA1802" s="24"/>
      <c r="AB1802" s="24"/>
      <c r="AC1802" s="24"/>
      <c r="AD1802" s="24"/>
      <c r="AE1802" s="24"/>
      <c r="AF1802" s="24"/>
      <c r="AG1802" s="24"/>
      <c r="AH1802" s="24"/>
      <c r="AI1802" s="24"/>
      <c r="AJ1802" s="24"/>
      <c r="AK1802" s="24"/>
      <c r="AL1802" s="24"/>
      <c r="AM1802" s="24"/>
      <c r="AN1802" s="24"/>
      <c r="AO1802" s="24"/>
      <c r="AP1802" s="24"/>
      <c r="AQ1802" s="24"/>
      <c r="AR1802" s="24"/>
      <c r="AS1802" s="24"/>
      <c r="AT1802" s="24"/>
      <c r="AU1802" s="24"/>
      <c r="AV1802" s="24"/>
      <c r="AW1802" s="24"/>
      <c r="AX1802" s="24"/>
    </row>
    <row r="1803" ht="15.75" customHeight="1">
      <c r="A1803" s="24"/>
      <c r="B1803" s="24"/>
      <c r="C1803" s="28"/>
      <c r="D1803" s="28"/>
      <c r="E1803" s="28"/>
      <c r="F1803" s="28"/>
      <c r="G1803" s="28"/>
      <c r="H1803" s="28"/>
      <c r="I1803" s="28"/>
      <c r="J1803" s="28"/>
      <c r="K1803" s="28"/>
      <c r="L1803" s="28"/>
      <c r="M1803" s="28"/>
      <c r="N1803" s="28"/>
      <c r="O1803" s="24"/>
      <c r="P1803" s="24"/>
      <c r="Q1803" s="24"/>
      <c r="R1803" s="24"/>
      <c r="S1803" s="24"/>
      <c r="T1803" s="24"/>
      <c r="U1803" s="24"/>
      <c r="V1803" s="24"/>
      <c r="W1803" s="24"/>
      <c r="X1803" s="24"/>
      <c r="Y1803" s="24"/>
      <c r="Z1803" s="24"/>
      <c r="AA1803" s="24"/>
      <c r="AB1803" s="24"/>
      <c r="AC1803" s="24"/>
      <c r="AD1803" s="24"/>
      <c r="AE1803" s="24"/>
      <c r="AF1803" s="24"/>
      <c r="AG1803" s="24"/>
      <c r="AH1803" s="24"/>
      <c r="AI1803" s="24"/>
      <c r="AJ1803" s="24"/>
      <c r="AK1803" s="24"/>
      <c r="AL1803" s="24"/>
      <c r="AM1803" s="24"/>
      <c r="AN1803" s="24"/>
      <c r="AO1803" s="24"/>
      <c r="AP1803" s="24"/>
      <c r="AQ1803" s="24"/>
      <c r="AR1803" s="24"/>
      <c r="AS1803" s="24"/>
      <c r="AT1803" s="24"/>
      <c r="AU1803" s="24"/>
      <c r="AV1803" s="24"/>
      <c r="AW1803" s="24"/>
      <c r="AX1803" s="24"/>
    </row>
    <row r="1804" ht="15.75" customHeight="1">
      <c r="A1804" s="24"/>
      <c r="B1804" s="24"/>
      <c r="C1804" s="28"/>
      <c r="D1804" s="28"/>
      <c r="E1804" s="28"/>
      <c r="F1804" s="28"/>
      <c r="G1804" s="28"/>
      <c r="H1804" s="28"/>
      <c r="I1804" s="28"/>
      <c r="J1804" s="28"/>
      <c r="K1804" s="28"/>
      <c r="L1804" s="28"/>
      <c r="M1804" s="28"/>
      <c r="N1804" s="28"/>
      <c r="O1804" s="24"/>
      <c r="P1804" s="24"/>
      <c r="Q1804" s="24"/>
      <c r="R1804" s="24"/>
      <c r="S1804" s="24"/>
      <c r="T1804" s="24"/>
      <c r="U1804" s="24"/>
      <c r="V1804" s="24"/>
      <c r="W1804" s="24"/>
      <c r="X1804" s="24"/>
      <c r="Y1804" s="24"/>
      <c r="Z1804" s="24"/>
      <c r="AA1804" s="24"/>
      <c r="AB1804" s="24"/>
      <c r="AC1804" s="24"/>
      <c r="AD1804" s="24"/>
      <c r="AE1804" s="24"/>
      <c r="AF1804" s="24"/>
      <c r="AG1804" s="24"/>
      <c r="AH1804" s="24"/>
      <c r="AI1804" s="24"/>
      <c r="AJ1804" s="24"/>
      <c r="AK1804" s="24"/>
      <c r="AL1804" s="24"/>
      <c r="AM1804" s="24"/>
      <c r="AN1804" s="24"/>
      <c r="AO1804" s="24"/>
      <c r="AP1804" s="24"/>
      <c r="AQ1804" s="24"/>
      <c r="AR1804" s="24"/>
      <c r="AS1804" s="24"/>
      <c r="AT1804" s="24"/>
      <c r="AU1804" s="24"/>
      <c r="AV1804" s="24"/>
      <c r="AW1804" s="24"/>
      <c r="AX1804" s="24"/>
    </row>
    <row r="1805" ht="15.75" customHeight="1">
      <c r="A1805" s="24"/>
      <c r="B1805" s="24"/>
      <c r="C1805" s="28"/>
      <c r="D1805" s="28"/>
      <c r="E1805" s="28"/>
      <c r="F1805" s="28"/>
      <c r="G1805" s="28"/>
      <c r="H1805" s="28"/>
      <c r="I1805" s="28"/>
      <c r="J1805" s="28"/>
      <c r="K1805" s="28"/>
      <c r="L1805" s="28"/>
      <c r="M1805" s="28"/>
      <c r="N1805" s="28"/>
      <c r="O1805" s="24"/>
      <c r="P1805" s="24"/>
      <c r="Q1805" s="24"/>
      <c r="R1805" s="24"/>
      <c r="S1805" s="24"/>
      <c r="T1805" s="24"/>
      <c r="U1805" s="24"/>
      <c r="V1805" s="24"/>
      <c r="W1805" s="24"/>
      <c r="X1805" s="24"/>
      <c r="Y1805" s="24"/>
      <c r="Z1805" s="24"/>
      <c r="AA1805" s="24"/>
      <c r="AB1805" s="24"/>
      <c r="AC1805" s="24"/>
      <c r="AD1805" s="24"/>
      <c r="AE1805" s="24"/>
      <c r="AF1805" s="24"/>
      <c r="AG1805" s="24"/>
      <c r="AH1805" s="24"/>
      <c r="AI1805" s="24"/>
      <c r="AJ1805" s="24"/>
      <c r="AK1805" s="24"/>
      <c r="AL1805" s="24"/>
      <c r="AM1805" s="24"/>
      <c r="AN1805" s="24"/>
      <c r="AO1805" s="24"/>
      <c r="AP1805" s="24"/>
      <c r="AQ1805" s="24"/>
      <c r="AR1805" s="24"/>
      <c r="AS1805" s="24"/>
      <c r="AT1805" s="24"/>
      <c r="AU1805" s="24"/>
      <c r="AV1805" s="24"/>
      <c r="AW1805" s="24"/>
      <c r="AX1805" s="24"/>
    </row>
    <row r="1806" ht="15.75" customHeight="1">
      <c r="A1806" s="24"/>
      <c r="B1806" s="24"/>
      <c r="C1806" s="28"/>
      <c r="D1806" s="28"/>
      <c r="E1806" s="28"/>
      <c r="F1806" s="28"/>
      <c r="G1806" s="28"/>
      <c r="H1806" s="28"/>
      <c r="I1806" s="28"/>
      <c r="J1806" s="28"/>
      <c r="K1806" s="28"/>
      <c r="L1806" s="28"/>
      <c r="M1806" s="28"/>
      <c r="N1806" s="28"/>
      <c r="O1806" s="24"/>
      <c r="P1806" s="24"/>
      <c r="Q1806" s="24"/>
      <c r="R1806" s="24"/>
      <c r="S1806" s="24"/>
      <c r="T1806" s="24"/>
      <c r="U1806" s="24"/>
      <c r="V1806" s="24"/>
      <c r="W1806" s="24"/>
      <c r="X1806" s="24"/>
      <c r="Y1806" s="24"/>
      <c r="Z1806" s="24"/>
      <c r="AA1806" s="24"/>
      <c r="AB1806" s="24"/>
      <c r="AC1806" s="24"/>
      <c r="AD1806" s="24"/>
      <c r="AE1806" s="24"/>
      <c r="AF1806" s="24"/>
      <c r="AG1806" s="24"/>
      <c r="AH1806" s="24"/>
      <c r="AI1806" s="24"/>
      <c r="AJ1806" s="24"/>
      <c r="AK1806" s="24"/>
      <c r="AL1806" s="24"/>
      <c r="AM1806" s="24"/>
      <c r="AN1806" s="24"/>
      <c r="AO1806" s="24"/>
      <c r="AP1806" s="24"/>
      <c r="AQ1806" s="24"/>
      <c r="AR1806" s="24"/>
      <c r="AS1806" s="24"/>
      <c r="AT1806" s="24"/>
      <c r="AU1806" s="24"/>
      <c r="AV1806" s="24"/>
      <c r="AW1806" s="24"/>
      <c r="AX1806" s="24"/>
    </row>
    <row r="1807" ht="15.75" customHeight="1">
      <c r="A1807" s="24"/>
      <c r="B1807" s="24"/>
      <c r="C1807" s="28"/>
      <c r="D1807" s="28"/>
      <c r="E1807" s="28"/>
      <c r="F1807" s="28"/>
      <c r="G1807" s="28"/>
      <c r="H1807" s="28"/>
      <c r="I1807" s="28"/>
      <c r="J1807" s="28"/>
      <c r="K1807" s="28"/>
      <c r="L1807" s="28"/>
      <c r="M1807" s="28"/>
      <c r="N1807" s="28"/>
      <c r="O1807" s="24"/>
      <c r="P1807" s="24"/>
      <c r="Q1807" s="24"/>
      <c r="R1807" s="24"/>
      <c r="S1807" s="24"/>
      <c r="T1807" s="24"/>
      <c r="U1807" s="24"/>
      <c r="V1807" s="24"/>
      <c r="W1807" s="24"/>
      <c r="X1807" s="24"/>
      <c r="Y1807" s="24"/>
      <c r="Z1807" s="24"/>
      <c r="AA1807" s="24"/>
      <c r="AB1807" s="24"/>
      <c r="AC1807" s="24"/>
      <c r="AD1807" s="24"/>
      <c r="AE1807" s="24"/>
      <c r="AF1807" s="24"/>
      <c r="AG1807" s="24"/>
      <c r="AH1807" s="24"/>
      <c r="AI1807" s="24"/>
      <c r="AJ1807" s="24"/>
      <c r="AK1807" s="24"/>
      <c r="AL1807" s="24"/>
      <c r="AM1807" s="24"/>
      <c r="AN1807" s="24"/>
      <c r="AO1807" s="24"/>
      <c r="AP1807" s="24"/>
      <c r="AQ1807" s="24"/>
      <c r="AR1807" s="24"/>
      <c r="AS1807" s="24"/>
      <c r="AT1807" s="24"/>
      <c r="AU1807" s="24"/>
      <c r="AV1807" s="24"/>
      <c r="AW1807" s="24"/>
      <c r="AX1807" s="24"/>
    </row>
    <row r="1808" ht="15.75" customHeight="1">
      <c r="A1808" s="24"/>
      <c r="B1808" s="24"/>
      <c r="C1808" s="28"/>
      <c r="D1808" s="28"/>
      <c r="E1808" s="28"/>
      <c r="F1808" s="28"/>
      <c r="G1808" s="28"/>
      <c r="H1808" s="28"/>
      <c r="I1808" s="28"/>
      <c r="J1808" s="28"/>
      <c r="K1808" s="28"/>
      <c r="L1808" s="28"/>
      <c r="M1808" s="28"/>
      <c r="N1808" s="28"/>
      <c r="O1808" s="24"/>
      <c r="P1808" s="24"/>
      <c r="Q1808" s="24"/>
      <c r="R1808" s="24"/>
      <c r="S1808" s="24"/>
      <c r="T1808" s="24"/>
      <c r="U1808" s="24"/>
      <c r="V1808" s="24"/>
      <c r="W1808" s="24"/>
      <c r="X1808" s="24"/>
      <c r="Y1808" s="24"/>
      <c r="Z1808" s="24"/>
      <c r="AA1808" s="24"/>
      <c r="AB1808" s="24"/>
      <c r="AC1808" s="24"/>
      <c r="AD1808" s="24"/>
      <c r="AE1808" s="24"/>
      <c r="AF1808" s="24"/>
      <c r="AG1808" s="24"/>
      <c r="AH1808" s="24"/>
      <c r="AI1808" s="24"/>
      <c r="AJ1808" s="24"/>
      <c r="AK1808" s="24"/>
      <c r="AL1808" s="24"/>
      <c r="AM1808" s="24"/>
      <c r="AN1808" s="24"/>
      <c r="AO1808" s="24"/>
      <c r="AP1808" s="24"/>
      <c r="AQ1808" s="24"/>
      <c r="AR1808" s="24"/>
      <c r="AS1808" s="24"/>
      <c r="AT1808" s="24"/>
      <c r="AU1808" s="24"/>
      <c r="AV1808" s="24"/>
      <c r="AW1808" s="24"/>
      <c r="AX1808" s="24"/>
    </row>
    <row r="1809" ht="15.75" customHeight="1">
      <c r="A1809" s="24"/>
      <c r="B1809" s="24"/>
      <c r="C1809" s="28"/>
      <c r="D1809" s="28"/>
      <c r="E1809" s="28"/>
      <c r="F1809" s="28"/>
      <c r="G1809" s="28"/>
      <c r="H1809" s="28"/>
      <c r="I1809" s="28"/>
      <c r="J1809" s="28"/>
      <c r="K1809" s="28"/>
      <c r="L1809" s="28"/>
      <c r="M1809" s="28"/>
      <c r="N1809" s="28"/>
      <c r="O1809" s="24"/>
      <c r="P1809" s="24"/>
      <c r="Q1809" s="24"/>
      <c r="R1809" s="24"/>
      <c r="S1809" s="24"/>
      <c r="T1809" s="24"/>
      <c r="U1809" s="24"/>
      <c r="V1809" s="24"/>
      <c r="W1809" s="24"/>
      <c r="X1809" s="24"/>
      <c r="Y1809" s="24"/>
      <c r="Z1809" s="24"/>
      <c r="AA1809" s="24"/>
      <c r="AB1809" s="24"/>
      <c r="AC1809" s="24"/>
      <c r="AD1809" s="24"/>
      <c r="AE1809" s="24"/>
      <c r="AF1809" s="24"/>
      <c r="AG1809" s="24"/>
      <c r="AH1809" s="24"/>
      <c r="AI1809" s="24"/>
      <c r="AJ1809" s="24"/>
      <c r="AK1809" s="24"/>
      <c r="AL1809" s="24"/>
      <c r="AM1809" s="24"/>
      <c r="AN1809" s="24"/>
      <c r="AO1809" s="24"/>
      <c r="AP1809" s="24"/>
      <c r="AQ1809" s="24"/>
      <c r="AR1809" s="24"/>
      <c r="AS1809" s="24"/>
      <c r="AT1809" s="24"/>
      <c r="AU1809" s="24"/>
      <c r="AV1809" s="24"/>
      <c r="AW1809" s="24"/>
      <c r="AX1809" s="24"/>
    </row>
    <row r="1810" ht="15.75" customHeight="1">
      <c r="A1810" s="24"/>
      <c r="B1810" s="24"/>
      <c r="C1810" s="28"/>
      <c r="D1810" s="28"/>
      <c r="E1810" s="28"/>
      <c r="F1810" s="28"/>
      <c r="G1810" s="28"/>
      <c r="H1810" s="28"/>
      <c r="I1810" s="28"/>
      <c r="J1810" s="28"/>
      <c r="K1810" s="28"/>
      <c r="L1810" s="28"/>
      <c r="M1810" s="28"/>
      <c r="N1810" s="28"/>
      <c r="O1810" s="24"/>
      <c r="P1810" s="24"/>
      <c r="Q1810" s="24"/>
      <c r="R1810" s="24"/>
      <c r="S1810" s="24"/>
      <c r="T1810" s="24"/>
      <c r="U1810" s="24"/>
      <c r="V1810" s="24"/>
      <c r="W1810" s="24"/>
      <c r="X1810" s="24"/>
      <c r="Y1810" s="24"/>
      <c r="Z1810" s="24"/>
      <c r="AA1810" s="24"/>
      <c r="AB1810" s="24"/>
      <c r="AC1810" s="24"/>
      <c r="AD1810" s="24"/>
      <c r="AE1810" s="24"/>
      <c r="AF1810" s="24"/>
      <c r="AG1810" s="24"/>
      <c r="AH1810" s="24"/>
      <c r="AI1810" s="24"/>
      <c r="AJ1810" s="24"/>
      <c r="AK1810" s="24"/>
      <c r="AL1810" s="24"/>
      <c r="AM1810" s="24"/>
      <c r="AN1810" s="24"/>
      <c r="AO1810" s="24"/>
      <c r="AP1810" s="24"/>
      <c r="AQ1810" s="24"/>
      <c r="AR1810" s="24"/>
      <c r="AS1810" s="24"/>
      <c r="AT1810" s="24"/>
      <c r="AU1810" s="24"/>
      <c r="AV1810" s="24"/>
      <c r="AW1810" s="24"/>
      <c r="AX1810" s="24"/>
    </row>
    <row r="1811" ht="15.75" customHeight="1">
      <c r="A1811" s="24"/>
      <c r="B1811" s="24"/>
      <c r="C1811" s="28"/>
      <c r="D1811" s="28"/>
      <c r="E1811" s="28"/>
      <c r="F1811" s="28"/>
      <c r="G1811" s="28"/>
      <c r="H1811" s="28"/>
      <c r="I1811" s="28"/>
      <c r="J1811" s="28"/>
      <c r="K1811" s="28"/>
      <c r="L1811" s="28"/>
      <c r="M1811" s="28"/>
      <c r="N1811" s="28"/>
      <c r="O1811" s="24"/>
      <c r="P1811" s="24"/>
      <c r="Q1811" s="24"/>
      <c r="R1811" s="24"/>
      <c r="S1811" s="24"/>
      <c r="T1811" s="24"/>
      <c r="U1811" s="24"/>
      <c r="V1811" s="24"/>
      <c r="W1811" s="24"/>
      <c r="X1811" s="24"/>
      <c r="Y1811" s="24"/>
      <c r="Z1811" s="24"/>
      <c r="AA1811" s="24"/>
      <c r="AB1811" s="24"/>
      <c r="AC1811" s="24"/>
      <c r="AD1811" s="24"/>
      <c r="AE1811" s="24"/>
      <c r="AF1811" s="24"/>
      <c r="AG1811" s="24"/>
      <c r="AH1811" s="24"/>
      <c r="AI1811" s="24"/>
      <c r="AJ1811" s="24"/>
      <c r="AK1811" s="24"/>
      <c r="AL1811" s="24"/>
      <c r="AM1811" s="24"/>
      <c r="AN1811" s="24"/>
      <c r="AO1811" s="24"/>
      <c r="AP1811" s="24"/>
      <c r="AQ1811" s="24"/>
      <c r="AR1811" s="24"/>
      <c r="AS1811" s="24"/>
      <c r="AT1811" s="24"/>
      <c r="AU1811" s="24"/>
      <c r="AV1811" s="24"/>
      <c r="AW1811" s="24"/>
      <c r="AX1811" s="24"/>
    </row>
    <row r="1812" ht="15.75" customHeight="1">
      <c r="A1812" s="24"/>
      <c r="B1812" s="24"/>
      <c r="C1812" s="28"/>
      <c r="D1812" s="28"/>
      <c r="E1812" s="28"/>
      <c r="F1812" s="28"/>
      <c r="G1812" s="28"/>
      <c r="H1812" s="28"/>
      <c r="I1812" s="28"/>
      <c r="J1812" s="28"/>
      <c r="K1812" s="28"/>
      <c r="L1812" s="28"/>
      <c r="M1812" s="28"/>
      <c r="N1812" s="28"/>
      <c r="O1812" s="24"/>
      <c r="P1812" s="24"/>
      <c r="Q1812" s="24"/>
      <c r="R1812" s="24"/>
      <c r="S1812" s="24"/>
      <c r="T1812" s="24"/>
      <c r="U1812" s="24"/>
      <c r="V1812" s="24"/>
      <c r="W1812" s="24"/>
      <c r="X1812" s="24"/>
      <c r="Y1812" s="24"/>
      <c r="Z1812" s="24"/>
      <c r="AA1812" s="24"/>
      <c r="AB1812" s="24"/>
      <c r="AC1812" s="24"/>
      <c r="AD1812" s="24"/>
      <c r="AE1812" s="24"/>
      <c r="AF1812" s="24"/>
      <c r="AG1812" s="24"/>
      <c r="AH1812" s="24"/>
      <c r="AI1812" s="24"/>
      <c r="AJ1812" s="24"/>
      <c r="AK1812" s="24"/>
      <c r="AL1812" s="24"/>
      <c r="AM1812" s="24"/>
      <c r="AN1812" s="24"/>
      <c r="AO1812" s="24"/>
      <c r="AP1812" s="24"/>
      <c r="AQ1812" s="24"/>
      <c r="AR1812" s="24"/>
      <c r="AS1812" s="24"/>
      <c r="AT1812" s="24"/>
      <c r="AU1812" s="24"/>
      <c r="AV1812" s="24"/>
      <c r="AW1812" s="24"/>
      <c r="AX1812" s="24"/>
    </row>
    <row r="1813" ht="15.75" customHeight="1">
      <c r="A1813" s="24"/>
      <c r="B1813" s="24"/>
      <c r="C1813" s="28"/>
      <c r="D1813" s="28"/>
      <c r="E1813" s="28"/>
      <c r="F1813" s="28"/>
      <c r="G1813" s="28"/>
      <c r="H1813" s="28"/>
      <c r="I1813" s="28"/>
      <c r="J1813" s="28"/>
      <c r="K1813" s="28"/>
      <c r="L1813" s="28"/>
      <c r="M1813" s="28"/>
      <c r="N1813" s="28"/>
      <c r="O1813" s="24"/>
      <c r="P1813" s="24"/>
      <c r="Q1813" s="24"/>
      <c r="R1813" s="24"/>
      <c r="S1813" s="24"/>
      <c r="T1813" s="24"/>
      <c r="U1813" s="24"/>
      <c r="V1813" s="24"/>
      <c r="W1813" s="24"/>
      <c r="X1813" s="24"/>
      <c r="Y1813" s="24"/>
      <c r="Z1813" s="24"/>
      <c r="AA1813" s="24"/>
      <c r="AB1813" s="24"/>
      <c r="AC1813" s="24"/>
      <c r="AD1813" s="24"/>
      <c r="AE1813" s="24"/>
      <c r="AF1813" s="24"/>
      <c r="AG1813" s="24"/>
      <c r="AH1813" s="24"/>
      <c r="AI1813" s="24"/>
      <c r="AJ1813" s="24"/>
      <c r="AK1813" s="24"/>
      <c r="AL1813" s="24"/>
      <c r="AM1813" s="24"/>
      <c r="AN1813" s="24"/>
      <c r="AO1813" s="24"/>
      <c r="AP1813" s="24"/>
      <c r="AQ1813" s="24"/>
      <c r="AR1813" s="24"/>
      <c r="AS1813" s="24"/>
      <c r="AT1813" s="24"/>
      <c r="AU1813" s="24"/>
      <c r="AV1813" s="24"/>
      <c r="AW1813" s="24"/>
      <c r="AX1813" s="24"/>
    </row>
    <row r="1814" ht="15.75" customHeight="1">
      <c r="A1814" s="24"/>
      <c r="B1814" s="24"/>
      <c r="C1814" s="28"/>
      <c r="D1814" s="28"/>
      <c r="E1814" s="28"/>
      <c r="F1814" s="28"/>
      <c r="G1814" s="28"/>
      <c r="H1814" s="28"/>
      <c r="I1814" s="28"/>
      <c r="J1814" s="28"/>
      <c r="K1814" s="28"/>
      <c r="L1814" s="28"/>
      <c r="M1814" s="28"/>
      <c r="N1814" s="28"/>
      <c r="O1814" s="24"/>
      <c r="P1814" s="24"/>
      <c r="Q1814" s="24"/>
      <c r="R1814" s="24"/>
      <c r="S1814" s="24"/>
      <c r="T1814" s="24"/>
      <c r="U1814" s="24"/>
      <c r="V1814" s="24"/>
      <c r="W1814" s="24"/>
      <c r="X1814" s="24"/>
      <c r="Y1814" s="24"/>
      <c r="Z1814" s="24"/>
      <c r="AA1814" s="24"/>
      <c r="AB1814" s="24"/>
      <c r="AC1814" s="24"/>
      <c r="AD1814" s="24"/>
      <c r="AE1814" s="24"/>
      <c r="AF1814" s="24"/>
      <c r="AG1814" s="24"/>
      <c r="AH1814" s="24"/>
      <c r="AI1814" s="24"/>
      <c r="AJ1814" s="24"/>
      <c r="AK1814" s="24"/>
      <c r="AL1814" s="24"/>
      <c r="AM1814" s="24"/>
      <c r="AN1814" s="24"/>
      <c r="AO1814" s="24"/>
      <c r="AP1814" s="24"/>
      <c r="AQ1814" s="24"/>
      <c r="AR1814" s="24"/>
      <c r="AS1814" s="24"/>
      <c r="AT1814" s="24"/>
      <c r="AU1814" s="24"/>
      <c r="AV1814" s="24"/>
      <c r="AW1814" s="24"/>
      <c r="AX1814" s="24"/>
    </row>
    <row r="1815" ht="15.75" customHeight="1">
      <c r="A1815" s="24"/>
      <c r="B1815" s="24"/>
      <c r="C1815" s="28"/>
      <c r="D1815" s="28"/>
      <c r="E1815" s="28"/>
      <c r="F1815" s="28"/>
      <c r="G1815" s="28"/>
      <c r="H1815" s="28"/>
      <c r="I1815" s="28"/>
      <c r="J1815" s="28"/>
      <c r="K1815" s="28"/>
      <c r="L1815" s="28"/>
      <c r="M1815" s="28"/>
      <c r="N1815" s="28"/>
      <c r="O1815" s="24"/>
      <c r="P1815" s="24"/>
      <c r="Q1815" s="24"/>
      <c r="R1815" s="24"/>
      <c r="S1815" s="24"/>
      <c r="T1815" s="24"/>
      <c r="U1815" s="24"/>
      <c r="V1815" s="24"/>
      <c r="W1815" s="24"/>
      <c r="X1815" s="24"/>
      <c r="Y1815" s="24"/>
      <c r="Z1815" s="24"/>
      <c r="AA1815" s="24"/>
      <c r="AB1815" s="24"/>
      <c r="AC1815" s="24"/>
      <c r="AD1815" s="24"/>
      <c r="AE1815" s="24"/>
      <c r="AF1815" s="24"/>
      <c r="AG1815" s="24"/>
      <c r="AH1815" s="24"/>
      <c r="AI1815" s="24"/>
      <c r="AJ1815" s="24"/>
      <c r="AK1815" s="24"/>
      <c r="AL1815" s="24"/>
      <c r="AM1815" s="24"/>
      <c r="AN1815" s="24"/>
      <c r="AO1815" s="24"/>
      <c r="AP1815" s="24"/>
      <c r="AQ1815" s="24"/>
      <c r="AR1815" s="24"/>
      <c r="AS1815" s="24"/>
      <c r="AT1815" s="24"/>
      <c r="AU1815" s="24"/>
      <c r="AV1815" s="24"/>
      <c r="AW1815" s="24"/>
      <c r="AX1815" s="24"/>
    </row>
    <row r="1816" ht="15.75" customHeight="1">
      <c r="A1816" s="24"/>
      <c r="B1816" s="24"/>
      <c r="C1816" s="28"/>
      <c r="D1816" s="28"/>
      <c r="E1816" s="28"/>
      <c r="F1816" s="28"/>
      <c r="G1816" s="28"/>
      <c r="H1816" s="28"/>
      <c r="I1816" s="28"/>
      <c r="J1816" s="28"/>
      <c r="K1816" s="28"/>
      <c r="L1816" s="28"/>
      <c r="M1816" s="28"/>
      <c r="N1816" s="28"/>
      <c r="O1816" s="24"/>
      <c r="P1816" s="24"/>
      <c r="Q1816" s="24"/>
      <c r="R1816" s="24"/>
      <c r="S1816" s="24"/>
      <c r="T1816" s="24"/>
      <c r="U1816" s="24"/>
      <c r="V1816" s="24"/>
      <c r="W1816" s="24"/>
      <c r="X1816" s="24"/>
      <c r="Y1816" s="24"/>
      <c r="Z1816" s="24"/>
      <c r="AA1816" s="24"/>
      <c r="AB1816" s="24"/>
      <c r="AC1816" s="24"/>
      <c r="AD1816" s="24"/>
      <c r="AE1816" s="24"/>
      <c r="AF1816" s="24"/>
      <c r="AG1816" s="24"/>
      <c r="AH1816" s="24"/>
      <c r="AI1816" s="24"/>
      <c r="AJ1816" s="24"/>
      <c r="AK1816" s="24"/>
      <c r="AL1816" s="24"/>
      <c r="AM1816" s="24"/>
      <c r="AN1816" s="24"/>
      <c r="AO1816" s="24"/>
      <c r="AP1816" s="24"/>
      <c r="AQ1816" s="24"/>
      <c r="AR1816" s="24"/>
      <c r="AS1816" s="24"/>
      <c r="AT1816" s="24"/>
      <c r="AU1816" s="24"/>
      <c r="AV1816" s="24"/>
      <c r="AW1816" s="24"/>
      <c r="AX1816" s="24"/>
    </row>
    <row r="1817" ht="15.75" customHeight="1">
      <c r="A1817" s="24"/>
      <c r="B1817" s="24"/>
      <c r="C1817" s="28"/>
      <c r="D1817" s="28"/>
      <c r="E1817" s="28"/>
      <c r="F1817" s="28"/>
      <c r="G1817" s="28"/>
      <c r="H1817" s="28"/>
      <c r="I1817" s="28"/>
      <c r="J1817" s="28"/>
      <c r="K1817" s="28"/>
      <c r="L1817" s="28"/>
      <c r="M1817" s="28"/>
      <c r="N1817" s="28"/>
      <c r="O1817" s="24"/>
      <c r="P1817" s="24"/>
      <c r="Q1817" s="24"/>
      <c r="R1817" s="24"/>
      <c r="S1817" s="24"/>
      <c r="T1817" s="24"/>
      <c r="U1817" s="24"/>
      <c r="V1817" s="24"/>
      <c r="W1817" s="24"/>
      <c r="X1817" s="24"/>
      <c r="Y1817" s="24"/>
      <c r="Z1817" s="24"/>
      <c r="AA1817" s="24"/>
      <c r="AB1817" s="24"/>
      <c r="AC1817" s="24"/>
      <c r="AD1817" s="24"/>
      <c r="AE1817" s="24"/>
      <c r="AF1817" s="24"/>
      <c r="AG1817" s="24"/>
      <c r="AH1817" s="24"/>
      <c r="AI1817" s="24"/>
      <c r="AJ1817" s="24"/>
      <c r="AK1817" s="24"/>
      <c r="AL1817" s="24"/>
      <c r="AM1817" s="24"/>
      <c r="AN1817" s="24"/>
      <c r="AO1817" s="24"/>
      <c r="AP1817" s="24"/>
      <c r="AQ1817" s="24"/>
      <c r="AR1817" s="24"/>
      <c r="AS1817" s="24"/>
      <c r="AT1817" s="24"/>
      <c r="AU1817" s="24"/>
      <c r="AV1817" s="24"/>
      <c r="AW1817" s="24"/>
      <c r="AX1817" s="24"/>
    </row>
    <row r="1818" ht="15.75" customHeight="1">
      <c r="A1818" s="24"/>
      <c r="B1818" s="24"/>
      <c r="C1818" s="28"/>
      <c r="D1818" s="28"/>
      <c r="E1818" s="28"/>
      <c r="F1818" s="28"/>
      <c r="G1818" s="28"/>
      <c r="H1818" s="28"/>
      <c r="I1818" s="28"/>
      <c r="J1818" s="28"/>
      <c r="K1818" s="28"/>
      <c r="L1818" s="28"/>
      <c r="M1818" s="28"/>
      <c r="N1818" s="28"/>
      <c r="O1818" s="24"/>
      <c r="P1818" s="24"/>
      <c r="Q1818" s="24"/>
      <c r="R1818" s="24"/>
      <c r="S1818" s="24"/>
      <c r="T1818" s="24"/>
      <c r="U1818" s="24"/>
      <c r="V1818" s="24"/>
      <c r="W1818" s="24"/>
      <c r="X1818" s="24"/>
      <c r="Y1818" s="24"/>
      <c r="Z1818" s="24"/>
      <c r="AA1818" s="24"/>
      <c r="AB1818" s="24"/>
      <c r="AC1818" s="24"/>
      <c r="AD1818" s="24"/>
      <c r="AE1818" s="24"/>
      <c r="AF1818" s="24"/>
      <c r="AG1818" s="24"/>
      <c r="AH1818" s="24"/>
      <c r="AI1818" s="24"/>
      <c r="AJ1818" s="24"/>
      <c r="AK1818" s="24"/>
      <c r="AL1818" s="24"/>
      <c r="AM1818" s="24"/>
      <c r="AN1818" s="24"/>
      <c r="AO1818" s="24"/>
      <c r="AP1818" s="24"/>
      <c r="AQ1818" s="24"/>
      <c r="AR1818" s="24"/>
      <c r="AS1818" s="24"/>
      <c r="AT1818" s="24"/>
      <c r="AU1818" s="24"/>
      <c r="AV1818" s="24"/>
      <c r="AW1818" s="24"/>
      <c r="AX1818" s="24"/>
    </row>
    <row r="1819" ht="15.75" customHeight="1">
      <c r="A1819" s="24"/>
      <c r="B1819" s="24"/>
      <c r="C1819" s="28"/>
      <c r="D1819" s="28"/>
      <c r="E1819" s="28"/>
      <c r="F1819" s="28"/>
      <c r="G1819" s="28"/>
      <c r="H1819" s="28"/>
      <c r="I1819" s="28"/>
      <c r="J1819" s="28"/>
      <c r="K1819" s="28"/>
      <c r="L1819" s="28"/>
      <c r="M1819" s="28"/>
      <c r="N1819" s="28"/>
      <c r="O1819" s="24"/>
      <c r="P1819" s="24"/>
      <c r="Q1819" s="24"/>
      <c r="R1819" s="24"/>
      <c r="S1819" s="24"/>
      <c r="T1819" s="24"/>
      <c r="U1819" s="24"/>
      <c r="V1819" s="24"/>
      <c r="W1819" s="24"/>
      <c r="X1819" s="24"/>
      <c r="Y1819" s="24"/>
      <c r="Z1819" s="24"/>
      <c r="AA1819" s="24"/>
      <c r="AB1819" s="24"/>
      <c r="AC1819" s="24"/>
      <c r="AD1819" s="24"/>
      <c r="AE1819" s="24"/>
      <c r="AF1819" s="24"/>
      <c r="AG1819" s="24"/>
      <c r="AH1819" s="24"/>
      <c r="AI1819" s="24"/>
      <c r="AJ1819" s="24"/>
      <c r="AK1819" s="24"/>
      <c r="AL1819" s="24"/>
      <c r="AM1819" s="24"/>
      <c r="AN1819" s="24"/>
      <c r="AO1819" s="24"/>
      <c r="AP1819" s="24"/>
      <c r="AQ1819" s="24"/>
      <c r="AR1819" s="24"/>
      <c r="AS1819" s="24"/>
      <c r="AT1819" s="24"/>
      <c r="AU1819" s="24"/>
      <c r="AV1819" s="24"/>
      <c r="AW1819" s="24"/>
      <c r="AX1819" s="24"/>
    </row>
    <row r="1820" ht="15.75" customHeight="1">
      <c r="A1820" s="24"/>
      <c r="B1820" s="24"/>
      <c r="C1820" s="28"/>
      <c r="D1820" s="28"/>
      <c r="E1820" s="28"/>
      <c r="F1820" s="28"/>
      <c r="G1820" s="28"/>
      <c r="H1820" s="28"/>
      <c r="I1820" s="28"/>
      <c r="J1820" s="28"/>
      <c r="K1820" s="28"/>
      <c r="L1820" s="28"/>
      <c r="M1820" s="28"/>
      <c r="N1820" s="28"/>
      <c r="O1820" s="24"/>
      <c r="P1820" s="24"/>
      <c r="Q1820" s="24"/>
      <c r="R1820" s="24"/>
      <c r="S1820" s="24"/>
      <c r="T1820" s="24"/>
      <c r="U1820" s="24"/>
      <c r="V1820" s="24"/>
      <c r="W1820" s="24"/>
      <c r="X1820" s="24"/>
      <c r="Y1820" s="24"/>
      <c r="Z1820" s="24"/>
      <c r="AA1820" s="24"/>
      <c r="AB1820" s="24"/>
      <c r="AC1820" s="24"/>
      <c r="AD1820" s="24"/>
      <c r="AE1820" s="24"/>
      <c r="AF1820" s="24"/>
      <c r="AG1820" s="24"/>
      <c r="AH1820" s="24"/>
      <c r="AI1820" s="24"/>
      <c r="AJ1820" s="24"/>
      <c r="AK1820" s="24"/>
      <c r="AL1820" s="24"/>
      <c r="AM1820" s="24"/>
      <c r="AN1820" s="24"/>
      <c r="AO1820" s="24"/>
      <c r="AP1820" s="24"/>
      <c r="AQ1820" s="24"/>
      <c r="AR1820" s="24"/>
      <c r="AS1820" s="24"/>
      <c r="AT1820" s="24"/>
      <c r="AU1820" s="24"/>
      <c r="AV1820" s="24"/>
      <c r="AW1820" s="24"/>
      <c r="AX1820" s="24"/>
    </row>
    <row r="1821" ht="15.75" customHeight="1">
      <c r="A1821" s="24"/>
      <c r="B1821" s="24"/>
      <c r="C1821" s="28"/>
      <c r="D1821" s="28"/>
      <c r="E1821" s="28"/>
      <c r="F1821" s="28"/>
      <c r="G1821" s="28"/>
      <c r="H1821" s="28"/>
      <c r="I1821" s="28"/>
      <c r="J1821" s="28"/>
      <c r="K1821" s="28"/>
      <c r="L1821" s="28"/>
      <c r="M1821" s="28"/>
      <c r="N1821" s="28"/>
      <c r="O1821" s="24"/>
      <c r="P1821" s="24"/>
      <c r="Q1821" s="24"/>
      <c r="R1821" s="24"/>
      <c r="S1821" s="24"/>
      <c r="T1821" s="24"/>
      <c r="U1821" s="24"/>
      <c r="V1821" s="24"/>
      <c r="W1821" s="24"/>
      <c r="X1821" s="24"/>
      <c r="Y1821" s="24"/>
      <c r="Z1821" s="24"/>
      <c r="AA1821" s="24"/>
      <c r="AB1821" s="24"/>
      <c r="AC1821" s="24"/>
      <c r="AD1821" s="24"/>
      <c r="AE1821" s="24"/>
      <c r="AF1821" s="24"/>
      <c r="AG1821" s="24"/>
      <c r="AH1821" s="24"/>
      <c r="AI1821" s="24"/>
      <c r="AJ1821" s="24"/>
      <c r="AK1821" s="24"/>
      <c r="AL1821" s="24"/>
      <c r="AM1821" s="24"/>
      <c r="AN1821" s="24"/>
      <c r="AO1821" s="24"/>
      <c r="AP1821" s="24"/>
      <c r="AQ1821" s="24"/>
      <c r="AR1821" s="24"/>
      <c r="AS1821" s="24"/>
      <c r="AT1821" s="24"/>
      <c r="AU1821" s="24"/>
      <c r="AV1821" s="24"/>
      <c r="AW1821" s="24"/>
      <c r="AX1821" s="24"/>
    </row>
    <row r="1822" ht="15.75" customHeight="1">
      <c r="A1822" s="24"/>
      <c r="B1822" s="24"/>
      <c r="C1822" s="28"/>
      <c r="D1822" s="28"/>
      <c r="E1822" s="28"/>
      <c r="F1822" s="28"/>
      <c r="G1822" s="28"/>
      <c r="H1822" s="28"/>
      <c r="I1822" s="28"/>
      <c r="J1822" s="28"/>
      <c r="K1822" s="28"/>
      <c r="L1822" s="28"/>
      <c r="M1822" s="28"/>
      <c r="N1822" s="28"/>
      <c r="O1822" s="24"/>
      <c r="P1822" s="24"/>
      <c r="Q1822" s="24"/>
      <c r="R1822" s="24"/>
      <c r="S1822" s="24"/>
      <c r="T1822" s="24"/>
      <c r="U1822" s="24"/>
      <c r="V1822" s="24"/>
      <c r="W1822" s="24"/>
      <c r="X1822" s="24"/>
      <c r="Y1822" s="24"/>
      <c r="Z1822" s="24"/>
      <c r="AA1822" s="24"/>
      <c r="AB1822" s="24"/>
      <c r="AC1822" s="24"/>
      <c r="AD1822" s="24"/>
      <c r="AE1822" s="24"/>
      <c r="AF1822" s="24"/>
      <c r="AG1822" s="24"/>
      <c r="AH1822" s="24"/>
      <c r="AI1822" s="24"/>
      <c r="AJ1822" s="24"/>
      <c r="AK1822" s="24"/>
      <c r="AL1822" s="24"/>
      <c r="AM1822" s="24"/>
      <c r="AN1822" s="24"/>
      <c r="AO1822" s="24"/>
      <c r="AP1822" s="24"/>
      <c r="AQ1822" s="24"/>
      <c r="AR1822" s="24"/>
      <c r="AS1822" s="24"/>
      <c r="AT1822" s="24"/>
      <c r="AU1822" s="24"/>
      <c r="AV1822" s="24"/>
      <c r="AW1822" s="24"/>
      <c r="AX1822" s="24"/>
    </row>
    <row r="1823" ht="15.75" customHeight="1">
      <c r="A1823" s="24"/>
      <c r="B1823" s="24"/>
      <c r="C1823" s="28"/>
      <c r="D1823" s="28"/>
      <c r="E1823" s="28"/>
      <c r="F1823" s="28"/>
      <c r="G1823" s="28"/>
      <c r="H1823" s="28"/>
      <c r="I1823" s="28"/>
      <c r="J1823" s="28"/>
      <c r="K1823" s="28"/>
      <c r="L1823" s="28"/>
      <c r="M1823" s="28"/>
      <c r="N1823" s="28"/>
      <c r="O1823" s="24"/>
      <c r="P1823" s="24"/>
      <c r="Q1823" s="24"/>
      <c r="R1823" s="24"/>
      <c r="S1823" s="24"/>
      <c r="T1823" s="24"/>
      <c r="U1823" s="24"/>
      <c r="V1823" s="24"/>
      <c r="W1823" s="24"/>
      <c r="X1823" s="24"/>
      <c r="Y1823" s="24"/>
      <c r="Z1823" s="24"/>
      <c r="AA1823" s="24"/>
      <c r="AB1823" s="24"/>
      <c r="AC1823" s="24"/>
      <c r="AD1823" s="24"/>
      <c r="AE1823" s="24"/>
      <c r="AF1823" s="24"/>
      <c r="AG1823" s="24"/>
      <c r="AH1823" s="24"/>
      <c r="AI1823" s="24"/>
      <c r="AJ1823" s="24"/>
      <c r="AK1823" s="24"/>
      <c r="AL1823" s="24"/>
      <c r="AM1823" s="24"/>
      <c r="AN1823" s="24"/>
      <c r="AO1823" s="24"/>
      <c r="AP1823" s="24"/>
      <c r="AQ1823" s="24"/>
      <c r="AR1823" s="24"/>
      <c r="AS1823" s="24"/>
      <c r="AT1823" s="24"/>
      <c r="AU1823" s="24"/>
      <c r="AV1823" s="24"/>
      <c r="AW1823" s="24"/>
      <c r="AX1823" s="24"/>
    </row>
    <row r="1824" ht="15.75" customHeight="1">
      <c r="A1824" s="24"/>
      <c r="B1824" s="24"/>
      <c r="C1824" s="28"/>
      <c r="D1824" s="28"/>
      <c r="E1824" s="28"/>
      <c r="F1824" s="28"/>
      <c r="G1824" s="28"/>
      <c r="H1824" s="28"/>
      <c r="I1824" s="28"/>
      <c r="J1824" s="28"/>
      <c r="K1824" s="28"/>
      <c r="L1824" s="28"/>
      <c r="M1824" s="28"/>
      <c r="N1824" s="28"/>
      <c r="O1824" s="24"/>
      <c r="P1824" s="24"/>
      <c r="Q1824" s="24"/>
      <c r="R1824" s="24"/>
      <c r="S1824" s="24"/>
      <c r="T1824" s="24"/>
      <c r="U1824" s="24"/>
      <c r="V1824" s="24"/>
      <c r="W1824" s="24"/>
      <c r="X1824" s="24"/>
      <c r="Y1824" s="24"/>
      <c r="Z1824" s="24"/>
      <c r="AA1824" s="24"/>
      <c r="AB1824" s="24"/>
      <c r="AC1824" s="24"/>
      <c r="AD1824" s="24"/>
      <c r="AE1824" s="24"/>
      <c r="AF1824" s="24"/>
      <c r="AG1824" s="24"/>
      <c r="AH1824" s="24"/>
      <c r="AI1824" s="24"/>
      <c r="AJ1824" s="24"/>
      <c r="AK1824" s="24"/>
      <c r="AL1824" s="24"/>
      <c r="AM1824" s="24"/>
      <c r="AN1824" s="24"/>
      <c r="AO1824" s="24"/>
      <c r="AP1824" s="24"/>
      <c r="AQ1824" s="24"/>
      <c r="AR1824" s="24"/>
      <c r="AS1824" s="24"/>
      <c r="AT1824" s="24"/>
      <c r="AU1824" s="24"/>
      <c r="AV1824" s="24"/>
      <c r="AW1824" s="24"/>
      <c r="AX1824" s="24"/>
    </row>
    <row r="1825" ht="15.75" customHeight="1">
      <c r="A1825" s="24"/>
      <c r="B1825" s="24"/>
      <c r="C1825" s="28"/>
      <c r="D1825" s="28"/>
      <c r="E1825" s="28"/>
      <c r="F1825" s="28"/>
      <c r="G1825" s="28"/>
      <c r="H1825" s="28"/>
      <c r="I1825" s="28"/>
      <c r="J1825" s="28"/>
      <c r="K1825" s="28"/>
      <c r="L1825" s="28"/>
      <c r="M1825" s="28"/>
      <c r="N1825" s="28"/>
      <c r="O1825" s="24"/>
      <c r="P1825" s="24"/>
      <c r="Q1825" s="24"/>
      <c r="R1825" s="24"/>
      <c r="S1825" s="24"/>
      <c r="T1825" s="24"/>
      <c r="U1825" s="24"/>
      <c r="V1825" s="24"/>
      <c r="W1825" s="24"/>
      <c r="X1825" s="24"/>
      <c r="Y1825" s="24"/>
      <c r="Z1825" s="24"/>
      <c r="AA1825" s="24"/>
      <c r="AB1825" s="24"/>
      <c r="AC1825" s="24"/>
      <c r="AD1825" s="24"/>
      <c r="AE1825" s="24"/>
      <c r="AF1825" s="24"/>
      <c r="AG1825" s="24"/>
      <c r="AH1825" s="24"/>
      <c r="AI1825" s="24"/>
      <c r="AJ1825" s="24"/>
      <c r="AK1825" s="24"/>
      <c r="AL1825" s="24"/>
      <c r="AM1825" s="24"/>
      <c r="AN1825" s="24"/>
      <c r="AO1825" s="24"/>
      <c r="AP1825" s="24"/>
      <c r="AQ1825" s="24"/>
      <c r="AR1825" s="24"/>
      <c r="AS1825" s="24"/>
      <c r="AT1825" s="24"/>
      <c r="AU1825" s="24"/>
      <c r="AV1825" s="24"/>
      <c r="AW1825" s="24"/>
      <c r="AX1825" s="24"/>
    </row>
    <row r="1826" ht="15.75" customHeight="1">
      <c r="A1826" s="24"/>
      <c r="B1826" s="24"/>
      <c r="C1826" s="28"/>
      <c r="D1826" s="28"/>
      <c r="E1826" s="28"/>
      <c r="F1826" s="28"/>
      <c r="G1826" s="28"/>
      <c r="H1826" s="28"/>
      <c r="I1826" s="28"/>
      <c r="J1826" s="28"/>
      <c r="K1826" s="28"/>
      <c r="L1826" s="28"/>
      <c r="M1826" s="28"/>
      <c r="N1826" s="28"/>
      <c r="O1826" s="24"/>
      <c r="P1826" s="24"/>
      <c r="Q1826" s="24"/>
      <c r="R1826" s="24"/>
      <c r="S1826" s="24"/>
      <c r="T1826" s="24"/>
      <c r="U1826" s="24"/>
      <c r="V1826" s="24"/>
      <c r="W1826" s="24"/>
      <c r="X1826" s="24"/>
      <c r="Y1826" s="24"/>
      <c r="Z1826" s="24"/>
      <c r="AA1826" s="24"/>
      <c r="AB1826" s="24"/>
      <c r="AC1826" s="24"/>
      <c r="AD1826" s="24"/>
      <c r="AE1826" s="24"/>
      <c r="AF1826" s="24"/>
      <c r="AG1826" s="24"/>
      <c r="AH1826" s="24"/>
      <c r="AI1826" s="24"/>
      <c r="AJ1826" s="24"/>
      <c r="AK1826" s="24"/>
      <c r="AL1826" s="24"/>
      <c r="AM1826" s="24"/>
      <c r="AN1826" s="24"/>
      <c r="AO1826" s="24"/>
      <c r="AP1826" s="24"/>
      <c r="AQ1826" s="24"/>
      <c r="AR1826" s="24"/>
      <c r="AS1826" s="24"/>
      <c r="AT1826" s="24"/>
      <c r="AU1826" s="24"/>
      <c r="AV1826" s="24"/>
      <c r="AW1826" s="24"/>
      <c r="AX1826" s="24"/>
    </row>
    <row r="1827" ht="15.75" customHeight="1">
      <c r="A1827" s="24"/>
      <c r="B1827" s="24"/>
      <c r="C1827" s="28"/>
      <c r="D1827" s="28"/>
      <c r="E1827" s="28"/>
      <c r="F1827" s="28"/>
      <c r="G1827" s="28"/>
      <c r="H1827" s="28"/>
      <c r="I1827" s="28"/>
      <c r="J1827" s="28"/>
      <c r="K1827" s="28"/>
      <c r="L1827" s="28"/>
      <c r="M1827" s="28"/>
      <c r="N1827" s="28"/>
      <c r="O1827" s="24"/>
      <c r="P1827" s="24"/>
      <c r="Q1827" s="24"/>
      <c r="R1827" s="24"/>
      <c r="S1827" s="24"/>
      <c r="T1827" s="24"/>
      <c r="U1827" s="24"/>
      <c r="V1827" s="24"/>
      <c r="W1827" s="24"/>
      <c r="X1827" s="24"/>
      <c r="Y1827" s="24"/>
      <c r="Z1827" s="24"/>
      <c r="AA1827" s="24"/>
      <c r="AB1827" s="24"/>
      <c r="AC1827" s="24"/>
      <c r="AD1827" s="24"/>
      <c r="AE1827" s="24"/>
      <c r="AF1827" s="24"/>
      <c r="AG1827" s="24"/>
      <c r="AH1827" s="24"/>
      <c r="AI1827" s="24"/>
      <c r="AJ1827" s="24"/>
      <c r="AK1827" s="24"/>
      <c r="AL1827" s="24"/>
      <c r="AM1827" s="24"/>
      <c r="AN1827" s="24"/>
      <c r="AO1827" s="24"/>
      <c r="AP1827" s="24"/>
      <c r="AQ1827" s="24"/>
      <c r="AR1827" s="24"/>
      <c r="AS1827" s="24"/>
      <c r="AT1827" s="24"/>
      <c r="AU1827" s="24"/>
      <c r="AV1827" s="24"/>
      <c r="AW1827" s="24"/>
      <c r="AX1827" s="24"/>
    </row>
    <row r="1828" ht="15.75" customHeight="1">
      <c r="A1828" s="24"/>
      <c r="B1828" s="24"/>
      <c r="C1828" s="28"/>
      <c r="D1828" s="28"/>
      <c r="E1828" s="28"/>
      <c r="F1828" s="28"/>
      <c r="G1828" s="28"/>
      <c r="H1828" s="28"/>
      <c r="I1828" s="28"/>
      <c r="J1828" s="28"/>
      <c r="K1828" s="28"/>
      <c r="L1828" s="28"/>
      <c r="M1828" s="28"/>
      <c r="N1828" s="28"/>
      <c r="O1828" s="24"/>
      <c r="P1828" s="24"/>
      <c r="Q1828" s="24"/>
      <c r="R1828" s="24"/>
      <c r="S1828" s="24"/>
      <c r="T1828" s="24"/>
      <c r="U1828" s="24"/>
      <c r="V1828" s="24"/>
      <c r="W1828" s="24"/>
      <c r="X1828" s="24"/>
      <c r="Y1828" s="24"/>
      <c r="Z1828" s="24"/>
      <c r="AA1828" s="24"/>
      <c r="AB1828" s="24"/>
      <c r="AC1828" s="24"/>
      <c r="AD1828" s="24"/>
      <c r="AE1828" s="24"/>
      <c r="AF1828" s="24"/>
      <c r="AG1828" s="24"/>
      <c r="AH1828" s="24"/>
      <c r="AI1828" s="24"/>
      <c r="AJ1828" s="24"/>
      <c r="AK1828" s="24"/>
      <c r="AL1828" s="24"/>
      <c r="AM1828" s="24"/>
      <c r="AN1828" s="24"/>
      <c r="AO1828" s="24"/>
      <c r="AP1828" s="24"/>
      <c r="AQ1828" s="24"/>
      <c r="AR1828" s="24"/>
      <c r="AS1828" s="24"/>
      <c r="AT1828" s="24"/>
      <c r="AU1828" s="24"/>
      <c r="AV1828" s="24"/>
      <c r="AW1828" s="24"/>
      <c r="AX1828" s="24"/>
    </row>
    <row r="1829" ht="15.75" customHeight="1">
      <c r="A1829" s="24"/>
      <c r="B1829" s="24"/>
      <c r="C1829" s="28"/>
      <c r="D1829" s="28"/>
      <c r="E1829" s="28"/>
      <c r="F1829" s="28"/>
      <c r="G1829" s="28"/>
      <c r="H1829" s="28"/>
      <c r="I1829" s="28"/>
      <c r="J1829" s="28"/>
      <c r="K1829" s="28"/>
      <c r="L1829" s="28"/>
      <c r="M1829" s="28"/>
      <c r="N1829" s="28"/>
      <c r="O1829" s="24"/>
      <c r="P1829" s="24"/>
      <c r="Q1829" s="24"/>
      <c r="R1829" s="24"/>
      <c r="S1829" s="24"/>
      <c r="T1829" s="24"/>
      <c r="U1829" s="24"/>
      <c r="V1829" s="24"/>
      <c r="W1829" s="24"/>
      <c r="X1829" s="24"/>
      <c r="Y1829" s="24"/>
      <c r="Z1829" s="24"/>
      <c r="AA1829" s="24"/>
      <c r="AB1829" s="24"/>
      <c r="AC1829" s="24"/>
      <c r="AD1829" s="24"/>
      <c r="AE1829" s="24"/>
      <c r="AF1829" s="24"/>
      <c r="AG1829" s="24"/>
      <c r="AH1829" s="24"/>
      <c r="AI1829" s="24"/>
      <c r="AJ1829" s="24"/>
      <c r="AK1829" s="24"/>
      <c r="AL1829" s="24"/>
      <c r="AM1829" s="24"/>
      <c r="AN1829" s="24"/>
      <c r="AO1829" s="24"/>
      <c r="AP1829" s="24"/>
      <c r="AQ1829" s="24"/>
      <c r="AR1829" s="24"/>
      <c r="AS1829" s="24"/>
      <c r="AT1829" s="24"/>
      <c r="AU1829" s="24"/>
      <c r="AV1829" s="24"/>
      <c r="AW1829" s="24"/>
      <c r="AX1829" s="24"/>
    </row>
    <row r="1830" ht="15.75" customHeight="1">
      <c r="A1830" s="24"/>
      <c r="B1830" s="24"/>
      <c r="C1830" s="28"/>
      <c r="D1830" s="28"/>
      <c r="E1830" s="28"/>
      <c r="F1830" s="28"/>
      <c r="G1830" s="28"/>
      <c r="H1830" s="28"/>
      <c r="I1830" s="28"/>
      <c r="J1830" s="28"/>
      <c r="K1830" s="28"/>
      <c r="L1830" s="28"/>
      <c r="M1830" s="28"/>
      <c r="N1830" s="28"/>
      <c r="O1830" s="24"/>
      <c r="P1830" s="24"/>
      <c r="Q1830" s="24"/>
      <c r="R1830" s="24"/>
      <c r="S1830" s="24"/>
      <c r="T1830" s="24"/>
      <c r="U1830" s="24"/>
      <c r="V1830" s="24"/>
      <c r="W1830" s="24"/>
      <c r="X1830" s="24"/>
      <c r="Y1830" s="24"/>
      <c r="Z1830" s="24"/>
      <c r="AA1830" s="24"/>
      <c r="AB1830" s="24"/>
      <c r="AC1830" s="24"/>
      <c r="AD1830" s="24"/>
      <c r="AE1830" s="24"/>
      <c r="AF1830" s="24"/>
      <c r="AG1830" s="24"/>
      <c r="AH1830" s="24"/>
      <c r="AI1830" s="24"/>
      <c r="AJ1830" s="24"/>
      <c r="AK1830" s="24"/>
      <c r="AL1830" s="24"/>
      <c r="AM1830" s="24"/>
      <c r="AN1830" s="24"/>
      <c r="AO1830" s="24"/>
      <c r="AP1830" s="24"/>
      <c r="AQ1830" s="24"/>
      <c r="AR1830" s="24"/>
      <c r="AS1830" s="24"/>
      <c r="AT1830" s="24"/>
      <c r="AU1830" s="24"/>
      <c r="AV1830" s="24"/>
      <c r="AW1830" s="24"/>
      <c r="AX1830" s="24"/>
    </row>
    <row r="1831" ht="15.75" customHeight="1">
      <c r="A1831" s="24"/>
      <c r="B1831" s="24"/>
      <c r="C1831" s="28"/>
      <c r="D1831" s="28"/>
      <c r="E1831" s="28"/>
      <c r="F1831" s="28"/>
      <c r="G1831" s="28"/>
      <c r="H1831" s="28"/>
      <c r="I1831" s="28"/>
      <c r="J1831" s="28"/>
      <c r="K1831" s="28"/>
      <c r="L1831" s="28"/>
      <c r="M1831" s="28"/>
      <c r="N1831" s="28"/>
      <c r="O1831" s="24"/>
      <c r="P1831" s="24"/>
      <c r="Q1831" s="24"/>
      <c r="R1831" s="24"/>
      <c r="S1831" s="24"/>
      <c r="T1831" s="24"/>
      <c r="U1831" s="24"/>
      <c r="V1831" s="24"/>
      <c r="W1831" s="24"/>
      <c r="X1831" s="24"/>
      <c r="Y1831" s="24"/>
      <c r="Z1831" s="24"/>
      <c r="AA1831" s="24"/>
      <c r="AB1831" s="24"/>
      <c r="AC1831" s="24"/>
      <c r="AD1831" s="24"/>
      <c r="AE1831" s="24"/>
      <c r="AF1831" s="24"/>
      <c r="AG1831" s="24"/>
      <c r="AH1831" s="24"/>
      <c r="AI1831" s="24"/>
      <c r="AJ1831" s="24"/>
      <c r="AK1831" s="24"/>
      <c r="AL1831" s="24"/>
      <c r="AM1831" s="24"/>
      <c r="AN1831" s="24"/>
      <c r="AO1831" s="24"/>
      <c r="AP1831" s="24"/>
      <c r="AQ1831" s="24"/>
      <c r="AR1831" s="24"/>
      <c r="AS1831" s="24"/>
      <c r="AT1831" s="24"/>
      <c r="AU1831" s="24"/>
      <c r="AV1831" s="24"/>
      <c r="AW1831" s="24"/>
      <c r="AX1831" s="24"/>
    </row>
    <row r="1832" ht="15.75" customHeight="1">
      <c r="A1832" s="24"/>
      <c r="B1832" s="24"/>
      <c r="C1832" s="28"/>
      <c r="D1832" s="28"/>
      <c r="E1832" s="28"/>
      <c r="F1832" s="28"/>
      <c r="G1832" s="28"/>
      <c r="H1832" s="28"/>
      <c r="I1832" s="28"/>
      <c r="J1832" s="28"/>
      <c r="K1832" s="28"/>
      <c r="L1832" s="28"/>
      <c r="M1832" s="28"/>
      <c r="N1832" s="28"/>
      <c r="O1832" s="24"/>
      <c r="P1832" s="24"/>
      <c r="Q1832" s="24"/>
      <c r="R1832" s="24"/>
      <c r="S1832" s="24"/>
      <c r="T1832" s="24"/>
      <c r="U1832" s="24"/>
      <c r="V1832" s="24"/>
      <c r="W1832" s="24"/>
      <c r="X1832" s="24"/>
      <c r="Y1832" s="24"/>
      <c r="Z1832" s="24"/>
      <c r="AA1832" s="24"/>
      <c r="AB1832" s="24"/>
      <c r="AC1832" s="24"/>
      <c r="AD1832" s="24"/>
      <c r="AE1832" s="24"/>
      <c r="AF1832" s="24"/>
      <c r="AG1832" s="24"/>
      <c r="AH1832" s="24"/>
      <c r="AI1832" s="24"/>
      <c r="AJ1832" s="24"/>
      <c r="AK1832" s="24"/>
      <c r="AL1832" s="24"/>
      <c r="AM1832" s="24"/>
      <c r="AN1832" s="24"/>
      <c r="AO1832" s="24"/>
      <c r="AP1832" s="24"/>
      <c r="AQ1832" s="24"/>
      <c r="AR1832" s="24"/>
      <c r="AS1832" s="24"/>
      <c r="AT1832" s="24"/>
      <c r="AU1832" s="24"/>
      <c r="AV1832" s="24"/>
      <c r="AW1832" s="24"/>
      <c r="AX1832" s="24"/>
    </row>
    <row r="1833" ht="15.75" customHeight="1">
      <c r="A1833" s="24"/>
      <c r="B1833" s="24"/>
      <c r="C1833" s="28"/>
      <c r="D1833" s="28"/>
      <c r="E1833" s="28"/>
      <c r="F1833" s="28"/>
      <c r="G1833" s="28"/>
      <c r="H1833" s="28"/>
      <c r="I1833" s="28"/>
      <c r="J1833" s="28"/>
      <c r="K1833" s="28"/>
      <c r="L1833" s="28"/>
      <c r="M1833" s="28"/>
      <c r="N1833" s="28"/>
      <c r="O1833" s="24"/>
      <c r="P1833" s="24"/>
      <c r="Q1833" s="24"/>
      <c r="R1833" s="24"/>
      <c r="S1833" s="24"/>
      <c r="T1833" s="24"/>
      <c r="U1833" s="24"/>
      <c r="V1833" s="24"/>
      <c r="W1833" s="24"/>
      <c r="X1833" s="24"/>
      <c r="Y1833" s="24"/>
      <c r="Z1833" s="24"/>
      <c r="AA1833" s="24"/>
      <c r="AB1833" s="24"/>
      <c r="AC1833" s="24"/>
      <c r="AD1833" s="24"/>
      <c r="AE1833" s="24"/>
      <c r="AF1833" s="24"/>
      <c r="AG1833" s="24"/>
      <c r="AH1833" s="24"/>
      <c r="AI1833" s="24"/>
      <c r="AJ1833" s="24"/>
      <c r="AK1833" s="24"/>
      <c r="AL1833" s="24"/>
      <c r="AM1833" s="24"/>
      <c r="AN1833" s="24"/>
      <c r="AO1833" s="24"/>
      <c r="AP1833" s="24"/>
      <c r="AQ1833" s="24"/>
      <c r="AR1833" s="24"/>
      <c r="AS1833" s="24"/>
      <c r="AT1833" s="24"/>
      <c r="AU1833" s="24"/>
      <c r="AV1833" s="24"/>
      <c r="AW1833" s="24"/>
      <c r="AX1833" s="24"/>
    </row>
    <row r="1834" ht="15.75" customHeight="1">
      <c r="A1834" s="24"/>
      <c r="B1834" s="24"/>
      <c r="C1834" s="28"/>
      <c r="D1834" s="28"/>
      <c r="E1834" s="28"/>
      <c r="F1834" s="28"/>
      <c r="G1834" s="28"/>
      <c r="H1834" s="28"/>
      <c r="I1834" s="28"/>
      <c r="J1834" s="28"/>
      <c r="K1834" s="28"/>
      <c r="L1834" s="28"/>
      <c r="M1834" s="28"/>
      <c r="N1834" s="28"/>
      <c r="O1834" s="24"/>
      <c r="P1834" s="24"/>
      <c r="Q1834" s="24"/>
      <c r="R1834" s="24"/>
      <c r="S1834" s="24"/>
      <c r="T1834" s="24"/>
      <c r="U1834" s="24"/>
      <c r="V1834" s="24"/>
      <c r="W1834" s="24"/>
      <c r="X1834" s="24"/>
      <c r="Y1834" s="24"/>
      <c r="Z1834" s="24"/>
      <c r="AA1834" s="24"/>
      <c r="AB1834" s="24"/>
      <c r="AC1834" s="24"/>
      <c r="AD1834" s="24"/>
      <c r="AE1834" s="24"/>
      <c r="AF1834" s="24"/>
      <c r="AG1834" s="24"/>
      <c r="AH1834" s="24"/>
      <c r="AI1834" s="24"/>
      <c r="AJ1834" s="24"/>
      <c r="AK1834" s="24"/>
      <c r="AL1834" s="24"/>
      <c r="AM1834" s="24"/>
      <c r="AN1834" s="24"/>
      <c r="AO1834" s="24"/>
      <c r="AP1834" s="24"/>
      <c r="AQ1834" s="24"/>
      <c r="AR1834" s="24"/>
      <c r="AS1834" s="24"/>
      <c r="AT1834" s="24"/>
      <c r="AU1834" s="24"/>
      <c r="AV1834" s="24"/>
      <c r="AW1834" s="24"/>
      <c r="AX1834" s="24"/>
    </row>
    <row r="1835" ht="15.75" customHeight="1">
      <c r="A1835" s="24"/>
      <c r="B1835" s="24"/>
      <c r="C1835" s="28"/>
      <c r="D1835" s="28"/>
      <c r="E1835" s="28"/>
      <c r="F1835" s="28"/>
      <c r="G1835" s="28"/>
      <c r="H1835" s="28"/>
      <c r="I1835" s="28"/>
      <c r="J1835" s="28"/>
      <c r="K1835" s="28"/>
      <c r="L1835" s="28"/>
      <c r="M1835" s="28"/>
      <c r="N1835" s="28"/>
      <c r="O1835" s="24"/>
      <c r="P1835" s="24"/>
      <c r="Q1835" s="24"/>
      <c r="R1835" s="24"/>
      <c r="S1835" s="24"/>
      <c r="T1835" s="24"/>
      <c r="U1835" s="24"/>
      <c r="V1835" s="24"/>
      <c r="W1835" s="24"/>
      <c r="X1835" s="24"/>
      <c r="Y1835" s="24"/>
      <c r="Z1835" s="24"/>
      <c r="AA1835" s="24"/>
      <c r="AB1835" s="24"/>
      <c r="AC1835" s="24"/>
      <c r="AD1835" s="24"/>
      <c r="AE1835" s="24"/>
      <c r="AF1835" s="24"/>
      <c r="AG1835" s="24"/>
      <c r="AH1835" s="24"/>
      <c r="AI1835" s="24"/>
      <c r="AJ1835" s="24"/>
      <c r="AK1835" s="24"/>
      <c r="AL1835" s="24"/>
      <c r="AM1835" s="24"/>
      <c r="AN1835" s="24"/>
      <c r="AO1835" s="24"/>
      <c r="AP1835" s="24"/>
      <c r="AQ1835" s="24"/>
      <c r="AR1835" s="24"/>
      <c r="AS1835" s="24"/>
      <c r="AT1835" s="24"/>
      <c r="AU1835" s="24"/>
      <c r="AV1835" s="24"/>
      <c r="AW1835" s="24"/>
      <c r="AX1835" s="24"/>
    </row>
    <row r="1836" ht="15.75" customHeight="1">
      <c r="A1836" s="24"/>
      <c r="B1836" s="24"/>
      <c r="C1836" s="28"/>
      <c r="D1836" s="28"/>
      <c r="E1836" s="28"/>
      <c r="F1836" s="28"/>
      <c r="G1836" s="28"/>
      <c r="H1836" s="28"/>
      <c r="I1836" s="28"/>
      <c r="J1836" s="28"/>
      <c r="K1836" s="28"/>
      <c r="L1836" s="28"/>
      <c r="M1836" s="28"/>
      <c r="N1836" s="28"/>
      <c r="O1836" s="24"/>
      <c r="P1836" s="24"/>
      <c r="Q1836" s="24"/>
      <c r="R1836" s="24"/>
      <c r="S1836" s="24"/>
      <c r="T1836" s="24"/>
      <c r="U1836" s="24"/>
      <c r="V1836" s="24"/>
      <c r="W1836" s="24"/>
      <c r="X1836" s="24"/>
      <c r="Y1836" s="24"/>
      <c r="Z1836" s="24"/>
      <c r="AA1836" s="24"/>
      <c r="AB1836" s="24"/>
      <c r="AC1836" s="24"/>
      <c r="AD1836" s="24"/>
      <c r="AE1836" s="24"/>
      <c r="AF1836" s="24"/>
      <c r="AG1836" s="24"/>
      <c r="AH1836" s="24"/>
      <c r="AI1836" s="24"/>
      <c r="AJ1836" s="24"/>
      <c r="AK1836" s="24"/>
      <c r="AL1836" s="24"/>
      <c r="AM1836" s="24"/>
      <c r="AN1836" s="24"/>
      <c r="AO1836" s="24"/>
      <c r="AP1836" s="24"/>
      <c r="AQ1836" s="24"/>
      <c r="AR1836" s="24"/>
      <c r="AS1836" s="24"/>
      <c r="AT1836" s="24"/>
      <c r="AU1836" s="24"/>
      <c r="AV1836" s="24"/>
      <c r="AW1836" s="24"/>
      <c r="AX1836" s="24"/>
    </row>
    <row r="1837" ht="15.75" customHeight="1">
      <c r="A1837" s="24"/>
      <c r="B1837" s="24"/>
      <c r="C1837" s="28"/>
      <c r="D1837" s="28"/>
      <c r="E1837" s="28"/>
      <c r="F1837" s="28"/>
      <c r="G1837" s="28"/>
      <c r="H1837" s="28"/>
      <c r="I1837" s="28"/>
      <c r="J1837" s="28"/>
      <c r="K1837" s="28"/>
      <c r="L1837" s="28"/>
      <c r="M1837" s="28"/>
      <c r="N1837" s="28"/>
      <c r="O1837" s="24"/>
      <c r="P1837" s="24"/>
      <c r="Q1837" s="24"/>
      <c r="R1837" s="24"/>
      <c r="S1837" s="24"/>
      <c r="T1837" s="24"/>
      <c r="U1837" s="24"/>
      <c r="V1837" s="24"/>
      <c r="W1837" s="24"/>
      <c r="X1837" s="24"/>
      <c r="Y1837" s="24"/>
      <c r="Z1837" s="24"/>
      <c r="AA1837" s="24"/>
      <c r="AB1837" s="24"/>
      <c r="AC1837" s="24"/>
      <c r="AD1837" s="24"/>
      <c r="AE1837" s="24"/>
      <c r="AF1837" s="24"/>
      <c r="AG1837" s="24"/>
      <c r="AH1837" s="24"/>
      <c r="AI1837" s="24"/>
      <c r="AJ1837" s="24"/>
      <c r="AK1837" s="24"/>
      <c r="AL1837" s="24"/>
      <c r="AM1837" s="24"/>
      <c r="AN1837" s="24"/>
      <c r="AO1837" s="24"/>
      <c r="AP1837" s="24"/>
      <c r="AQ1837" s="24"/>
      <c r="AR1837" s="24"/>
      <c r="AS1837" s="24"/>
      <c r="AT1837" s="24"/>
      <c r="AU1837" s="24"/>
      <c r="AV1837" s="24"/>
      <c r="AW1837" s="24"/>
      <c r="AX1837" s="24"/>
    </row>
    <row r="1838" ht="15.75" customHeight="1">
      <c r="A1838" s="24"/>
      <c r="B1838" s="24"/>
      <c r="C1838" s="28"/>
      <c r="D1838" s="28"/>
      <c r="E1838" s="28"/>
      <c r="F1838" s="28"/>
      <c r="G1838" s="28"/>
      <c r="H1838" s="28"/>
      <c r="I1838" s="28"/>
      <c r="J1838" s="28"/>
      <c r="K1838" s="28"/>
      <c r="L1838" s="28"/>
      <c r="M1838" s="28"/>
      <c r="N1838" s="28"/>
      <c r="O1838" s="24"/>
      <c r="P1838" s="24"/>
      <c r="Q1838" s="24"/>
      <c r="R1838" s="24"/>
      <c r="S1838" s="24"/>
      <c r="T1838" s="24"/>
      <c r="U1838" s="24"/>
      <c r="V1838" s="24"/>
      <c r="W1838" s="24"/>
      <c r="X1838" s="24"/>
      <c r="Y1838" s="24"/>
      <c r="Z1838" s="24"/>
      <c r="AA1838" s="24"/>
      <c r="AB1838" s="24"/>
      <c r="AC1838" s="24"/>
      <c r="AD1838" s="24"/>
      <c r="AE1838" s="24"/>
      <c r="AF1838" s="24"/>
      <c r="AG1838" s="24"/>
      <c r="AH1838" s="24"/>
      <c r="AI1838" s="24"/>
      <c r="AJ1838" s="24"/>
      <c r="AK1838" s="24"/>
      <c r="AL1838" s="24"/>
      <c r="AM1838" s="24"/>
      <c r="AN1838" s="24"/>
      <c r="AO1838" s="24"/>
      <c r="AP1838" s="24"/>
      <c r="AQ1838" s="24"/>
      <c r="AR1838" s="24"/>
      <c r="AS1838" s="24"/>
      <c r="AT1838" s="24"/>
      <c r="AU1838" s="24"/>
      <c r="AV1838" s="24"/>
      <c r="AW1838" s="24"/>
      <c r="AX1838" s="24"/>
    </row>
    <row r="1839" ht="15.75" customHeight="1">
      <c r="A1839" s="24"/>
      <c r="B1839" s="24"/>
      <c r="C1839" s="28"/>
      <c r="D1839" s="28"/>
      <c r="E1839" s="28"/>
      <c r="F1839" s="28"/>
      <c r="G1839" s="28"/>
      <c r="H1839" s="28"/>
      <c r="I1839" s="28"/>
      <c r="J1839" s="28"/>
      <c r="K1839" s="28"/>
      <c r="L1839" s="28"/>
      <c r="M1839" s="28"/>
      <c r="N1839" s="28"/>
      <c r="O1839" s="24"/>
      <c r="P1839" s="24"/>
      <c r="Q1839" s="24"/>
      <c r="R1839" s="24"/>
      <c r="S1839" s="24"/>
      <c r="T1839" s="24"/>
      <c r="U1839" s="24"/>
      <c r="V1839" s="24"/>
      <c r="W1839" s="24"/>
      <c r="X1839" s="24"/>
      <c r="Y1839" s="24"/>
      <c r="Z1839" s="24"/>
      <c r="AA1839" s="24"/>
      <c r="AB1839" s="24"/>
      <c r="AC1839" s="24"/>
      <c r="AD1839" s="24"/>
      <c r="AE1839" s="24"/>
      <c r="AF1839" s="24"/>
      <c r="AG1839" s="24"/>
      <c r="AH1839" s="24"/>
      <c r="AI1839" s="24"/>
      <c r="AJ1839" s="24"/>
      <c r="AK1839" s="24"/>
      <c r="AL1839" s="24"/>
      <c r="AM1839" s="24"/>
      <c r="AN1839" s="24"/>
      <c r="AO1839" s="24"/>
      <c r="AP1839" s="24"/>
      <c r="AQ1839" s="24"/>
      <c r="AR1839" s="24"/>
      <c r="AS1839" s="24"/>
      <c r="AT1839" s="24"/>
      <c r="AU1839" s="24"/>
      <c r="AV1839" s="24"/>
      <c r="AW1839" s="24"/>
      <c r="AX1839" s="24"/>
    </row>
    <row r="1840" ht="15.75" customHeight="1">
      <c r="A1840" s="24"/>
      <c r="B1840" s="24"/>
      <c r="C1840" s="28"/>
      <c r="D1840" s="28"/>
      <c r="E1840" s="28"/>
      <c r="F1840" s="28"/>
      <c r="G1840" s="28"/>
      <c r="H1840" s="28"/>
      <c r="I1840" s="28"/>
      <c r="J1840" s="28"/>
      <c r="K1840" s="28"/>
      <c r="L1840" s="28"/>
      <c r="M1840" s="28"/>
      <c r="N1840" s="28"/>
      <c r="O1840" s="24"/>
      <c r="P1840" s="24"/>
      <c r="Q1840" s="24"/>
      <c r="R1840" s="24"/>
      <c r="S1840" s="24"/>
      <c r="T1840" s="24"/>
      <c r="U1840" s="24"/>
      <c r="V1840" s="24"/>
      <c r="W1840" s="24"/>
      <c r="X1840" s="24"/>
      <c r="Y1840" s="24"/>
      <c r="Z1840" s="24"/>
      <c r="AA1840" s="24"/>
      <c r="AB1840" s="24"/>
      <c r="AC1840" s="24"/>
      <c r="AD1840" s="24"/>
      <c r="AE1840" s="24"/>
      <c r="AF1840" s="24"/>
      <c r="AG1840" s="24"/>
      <c r="AH1840" s="24"/>
      <c r="AI1840" s="24"/>
      <c r="AJ1840" s="24"/>
      <c r="AK1840" s="24"/>
      <c r="AL1840" s="24"/>
      <c r="AM1840" s="24"/>
      <c r="AN1840" s="24"/>
      <c r="AO1840" s="24"/>
      <c r="AP1840" s="24"/>
      <c r="AQ1840" s="24"/>
      <c r="AR1840" s="24"/>
      <c r="AS1840" s="24"/>
      <c r="AT1840" s="24"/>
      <c r="AU1840" s="24"/>
      <c r="AV1840" s="24"/>
      <c r="AW1840" s="24"/>
      <c r="AX1840" s="24"/>
    </row>
    <row r="1841" ht="15.75" customHeight="1">
      <c r="A1841" s="24"/>
      <c r="B1841" s="24"/>
      <c r="C1841" s="28"/>
      <c r="D1841" s="28"/>
      <c r="E1841" s="28"/>
      <c r="F1841" s="28"/>
      <c r="G1841" s="28"/>
      <c r="H1841" s="28"/>
      <c r="I1841" s="28"/>
      <c r="J1841" s="28"/>
      <c r="K1841" s="28"/>
      <c r="L1841" s="28"/>
      <c r="M1841" s="28"/>
      <c r="N1841" s="28"/>
      <c r="O1841" s="24"/>
      <c r="P1841" s="24"/>
      <c r="Q1841" s="24"/>
      <c r="R1841" s="24"/>
      <c r="S1841" s="24"/>
      <c r="T1841" s="24"/>
      <c r="U1841" s="24"/>
      <c r="V1841" s="24"/>
      <c r="W1841" s="24"/>
      <c r="X1841" s="24"/>
      <c r="Y1841" s="24"/>
      <c r="Z1841" s="24"/>
      <c r="AA1841" s="24"/>
      <c r="AB1841" s="24"/>
      <c r="AC1841" s="24"/>
      <c r="AD1841" s="24"/>
      <c r="AE1841" s="24"/>
      <c r="AF1841" s="24"/>
      <c r="AG1841" s="24"/>
      <c r="AH1841" s="24"/>
      <c r="AI1841" s="24"/>
      <c r="AJ1841" s="24"/>
      <c r="AK1841" s="24"/>
      <c r="AL1841" s="24"/>
      <c r="AM1841" s="24"/>
      <c r="AN1841" s="24"/>
      <c r="AO1841" s="24"/>
      <c r="AP1841" s="24"/>
      <c r="AQ1841" s="24"/>
      <c r="AR1841" s="24"/>
      <c r="AS1841" s="24"/>
      <c r="AT1841" s="24"/>
      <c r="AU1841" s="24"/>
      <c r="AV1841" s="24"/>
      <c r="AW1841" s="24"/>
      <c r="AX1841" s="24"/>
    </row>
    <row r="1842" ht="15.75" customHeight="1">
      <c r="A1842" s="24"/>
      <c r="B1842" s="24"/>
      <c r="C1842" s="28"/>
      <c r="D1842" s="28"/>
      <c r="E1842" s="28"/>
      <c r="F1842" s="28"/>
      <c r="G1842" s="28"/>
      <c r="H1842" s="28"/>
      <c r="I1842" s="28"/>
      <c r="J1842" s="28"/>
      <c r="K1842" s="28"/>
      <c r="L1842" s="28"/>
      <c r="M1842" s="28"/>
      <c r="N1842" s="28"/>
      <c r="O1842" s="24"/>
      <c r="P1842" s="24"/>
      <c r="Q1842" s="24"/>
      <c r="R1842" s="24"/>
      <c r="S1842" s="24"/>
      <c r="T1842" s="24"/>
      <c r="U1842" s="24"/>
      <c r="V1842" s="24"/>
      <c r="W1842" s="24"/>
      <c r="X1842" s="24"/>
      <c r="Y1842" s="24"/>
      <c r="Z1842" s="24"/>
      <c r="AA1842" s="24"/>
      <c r="AB1842" s="24"/>
      <c r="AC1842" s="24"/>
      <c r="AD1842" s="24"/>
      <c r="AE1842" s="24"/>
      <c r="AF1842" s="24"/>
      <c r="AG1842" s="24"/>
      <c r="AH1842" s="24"/>
      <c r="AI1842" s="24"/>
      <c r="AJ1842" s="24"/>
      <c r="AK1842" s="24"/>
      <c r="AL1842" s="24"/>
      <c r="AM1842" s="24"/>
      <c r="AN1842" s="24"/>
      <c r="AO1842" s="24"/>
      <c r="AP1842" s="24"/>
      <c r="AQ1842" s="24"/>
      <c r="AR1842" s="24"/>
      <c r="AS1842" s="24"/>
      <c r="AT1842" s="24"/>
      <c r="AU1842" s="24"/>
      <c r="AV1842" s="24"/>
      <c r="AW1842" s="24"/>
      <c r="AX1842" s="24"/>
    </row>
    <row r="1843" ht="15.75" customHeight="1">
      <c r="A1843" s="24"/>
      <c r="B1843" s="24"/>
      <c r="C1843" s="28"/>
      <c r="D1843" s="28"/>
      <c r="E1843" s="28"/>
      <c r="F1843" s="28"/>
      <c r="G1843" s="28"/>
      <c r="H1843" s="28"/>
      <c r="I1843" s="28"/>
      <c r="J1843" s="28"/>
      <c r="K1843" s="28"/>
      <c r="L1843" s="28"/>
      <c r="M1843" s="28"/>
      <c r="N1843" s="28"/>
      <c r="O1843" s="24"/>
      <c r="P1843" s="24"/>
      <c r="Q1843" s="24"/>
      <c r="R1843" s="24"/>
      <c r="S1843" s="24"/>
      <c r="T1843" s="24"/>
      <c r="U1843" s="24"/>
      <c r="V1843" s="24"/>
      <c r="W1843" s="24"/>
      <c r="X1843" s="24"/>
      <c r="Y1843" s="24"/>
      <c r="Z1843" s="24"/>
      <c r="AA1843" s="24"/>
      <c r="AB1843" s="24"/>
      <c r="AC1843" s="24"/>
      <c r="AD1843" s="24"/>
      <c r="AE1843" s="24"/>
      <c r="AF1843" s="24"/>
      <c r="AG1843" s="24"/>
      <c r="AH1843" s="24"/>
      <c r="AI1843" s="24"/>
      <c r="AJ1843" s="24"/>
      <c r="AK1843" s="24"/>
      <c r="AL1843" s="24"/>
      <c r="AM1843" s="24"/>
      <c r="AN1843" s="24"/>
      <c r="AO1843" s="24"/>
      <c r="AP1843" s="24"/>
      <c r="AQ1843" s="24"/>
      <c r="AR1843" s="24"/>
      <c r="AS1843" s="24"/>
      <c r="AT1843" s="24"/>
      <c r="AU1843" s="24"/>
      <c r="AV1843" s="24"/>
      <c r="AW1843" s="24"/>
      <c r="AX1843" s="24"/>
    </row>
    <row r="1844" ht="15.75" customHeight="1">
      <c r="A1844" s="24"/>
      <c r="B1844" s="24"/>
      <c r="C1844" s="28"/>
      <c r="D1844" s="28"/>
      <c r="E1844" s="28"/>
      <c r="F1844" s="28"/>
      <c r="G1844" s="28"/>
      <c r="H1844" s="28"/>
      <c r="I1844" s="28"/>
      <c r="J1844" s="28"/>
      <c r="K1844" s="28"/>
      <c r="L1844" s="28"/>
      <c r="M1844" s="28"/>
      <c r="N1844" s="28"/>
      <c r="O1844" s="24"/>
      <c r="P1844" s="24"/>
      <c r="Q1844" s="24"/>
      <c r="R1844" s="24"/>
      <c r="S1844" s="24"/>
      <c r="T1844" s="24"/>
      <c r="U1844" s="24"/>
      <c r="V1844" s="24"/>
      <c r="W1844" s="24"/>
      <c r="X1844" s="24"/>
      <c r="Y1844" s="24"/>
      <c r="Z1844" s="24"/>
      <c r="AA1844" s="24"/>
      <c r="AB1844" s="24"/>
      <c r="AC1844" s="24"/>
      <c r="AD1844" s="24"/>
      <c r="AE1844" s="24"/>
      <c r="AF1844" s="24"/>
      <c r="AG1844" s="24"/>
      <c r="AH1844" s="24"/>
      <c r="AI1844" s="24"/>
      <c r="AJ1844" s="24"/>
      <c r="AK1844" s="24"/>
      <c r="AL1844" s="24"/>
      <c r="AM1844" s="24"/>
      <c r="AN1844" s="24"/>
      <c r="AO1844" s="24"/>
      <c r="AP1844" s="24"/>
      <c r="AQ1844" s="24"/>
      <c r="AR1844" s="24"/>
      <c r="AS1844" s="24"/>
      <c r="AT1844" s="24"/>
      <c r="AU1844" s="24"/>
      <c r="AV1844" s="24"/>
      <c r="AW1844" s="24"/>
      <c r="AX1844" s="24"/>
    </row>
    <row r="1845" ht="15.75" customHeight="1">
      <c r="A1845" s="24"/>
      <c r="B1845" s="24"/>
      <c r="C1845" s="28"/>
      <c r="D1845" s="28"/>
      <c r="E1845" s="28"/>
      <c r="F1845" s="28"/>
      <c r="G1845" s="28"/>
      <c r="H1845" s="28"/>
      <c r="I1845" s="28"/>
      <c r="J1845" s="28"/>
      <c r="K1845" s="28"/>
      <c r="L1845" s="28"/>
      <c r="M1845" s="28"/>
      <c r="N1845" s="28"/>
      <c r="O1845" s="24"/>
      <c r="P1845" s="24"/>
      <c r="Q1845" s="24"/>
      <c r="R1845" s="24"/>
      <c r="S1845" s="24"/>
      <c r="T1845" s="24"/>
      <c r="U1845" s="24"/>
      <c r="V1845" s="24"/>
      <c r="W1845" s="24"/>
      <c r="X1845" s="24"/>
      <c r="Y1845" s="24"/>
      <c r="Z1845" s="24"/>
      <c r="AA1845" s="24"/>
      <c r="AB1845" s="24"/>
      <c r="AC1845" s="24"/>
      <c r="AD1845" s="24"/>
      <c r="AE1845" s="24"/>
      <c r="AF1845" s="24"/>
      <c r="AG1845" s="24"/>
      <c r="AH1845" s="24"/>
      <c r="AI1845" s="24"/>
      <c r="AJ1845" s="24"/>
      <c r="AK1845" s="24"/>
      <c r="AL1845" s="24"/>
      <c r="AM1845" s="24"/>
      <c r="AN1845" s="24"/>
      <c r="AO1845" s="24"/>
      <c r="AP1845" s="24"/>
      <c r="AQ1845" s="24"/>
      <c r="AR1845" s="24"/>
      <c r="AS1845" s="24"/>
      <c r="AT1845" s="24"/>
      <c r="AU1845" s="24"/>
      <c r="AV1845" s="24"/>
      <c r="AW1845" s="24"/>
      <c r="AX1845" s="24"/>
    </row>
    <row r="1846" ht="15.75" customHeight="1">
      <c r="A1846" s="24"/>
      <c r="B1846" s="24"/>
      <c r="C1846" s="28"/>
      <c r="D1846" s="28"/>
      <c r="E1846" s="28"/>
      <c r="F1846" s="28"/>
      <c r="G1846" s="28"/>
      <c r="H1846" s="28"/>
      <c r="I1846" s="28"/>
      <c r="J1846" s="28"/>
      <c r="K1846" s="28"/>
      <c r="L1846" s="28"/>
      <c r="M1846" s="28"/>
      <c r="N1846" s="28"/>
      <c r="O1846" s="24"/>
      <c r="P1846" s="24"/>
      <c r="Q1846" s="24"/>
      <c r="R1846" s="24"/>
      <c r="S1846" s="24"/>
      <c r="T1846" s="24"/>
      <c r="U1846" s="24"/>
      <c r="V1846" s="24"/>
      <c r="W1846" s="24"/>
      <c r="X1846" s="24"/>
      <c r="Y1846" s="24"/>
      <c r="Z1846" s="24"/>
      <c r="AA1846" s="24"/>
      <c r="AB1846" s="24"/>
      <c r="AC1846" s="24"/>
      <c r="AD1846" s="24"/>
      <c r="AE1846" s="24"/>
      <c r="AF1846" s="24"/>
      <c r="AG1846" s="24"/>
      <c r="AH1846" s="24"/>
      <c r="AI1846" s="24"/>
      <c r="AJ1846" s="24"/>
      <c r="AK1846" s="24"/>
      <c r="AL1846" s="24"/>
      <c r="AM1846" s="24"/>
      <c r="AN1846" s="24"/>
      <c r="AO1846" s="24"/>
      <c r="AP1846" s="24"/>
      <c r="AQ1846" s="24"/>
      <c r="AR1846" s="24"/>
      <c r="AS1846" s="24"/>
      <c r="AT1846" s="24"/>
      <c r="AU1846" s="24"/>
      <c r="AV1846" s="24"/>
      <c r="AW1846" s="24"/>
      <c r="AX1846" s="24"/>
    </row>
    <row r="1847" ht="15.75" customHeight="1">
      <c r="A1847" s="24"/>
      <c r="B1847" s="24"/>
      <c r="C1847" s="28"/>
      <c r="D1847" s="28"/>
      <c r="E1847" s="28"/>
      <c r="F1847" s="28"/>
      <c r="G1847" s="28"/>
      <c r="H1847" s="28"/>
      <c r="I1847" s="28"/>
      <c r="J1847" s="28"/>
      <c r="K1847" s="28"/>
      <c r="L1847" s="28"/>
      <c r="M1847" s="28"/>
      <c r="N1847" s="28"/>
      <c r="O1847" s="24"/>
      <c r="P1847" s="24"/>
      <c r="Q1847" s="24"/>
      <c r="R1847" s="24"/>
      <c r="S1847" s="24"/>
      <c r="T1847" s="24"/>
      <c r="U1847" s="24"/>
      <c r="V1847" s="24"/>
      <c r="W1847" s="24"/>
      <c r="X1847" s="24"/>
      <c r="Y1847" s="24"/>
      <c r="Z1847" s="24"/>
      <c r="AA1847" s="24"/>
      <c r="AB1847" s="24"/>
      <c r="AC1847" s="24"/>
      <c r="AD1847" s="24"/>
      <c r="AE1847" s="24"/>
      <c r="AF1847" s="24"/>
      <c r="AG1847" s="24"/>
      <c r="AH1847" s="24"/>
      <c r="AI1847" s="24"/>
      <c r="AJ1847" s="24"/>
      <c r="AK1847" s="24"/>
      <c r="AL1847" s="24"/>
      <c r="AM1847" s="24"/>
      <c r="AN1847" s="24"/>
      <c r="AO1847" s="24"/>
      <c r="AP1847" s="24"/>
      <c r="AQ1847" s="24"/>
      <c r="AR1847" s="24"/>
      <c r="AS1847" s="24"/>
      <c r="AT1847" s="24"/>
      <c r="AU1847" s="24"/>
      <c r="AV1847" s="24"/>
      <c r="AW1847" s="24"/>
      <c r="AX1847" s="24"/>
    </row>
    <row r="1848" ht="15.75" customHeight="1">
      <c r="A1848" s="24"/>
      <c r="B1848" s="24"/>
      <c r="C1848" s="28"/>
      <c r="D1848" s="28"/>
      <c r="E1848" s="28"/>
      <c r="F1848" s="28"/>
      <c r="G1848" s="28"/>
      <c r="H1848" s="28"/>
      <c r="I1848" s="28"/>
      <c r="J1848" s="28"/>
      <c r="K1848" s="28"/>
      <c r="L1848" s="28"/>
      <c r="M1848" s="28"/>
      <c r="N1848" s="28"/>
      <c r="O1848" s="24"/>
      <c r="P1848" s="24"/>
      <c r="Q1848" s="24"/>
      <c r="R1848" s="24"/>
      <c r="S1848" s="24"/>
      <c r="T1848" s="24"/>
      <c r="U1848" s="24"/>
      <c r="V1848" s="24"/>
      <c r="W1848" s="24"/>
      <c r="X1848" s="24"/>
      <c r="Y1848" s="24"/>
      <c r="Z1848" s="24"/>
      <c r="AA1848" s="24"/>
      <c r="AB1848" s="24"/>
      <c r="AC1848" s="24"/>
      <c r="AD1848" s="24"/>
      <c r="AE1848" s="24"/>
      <c r="AF1848" s="24"/>
      <c r="AG1848" s="24"/>
      <c r="AH1848" s="24"/>
      <c r="AI1848" s="24"/>
      <c r="AJ1848" s="24"/>
      <c r="AK1848" s="24"/>
      <c r="AL1848" s="24"/>
      <c r="AM1848" s="24"/>
      <c r="AN1848" s="24"/>
      <c r="AO1848" s="24"/>
      <c r="AP1848" s="24"/>
      <c r="AQ1848" s="24"/>
      <c r="AR1848" s="24"/>
      <c r="AS1848" s="24"/>
      <c r="AT1848" s="24"/>
      <c r="AU1848" s="24"/>
      <c r="AV1848" s="24"/>
      <c r="AW1848" s="24"/>
      <c r="AX1848" s="24"/>
    </row>
    <row r="1849" ht="15.75" customHeight="1">
      <c r="A1849" s="24"/>
      <c r="B1849" s="24"/>
      <c r="C1849" s="28"/>
      <c r="D1849" s="28"/>
      <c r="E1849" s="28"/>
      <c r="F1849" s="28"/>
      <c r="G1849" s="28"/>
      <c r="H1849" s="28"/>
      <c r="I1849" s="28"/>
      <c r="J1849" s="28"/>
      <c r="K1849" s="28"/>
      <c r="L1849" s="28"/>
      <c r="M1849" s="28"/>
      <c r="N1849" s="28"/>
      <c r="O1849" s="24"/>
      <c r="P1849" s="24"/>
      <c r="Q1849" s="24"/>
      <c r="R1849" s="24"/>
      <c r="S1849" s="24"/>
      <c r="T1849" s="24"/>
      <c r="U1849" s="24"/>
      <c r="V1849" s="24"/>
      <c r="W1849" s="24"/>
      <c r="X1849" s="24"/>
      <c r="Y1849" s="24"/>
      <c r="Z1849" s="24"/>
      <c r="AA1849" s="24"/>
      <c r="AB1849" s="24"/>
      <c r="AC1849" s="24"/>
      <c r="AD1849" s="24"/>
      <c r="AE1849" s="24"/>
      <c r="AF1849" s="24"/>
      <c r="AG1849" s="24"/>
      <c r="AH1849" s="24"/>
      <c r="AI1849" s="24"/>
      <c r="AJ1849" s="24"/>
      <c r="AK1849" s="24"/>
      <c r="AL1849" s="24"/>
      <c r="AM1849" s="24"/>
      <c r="AN1849" s="24"/>
      <c r="AO1849" s="24"/>
      <c r="AP1849" s="24"/>
      <c r="AQ1849" s="24"/>
      <c r="AR1849" s="24"/>
      <c r="AS1849" s="24"/>
      <c r="AT1849" s="24"/>
      <c r="AU1849" s="24"/>
      <c r="AV1849" s="24"/>
      <c r="AW1849" s="24"/>
      <c r="AX1849" s="24"/>
    </row>
    <row r="1850" ht="15.75" customHeight="1">
      <c r="A1850" s="24"/>
      <c r="B1850" s="24"/>
      <c r="C1850" s="28"/>
      <c r="D1850" s="28"/>
      <c r="E1850" s="28"/>
      <c r="F1850" s="28"/>
      <c r="G1850" s="28"/>
      <c r="H1850" s="28"/>
      <c r="I1850" s="28"/>
      <c r="J1850" s="28"/>
      <c r="K1850" s="28"/>
      <c r="L1850" s="28"/>
      <c r="M1850" s="28"/>
      <c r="N1850" s="28"/>
      <c r="O1850" s="24"/>
      <c r="P1850" s="24"/>
      <c r="Q1850" s="24"/>
      <c r="R1850" s="24"/>
      <c r="S1850" s="24"/>
      <c r="T1850" s="24"/>
      <c r="U1850" s="24"/>
      <c r="V1850" s="24"/>
      <c r="W1850" s="24"/>
      <c r="X1850" s="24"/>
      <c r="Y1850" s="24"/>
      <c r="Z1850" s="24"/>
      <c r="AA1850" s="24"/>
      <c r="AB1850" s="24"/>
      <c r="AC1850" s="24"/>
      <c r="AD1850" s="24"/>
      <c r="AE1850" s="24"/>
      <c r="AF1850" s="24"/>
      <c r="AG1850" s="24"/>
      <c r="AH1850" s="24"/>
      <c r="AI1850" s="24"/>
      <c r="AJ1850" s="24"/>
      <c r="AK1850" s="24"/>
      <c r="AL1850" s="24"/>
      <c r="AM1850" s="24"/>
      <c r="AN1850" s="24"/>
      <c r="AO1850" s="24"/>
      <c r="AP1850" s="24"/>
      <c r="AQ1850" s="24"/>
      <c r="AR1850" s="24"/>
      <c r="AS1850" s="24"/>
      <c r="AT1850" s="24"/>
      <c r="AU1850" s="24"/>
      <c r="AV1850" s="24"/>
      <c r="AW1850" s="24"/>
      <c r="AX1850" s="24"/>
    </row>
    <row r="1851" ht="15.75" customHeight="1">
      <c r="A1851" s="24"/>
      <c r="B1851" s="24"/>
      <c r="C1851" s="28"/>
      <c r="D1851" s="28"/>
      <c r="E1851" s="28"/>
      <c r="F1851" s="28"/>
      <c r="G1851" s="28"/>
      <c r="H1851" s="28"/>
      <c r="I1851" s="28"/>
      <c r="J1851" s="28"/>
      <c r="K1851" s="28"/>
      <c r="L1851" s="28"/>
      <c r="M1851" s="28"/>
      <c r="N1851" s="28"/>
      <c r="O1851" s="24"/>
      <c r="P1851" s="24"/>
      <c r="Q1851" s="24"/>
      <c r="R1851" s="24"/>
      <c r="S1851" s="24"/>
      <c r="T1851" s="24"/>
      <c r="U1851" s="24"/>
      <c r="V1851" s="24"/>
      <c r="W1851" s="24"/>
      <c r="X1851" s="24"/>
      <c r="Y1851" s="24"/>
      <c r="Z1851" s="24"/>
      <c r="AA1851" s="24"/>
      <c r="AB1851" s="24"/>
      <c r="AC1851" s="24"/>
      <c r="AD1851" s="24"/>
      <c r="AE1851" s="24"/>
      <c r="AF1851" s="24"/>
      <c r="AG1851" s="24"/>
      <c r="AH1851" s="24"/>
      <c r="AI1851" s="24"/>
      <c r="AJ1851" s="24"/>
      <c r="AK1851" s="24"/>
      <c r="AL1851" s="24"/>
      <c r="AM1851" s="24"/>
      <c r="AN1851" s="24"/>
      <c r="AO1851" s="24"/>
      <c r="AP1851" s="24"/>
      <c r="AQ1851" s="24"/>
      <c r="AR1851" s="24"/>
      <c r="AS1851" s="24"/>
      <c r="AT1851" s="24"/>
      <c r="AU1851" s="24"/>
      <c r="AV1851" s="24"/>
      <c r="AW1851" s="24"/>
      <c r="AX1851" s="24"/>
    </row>
    <row r="1852" ht="15.75" customHeight="1">
      <c r="A1852" s="24"/>
      <c r="B1852" s="24"/>
      <c r="C1852" s="28"/>
      <c r="D1852" s="28"/>
      <c r="E1852" s="28"/>
      <c r="F1852" s="28"/>
      <c r="G1852" s="28"/>
      <c r="H1852" s="28"/>
      <c r="I1852" s="28"/>
      <c r="J1852" s="28"/>
      <c r="K1852" s="28"/>
      <c r="L1852" s="28"/>
      <c r="M1852" s="28"/>
      <c r="N1852" s="28"/>
      <c r="O1852" s="24"/>
      <c r="P1852" s="24"/>
      <c r="Q1852" s="24"/>
      <c r="R1852" s="24"/>
      <c r="S1852" s="24"/>
      <c r="T1852" s="24"/>
      <c r="U1852" s="24"/>
      <c r="V1852" s="24"/>
      <c r="W1852" s="24"/>
      <c r="X1852" s="24"/>
      <c r="Y1852" s="24"/>
      <c r="Z1852" s="24"/>
      <c r="AA1852" s="24"/>
      <c r="AB1852" s="24"/>
      <c r="AC1852" s="24"/>
      <c r="AD1852" s="24"/>
      <c r="AE1852" s="24"/>
      <c r="AF1852" s="24"/>
      <c r="AG1852" s="24"/>
      <c r="AH1852" s="24"/>
      <c r="AI1852" s="24"/>
      <c r="AJ1852" s="24"/>
      <c r="AK1852" s="24"/>
      <c r="AL1852" s="24"/>
      <c r="AM1852" s="24"/>
      <c r="AN1852" s="24"/>
      <c r="AO1852" s="24"/>
      <c r="AP1852" s="24"/>
      <c r="AQ1852" s="24"/>
      <c r="AR1852" s="24"/>
      <c r="AS1852" s="24"/>
      <c r="AT1852" s="24"/>
      <c r="AU1852" s="24"/>
      <c r="AV1852" s="24"/>
      <c r="AW1852" s="24"/>
      <c r="AX1852" s="24"/>
    </row>
    <row r="1853" ht="15.75" customHeight="1">
      <c r="A1853" s="24"/>
      <c r="B1853" s="24"/>
      <c r="C1853" s="28"/>
      <c r="D1853" s="28"/>
      <c r="E1853" s="28"/>
      <c r="F1853" s="28"/>
      <c r="G1853" s="28"/>
      <c r="H1853" s="28"/>
      <c r="I1853" s="28"/>
      <c r="J1853" s="28"/>
      <c r="K1853" s="28"/>
      <c r="L1853" s="28"/>
      <c r="M1853" s="28"/>
      <c r="N1853" s="28"/>
      <c r="O1853" s="24"/>
      <c r="P1853" s="24"/>
      <c r="Q1853" s="24"/>
      <c r="R1853" s="24"/>
      <c r="S1853" s="24"/>
      <c r="T1853" s="24"/>
      <c r="U1853" s="24"/>
      <c r="V1853" s="24"/>
      <c r="W1853" s="24"/>
      <c r="X1853" s="24"/>
      <c r="Y1853" s="24"/>
      <c r="Z1853" s="24"/>
      <c r="AA1853" s="24"/>
      <c r="AB1853" s="24"/>
      <c r="AC1853" s="24"/>
      <c r="AD1853" s="24"/>
      <c r="AE1853" s="24"/>
      <c r="AF1853" s="24"/>
      <c r="AG1853" s="24"/>
      <c r="AH1853" s="24"/>
      <c r="AI1853" s="24"/>
      <c r="AJ1853" s="24"/>
      <c r="AK1853" s="24"/>
      <c r="AL1853" s="24"/>
      <c r="AM1853" s="24"/>
      <c r="AN1853" s="24"/>
      <c r="AO1853" s="24"/>
      <c r="AP1853" s="24"/>
      <c r="AQ1853" s="24"/>
      <c r="AR1853" s="24"/>
      <c r="AS1853" s="24"/>
      <c r="AT1853" s="24"/>
      <c r="AU1853" s="24"/>
      <c r="AV1853" s="24"/>
      <c r="AW1853" s="24"/>
      <c r="AX1853" s="24"/>
    </row>
    <row r="1854" ht="15.75" customHeight="1">
      <c r="A1854" s="24"/>
      <c r="B1854" s="24"/>
      <c r="C1854" s="28"/>
      <c r="D1854" s="28"/>
      <c r="E1854" s="28"/>
      <c r="F1854" s="28"/>
      <c r="G1854" s="28"/>
      <c r="H1854" s="28"/>
      <c r="I1854" s="28"/>
      <c r="J1854" s="28"/>
      <c r="K1854" s="28"/>
      <c r="L1854" s="28"/>
      <c r="M1854" s="28"/>
      <c r="N1854" s="28"/>
      <c r="O1854" s="24"/>
      <c r="P1854" s="24"/>
      <c r="Q1854" s="24"/>
      <c r="R1854" s="24"/>
      <c r="S1854" s="24"/>
      <c r="T1854" s="24"/>
      <c r="U1854" s="24"/>
      <c r="V1854" s="24"/>
      <c r="W1854" s="24"/>
      <c r="X1854" s="24"/>
      <c r="Y1854" s="24"/>
      <c r="Z1854" s="24"/>
      <c r="AA1854" s="24"/>
      <c r="AB1854" s="24"/>
      <c r="AC1854" s="24"/>
      <c r="AD1854" s="24"/>
      <c r="AE1854" s="24"/>
      <c r="AF1854" s="24"/>
      <c r="AG1854" s="24"/>
      <c r="AH1854" s="24"/>
      <c r="AI1854" s="24"/>
      <c r="AJ1854" s="24"/>
      <c r="AK1854" s="24"/>
      <c r="AL1854" s="24"/>
      <c r="AM1854" s="24"/>
      <c r="AN1854" s="24"/>
      <c r="AO1854" s="24"/>
      <c r="AP1854" s="24"/>
      <c r="AQ1854" s="24"/>
      <c r="AR1854" s="24"/>
      <c r="AS1854" s="24"/>
      <c r="AT1854" s="24"/>
      <c r="AU1854" s="24"/>
      <c r="AV1854" s="24"/>
      <c r="AW1854" s="24"/>
      <c r="AX1854" s="24"/>
    </row>
    <row r="1855" ht="15.75" customHeight="1">
      <c r="A1855" s="24"/>
      <c r="B1855" s="24"/>
      <c r="C1855" s="28"/>
      <c r="D1855" s="28"/>
      <c r="E1855" s="28"/>
      <c r="F1855" s="28"/>
      <c r="G1855" s="28"/>
      <c r="H1855" s="28"/>
      <c r="I1855" s="28"/>
      <c r="J1855" s="28"/>
      <c r="K1855" s="28"/>
      <c r="L1855" s="28"/>
      <c r="M1855" s="28"/>
      <c r="N1855" s="28"/>
      <c r="O1855" s="24"/>
      <c r="P1855" s="24"/>
      <c r="Q1855" s="24"/>
      <c r="R1855" s="24"/>
      <c r="S1855" s="24"/>
      <c r="T1855" s="24"/>
      <c r="U1855" s="24"/>
      <c r="V1855" s="24"/>
      <c r="W1855" s="24"/>
      <c r="X1855" s="24"/>
      <c r="Y1855" s="24"/>
      <c r="Z1855" s="24"/>
      <c r="AA1855" s="24"/>
      <c r="AB1855" s="24"/>
      <c r="AC1855" s="24"/>
      <c r="AD1855" s="24"/>
      <c r="AE1855" s="24"/>
      <c r="AF1855" s="24"/>
      <c r="AG1855" s="24"/>
      <c r="AH1855" s="24"/>
      <c r="AI1855" s="24"/>
      <c r="AJ1855" s="24"/>
      <c r="AK1855" s="24"/>
      <c r="AL1855" s="24"/>
      <c r="AM1855" s="24"/>
      <c r="AN1855" s="24"/>
      <c r="AO1855" s="24"/>
      <c r="AP1855" s="24"/>
      <c r="AQ1855" s="24"/>
      <c r="AR1855" s="24"/>
      <c r="AS1855" s="24"/>
      <c r="AT1855" s="24"/>
      <c r="AU1855" s="24"/>
      <c r="AV1855" s="24"/>
      <c r="AW1855" s="24"/>
      <c r="AX1855" s="24"/>
    </row>
    <row r="1856" ht="15.75" customHeight="1">
      <c r="A1856" s="24"/>
      <c r="B1856" s="24"/>
      <c r="C1856" s="28"/>
      <c r="D1856" s="28"/>
      <c r="E1856" s="28"/>
      <c r="F1856" s="28"/>
      <c r="G1856" s="28"/>
      <c r="H1856" s="28"/>
      <c r="I1856" s="28"/>
      <c r="J1856" s="28"/>
      <c r="K1856" s="28"/>
      <c r="L1856" s="28"/>
      <c r="M1856" s="28"/>
      <c r="N1856" s="28"/>
      <c r="O1856" s="24"/>
      <c r="P1856" s="24"/>
      <c r="Q1856" s="24"/>
      <c r="R1856" s="24"/>
      <c r="S1856" s="24"/>
      <c r="T1856" s="24"/>
      <c r="U1856" s="24"/>
      <c r="V1856" s="24"/>
      <c r="W1856" s="24"/>
      <c r="X1856" s="24"/>
      <c r="Y1856" s="24"/>
      <c r="Z1856" s="24"/>
      <c r="AA1856" s="24"/>
      <c r="AB1856" s="24"/>
      <c r="AC1856" s="24"/>
      <c r="AD1856" s="24"/>
      <c r="AE1856" s="24"/>
      <c r="AF1856" s="24"/>
      <c r="AG1856" s="24"/>
      <c r="AH1856" s="24"/>
      <c r="AI1856" s="24"/>
      <c r="AJ1856" s="24"/>
      <c r="AK1856" s="24"/>
      <c r="AL1856" s="24"/>
      <c r="AM1856" s="24"/>
      <c r="AN1856" s="24"/>
      <c r="AO1856" s="24"/>
      <c r="AP1856" s="24"/>
      <c r="AQ1856" s="24"/>
      <c r="AR1856" s="24"/>
      <c r="AS1856" s="24"/>
      <c r="AT1856" s="24"/>
      <c r="AU1856" s="24"/>
      <c r="AV1856" s="24"/>
      <c r="AW1856" s="24"/>
      <c r="AX1856" s="24"/>
    </row>
    <row r="1857" ht="15.75" customHeight="1">
      <c r="A1857" s="24"/>
      <c r="B1857" s="24"/>
      <c r="C1857" s="28"/>
      <c r="D1857" s="28"/>
      <c r="E1857" s="28"/>
      <c r="F1857" s="28"/>
      <c r="G1857" s="28"/>
      <c r="H1857" s="28"/>
      <c r="I1857" s="28"/>
      <c r="J1857" s="28"/>
      <c r="K1857" s="28"/>
      <c r="L1857" s="28"/>
      <c r="M1857" s="28"/>
      <c r="N1857" s="28"/>
      <c r="O1857" s="24"/>
      <c r="P1857" s="24"/>
      <c r="Q1857" s="24"/>
      <c r="R1857" s="24"/>
      <c r="S1857" s="24"/>
      <c r="T1857" s="24"/>
      <c r="U1857" s="24"/>
      <c r="V1857" s="24"/>
      <c r="W1857" s="24"/>
      <c r="X1857" s="24"/>
      <c r="Y1857" s="24"/>
      <c r="Z1857" s="24"/>
      <c r="AA1857" s="24"/>
      <c r="AB1857" s="24"/>
      <c r="AC1857" s="24"/>
      <c r="AD1857" s="24"/>
      <c r="AE1857" s="24"/>
      <c r="AF1857" s="24"/>
      <c r="AG1857" s="24"/>
      <c r="AH1857" s="24"/>
      <c r="AI1857" s="24"/>
      <c r="AJ1857" s="24"/>
      <c r="AK1857" s="24"/>
      <c r="AL1857" s="24"/>
      <c r="AM1857" s="24"/>
      <c r="AN1857" s="24"/>
      <c r="AO1857" s="24"/>
      <c r="AP1857" s="24"/>
      <c r="AQ1857" s="24"/>
      <c r="AR1857" s="24"/>
      <c r="AS1857" s="24"/>
      <c r="AT1857" s="24"/>
      <c r="AU1857" s="24"/>
      <c r="AV1857" s="24"/>
      <c r="AW1857" s="24"/>
      <c r="AX1857" s="24"/>
    </row>
    <row r="1858" ht="15.75" customHeight="1">
      <c r="A1858" s="24"/>
      <c r="B1858" s="24"/>
      <c r="C1858" s="28"/>
      <c r="D1858" s="28"/>
      <c r="E1858" s="28"/>
      <c r="F1858" s="28"/>
      <c r="G1858" s="28"/>
      <c r="H1858" s="28"/>
      <c r="I1858" s="28"/>
      <c r="J1858" s="28"/>
      <c r="K1858" s="28"/>
      <c r="L1858" s="28"/>
      <c r="M1858" s="28"/>
      <c r="N1858" s="28"/>
      <c r="O1858" s="24"/>
      <c r="P1858" s="24"/>
      <c r="Q1858" s="24"/>
      <c r="R1858" s="24"/>
      <c r="S1858" s="24"/>
      <c r="T1858" s="24"/>
      <c r="U1858" s="24"/>
      <c r="V1858" s="24"/>
      <c r="W1858" s="24"/>
      <c r="X1858" s="24"/>
      <c r="Y1858" s="24"/>
      <c r="Z1858" s="24"/>
      <c r="AA1858" s="24"/>
      <c r="AB1858" s="24"/>
      <c r="AC1858" s="24"/>
      <c r="AD1858" s="24"/>
      <c r="AE1858" s="24"/>
      <c r="AF1858" s="24"/>
      <c r="AG1858" s="24"/>
      <c r="AH1858" s="24"/>
      <c r="AI1858" s="24"/>
      <c r="AJ1858" s="24"/>
      <c r="AK1858" s="24"/>
      <c r="AL1858" s="24"/>
      <c r="AM1858" s="24"/>
      <c r="AN1858" s="24"/>
      <c r="AO1858" s="24"/>
      <c r="AP1858" s="24"/>
      <c r="AQ1858" s="24"/>
      <c r="AR1858" s="24"/>
      <c r="AS1858" s="24"/>
      <c r="AT1858" s="24"/>
      <c r="AU1858" s="24"/>
      <c r="AV1858" s="24"/>
      <c r="AW1858" s="24"/>
      <c r="AX1858" s="24"/>
    </row>
    <row r="1859" ht="15.75" customHeight="1">
      <c r="A1859" s="24"/>
      <c r="B1859" s="24"/>
      <c r="C1859" s="28"/>
      <c r="D1859" s="28"/>
      <c r="E1859" s="28"/>
      <c r="F1859" s="28"/>
      <c r="G1859" s="28"/>
      <c r="H1859" s="28"/>
      <c r="I1859" s="28"/>
      <c r="J1859" s="28"/>
      <c r="K1859" s="28"/>
      <c r="L1859" s="28"/>
      <c r="M1859" s="28"/>
      <c r="N1859" s="28"/>
      <c r="O1859" s="24"/>
      <c r="P1859" s="24"/>
      <c r="Q1859" s="24"/>
      <c r="R1859" s="24"/>
      <c r="S1859" s="24"/>
      <c r="T1859" s="24"/>
      <c r="U1859" s="24"/>
      <c r="V1859" s="24"/>
      <c r="W1859" s="24"/>
      <c r="X1859" s="24"/>
      <c r="Y1859" s="24"/>
      <c r="Z1859" s="24"/>
      <c r="AA1859" s="24"/>
      <c r="AB1859" s="24"/>
      <c r="AC1859" s="24"/>
      <c r="AD1859" s="24"/>
      <c r="AE1859" s="24"/>
      <c r="AF1859" s="24"/>
      <c r="AG1859" s="24"/>
      <c r="AH1859" s="24"/>
      <c r="AI1859" s="24"/>
      <c r="AJ1859" s="24"/>
      <c r="AK1859" s="24"/>
      <c r="AL1859" s="24"/>
      <c r="AM1859" s="24"/>
      <c r="AN1859" s="24"/>
      <c r="AO1859" s="24"/>
      <c r="AP1859" s="24"/>
      <c r="AQ1859" s="24"/>
      <c r="AR1859" s="24"/>
      <c r="AS1859" s="24"/>
      <c r="AT1859" s="24"/>
      <c r="AU1859" s="24"/>
      <c r="AV1859" s="24"/>
      <c r="AW1859" s="24"/>
      <c r="AX1859" s="24"/>
    </row>
    <row r="1860" ht="15.75" customHeight="1">
      <c r="A1860" s="24"/>
      <c r="B1860" s="24"/>
      <c r="C1860" s="28"/>
      <c r="D1860" s="28"/>
      <c r="E1860" s="28"/>
      <c r="F1860" s="28"/>
      <c r="G1860" s="28"/>
      <c r="H1860" s="28"/>
      <c r="I1860" s="28"/>
      <c r="J1860" s="28"/>
      <c r="K1860" s="28"/>
      <c r="L1860" s="28"/>
      <c r="M1860" s="28"/>
      <c r="N1860" s="28"/>
      <c r="O1860" s="24"/>
      <c r="P1860" s="24"/>
      <c r="Q1860" s="24"/>
      <c r="R1860" s="24"/>
      <c r="S1860" s="24"/>
      <c r="T1860" s="24"/>
      <c r="U1860" s="24"/>
      <c r="V1860" s="24"/>
      <c r="W1860" s="24"/>
      <c r="X1860" s="24"/>
      <c r="Y1860" s="24"/>
      <c r="Z1860" s="24"/>
      <c r="AA1860" s="24"/>
      <c r="AB1860" s="24"/>
      <c r="AC1860" s="24"/>
      <c r="AD1860" s="24"/>
      <c r="AE1860" s="24"/>
      <c r="AF1860" s="24"/>
      <c r="AG1860" s="24"/>
      <c r="AH1860" s="24"/>
      <c r="AI1860" s="24"/>
      <c r="AJ1860" s="24"/>
      <c r="AK1860" s="24"/>
      <c r="AL1860" s="24"/>
      <c r="AM1860" s="24"/>
      <c r="AN1860" s="24"/>
      <c r="AO1860" s="24"/>
      <c r="AP1860" s="24"/>
      <c r="AQ1860" s="24"/>
      <c r="AR1860" s="24"/>
      <c r="AS1860" s="24"/>
      <c r="AT1860" s="24"/>
      <c r="AU1860" s="24"/>
      <c r="AV1860" s="24"/>
      <c r="AW1860" s="24"/>
      <c r="AX1860" s="24"/>
    </row>
    <row r="1861" ht="15.75" customHeight="1">
      <c r="A1861" s="24"/>
      <c r="B1861" s="24"/>
      <c r="C1861" s="28"/>
      <c r="D1861" s="28"/>
      <c r="E1861" s="28"/>
      <c r="F1861" s="28"/>
      <c r="G1861" s="28"/>
      <c r="H1861" s="28"/>
      <c r="I1861" s="28"/>
      <c r="J1861" s="28"/>
      <c r="K1861" s="28"/>
      <c r="L1861" s="28"/>
      <c r="M1861" s="28"/>
      <c r="N1861" s="28"/>
      <c r="O1861" s="24"/>
      <c r="P1861" s="24"/>
      <c r="Q1861" s="24"/>
      <c r="R1861" s="24"/>
      <c r="S1861" s="24"/>
      <c r="T1861" s="24"/>
      <c r="U1861" s="24"/>
      <c r="V1861" s="24"/>
      <c r="W1861" s="24"/>
      <c r="X1861" s="24"/>
      <c r="Y1861" s="24"/>
      <c r="Z1861" s="24"/>
      <c r="AA1861" s="24"/>
      <c r="AB1861" s="24"/>
      <c r="AC1861" s="24"/>
      <c r="AD1861" s="24"/>
      <c r="AE1861" s="24"/>
      <c r="AF1861" s="24"/>
      <c r="AG1861" s="24"/>
      <c r="AH1861" s="24"/>
      <c r="AI1861" s="24"/>
      <c r="AJ1861" s="24"/>
      <c r="AK1861" s="24"/>
      <c r="AL1861" s="24"/>
      <c r="AM1861" s="24"/>
      <c r="AN1861" s="24"/>
      <c r="AO1861" s="24"/>
      <c r="AP1861" s="24"/>
      <c r="AQ1861" s="24"/>
      <c r="AR1861" s="24"/>
      <c r="AS1861" s="24"/>
      <c r="AT1861" s="24"/>
      <c r="AU1861" s="24"/>
      <c r="AV1861" s="24"/>
      <c r="AW1861" s="24"/>
      <c r="AX1861" s="24"/>
    </row>
    <row r="1862" ht="15.75" customHeight="1">
      <c r="A1862" s="24"/>
      <c r="B1862" s="24"/>
      <c r="C1862" s="28"/>
      <c r="D1862" s="28"/>
      <c r="E1862" s="28"/>
      <c r="F1862" s="28"/>
      <c r="G1862" s="28"/>
      <c r="H1862" s="28"/>
      <c r="I1862" s="28"/>
      <c r="J1862" s="28"/>
      <c r="K1862" s="28"/>
      <c r="L1862" s="28"/>
      <c r="M1862" s="28"/>
      <c r="N1862" s="28"/>
      <c r="O1862" s="24"/>
      <c r="P1862" s="24"/>
      <c r="Q1862" s="24"/>
      <c r="R1862" s="24"/>
      <c r="S1862" s="24"/>
      <c r="T1862" s="24"/>
      <c r="U1862" s="24"/>
      <c r="V1862" s="24"/>
      <c r="W1862" s="24"/>
      <c r="X1862" s="24"/>
      <c r="Y1862" s="24"/>
      <c r="Z1862" s="24"/>
      <c r="AA1862" s="24"/>
      <c r="AB1862" s="24"/>
      <c r="AC1862" s="24"/>
      <c r="AD1862" s="24"/>
      <c r="AE1862" s="24"/>
      <c r="AF1862" s="24"/>
      <c r="AG1862" s="24"/>
      <c r="AH1862" s="24"/>
      <c r="AI1862" s="24"/>
      <c r="AJ1862" s="24"/>
      <c r="AK1862" s="24"/>
      <c r="AL1862" s="24"/>
      <c r="AM1862" s="24"/>
      <c r="AN1862" s="24"/>
      <c r="AO1862" s="24"/>
      <c r="AP1862" s="24"/>
      <c r="AQ1862" s="24"/>
      <c r="AR1862" s="24"/>
      <c r="AS1862" s="24"/>
      <c r="AT1862" s="24"/>
      <c r="AU1862" s="24"/>
      <c r="AV1862" s="24"/>
      <c r="AW1862" s="24"/>
      <c r="AX1862" s="24"/>
    </row>
    <row r="1863" ht="15.75" customHeight="1">
      <c r="A1863" s="24"/>
      <c r="B1863" s="24"/>
      <c r="C1863" s="28"/>
      <c r="D1863" s="28"/>
      <c r="E1863" s="28"/>
      <c r="F1863" s="28"/>
      <c r="G1863" s="28"/>
      <c r="H1863" s="28"/>
      <c r="I1863" s="28"/>
      <c r="J1863" s="28"/>
      <c r="K1863" s="28"/>
      <c r="L1863" s="28"/>
      <c r="M1863" s="28"/>
      <c r="N1863" s="28"/>
      <c r="O1863" s="24"/>
      <c r="P1863" s="24"/>
      <c r="Q1863" s="24"/>
      <c r="R1863" s="24"/>
      <c r="S1863" s="24"/>
      <c r="T1863" s="24"/>
      <c r="U1863" s="24"/>
      <c r="V1863" s="24"/>
      <c r="W1863" s="24"/>
      <c r="X1863" s="24"/>
      <c r="Y1863" s="24"/>
      <c r="Z1863" s="24"/>
      <c r="AA1863" s="24"/>
      <c r="AB1863" s="24"/>
      <c r="AC1863" s="24"/>
      <c r="AD1863" s="24"/>
      <c r="AE1863" s="24"/>
      <c r="AF1863" s="24"/>
      <c r="AG1863" s="24"/>
      <c r="AH1863" s="24"/>
      <c r="AI1863" s="24"/>
      <c r="AJ1863" s="24"/>
      <c r="AK1863" s="24"/>
      <c r="AL1863" s="24"/>
      <c r="AM1863" s="24"/>
      <c r="AN1863" s="24"/>
      <c r="AO1863" s="24"/>
      <c r="AP1863" s="24"/>
      <c r="AQ1863" s="24"/>
      <c r="AR1863" s="24"/>
      <c r="AS1863" s="24"/>
      <c r="AT1863" s="24"/>
      <c r="AU1863" s="24"/>
      <c r="AV1863" s="24"/>
      <c r="AW1863" s="24"/>
      <c r="AX1863" s="24"/>
    </row>
    <row r="1864" ht="15.75" customHeight="1">
      <c r="A1864" s="24"/>
      <c r="B1864" s="24"/>
      <c r="C1864" s="28"/>
      <c r="D1864" s="28"/>
      <c r="E1864" s="28"/>
      <c r="F1864" s="28"/>
      <c r="G1864" s="28"/>
      <c r="H1864" s="28"/>
      <c r="I1864" s="28"/>
      <c r="J1864" s="28"/>
      <c r="K1864" s="28"/>
      <c r="L1864" s="28"/>
      <c r="M1864" s="28"/>
      <c r="N1864" s="28"/>
      <c r="O1864" s="24"/>
      <c r="P1864" s="24"/>
      <c r="Q1864" s="24"/>
      <c r="R1864" s="24"/>
      <c r="S1864" s="24"/>
      <c r="T1864" s="24"/>
      <c r="U1864" s="24"/>
      <c r="V1864" s="24"/>
      <c r="W1864" s="24"/>
      <c r="X1864" s="24"/>
      <c r="Y1864" s="24"/>
      <c r="Z1864" s="24"/>
      <c r="AA1864" s="24"/>
      <c r="AB1864" s="24"/>
      <c r="AC1864" s="24"/>
      <c r="AD1864" s="24"/>
      <c r="AE1864" s="24"/>
      <c r="AF1864" s="24"/>
      <c r="AG1864" s="24"/>
      <c r="AH1864" s="24"/>
      <c r="AI1864" s="24"/>
      <c r="AJ1864" s="24"/>
      <c r="AK1864" s="24"/>
      <c r="AL1864" s="24"/>
      <c r="AM1864" s="24"/>
      <c r="AN1864" s="24"/>
      <c r="AO1864" s="24"/>
      <c r="AP1864" s="24"/>
      <c r="AQ1864" s="24"/>
      <c r="AR1864" s="24"/>
      <c r="AS1864" s="24"/>
      <c r="AT1864" s="24"/>
      <c r="AU1864" s="24"/>
      <c r="AV1864" s="24"/>
      <c r="AW1864" s="24"/>
      <c r="AX1864" s="24"/>
    </row>
    <row r="1865" ht="15.75" customHeight="1">
      <c r="A1865" s="24"/>
      <c r="B1865" s="24"/>
      <c r="C1865" s="28"/>
      <c r="D1865" s="28"/>
      <c r="E1865" s="28"/>
      <c r="F1865" s="28"/>
      <c r="G1865" s="28"/>
      <c r="H1865" s="28"/>
      <c r="I1865" s="28"/>
      <c r="J1865" s="28"/>
      <c r="K1865" s="28"/>
      <c r="L1865" s="28"/>
      <c r="M1865" s="28"/>
      <c r="N1865" s="28"/>
      <c r="O1865" s="24"/>
      <c r="P1865" s="24"/>
      <c r="Q1865" s="24"/>
      <c r="R1865" s="24"/>
      <c r="S1865" s="24"/>
      <c r="T1865" s="24"/>
      <c r="U1865" s="24"/>
      <c r="V1865" s="24"/>
      <c r="W1865" s="24"/>
      <c r="X1865" s="24"/>
      <c r="Y1865" s="24"/>
      <c r="Z1865" s="24"/>
      <c r="AA1865" s="24"/>
      <c r="AB1865" s="24"/>
      <c r="AC1865" s="24"/>
      <c r="AD1865" s="24"/>
      <c r="AE1865" s="24"/>
      <c r="AF1865" s="24"/>
      <c r="AG1865" s="24"/>
      <c r="AH1865" s="24"/>
      <c r="AI1865" s="24"/>
      <c r="AJ1865" s="24"/>
      <c r="AK1865" s="24"/>
      <c r="AL1865" s="24"/>
      <c r="AM1865" s="24"/>
      <c r="AN1865" s="24"/>
      <c r="AO1865" s="24"/>
      <c r="AP1865" s="24"/>
      <c r="AQ1865" s="24"/>
      <c r="AR1865" s="24"/>
      <c r="AS1865" s="24"/>
      <c r="AT1865" s="24"/>
      <c r="AU1865" s="24"/>
      <c r="AV1865" s="24"/>
      <c r="AW1865" s="24"/>
      <c r="AX1865" s="24"/>
    </row>
    <row r="1866" ht="15.75" customHeight="1">
      <c r="A1866" s="24"/>
      <c r="B1866" s="24"/>
      <c r="C1866" s="28"/>
      <c r="D1866" s="28"/>
      <c r="E1866" s="28"/>
      <c r="F1866" s="28"/>
      <c r="G1866" s="28"/>
      <c r="H1866" s="28"/>
      <c r="I1866" s="28"/>
      <c r="J1866" s="28"/>
      <c r="K1866" s="28"/>
      <c r="L1866" s="28"/>
      <c r="M1866" s="28"/>
      <c r="N1866" s="28"/>
      <c r="O1866" s="24"/>
      <c r="P1866" s="24"/>
      <c r="Q1866" s="24"/>
      <c r="R1866" s="24"/>
      <c r="S1866" s="24"/>
      <c r="T1866" s="24"/>
      <c r="U1866" s="24"/>
      <c r="V1866" s="24"/>
      <c r="W1866" s="24"/>
      <c r="X1866" s="24"/>
      <c r="Y1866" s="24"/>
      <c r="Z1866" s="24"/>
      <c r="AA1866" s="24"/>
      <c r="AB1866" s="24"/>
      <c r="AC1866" s="24"/>
      <c r="AD1866" s="24"/>
      <c r="AE1866" s="24"/>
      <c r="AF1866" s="24"/>
      <c r="AG1866" s="24"/>
      <c r="AH1866" s="24"/>
      <c r="AI1866" s="24"/>
      <c r="AJ1866" s="24"/>
      <c r="AK1866" s="24"/>
      <c r="AL1866" s="24"/>
      <c r="AM1866" s="24"/>
      <c r="AN1866" s="24"/>
      <c r="AO1866" s="24"/>
      <c r="AP1866" s="24"/>
      <c r="AQ1866" s="24"/>
      <c r="AR1866" s="24"/>
      <c r="AS1866" s="24"/>
      <c r="AT1866" s="24"/>
      <c r="AU1866" s="24"/>
      <c r="AV1866" s="24"/>
      <c r="AW1866" s="24"/>
      <c r="AX1866" s="24"/>
    </row>
    <row r="1867" ht="15.75" customHeight="1">
      <c r="A1867" s="24"/>
      <c r="B1867" s="24"/>
      <c r="C1867" s="28"/>
      <c r="D1867" s="28"/>
      <c r="E1867" s="28"/>
      <c r="F1867" s="28"/>
      <c r="G1867" s="28"/>
      <c r="H1867" s="28"/>
      <c r="I1867" s="28"/>
      <c r="J1867" s="28"/>
      <c r="K1867" s="28"/>
      <c r="L1867" s="28"/>
      <c r="M1867" s="28"/>
      <c r="N1867" s="28"/>
      <c r="O1867" s="24"/>
      <c r="P1867" s="24"/>
      <c r="Q1867" s="24"/>
      <c r="R1867" s="24"/>
      <c r="S1867" s="24"/>
      <c r="T1867" s="24"/>
      <c r="U1867" s="24"/>
      <c r="V1867" s="24"/>
      <c r="W1867" s="24"/>
      <c r="X1867" s="24"/>
      <c r="Y1867" s="24"/>
      <c r="Z1867" s="24"/>
      <c r="AA1867" s="24"/>
      <c r="AB1867" s="24"/>
      <c r="AC1867" s="24"/>
      <c r="AD1867" s="24"/>
      <c r="AE1867" s="24"/>
      <c r="AF1867" s="24"/>
      <c r="AG1867" s="24"/>
      <c r="AH1867" s="24"/>
      <c r="AI1867" s="24"/>
      <c r="AJ1867" s="24"/>
      <c r="AK1867" s="24"/>
      <c r="AL1867" s="24"/>
      <c r="AM1867" s="24"/>
      <c r="AN1867" s="24"/>
      <c r="AO1867" s="24"/>
      <c r="AP1867" s="24"/>
      <c r="AQ1867" s="24"/>
      <c r="AR1867" s="24"/>
      <c r="AS1867" s="24"/>
      <c r="AT1867" s="24"/>
      <c r="AU1867" s="24"/>
      <c r="AV1867" s="24"/>
      <c r="AW1867" s="24"/>
      <c r="AX1867" s="24"/>
    </row>
    <row r="1868" ht="15.75" customHeight="1">
      <c r="A1868" s="24"/>
      <c r="B1868" s="24"/>
      <c r="C1868" s="28"/>
      <c r="D1868" s="28"/>
      <c r="E1868" s="28"/>
      <c r="F1868" s="28"/>
      <c r="G1868" s="28"/>
      <c r="H1868" s="28"/>
      <c r="I1868" s="28"/>
      <c r="J1868" s="28"/>
      <c r="K1868" s="28"/>
      <c r="L1868" s="28"/>
      <c r="M1868" s="28"/>
      <c r="N1868" s="28"/>
      <c r="O1868" s="24"/>
      <c r="P1868" s="24"/>
      <c r="Q1868" s="24"/>
      <c r="R1868" s="24"/>
      <c r="S1868" s="24"/>
      <c r="T1868" s="24"/>
      <c r="U1868" s="24"/>
      <c r="V1868" s="24"/>
      <c r="W1868" s="24"/>
      <c r="X1868" s="24"/>
      <c r="Y1868" s="24"/>
      <c r="Z1868" s="24"/>
      <c r="AA1868" s="24"/>
      <c r="AB1868" s="24"/>
      <c r="AC1868" s="24"/>
      <c r="AD1868" s="24"/>
      <c r="AE1868" s="24"/>
      <c r="AF1868" s="24"/>
      <c r="AG1868" s="24"/>
      <c r="AH1868" s="24"/>
      <c r="AI1868" s="24"/>
      <c r="AJ1868" s="24"/>
      <c r="AK1868" s="24"/>
      <c r="AL1868" s="24"/>
      <c r="AM1868" s="24"/>
      <c r="AN1868" s="24"/>
      <c r="AO1868" s="24"/>
      <c r="AP1868" s="24"/>
      <c r="AQ1868" s="24"/>
      <c r="AR1868" s="24"/>
      <c r="AS1868" s="24"/>
      <c r="AT1868" s="24"/>
      <c r="AU1868" s="24"/>
      <c r="AV1868" s="24"/>
      <c r="AW1868" s="24"/>
      <c r="AX1868" s="24"/>
    </row>
    <row r="1869" ht="15.75" customHeight="1">
      <c r="A1869" s="24"/>
      <c r="B1869" s="24"/>
      <c r="C1869" s="28"/>
      <c r="D1869" s="28"/>
      <c r="E1869" s="28"/>
      <c r="F1869" s="28"/>
      <c r="G1869" s="28"/>
      <c r="H1869" s="28"/>
      <c r="I1869" s="28"/>
      <c r="J1869" s="28"/>
      <c r="K1869" s="28"/>
      <c r="L1869" s="28"/>
      <c r="M1869" s="28"/>
      <c r="N1869" s="28"/>
      <c r="O1869" s="24"/>
      <c r="P1869" s="24"/>
      <c r="Q1869" s="24"/>
      <c r="R1869" s="24"/>
      <c r="S1869" s="24"/>
      <c r="T1869" s="24"/>
      <c r="U1869" s="24"/>
      <c r="V1869" s="24"/>
      <c r="W1869" s="24"/>
      <c r="X1869" s="24"/>
      <c r="Y1869" s="24"/>
      <c r="Z1869" s="24"/>
      <c r="AA1869" s="24"/>
      <c r="AB1869" s="24"/>
      <c r="AC1869" s="24"/>
      <c r="AD1869" s="24"/>
      <c r="AE1869" s="24"/>
      <c r="AF1869" s="24"/>
      <c r="AG1869" s="24"/>
      <c r="AH1869" s="24"/>
      <c r="AI1869" s="24"/>
      <c r="AJ1869" s="24"/>
      <c r="AK1869" s="24"/>
      <c r="AL1869" s="24"/>
      <c r="AM1869" s="24"/>
      <c r="AN1869" s="24"/>
      <c r="AO1869" s="24"/>
      <c r="AP1869" s="24"/>
      <c r="AQ1869" s="24"/>
      <c r="AR1869" s="24"/>
      <c r="AS1869" s="24"/>
      <c r="AT1869" s="24"/>
      <c r="AU1869" s="24"/>
      <c r="AV1869" s="24"/>
      <c r="AW1869" s="24"/>
      <c r="AX1869" s="24"/>
    </row>
    <row r="1870" ht="15.75" customHeight="1">
      <c r="A1870" s="24"/>
      <c r="B1870" s="24"/>
      <c r="C1870" s="28"/>
      <c r="D1870" s="28"/>
      <c r="E1870" s="28"/>
      <c r="F1870" s="28"/>
      <c r="G1870" s="28"/>
      <c r="H1870" s="28"/>
      <c r="I1870" s="28"/>
      <c r="J1870" s="28"/>
      <c r="K1870" s="28"/>
      <c r="L1870" s="28"/>
      <c r="M1870" s="28"/>
      <c r="N1870" s="28"/>
      <c r="O1870" s="24"/>
      <c r="P1870" s="24"/>
      <c r="Q1870" s="24"/>
      <c r="R1870" s="24"/>
      <c r="S1870" s="24"/>
      <c r="T1870" s="24"/>
      <c r="U1870" s="24"/>
      <c r="V1870" s="24"/>
      <c r="W1870" s="24"/>
      <c r="X1870" s="24"/>
      <c r="Y1870" s="24"/>
      <c r="Z1870" s="24"/>
      <c r="AA1870" s="24"/>
      <c r="AB1870" s="24"/>
      <c r="AC1870" s="24"/>
      <c r="AD1870" s="24"/>
      <c r="AE1870" s="24"/>
      <c r="AF1870" s="24"/>
      <c r="AG1870" s="24"/>
      <c r="AH1870" s="24"/>
      <c r="AI1870" s="24"/>
      <c r="AJ1870" s="24"/>
      <c r="AK1870" s="24"/>
      <c r="AL1870" s="24"/>
      <c r="AM1870" s="24"/>
      <c r="AN1870" s="24"/>
      <c r="AO1870" s="24"/>
      <c r="AP1870" s="24"/>
      <c r="AQ1870" s="24"/>
      <c r="AR1870" s="24"/>
      <c r="AS1870" s="24"/>
      <c r="AT1870" s="24"/>
      <c r="AU1870" s="24"/>
      <c r="AV1870" s="24"/>
      <c r="AW1870" s="24"/>
      <c r="AX1870" s="24"/>
    </row>
    <row r="1871" ht="15.75" customHeight="1">
      <c r="A1871" s="24"/>
      <c r="B1871" s="24"/>
      <c r="C1871" s="28"/>
      <c r="D1871" s="28"/>
      <c r="E1871" s="28"/>
      <c r="F1871" s="28"/>
      <c r="G1871" s="28"/>
      <c r="H1871" s="28"/>
      <c r="I1871" s="28"/>
      <c r="J1871" s="28"/>
      <c r="K1871" s="28"/>
      <c r="L1871" s="28"/>
      <c r="M1871" s="28"/>
      <c r="N1871" s="28"/>
      <c r="O1871" s="24"/>
      <c r="P1871" s="24"/>
      <c r="Q1871" s="24"/>
      <c r="R1871" s="24"/>
      <c r="S1871" s="24"/>
      <c r="T1871" s="24"/>
      <c r="U1871" s="24"/>
      <c r="V1871" s="24"/>
      <c r="W1871" s="24"/>
      <c r="X1871" s="24"/>
      <c r="Y1871" s="24"/>
      <c r="Z1871" s="24"/>
      <c r="AA1871" s="24"/>
      <c r="AB1871" s="24"/>
      <c r="AC1871" s="24"/>
      <c r="AD1871" s="24"/>
      <c r="AE1871" s="24"/>
      <c r="AF1871" s="24"/>
      <c r="AG1871" s="24"/>
      <c r="AH1871" s="24"/>
      <c r="AI1871" s="24"/>
      <c r="AJ1871" s="24"/>
      <c r="AK1871" s="24"/>
      <c r="AL1871" s="24"/>
      <c r="AM1871" s="24"/>
      <c r="AN1871" s="24"/>
      <c r="AO1871" s="24"/>
      <c r="AP1871" s="24"/>
      <c r="AQ1871" s="24"/>
      <c r="AR1871" s="24"/>
      <c r="AS1871" s="24"/>
      <c r="AT1871" s="24"/>
      <c r="AU1871" s="24"/>
      <c r="AV1871" s="24"/>
      <c r="AW1871" s="24"/>
      <c r="AX1871" s="24"/>
    </row>
    <row r="1872" ht="15.75" customHeight="1">
      <c r="A1872" s="24"/>
      <c r="B1872" s="24"/>
      <c r="C1872" s="28"/>
      <c r="D1872" s="28"/>
      <c r="E1872" s="28"/>
      <c r="F1872" s="28"/>
      <c r="G1872" s="28"/>
      <c r="H1872" s="28"/>
      <c r="I1872" s="28"/>
      <c r="J1872" s="28"/>
      <c r="K1872" s="28"/>
      <c r="L1872" s="28"/>
      <c r="M1872" s="28"/>
      <c r="N1872" s="28"/>
      <c r="O1872" s="24"/>
      <c r="P1872" s="24"/>
      <c r="Q1872" s="24"/>
      <c r="R1872" s="24"/>
      <c r="S1872" s="24"/>
      <c r="T1872" s="24"/>
      <c r="U1872" s="24"/>
      <c r="V1872" s="24"/>
      <c r="W1872" s="24"/>
      <c r="X1872" s="24"/>
      <c r="Y1872" s="24"/>
      <c r="Z1872" s="24"/>
      <c r="AA1872" s="24"/>
      <c r="AB1872" s="24"/>
      <c r="AC1872" s="24"/>
      <c r="AD1872" s="24"/>
      <c r="AE1872" s="24"/>
      <c r="AF1872" s="24"/>
      <c r="AG1872" s="24"/>
      <c r="AH1872" s="24"/>
      <c r="AI1872" s="24"/>
      <c r="AJ1872" s="24"/>
      <c r="AK1872" s="24"/>
      <c r="AL1872" s="24"/>
      <c r="AM1872" s="24"/>
      <c r="AN1872" s="24"/>
      <c r="AO1872" s="24"/>
      <c r="AP1872" s="24"/>
      <c r="AQ1872" s="24"/>
      <c r="AR1872" s="24"/>
      <c r="AS1872" s="24"/>
      <c r="AT1872" s="24"/>
      <c r="AU1872" s="24"/>
      <c r="AV1872" s="24"/>
      <c r="AW1872" s="24"/>
      <c r="AX1872" s="24"/>
    </row>
    <row r="1873" ht="15.75" customHeight="1">
      <c r="A1873" s="24"/>
      <c r="B1873" s="24"/>
      <c r="C1873" s="28"/>
      <c r="D1873" s="28"/>
      <c r="E1873" s="28"/>
      <c r="F1873" s="28"/>
      <c r="G1873" s="28"/>
      <c r="H1873" s="28"/>
      <c r="I1873" s="28"/>
      <c r="J1873" s="28"/>
      <c r="K1873" s="28"/>
      <c r="L1873" s="28"/>
      <c r="M1873" s="28"/>
      <c r="N1873" s="28"/>
      <c r="O1873" s="24"/>
      <c r="P1873" s="24"/>
      <c r="Q1873" s="24"/>
      <c r="R1873" s="24"/>
      <c r="S1873" s="24"/>
      <c r="T1873" s="24"/>
      <c r="U1873" s="24"/>
      <c r="V1873" s="24"/>
      <c r="W1873" s="24"/>
      <c r="X1873" s="24"/>
      <c r="Y1873" s="24"/>
      <c r="Z1873" s="24"/>
      <c r="AA1873" s="24"/>
      <c r="AB1873" s="24"/>
      <c r="AC1873" s="24"/>
      <c r="AD1873" s="24"/>
      <c r="AE1873" s="24"/>
      <c r="AF1873" s="24"/>
      <c r="AG1873" s="24"/>
      <c r="AH1873" s="24"/>
      <c r="AI1873" s="24"/>
      <c r="AJ1873" s="24"/>
      <c r="AK1873" s="24"/>
      <c r="AL1873" s="24"/>
      <c r="AM1873" s="24"/>
      <c r="AN1873" s="24"/>
      <c r="AO1873" s="24"/>
      <c r="AP1873" s="24"/>
      <c r="AQ1873" s="24"/>
      <c r="AR1873" s="24"/>
      <c r="AS1873" s="24"/>
      <c r="AT1873" s="24"/>
      <c r="AU1873" s="24"/>
      <c r="AV1873" s="24"/>
      <c r="AW1873" s="24"/>
      <c r="AX1873" s="24"/>
    </row>
    <row r="1874" ht="15.75" customHeight="1">
      <c r="A1874" s="24"/>
      <c r="B1874" s="24"/>
      <c r="C1874" s="28"/>
      <c r="D1874" s="28"/>
      <c r="E1874" s="28"/>
      <c r="F1874" s="28"/>
      <c r="G1874" s="28"/>
      <c r="H1874" s="28"/>
      <c r="I1874" s="28"/>
      <c r="J1874" s="28"/>
      <c r="K1874" s="28"/>
      <c r="L1874" s="28"/>
      <c r="M1874" s="28"/>
      <c r="N1874" s="28"/>
      <c r="O1874" s="24"/>
      <c r="P1874" s="24"/>
      <c r="Q1874" s="24"/>
      <c r="R1874" s="24"/>
      <c r="S1874" s="24"/>
      <c r="T1874" s="24"/>
      <c r="U1874" s="24"/>
      <c r="V1874" s="24"/>
      <c r="W1874" s="24"/>
      <c r="X1874" s="24"/>
      <c r="Y1874" s="24"/>
      <c r="Z1874" s="24"/>
      <c r="AA1874" s="24"/>
      <c r="AB1874" s="24"/>
      <c r="AC1874" s="24"/>
      <c r="AD1874" s="24"/>
      <c r="AE1874" s="24"/>
      <c r="AF1874" s="24"/>
      <c r="AG1874" s="24"/>
      <c r="AH1874" s="24"/>
      <c r="AI1874" s="24"/>
      <c r="AJ1874" s="24"/>
      <c r="AK1874" s="24"/>
      <c r="AL1874" s="24"/>
      <c r="AM1874" s="24"/>
      <c r="AN1874" s="24"/>
      <c r="AO1874" s="24"/>
      <c r="AP1874" s="24"/>
      <c r="AQ1874" s="24"/>
      <c r="AR1874" s="24"/>
      <c r="AS1874" s="24"/>
      <c r="AT1874" s="24"/>
      <c r="AU1874" s="24"/>
      <c r="AV1874" s="24"/>
      <c r="AW1874" s="24"/>
      <c r="AX1874" s="24"/>
    </row>
    <row r="1875" ht="15.75" customHeight="1">
      <c r="A1875" s="24"/>
      <c r="B1875" s="24"/>
      <c r="C1875" s="28"/>
      <c r="D1875" s="28"/>
      <c r="E1875" s="28"/>
      <c r="F1875" s="28"/>
      <c r="G1875" s="28"/>
      <c r="H1875" s="28"/>
      <c r="I1875" s="28"/>
      <c r="J1875" s="28"/>
      <c r="K1875" s="28"/>
      <c r="L1875" s="28"/>
      <c r="M1875" s="28"/>
      <c r="N1875" s="28"/>
      <c r="O1875" s="24"/>
      <c r="P1875" s="24"/>
      <c r="Q1875" s="24"/>
      <c r="R1875" s="24"/>
      <c r="S1875" s="24"/>
      <c r="T1875" s="24"/>
      <c r="U1875" s="24"/>
      <c r="V1875" s="24"/>
      <c r="W1875" s="24"/>
      <c r="X1875" s="24"/>
      <c r="Y1875" s="24"/>
      <c r="Z1875" s="24"/>
      <c r="AA1875" s="24"/>
      <c r="AB1875" s="24"/>
      <c r="AC1875" s="24"/>
      <c r="AD1875" s="24"/>
      <c r="AE1875" s="24"/>
      <c r="AF1875" s="24"/>
      <c r="AG1875" s="24"/>
      <c r="AH1875" s="24"/>
      <c r="AI1875" s="24"/>
      <c r="AJ1875" s="24"/>
      <c r="AK1875" s="24"/>
      <c r="AL1875" s="24"/>
      <c r="AM1875" s="24"/>
      <c r="AN1875" s="24"/>
      <c r="AO1875" s="24"/>
      <c r="AP1875" s="24"/>
      <c r="AQ1875" s="24"/>
      <c r="AR1875" s="24"/>
      <c r="AS1875" s="24"/>
      <c r="AT1875" s="24"/>
      <c r="AU1875" s="24"/>
      <c r="AV1875" s="24"/>
      <c r="AW1875" s="24"/>
      <c r="AX1875" s="24"/>
    </row>
    <row r="1876" ht="15.75" customHeight="1">
      <c r="A1876" s="24"/>
      <c r="B1876" s="24"/>
      <c r="C1876" s="28"/>
      <c r="D1876" s="28"/>
      <c r="E1876" s="28"/>
      <c r="F1876" s="28"/>
      <c r="G1876" s="28"/>
      <c r="H1876" s="28"/>
      <c r="I1876" s="28"/>
      <c r="J1876" s="28"/>
      <c r="K1876" s="28"/>
      <c r="L1876" s="28"/>
      <c r="M1876" s="28"/>
      <c r="N1876" s="28"/>
      <c r="O1876" s="24"/>
      <c r="P1876" s="24"/>
      <c r="Q1876" s="24"/>
      <c r="R1876" s="24"/>
      <c r="S1876" s="24"/>
      <c r="T1876" s="24"/>
      <c r="U1876" s="24"/>
      <c r="V1876" s="24"/>
      <c r="W1876" s="24"/>
      <c r="X1876" s="24"/>
      <c r="Y1876" s="24"/>
      <c r="Z1876" s="24"/>
      <c r="AA1876" s="24"/>
      <c r="AB1876" s="24"/>
      <c r="AC1876" s="24"/>
      <c r="AD1876" s="24"/>
      <c r="AE1876" s="24"/>
      <c r="AF1876" s="24"/>
      <c r="AG1876" s="24"/>
      <c r="AH1876" s="24"/>
      <c r="AI1876" s="24"/>
      <c r="AJ1876" s="24"/>
      <c r="AK1876" s="24"/>
      <c r="AL1876" s="24"/>
      <c r="AM1876" s="24"/>
      <c r="AN1876" s="24"/>
      <c r="AO1876" s="24"/>
      <c r="AP1876" s="24"/>
      <c r="AQ1876" s="24"/>
      <c r="AR1876" s="24"/>
      <c r="AS1876" s="24"/>
      <c r="AT1876" s="24"/>
      <c r="AU1876" s="24"/>
      <c r="AV1876" s="24"/>
      <c r="AW1876" s="24"/>
      <c r="AX1876" s="24"/>
    </row>
    <row r="1877" ht="15.75" customHeight="1">
      <c r="A1877" s="24"/>
      <c r="B1877" s="24"/>
      <c r="C1877" s="28"/>
      <c r="D1877" s="28"/>
      <c r="E1877" s="28"/>
      <c r="F1877" s="28"/>
      <c r="G1877" s="28"/>
      <c r="H1877" s="28"/>
      <c r="I1877" s="28"/>
      <c r="J1877" s="28"/>
      <c r="K1877" s="28"/>
      <c r="L1877" s="28"/>
      <c r="M1877" s="28"/>
      <c r="N1877" s="28"/>
      <c r="O1877" s="24"/>
      <c r="P1877" s="24"/>
      <c r="Q1877" s="24"/>
      <c r="R1877" s="24"/>
      <c r="S1877" s="24"/>
      <c r="T1877" s="24"/>
      <c r="U1877" s="24"/>
      <c r="V1877" s="24"/>
      <c r="W1877" s="24"/>
      <c r="X1877" s="24"/>
      <c r="Y1877" s="24"/>
      <c r="Z1877" s="24"/>
      <c r="AA1877" s="24"/>
      <c r="AB1877" s="24"/>
      <c r="AC1877" s="24"/>
      <c r="AD1877" s="24"/>
      <c r="AE1877" s="24"/>
      <c r="AF1877" s="24"/>
      <c r="AG1877" s="24"/>
      <c r="AH1877" s="24"/>
      <c r="AI1877" s="24"/>
      <c r="AJ1877" s="24"/>
      <c r="AK1877" s="24"/>
      <c r="AL1877" s="24"/>
      <c r="AM1877" s="24"/>
      <c r="AN1877" s="24"/>
      <c r="AO1877" s="24"/>
      <c r="AP1877" s="24"/>
      <c r="AQ1877" s="24"/>
      <c r="AR1877" s="24"/>
      <c r="AS1877" s="24"/>
      <c r="AT1877" s="24"/>
      <c r="AU1877" s="24"/>
      <c r="AV1877" s="24"/>
      <c r="AW1877" s="24"/>
      <c r="AX1877" s="24"/>
    </row>
    <row r="1878" ht="15.75" customHeight="1">
      <c r="A1878" s="24"/>
      <c r="B1878" s="24"/>
      <c r="C1878" s="28"/>
      <c r="D1878" s="28"/>
      <c r="E1878" s="28"/>
      <c r="F1878" s="28"/>
      <c r="G1878" s="28"/>
      <c r="H1878" s="28"/>
      <c r="I1878" s="28"/>
      <c r="J1878" s="28"/>
      <c r="K1878" s="28"/>
      <c r="L1878" s="28"/>
      <c r="M1878" s="28"/>
      <c r="N1878" s="28"/>
      <c r="O1878" s="24"/>
      <c r="P1878" s="24"/>
      <c r="Q1878" s="24"/>
      <c r="R1878" s="24"/>
      <c r="S1878" s="24"/>
      <c r="T1878" s="24"/>
      <c r="U1878" s="24"/>
      <c r="V1878" s="24"/>
      <c r="W1878" s="24"/>
      <c r="X1878" s="24"/>
      <c r="Y1878" s="24"/>
      <c r="Z1878" s="24"/>
      <c r="AA1878" s="24"/>
      <c r="AB1878" s="24"/>
      <c r="AC1878" s="24"/>
      <c r="AD1878" s="24"/>
      <c r="AE1878" s="24"/>
      <c r="AF1878" s="24"/>
      <c r="AG1878" s="24"/>
      <c r="AH1878" s="24"/>
      <c r="AI1878" s="24"/>
      <c r="AJ1878" s="24"/>
      <c r="AK1878" s="24"/>
      <c r="AL1878" s="24"/>
      <c r="AM1878" s="24"/>
      <c r="AN1878" s="24"/>
      <c r="AO1878" s="24"/>
      <c r="AP1878" s="24"/>
      <c r="AQ1878" s="24"/>
      <c r="AR1878" s="24"/>
      <c r="AS1878" s="24"/>
      <c r="AT1878" s="24"/>
      <c r="AU1878" s="24"/>
      <c r="AV1878" s="24"/>
      <c r="AW1878" s="24"/>
      <c r="AX1878" s="24"/>
    </row>
    <row r="1879" ht="15.75" customHeight="1">
      <c r="A1879" s="24"/>
      <c r="B1879" s="24"/>
      <c r="C1879" s="28"/>
      <c r="D1879" s="28"/>
      <c r="E1879" s="28"/>
      <c r="F1879" s="28"/>
      <c r="G1879" s="28"/>
      <c r="H1879" s="28"/>
      <c r="I1879" s="28"/>
      <c r="J1879" s="28"/>
      <c r="K1879" s="28"/>
      <c r="L1879" s="28"/>
      <c r="M1879" s="28"/>
      <c r="N1879" s="28"/>
      <c r="O1879" s="24"/>
      <c r="P1879" s="24"/>
      <c r="Q1879" s="24"/>
      <c r="R1879" s="24"/>
      <c r="S1879" s="24"/>
      <c r="T1879" s="24"/>
      <c r="U1879" s="24"/>
      <c r="V1879" s="24"/>
      <c r="W1879" s="24"/>
      <c r="X1879" s="24"/>
      <c r="Y1879" s="24"/>
      <c r="Z1879" s="24"/>
      <c r="AA1879" s="24"/>
      <c r="AB1879" s="24"/>
      <c r="AC1879" s="24"/>
      <c r="AD1879" s="24"/>
      <c r="AE1879" s="24"/>
      <c r="AF1879" s="24"/>
      <c r="AG1879" s="24"/>
      <c r="AH1879" s="24"/>
      <c r="AI1879" s="24"/>
      <c r="AJ1879" s="24"/>
      <c r="AK1879" s="24"/>
      <c r="AL1879" s="24"/>
      <c r="AM1879" s="24"/>
      <c r="AN1879" s="24"/>
      <c r="AO1879" s="24"/>
      <c r="AP1879" s="24"/>
      <c r="AQ1879" s="24"/>
      <c r="AR1879" s="24"/>
      <c r="AS1879" s="24"/>
      <c r="AT1879" s="24"/>
      <c r="AU1879" s="24"/>
      <c r="AV1879" s="24"/>
      <c r="AW1879" s="24"/>
      <c r="AX1879" s="24"/>
    </row>
    <row r="1880" ht="15.75" customHeight="1">
      <c r="A1880" s="24"/>
      <c r="B1880" s="24"/>
      <c r="C1880" s="28"/>
      <c r="D1880" s="28"/>
      <c r="E1880" s="28"/>
      <c r="F1880" s="28"/>
      <c r="G1880" s="28"/>
      <c r="H1880" s="28"/>
      <c r="I1880" s="28"/>
      <c r="J1880" s="28"/>
      <c r="K1880" s="28"/>
      <c r="L1880" s="28"/>
      <c r="M1880" s="28"/>
      <c r="N1880" s="28"/>
      <c r="O1880" s="24"/>
      <c r="P1880" s="24"/>
      <c r="Q1880" s="24"/>
      <c r="R1880" s="24"/>
      <c r="S1880" s="24"/>
      <c r="T1880" s="24"/>
      <c r="U1880" s="24"/>
      <c r="V1880" s="24"/>
      <c r="W1880" s="24"/>
      <c r="X1880" s="24"/>
      <c r="Y1880" s="24"/>
      <c r="Z1880" s="24"/>
      <c r="AA1880" s="24"/>
      <c r="AB1880" s="24"/>
      <c r="AC1880" s="24"/>
      <c r="AD1880" s="24"/>
      <c r="AE1880" s="24"/>
      <c r="AF1880" s="24"/>
      <c r="AG1880" s="24"/>
      <c r="AH1880" s="24"/>
      <c r="AI1880" s="24"/>
      <c r="AJ1880" s="24"/>
      <c r="AK1880" s="24"/>
      <c r="AL1880" s="24"/>
      <c r="AM1880" s="24"/>
      <c r="AN1880" s="24"/>
      <c r="AO1880" s="24"/>
      <c r="AP1880" s="24"/>
      <c r="AQ1880" s="24"/>
      <c r="AR1880" s="24"/>
      <c r="AS1880" s="24"/>
      <c r="AT1880" s="24"/>
      <c r="AU1880" s="24"/>
      <c r="AV1880" s="24"/>
      <c r="AW1880" s="24"/>
      <c r="AX1880" s="24"/>
    </row>
    <row r="1881" ht="15.75" customHeight="1">
      <c r="A1881" s="24"/>
      <c r="B1881" s="24"/>
      <c r="C1881" s="28"/>
      <c r="D1881" s="28"/>
      <c r="E1881" s="28"/>
      <c r="F1881" s="28"/>
      <c r="G1881" s="28"/>
      <c r="H1881" s="28"/>
      <c r="I1881" s="28"/>
      <c r="J1881" s="28"/>
      <c r="K1881" s="28"/>
      <c r="L1881" s="28"/>
      <c r="M1881" s="28"/>
      <c r="N1881" s="28"/>
      <c r="O1881" s="24"/>
      <c r="P1881" s="24"/>
      <c r="Q1881" s="24"/>
      <c r="R1881" s="24"/>
      <c r="S1881" s="24"/>
      <c r="T1881" s="24"/>
      <c r="U1881" s="24"/>
      <c r="V1881" s="24"/>
      <c r="W1881" s="24"/>
      <c r="X1881" s="24"/>
      <c r="Y1881" s="24"/>
      <c r="Z1881" s="24"/>
      <c r="AA1881" s="24"/>
      <c r="AB1881" s="24"/>
      <c r="AC1881" s="24"/>
      <c r="AD1881" s="24"/>
      <c r="AE1881" s="24"/>
      <c r="AF1881" s="24"/>
      <c r="AG1881" s="24"/>
      <c r="AH1881" s="24"/>
      <c r="AI1881" s="24"/>
      <c r="AJ1881" s="24"/>
      <c r="AK1881" s="24"/>
      <c r="AL1881" s="24"/>
      <c r="AM1881" s="24"/>
      <c r="AN1881" s="24"/>
      <c r="AO1881" s="24"/>
      <c r="AP1881" s="24"/>
      <c r="AQ1881" s="24"/>
      <c r="AR1881" s="24"/>
      <c r="AS1881" s="24"/>
      <c r="AT1881" s="24"/>
      <c r="AU1881" s="24"/>
      <c r="AV1881" s="24"/>
      <c r="AW1881" s="24"/>
      <c r="AX1881" s="24"/>
    </row>
    <row r="1882" ht="15.75" customHeight="1">
      <c r="A1882" s="24"/>
      <c r="B1882" s="24"/>
      <c r="C1882" s="28"/>
      <c r="D1882" s="28"/>
      <c r="E1882" s="28"/>
      <c r="F1882" s="28"/>
      <c r="G1882" s="28"/>
      <c r="H1882" s="28"/>
      <c r="I1882" s="28"/>
      <c r="J1882" s="28"/>
      <c r="K1882" s="28"/>
      <c r="L1882" s="28"/>
      <c r="M1882" s="28"/>
      <c r="N1882" s="28"/>
      <c r="O1882" s="24"/>
      <c r="P1882" s="24"/>
      <c r="Q1882" s="24"/>
      <c r="R1882" s="24"/>
      <c r="S1882" s="24"/>
      <c r="T1882" s="24"/>
      <c r="U1882" s="24"/>
      <c r="V1882" s="24"/>
      <c r="W1882" s="24"/>
      <c r="X1882" s="24"/>
      <c r="Y1882" s="24"/>
      <c r="Z1882" s="24"/>
      <c r="AA1882" s="24"/>
      <c r="AB1882" s="24"/>
      <c r="AC1882" s="24"/>
      <c r="AD1882" s="24"/>
      <c r="AE1882" s="24"/>
      <c r="AF1882" s="24"/>
      <c r="AG1882" s="24"/>
      <c r="AH1882" s="24"/>
      <c r="AI1882" s="24"/>
      <c r="AJ1882" s="24"/>
      <c r="AK1882" s="24"/>
      <c r="AL1882" s="24"/>
      <c r="AM1882" s="24"/>
      <c r="AN1882" s="24"/>
      <c r="AO1882" s="24"/>
      <c r="AP1882" s="24"/>
      <c r="AQ1882" s="24"/>
      <c r="AR1882" s="24"/>
      <c r="AS1882" s="24"/>
      <c r="AT1882" s="24"/>
      <c r="AU1882" s="24"/>
      <c r="AV1882" s="24"/>
      <c r="AW1882" s="24"/>
      <c r="AX1882" s="24"/>
    </row>
    <row r="1883" ht="15.75" customHeight="1">
      <c r="A1883" s="24"/>
      <c r="B1883" s="24"/>
      <c r="C1883" s="28"/>
      <c r="D1883" s="28"/>
      <c r="E1883" s="28"/>
      <c r="F1883" s="28"/>
      <c r="G1883" s="28"/>
      <c r="H1883" s="28"/>
      <c r="I1883" s="28"/>
      <c r="J1883" s="28"/>
      <c r="K1883" s="28"/>
      <c r="L1883" s="28"/>
      <c r="M1883" s="28"/>
      <c r="N1883" s="28"/>
      <c r="O1883" s="24"/>
      <c r="P1883" s="24"/>
      <c r="Q1883" s="24"/>
      <c r="R1883" s="24"/>
      <c r="S1883" s="24"/>
      <c r="T1883" s="24"/>
      <c r="U1883" s="24"/>
      <c r="V1883" s="24"/>
      <c r="W1883" s="24"/>
      <c r="X1883" s="24"/>
      <c r="Y1883" s="24"/>
      <c r="Z1883" s="24"/>
      <c r="AA1883" s="24"/>
      <c r="AB1883" s="24"/>
      <c r="AC1883" s="24"/>
      <c r="AD1883" s="24"/>
      <c r="AE1883" s="24"/>
      <c r="AF1883" s="24"/>
      <c r="AG1883" s="24"/>
      <c r="AH1883" s="24"/>
      <c r="AI1883" s="24"/>
      <c r="AJ1883" s="24"/>
      <c r="AK1883" s="24"/>
      <c r="AL1883" s="24"/>
      <c r="AM1883" s="24"/>
      <c r="AN1883" s="24"/>
      <c r="AO1883" s="24"/>
      <c r="AP1883" s="24"/>
      <c r="AQ1883" s="24"/>
      <c r="AR1883" s="24"/>
      <c r="AS1883" s="24"/>
      <c r="AT1883" s="24"/>
      <c r="AU1883" s="24"/>
      <c r="AV1883" s="24"/>
      <c r="AW1883" s="24"/>
      <c r="AX1883" s="24"/>
    </row>
    <row r="1884" ht="15.75" customHeight="1">
      <c r="A1884" s="24"/>
      <c r="B1884" s="24"/>
      <c r="C1884" s="28"/>
      <c r="D1884" s="28"/>
      <c r="E1884" s="28"/>
      <c r="F1884" s="28"/>
      <c r="G1884" s="28"/>
      <c r="H1884" s="28"/>
      <c r="I1884" s="28"/>
      <c r="J1884" s="28"/>
      <c r="K1884" s="28"/>
      <c r="L1884" s="28"/>
      <c r="M1884" s="28"/>
      <c r="N1884" s="28"/>
      <c r="O1884" s="24"/>
      <c r="P1884" s="24"/>
      <c r="Q1884" s="24"/>
      <c r="R1884" s="24"/>
      <c r="S1884" s="24"/>
      <c r="T1884" s="24"/>
      <c r="U1884" s="24"/>
      <c r="V1884" s="24"/>
      <c r="W1884" s="24"/>
      <c r="X1884" s="24"/>
      <c r="Y1884" s="24"/>
      <c r="Z1884" s="24"/>
      <c r="AA1884" s="24"/>
      <c r="AB1884" s="24"/>
      <c r="AC1884" s="24"/>
      <c r="AD1884" s="24"/>
      <c r="AE1884" s="24"/>
      <c r="AF1884" s="24"/>
      <c r="AG1884" s="24"/>
      <c r="AH1884" s="24"/>
      <c r="AI1884" s="24"/>
      <c r="AJ1884" s="24"/>
      <c r="AK1884" s="24"/>
      <c r="AL1884" s="24"/>
      <c r="AM1884" s="24"/>
      <c r="AN1884" s="24"/>
      <c r="AO1884" s="24"/>
      <c r="AP1884" s="24"/>
      <c r="AQ1884" s="24"/>
      <c r="AR1884" s="24"/>
      <c r="AS1884" s="24"/>
      <c r="AT1884" s="24"/>
      <c r="AU1884" s="24"/>
      <c r="AV1884" s="24"/>
      <c r="AW1884" s="24"/>
      <c r="AX1884" s="24"/>
    </row>
    <row r="1885" ht="15.75" customHeight="1">
      <c r="A1885" s="24"/>
      <c r="B1885" s="24"/>
      <c r="C1885" s="28"/>
      <c r="D1885" s="28"/>
      <c r="E1885" s="28"/>
      <c r="F1885" s="28"/>
      <c r="G1885" s="28"/>
      <c r="H1885" s="28"/>
      <c r="I1885" s="28"/>
      <c r="J1885" s="28"/>
      <c r="K1885" s="28"/>
      <c r="L1885" s="28"/>
      <c r="M1885" s="28"/>
      <c r="N1885" s="28"/>
      <c r="O1885" s="24"/>
      <c r="P1885" s="24"/>
      <c r="Q1885" s="24"/>
      <c r="R1885" s="24"/>
      <c r="S1885" s="24"/>
      <c r="T1885" s="24"/>
      <c r="U1885" s="24"/>
      <c r="V1885" s="24"/>
      <c r="W1885" s="24"/>
      <c r="X1885" s="24"/>
      <c r="Y1885" s="24"/>
      <c r="Z1885" s="24"/>
      <c r="AA1885" s="24"/>
      <c r="AB1885" s="24"/>
      <c r="AC1885" s="24"/>
      <c r="AD1885" s="24"/>
      <c r="AE1885" s="24"/>
      <c r="AF1885" s="24"/>
      <c r="AG1885" s="24"/>
      <c r="AH1885" s="24"/>
      <c r="AI1885" s="24"/>
      <c r="AJ1885" s="24"/>
      <c r="AK1885" s="24"/>
      <c r="AL1885" s="24"/>
      <c r="AM1885" s="24"/>
      <c r="AN1885" s="24"/>
      <c r="AO1885" s="24"/>
      <c r="AP1885" s="24"/>
      <c r="AQ1885" s="24"/>
      <c r="AR1885" s="24"/>
      <c r="AS1885" s="24"/>
      <c r="AT1885" s="24"/>
      <c r="AU1885" s="24"/>
      <c r="AV1885" s="24"/>
      <c r="AW1885" s="24"/>
      <c r="AX1885" s="24"/>
    </row>
    <row r="1886" ht="15.75" customHeight="1">
      <c r="A1886" s="24"/>
      <c r="B1886" s="24"/>
      <c r="C1886" s="28"/>
      <c r="D1886" s="28"/>
      <c r="E1886" s="28"/>
      <c r="F1886" s="28"/>
      <c r="G1886" s="28"/>
      <c r="H1886" s="28"/>
      <c r="I1886" s="28"/>
      <c r="J1886" s="28"/>
      <c r="K1886" s="28"/>
      <c r="L1886" s="28"/>
      <c r="M1886" s="28"/>
      <c r="N1886" s="28"/>
      <c r="O1886" s="24"/>
      <c r="P1886" s="24"/>
      <c r="Q1886" s="24"/>
      <c r="R1886" s="24"/>
      <c r="S1886" s="24"/>
      <c r="T1886" s="24"/>
      <c r="U1886" s="24"/>
      <c r="V1886" s="24"/>
      <c r="W1886" s="24"/>
      <c r="X1886" s="24"/>
      <c r="Y1886" s="24"/>
      <c r="Z1886" s="24"/>
      <c r="AA1886" s="24"/>
      <c r="AB1886" s="24"/>
      <c r="AC1886" s="24"/>
      <c r="AD1886" s="24"/>
      <c r="AE1886" s="24"/>
      <c r="AF1886" s="24"/>
      <c r="AG1886" s="24"/>
      <c r="AH1886" s="24"/>
      <c r="AI1886" s="24"/>
      <c r="AJ1886" s="24"/>
      <c r="AK1886" s="24"/>
      <c r="AL1886" s="24"/>
      <c r="AM1886" s="24"/>
      <c r="AN1886" s="24"/>
      <c r="AO1886" s="24"/>
      <c r="AP1886" s="24"/>
      <c r="AQ1886" s="24"/>
      <c r="AR1886" s="24"/>
      <c r="AS1886" s="24"/>
      <c r="AT1886" s="24"/>
      <c r="AU1886" s="24"/>
      <c r="AV1886" s="24"/>
      <c r="AW1886" s="24"/>
      <c r="AX1886" s="24"/>
    </row>
    <row r="1887" ht="15.75" customHeight="1">
      <c r="A1887" s="24"/>
      <c r="B1887" s="24"/>
      <c r="C1887" s="28"/>
      <c r="D1887" s="28"/>
      <c r="E1887" s="28"/>
      <c r="F1887" s="28"/>
      <c r="G1887" s="28"/>
      <c r="H1887" s="28"/>
      <c r="I1887" s="28"/>
      <c r="J1887" s="28"/>
      <c r="K1887" s="28"/>
      <c r="L1887" s="28"/>
      <c r="M1887" s="28"/>
      <c r="N1887" s="28"/>
      <c r="O1887" s="24"/>
      <c r="P1887" s="24"/>
      <c r="Q1887" s="24"/>
      <c r="R1887" s="24"/>
      <c r="S1887" s="24"/>
      <c r="T1887" s="24"/>
      <c r="U1887" s="24"/>
      <c r="V1887" s="24"/>
      <c r="W1887" s="24"/>
      <c r="X1887" s="24"/>
      <c r="Y1887" s="24"/>
      <c r="Z1887" s="24"/>
      <c r="AA1887" s="24"/>
      <c r="AB1887" s="24"/>
      <c r="AC1887" s="24"/>
      <c r="AD1887" s="24"/>
      <c r="AE1887" s="24"/>
      <c r="AF1887" s="24"/>
      <c r="AG1887" s="24"/>
      <c r="AH1887" s="24"/>
      <c r="AI1887" s="24"/>
      <c r="AJ1887" s="24"/>
      <c r="AK1887" s="24"/>
      <c r="AL1887" s="24"/>
      <c r="AM1887" s="24"/>
      <c r="AN1887" s="24"/>
      <c r="AO1887" s="24"/>
      <c r="AP1887" s="24"/>
      <c r="AQ1887" s="24"/>
      <c r="AR1887" s="24"/>
      <c r="AS1887" s="24"/>
      <c r="AT1887" s="24"/>
      <c r="AU1887" s="24"/>
      <c r="AV1887" s="24"/>
      <c r="AW1887" s="24"/>
      <c r="AX1887" s="24"/>
    </row>
    <row r="1888" ht="15.75" customHeight="1">
      <c r="A1888" s="24"/>
      <c r="B1888" s="24"/>
      <c r="C1888" s="28"/>
      <c r="D1888" s="28"/>
      <c r="E1888" s="28"/>
      <c r="F1888" s="28"/>
      <c r="G1888" s="28"/>
      <c r="H1888" s="28"/>
      <c r="I1888" s="28"/>
      <c r="J1888" s="28"/>
      <c r="K1888" s="28"/>
      <c r="L1888" s="28"/>
      <c r="M1888" s="28"/>
      <c r="N1888" s="28"/>
      <c r="O1888" s="24"/>
      <c r="P1888" s="24"/>
      <c r="Q1888" s="24"/>
      <c r="R1888" s="24"/>
      <c r="S1888" s="24"/>
      <c r="T1888" s="24"/>
      <c r="U1888" s="24"/>
      <c r="V1888" s="24"/>
      <c r="W1888" s="24"/>
      <c r="X1888" s="24"/>
      <c r="Y1888" s="24"/>
      <c r="Z1888" s="24"/>
      <c r="AA1888" s="24"/>
      <c r="AB1888" s="24"/>
      <c r="AC1888" s="24"/>
      <c r="AD1888" s="24"/>
      <c r="AE1888" s="24"/>
      <c r="AF1888" s="24"/>
      <c r="AG1888" s="24"/>
      <c r="AH1888" s="24"/>
      <c r="AI1888" s="24"/>
      <c r="AJ1888" s="24"/>
      <c r="AK1888" s="24"/>
      <c r="AL1888" s="24"/>
      <c r="AM1888" s="24"/>
      <c r="AN1888" s="24"/>
      <c r="AO1888" s="24"/>
      <c r="AP1888" s="24"/>
      <c r="AQ1888" s="24"/>
      <c r="AR1888" s="24"/>
      <c r="AS1888" s="24"/>
      <c r="AT1888" s="24"/>
      <c r="AU1888" s="24"/>
      <c r="AV1888" s="24"/>
      <c r="AW1888" s="24"/>
      <c r="AX1888" s="24"/>
    </row>
    <row r="1889" ht="15.75" customHeight="1">
      <c r="A1889" s="24"/>
      <c r="B1889" s="24"/>
      <c r="C1889" s="28"/>
      <c r="D1889" s="28"/>
      <c r="E1889" s="28"/>
      <c r="F1889" s="28"/>
      <c r="G1889" s="28"/>
      <c r="H1889" s="28"/>
      <c r="I1889" s="28"/>
      <c r="J1889" s="28"/>
      <c r="K1889" s="28"/>
      <c r="L1889" s="28"/>
      <c r="M1889" s="28"/>
      <c r="N1889" s="28"/>
      <c r="O1889" s="24"/>
      <c r="P1889" s="24"/>
      <c r="Q1889" s="24"/>
      <c r="R1889" s="24"/>
      <c r="S1889" s="24"/>
      <c r="T1889" s="24"/>
      <c r="U1889" s="24"/>
      <c r="V1889" s="24"/>
      <c r="W1889" s="24"/>
      <c r="X1889" s="24"/>
      <c r="Y1889" s="24"/>
      <c r="Z1889" s="24"/>
      <c r="AA1889" s="24"/>
      <c r="AB1889" s="24"/>
      <c r="AC1889" s="24"/>
      <c r="AD1889" s="24"/>
      <c r="AE1889" s="24"/>
      <c r="AF1889" s="24"/>
      <c r="AG1889" s="24"/>
      <c r="AH1889" s="24"/>
      <c r="AI1889" s="24"/>
      <c r="AJ1889" s="24"/>
      <c r="AK1889" s="24"/>
      <c r="AL1889" s="24"/>
      <c r="AM1889" s="24"/>
      <c r="AN1889" s="24"/>
      <c r="AO1889" s="24"/>
      <c r="AP1889" s="24"/>
      <c r="AQ1889" s="24"/>
      <c r="AR1889" s="24"/>
      <c r="AS1889" s="24"/>
      <c r="AT1889" s="24"/>
      <c r="AU1889" s="24"/>
      <c r="AV1889" s="24"/>
      <c r="AW1889" s="24"/>
      <c r="AX1889" s="24"/>
    </row>
    <row r="1890" ht="15.75" customHeight="1">
      <c r="A1890" s="24"/>
      <c r="B1890" s="24"/>
      <c r="C1890" s="28"/>
      <c r="D1890" s="28"/>
      <c r="E1890" s="28"/>
      <c r="F1890" s="28"/>
      <c r="G1890" s="28"/>
      <c r="H1890" s="28"/>
      <c r="I1890" s="28"/>
      <c r="J1890" s="28"/>
      <c r="K1890" s="28"/>
      <c r="L1890" s="28"/>
      <c r="M1890" s="28"/>
      <c r="N1890" s="28"/>
      <c r="O1890" s="24"/>
      <c r="P1890" s="24"/>
      <c r="Q1890" s="24"/>
      <c r="R1890" s="24"/>
      <c r="S1890" s="24"/>
      <c r="T1890" s="24"/>
      <c r="U1890" s="24"/>
      <c r="V1890" s="24"/>
      <c r="W1890" s="24"/>
      <c r="X1890" s="24"/>
      <c r="Y1890" s="24"/>
      <c r="Z1890" s="24"/>
      <c r="AA1890" s="24"/>
      <c r="AB1890" s="24"/>
      <c r="AC1890" s="24"/>
      <c r="AD1890" s="24"/>
      <c r="AE1890" s="24"/>
      <c r="AF1890" s="24"/>
      <c r="AG1890" s="24"/>
      <c r="AH1890" s="24"/>
      <c r="AI1890" s="24"/>
      <c r="AJ1890" s="24"/>
      <c r="AK1890" s="24"/>
      <c r="AL1890" s="24"/>
      <c r="AM1890" s="24"/>
      <c r="AN1890" s="24"/>
      <c r="AO1890" s="24"/>
      <c r="AP1890" s="24"/>
      <c r="AQ1890" s="24"/>
      <c r="AR1890" s="24"/>
      <c r="AS1890" s="24"/>
      <c r="AT1890" s="24"/>
      <c r="AU1890" s="24"/>
      <c r="AV1890" s="24"/>
      <c r="AW1890" s="24"/>
      <c r="AX1890" s="24"/>
    </row>
    <row r="1891" ht="15.75" customHeight="1">
      <c r="A1891" s="24"/>
      <c r="B1891" s="24"/>
      <c r="C1891" s="28"/>
      <c r="D1891" s="28"/>
      <c r="E1891" s="28"/>
      <c r="F1891" s="28"/>
      <c r="G1891" s="28"/>
      <c r="H1891" s="28"/>
      <c r="I1891" s="28"/>
      <c r="J1891" s="28"/>
      <c r="K1891" s="28"/>
      <c r="L1891" s="28"/>
      <c r="M1891" s="28"/>
      <c r="N1891" s="28"/>
      <c r="O1891" s="24"/>
      <c r="P1891" s="24"/>
      <c r="Q1891" s="24"/>
      <c r="R1891" s="24"/>
      <c r="S1891" s="24"/>
      <c r="T1891" s="24"/>
      <c r="U1891" s="24"/>
      <c r="V1891" s="24"/>
      <c r="W1891" s="24"/>
      <c r="X1891" s="24"/>
      <c r="Y1891" s="24"/>
      <c r="Z1891" s="24"/>
      <c r="AA1891" s="24"/>
      <c r="AB1891" s="24"/>
      <c r="AC1891" s="24"/>
      <c r="AD1891" s="24"/>
      <c r="AE1891" s="24"/>
      <c r="AF1891" s="24"/>
      <c r="AG1891" s="24"/>
      <c r="AH1891" s="24"/>
      <c r="AI1891" s="24"/>
      <c r="AJ1891" s="24"/>
      <c r="AK1891" s="24"/>
      <c r="AL1891" s="24"/>
      <c r="AM1891" s="24"/>
      <c r="AN1891" s="24"/>
      <c r="AO1891" s="24"/>
      <c r="AP1891" s="24"/>
      <c r="AQ1891" s="24"/>
      <c r="AR1891" s="24"/>
      <c r="AS1891" s="24"/>
      <c r="AT1891" s="24"/>
      <c r="AU1891" s="24"/>
      <c r="AV1891" s="24"/>
      <c r="AW1891" s="24"/>
      <c r="AX1891" s="24"/>
    </row>
    <row r="1892" ht="15.75" customHeight="1">
      <c r="A1892" s="24"/>
      <c r="B1892" s="24"/>
      <c r="C1892" s="28"/>
      <c r="D1892" s="28"/>
      <c r="E1892" s="28"/>
      <c r="F1892" s="28"/>
      <c r="G1892" s="28"/>
      <c r="H1892" s="28"/>
      <c r="I1892" s="28"/>
      <c r="J1892" s="28"/>
      <c r="K1892" s="28"/>
      <c r="L1892" s="28"/>
      <c r="M1892" s="28"/>
      <c r="N1892" s="28"/>
      <c r="O1892" s="24"/>
      <c r="P1892" s="24"/>
      <c r="Q1892" s="24"/>
      <c r="R1892" s="24"/>
      <c r="S1892" s="24"/>
      <c r="T1892" s="24"/>
      <c r="U1892" s="24"/>
      <c r="V1892" s="24"/>
      <c r="W1892" s="24"/>
      <c r="X1892" s="24"/>
      <c r="Y1892" s="24"/>
      <c r="Z1892" s="24"/>
      <c r="AA1892" s="24"/>
      <c r="AB1892" s="24"/>
      <c r="AC1892" s="24"/>
      <c r="AD1892" s="24"/>
      <c r="AE1892" s="24"/>
      <c r="AF1892" s="24"/>
      <c r="AG1892" s="24"/>
      <c r="AH1892" s="24"/>
      <c r="AI1892" s="24"/>
      <c r="AJ1892" s="24"/>
      <c r="AK1892" s="24"/>
      <c r="AL1892" s="24"/>
      <c r="AM1892" s="24"/>
      <c r="AN1892" s="24"/>
      <c r="AO1892" s="24"/>
      <c r="AP1892" s="24"/>
      <c r="AQ1892" s="24"/>
      <c r="AR1892" s="24"/>
      <c r="AS1892" s="24"/>
      <c r="AT1892" s="24"/>
      <c r="AU1892" s="24"/>
      <c r="AV1892" s="24"/>
      <c r="AW1892" s="24"/>
      <c r="AX1892" s="24"/>
    </row>
    <row r="1893" ht="15.75" customHeight="1">
      <c r="A1893" s="24"/>
      <c r="B1893" s="24"/>
      <c r="C1893" s="28"/>
      <c r="D1893" s="28"/>
      <c r="E1893" s="28"/>
      <c r="F1893" s="28"/>
      <c r="G1893" s="28"/>
      <c r="H1893" s="28"/>
      <c r="I1893" s="28"/>
      <c r="J1893" s="28"/>
      <c r="K1893" s="28"/>
      <c r="L1893" s="28"/>
      <c r="M1893" s="28"/>
      <c r="N1893" s="28"/>
      <c r="O1893" s="24"/>
      <c r="P1893" s="24"/>
      <c r="Q1893" s="24"/>
      <c r="R1893" s="24"/>
      <c r="S1893" s="24"/>
      <c r="T1893" s="24"/>
      <c r="U1893" s="24"/>
      <c r="V1893" s="24"/>
      <c r="W1893" s="24"/>
      <c r="X1893" s="24"/>
      <c r="Y1893" s="24"/>
      <c r="Z1893" s="24"/>
      <c r="AA1893" s="24"/>
      <c r="AB1893" s="24"/>
      <c r="AC1893" s="24"/>
      <c r="AD1893" s="24"/>
      <c r="AE1893" s="24"/>
      <c r="AF1893" s="24"/>
      <c r="AG1893" s="24"/>
      <c r="AH1893" s="24"/>
      <c r="AI1893" s="24"/>
      <c r="AJ1893" s="24"/>
      <c r="AK1893" s="24"/>
      <c r="AL1893" s="24"/>
      <c r="AM1893" s="24"/>
      <c r="AN1893" s="24"/>
      <c r="AO1893" s="24"/>
      <c r="AP1893" s="24"/>
      <c r="AQ1893" s="24"/>
      <c r="AR1893" s="24"/>
      <c r="AS1893" s="24"/>
      <c r="AT1893" s="24"/>
      <c r="AU1893" s="24"/>
      <c r="AV1893" s="24"/>
      <c r="AW1893" s="24"/>
      <c r="AX1893" s="24"/>
    </row>
    <row r="1894" ht="15.75" customHeight="1">
      <c r="A1894" s="24"/>
      <c r="B1894" s="24"/>
      <c r="C1894" s="28"/>
      <c r="D1894" s="28"/>
      <c r="E1894" s="28"/>
      <c r="F1894" s="28"/>
      <c r="G1894" s="28"/>
      <c r="H1894" s="28"/>
      <c r="I1894" s="28"/>
      <c r="J1894" s="28"/>
      <c r="K1894" s="28"/>
      <c r="L1894" s="28"/>
      <c r="M1894" s="28"/>
      <c r="N1894" s="28"/>
      <c r="O1894" s="24"/>
      <c r="P1894" s="24"/>
      <c r="Q1894" s="24"/>
      <c r="R1894" s="24"/>
      <c r="S1894" s="24"/>
      <c r="T1894" s="24"/>
      <c r="U1894" s="24"/>
      <c r="V1894" s="24"/>
      <c r="W1894" s="24"/>
      <c r="X1894" s="24"/>
      <c r="Y1894" s="24"/>
      <c r="Z1894" s="24"/>
      <c r="AA1894" s="24"/>
      <c r="AB1894" s="24"/>
      <c r="AC1894" s="24"/>
      <c r="AD1894" s="24"/>
      <c r="AE1894" s="24"/>
      <c r="AF1894" s="24"/>
      <c r="AG1894" s="24"/>
      <c r="AH1894" s="24"/>
      <c r="AI1894" s="24"/>
      <c r="AJ1894" s="24"/>
      <c r="AK1894" s="24"/>
      <c r="AL1894" s="24"/>
      <c r="AM1894" s="24"/>
      <c r="AN1894" s="24"/>
      <c r="AO1894" s="24"/>
      <c r="AP1894" s="24"/>
      <c r="AQ1894" s="24"/>
      <c r="AR1894" s="24"/>
      <c r="AS1894" s="24"/>
      <c r="AT1894" s="24"/>
      <c r="AU1894" s="24"/>
      <c r="AV1894" s="24"/>
      <c r="AW1894" s="24"/>
      <c r="AX1894" s="24"/>
    </row>
    <row r="1895" ht="15.75" customHeight="1">
      <c r="A1895" s="24"/>
      <c r="B1895" s="24"/>
      <c r="C1895" s="28"/>
      <c r="D1895" s="28"/>
      <c r="E1895" s="28"/>
      <c r="F1895" s="28"/>
      <c r="G1895" s="28"/>
      <c r="H1895" s="28"/>
      <c r="I1895" s="28"/>
      <c r="J1895" s="28"/>
      <c r="K1895" s="28"/>
      <c r="L1895" s="28"/>
      <c r="M1895" s="28"/>
      <c r="N1895" s="28"/>
      <c r="O1895" s="24"/>
      <c r="P1895" s="24"/>
      <c r="Q1895" s="24"/>
      <c r="R1895" s="24"/>
      <c r="S1895" s="24"/>
      <c r="T1895" s="24"/>
      <c r="U1895" s="24"/>
      <c r="V1895" s="24"/>
      <c r="W1895" s="24"/>
      <c r="X1895" s="24"/>
      <c r="Y1895" s="24"/>
      <c r="Z1895" s="24"/>
      <c r="AA1895" s="24"/>
      <c r="AB1895" s="24"/>
      <c r="AC1895" s="24"/>
      <c r="AD1895" s="24"/>
      <c r="AE1895" s="24"/>
      <c r="AF1895" s="24"/>
      <c r="AG1895" s="24"/>
      <c r="AH1895" s="24"/>
      <c r="AI1895" s="24"/>
      <c r="AJ1895" s="24"/>
      <c r="AK1895" s="24"/>
      <c r="AL1895" s="24"/>
      <c r="AM1895" s="24"/>
      <c r="AN1895" s="24"/>
      <c r="AO1895" s="24"/>
      <c r="AP1895" s="24"/>
      <c r="AQ1895" s="24"/>
      <c r="AR1895" s="24"/>
      <c r="AS1895" s="24"/>
      <c r="AT1895" s="24"/>
      <c r="AU1895" s="24"/>
      <c r="AV1895" s="24"/>
      <c r="AW1895" s="24"/>
      <c r="AX1895" s="24"/>
    </row>
    <row r="1896" ht="15.75" customHeight="1">
      <c r="A1896" s="24"/>
      <c r="B1896" s="24"/>
      <c r="C1896" s="28"/>
      <c r="D1896" s="28"/>
      <c r="E1896" s="28"/>
      <c r="F1896" s="28"/>
      <c r="G1896" s="28"/>
      <c r="H1896" s="28"/>
      <c r="I1896" s="28"/>
      <c r="J1896" s="28"/>
      <c r="K1896" s="28"/>
      <c r="L1896" s="28"/>
      <c r="M1896" s="28"/>
      <c r="N1896" s="28"/>
      <c r="O1896" s="24"/>
      <c r="P1896" s="24"/>
      <c r="Q1896" s="24"/>
      <c r="R1896" s="24"/>
      <c r="S1896" s="24"/>
      <c r="T1896" s="24"/>
      <c r="U1896" s="24"/>
      <c r="V1896" s="24"/>
      <c r="W1896" s="24"/>
      <c r="X1896" s="24"/>
      <c r="Y1896" s="24"/>
      <c r="Z1896" s="24"/>
      <c r="AA1896" s="24"/>
      <c r="AB1896" s="24"/>
      <c r="AC1896" s="24"/>
      <c r="AD1896" s="24"/>
      <c r="AE1896" s="24"/>
      <c r="AF1896" s="24"/>
      <c r="AG1896" s="24"/>
      <c r="AH1896" s="24"/>
      <c r="AI1896" s="24"/>
      <c r="AJ1896" s="24"/>
      <c r="AK1896" s="24"/>
      <c r="AL1896" s="24"/>
      <c r="AM1896" s="24"/>
      <c r="AN1896" s="24"/>
      <c r="AO1896" s="24"/>
      <c r="AP1896" s="24"/>
      <c r="AQ1896" s="24"/>
      <c r="AR1896" s="24"/>
      <c r="AS1896" s="24"/>
      <c r="AT1896" s="24"/>
      <c r="AU1896" s="24"/>
      <c r="AV1896" s="24"/>
      <c r="AW1896" s="24"/>
      <c r="AX1896" s="24"/>
    </row>
    <row r="1897" ht="15.75" customHeight="1">
      <c r="A1897" s="24"/>
      <c r="B1897" s="24"/>
      <c r="C1897" s="28"/>
      <c r="D1897" s="28"/>
      <c r="E1897" s="28"/>
      <c r="F1897" s="28"/>
      <c r="G1897" s="28"/>
      <c r="H1897" s="28"/>
      <c r="I1897" s="28"/>
      <c r="J1897" s="28"/>
      <c r="K1897" s="28"/>
      <c r="L1897" s="28"/>
      <c r="M1897" s="28"/>
      <c r="N1897" s="28"/>
      <c r="O1897" s="24"/>
      <c r="P1897" s="24"/>
      <c r="Q1897" s="24"/>
      <c r="R1897" s="24"/>
      <c r="S1897" s="24"/>
      <c r="T1897" s="24"/>
      <c r="U1897" s="24"/>
      <c r="V1897" s="24"/>
      <c r="W1897" s="24"/>
      <c r="X1897" s="24"/>
      <c r="Y1897" s="24"/>
      <c r="Z1897" s="24"/>
      <c r="AA1897" s="24"/>
      <c r="AB1897" s="24"/>
      <c r="AC1897" s="24"/>
      <c r="AD1897" s="24"/>
      <c r="AE1897" s="24"/>
      <c r="AF1897" s="24"/>
      <c r="AG1897" s="24"/>
      <c r="AH1897" s="24"/>
      <c r="AI1897" s="24"/>
      <c r="AJ1897" s="24"/>
      <c r="AK1897" s="24"/>
      <c r="AL1897" s="24"/>
      <c r="AM1897" s="24"/>
      <c r="AN1897" s="24"/>
      <c r="AO1897" s="24"/>
      <c r="AP1897" s="24"/>
      <c r="AQ1897" s="24"/>
      <c r="AR1897" s="24"/>
      <c r="AS1897" s="24"/>
      <c r="AT1897" s="24"/>
      <c r="AU1897" s="24"/>
      <c r="AV1897" s="24"/>
      <c r="AW1897" s="24"/>
      <c r="AX1897" s="24"/>
    </row>
    <row r="1898" ht="15.75" customHeight="1">
      <c r="A1898" s="24"/>
      <c r="B1898" s="24"/>
      <c r="C1898" s="28"/>
      <c r="D1898" s="28"/>
      <c r="E1898" s="28"/>
      <c r="F1898" s="28"/>
      <c r="G1898" s="28"/>
      <c r="H1898" s="28"/>
      <c r="I1898" s="28"/>
      <c r="J1898" s="28"/>
      <c r="K1898" s="28"/>
      <c r="L1898" s="28"/>
      <c r="M1898" s="28"/>
      <c r="N1898" s="28"/>
      <c r="O1898" s="24"/>
      <c r="P1898" s="24"/>
      <c r="Q1898" s="24"/>
      <c r="R1898" s="24"/>
      <c r="S1898" s="24"/>
      <c r="T1898" s="24"/>
      <c r="U1898" s="24"/>
      <c r="V1898" s="24"/>
      <c r="W1898" s="24"/>
      <c r="X1898" s="24"/>
      <c r="Y1898" s="24"/>
      <c r="Z1898" s="24"/>
      <c r="AA1898" s="24"/>
      <c r="AB1898" s="24"/>
      <c r="AC1898" s="24"/>
      <c r="AD1898" s="24"/>
      <c r="AE1898" s="24"/>
      <c r="AF1898" s="24"/>
      <c r="AG1898" s="24"/>
      <c r="AH1898" s="24"/>
      <c r="AI1898" s="24"/>
      <c r="AJ1898" s="24"/>
      <c r="AK1898" s="24"/>
      <c r="AL1898" s="24"/>
      <c r="AM1898" s="24"/>
      <c r="AN1898" s="24"/>
      <c r="AO1898" s="24"/>
      <c r="AP1898" s="24"/>
      <c r="AQ1898" s="24"/>
      <c r="AR1898" s="24"/>
      <c r="AS1898" s="24"/>
      <c r="AT1898" s="24"/>
      <c r="AU1898" s="24"/>
      <c r="AV1898" s="24"/>
      <c r="AW1898" s="24"/>
      <c r="AX1898" s="24"/>
    </row>
    <row r="1899" ht="15.75" customHeight="1">
      <c r="A1899" s="24"/>
      <c r="B1899" s="24"/>
      <c r="C1899" s="28"/>
      <c r="D1899" s="28"/>
      <c r="E1899" s="28"/>
      <c r="F1899" s="28"/>
      <c r="G1899" s="28"/>
      <c r="H1899" s="28"/>
      <c r="I1899" s="28"/>
      <c r="J1899" s="28"/>
      <c r="K1899" s="28"/>
      <c r="L1899" s="28"/>
      <c r="M1899" s="28"/>
      <c r="N1899" s="28"/>
      <c r="O1899" s="24"/>
      <c r="P1899" s="24"/>
      <c r="Q1899" s="24"/>
      <c r="R1899" s="24"/>
      <c r="S1899" s="24"/>
      <c r="T1899" s="24"/>
      <c r="U1899" s="24"/>
      <c r="V1899" s="24"/>
      <c r="W1899" s="24"/>
      <c r="X1899" s="24"/>
      <c r="Y1899" s="24"/>
      <c r="Z1899" s="24"/>
      <c r="AA1899" s="24"/>
      <c r="AB1899" s="24"/>
      <c r="AC1899" s="24"/>
      <c r="AD1899" s="24"/>
      <c r="AE1899" s="24"/>
      <c r="AF1899" s="24"/>
      <c r="AG1899" s="24"/>
      <c r="AH1899" s="24"/>
      <c r="AI1899" s="24"/>
      <c r="AJ1899" s="24"/>
      <c r="AK1899" s="24"/>
      <c r="AL1899" s="24"/>
      <c r="AM1899" s="24"/>
      <c r="AN1899" s="24"/>
      <c r="AO1899" s="24"/>
      <c r="AP1899" s="24"/>
      <c r="AQ1899" s="24"/>
      <c r="AR1899" s="24"/>
      <c r="AS1899" s="24"/>
      <c r="AT1899" s="24"/>
      <c r="AU1899" s="24"/>
      <c r="AV1899" s="24"/>
      <c r="AW1899" s="24"/>
      <c r="AX1899" s="24"/>
    </row>
    <row r="1900" ht="15.75" customHeight="1">
      <c r="A1900" s="24"/>
      <c r="B1900" s="24"/>
      <c r="C1900" s="28"/>
      <c r="D1900" s="28"/>
      <c r="E1900" s="28"/>
      <c r="F1900" s="28"/>
      <c r="G1900" s="28"/>
      <c r="H1900" s="28"/>
      <c r="I1900" s="28"/>
      <c r="J1900" s="28"/>
      <c r="K1900" s="28"/>
      <c r="L1900" s="28"/>
      <c r="M1900" s="28"/>
      <c r="N1900" s="28"/>
      <c r="O1900" s="24"/>
      <c r="P1900" s="24"/>
      <c r="Q1900" s="24"/>
      <c r="R1900" s="24"/>
      <c r="S1900" s="24"/>
      <c r="T1900" s="24"/>
      <c r="U1900" s="24"/>
      <c r="V1900" s="24"/>
      <c r="W1900" s="24"/>
      <c r="X1900" s="24"/>
      <c r="Y1900" s="24"/>
      <c r="Z1900" s="24"/>
      <c r="AA1900" s="24"/>
      <c r="AB1900" s="24"/>
      <c r="AC1900" s="24"/>
      <c r="AD1900" s="24"/>
      <c r="AE1900" s="24"/>
      <c r="AF1900" s="24"/>
      <c r="AG1900" s="24"/>
      <c r="AH1900" s="24"/>
      <c r="AI1900" s="24"/>
      <c r="AJ1900" s="24"/>
      <c r="AK1900" s="24"/>
      <c r="AL1900" s="24"/>
      <c r="AM1900" s="24"/>
      <c r="AN1900" s="24"/>
      <c r="AO1900" s="24"/>
      <c r="AP1900" s="24"/>
      <c r="AQ1900" s="24"/>
      <c r="AR1900" s="24"/>
      <c r="AS1900" s="24"/>
      <c r="AT1900" s="24"/>
      <c r="AU1900" s="24"/>
      <c r="AV1900" s="24"/>
      <c r="AW1900" s="24"/>
      <c r="AX1900" s="24"/>
    </row>
    <row r="1901" ht="15.75" customHeight="1">
      <c r="A1901" s="24"/>
      <c r="B1901" s="24"/>
      <c r="C1901" s="28"/>
      <c r="D1901" s="28"/>
      <c r="E1901" s="28"/>
      <c r="F1901" s="28"/>
      <c r="G1901" s="28"/>
      <c r="H1901" s="28"/>
      <c r="I1901" s="28"/>
      <c r="J1901" s="28"/>
      <c r="K1901" s="28"/>
      <c r="L1901" s="28"/>
      <c r="M1901" s="28"/>
      <c r="N1901" s="28"/>
      <c r="O1901" s="24"/>
      <c r="P1901" s="24"/>
      <c r="Q1901" s="24"/>
      <c r="R1901" s="24"/>
      <c r="S1901" s="24"/>
      <c r="T1901" s="24"/>
      <c r="U1901" s="24"/>
      <c r="V1901" s="24"/>
      <c r="W1901" s="24"/>
      <c r="X1901" s="24"/>
      <c r="Y1901" s="24"/>
      <c r="Z1901" s="24"/>
      <c r="AA1901" s="24"/>
      <c r="AB1901" s="24"/>
      <c r="AC1901" s="24"/>
      <c r="AD1901" s="24"/>
      <c r="AE1901" s="24"/>
      <c r="AF1901" s="24"/>
      <c r="AG1901" s="24"/>
      <c r="AH1901" s="24"/>
      <c r="AI1901" s="24"/>
      <c r="AJ1901" s="24"/>
      <c r="AK1901" s="24"/>
      <c r="AL1901" s="24"/>
      <c r="AM1901" s="24"/>
      <c r="AN1901" s="24"/>
      <c r="AO1901" s="24"/>
      <c r="AP1901" s="24"/>
      <c r="AQ1901" s="24"/>
      <c r="AR1901" s="24"/>
      <c r="AS1901" s="24"/>
      <c r="AT1901" s="24"/>
      <c r="AU1901" s="24"/>
      <c r="AV1901" s="24"/>
      <c r="AW1901" s="24"/>
      <c r="AX1901" s="24"/>
    </row>
    <row r="1902" ht="15.75" customHeight="1">
      <c r="A1902" s="24"/>
      <c r="B1902" s="24"/>
      <c r="C1902" s="28"/>
      <c r="D1902" s="28"/>
      <c r="E1902" s="28"/>
      <c r="F1902" s="28"/>
      <c r="G1902" s="28"/>
      <c r="H1902" s="28"/>
      <c r="I1902" s="28"/>
      <c r="J1902" s="28"/>
      <c r="K1902" s="28"/>
      <c r="L1902" s="28"/>
      <c r="M1902" s="28"/>
      <c r="N1902" s="28"/>
      <c r="O1902" s="24"/>
      <c r="P1902" s="24"/>
      <c r="Q1902" s="24"/>
      <c r="R1902" s="24"/>
      <c r="S1902" s="24"/>
      <c r="T1902" s="24"/>
      <c r="U1902" s="24"/>
      <c r="V1902" s="24"/>
      <c r="W1902" s="24"/>
      <c r="X1902" s="24"/>
      <c r="Y1902" s="24"/>
      <c r="Z1902" s="24"/>
      <c r="AA1902" s="24"/>
      <c r="AB1902" s="24"/>
      <c r="AC1902" s="24"/>
      <c r="AD1902" s="24"/>
      <c r="AE1902" s="24"/>
      <c r="AF1902" s="24"/>
      <c r="AG1902" s="24"/>
      <c r="AH1902" s="24"/>
      <c r="AI1902" s="24"/>
      <c r="AJ1902" s="24"/>
      <c r="AK1902" s="24"/>
      <c r="AL1902" s="24"/>
      <c r="AM1902" s="24"/>
      <c r="AN1902" s="24"/>
      <c r="AO1902" s="24"/>
      <c r="AP1902" s="24"/>
      <c r="AQ1902" s="24"/>
      <c r="AR1902" s="24"/>
      <c r="AS1902" s="24"/>
      <c r="AT1902" s="24"/>
      <c r="AU1902" s="24"/>
      <c r="AV1902" s="24"/>
      <c r="AW1902" s="24"/>
      <c r="AX1902" s="24"/>
    </row>
    <row r="1903" ht="15.75" customHeight="1">
      <c r="A1903" s="24"/>
      <c r="B1903" s="24"/>
      <c r="C1903" s="28"/>
      <c r="D1903" s="28"/>
      <c r="E1903" s="28"/>
      <c r="F1903" s="28"/>
      <c r="G1903" s="28"/>
      <c r="H1903" s="28"/>
      <c r="I1903" s="28"/>
      <c r="J1903" s="28"/>
      <c r="K1903" s="28"/>
      <c r="L1903" s="28"/>
      <c r="M1903" s="28"/>
      <c r="N1903" s="28"/>
      <c r="O1903" s="24"/>
      <c r="P1903" s="24"/>
      <c r="Q1903" s="24"/>
      <c r="R1903" s="24"/>
      <c r="S1903" s="24"/>
      <c r="T1903" s="24"/>
      <c r="U1903" s="24"/>
      <c r="V1903" s="24"/>
      <c r="W1903" s="24"/>
      <c r="X1903" s="24"/>
      <c r="Y1903" s="24"/>
      <c r="Z1903" s="24"/>
      <c r="AA1903" s="24"/>
      <c r="AB1903" s="24"/>
      <c r="AC1903" s="24"/>
      <c r="AD1903" s="24"/>
      <c r="AE1903" s="24"/>
      <c r="AF1903" s="24"/>
      <c r="AG1903" s="24"/>
      <c r="AH1903" s="24"/>
      <c r="AI1903" s="24"/>
      <c r="AJ1903" s="24"/>
      <c r="AK1903" s="24"/>
      <c r="AL1903" s="24"/>
      <c r="AM1903" s="24"/>
      <c r="AN1903" s="24"/>
      <c r="AO1903" s="24"/>
      <c r="AP1903" s="24"/>
      <c r="AQ1903" s="24"/>
      <c r="AR1903" s="24"/>
      <c r="AS1903" s="24"/>
      <c r="AT1903" s="24"/>
      <c r="AU1903" s="24"/>
      <c r="AV1903" s="24"/>
      <c r="AW1903" s="24"/>
      <c r="AX1903" s="24"/>
    </row>
    <row r="1904" ht="15.75" customHeight="1">
      <c r="A1904" s="24"/>
      <c r="B1904" s="24"/>
      <c r="C1904" s="28"/>
      <c r="D1904" s="28"/>
      <c r="E1904" s="28"/>
      <c r="F1904" s="28"/>
      <c r="G1904" s="28"/>
      <c r="H1904" s="28"/>
      <c r="I1904" s="28"/>
      <c r="J1904" s="28"/>
      <c r="K1904" s="28"/>
      <c r="L1904" s="28"/>
      <c r="M1904" s="28"/>
      <c r="N1904" s="28"/>
      <c r="O1904" s="24"/>
      <c r="P1904" s="24"/>
      <c r="Q1904" s="24"/>
      <c r="R1904" s="24"/>
      <c r="S1904" s="24"/>
      <c r="T1904" s="24"/>
      <c r="U1904" s="24"/>
      <c r="V1904" s="24"/>
      <c r="W1904" s="24"/>
      <c r="X1904" s="24"/>
      <c r="Y1904" s="24"/>
      <c r="Z1904" s="24"/>
      <c r="AA1904" s="24"/>
      <c r="AB1904" s="24"/>
      <c r="AC1904" s="24"/>
      <c r="AD1904" s="24"/>
      <c r="AE1904" s="24"/>
      <c r="AF1904" s="24"/>
      <c r="AG1904" s="24"/>
      <c r="AH1904" s="24"/>
      <c r="AI1904" s="24"/>
      <c r="AJ1904" s="24"/>
      <c r="AK1904" s="24"/>
      <c r="AL1904" s="24"/>
      <c r="AM1904" s="24"/>
      <c r="AN1904" s="24"/>
      <c r="AO1904" s="24"/>
      <c r="AP1904" s="24"/>
      <c r="AQ1904" s="24"/>
      <c r="AR1904" s="24"/>
      <c r="AS1904" s="24"/>
      <c r="AT1904" s="24"/>
      <c r="AU1904" s="24"/>
      <c r="AV1904" s="24"/>
      <c r="AW1904" s="24"/>
      <c r="AX1904" s="24"/>
    </row>
    <row r="1905" ht="15.75" customHeight="1">
      <c r="A1905" s="24"/>
      <c r="B1905" s="24"/>
      <c r="C1905" s="28"/>
      <c r="D1905" s="28"/>
      <c r="E1905" s="28"/>
      <c r="F1905" s="28"/>
      <c r="G1905" s="28"/>
      <c r="H1905" s="28"/>
      <c r="I1905" s="28"/>
      <c r="J1905" s="28"/>
      <c r="K1905" s="28"/>
      <c r="L1905" s="28"/>
      <c r="M1905" s="28"/>
      <c r="N1905" s="28"/>
      <c r="O1905" s="24"/>
      <c r="P1905" s="24"/>
      <c r="Q1905" s="24"/>
      <c r="R1905" s="24"/>
      <c r="S1905" s="24"/>
      <c r="T1905" s="24"/>
      <c r="U1905" s="24"/>
      <c r="V1905" s="24"/>
      <c r="W1905" s="24"/>
      <c r="X1905" s="24"/>
      <c r="Y1905" s="24"/>
      <c r="Z1905" s="24"/>
      <c r="AA1905" s="24"/>
      <c r="AB1905" s="24"/>
      <c r="AC1905" s="24"/>
      <c r="AD1905" s="24"/>
      <c r="AE1905" s="24"/>
      <c r="AF1905" s="24"/>
      <c r="AG1905" s="24"/>
      <c r="AH1905" s="24"/>
      <c r="AI1905" s="24"/>
      <c r="AJ1905" s="24"/>
      <c r="AK1905" s="24"/>
      <c r="AL1905" s="24"/>
      <c r="AM1905" s="24"/>
      <c r="AN1905" s="24"/>
      <c r="AO1905" s="24"/>
      <c r="AP1905" s="24"/>
      <c r="AQ1905" s="24"/>
      <c r="AR1905" s="24"/>
      <c r="AS1905" s="24"/>
      <c r="AT1905" s="24"/>
      <c r="AU1905" s="24"/>
      <c r="AV1905" s="24"/>
      <c r="AW1905" s="24"/>
      <c r="AX1905" s="24"/>
    </row>
    <row r="1906" ht="15.75" customHeight="1">
      <c r="A1906" s="24"/>
      <c r="B1906" s="24"/>
      <c r="C1906" s="28"/>
      <c r="D1906" s="28"/>
      <c r="E1906" s="28"/>
      <c r="F1906" s="28"/>
      <c r="G1906" s="28"/>
      <c r="H1906" s="28"/>
      <c r="I1906" s="28"/>
      <c r="J1906" s="28"/>
      <c r="K1906" s="28"/>
      <c r="L1906" s="28"/>
      <c r="M1906" s="28"/>
      <c r="N1906" s="28"/>
      <c r="O1906" s="24"/>
      <c r="P1906" s="24"/>
      <c r="Q1906" s="24"/>
      <c r="R1906" s="24"/>
      <c r="S1906" s="24"/>
      <c r="T1906" s="24"/>
      <c r="U1906" s="24"/>
      <c r="V1906" s="24"/>
      <c r="W1906" s="24"/>
      <c r="X1906" s="24"/>
      <c r="Y1906" s="24"/>
      <c r="Z1906" s="24"/>
      <c r="AA1906" s="24"/>
      <c r="AB1906" s="24"/>
      <c r="AC1906" s="24"/>
      <c r="AD1906" s="24"/>
      <c r="AE1906" s="24"/>
      <c r="AF1906" s="24"/>
      <c r="AG1906" s="24"/>
      <c r="AH1906" s="24"/>
      <c r="AI1906" s="24"/>
      <c r="AJ1906" s="24"/>
      <c r="AK1906" s="24"/>
      <c r="AL1906" s="24"/>
      <c r="AM1906" s="24"/>
      <c r="AN1906" s="24"/>
      <c r="AO1906" s="24"/>
      <c r="AP1906" s="24"/>
      <c r="AQ1906" s="24"/>
      <c r="AR1906" s="24"/>
      <c r="AS1906" s="24"/>
      <c r="AT1906" s="24"/>
      <c r="AU1906" s="24"/>
      <c r="AV1906" s="24"/>
      <c r="AW1906" s="24"/>
      <c r="AX1906" s="24"/>
    </row>
    <row r="1907" ht="15.75" customHeight="1">
      <c r="A1907" s="24"/>
      <c r="B1907" s="24"/>
      <c r="C1907" s="28"/>
      <c r="D1907" s="28"/>
      <c r="E1907" s="28"/>
      <c r="F1907" s="28"/>
      <c r="G1907" s="28"/>
      <c r="H1907" s="28"/>
      <c r="I1907" s="28"/>
      <c r="J1907" s="28"/>
      <c r="K1907" s="28"/>
      <c r="L1907" s="28"/>
      <c r="M1907" s="28"/>
      <c r="N1907" s="28"/>
      <c r="O1907" s="24"/>
      <c r="P1907" s="24"/>
      <c r="Q1907" s="24"/>
      <c r="R1907" s="24"/>
      <c r="S1907" s="24"/>
      <c r="T1907" s="24"/>
      <c r="U1907" s="24"/>
      <c r="V1907" s="24"/>
      <c r="W1907" s="24"/>
      <c r="X1907" s="24"/>
      <c r="Y1907" s="24"/>
      <c r="Z1907" s="24"/>
      <c r="AA1907" s="24"/>
      <c r="AB1907" s="24"/>
      <c r="AC1907" s="24"/>
      <c r="AD1907" s="24"/>
      <c r="AE1907" s="24"/>
      <c r="AF1907" s="24"/>
      <c r="AG1907" s="24"/>
      <c r="AH1907" s="24"/>
      <c r="AI1907" s="24"/>
      <c r="AJ1907" s="24"/>
      <c r="AK1907" s="24"/>
      <c r="AL1907" s="24"/>
      <c r="AM1907" s="24"/>
      <c r="AN1907" s="24"/>
      <c r="AO1907" s="24"/>
      <c r="AP1907" s="24"/>
      <c r="AQ1907" s="24"/>
      <c r="AR1907" s="24"/>
      <c r="AS1907" s="24"/>
      <c r="AT1907" s="24"/>
      <c r="AU1907" s="24"/>
      <c r="AV1907" s="24"/>
      <c r="AW1907" s="24"/>
      <c r="AX1907" s="24"/>
    </row>
    <row r="1908" ht="15.75" customHeight="1">
      <c r="A1908" s="24"/>
      <c r="B1908" s="24"/>
      <c r="C1908" s="28"/>
      <c r="D1908" s="28"/>
      <c r="E1908" s="28"/>
      <c r="F1908" s="28"/>
      <c r="G1908" s="28"/>
      <c r="H1908" s="28"/>
      <c r="I1908" s="28"/>
      <c r="J1908" s="28"/>
      <c r="K1908" s="28"/>
      <c r="L1908" s="28"/>
      <c r="M1908" s="28"/>
      <c r="N1908" s="28"/>
      <c r="O1908" s="24"/>
      <c r="P1908" s="24"/>
      <c r="Q1908" s="24"/>
      <c r="R1908" s="24"/>
      <c r="S1908" s="24"/>
      <c r="T1908" s="24"/>
      <c r="U1908" s="24"/>
      <c r="V1908" s="24"/>
      <c r="W1908" s="24"/>
      <c r="X1908" s="24"/>
      <c r="Y1908" s="24"/>
      <c r="Z1908" s="24"/>
      <c r="AA1908" s="24"/>
      <c r="AB1908" s="24"/>
      <c r="AC1908" s="24"/>
      <c r="AD1908" s="24"/>
      <c r="AE1908" s="24"/>
      <c r="AF1908" s="24"/>
      <c r="AG1908" s="24"/>
      <c r="AH1908" s="24"/>
      <c r="AI1908" s="24"/>
      <c r="AJ1908" s="24"/>
      <c r="AK1908" s="24"/>
      <c r="AL1908" s="24"/>
      <c r="AM1908" s="24"/>
      <c r="AN1908" s="24"/>
      <c r="AO1908" s="24"/>
      <c r="AP1908" s="24"/>
      <c r="AQ1908" s="24"/>
      <c r="AR1908" s="24"/>
      <c r="AS1908" s="24"/>
      <c r="AT1908" s="24"/>
      <c r="AU1908" s="24"/>
      <c r="AV1908" s="24"/>
      <c r="AW1908" s="24"/>
      <c r="AX1908" s="24"/>
    </row>
    <row r="1909" ht="15.75" customHeight="1">
      <c r="A1909" s="24"/>
      <c r="B1909" s="24"/>
      <c r="C1909" s="28"/>
      <c r="D1909" s="28"/>
      <c r="E1909" s="28"/>
      <c r="F1909" s="28"/>
      <c r="G1909" s="28"/>
      <c r="H1909" s="28"/>
      <c r="I1909" s="28"/>
      <c r="J1909" s="28"/>
      <c r="K1909" s="28"/>
      <c r="L1909" s="28"/>
      <c r="M1909" s="28"/>
      <c r="N1909" s="28"/>
      <c r="O1909" s="24"/>
      <c r="P1909" s="24"/>
      <c r="Q1909" s="24"/>
      <c r="R1909" s="24"/>
      <c r="S1909" s="24"/>
      <c r="T1909" s="24"/>
      <c r="U1909" s="24"/>
      <c r="V1909" s="24"/>
      <c r="W1909" s="24"/>
      <c r="X1909" s="24"/>
      <c r="Y1909" s="24"/>
      <c r="Z1909" s="24"/>
      <c r="AA1909" s="24"/>
      <c r="AB1909" s="24"/>
      <c r="AC1909" s="24"/>
      <c r="AD1909" s="24"/>
      <c r="AE1909" s="24"/>
      <c r="AF1909" s="24"/>
      <c r="AG1909" s="24"/>
      <c r="AH1909" s="24"/>
      <c r="AI1909" s="24"/>
      <c r="AJ1909" s="24"/>
      <c r="AK1909" s="24"/>
      <c r="AL1909" s="24"/>
      <c r="AM1909" s="24"/>
      <c r="AN1909" s="24"/>
      <c r="AO1909" s="24"/>
      <c r="AP1909" s="24"/>
      <c r="AQ1909" s="24"/>
      <c r="AR1909" s="24"/>
      <c r="AS1909" s="24"/>
      <c r="AT1909" s="24"/>
      <c r="AU1909" s="24"/>
      <c r="AV1909" s="24"/>
      <c r="AW1909" s="24"/>
      <c r="AX1909" s="24"/>
    </row>
    <row r="1910" ht="15.75" customHeight="1">
      <c r="A1910" s="24"/>
      <c r="B1910" s="24"/>
      <c r="C1910" s="28"/>
      <c r="D1910" s="28"/>
      <c r="E1910" s="28"/>
      <c r="F1910" s="28"/>
      <c r="G1910" s="28"/>
      <c r="H1910" s="28"/>
      <c r="I1910" s="28"/>
      <c r="J1910" s="28"/>
      <c r="K1910" s="28"/>
      <c r="L1910" s="28"/>
      <c r="M1910" s="28"/>
      <c r="N1910" s="28"/>
      <c r="O1910" s="24"/>
      <c r="P1910" s="24"/>
      <c r="Q1910" s="24"/>
      <c r="R1910" s="24"/>
      <c r="S1910" s="24"/>
      <c r="T1910" s="24"/>
      <c r="U1910" s="24"/>
      <c r="V1910" s="24"/>
      <c r="W1910" s="24"/>
      <c r="X1910" s="24"/>
      <c r="Y1910" s="24"/>
      <c r="Z1910" s="24"/>
      <c r="AA1910" s="24"/>
      <c r="AB1910" s="24"/>
      <c r="AC1910" s="24"/>
      <c r="AD1910" s="24"/>
      <c r="AE1910" s="24"/>
      <c r="AF1910" s="24"/>
      <c r="AG1910" s="24"/>
      <c r="AH1910" s="24"/>
      <c r="AI1910" s="24"/>
      <c r="AJ1910" s="24"/>
      <c r="AK1910" s="24"/>
      <c r="AL1910" s="24"/>
      <c r="AM1910" s="24"/>
      <c r="AN1910" s="24"/>
      <c r="AO1910" s="24"/>
      <c r="AP1910" s="24"/>
      <c r="AQ1910" s="24"/>
      <c r="AR1910" s="24"/>
      <c r="AS1910" s="24"/>
      <c r="AT1910" s="24"/>
      <c r="AU1910" s="24"/>
      <c r="AV1910" s="24"/>
      <c r="AW1910" s="24"/>
      <c r="AX1910" s="24"/>
    </row>
    <row r="1911" ht="15.75" customHeight="1">
      <c r="A1911" s="24"/>
      <c r="B1911" s="24"/>
      <c r="C1911" s="28"/>
      <c r="D1911" s="28"/>
      <c r="E1911" s="28"/>
      <c r="F1911" s="28"/>
      <c r="G1911" s="28"/>
      <c r="H1911" s="28"/>
      <c r="I1911" s="28"/>
      <c r="J1911" s="28"/>
      <c r="K1911" s="28"/>
      <c r="L1911" s="28"/>
      <c r="M1911" s="28"/>
      <c r="N1911" s="28"/>
      <c r="O1911" s="24"/>
      <c r="P1911" s="24"/>
      <c r="Q1911" s="24"/>
      <c r="R1911" s="24"/>
      <c r="S1911" s="24"/>
      <c r="T1911" s="24"/>
      <c r="U1911" s="24"/>
      <c r="V1911" s="24"/>
      <c r="W1911" s="24"/>
      <c r="X1911" s="24"/>
      <c r="Y1911" s="24"/>
      <c r="Z1911" s="24"/>
      <c r="AA1911" s="24"/>
      <c r="AB1911" s="24"/>
      <c r="AC1911" s="24"/>
      <c r="AD1911" s="24"/>
      <c r="AE1911" s="24"/>
      <c r="AF1911" s="24"/>
      <c r="AG1911" s="24"/>
      <c r="AH1911" s="24"/>
      <c r="AI1911" s="24"/>
      <c r="AJ1911" s="24"/>
      <c r="AK1911" s="24"/>
      <c r="AL1911" s="24"/>
      <c r="AM1911" s="24"/>
      <c r="AN1911" s="24"/>
      <c r="AO1911" s="24"/>
      <c r="AP1911" s="24"/>
      <c r="AQ1911" s="24"/>
      <c r="AR1911" s="24"/>
      <c r="AS1911" s="24"/>
      <c r="AT1911" s="24"/>
      <c r="AU1911" s="24"/>
      <c r="AV1911" s="24"/>
      <c r="AW1911" s="24"/>
      <c r="AX1911" s="24"/>
    </row>
    <row r="1912" ht="15.75" customHeight="1">
      <c r="A1912" s="24"/>
      <c r="B1912" s="24"/>
      <c r="C1912" s="28"/>
      <c r="D1912" s="28"/>
      <c r="E1912" s="28"/>
      <c r="F1912" s="28"/>
      <c r="G1912" s="28"/>
      <c r="H1912" s="28"/>
      <c r="I1912" s="28"/>
      <c r="J1912" s="28"/>
      <c r="K1912" s="28"/>
      <c r="L1912" s="28"/>
      <c r="M1912" s="28"/>
      <c r="N1912" s="28"/>
      <c r="O1912" s="24"/>
      <c r="P1912" s="24"/>
      <c r="Q1912" s="24"/>
      <c r="R1912" s="24"/>
      <c r="S1912" s="24"/>
      <c r="T1912" s="24"/>
      <c r="U1912" s="24"/>
      <c r="V1912" s="24"/>
      <c r="W1912" s="24"/>
      <c r="X1912" s="24"/>
      <c r="Y1912" s="24"/>
      <c r="Z1912" s="24"/>
      <c r="AA1912" s="24"/>
      <c r="AB1912" s="24"/>
      <c r="AC1912" s="24"/>
      <c r="AD1912" s="24"/>
      <c r="AE1912" s="24"/>
      <c r="AF1912" s="24"/>
      <c r="AG1912" s="24"/>
      <c r="AH1912" s="24"/>
      <c r="AI1912" s="24"/>
      <c r="AJ1912" s="24"/>
      <c r="AK1912" s="24"/>
      <c r="AL1912" s="24"/>
      <c r="AM1912" s="24"/>
      <c r="AN1912" s="24"/>
      <c r="AO1912" s="24"/>
      <c r="AP1912" s="24"/>
      <c r="AQ1912" s="24"/>
      <c r="AR1912" s="24"/>
      <c r="AS1912" s="24"/>
      <c r="AT1912" s="24"/>
      <c r="AU1912" s="24"/>
      <c r="AV1912" s="24"/>
      <c r="AW1912" s="24"/>
      <c r="AX1912" s="24"/>
    </row>
    <row r="1913" ht="15.75" customHeight="1">
      <c r="A1913" s="24"/>
      <c r="B1913" s="24"/>
      <c r="C1913" s="28"/>
      <c r="D1913" s="28"/>
      <c r="E1913" s="28"/>
      <c r="F1913" s="28"/>
      <c r="G1913" s="28"/>
      <c r="H1913" s="28"/>
      <c r="I1913" s="28"/>
      <c r="J1913" s="28"/>
      <c r="K1913" s="28"/>
      <c r="L1913" s="28"/>
      <c r="M1913" s="28"/>
      <c r="N1913" s="28"/>
      <c r="O1913" s="24"/>
      <c r="P1913" s="24"/>
      <c r="Q1913" s="24"/>
      <c r="R1913" s="24"/>
      <c r="S1913" s="24"/>
      <c r="T1913" s="24"/>
      <c r="U1913" s="24"/>
      <c r="V1913" s="24"/>
      <c r="W1913" s="24"/>
      <c r="X1913" s="24"/>
      <c r="Y1913" s="24"/>
      <c r="Z1913" s="24"/>
      <c r="AA1913" s="24"/>
      <c r="AB1913" s="24"/>
      <c r="AC1913" s="24"/>
      <c r="AD1913" s="24"/>
      <c r="AE1913" s="24"/>
      <c r="AF1913" s="24"/>
      <c r="AG1913" s="24"/>
      <c r="AH1913" s="24"/>
      <c r="AI1913" s="24"/>
      <c r="AJ1913" s="24"/>
      <c r="AK1913" s="24"/>
      <c r="AL1913" s="24"/>
      <c r="AM1913" s="24"/>
      <c r="AN1913" s="24"/>
      <c r="AO1913" s="24"/>
      <c r="AP1913" s="24"/>
      <c r="AQ1913" s="24"/>
      <c r="AR1913" s="24"/>
      <c r="AS1913" s="24"/>
      <c r="AT1913" s="24"/>
      <c r="AU1913" s="24"/>
      <c r="AV1913" s="24"/>
      <c r="AW1913" s="24"/>
      <c r="AX1913" s="24"/>
    </row>
    <row r="1914" ht="15.75" customHeight="1">
      <c r="A1914" s="24"/>
      <c r="B1914" s="24"/>
      <c r="C1914" s="28"/>
      <c r="D1914" s="28"/>
      <c r="E1914" s="28"/>
      <c r="F1914" s="28"/>
      <c r="G1914" s="28"/>
      <c r="H1914" s="28"/>
      <c r="I1914" s="28"/>
      <c r="J1914" s="28"/>
      <c r="K1914" s="28"/>
      <c r="L1914" s="28"/>
      <c r="M1914" s="28"/>
      <c r="N1914" s="28"/>
      <c r="O1914" s="24"/>
      <c r="P1914" s="24"/>
      <c r="Q1914" s="24"/>
      <c r="R1914" s="24"/>
      <c r="S1914" s="24"/>
      <c r="T1914" s="24"/>
      <c r="U1914" s="24"/>
      <c r="V1914" s="24"/>
      <c r="W1914" s="24"/>
      <c r="X1914" s="24"/>
      <c r="Y1914" s="24"/>
      <c r="Z1914" s="24"/>
      <c r="AA1914" s="24"/>
      <c r="AB1914" s="24"/>
      <c r="AC1914" s="24"/>
      <c r="AD1914" s="24"/>
      <c r="AE1914" s="24"/>
      <c r="AF1914" s="24"/>
      <c r="AG1914" s="24"/>
      <c r="AH1914" s="24"/>
      <c r="AI1914" s="24"/>
      <c r="AJ1914" s="24"/>
      <c r="AK1914" s="24"/>
      <c r="AL1914" s="24"/>
      <c r="AM1914" s="24"/>
      <c r="AN1914" s="24"/>
      <c r="AO1914" s="24"/>
      <c r="AP1914" s="24"/>
      <c r="AQ1914" s="24"/>
      <c r="AR1914" s="24"/>
      <c r="AS1914" s="24"/>
      <c r="AT1914" s="24"/>
      <c r="AU1914" s="24"/>
      <c r="AV1914" s="24"/>
      <c r="AW1914" s="24"/>
      <c r="AX1914" s="24"/>
    </row>
    <row r="1915" ht="15.75" customHeight="1">
      <c r="A1915" s="24"/>
      <c r="B1915" s="24"/>
      <c r="C1915" s="28"/>
      <c r="D1915" s="28"/>
      <c r="E1915" s="28"/>
      <c r="F1915" s="28"/>
      <c r="G1915" s="28"/>
      <c r="H1915" s="28"/>
      <c r="I1915" s="28"/>
      <c r="J1915" s="28"/>
      <c r="K1915" s="28"/>
      <c r="L1915" s="28"/>
      <c r="M1915" s="28"/>
      <c r="N1915" s="28"/>
      <c r="O1915" s="24"/>
      <c r="P1915" s="24"/>
      <c r="Q1915" s="24"/>
      <c r="R1915" s="24"/>
      <c r="S1915" s="24"/>
      <c r="T1915" s="24"/>
      <c r="U1915" s="24"/>
      <c r="V1915" s="24"/>
      <c r="W1915" s="24"/>
      <c r="X1915" s="24"/>
      <c r="Y1915" s="24"/>
      <c r="Z1915" s="24"/>
      <c r="AA1915" s="24"/>
      <c r="AB1915" s="24"/>
      <c r="AC1915" s="24"/>
      <c r="AD1915" s="24"/>
      <c r="AE1915" s="24"/>
      <c r="AF1915" s="24"/>
      <c r="AG1915" s="24"/>
      <c r="AH1915" s="24"/>
      <c r="AI1915" s="24"/>
      <c r="AJ1915" s="24"/>
      <c r="AK1915" s="24"/>
      <c r="AL1915" s="24"/>
      <c r="AM1915" s="24"/>
      <c r="AN1915" s="24"/>
      <c r="AO1915" s="24"/>
      <c r="AP1915" s="24"/>
      <c r="AQ1915" s="24"/>
      <c r="AR1915" s="24"/>
      <c r="AS1915" s="24"/>
      <c r="AT1915" s="24"/>
      <c r="AU1915" s="24"/>
      <c r="AV1915" s="24"/>
      <c r="AW1915" s="24"/>
      <c r="AX1915" s="24"/>
    </row>
    <row r="1916" ht="15.75" customHeight="1">
      <c r="A1916" s="24"/>
      <c r="B1916" s="24"/>
      <c r="C1916" s="28"/>
      <c r="D1916" s="28"/>
      <c r="E1916" s="28"/>
      <c r="F1916" s="28"/>
      <c r="G1916" s="28"/>
      <c r="H1916" s="28"/>
      <c r="I1916" s="28"/>
      <c r="J1916" s="28"/>
      <c r="K1916" s="28"/>
      <c r="L1916" s="28"/>
      <c r="M1916" s="28"/>
      <c r="N1916" s="28"/>
      <c r="O1916" s="24"/>
      <c r="P1916" s="24"/>
      <c r="Q1916" s="24"/>
      <c r="R1916" s="24"/>
      <c r="S1916" s="24"/>
      <c r="T1916" s="24"/>
      <c r="U1916" s="24"/>
      <c r="V1916" s="24"/>
      <c r="W1916" s="24"/>
      <c r="X1916" s="24"/>
      <c r="Y1916" s="24"/>
      <c r="Z1916" s="24"/>
      <c r="AA1916" s="24"/>
      <c r="AB1916" s="24"/>
      <c r="AC1916" s="24"/>
      <c r="AD1916" s="24"/>
      <c r="AE1916" s="24"/>
      <c r="AF1916" s="24"/>
      <c r="AG1916" s="24"/>
      <c r="AH1916" s="24"/>
      <c r="AI1916" s="24"/>
      <c r="AJ1916" s="24"/>
      <c r="AK1916" s="24"/>
      <c r="AL1916" s="24"/>
      <c r="AM1916" s="24"/>
      <c r="AN1916" s="24"/>
      <c r="AO1916" s="24"/>
      <c r="AP1916" s="24"/>
      <c r="AQ1916" s="24"/>
      <c r="AR1916" s="24"/>
      <c r="AS1916" s="24"/>
      <c r="AT1916" s="24"/>
      <c r="AU1916" s="24"/>
      <c r="AV1916" s="24"/>
      <c r="AW1916" s="24"/>
      <c r="AX1916" s="24"/>
    </row>
    <row r="1917" ht="15.75" customHeight="1">
      <c r="A1917" s="24"/>
      <c r="B1917" s="24"/>
      <c r="C1917" s="28"/>
      <c r="D1917" s="28"/>
      <c r="E1917" s="28"/>
      <c r="F1917" s="28"/>
      <c r="G1917" s="28"/>
      <c r="H1917" s="28"/>
      <c r="I1917" s="28"/>
      <c r="J1917" s="28"/>
      <c r="K1917" s="28"/>
      <c r="L1917" s="28"/>
      <c r="M1917" s="28"/>
      <c r="N1917" s="28"/>
      <c r="O1917" s="24"/>
      <c r="P1917" s="24"/>
      <c r="Q1917" s="24"/>
      <c r="R1917" s="24"/>
      <c r="S1917" s="24"/>
      <c r="T1917" s="24"/>
      <c r="U1917" s="24"/>
      <c r="V1917" s="24"/>
      <c r="W1917" s="24"/>
      <c r="X1917" s="24"/>
      <c r="Y1917" s="24"/>
      <c r="Z1917" s="24"/>
      <c r="AA1917" s="24"/>
      <c r="AB1917" s="24"/>
      <c r="AC1917" s="24"/>
      <c r="AD1917" s="24"/>
      <c r="AE1917" s="24"/>
      <c r="AF1917" s="24"/>
      <c r="AG1917" s="24"/>
      <c r="AH1917" s="24"/>
      <c r="AI1917" s="24"/>
      <c r="AJ1917" s="24"/>
      <c r="AK1917" s="24"/>
      <c r="AL1917" s="24"/>
      <c r="AM1917" s="24"/>
      <c r="AN1917" s="24"/>
      <c r="AO1917" s="24"/>
      <c r="AP1917" s="24"/>
      <c r="AQ1917" s="24"/>
      <c r="AR1917" s="24"/>
      <c r="AS1917" s="24"/>
      <c r="AT1917" s="24"/>
      <c r="AU1917" s="24"/>
      <c r="AV1917" s="24"/>
      <c r="AW1917" s="24"/>
      <c r="AX1917" s="24"/>
    </row>
    <row r="1918" ht="15.75" customHeight="1">
      <c r="A1918" s="24"/>
      <c r="B1918" s="24"/>
      <c r="C1918" s="28"/>
      <c r="D1918" s="28"/>
      <c r="E1918" s="28"/>
      <c r="F1918" s="28"/>
      <c r="G1918" s="28"/>
      <c r="H1918" s="28"/>
      <c r="I1918" s="28"/>
      <c r="J1918" s="28"/>
      <c r="K1918" s="28"/>
      <c r="L1918" s="28"/>
      <c r="M1918" s="28"/>
      <c r="N1918" s="28"/>
      <c r="O1918" s="24"/>
      <c r="P1918" s="24"/>
      <c r="Q1918" s="24"/>
      <c r="R1918" s="24"/>
      <c r="S1918" s="24"/>
      <c r="T1918" s="24"/>
      <c r="U1918" s="24"/>
      <c r="V1918" s="24"/>
      <c r="W1918" s="24"/>
      <c r="X1918" s="24"/>
      <c r="Y1918" s="24"/>
      <c r="Z1918" s="24"/>
      <c r="AA1918" s="24"/>
      <c r="AB1918" s="24"/>
      <c r="AC1918" s="24"/>
      <c r="AD1918" s="24"/>
      <c r="AE1918" s="24"/>
      <c r="AF1918" s="24"/>
      <c r="AG1918" s="24"/>
      <c r="AH1918" s="24"/>
      <c r="AI1918" s="24"/>
      <c r="AJ1918" s="24"/>
      <c r="AK1918" s="24"/>
      <c r="AL1918" s="24"/>
      <c r="AM1918" s="24"/>
      <c r="AN1918" s="24"/>
      <c r="AO1918" s="24"/>
      <c r="AP1918" s="24"/>
      <c r="AQ1918" s="24"/>
      <c r="AR1918" s="24"/>
      <c r="AS1918" s="24"/>
      <c r="AT1918" s="24"/>
      <c r="AU1918" s="24"/>
      <c r="AV1918" s="24"/>
      <c r="AW1918" s="24"/>
      <c r="AX1918" s="24"/>
    </row>
    <row r="1919" ht="15.75" customHeight="1">
      <c r="A1919" s="24"/>
      <c r="B1919" s="24"/>
      <c r="C1919" s="28"/>
      <c r="D1919" s="28"/>
      <c r="E1919" s="28"/>
      <c r="F1919" s="28"/>
      <c r="G1919" s="28"/>
      <c r="H1919" s="28"/>
      <c r="I1919" s="28"/>
      <c r="J1919" s="28"/>
      <c r="K1919" s="28"/>
      <c r="L1919" s="28"/>
      <c r="M1919" s="28"/>
      <c r="N1919" s="28"/>
      <c r="O1919" s="24"/>
      <c r="P1919" s="24"/>
      <c r="Q1919" s="24"/>
      <c r="R1919" s="24"/>
      <c r="S1919" s="24"/>
      <c r="T1919" s="24"/>
      <c r="U1919" s="24"/>
      <c r="V1919" s="24"/>
      <c r="W1919" s="24"/>
      <c r="X1919" s="24"/>
      <c r="Y1919" s="24"/>
      <c r="Z1919" s="24"/>
      <c r="AA1919" s="24"/>
      <c r="AB1919" s="24"/>
      <c r="AC1919" s="24"/>
      <c r="AD1919" s="24"/>
      <c r="AE1919" s="24"/>
      <c r="AF1919" s="24"/>
      <c r="AG1919" s="24"/>
      <c r="AH1919" s="24"/>
      <c r="AI1919" s="24"/>
      <c r="AJ1919" s="24"/>
      <c r="AK1919" s="24"/>
      <c r="AL1919" s="24"/>
      <c r="AM1919" s="24"/>
      <c r="AN1919" s="24"/>
      <c r="AO1919" s="24"/>
      <c r="AP1919" s="24"/>
      <c r="AQ1919" s="24"/>
      <c r="AR1919" s="24"/>
      <c r="AS1919" s="24"/>
      <c r="AT1919" s="24"/>
      <c r="AU1919" s="24"/>
      <c r="AV1919" s="24"/>
      <c r="AW1919" s="24"/>
      <c r="AX1919" s="24"/>
    </row>
    <row r="1920" ht="15.75" customHeight="1">
      <c r="A1920" s="24"/>
      <c r="B1920" s="24"/>
      <c r="C1920" s="28"/>
      <c r="D1920" s="28"/>
      <c r="E1920" s="28"/>
      <c r="F1920" s="28"/>
      <c r="G1920" s="28"/>
      <c r="H1920" s="28"/>
      <c r="I1920" s="28"/>
      <c r="J1920" s="28"/>
      <c r="K1920" s="28"/>
      <c r="L1920" s="28"/>
      <c r="M1920" s="28"/>
      <c r="N1920" s="28"/>
      <c r="O1920" s="24"/>
      <c r="P1920" s="24"/>
      <c r="Q1920" s="24"/>
      <c r="R1920" s="24"/>
      <c r="S1920" s="24"/>
      <c r="T1920" s="24"/>
      <c r="U1920" s="24"/>
      <c r="V1920" s="24"/>
      <c r="W1920" s="24"/>
      <c r="X1920" s="24"/>
      <c r="Y1920" s="24"/>
      <c r="Z1920" s="24"/>
      <c r="AA1920" s="24"/>
      <c r="AB1920" s="24"/>
      <c r="AC1920" s="24"/>
      <c r="AD1920" s="24"/>
      <c r="AE1920" s="24"/>
      <c r="AF1920" s="24"/>
      <c r="AG1920" s="24"/>
      <c r="AH1920" s="24"/>
      <c r="AI1920" s="24"/>
      <c r="AJ1920" s="24"/>
      <c r="AK1920" s="24"/>
      <c r="AL1920" s="24"/>
      <c r="AM1920" s="24"/>
      <c r="AN1920" s="24"/>
      <c r="AO1920" s="24"/>
      <c r="AP1920" s="24"/>
      <c r="AQ1920" s="24"/>
      <c r="AR1920" s="24"/>
      <c r="AS1920" s="24"/>
      <c r="AT1920" s="24"/>
      <c r="AU1920" s="24"/>
      <c r="AV1920" s="24"/>
      <c r="AW1920" s="24"/>
      <c r="AX1920" s="24"/>
    </row>
    <row r="1921" ht="15.75" customHeight="1">
      <c r="A1921" s="24"/>
      <c r="B1921" s="24"/>
      <c r="C1921" s="28"/>
      <c r="D1921" s="28"/>
      <c r="E1921" s="28"/>
      <c r="F1921" s="28"/>
      <c r="G1921" s="28"/>
      <c r="H1921" s="28"/>
      <c r="I1921" s="28"/>
      <c r="J1921" s="28"/>
      <c r="K1921" s="28"/>
      <c r="L1921" s="28"/>
      <c r="M1921" s="28"/>
      <c r="N1921" s="28"/>
      <c r="O1921" s="24"/>
      <c r="P1921" s="24"/>
      <c r="Q1921" s="24"/>
      <c r="R1921" s="24"/>
      <c r="S1921" s="24"/>
      <c r="T1921" s="24"/>
      <c r="U1921" s="24"/>
      <c r="V1921" s="24"/>
      <c r="W1921" s="24"/>
      <c r="X1921" s="24"/>
      <c r="Y1921" s="24"/>
      <c r="Z1921" s="24"/>
      <c r="AA1921" s="24"/>
      <c r="AB1921" s="24"/>
      <c r="AC1921" s="24"/>
      <c r="AD1921" s="24"/>
      <c r="AE1921" s="24"/>
      <c r="AF1921" s="24"/>
      <c r="AG1921" s="24"/>
      <c r="AH1921" s="24"/>
      <c r="AI1921" s="24"/>
      <c r="AJ1921" s="24"/>
      <c r="AK1921" s="24"/>
      <c r="AL1921" s="24"/>
      <c r="AM1921" s="24"/>
      <c r="AN1921" s="24"/>
      <c r="AO1921" s="24"/>
      <c r="AP1921" s="24"/>
      <c r="AQ1921" s="24"/>
      <c r="AR1921" s="24"/>
      <c r="AS1921" s="24"/>
      <c r="AT1921" s="24"/>
      <c r="AU1921" s="24"/>
      <c r="AV1921" s="24"/>
      <c r="AW1921" s="24"/>
      <c r="AX1921" s="24"/>
    </row>
    <row r="1922" ht="15.75" customHeight="1">
      <c r="A1922" s="24"/>
      <c r="B1922" s="24"/>
      <c r="C1922" s="28"/>
      <c r="D1922" s="28"/>
      <c r="E1922" s="28"/>
      <c r="F1922" s="28"/>
      <c r="G1922" s="28"/>
      <c r="H1922" s="28"/>
      <c r="I1922" s="28"/>
      <c r="J1922" s="28"/>
      <c r="K1922" s="28"/>
      <c r="L1922" s="28"/>
      <c r="M1922" s="28"/>
      <c r="N1922" s="28"/>
      <c r="O1922" s="24"/>
      <c r="P1922" s="24"/>
      <c r="Q1922" s="24"/>
      <c r="R1922" s="24"/>
      <c r="S1922" s="24"/>
      <c r="T1922" s="24"/>
      <c r="U1922" s="24"/>
      <c r="V1922" s="24"/>
      <c r="W1922" s="24"/>
      <c r="X1922" s="24"/>
      <c r="Y1922" s="24"/>
      <c r="Z1922" s="24"/>
      <c r="AA1922" s="24"/>
      <c r="AB1922" s="24"/>
      <c r="AC1922" s="24"/>
      <c r="AD1922" s="24"/>
      <c r="AE1922" s="24"/>
      <c r="AF1922" s="24"/>
      <c r="AG1922" s="24"/>
      <c r="AH1922" s="24"/>
      <c r="AI1922" s="24"/>
      <c r="AJ1922" s="24"/>
      <c r="AK1922" s="24"/>
      <c r="AL1922" s="24"/>
      <c r="AM1922" s="24"/>
      <c r="AN1922" s="24"/>
      <c r="AO1922" s="24"/>
      <c r="AP1922" s="24"/>
      <c r="AQ1922" s="24"/>
      <c r="AR1922" s="24"/>
      <c r="AS1922" s="24"/>
      <c r="AT1922" s="24"/>
      <c r="AU1922" s="24"/>
      <c r="AV1922" s="24"/>
      <c r="AW1922" s="24"/>
      <c r="AX1922" s="24"/>
    </row>
    <row r="1923" ht="15.75" customHeight="1">
      <c r="A1923" s="24"/>
      <c r="B1923" s="24"/>
      <c r="C1923" s="28"/>
      <c r="D1923" s="28"/>
      <c r="E1923" s="28"/>
      <c r="F1923" s="28"/>
      <c r="G1923" s="28"/>
      <c r="H1923" s="28"/>
      <c r="I1923" s="28"/>
      <c r="J1923" s="28"/>
      <c r="K1923" s="28"/>
      <c r="L1923" s="28"/>
      <c r="M1923" s="28"/>
      <c r="N1923" s="28"/>
      <c r="O1923" s="24"/>
      <c r="P1923" s="24"/>
      <c r="Q1923" s="24"/>
      <c r="R1923" s="24"/>
      <c r="S1923" s="24"/>
      <c r="T1923" s="24"/>
      <c r="U1923" s="24"/>
      <c r="V1923" s="24"/>
      <c r="W1923" s="24"/>
      <c r="X1923" s="24"/>
      <c r="Y1923" s="24"/>
      <c r="Z1923" s="24"/>
      <c r="AA1923" s="24"/>
      <c r="AB1923" s="24"/>
      <c r="AC1923" s="24"/>
      <c r="AD1923" s="24"/>
      <c r="AE1923" s="24"/>
      <c r="AF1923" s="24"/>
      <c r="AG1923" s="24"/>
      <c r="AH1923" s="24"/>
      <c r="AI1923" s="24"/>
      <c r="AJ1923" s="24"/>
      <c r="AK1923" s="24"/>
      <c r="AL1923" s="24"/>
      <c r="AM1923" s="24"/>
      <c r="AN1923" s="24"/>
      <c r="AO1923" s="24"/>
      <c r="AP1923" s="24"/>
      <c r="AQ1923" s="24"/>
      <c r="AR1923" s="24"/>
      <c r="AS1923" s="24"/>
      <c r="AT1923" s="24"/>
      <c r="AU1923" s="24"/>
      <c r="AV1923" s="24"/>
      <c r="AW1923" s="24"/>
      <c r="AX1923" s="24"/>
    </row>
    <row r="1924" ht="15.75" customHeight="1">
      <c r="A1924" s="24"/>
      <c r="B1924" s="24"/>
      <c r="C1924" s="28"/>
      <c r="D1924" s="28"/>
      <c r="E1924" s="28"/>
      <c r="F1924" s="28"/>
      <c r="G1924" s="28"/>
      <c r="H1924" s="28"/>
      <c r="I1924" s="28"/>
      <c r="J1924" s="28"/>
      <c r="K1924" s="28"/>
      <c r="L1924" s="28"/>
      <c r="M1924" s="28"/>
      <c r="N1924" s="28"/>
      <c r="O1924" s="24"/>
      <c r="P1924" s="24"/>
      <c r="Q1924" s="24"/>
      <c r="R1924" s="24"/>
      <c r="S1924" s="24"/>
      <c r="T1924" s="24"/>
      <c r="U1924" s="24"/>
      <c r="V1924" s="24"/>
      <c r="W1924" s="24"/>
      <c r="X1924" s="24"/>
      <c r="Y1924" s="24"/>
      <c r="Z1924" s="24"/>
      <c r="AA1924" s="24"/>
      <c r="AB1924" s="24"/>
      <c r="AC1924" s="24"/>
      <c r="AD1924" s="24"/>
      <c r="AE1924" s="24"/>
      <c r="AF1924" s="24"/>
      <c r="AG1924" s="24"/>
      <c r="AH1924" s="24"/>
      <c r="AI1924" s="24"/>
      <c r="AJ1924" s="24"/>
      <c r="AK1924" s="24"/>
      <c r="AL1924" s="24"/>
      <c r="AM1924" s="24"/>
      <c r="AN1924" s="24"/>
      <c r="AO1924" s="24"/>
      <c r="AP1924" s="24"/>
      <c r="AQ1924" s="24"/>
      <c r="AR1924" s="24"/>
      <c r="AS1924" s="24"/>
      <c r="AT1924" s="24"/>
      <c r="AU1924" s="24"/>
      <c r="AV1924" s="24"/>
      <c r="AW1924" s="24"/>
      <c r="AX1924" s="24"/>
    </row>
    <row r="1925" ht="15.75" customHeight="1">
      <c r="A1925" s="24"/>
      <c r="B1925" s="24"/>
      <c r="C1925" s="28"/>
      <c r="D1925" s="28"/>
      <c r="E1925" s="28"/>
      <c r="F1925" s="28"/>
      <c r="G1925" s="28"/>
      <c r="H1925" s="28"/>
      <c r="I1925" s="28"/>
      <c r="J1925" s="28"/>
      <c r="K1925" s="28"/>
      <c r="L1925" s="28"/>
      <c r="M1925" s="28"/>
      <c r="N1925" s="28"/>
      <c r="O1925" s="24"/>
      <c r="P1925" s="24"/>
      <c r="Q1925" s="24"/>
      <c r="R1925" s="24"/>
      <c r="S1925" s="24"/>
      <c r="T1925" s="24"/>
      <c r="U1925" s="24"/>
      <c r="V1925" s="24"/>
      <c r="W1925" s="24"/>
      <c r="X1925" s="24"/>
      <c r="Y1925" s="24"/>
      <c r="Z1925" s="24"/>
      <c r="AA1925" s="24"/>
      <c r="AB1925" s="24"/>
      <c r="AC1925" s="24"/>
      <c r="AD1925" s="24"/>
      <c r="AE1925" s="24"/>
      <c r="AF1925" s="24"/>
      <c r="AG1925" s="24"/>
      <c r="AH1925" s="24"/>
      <c r="AI1925" s="24"/>
      <c r="AJ1925" s="24"/>
      <c r="AK1925" s="24"/>
      <c r="AL1925" s="24"/>
      <c r="AM1925" s="24"/>
      <c r="AN1925" s="24"/>
      <c r="AO1925" s="24"/>
      <c r="AP1925" s="24"/>
      <c r="AQ1925" s="24"/>
      <c r="AR1925" s="24"/>
      <c r="AS1925" s="24"/>
      <c r="AT1925" s="24"/>
      <c r="AU1925" s="24"/>
      <c r="AV1925" s="24"/>
      <c r="AW1925" s="24"/>
      <c r="AX1925" s="24"/>
    </row>
    <row r="1926" ht="15.75" customHeight="1">
      <c r="A1926" s="24"/>
      <c r="B1926" s="24"/>
      <c r="C1926" s="28"/>
      <c r="D1926" s="28"/>
      <c r="E1926" s="28"/>
      <c r="F1926" s="28"/>
      <c r="G1926" s="28"/>
      <c r="H1926" s="28"/>
      <c r="I1926" s="28"/>
      <c r="J1926" s="28"/>
      <c r="K1926" s="28"/>
      <c r="L1926" s="28"/>
      <c r="M1926" s="28"/>
      <c r="N1926" s="28"/>
      <c r="O1926" s="24"/>
      <c r="P1926" s="24"/>
      <c r="Q1926" s="24"/>
      <c r="R1926" s="24"/>
      <c r="S1926" s="24"/>
      <c r="T1926" s="24"/>
      <c r="U1926" s="24"/>
      <c r="V1926" s="24"/>
      <c r="W1926" s="24"/>
      <c r="X1926" s="24"/>
      <c r="Y1926" s="24"/>
      <c r="Z1926" s="24"/>
      <c r="AA1926" s="24"/>
      <c r="AB1926" s="24"/>
      <c r="AC1926" s="24"/>
      <c r="AD1926" s="24"/>
      <c r="AE1926" s="24"/>
      <c r="AF1926" s="24"/>
      <c r="AG1926" s="24"/>
      <c r="AH1926" s="24"/>
      <c r="AI1926" s="24"/>
      <c r="AJ1926" s="24"/>
      <c r="AK1926" s="24"/>
      <c r="AL1926" s="24"/>
      <c r="AM1926" s="24"/>
      <c r="AN1926" s="24"/>
      <c r="AO1926" s="24"/>
      <c r="AP1926" s="24"/>
      <c r="AQ1926" s="24"/>
      <c r="AR1926" s="24"/>
      <c r="AS1926" s="24"/>
      <c r="AT1926" s="24"/>
      <c r="AU1926" s="24"/>
      <c r="AV1926" s="24"/>
      <c r="AW1926" s="24"/>
      <c r="AX1926" s="24"/>
    </row>
    <row r="1927" ht="15.75" customHeight="1">
      <c r="A1927" s="24"/>
      <c r="B1927" s="24"/>
      <c r="C1927" s="28"/>
      <c r="D1927" s="28"/>
      <c r="E1927" s="28"/>
      <c r="F1927" s="28"/>
      <c r="G1927" s="28"/>
      <c r="H1927" s="28"/>
      <c r="I1927" s="28"/>
      <c r="J1927" s="28"/>
      <c r="K1927" s="28"/>
      <c r="L1927" s="28"/>
      <c r="M1927" s="28"/>
      <c r="N1927" s="28"/>
      <c r="O1927" s="24"/>
      <c r="P1927" s="24"/>
      <c r="Q1927" s="24"/>
      <c r="R1927" s="24"/>
      <c r="S1927" s="24"/>
      <c r="T1927" s="24"/>
      <c r="U1927" s="24"/>
      <c r="V1927" s="24"/>
      <c r="W1927" s="24"/>
      <c r="X1927" s="24"/>
      <c r="Y1927" s="24"/>
      <c r="Z1927" s="24"/>
      <c r="AA1927" s="24"/>
      <c r="AB1927" s="24"/>
      <c r="AC1927" s="24"/>
      <c r="AD1927" s="24"/>
      <c r="AE1927" s="24"/>
      <c r="AF1927" s="24"/>
      <c r="AG1927" s="24"/>
      <c r="AH1927" s="24"/>
      <c r="AI1927" s="24"/>
      <c r="AJ1927" s="24"/>
      <c r="AK1927" s="24"/>
      <c r="AL1927" s="24"/>
      <c r="AM1927" s="24"/>
      <c r="AN1927" s="24"/>
      <c r="AO1927" s="24"/>
      <c r="AP1927" s="24"/>
      <c r="AQ1927" s="24"/>
      <c r="AR1927" s="24"/>
      <c r="AS1927" s="24"/>
      <c r="AT1927" s="24"/>
      <c r="AU1927" s="24"/>
      <c r="AV1927" s="24"/>
      <c r="AW1927" s="24"/>
      <c r="AX1927" s="24"/>
    </row>
    <row r="1928" ht="15.75" customHeight="1">
      <c r="A1928" s="24"/>
      <c r="B1928" s="24"/>
      <c r="C1928" s="28"/>
      <c r="D1928" s="28"/>
      <c r="E1928" s="28"/>
      <c r="F1928" s="28"/>
      <c r="G1928" s="28"/>
      <c r="H1928" s="28"/>
      <c r="I1928" s="28"/>
      <c r="J1928" s="28"/>
      <c r="K1928" s="28"/>
      <c r="L1928" s="28"/>
      <c r="M1928" s="28"/>
      <c r="N1928" s="28"/>
      <c r="O1928" s="24"/>
      <c r="P1928" s="24"/>
      <c r="Q1928" s="24"/>
      <c r="R1928" s="24"/>
      <c r="S1928" s="24"/>
      <c r="T1928" s="24"/>
      <c r="U1928" s="24"/>
      <c r="V1928" s="24"/>
      <c r="W1928" s="24"/>
      <c r="X1928" s="24"/>
      <c r="Y1928" s="24"/>
      <c r="Z1928" s="24"/>
      <c r="AA1928" s="24"/>
      <c r="AB1928" s="24"/>
      <c r="AC1928" s="24"/>
      <c r="AD1928" s="24"/>
      <c r="AE1928" s="24"/>
      <c r="AF1928" s="24"/>
      <c r="AG1928" s="24"/>
      <c r="AH1928" s="24"/>
      <c r="AI1928" s="24"/>
      <c r="AJ1928" s="24"/>
      <c r="AK1928" s="24"/>
      <c r="AL1928" s="24"/>
      <c r="AM1928" s="24"/>
      <c r="AN1928" s="24"/>
      <c r="AO1928" s="24"/>
      <c r="AP1928" s="24"/>
      <c r="AQ1928" s="24"/>
      <c r="AR1928" s="24"/>
      <c r="AS1928" s="24"/>
      <c r="AT1928" s="24"/>
      <c r="AU1928" s="24"/>
      <c r="AV1928" s="24"/>
      <c r="AW1928" s="24"/>
      <c r="AX1928" s="24"/>
    </row>
    <row r="1929" ht="15.75" customHeight="1">
      <c r="A1929" s="24"/>
      <c r="B1929" s="24"/>
      <c r="C1929" s="28"/>
      <c r="D1929" s="28"/>
      <c r="E1929" s="28"/>
      <c r="F1929" s="28"/>
      <c r="G1929" s="28"/>
      <c r="H1929" s="28"/>
      <c r="I1929" s="28"/>
      <c r="J1929" s="28"/>
      <c r="K1929" s="28"/>
      <c r="L1929" s="28"/>
      <c r="M1929" s="28"/>
      <c r="N1929" s="28"/>
      <c r="O1929" s="24"/>
      <c r="P1929" s="24"/>
      <c r="Q1929" s="24"/>
      <c r="R1929" s="24"/>
      <c r="S1929" s="24"/>
      <c r="T1929" s="24"/>
      <c r="U1929" s="24"/>
      <c r="V1929" s="24"/>
      <c r="W1929" s="24"/>
      <c r="X1929" s="24"/>
      <c r="Y1929" s="24"/>
      <c r="Z1929" s="24"/>
      <c r="AA1929" s="24"/>
      <c r="AB1929" s="24"/>
      <c r="AC1929" s="24"/>
      <c r="AD1929" s="24"/>
      <c r="AE1929" s="24"/>
      <c r="AF1929" s="24"/>
      <c r="AG1929" s="24"/>
      <c r="AH1929" s="24"/>
      <c r="AI1929" s="24"/>
      <c r="AJ1929" s="24"/>
      <c r="AK1929" s="24"/>
      <c r="AL1929" s="24"/>
      <c r="AM1929" s="24"/>
      <c r="AN1929" s="24"/>
      <c r="AO1929" s="24"/>
      <c r="AP1929" s="24"/>
      <c r="AQ1929" s="24"/>
      <c r="AR1929" s="24"/>
      <c r="AS1929" s="24"/>
      <c r="AT1929" s="24"/>
      <c r="AU1929" s="24"/>
      <c r="AV1929" s="24"/>
      <c r="AW1929" s="24"/>
      <c r="AX1929" s="24"/>
    </row>
    <row r="1930" ht="15.75" customHeight="1">
      <c r="A1930" s="24"/>
      <c r="B1930" s="24"/>
      <c r="C1930" s="28"/>
      <c r="D1930" s="28"/>
      <c r="E1930" s="28"/>
      <c r="F1930" s="28"/>
      <c r="G1930" s="28"/>
      <c r="H1930" s="28"/>
      <c r="I1930" s="28"/>
      <c r="J1930" s="28"/>
      <c r="K1930" s="28"/>
      <c r="L1930" s="28"/>
      <c r="M1930" s="28"/>
      <c r="N1930" s="28"/>
      <c r="O1930" s="24"/>
      <c r="P1930" s="24"/>
      <c r="Q1930" s="24"/>
      <c r="R1930" s="24"/>
      <c r="S1930" s="24"/>
      <c r="T1930" s="24"/>
      <c r="U1930" s="24"/>
      <c r="V1930" s="24"/>
      <c r="W1930" s="24"/>
      <c r="X1930" s="24"/>
      <c r="Y1930" s="24"/>
      <c r="Z1930" s="24"/>
      <c r="AA1930" s="24"/>
      <c r="AB1930" s="24"/>
      <c r="AC1930" s="24"/>
      <c r="AD1930" s="24"/>
      <c r="AE1930" s="24"/>
      <c r="AF1930" s="24"/>
      <c r="AG1930" s="24"/>
      <c r="AH1930" s="24"/>
      <c r="AI1930" s="24"/>
      <c r="AJ1930" s="24"/>
      <c r="AK1930" s="24"/>
      <c r="AL1930" s="24"/>
      <c r="AM1930" s="24"/>
      <c r="AN1930" s="24"/>
      <c r="AO1930" s="24"/>
      <c r="AP1930" s="24"/>
      <c r="AQ1930" s="24"/>
      <c r="AR1930" s="24"/>
      <c r="AS1930" s="24"/>
      <c r="AT1930" s="24"/>
      <c r="AU1930" s="24"/>
      <c r="AV1930" s="24"/>
      <c r="AW1930" s="24"/>
      <c r="AX1930" s="24"/>
    </row>
    <row r="1931" ht="15.75" customHeight="1">
      <c r="A1931" s="24"/>
      <c r="B1931" s="24"/>
      <c r="C1931" s="28"/>
      <c r="D1931" s="28"/>
      <c r="E1931" s="28"/>
      <c r="F1931" s="28"/>
      <c r="G1931" s="28"/>
      <c r="H1931" s="28"/>
      <c r="I1931" s="28"/>
      <c r="J1931" s="28"/>
      <c r="K1931" s="28"/>
      <c r="L1931" s="28"/>
      <c r="M1931" s="28"/>
      <c r="N1931" s="28"/>
      <c r="O1931" s="24"/>
      <c r="P1931" s="24"/>
      <c r="Q1931" s="24"/>
      <c r="R1931" s="24"/>
      <c r="S1931" s="24"/>
      <c r="T1931" s="24"/>
      <c r="U1931" s="24"/>
      <c r="V1931" s="24"/>
      <c r="W1931" s="24"/>
      <c r="X1931" s="24"/>
      <c r="Y1931" s="24"/>
      <c r="Z1931" s="24"/>
      <c r="AA1931" s="24"/>
      <c r="AB1931" s="24"/>
      <c r="AC1931" s="24"/>
      <c r="AD1931" s="24"/>
      <c r="AE1931" s="24"/>
      <c r="AF1931" s="24"/>
      <c r="AG1931" s="24"/>
      <c r="AH1931" s="24"/>
      <c r="AI1931" s="24"/>
      <c r="AJ1931" s="24"/>
      <c r="AK1931" s="24"/>
      <c r="AL1931" s="24"/>
      <c r="AM1931" s="24"/>
      <c r="AN1931" s="24"/>
      <c r="AO1931" s="24"/>
      <c r="AP1931" s="24"/>
      <c r="AQ1931" s="24"/>
      <c r="AR1931" s="24"/>
      <c r="AS1931" s="24"/>
      <c r="AT1931" s="24"/>
      <c r="AU1931" s="24"/>
      <c r="AV1931" s="24"/>
      <c r="AW1931" s="24"/>
      <c r="AX1931" s="24"/>
    </row>
    <row r="1932" ht="15.75" customHeight="1">
      <c r="A1932" s="24"/>
      <c r="B1932" s="24"/>
      <c r="C1932" s="28"/>
      <c r="D1932" s="28"/>
      <c r="E1932" s="28"/>
      <c r="F1932" s="28"/>
      <c r="G1932" s="28"/>
      <c r="H1932" s="28"/>
      <c r="I1932" s="28"/>
      <c r="J1932" s="28"/>
      <c r="K1932" s="28"/>
      <c r="L1932" s="28"/>
      <c r="M1932" s="28"/>
      <c r="N1932" s="28"/>
      <c r="O1932" s="24"/>
      <c r="P1932" s="24"/>
      <c r="Q1932" s="24"/>
      <c r="R1932" s="24"/>
      <c r="S1932" s="24"/>
      <c r="T1932" s="24"/>
      <c r="U1932" s="24"/>
      <c r="V1932" s="24"/>
      <c r="W1932" s="24"/>
      <c r="X1932" s="24"/>
      <c r="Y1932" s="24"/>
      <c r="Z1932" s="24"/>
      <c r="AA1932" s="24"/>
      <c r="AB1932" s="24"/>
      <c r="AC1932" s="24"/>
      <c r="AD1932" s="24"/>
      <c r="AE1932" s="24"/>
      <c r="AF1932" s="24"/>
      <c r="AG1932" s="24"/>
      <c r="AH1932" s="24"/>
      <c r="AI1932" s="24"/>
      <c r="AJ1932" s="24"/>
      <c r="AK1932" s="24"/>
      <c r="AL1932" s="24"/>
      <c r="AM1932" s="24"/>
      <c r="AN1932" s="24"/>
      <c r="AO1932" s="24"/>
      <c r="AP1932" s="24"/>
      <c r="AQ1932" s="24"/>
      <c r="AR1932" s="24"/>
      <c r="AS1932" s="24"/>
      <c r="AT1932" s="24"/>
      <c r="AU1932" s="24"/>
      <c r="AV1932" s="24"/>
      <c r="AW1932" s="24"/>
      <c r="AX1932" s="24"/>
    </row>
    <row r="1933" ht="15.75" customHeight="1">
      <c r="A1933" s="24"/>
      <c r="B1933" s="24"/>
      <c r="C1933" s="28"/>
      <c r="D1933" s="28"/>
      <c r="E1933" s="28"/>
      <c r="F1933" s="28"/>
      <c r="G1933" s="28"/>
      <c r="H1933" s="28"/>
      <c r="I1933" s="28"/>
      <c r="J1933" s="28"/>
      <c r="K1933" s="28"/>
      <c r="L1933" s="28"/>
      <c r="M1933" s="28"/>
      <c r="N1933" s="28"/>
      <c r="O1933" s="24"/>
      <c r="P1933" s="24"/>
      <c r="Q1933" s="24"/>
      <c r="R1933" s="24"/>
      <c r="S1933" s="24"/>
      <c r="T1933" s="24"/>
      <c r="U1933" s="24"/>
      <c r="V1933" s="24"/>
      <c r="W1933" s="24"/>
      <c r="X1933" s="24"/>
      <c r="Y1933" s="24"/>
      <c r="Z1933" s="24"/>
      <c r="AA1933" s="24"/>
      <c r="AB1933" s="24"/>
      <c r="AC1933" s="24"/>
      <c r="AD1933" s="24"/>
      <c r="AE1933" s="24"/>
      <c r="AF1933" s="24"/>
      <c r="AG1933" s="24"/>
      <c r="AH1933" s="24"/>
      <c r="AI1933" s="24"/>
      <c r="AJ1933" s="24"/>
      <c r="AK1933" s="24"/>
      <c r="AL1933" s="24"/>
      <c r="AM1933" s="24"/>
      <c r="AN1933" s="24"/>
      <c r="AO1933" s="24"/>
      <c r="AP1933" s="24"/>
      <c r="AQ1933" s="24"/>
      <c r="AR1933" s="24"/>
      <c r="AS1933" s="24"/>
      <c r="AT1933" s="24"/>
      <c r="AU1933" s="24"/>
      <c r="AV1933" s="24"/>
      <c r="AW1933" s="24"/>
      <c r="AX1933" s="24"/>
    </row>
    <row r="1934" ht="15.75" customHeight="1">
      <c r="A1934" s="24"/>
      <c r="B1934" s="24"/>
      <c r="C1934" s="28"/>
      <c r="D1934" s="28"/>
      <c r="E1934" s="28"/>
      <c r="F1934" s="28"/>
      <c r="G1934" s="28"/>
      <c r="H1934" s="28"/>
      <c r="I1934" s="28"/>
      <c r="J1934" s="28"/>
      <c r="K1934" s="28"/>
      <c r="L1934" s="28"/>
      <c r="M1934" s="28"/>
      <c r="N1934" s="28"/>
      <c r="O1934" s="24"/>
      <c r="P1934" s="24"/>
      <c r="Q1934" s="24"/>
      <c r="R1934" s="24"/>
      <c r="S1934" s="24"/>
      <c r="T1934" s="24"/>
      <c r="U1934" s="24"/>
      <c r="V1934" s="24"/>
      <c r="W1934" s="24"/>
      <c r="X1934" s="24"/>
      <c r="Y1934" s="24"/>
      <c r="Z1934" s="24"/>
      <c r="AA1934" s="24"/>
      <c r="AB1934" s="24"/>
      <c r="AC1934" s="24"/>
      <c r="AD1934" s="24"/>
      <c r="AE1934" s="24"/>
      <c r="AF1934" s="24"/>
      <c r="AG1934" s="24"/>
      <c r="AH1934" s="24"/>
      <c r="AI1934" s="24"/>
      <c r="AJ1934" s="24"/>
      <c r="AK1934" s="24"/>
      <c r="AL1934" s="24"/>
      <c r="AM1934" s="24"/>
      <c r="AN1934" s="24"/>
      <c r="AO1934" s="24"/>
      <c r="AP1934" s="24"/>
      <c r="AQ1934" s="24"/>
      <c r="AR1934" s="24"/>
      <c r="AS1934" s="24"/>
      <c r="AT1934" s="24"/>
      <c r="AU1934" s="24"/>
      <c r="AV1934" s="24"/>
      <c r="AW1934" s="24"/>
      <c r="AX1934" s="24"/>
    </row>
    <row r="1935" ht="15.75" customHeight="1">
      <c r="A1935" s="24"/>
      <c r="B1935" s="24"/>
      <c r="C1935" s="28"/>
      <c r="D1935" s="28"/>
      <c r="E1935" s="28"/>
      <c r="F1935" s="28"/>
      <c r="G1935" s="28"/>
      <c r="H1935" s="28"/>
      <c r="I1935" s="28"/>
      <c r="J1935" s="28"/>
      <c r="K1935" s="28"/>
      <c r="L1935" s="28"/>
      <c r="M1935" s="28"/>
      <c r="N1935" s="28"/>
      <c r="O1935" s="24"/>
      <c r="P1935" s="24"/>
      <c r="Q1935" s="24"/>
      <c r="R1935" s="24"/>
      <c r="S1935" s="24"/>
      <c r="T1935" s="24"/>
      <c r="U1935" s="24"/>
      <c r="V1935" s="24"/>
      <c r="W1935" s="24"/>
      <c r="X1935" s="24"/>
      <c r="Y1935" s="24"/>
      <c r="Z1935" s="24"/>
      <c r="AA1935" s="24"/>
      <c r="AB1935" s="24"/>
      <c r="AC1935" s="24"/>
      <c r="AD1935" s="24"/>
      <c r="AE1935" s="24"/>
      <c r="AF1935" s="24"/>
      <c r="AG1935" s="24"/>
      <c r="AH1935" s="24"/>
      <c r="AI1935" s="24"/>
      <c r="AJ1935" s="24"/>
      <c r="AK1935" s="24"/>
      <c r="AL1935" s="24"/>
      <c r="AM1935" s="24"/>
      <c r="AN1935" s="24"/>
      <c r="AO1935" s="24"/>
      <c r="AP1935" s="24"/>
      <c r="AQ1935" s="24"/>
      <c r="AR1935" s="24"/>
      <c r="AS1935" s="24"/>
      <c r="AT1935" s="24"/>
      <c r="AU1935" s="24"/>
      <c r="AV1935" s="24"/>
      <c r="AW1935" s="24"/>
      <c r="AX1935" s="24"/>
    </row>
    <row r="1936" ht="15.75" customHeight="1">
      <c r="A1936" s="24"/>
      <c r="B1936" s="24"/>
      <c r="C1936" s="28"/>
      <c r="D1936" s="28"/>
      <c r="E1936" s="28"/>
      <c r="F1936" s="28"/>
      <c r="G1936" s="28"/>
      <c r="H1936" s="28"/>
      <c r="I1936" s="28"/>
      <c r="J1936" s="28"/>
      <c r="K1936" s="28"/>
      <c r="L1936" s="28"/>
      <c r="M1936" s="28"/>
      <c r="N1936" s="28"/>
      <c r="O1936" s="24"/>
      <c r="P1936" s="24"/>
      <c r="Q1936" s="24"/>
      <c r="R1936" s="24"/>
      <c r="S1936" s="24"/>
      <c r="T1936" s="24"/>
      <c r="U1936" s="24"/>
      <c r="V1936" s="24"/>
      <c r="W1936" s="24"/>
      <c r="X1936" s="24"/>
      <c r="Y1936" s="24"/>
      <c r="Z1936" s="24"/>
      <c r="AA1936" s="24"/>
      <c r="AB1936" s="24"/>
      <c r="AC1936" s="24"/>
      <c r="AD1936" s="24"/>
      <c r="AE1936" s="24"/>
      <c r="AF1936" s="24"/>
      <c r="AG1936" s="24"/>
      <c r="AH1936" s="24"/>
      <c r="AI1936" s="24"/>
      <c r="AJ1936" s="24"/>
      <c r="AK1936" s="24"/>
      <c r="AL1936" s="24"/>
      <c r="AM1936" s="24"/>
      <c r="AN1936" s="24"/>
      <c r="AO1936" s="24"/>
      <c r="AP1936" s="24"/>
      <c r="AQ1936" s="24"/>
      <c r="AR1936" s="24"/>
      <c r="AS1936" s="24"/>
      <c r="AT1936" s="24"/>
      <c r="AU1936" s="24"/>
      <c r="AV1936" s="24"/>
      <c r="AW1936" s="24"/>
      <c r="AX1936" s="24"/>
    </row>
    <row r="1937" ht="15.75" customHeight="1">
      <c r="A1937" s="24"/>
      <c r="B1937" s="24"/>
      <c r="C1937" s="28"/>
      <c r="D1937" s="28"/>
      <c r="E1937" s="28"/>
      <c r="F1937" s="28"/>
      <c r="G1937" s="28"/>
      <c r="H1937" s="28"/>
      <c r="I1937" s="28"/>
      <c r="J1937" s="28"/>
      <c r="K1937" s="28"/>
      <c r="L1937" s="28"/>
      <c r="M1937" s="28"/>
      <c r="N1937" s="28"/>
      <c r="O1937" s="24"/>
      <c r="P1937" s="24"/>
      <c r="Q1937" s="24"/>
      <c r="R1937" s="24"/>
      <c r="S1937" s="24"/>
      <c r="T1937" s="24"/>
      <c r="U1937" s="24"/>
      <c r="V1937" s="24"/>
      <c r="W1937" s="24"/>
      <c r="X1937" s="24"/>
      <c r="Y1937" s="24"/>
      <c r="Z1937" s="24"/>
      <c r="AA1937" s="24"/>
      <c r="AB1937" s="24"/>
      <c r="AC1937" s="24"/>
      <c r="AD1937" s="24"/>
      <c r="AE1937" s="24"/>
      <c r="AF1937" s="24"/>
      <c r="AG1937" s="24"/>
      <c r="AH1937" s="24"/>
      <c r="AI1937" s="24"/>
      <c r="AJ1937" s="24"/>
      <c r="AK1937" s="24"/>
      <c r="AL1937" s="24"/>
      <c r="AM1937" s="24"/>
      <c r="AN1937" s="24"/>
      <c r="AO1937" s="24"/>
      <c r="AP1937" s="24"/>
      <c r="AQ1937" s="24"/>
      <c r="AR1937" s="24"/>
      <c r="AS1937" s="24"/>
      <c r="AT1937" s="24"/>
      <c r="AU1937" s="24"/>
      <c r="AV1937" s="24"/>
      <c r="AW1937" s="24"/>
      <c r="AX1937" s="24"/>
    </row>
    <row r="1938" ht="15.75" customHeight="1">
      <c r="A1938" s="24"/>
      <c r="B1938" s="24"/>
      <c r="C1938" s="28"/>
      <c r="D1938" s="28"/>
      <c r="E1938" s="28"/>
      <c r="F1938" s="28"/>
      <c r="G1938" s="28"/>
      <c r="H1938" s="28"/>
      <c r="I1938" s="28"/>
      <c r="J1938" s="28"/>
      <c r="K1938" s="28"/>
      <c r="L1938" s="28"/>
      <c r="M1938" s="28"/>
      <c r="N1938" s="28"/>
      <c r="O1938" s="24"/>
      <c r="P1938" s="24"/>
      <c r="Q1938" s="24"/>
      <c r="R1938" s="24"/>
      <c r="S1938" s="24"/>
      <c r="T1938" s="24"/>
      <c r="U1938" s="24"/>
      <c r="V1938" s="24"/>
      <c r="W1938" s="24"/>
      <c r="X1938" s="24"/>
      <c r="Y1938" s="24"/>
      <c r="Z1938" s="24"/>
      <c r="AA1938" s="24"/>
      <c r="AB1938" s="24"/>
      <c r="AC1938" s="24"/>
      <c r="AD1938" s="24"/>
      <c r="AE1938" s="24"/>
      <c r="AF1938" s="24"/>
      <c r="AG1938" s="24"/>
      <c r="AH1938" s="24"/>
      <c r="AI1938" s="24"/>
      <c r="AJ1938" s="24"/>
      <c r="AK1938" s="24"/>
      <c r="AL1938" s="24"/>
      <c r="AM1938" s="24"/>
      <c r="AN1938" s="24"/>
      <c r="AO1938" s="24"/>
      <c r="AP1938" s="24"/>
      <c r="AQ1938" s="24"/>
      <c r="AR1938" s="24"/>
      <c r="AS1938" s="24"/>
      <c r="AT1938" s="24"/>
      <c r="AU1938" s="24"/>
      <c r="AV1938" s="24"/>
      <c r="AW1938" s="24"/>
      <c r="AX1938" s="24"/>
    </row>
    <row r="1939" ht="15.75" customHeight="1">
      <c r="A1939" s="24"/>
      <c r="B1939" s="24"/>
      <c r="C1939" s="28"/>
      <c r="D1939" s="28"/>
      <c r="E1939" s="28"/>
      <c r="F1939" s="28"/>
      <c r="G1939" s="28"/>
      <c r="H1939" s="28"/>
      <c r="I1939" s="28"/>
      <c r="J1939" s="28"/>
      <c r="K1939" s="28"/>
      <c r="L1939" s="28"/>
      <c r="M1939" s="28"/>
      <c r="N1939" s="28"/>
      <c r="O1939" s="24"/>
      <c r="P1939" s="24"/>
      <c r="Q1939" s="24"/>
      <c r="R1939" s="24"/>
      <c r="S1939" s="24"/>
      <c r="T1939" s="24"/>
      <c r="U1939" s="24"/>
      <c r="V1939" s="24"/>
      <c r="W1939" s="24"/>
      <c r="X1939" s="24"/>
      <c r="Y1939" s="24"/>
      <c r="Z1939" s="24"/>
      <c r="AA1939" s="24"/>
      <c r="AB1939" s="24"/>
      <c r="AC1939" s="24"/>
      <c r="AD1939" s="24"/>
      <c r="AE1939" s="24"/>
      <c r="AF1939" s="24"/>
      <c r="AG1939" s="24"/>
      <c r="AH1939" s="24"/>
      <c r="AI1939" s="24"/>
      <c r="AJ1939" s="24"/>
      <c r="AK1939" s="24"/>
      <c r="AL1939" s="24"/>
      <c r="AM1939" s="24"/>
      <c r="AN1939" s="24"/>
      <c r="AO1939" s="24"/>
      <c r="AP1939" s="24"/>
      <c r="AQ1939" s="24"/>
      <c r="AR1939" s="24"/>
      <c r="AS1939" s="24"/>
      <c r="AT1939" s="24"/>
      <c r="AU1939" s="24"/>
      <c r="AV1939" s="24"/>
      <c r="AW1939" s="24"/>
      <c r="AX1939" s="24"/>
    </row>
    <row r="1940" ht="15.75" customHeight="1">
      <c r="A1940" s="24"/>
      <c r="B1940" s="24"/>
      <c r="C1940" s="28"/>
      <c r="D1940" s="28"/>
      <c r="E1940" s="28"/>
      <c r="F1940" s="28"/>
      <c r="G1940" s="28"/>
      <c r="H1940" s="28"/>
      <c r="I1940" s="28"/>
      <c r="J1940" s="28"/>
      <c r="K1940" s="28"/>
      <c r="L1940" s="28"/>
      <c r="M1940" s="28"/>
      <c r="N1940" s="28"/>
      <c r="O1940" s="24"/>
      <c r="P1940" s="24"/>
      <c r="Q1940" s="24"/>
      <c r="R1940" s="24"/>
      <c r="S1940" s="24"/>
      <c r="T1940" s="24"/>
      <c r="U1940" s="24"/>
      <c r="V1940" s="24"/>
      <c r="W1940" s="24"/>
      <c r="X1940" s="24"/>
      <c r="Y1940" s="24"/>
      <c r="Z1940" s="24"/>
      <c r="AA1940" s="24"/>
      <c r="AB1940" s="24"/>
      <c r="AC1940" s="24"/>
      <c r="AD1940" s="24"/>
      <c r="AE1940" s="24"/>
      <c r="AF1940" s="24"/>
      <c r="AG1940" s="24"/>
      <c r="AH1940" s="24"/>
      <c r="AI1940" s="24"/>
      <c r="AJ1940" s="24"/>
      <c r="AK1940" s="24"/>
      <c r="AL1940" s="24"/>
      <c r="AM1940" s="24"/>
      <c r="AN1940" s="24"/>
      <c r="AO1940" s="24"/>
      <c r="AP1940" s="24"/>
      <c r="AQ1940" s="24"/>
      <c r="AR1940" s="24"/>
      <c r="AS1940" s="24"/>
      <c r="AT1940" s="24"/>
      <c r="AU1940" s="24"/>
      <c r="AV1940" s="24"/>
      <c r="AW1940" s="24"/>
      <c r="AX1940" s="24"/>
    </row>
    <row r="1941" ht="15.75" customHeight="1">
      <c r="A1941" s="24"/>
      <c r="B1941" s="24"/>
      <c r="C1941" s="28"/>
      <c r="D1941" s="28"/>
      <c r="E1941" s="28"/>
      <c r="F1941" s="28"/>
      <c r="G1941" s="28"/>
      <c r="H1941" s="28"/>
      <c r="I1941" s="28"/>
      <c r="J1941" s="28"/>
      <c r="K1941" s="28"/>
      <c r="L1941" s="28"/>
      <c r="M1941" s="28"/>
      <c r="N1941" s="28"/>
      <c r="O1941" s="24"/>
      <c r="P1941" s="24"/>
      <c r="Q1941" s="24"/>
      <c r="R1941" s="24"/>
      <c r="S1941" s="24"/>
      <c r="T1941" s="24"/>
      <c r="U1941" s="24"/>
      <c r="V1941" s="24"/>
      <c r="W1941" s="24"/>
      <c r="X1941" s="24"/>
      <c r="Y1941" s="24"/>
      <c r="Z1941" s="24"/>
      <c r="AA1941" s="24"/>
      <c r="AB1941" s="24"/>
      <c r="AC1941" s="24"/>
      <c r="AD1941" s="24"/>
      <c r="AE1941" s="24"/>
      <c r="AF1941" s="24"/>
      <c r="AG1941" s="24"/>
      <c r="AH1941" s="24"/>
      <c r="AI1941" s="24"/>
      <c r="AJ1941" s="24"/>
      <c r="AK1941" s="24"/>
      <c r="AL1941" s="24"/>
      <c r="AM1941" s="24"/>
      <c r="AN1941" s="24"/>
      <c r="AO1941" s="24"/>
      <c r="AP1941" s="24"/>
      <c r="AQ1941" s="24"/>
      <c r="AR1941" s="24"/>
      <c r="AS1941" s="24"/>
      <c r="AT1941" s="24"/>
      <c r="AU1941" s="24"/>
      <c r="AV1941" s="24"/>
      <c r="AW1941" s="24"/>
      <c r="AX1941" s="24"/>
    </row>
    <row r="1942" ht="15.75" customHeight="1">
      <c r="A1942" s="24"/>
      <c r="B1942" s="24"/>
      <c r="C1942" s="28"/>
      <c r="D1942" s="28"/>
      <c r="E1942" s="28"/>
      <c r="F1942" s="28"/>
      <c r="G1942" s="28"/>
      <c r="H1942" s="28"/>
      <c r="I1942" s="28"/>
      <c r="J1942" s="28"/>
      <c r="K1942" s="28"/>
      <c r="L1942" s="28"/>
      <c r="M1942" s="28"/>
      <c r="N1942" s="28"/>
      <c r="O1942" s="24"/>
      <c r="P1942" s="24"/>
      <c r="Q1942" s="24"/>
      <c r="R1942" s="24"/>
      <c r="S1942" s="24"/>
      <c r="T1942" s="24"/>
      <c r="U1942" s="24"/>
      <c r="V1942" s="24"/>
      <c r="W1942" s="24"/>
      <c r="X1942" s="24"/>
      <c r="Y1942" s="24"/>
      <c r="Z1942" s="24"/>
      <c r="AA1942" s="24"/>
      <c r="AB1942" s="24"/>
      <c r="AC1942" s="24"/>
      <c r="AD1942" s="24"/>
      <c r="AE1942" s="24"/>
      <c r="AF1942" s="24"/>
      <c r="AG1942" s="24"/>
      <c r="AH1942" s="24"/>
      <c r="AI1942" s="24"/>
      <c r="AJ1942" s="24"/>
      <c r="AK1942" s="24"/>
      <c r="AL1942" s="24"/>
      <c r="AM1942" s="24"/>
      <c r="AN1942" s="24"/>
      <c r="AO1942" s="24"/>
      <c r="AP1942" s="24"/>
      <c r="AQ1942" s="24"/>
      <c r="AR1942" s="24"/>
      <c r="AS1942" s="24"/>
      <c r="AT1942" s="24"/>
      <c r="AU1942" s="24"/>
      <c r="AV1942" s="24"/>
      <c r="AW1942" s="24"/>
      <c r="AX1942" s="24"/>
    </row>
    <row r="1943" ht="15.75" customHeight="1">
      <c r="A1943" s="24"/>
      <c r="B1943" s="24"/>
      <c r="C1943" s="28"/>
      <c r="D1943" s="28"/>
      <c r="E1943" s="28"/>
      <c r="F1943" s="28"/>
      <c r="G1943" s="28"/>
      <c r="H1943" s="28"/>
      <c r="I1943" s="28"/>
      <c r="J1943" s="28"/>
      <c r="K1943" s="28"/>
      <c r="L1943" s="28"/>
      <c r="M1943" s="28"/>
      <c r="N1943" s="28"/>
      <c r="O1943" s="24"/>
      <c r="P1943" s="24"/>
      <c r="Q1943" s="24"/>
      <c r="R1943" s="24"/>
      <c r="S1943" s="24"/>
      <c r="T1943" s="24"/>
      <c r="U1943" s="24"/>
      <c r="V1943" s="24"/>
      <c r="W1943" s="24"/>
      <c r="X1943" s="24"/>
      <c r="Y1943" s="24"/>
      <c r="Z1943" s="24"/>
      <c r="AA1943" s="24"/>
      <c r="AB1943" s="24"/>
      <c r="AC1943" s="24"/>
      <c r="AD1943" s="24"/>
      <c r="AE1943" s="24"/>
      <c r="AF1943" s="24"/>
      <c r="AG1943" s="24"/>
      <c r="AH1943" s="24"/>
      <c r="AI1943" s="24"/>
      <c r="AJ1943" s="24"/>
      <c r="AK1943" s="24"/>
      <c r="AL1943" s="24"/>
      <c r="AM1943" s="24"/>
      <c r="AN1943" s="24"/>
      <c r="AO1943" s="24"/>
      <c r="AP1943" s="24"/>
      <c r="AQ1943" s="24"/>
      <c r="AR1943" s="24"/>
      <c r="AS1943" s="24"/>
      <c r="AT1943" s="24"/>
      <c r="AU1943" s="24"/>
      <c r="AV1943" s="24"/>
      <c r="AW1943" s="24"/>
      <c r="AX1943" s="24"/>
    </row>
    <row r="1944" ht="15.75" customHeight="1">
      <c r="A1944" s="24"/>
      <c r="B1944" s="24"/>
      <c r="C1944" s="28"/>
      <c r="D1944" s="28"/>
      <c r="E1944" s="28"/>
      <c r="F1944" s="28"/>
      <c r="G1944" s="28"/>
      <c r="H1944" s="28"/>
      <c r="I1944" s="28"/>
      <c r="J1944" s="28"/>
      <c r="K1944" s="28"/>
      <c r="L1944" s="28"/>
      <c r="M1944" s="28"/>
      <c r="N1944" s="28"/>
      <c r="O1944" s="24"/>
      <c r="P1944" s="24"/>
      <c r="Q1944" s="24"/>
      <c r="R1944" s="24"/>
      <c r="S1944" s="24"/>
      <c r="T1944" s="24"/>
      <c r="U1944" s="24"/>
      <c r="V1944" s="24"/>
      <c r="W1944" s="24"/>
      <c r="X1944" s="24"/>
      <c r="Y1944" s="24"/>
      <c r="Z1944" s="24"/>
      <c r="AA1944" s="24"/>
      <c r="AB1944" s="24"/>
      <c r="AC1944" s="24"/>
      <c r="AD1944" s="24"/>
      <c r="AE1944" s="24"/>
      <c r="AF1944" s="24"/>
      <c r="AG1944" s="24"/>
      <c r="AH1944" s="24"/>
      <c r="AI1944" s="24"/>
      <c r="AJ1944" s="24"/>
      <c r="AK1944" s="24"/>
      <c r="AL1944" s="24"/>
      <c r="AM1944" s="24"/>
      <c r="AN1944" s="24"/>
      <c r="AO1944" s="24"/>
      <c r="AP1944" s="24"/>
      <c r="AQ1944" s="24"/>
      <c r="AR1944" s="24"/>
      <c r="AS1944" s="24"/>
      <c r="AT1944" s="24"/>
      <c r="AU1944" s="24"/>
      <c r="AV1944" s="24"/>
      <c r="AW1944" s="24"/>
      <c r="AX1944" s="24"/>
    </row>
    <row r="1945" ht="15.75" customHeight="1">
      <c r="A1945" s="24"/>
      <c r="B1945" s="24"/>
      <c r="C1945" s="28"/>
      <c r="D1945" s="28"/>
      <c r="E1945" s="28"/>
      <c r="F1945" s="28"/>
      <c r="G1945" s="28"/>
      <c r="H1945" s="28"/>
      <c r="I1945" s="28"/>
      <c r="J1945" s="28"/>
      <c r="K1945" s="28"/>
      <c r="L1945" s="28"/>
      <c r="M1945" s="28"/>
      <c r="N1945" s="28"/>
      <c r="O1945" s="24"/>
      <c r="P1945" s="24"/>
      <c r="Q1945" s="24"/>
      <c r="R1945" s="24"/>
      <c r="S1945" s="24"/>
      <c r="T1945" s="24"/>
      <c r="U1945" s="24"/>
      <c r="V1945" s="24"/>
      <c r="W1945" s="24"/>
      <c r="X1945" s="24"/>
      <c r="Y1945" s="24"/>
      <c r="Z1945" s="24"/>
      <c r="AA1945" s="24"/>
      <c r="AB1945" s="24"/>
      <c r="AC1945" s="24"/>
      <c r="AD1945" s="24"/>
      <c r="AE1945" s="24"/>
      <c r="AF1945" s="24"/>
      <c r="AG1945" s="24"/>
      <c r="AH1945" s="24"/>
      <c r="AI1945" s="24"/>
      <c r="AJ1945" s="24"/>
      <c r="AK1945" s="24"/>
      <c r="AL1945" s="24"/>
      <c r="AM1945" s="24"/>
      <c r="AN1945" s="24"/>
      <c r="AO1945" s="24"/>
      <c r="AP1945" s="24"/>
      <c r="AQ1945" s="24"/>
      <c r="AR1945" s="24"/>
      <c r="AS1945" s="24"/>
      <c r="AT1945" s="24"/>
      <c r="AU1945" s="24"/>
      <c r="AV1945" s="24"/>
      <c r="AW1945" s="24"/>
      <c r="AX1945" s="24"/>
    </row>
    <row r="1946" ht="15.75" customHeight="1">
      <c r="A1946" s="24"/>
      <c r="B1946" s="24"/>
      <c r="C1946" s="28"/>
      <c r="D1946" s="28"/>
      <c r="E1946" s="28"/>
      <c r="F1946" s="28"/>
      <c r="G1946" s="28"/>
      <c r="H1946" s="28"/>
      <c r="I1946" s="28"/>
      <c r="J1946" s="28"/>
      <c r="K1946" s="28"/>
      <c r="L1946" s="28"/>
      <c r="M1946" s="28"/>
      <c r="N1946" s="28"/>
      <c r="O1946" s="24"/>
      <c r="P1946" s="24"/>
      <c r="Q1946" s="24"/>
      <c r="R1946" s="24"/>
      <c r="S1946" s="24"/>
      <c r="T1946" s="24"/>
      <c r="U1946" s="24"/>
      <c r="V1946" s="24"/>
      <c r="W1946" s="24"/>
      <c r="X1946" s="24"/>
      <c r="Y1946" s="24"/>
      <c r="Z1946" s="24"/>
      <c r="AA1946" s="24"/>
      <c r="AB1946" s="24"/>
      <c r="AC1946" s="24"/>
      <c r="AD1946" s="24"/>
      <c r="AE1946" s="24"/>
      <c r="AF1946" s="24"/>
      <c r="AG1946" s="24"/>
      <c r="AH1946" s="24"/>
      <c r="AI1946" s="24"/>
      <c r="AJ1946" s="24"/>
      <c r="AK1946" s="24"/>
      <c r="AL1946" s="24"/>
      <c r="AM1946" s="24"/>
      <c r="AN1946" s="24"/>
      <c r="AO1946" s="24"/>
      <c r="AP1946" s="24"/>
      <c r="AQ1946" s="24"/>
      <c r="AR1946" s="24"/>
      <c r="AS1946" s="24"/>
      <c r="AT1946" s="24"/>
      <c r="AU1946" s="24"/>
      <c r="AV1946" s="24"/>
      <c r="AW1946" s="24"/>
      <c r="AX1946" s="24"/>
    </row>
    <row r="1947" ht="15.75" customHeight="1">
      <c r="A1947" s="24"/>
      <c r="B1947" s="24"/>
      <c r="C1947" s="28"/>
      <c r="D1947" s="28"/>
      <c r="E1947" s="28"/>
      <c r="F1947" s="28"/>
      <c r="G1947" s="28"/>
      <c r="H1947" s="28"/>
      <c r="I1947" s="28"/>
      <c r="J1947" s="28"/>
      <c r="K1947" s="28"/>
      <c r="L1947" s="28"/>
      <c r="M1947" s="28"/>
      <c r="N1947" s="28"/>
      <c r="O1947" s="24"/>
      <c r="P1947" s="24"/>
      <c r="Q1947" s="24"/>
      <c r="R1947" s="24"/>
      <c r="S1947" s="24"/>
      <c r="T1947" s="24"/>
      <c r="U1947" s="24"/>
      <c r="V1947" s="24"/>
      <c r="W1947" s="24"/>
      <c r="X1947" s="24"/>
      <c r="Y1947" s="24"/>
      <c r="Z1947" s="24"/>
      <c r="AA1947" s="24"/>
      <c r="AB1947" s="24"/>
      <c r="AC1947" s="24"/>
      <c r="AD1947" s="24"/>
      <c r="AE1947" s="24"/>
      <c r="AF1947" s="24"/>
      <c r="AG1947" s="24"/>
      <c r="AH1947" s="24"/>
      <c r="AI1947" s="24"/>
      <c r="AJ1947" s="24"/>
      <c r="AK1947" s="24"/>
      <c r="AL1947" s="24"/>
      <c r="AM1947" s="24"/>
      <c r="AN1947" s="24"/>
      <c r="AO1947" s="24"/>
      <c r="AP1947" s="24"/>
      <c r="AQ1947" s="24"/>
      <c r="AR1947" s="24"/>
      <c r="AS1947" s="24"/>
      <c r="AT1947" s="24"/>
      <c r="AU1947" s="24"/>
      <c r="AV1947" s="24"/>
      <c r="AW1947" s="24"/>
      <c r="AX1947" s="24"/>
    </row>
    <row r="1948" ht="15.75" customHeight="1">
      <c r="A1948" s="24"/>
      <c r="B1948" s="24"/>
      <c r="C1948" s="28"/>
      <c r="D1948" s="28"/>
      <c r="E1948" s="28"/>
      <c r="F1948" s="28"/>
      <c r="G1948" s="28"/>
      <c r="H1948" s="28"/>
      <c r="I1948" s="28"/>
      <c r="J1948" s="28"/>
      <c r="K1948" s="28"/>
      <c r="L1948" s="28"/>
      <c r="M1948" s="28"/>
      <c r="N1948" s="28"/>
      <c r="O1948" s="24"/>
      <c r="P1948" s="24"/>
      <c r="Q1948" s="24"/>
      <c r="R1948" s="24"/>
      <c r="S1948" s="24"/>
      <c r="T1948" s="24"/>
      <c r="U1948" s="24"/>
      <c r="V1948" s="24"/>
      <c r="W1948" s="24"/>
      <c r="X1948" s="24"/>
      <c r="Y1948" s="24"/>
      <c r="Z1948" s="24"/>
      <c r="AA1948" s="24"/>
      <c r="AB1948" s="24"/>
      <c r="AC1948" s="24"/>
      <c r="AD1948" s="24"/>
      <c r="AE1948" s="24"/>
      <c r="AF1948" s="24"/>
      <c r="AG1948" s="24"/>
      <c r="AH1948" s="24"/>
      <c r="AI1948" s="24"/>
      <c r="AJ1948" s="24"/>
      <c r="AK1948" s="24"/>
      <c r="AL1948" s="24"/>
      <c r="AM1948" s="24"/>
      <c r="AN1948" s="24"/>
      <c r="AO1948" s="24"/>
      <c r="AP1948" s="24"/>
      <c r="AQ1948" s="24"/>
      <c r="AR1948" s="24"/>
      <c r="AS1948" s="24"/>
      <c r="AT1948" s="24"/>
      <c r="AU1948" s="24"/>
      <c r="AV1948" s="24"/>
      <c r="AW1948" s="24"/>
      <c r="AX1948" s="24"/>
    </row>
    <row r="1949" ht="15.75" customHeight="1">
      <c r="A1949" s="24"/>
      <c r="B1949" s="24"/>
      <c r="C1949" s="28"/>
      <c r="D1949" s="28"/>
      <c r="E1949" s="28"/>
      <c r="F1949" s="28"/>
      <c r="G1949" s="28"/>
      <c r="H1949" s="28"/>
      <c r="I1949" s="28"/>
      <c r="J1949" s="28"/>
      <c r="K1949" s="28"/>
      <c r="L1949" s="28"/>
      <c r="M1949" s="28"/>
      <c r="N1949" s="28"/>
      <c r="O1949" s="24"/>
      <c r="P1949" s="24"/>
      <c r="Q1949" s="24"/>
      <c r="R1949" s="24"/>
      <c r="S1949" s="24"/>
      <c r="T1949" s="24"/>
      <c r="U1949" s="24"/>
      <c r="V1949" s="24"/>
      <c r="W1949" s="24"/>
      <c r="X1949" s="24"/>
      <c r="Y1949" s="24"/>
      <c r="Z1949" s="24"/>
      <c r="AA1949" s="24"/>
      <c r="AB1949" s="24"/>
      <c r="AC1949" s="24"/>
      <c r="AD1949" s="24"/>
      <c r="AE1949" s="24"/>
      <c r="AF1949" s="24"/>
      <c r="AG1949" s="24"/>
      <c r="AH1949" s="24"/>
      <c r="AI1949" s="24"/>
      <c r="AJ1949" s="24"/>
      <c r="AK1949" s="24"/>
      <c r="AL1949" s="24"/>
      <c r="AM1949" s="24"/>
      <c r="AN1949" s="24"/>
      <c r="AO1949" s="24"/>
      <c r="AP1949" s="24"/>
      <c r="AQ1949" s="24"/>
      <c r="AR1949" s="24"/>
      <c r="AS1949" s="24"/>
      <c r="AT1949" s="24"/>
      <c r="AU1949" s="24"/>
      <c r="AV1949" s="24"/>
      <c r="AW1949" s="24"/>
      <c r="AX1949" s="24"/>
    </row>
    <row r="1950" ht="15.75" customHeight="1">
      <c r="A1950" s="24"/>
      <c r="B1950" s="24"/>
      <c r="C1950" s="28"/>
      <c r="D1950" s="28"/>
      <c r="E1950" s="28"/>
      <c r="F1950" s="28"/>
      <c r="G1950" s="28"/>
      <c r="H1950" s="28"/>
      <c r="I1950" s="28"/>
      <c r="J1950" s="28"/>
      <c r="K1950" s="28"/>
      <c r="L1950" s="28"/>
      <c r="M1950" s="28"/>
      <c r="N1950" s="28"/>
      <c r="O1950" s="24"/>
      <c r="P1950" s="24"/>
      <c r="Q1950" s="24"/>
      <c r="R1950" s="24"/>
      <c r="S1950" s="24"/>
      <c r="T1950" s="24"/>
      <c r="U1950" s="24"/>
      <c r="V1950" s="24"/>
      <c r="W1950" s="24"/>
      <c r="X1950" s="24"/>
      <c r="Y1950" s="24"/>
      <c r="Z1950" s="24"/>
      <c r="AA1950" s="24"/>
      <c r="AB1950" s="24"/>
      <c r="AC1950" s="24"/>
      <c r="AD1950" s="24"/>
      <c r="AE1950" s="24"/>
      <c r="AF1950" s="24"/>
      <c r="AG1950" s="24"/>
      <c r="AH1950" s="24"/>
      <c r="AI1950" s="24"/>
      <c r="AJ1950" s="24"/>
      <c r="AK1950" s="24"/>
      <c r="AL1950" s="24"/>
      <c r="AM1950" s="24"/>
      <c r="AN1950" s="24"/>
      <c r="AO1950" s="24"/>
      <c r="AP1950" s="24"/>
      <c r="AQ1950" s="24"/>
      <c r="AR1950" s="24"/>
      <c r="AS1950" s="24"/>
      <c r="AT1950" s="24"/>
      <c r="AU1950" s="24"/>
      <c r="AV1950" s="24"/>
      <c r="AW1950" s="24"/>
      <c r="AX1950" s="24"/>
    </row>
    <row r="1951" ht="15.75" customHeight="1">
      <c r="A1951" s="24"/>
      <c r="B1951" s="24"/>
      <c r="C1951" s="28"/>
      <c r="D1951" s="28"/>
      <c r="E1951" s="28"/>
      <c r="F1951" s="28"/>
      <c r="G1951" s="28"/>
      <c r="H1951" s="28"/>
      <c r="I1951" s="28"/>
      <c r="J1951" s="28"/>
      <c r="K1951" s="28"/>
      <c r="L1951" s="28"/>
      <c r="M1951" s="28"/>
      <c r="N1951" s="28"/>
      <c r="O1951" s="24"/>
      <c r="P1951" s="24"/>
      <c r="Q1951" s="24"/>
      <c r="R1951" s="24"/>
      <c r="S1951" s="24"/>
      <c r="T1951" s="24"/>
      <c r="U1951" s="24"/>
      <c r="V1951" s="24"/>
      <c r="W1951" s="24"/>
      <c r="X1951" s="24"/>
      <c r="Y1951" s="24"/>
      <c r="Z1951" s="24"/>
      <c r="AA1951" s="24"/>
      <c r="AB1951" s="24"/>
      <c r="AC1951" s="24"/>
      <c r="AD1951" s="24"/>
      <c r="AE1951" s="24"/>
      <c r="AF1951" s="24"/>
      <c r="AG1951" s="24"/>
      <c r="AH1951" s="24"/>
      <c r="AI1951" s="24"/>
      <c r="AJ1951" s="24"/>
      <c r="AK1951" s="24"/>
      <c r="AL1951" s="24"/>
      <c r="AM1951" s="24"/>
      <c r="AN1951" s="24"/>
      <c r="AO1951" s="24"/>
      <c r="AP1951" s="24"/>
      <c r="AQ1951" s="24"/>
      <c r="AR1951" s="24"/>
      <c r="AS1951" s="24"/>
      <c r="AT1951" s="24"/>
      <c r="AU1951" s="24"/>
      <c r="AV1951" s="24"/>
      <c r="AW1951" s="24"/>
      <c r="AX1951" s="24"/>
    </row>
    <row r="1952" ht="15.75" customHeight="1">
      <c r="A1952" s="24"/>
      <c r="B1952" s="24"/>
      <c r="C1952" s="28"/>
      <c r="D1952" s="28"/>
      <c r="E1952" s="28"/>
      <c r="F1952" s="28"/>
      <c r="G1952" s="28"/>
      <c r="H1952" s="28"/>
      <c r="I1952" s="28"/>
      <c r="J1952" s="28"/>
      <c r="K1952" s="28"/>
      <c r="L1952" s="28"/>
      <c r="M1952" s="28"/>
      <c r="N1952" s="28"/>
      <c r="O1952" s="24"/>
      <c r="P1952" s="24"/>
      <c r="Q1952" s="24"/>
      <c r="R1952" s="24"/>
      <c r="S1952" s="24"/>
      <c r="T1952" s="24"/>
      <c r="U1952" s="24"/>
      <c r="V1952" s="24"/>
      <c r="W1952" s="24"/>
      <c r="X1952" s="24"/>
      <c r="Y1952" s="24"/>
      <c r="Z1952" s="24"/>
      <c r="AA1952" s="24"/>
      <c r="AB1952" s="24"/>
      <c r="AC1952" s="24"/>
      <c r="AD1952" s="24"/>
      <c r="AE1952" s="24"/>
      <c r="AF1952" s="24"/>
      <c r="AG1952" s="24"/>
      <c r="AH1952" s="24"/>
      <c r="AI1952" s="24"/>
      <c r="AJ1952" s="24"/>
      <c r="AK1952" s="24"/>
      <c r="AL1952" s="24"/>
      <c r="AM1952" s="24"/>
      <c r="AN1952" s="24"/>
      <c r="AO1952" s="24"/>
      <c r="AP1952" s="24"/>
      <c r="AQ1952" s="24"/>
      <c r="AR1952" s="24"/>
      <c r="AS1952" s="24"/>
      <c r="AT1952" s="24"/>
      <c r="AU1952" s="24"/>
      <c r="AV1952" s="24"/>
      <c r="AW1952" s="24"/>
      <c r="AX1952" s="24"/>
    </row>
    <row r="1953" ht="15.75" customHeight="1">
      <c r="A1953" s="24"/>
      <c r="B1953" s="24"/>
      <c r="C1953" s="28"/>
      <c r="D1953" s="28"/>
      <c r="E1953" s="28"/>
      <c r="F1953" s="28"/>
      <c r="G1953" s="28"/>
      <c r="H1953" s="28"/>
      <c r="I1953" s="28"/>
      <c r="J1953" s="28"/>
      <c r="K1953" s="28"/>
      <c r="L1953" s="28"/>
      <c r="M1953" s="28"/>
      <c r="N1953" s="28"/>
      <c r="O1953" s="24"/>
      <c r="P1953" s="24"/>
      <c r="Q1953" s="24"/>
      <c r="R1953" s="24"/>
      <c r="S1953" s="24"/>
      <c r="T1953" s="24"/>
      <c r="U1953" s="24"/>
      <c r="V1953" s="24"/>
      <c r="W1953" s="24"/>
      <c r="X1953" s="24"/>
      <c r="Y1953" s="24"/>
      <c r="Z1953" s="24"/>
      <c r="AA1953" s="24"/>
      <c r="AB1953" s="24"/>
      <c r="AC1953" s="24"/>
      <c r="AD1953" s="24"/>
      <c r="AE1953" s="24"/>
      <c r="AF1953" s="24"/>
      <c r="AG1953" s="24"/>
      <c r="AH1953" s="24"/>
      <c r="AI1953" s="24"/>
      <c r="AJ1953" s="24"/>
      <c r="AK1953" s="24"/>
      <c r="AL1953" s="24"/>
      <c r="AM1953" s="24"/>
      <c r="AN1953" s="24"/>
      <c r="AO1953" s="24"/>
      <c r="AP1953" s="24"/>
      <c r="AQ1953" s="24"/>
      <c r="AR1953" s="24"/>
      <c r="AS1953" s="24"/>
      <c r="AT1953" s="24"/>
      <c r="AU1953" s="24"/>
      <c r="AV1953" s="24"/>
      <c r="AW1953" s="24"/>
      <c r="AX1953" s="24"/>
    </row>
    <row r="1954" ht="15.75" customHeight="1">
      <c r="A1954" s="24"/>
      <c r="B1954" s="24"/>
      <c r="C1954" s="28"/>
      <c r="D1954" s="28"/>
      <c r="E1954" s="28"/>
      <c r="F1954" s="28"/>
      <c r="G1954" s="28"/>
      <c r="H1954" s="28"/>
      <c r="I1954" s="28"/>
      <c r="J1954" s="28"/>
      <c r="K1954" s="28"/>
      <c r="L1954" s="28"/>
      <c r="M1954" s="28"/>
      <c r="N1954" s="28"/>
      <c r="O1954" s="24"/>
      <c r="P1954" s="24"/>
      <c r="Q1954" s="24"/>
      <c r="R1954" s="24"/>
      <c r="S1954" s="24"/>
      <c r="T1954" s="24"/>
      <c r="U1954" s="24"/>
      <c r="V1954" s="24"/>
      <c r="W1954" s="24"/>
      <c r="X1954" s="24"/>
      <c r="Y1954" s="24"/>
      <c r="Z1954" s="24"/>
      <c r="AA1954" s="24"/>
      <c r="AB1954" s="24"/>
      <c r="AC1954" s="24"/>
      <c r="AD1954" s="24"/>
      <c r="AE1954" s="24"/>
      <c r="AF1954" s="24"/>
      <c r="AG1954" s="24"/>
      <c r="AH1954" s="24"/>
      <c r="AI1954" s="24"/>
      <c r="AJ1954" s="24"/>
      <c r="AK1954" s="24"/>
      <c r="AL1954" s="24"/>
      <c r="AM1954" s="24"/>
      <c r="AN1954" s="24"/>
      <c r="AO1954" s="24"/>
      <c r="AP1954" s="24"/>
      <c r="AQ1954" s="24"/>
      <c r="AR1954" s="24"/>
      <c r="AS1954" s="24"/>
      <c r="AT1954" s="24"/>
      <c r="AU1954" s="24"/>
      <c r="AV1954" s="24"/>
      <c r="AW1954" s="24"/>
      <c r="AX1954" s="24"/>
    </row>
    <row r="1955" ht="15.75" customHeight="1">
      <c r="A1955" s="24"/>
      <c r="B1955" s="24"/>
      <c r="C1955" s="28"/>
      <c r="D1955" s="28"/>
      <c r="E1955" s="28"/>
      <c r="F1955" s="28"/>
      <c r="G1955" s="28"/>
      <c r="H1955" s="28"/>
      <c r="I1955" s="28"/>
      <c r="J1955" s="28"/>
      <c r="K1955" s="28"/>
      <c r="L1955" s="28"/>
      <c r="M1955" s="28"/>
      <c r="N1955" s="28"/>
      <c r="O1955" s="24"/>
      <c r="P1955" s="24"/>
      <c r="Q1955" s="24"/>
      <c r="R1955" s="24"/>
      <c r="S1955" s="24"/>
      <c r="T1955" s="24"/>
      <c r="U1955" s="24"/>
      <c r="V1955" s="24"/>
      <c r="W1955" s="24"/>
      <c r="X1955" s="24"/>
      <c r="Y1955" s="24"/>
      <c r="Z1955" s="24"/>
      <c r="AA1955" s="24"/>
      <c r="AB1955" s="24"/>
      <c r="AC1955" s="24"/>
      <c r="AD1955" s="24"/>
      <c r="AE1955" s="24"/>
      <c r="AF1955" s="24"/>
      <c r="AG1955" s="24"/>
      <c r="AH1955" s="24"/>
      <c r="AI1955" s="24"/>
      <c r="AJ1955" s="24"/>
      <c r="AK1955" s="24"/>
      <c r="AL1955" s="24"/>
      <c r="AM1955" s="24"/>
      <c r="AN1955" s="24"/>
      <c r="AO1955" s="24"/>
      <c r="AP1955" s="24"/>
      <c r="AQ1955" s="24"/>
      <c r="AR1955" s="24"/>
      <c r="AS1955" s="24"/>
      <c r="AT1955" s="24"/>
      <c r="AU1955" s="24"/>
      <c r="AV1955" s="24"/>
      <c r="AW1955" s="24"/>
      <c r="AX1955" s="24"/>
    </row>
    <row r="1956" ht="15.75" customHeight="1">
      <c r="A1956" s="24"/>
      <c r="B1956" s="24"/>
      <c r="C1956" s="28"/>
      <c r="D1956" s="28"/>
      <c r="E1956" s="28"/>
      <c r="F1956" s="28"/>
      <c r="G1956" s="28"/>
      <c r="H1956" s="28"/>
      <c r="I1956" s="28"/>
      <c r="J1956" s="28"/>
      <c r="K1956" s="28"/>
      <c r="L1956" s="28"/>
      <c r="M1956" s="28"/>
      <c r="N1956" s="28"/>
      <c r="O1956" s="24"/>
      <c r="P1956" s="24"/>
      <c r="Q1956" s="24"/>
      <c r="R1956" s="24"/>
      <c r="S1956" s="24"/>
      <c r="T1956" s="24"/>
      <c r="U1956" s="24"/>
      <c r="V1956" s="24"/>
      <c r="W1956" s="24"/>
      <c r="X1956" s="24"/>
      <c r="Y1956" s="24"/>
      <c r="Z1956" s="24"/>
      <c r="AA1956" s="24"/>
      <c r="AB1956" s="24"/>
      <c r="AC1956" s="24"/>
      <c r="AD1956" s="24"/>
      <c r="AE1956" s="24"/>
      <c r="AF1956" s="24"/>
      <c r="AG1956" s="24"/>
      <c r="AH1956" s="24"/>
      <c r="AI1956" s="24"/>
      <c r="AJ1956" s="24"/>
      <c r="AK1956" s="24"/>
      <c r="AL1956" s="24"/>
      <c r="AM1956" s="24"/>
      <c r="AN1956" s="24"/>
      <c r="AO1956" s="24"/>
      <c r="AP1956" s="24"/>
      <c r="AQ1956" s="24"/>
      <c r="AR1956" s="24"/>
      <c r="AS1956" s="24"/>
      <c r="AT1956" s="24"/>
      <c r="AU1956" s="24"/>
      <c r="AV1956" s="24"/>
      <c r="AW1956" s="24"/>
      <c r="AX1956" s="24"/>
    </row>
    <row r="1957" ht="15.75" customHeight="1">
      <c r="A1957" s="24"/>
      <c r="B1957" s="24"/>
      <c r="C1957" s="28"/>
      <c r="D1957" s="28"/>
      <c r="E1957" s="28"/>
      <c r="F1957" s="28"/>
      <c r="G1957" s="28"/>
      <c r="H1957" s="28"/>
      <c r="I1957" s="28"/>
      <c r="J1957" s="28"/>
      <c r="K1957" s="28"/>
      <c r="L1957" s="28"/>
      <c r="M1957" s="28"/>
      <c r="N1957" s="28"/>
      <c r="O1957" s="24"/>
      <c r="P1957" s="24"/>
      <c r="Q1957" s="24"/>
      <c r="R1957" s="24"/>
      <c r="S1957" s="24"/>
      <c r="T1957" s="24"/>
      <c r="U1957" s="24"/>
      <c r="V1957" s="24"/>
      <c r="W1957" s="24"/>
      <c r="X1957" s="24"/>
      <c r="Y1957" s="24"/>
      <c r="Z1957" s="24"/>
      <c r="AA1957" s="24"/>
      <c r="AB1957" s="24"/>
      <c r="AC1957" s="24"/>
      <c r="AD1957" s="24"/>
      <c r="AE1957" s="24"/>
      <c r="AF1957" s="24"/>
      <c r="AG1957" s="24"/>
      <c r="AH1957" s="24"/>
      <c r="AI1957" s="24"/>
      <c r="AJ1957" s="24"/>
      <c r="AK1957" s="24"/>
      <c r="AL1957" s="24"/>
      <c r="AM1957" s="24"/>
      <c r="AN1957" s="24"/>
      <c r="AO1957" s="24"/>
      <c r="AP1957" s="24"/>
      <c r="AQ1957" s="24"/>
      <c r="AR1957" s="24"/>
      <c r="AS1957" s="24"/>
      <c r="AT1957" s="24"/>
      <c r="AU1957" s="24"/>
      <c r="AV1957" s="24"/>
      <c r="AW1957" s="24"/>
      <c r="AX1957" s="24"/>
    </row>
    <row r="1958" ht="15.75" customHeight="1">
      <c r="A1958" s="24"/>
      <c r="B1958" s="24"/>
      <c r="C1958" s="28"/>
      <c r="D1958" s="28"/>
      <c r="E1958" s="28"/>
      <c r="F1958" s="28"/>
      <c r="G1958" s="28"/>
      <c r="H1958" s="28"/>
      <c r="I1958" s="28"/>
      <c r="J1958" s="28"/>
      <c r="K1958" s="28"/>
      <c r="L1958" s="28"/>
      <c r="M1958" s="28"/>
      <c r="N1958" s="28"/>
      <c r="O1958" s="24"/>
      <c r="P1958" s="24"/>
      <c r="Q1958" s="24"/>
      <c r="R1958" s="24"/>
      <c r="S1958" s="24"/>
      <c r="T1958" s="24"/>
      <c r="U1958" s="24"/>
      <c r="V1958" s="24"/>
      <c r="W1958" s="24"/>
      <c r="X1958" s="24"/>
      <c r="Y1958" s="24"/>
      <c r="Z1958" s="24"/>
      <c r="AA1958" s="24"/>
      <c r="AB1958" s="24"/>
      <c r="AC1958" s="24"/>
      <c r="AD1958" s="24"/>
      <c r="AE1958" s="24"/>
      <c r="AF1958" s="24"/>
      <c r="AG1958" s="24"/>
      <c r="AH1958" s="24"/>
      <c r="AI1958" s="24"/>
      <c r="AJ1958" s="24"/>
      <c r="AK1958" s="24"/>
      <c r="AL1958" s="24"/>
      <c r="AM1958" s="24"/>
      <c r="AN1958" s="24"/>
      <c r="AO1958" s="24"/>
      <c r="AP1958" s="24"/>
      <c r="AQ1958" s="24"/>
      <c r="AR1958" s="24"/>
      <c r="AS1958" s="24"/>
      <c r="AT1958" s="24"/>
      <c r="AU1958" s="24"/>
      <c r="AV1958" s="24"/>
      <c r="AW1958" s="24"/>
      <c r="AX1958" s="24"/>
    </row>
    <row r="1959" ht="15.75" customHeight="1">
      <c r="A1959" s="24"/>
      <c r="B1959" s="24"/>
      <c r="C1959" s="28"/>
      <c r="D1959" s="28"/>
      <c r="E1959" s="28"/>
      <c r="F1959" s="28"/>
      <c r="G1959" s="28"/>
      <c r="H1959" s="28"/>
      <c r="I1959" s="28"/>
      <c r="J1959" s="28"/>
      <c r="K1959" s="28"/>
      <c r="L1959" s="28"/>
      <c r="M1959" s="28"/>
      <c r="N1959" s="28"/>
      <c r="O1959" s="24"/>
      <c r="P1959" s="24"/>
      <c r="Q1959" s="24"/>
      <c r="R1959" s="24"/>
      <c r="S1959" s="24"/>
      <c r="T1959" s="24"/>
      <c r="U1959" s="24"/>
      <c r="V1959" s="24"/>
      <c r="W1959" s="24"/>
      <c r="X1959" s="24"/>
      <c r="Y1959" s="24"/>
      <c r="Z1959" s="24"/>
      <c r="AA1959" s="24"/>
      <c r="AB1959" s="24"/>
      <c r="AC1959" s="24"/>
      <c r="AD1959" s="24"/>
      <c r="AE1959" s="24"/>
      <c r="AF1959" s="24"/>
      <c r="AG1959" s="24"/>
      <c r="AH1959" s="24"/>
      <c r="AI1959" s="24"/>
      <c r="AJ1959" s="24"/>
      <c r="AK1959" s="24"/>
      <c r="AL1959" s="24"/>
      <c r="AM1959" s="24"/>
      <c r="AN1959" s="24"/>
      <c r="AO1959" s="24"/>
      <c r="AP1959" s="24"/>
      <c r="AQ1959" s="24"/>
      <c r="AR1959" s="24"/>
      <c r="AS1959" s="24"/>
      <c r="AT1959" s="24"/>
      <c r="AU1959" s="24"/>
      <c r="AV1959" s="24"/>
      <c r="AW1959" s="24"/>
      <c r="AX1959" s="24"/>
    </row>
    <row r="1960" ht="15.75" customHeight="1">
      <c r="A1960" s="24"/>
      <c r="B1960" s="24"/>
      <c r="C1960" s="28"/>
      <c r="D1960" s="28"/>
      <c r="E1960" s="28"/>
      <c r="F1960" s="28"/>
      <c r="G1960" s="28"/>
      <c r="H1960" s="28"/>
      <c r="I1960" s="28"/>
      <c r="J1960" s="28"/>
      <c r="K1960" s="28"/>
      <c r="L1960" s="28"/>
      <c r="M1960" s="28"/>
      <c r="N1960" s="28"/>
      <c r="O1960" s="24"/>
      <c r="P1960" s="24"/>
      <c r="Q1960" s="24"/>
      <c r="R1960" s="24"/>
      <c r="S1960" s="24"/>
      <c r="T1960" s="24"/>
      <c r="U1960" s="24"/>
      <c r="V1960" s="24"/>
      <c r="W1960" s="24"/>
      <c r="X1960" s="24"/>
      <c r="Y1960" s="24"/>
      <c r="Z1960" s="24"/>
      <c r="AA1960" s="24"/>
      <c r="AB1960" s="24"/>
      <c r="AC1960" s="24"/>
      <c r="AD1960" s="24"/>
      <c r="AE1960" s="24"/>
      <c r="AF1960" s="24"/>
      <c r="AG1960" s="24"/>
      <c r="AH1960" s="24"/>
      <c r="AI1960" s="24"/>
      <c r="AJ1960" s="24"/>
      <c r="AK1960" s="24"/>
      <c r="AL1960" s="24"/>
      <c r="AM1960" s="24"/>
      <c r="AN1960" s="24"/>
      <c r="AO1960" s="24"/>
      <c r="AP1960" s="24"/>
      <c r="AQ1960" s="24"/>
      <c r="AR1960" s="24"/>
      <c r="AS1960" s="24"/>
      <c r="AT1960" s="24"/>
      <c r="AU1960" s="24"/>
      <c r="AV1960" s="24"/>
      <c r="AW1960" s="24"/>
      <c r="AX1960" s="24"/>
    </row>
    <row r="1961" ht="15.75" customHeight="1">
      <c r="A1961" s="24"/>
      <c r="B1961" s="24"/>
      <c r="C1961" s="28"/>
      <c r="D1961" s="28"/>
      <c r="E1961" s="28"/>
      <c r="F1961" s="28"/>
      <c r="G1961" s="28"/>
      <c r="H1961" s="28"/>
      <c r="I1961" s="28"/>
      <c r="J1961" s="28"/>
      <c r="K1961" s="28"/>
      <c r="L1961" s="28"/>
      <c r="M1961" s="28"/>
      <c r="N1961" s="28"/>
      <c r="O1961" s="24"/>
      <c r="P1961" s="24"/>
      <c r="Q1961" s="24"/>
      <c r="R1961" s="24"/>
      <c r="S1961" s="24"/>
      <c r="T1961" s="24"/>
      <c r="U1961" s="24"/>
      <c r="V1961" s="24"/>
      <c r="W1961" s="24"/>
      <c r="X1961" s="24"/>
      <c r="Y1961" s="24"/>
      <c r="Z1961" s="24"/>
      <c r="AA1961" s="24"/>
      <c r="AB1961" s="24"/>
      <c r="AC1961" s="24"/>
      <c r="AD1961" s="24"/>
      <c r="AE1961" s="24"/>
      <c r="AF1961" s="24"/>
      <c r="AG1961" s="24"/>
      <c r="AH1961" s="24"/>
      <c r="AI1961" s="24"/>
      <c r="AJ1961" s="24"/>
      <c r="AK1961" s="24"/>
      <c r="AL1961" s="24"/>
      <c r="AM1961" s="24"/>
      <c r="AN1961" s="24"/>
      <c r="AO1961" s="24"/>
      <c r="AP1961" s="24"/>
      <c r="AQ1961" s="24"/>
      <c r="AR1961" s="24"/>
      <c r="AS1961" s="24"/>
      <c r="AT1961" s="24"/>
      <c r="AU1961" s="24"/>
      <c r="AV1961" s="24"/>
      <c r="AW1961" s="24"/>
      <c r="AX1961" s="24"/>
    </row>
    <row r="1962" ht="15.75" customHeight="1">
      <c r="A1962" s="24"/>
      <c r="B1962" s="24"/>
      <c r="C1962" s="28"/>
      <c r="D1962" s="28"/>
      <c r="E1962" s="28"/>
      <c r="F1962" s="28"/>
      <c r="G1962" s="28"/>
      <c r="H1962" s="28"/>
      <c r="I1962" s="28"/>
      <c r="J1962" s="28"/>
      <c r="K1962" s="28"/>
      <c r="L1962" s="28"/>
      <c r="M1962" s="28"/>
      <c r="N1962" s="28"/>
      <c r="O1962" s="24"/>
      <c r="P1962" s="24"/>
      <c r="Q1962" s="24"/>
      <c r="R1962" s="24"/>
      <c r="S1962" s="24"/>
      <c r="T1962" s="24"/>
      <c r="U1962" s="24"/>
      <c r="V1962" s="24"/>
      <c r="W1962" s="24"/>
      <c r="X1962" s="24"/>
      <c r="Y1962" s="24"/>
      <c r="Z1962" s="24"/>
      <c r="AA1962" s="24"/>
      <c r="AB1962" s="24"/>
      <c r="AC1962" s="24"/>
      <c r="AD1962" s="24"/>
      <c r="AE1962" s="24"/>
      <c r="AF1962" s="24"/>
      <c r="AG1962" s="24"/>
      <c r="AH1962" s="24"/>
      <c r="AI1962" s="24"/>
      <c r="AJ1962" s="24"/>
      <c r="AK1962" s="24"/>
      <c r="AL1962" s="24"/>
      <c r="AM1962" s="24"/>
      <c r="AN1962" s="24"/>
      <c r="AO1962" s="24"/>
      <c r="AP1962" s="24"/>
      <c r="AQ1962" s="24"/>
      <c r="AR1962" s="24"/>
      <c r="AS1962" s="24"/>
      <c r="AT1962" s="24"/>
      <c r="AU1962" s="24"/>
      <c r="AV1962" s="24"/>
      <c r="AW1962" s="24"/>
      <c r="AX1962" s="24"/>
    </row>
    <row r="1963" ht="15.75" customHeight="1">
      <c r="A1963" s="24"/>
      <c r="B1963" s="24"/>
      <c r="C1963" s="28"/>
      <c r="D1963" s="28"/>
      <c r="E1963" s="28"/>
      <c r="F1963" s="28"/>
      <c r="G1963" s="28"/>
      <c r="H1963" s="28"/>
      <c r="I1963" s="28"/>
      <c r="J1963" s="28"/>
      <c r="K1963" s="28"/>
      <c r="L1963" s="28"/>
      <c r="M1963" s="28"/>
      <c r="N1963" s="28"/>
      <c r="O1963" s="24"/>
      <c r="P1963" s="24"/>
      <c r="Q1963" s="24"/>
      <c r="R1963" s="24"/>
      <c r="S1963" s="24"/>
      <c r="T1963" s="24"/>
      <c r="U1963" s="24"/>
      <c r="V1963" s="24"/>
      <c r="W1963" s="24"/>
      <c r="X1963" s="24"/>
      <c r="Y1963" s="24"/>
      <c r="Z1963" s="24"/>
      <c r="AA1963" s="24"/>
      <c r="AB1963" s="24"/>
      <c r="AC1963" s="24"/>
      <c r="AD1963" s="24"/>
      <c r="AE1963" s="24"/>
      <c r="AF1963" s="24"/>
      <c r="AG1963" s="24"/>
      <c r="AH1963" s="24"/>
      <c r="AI1963" s="24"/>
      <c r="AJ1963" s="24"/>
      <c r="AK1963" s="24"/>
      <c r="AL1963" s="24"/>
      <c r="AM1963" s="24"/>
      <c r="AN1963" s="24"/>
      <c r="AO1963" s="24"/>
      <c r="AP1963" s="24"/>
      <c r="AQ1963" s="24"/>
      <c r="AR1963" s="24"/>
      <c r="AS1963" s="24"/>
      <c r="AT1963" s="24"/>
      <c r="AU1963" s="24"/>
      <c r="AV1963" s="24"/>
      <c r="AW1963" s="24"/>
      <c r="AX1963" s="24"/>
    </row>
    <row r="1964" ht="15.75" customHeight="1">
      <c r="A1964" s="24"/>
      <c r="B1964" s="24"/>
      <c r="C1964" s="28"/>
      <c r="D1964" s="28"/>
      <c r="E1964" s="28"/>
      <c r="F1964" s="28"/>
      <c r="G1964" s="28"/>
      <c r="H1964" s="28"/>
      <c r="I1964" s="28"/>
      <c r="J1964" s="28"/>
      <c r="K1964" s="28"/>
      <c r="L1964" s="28"/>
      <c r="M1964" s="28"/>
      <c r="N1964" s="28"/>
      <c r="O1964" s="24"/>
      <c r="P1964" s="24"/>
      <c r="Q1964" s="24"/>
      <c r="R1964" s="24"/>
      <c r="S1964" s="24"/>
      <c r="T1964" s="24"/>
      <c r="U1964" s="24"/>
      <c r="V1964" s="24"/>
      <c r="W1964" s="24"/>
      <c r="X1964" s="24"/>
      <c r="Y1964" s="24"/>
      <c r="Z1964" s="24"/>
      <c r="AA1964" s="24"/>
      <c r="AB1964" s="24"/>
      <c r="AC1964" s="24"/>
      <c r="AD1964" s="24"/>
      <c r="AE1964" s="24"/>
      <c r="AF1964" s="24"/>
      <c r="AG1964" s="24"/>
      <c r="AH1964" s="24"/>
      <c r="AI1964" s="24"/>
      <c r="AJ1964" s="24"/>
      <c r="AK1964" s="24"/>
      <c r="AL1964" s="24"/>
      <c r="AM1964" s="24"/>
      <c r="AN1964" s="24"/>
      <c r="AO1964" s="24"/>
      <c r="AP1964" s="24"/>
      <c r="AQ1964" s="24"/>
      <c r="AR1964" s="24"/>
      <c r="AS1964" s="24"/>
      <c r="AT1964" s="24"/>
      <c r="AU1964" s="24"/>
      <c r="AV1964" s="24"/>
      <c r="AW1964" s="24"/>
      <c r="AX1964" s="24"/>
    </row>
    <row r="1965" ht="15.75" customHeight="1">
      <c r="A1965" s="24"/>
      <c r="B1965" s="24"/>
      <c r="C1965" s="28"/>
      <c r="D1965" s="28"/>
      <c r="E1965" s="28"/>
      <c r="F1965" s="28"/>
      <c r="G1965" s="28"/>
      <c r="H1965" s="28"/>
      <c r="I1965" s="28"/>
      <c r="J1965" s="28"/>
      <c r="K1965" s="28"/>
      <c r="L1965" s="28"/>
      <c r="M1965" s="28"/>
      <c r="N1965" s="28"/>
      <c r="O1965" s="24"/>
      <c r="P1965" s="24"/>
      <c r="Q1965" s="24"/>
      <c r="R1965" s="24"/>
      <c r="S1965" s="24"/>
      <c r="T1965" s="24"/>
      <c r="U1965" s="24"/>
      <c r="V1965" s="24"/>
      <c r="W1965" s="24"/>
      <c r="X1965" s="24"/>
      <c r="Y1965" s="24"/>
      <c r="Z1965" s="24"/>
      <c r="AA1965" s="24"/>
      <c r="AB1965" s="24"/>
      <c r="AC1965" s="24"/>
      <c r="AD1965" s="24"/>
      <c r="AE1965" s="24"/>
      <c r="AF1965" s="24"/>
      <c r="AG1965" s="24"/>
      <c r="AH1965" s="24"/>
      <c r="AI1965" s="24"/>
      <c r="AJ1965" s="24"/>
      <c r="AK1965" s="24"/>
      <c r="AL1965" s="24"/>
      <c r="AM1965" s="24"/>
      <c r="AN1965" s="24"/>
      <c r="AO1965" s="24"/>
      <c r="AP1965" s="24"/>
      <c r="AQ1965" s="24"/>
      <c r="AR1965" s="24"/>
      <c r="AS1965" s="24"/>
      <c r="AT1965" s="24"/>
      <c r="AU1965" s="24"/>
      <c r="AV1965" s="24"/>
      <c r="AW1965" s="24"/>
      <c r="AX1965" s="24"/>
    </row>
    <row r="1966" ht="15.75" customHeight="1">
      <c r="A1966" s="24"/>
      <c r="B1966" s="24"/>
      <c r="C1966" s="28"/>
      <c r="D1966" s="28"/>
      <c r="E1966" s="28"/>
      <c r="F1966" s="28"/>
      <c r="G1966" s="28"/>
      <c r="H1966" s="28"/>
      <c r="I1966" s="28"/>
      <c r="J1966" s="28"/>
      <c r="K1966" s="28"/>
      <c r="L1966" s="28"/>
      <c r="M1966" s="28"/>
      <c r="N1966" s="28"/>
      <c r="O1966" s="24"/>
      <c r="P1966" s="24"/>
      <c r="Q1966" s="24"/>
      <c r="R1966" s="24"/>
      <c r="S1966" s="24"/>
      <c r="T1966" s="24"/>
      <c r="U1966" s="24"/>
      <c r="V1966" s="24"/>
      <c r="W1966" s="24"/>
      <c r="X1966" s="24"/>
      <c r="Y1966" s="24"/>
      <c r="Z1966" s="24"/>
      <c r="AA1966" s="24"/>
      <c r="AB1966" s="24"/>
      <c r="AC1966" s="24"/>
      <c r="AD1966" s="24"/>
      <c r="AE1966" s="24"/>
      <c r="AF1966" s="24"/>
      <c r="AG1966" s="24"/>
      <c r="AH1966" s="24"/>
      <c r="AI1966" s="24"/>
      <c r="AJ1966" s="24"/>
      <c r="AK1966" s="24"/>
      <c r="AL1966" s="24"/>
      <c r="AM1966" s="24"/>
      <c r="AN1966" s="24"/>
      <c r="AO1966" s="24"/>
      <c r="AP1966" s="24"/>
      <c r="AQ1966" s="24"/>
      <c r="AR1966" s="24"/>
      <c r="AS1966" s="24"/>
      <c r="AT1966" s="24"/>
      <c r="AU1966" s="24"/>
      <c r="AV1966" s="24"/>
      <c r="AW1966" s="24"/>
      <c r="AX1966" s="24"/>
    </row>
    <row r="1967" ht="15.75" customHeight="1">
      <c r="A1967" s="24"/>
      <c r="B1967" s="24"/>
      <c r="C1967" s="28"/>
      <c r="D1967" s="28"/>
      <c r="E1967" s="28"/>
      <c r="F1967" s="28"/>
      <c r="G1967" s="28"/>
      <c r="H1967" s="28"/>
      <c r="I1967" s="28"/>
      <c r="J1967" s="28"/>
      <c r="K1967" s="28"/>
      <c r="L1967" s="28"/>
      <c r="M1967" s="28"/>
      <c r="N1967" s="28"/>
      <c r="O1967" s="24"/>
      <c r="P1967" s="24"/>
      <c r="Q1967" s="24"/>
      <c r="R1967" s="24"/>
      <c r="S1967" s="24"/>
      <c r="T1967" s="24"/>
      <c r="U1967" s="24"/>
      <c r="V1967" s="24"/>
      <c r="W1967" s="24"/>
      <c r="X1967" s="24"/>
      <c r="Y1967" s="24"/>
      <c r="Z1967" s="24"/>
      <c r="AA1967" s="24"/>
      <c r="AB1967" s="24"/>
      <c r="AC1967" s="24"/>
      <c r="AD1967" s="24"/>
      <c r="AE1967" s="24"/>
      <c r="AF1967" s="24"/>
      <c r="AG1967" s="24"/>
      <c r="AH1967" s="24"/>
      <c r="AI1967" s="24"/>
      <c r="AJ1967" s="24"/>
      <c r="AK1967" s="24"/>
      <c r="AL1967" s="24"/>
      <c r="AM1967" s="24"/>
      <c r="AN1967" s="24"/>
      <c r="AO1967" s="24"/>
      <c r="AP1967" s="24"/>
      <c r="AQ1967" s="24"/>
      <c r="AR1967" s="24"/>
      <c r="AS1967" s="24"/>
      <c r="AT1967" s="24"/>
      <c r="AU1967" s="24"/>
      <c r="AV1967" s="24"/>
      <c r="AW1967" s="24"/>
      <c r="AX1967" s="24"/>
    </row>
    <row r="1968" ht="15.75" customHeight="1">
      <c r="A1968" s="24"/>
      <c r="B1968" s="24"/>
      <c r="C1968" s="28"/>
      <c r="D1968" s="28"/>
      <c r="E1968" s="28"/>
      <c r="F1968" s="28"/>
      <c r="G1968" s="28"/>
      <c r="H1968" s="28"/>
      <c r="I1968" s="28"/>
      <c r="J1968" s="28"/>
      <c r="K1968" s="28"/>
      <c r="L1968" s="28"/>
      <c r="M1968" s="28"/>
      <c r="N1968" s="28"/>
      <c r="O1968" s="24"/>
      <c r="P1968" s="24"/>
      <c r="Q1968" s="24"/>
      <c r="R1968" s="24"/>
      <c r="S1968" s="24"/>
      <c r="T1968" s="24"/>
      <c r="U1968" s="24"/>
      <c r="V1968" s="24"/>
      <c r="W1968" s="24"/>
      <c r="X1968" s="24"/>
      <c r="Y1968" s="24"/>
      <c r="Z1968" s="24"/>
      <c r="AA1968" s="24"/>
      <c r="AB1968" s="24"/>
      <c r="AC1968" s="24"/>
      <c r="AD1968" s="24"/>
      <c r="AE1968" s="24"/>
      <c r="AF1968" s="24"/>
      <c r="AG1968" s="24"/>
      <c r="AH1968" s="24"/>
      <c r="AI1968" s="24"/>
      <c r="AJ1968" s="24"/>
      <c r="AK1968" s="24"/>
      <c r="AL1968" s="24"/>
      <c r="AM1968" s="24"/>
      <c r="AN1968" s="24"/>
      <c r="AO1968" s="24"/>
      <c r="AP1968" s="24"/>
      <c r="AQ1968" s="24"/>
      <c r="AR1968" s="24"/>
      <c r="AS1968" s="24"/>
      <c r="AT1968" s="24"/>
      <c r="AU1968" s="24"/>
      <c r="AV1968" s="24"/>
      <c r="AW1968" s="24"/>
      <c r="AX1968" s="24"/>
    </row>
    <row r="1969" ht="15.75" customHeight="1">
      <c r="A1969" s="24"/>
      <c r="B1969" s="24"/>
      <c r="C1969" s="28"/>
      <c r="D1969" s="28"/>
      <c r="E1969" s="28"/>
      <c r="F1969" s="28"/>
      <c r="G1969" s="28"/>
      <c r="H1969" s="28"/>
      <c r="I1969" s="28"/>
      <c r="J1969" s="28"/>
      <c r="K1969" s="28"/>
      <c r="L1969" s="28"/>
      <c r="M1969" s="28"/>
      <c r="N1969" s="28"/>
      <c r="O1969" s="24"/>
      <c r="P1969" s="24"/>
      <c r="Q1969" s="24"/>
      <c r="R1969" s="24"/>
      <c r="S1969" s="24"/>
      <c r="T1969" s="24"/>
      <c r="U1969" s="24"/>
      <c r="V1969" s="24"/>
      <c r="W1969" s="24"/>
      <c r="X1969" s="24"/>
      <c r="Y1969" s="24"/>
      <c r="Z1969" s="24"/>
      <c r="AA1969" s="24"/>
      <c r="AB1969" s="24"/>
      <c r="AC1969" s="24"/>
      <c r="AD1969" s="24"/>
      <c r="AE1969" s="24"/>
      <c r="AF1969" s="24"/>
      <c r="AG1969" s="24"/>
      <c r="AH1969" s="24"/>
      <c r="AI1969" s="24"/>
      <c r="AJ1969" s="24"/>
      <c r="AK1969" s="24"/>
      <c r="AL1969" s="24"/>
      <c r="AM1969" s="24"/>
      <c r="AN1969" s="24"/>
      <c r="AO1969" s="24"/>
      <c r="AP1969" s="24"/>
      <c r="AQ1969" s="24"/>
      <c r="AR1969" s="24"/>
      <c r="AS1969" s="24"/>
      <c r="AT1969" s="24"/>
      <c r="AU1969" s="24"/>
      <c r="AV1969" s="24"/>
      <c r="AW1969" s="24"/>
      <c r="AX1969" s="24"/>
    </row>
    <row r="1970" ht="15.75" customHeight="1">
      <c r="A1970" s="24"/>
      <c r="B1970" s="24"/>
      <c r="C1970" s="28"/>
      <c r="D1970" s="28"/>
      <c r="E1970" s="28"/>
      <c r="F1970" s="28"/>
      <c r="G1970" s="28"/>
      <c r="H1970" s="28"/>
      <c r="I1970" s="28"/>
      <c r="J1970" s="28"/>
      <c r="K1970" s="28"/>
      <c r="L1970" s="28"/>
      <c r="M1970" s="28"/>
      <c r="N1970" s="28"/>
      <c r="O1970" s="24"/>
      <c r="P1970" s="24"/>
      <c r="Q1970" s="24"/>
      <c r="R1970" s="24"/>
      <c r="S1970" s="24"/>
      <c r="T1970" s="24"/>
      <c r="U1970" s="24"/>
      <c r="V1970" s="24"/>
      <c r="W1970" s="24"/>
      <c r="X1970" s="24"/>
      <c r="Y1970" s="24"/>
      <c r="Z1970" s="24"/>
      <c r="AA1970" s="24"/>
      <c r="AB1970" s="24"/>
      <c r="AC1970" s="24"/>
      <c r="AD1970" s="24"/>
      <c r="AE1970" s="24"/>
      <c r="AF1970" s="24"/>
      <c r="AG1970" s="24"/>
      <c r="AH1970" s="24"/>
      <c r="AI1970" s="24"/>
      <c r="AJ1970" s="24"/>
      <c r="AK1970" s="24"/>
      <c r="AL1970" s="24"/>
      <c r="AM1970" s="24"/>
      <c r="AN1970" s="24"/>
      <c r="AO1970" s="24"/>
      <c r="AP1970" s="24"/>
      <c r="AQ1970" s="24"/>
      <c r="AR1970" s="24"/>
      <c r="AS1970" s="24"/>
      <c r="AT1970" s="24"/>
      <c r="AU1970" s="24"/>
      <c r="AV1970" s="24"/>
      <c r="AW1970" s="24"/>
      <c r="AX1970" s="24"/>
    </row>
    <row r="1971" ht="15.75" customHeight="1">
      <c r="A1971" s="24"/>
      <c r="B1971" s="24"/>
      <c r="C1971" s="28"/>
      <c r="D1971" s="28"/>
      <c r="E1971" s="28"/>
      <c r="F1971" s="28"/>
      <c r="G1971" s="28"/>
      <c r="H1971" s="28"/>
      <c r="I1971" s="28"/>
      <c r="J1971" s="28"/>
      <c r="K1971" s="28"/>
      <c r="L1971" s="28"/>
      <c r="M1971" s="28"/>
      <c r="N1971" s="28"/>
      <c r="O1971" s="24"/>
      <c r="P1971" s="24"/>
      <c r="Q1971" s="24"/>
      <c r="R1971" s="24"/>
      <c r="S1971" s="24"/>
      <c r="T1971" s="24"/>
      <c r="U1971" s="24"/>
      <c r="V1971" s="24"/>
      <c r="W1971" s="24"/>
      <c r="X1971" s="24"/>
      <c r="Y1971" s="24"/>
      <c r="Z1971" s="24"/>
      <c r="AA1971" s="24"/>
      <c r="AB1971" s="24"/>
      <c r="AC1971" s="24"/>
      <c r="AD1971" s="24"/>
      <c r="AE1971" s="24"/>
      <c r="AF1971" s="24"/>
      <c r="AG1971" s="24"/>
      <c r="AH1971" s="24"/>
      <c r="AI1971" s="24"/>
      <c r="AJ1971" s="24"/>
      <c r="AK1971" s="24"/>
      <c r="AL1971" s="24"/>
      <c r="AM1971" s="24"/>
      <c r="AN1971" s="24"/>
      <c r="AO1971" s="24"/>
      <c r="AP1971" s="24"/>
      <c r="AQ1971" s="24"/>
      <c r="AR1971" s="24"/>
      <c r="AS1971" s="24"/>
      <c r="AT1971" s="24"/>
      <c r="AU1971" s="24"/>
      <c r="AV1971" s="24"/>
      <c r="AW1971" s="24"/>
      <c r="AX1971" s="24"/>
    </row>
    <row r="1972" ht="15.75" customHeight="1">
      <c r="A1972" s="24"/>
      <c r="B1972" s="24"/>
      <c r="C1972" s="28"/>
      <c r="D1972" s="28"/>
      <c r="E1972" s="28"/>
      <c r="F1972" s="28"/>
      <c r="G1972" s="28"/>
      <c r="H1972" s="28"/>
      <c r="I1972" s="28"/>
      <c r="J1972" s="28"/>
      <c r="K1972" s="28"/>
      <c r="L1972" s="28"/>
      <c r="M1972" s="28"/>
      <c r="N1972" s="28"/>
      <c r="O1972" s="24"/>
      <c r="P1972" s="24"/>
      <c r="Q1972" s="24"/>
      <c r="R1972" s="24"/>
      <c r="S1972" s="24"/>
      <c r="T1972" s="24"/>
      <c r="U1972" s="24"/>
      <c r="V1972" s="24"/>
      <c r="W1972" s="24"/>
      <c r="X1972" s="24"/>
      <c r="Y1972" s="24"/>
      <c r="Z1972" s="24"/>
      <c r="AA1972" s="24"/>
      <c r="AB1972" s="24"/>
      <c r="AC1972" s="24"/>
      <c r="AD1972" s="24"/>
      <c r="AE1972" s="24"/>
      <c r="AF1972" s="24"/>
      <c r="AG1972" s="24"/>
      <c r="AH1972" s="24"/>
      <c r="AI1972" s="24"/>
      <c r="AJ1972" s="24"/>
      <c r="AK1972" s="24"/>
      <c r="AL1972" s="24"/>
      <c r="AM1972" s="24"/>
      <c r="AN1972" s="24"/>
      <c r="AO1972" s="24"/>
      <c r="AP1972" s="24"/>
      <c r="AQ1972" s="24"/>
      <c r="AR1972" s="24"/>
      <c r="AS1972" s="24"/>
      <c r="AT1972" s="24"/>
      <c r="AU1972" s="24"/>
      <c r="AV1972" s="24"/>
      <c r="AW1972" s="24"/>
      <c r="AX1972" s="24"/>
    </row>
    <row r="1973" ht="15.75" customHeight="1">
      <c r="A1973" s="24"/>
      <c r="B1973" s="24"/>
      <c r="C1973" s="28"/>
      <c r="D1973" s="28"/>
      <c r="E1973" s="28"/>
      <c r="F1973" s="28"/>
      <c r="G1973" s="28"/>
      <c r="H1973" s="28"/>
      <c r="I1973" s="28"/>
      <c r="J1973" s="28"/>
      <c r="K1973" s="28"/>
      <c r="L1973" s="28"/>
      <c r="M1973" s="28"/>
      <c r="N1973" s="28"/>
      <c r="O1973" s="24"/>
      <c r="P1973" s="24"/>
      <c r="Q1973" s="24"/>
      <c r="R1973" s="24"/>
      <c r="S1973" s="24"/>
      <c r="T1973" s="24"/>
      <c r="U1973" s="24"/>
      <c r="V1973" s="24"/>
      <c r="W1973" s="24"/>
      <c r="X1973" s="24"/>
      <c r="Y1973" s="24"/>
      <c r="Z1973" s="24"/>
      <c r="AA1973" s="24"/>
      <c r="AB1973" s="24"/>
      <c r="AC1973" s="24"/>
      <c r="AD1973" s="24"/>
      <c r="AE1973" s="24"/>
      <c r="AF1973" s="24"/>
      <c r="AG1973" s="24"/>
      <c r="AH1973" s="24"/>
      <c r="AI1973" s="24"/>
      <c r="AJ1973" s="24"/>
      <c r="AK1973" s="24"/>
      <c r="AL1973" s="24"/>
      <c r="AM1973" s="24"/>
      <c r="AN1973" s="24"/>
      <c r="AO1973" s="24"/>
      <c r="AP1973" s="24"/>
      <c r="AQ1973" s="24"/>
      <c r="AR1973" s="24"/>
      <c r="AS1973" s="24"/>
      <c r="AT1973" s="24"/>
      <c r="AU1973" s="24"/>
      <c r="AV1973" s="24"/>
      <c r="AW1973" s="24"/>
      <c r="AX1973" s="24"/>
    </row>
    <row r="1974" ht="15.75" customHeight="1">
      <c r="A1974" s="24"/>
      <c r="B1974" s="24"/>
      <c r="C1974" s="28"/>
      <c r="D1974" s="28"/>
      <c r="E1974" s="28"/>
      <c r="F1974" s="28"/>
      <c r="G1974" s="28"/>
      <c r="H1974" s="28"/>
      <c r="I1974" s="28"/>
      <c r="J1974" s="28"/>
      <c r="K1974" s="28"/>
      <c r="L1974" s="28"/>
      <c r="M1974" s="28"/>
      <c r="N1974" s="28"/>
      <c r="O1974" s="24"/>
      <c r="P1974" s="24"/>
      <c r="Q1974" s="24"/>
      <c r="R1974" s="24"/>
      <c r="S1974" s="24"/>
      <c r="T1974" s="24"/>
      <c r="U1974" s="24"/>
      <c r="V1974" s="24"/>
      <c r="W1974" s="24"/>
      <c r="X1974" s="24"/>
      <c r="Y1974" s="24"/>
      <c r="Z1974" s="24"/>
      <c r="AA1974" s="24"/>
      <c r="AB1974" s="24"/>
      <c r="AC1974" s="24"/>
      <c r="AD1974" s="24"/>
      <c r="AE1974" s="24"/>
      <c r="AF1974" s="24"/>
      <c r="AG1974" s="24"/>
      <c r="AH1974" s="24"/>
      <c r="AI1974" s="24"/>
      <c r="AJ1974" s="24"/>
      <c r="AK1974" s="24"/>
      <c r="AL1974" s="24"/>
      <c r="AM1974" s="24"/>
      <c r="AN1974" s="24"/>
      <c r="AO1974" s="24"/>
      <c r="AP1974" s="24"/>
      <c r="AQ1974" s="24"/>
      <c r="AR1974" s="24"/>
      <c r="AS1974" s="24"/>
      <c r="AT1974" s="24"/>
      <c r="AU1974" s="24"/>
      <c r="AV1974" s="24"/>
      <c r="AW1974" s="24"/>
      <c r="AX1974" s="24"/>
    </row>
    <row r="1975" ht="15.75" customHeight="1">
      <c r="A1975" s="24"/>
      <c r="B1975" s="24"/>
      <c r="C1975" s="28"/>
      <c r="D1975" s="28"/>
      <c r="E1975" s="28"/>
      <c r="F1975" s="28"/>
      <c r="G1975" s="28"/>
      <c r="H1975" s="28"/>
      <c r="I1975" s="28"/>
      <c r="J1975" s="28"/>
      <c r="K1975" s="28"/>
      <c r="L1975" s="28"/>
      <c r="M1975" s="28"/>
      <c r="N1975" s="28"/>
      <c r="O1975" s="24"/>
      <c r="P1975" s="24"/>
      <c r="Q1975" s="24"/>
      <c r="R1975" s="24"/>
      <c r="S1975" s="24"/>
      <c r="T1975" s="24"/>
      <c r="U1975" s="24"/>
      <c r="V1975" s="24"/>
      <c r="W1975" s="24"/>
      <c r="X1975" s="24"/>
      <c r="Y1975" s="24"/>
      <c r="Z1975" s="24"/>
      <c r="AA1975" s="24"/>
      <c r="AB1975" s="24"/>
      <c r="AC1975" s="24"/>
      <c r="AD1975" s="24"/>
      <c r="AE1975" s="24"/>
      <c r="AF1975" s="24"/>
      <c r="AG1975" s="24"/>
      <c r="AH1975" s="24"/>
      <c r="AI1975" s="24"/>
      <c r="AJ1975" s="24"/>
      <c r="AK1975" s="24"/>
      <c r="AL1975" s="24"/>
      <c r="AM1975" s="24"/>
      <c r="AN1975" s="24"/>
      <c r="AO1975" s="24"/>
      <c r="AP1975" s="24"/>
      <c r="AQ1975" s="24"/>
      <c r="AR1975" s="24"/>
      <c r="AS1975" s="24"/>
      <c r="AT1975" s="24"/>
      <c r="AU1975" s="24"/>
      <c r="AV1975" s="24"/>
      <c r="AW1975" s="24"/>
      <c r="AX1975" s="24"/>
    </row>
    <row r="1976" ht="15.75" customHeight="1">
      <c r="A1976" s="24"/>
      <c r="B1976" s="24"/>
      <c r="C1976" s="28"/>
      <c r="D1976" s="28"/>
      <c r="E1976" s="28"/>
      <c r="F1976" s="28"/>
      <c r="G1976" s="28"/>
      <c r="H1976" s="28"/>
      <c r="I1976" s="28"/>
      <c r="J1976" s="28"/>
      <c r="K1976" s="28"/>
      <c r="L1976" s="28"/>
      <c r="M1976" s="28"/>
      <c r="N1976" s="28"/>
      <c r="O1976" s="24"/>
      <c r="P1976" s="24"/>
      <c r="Q1976" s="24"/>
      <c r="R1976" s="24"/>
      <c r="S1976" s="24"/>
      <c r="T1976" s="24"/>
      <c r="U1976" s="24"/>
      <c r="V1976" s="24"/>
      <c r="W1976" s="24"/>
      <c r="X1976" s="24"/>
      <c r="Y1976" s="24"/>
      <c r="Z1976" s="24"/>
      <c r="AA1976" s="24"/>
      <c r="AB1976" s="24"/>
      <c r="AC1976" s="24"/>
      <c r="AD1976" s="24"/>
      <c r="AE1976" s="24"/>
      <c r="AF1976" s="24"/>
      <c r="AG1976" s="24"/>
      <c r="AH1976" s="24"/>
      <c r="AI1976" s="24"/>
      <c r="AJ1976" s="24"/>
      <c r="AK1976" s="24"/>
      <c r="AL1976" s="24"/>
      <c r="AM1976" s="24"/>
      <c r="AN1976" s="24"/>
      <c r="AO1976" s="24"/>
      <c r="AP1976" s="24"/>
      <c r="AQ1976" s="24"/>
      <c r="AR1976" s="24"/>
      <c r="AS1976" s="24"/>
      <c r="AT1976" s="24"/>
      <c r="AU1976" s="24"/>
      <c r="AV1976" s="24"/>
      <c r="AW1976" s="24"/>
      <c r="AX1976" s="24"/>
    </row>
    <row r="1977" ht="15.75" customHeight="1">
      <c r="A1977" s="24"/>
      <c r="B1977" s="24"/>
      <c r="C1977" s="28"/>
      <c r="D1977" s="28"/>
      <c r="E1977" s="28"/>
      <c r="F1977" s="28"/>
      <c r="G1977" s="28"/>
      <c r="H1977" s="28"/>
      <c r="I1977" s="28"/>
      <c r="J1977" s="28"/>
      <c r="K1977" s="28"/>
      <c r="L1977" s="28"/>
      <c r="M1977" s="28"/>
      <c r="N1977" s="28"/>
      <c r="O1977" s="24"/>
      <c r="P1977" s="24"/>
      <c r="Q1977" s="24"/>
      <c r="R1977" s="24"/>
      <c r="S1977" s="24"/>
      <c r="T1977" s="24"/>
      <c r="U1977" s="24"/>
      <c r="V1977" s="24"/>
      <c r="W1977" s="24"/>
      <c r="X1977" s="24"/>
      <c r="Y1977" s="24"/>
      <c r="Z1977" s="24"/>
      <c r="AA1977" s="24"/>
      <c r="AB1977" s="24"/>
      <c r="AC1977" s="24"/>
      <c r="AD1977" s="24"/>
      <c r="AE1977" s="24"/>
      <c r="AF1977" s="24"/>
      <c r="AG1977" s="24"/>
      <c r="AH1977" s="24"/>
      <c r="AI1977" s="24"/>
      <c r="AJ1977" s="24"/>
      <c r="AK1977" s="24"/>
      <c r="AL1977" s="24"/>
      <c r="AM1977" s="24"/>
      <c r="AN1977" s="24"/>
      <c r="AO1977" s="24"/>
      <c r="AP1977" s="24"/>
      <c r="AQ1977" s="24"/>
      <c r="AR1977" s="24"/>
      <c r="AS1977" s="24"/>
      <c r="AT1977" s="24"/>
      <c r="AU1977" s="24"/>
      <c r="AV1977" s="24"/>
      <c r="AW1977" s="24"/>
      <c r="AX1977" s="24"/>
    </row>
    <row r="1978" ht="15.75" customHeight="1">
      <c r="A1978" s="24"/>
      <c r="B1978" s="24"/>
      <c r="C1978" s="28"/>
      <c r="D1978" s="28"/>
      <c r="E1978" s="28"/>
      <c r="F1978" s="28"/>
      <c r="G1978" s="28"/>
      <c r="H1978" s="28"/>
      <c r="I1978" s="28"/>
      <c r="J1978" s="28"/>
      <c r="K1978" s="28"/>
      <c r="L1978" s="28"/>
      <c r="M1978" s="28"/>
      <c r="N1978" s="28"/>
      <c r="O1978" s="24"/>
      <c r="P1978" s="24"/>
      <c r="Q1978" s="24"/>
      <c r="R1978" s="24"/>
      <c r="S1978" s="24"/>
      <c r="T1978" s="24"/>
      <c r="U1978" s="24"/>
      <c r="V1978" s="24"/>
      <c r="W1978" s="24"/>
      <c r="X1978" s="24"/>
      <c r="Y1978" s="24"/>
      <c r="Z1978" s="24"/>
      <c r="AA1978" s="24"/>
      <c r="AB1978" s="24"/>
      <c r="AC1978" s="24"/>
      <c r="AD1978" s="24"/>
      <c r="AE1978" s="24"/>
      <c r="AF1978" s="24"/>
      <c r="AG1978" s="24"/>
      <c r="AH1978" s="24"/>
      <c r="AI1978" s="24"/>
      <c r="AJ1978" s="24"/>
      <c r="AK1978" s="24"/>
      <c r="AL1978" s="24"/>
      <c r="AM1978" s="24"/>
      <c r="AN1978" s="24"/>
      <c r="AO1978" s="24"/>
      <c r="AP1978" s="24"/>
      <c r="AQ1978" s="24"/>
      <c r="AR1978" s="24"/>
      <c r="AS1978" s="24"/>
      <c r="AT1978" s="24"/>
      <c r="AU1978" s="24"/>
      <c r="AV1978" s="24"/>
      <c r="AW1978" s="24"/>
      <c r="AX1978" s="24"/>
    </row>
    <row r="1979" ht="15.75" customHeight="1">
      <c r="A1979" s="24"/>
      <c r="B1979" s="24"/>
      <c r="C1979" s="28"/>
      <c r="D1979" s="28"/>
      <c r="E1979" s="28"/>
      <c r="F1979" s="28"/>
      <c r="G1979" s="28"/>
      <c r="H1979" s="28"/>
      <c r="I1979" s="28"/>
      <c r="J1979" s="28"/>
      <c r="K1979" s="28"/>
      <c r="L1979" s="28"/>
      <c r="M1979" s="28"/>
      <c r="N1979" s="28"/>
      <c r="O1979" s="24"/>
      <c r="P1979" s="24"/>
      <c r="Q1979" s="24"/>
      <c r="R1979" s="24"/>
      <c r="S1979" s="24"/>
      <c r="T1979" s="24"/>
      <c r="U1979" s="24"/>
      <c r="V1979" s="24"/>
      <c r="W1979" s="24"/>
      <c r="X1979" s="24"/>
      <c r="Y1979" s="24"/>
      <c r="Z1979" s="24"/>
      <c r="AA1979" s="24"/>
      <c r="AB1979" s="24"/>
      <c r="AC1979" s="24"/>
      <c r="AD1979" s="24"/>
      <c r="AE1979" s="24"/>
      <c r="AF1979" s="24"/>
      <c r="AG1979" s="24"/>
      <c r="AH1979" s="24"/>
      <c r="AI1979" s="24"/>
      <c r="AJ1979" s="24"/>
      <c r="AK1979" s="24"/>
      <c r="AL1979" s="24"/>
      <c r="AM1979" s="24"/>
      <c r="AN1979" s="24"/>
      <c r="AO1979" s="24"/>
      <c r="AP1979" s="24"/>
      <c r="AQ1979" s="24"/>
      <c r="AR1979" s="24"/>
      <c r="AS1979" s="24"/>
      <c r="AT1979" s="24"/>
      <c r="AU1979" s="24"/>
      <c r="AV1979" s="24"/>
      <c r="AW1979" s="24"/>
      <c r="AX1979" s="24"/>
    </row>
    <row r="1980" ht="15.75" customHeight="1">
      <c r="A1980" s="24"/>
      <c r="B1980" s="24"/>
      <c r="C1980" s="28"/>
      <c r="D1980" s="28"/>
      <c r="E1980" s="28"/>
      <c r="F1980" s="28"/>
      <c r="G1980" s="28"/>
      <c r="H1980" s="28"/>
      <c r="I1980" s="28"/>
      <c r="J1980" s="28"/>
      <c r="K1980" s="28"/>
      <c r="L1980" s="28"/>
      <c r="M1980" s="28"/>
      <c r="N1980" s="28"/>
      <c r="O1980" s="24"/>
      <c r="P1980" s="24"/>
      <c r="Q1980" s="24"/>
      <c r="R1980" s="24"/>
      <c r="S1980" s="24"/>
      <c r="T1980" s="24"/>
      <c r="U1980" s="24"/>
      <c r="V1980" s="24"/>
      <c r="W1980" s="24"/>
      <c r="X1980" s="24"/>
      <c r="Y1980" s="24"/>
      <c r="Z1980" s="24"/>
      <c r="AA1980" s="24"/>
      <c r="AB1980" s="24"/>
      <c r="AC1980" s="24"/>
      <c r="AD1980" s="24"/>
      <c r="AE1980" s="24"/>
      <c r="AF1980" s="24"/>
      <c r="AG1980" s="24"/>
      <c r="AH1980" s="24"/>
      <c r="AI1980" s="24"/>
      <c r="AJ1980" s="24"/>
      <c r="AK1980" s="24"/>
      <c r="AL1980" s="24"/>
      <c r="AM1980" s="24"/>
      <c r="AN1980" s="24"/>
      <c r="AO1980" s="24"/>
      <c r="AP1980" s="24"/>
      <c r="AQ1980" s="24"/>
      <c r="AR1980" s="24"/>
      <c r="AS1980" s="24"/>
      <c r="AT1980" s="24"/>
      <c r="AU1980" s="24"/>
      <c r="AV1980" s="24"/>
      <c r="AW1980" s="24"/>
      <c r="AX1980" s="24"/>
    </row>
    <row r="1981" ht="15.75" customHeight="1">
      <c r="A1981" s="24"/>
      <c r="B1981" s="24"/>
      <c r="C1981" s="28"/>
      <c r="D1981" s="28"/>
      <c r="E1981" s="28"/>
      <c r="F1981" s="28"/>
      <c r="G1981" s="28"/>
      <c r="H1981" s="28"/>
      <c r="I1981" s="28"/>
      <c r="J1981" s="28"/>
      <c r="K1981" s="28"/>
      <c r="L1981" s="28"/>
      <c r="M1981" s="28"/>
      <c r="N1981" s="28"/>
      <c r="O1981" s="24"/>
      <c r="P1981" s="24"/>
      <c r="Q1981" s="24"/>
      <c r="R1981" s="24"/>
      <c r="S1981" s="24"/>
      <c r="T1981" s="24"/>
      <c r="U1981" s="24"/>
      <c r="V1981" s="24"/>
      <c r="W1981" s="24"/>
      <c r="X1981" s="24"/>
      <c r="Y1981" s="24"/>
      <c r="Z1981" s="24"/>
      <c r="AA1981" s="24"/>
      <c r="AB1981" s="24"/>
      <c r="AC1981" s="24"/>
      <c r="AD1981" s="24"/>
      <c r="AE1981" s="24"/>
      <c r="AF1981" s="24"/>
      <c r="AG1981" s="24"/>
      <c r="AH1981" s="24"/>
      <c r="AI1981" s="24"/>
      <c r="AJ1981" s="24"/>
      <c r="AK1981" s="24"/>
      <c r="AL1981" s="24"/>
      <c r="AM1981" s="24"/>
      <c r="AN1981" s="24"/>
      <c r="AO1981" s="24"/>
      <c r="AP1981" s="24"/>
      <c r="AQ1981" s="24"/>
      <c r="AR1981" s="24"/>
      <c r="AS1981" s="24"/>
      <c r="AT1981" s="24"/>
      <c r="AU1981" s="24"/>
      <c r="AV1981" s="24"/>
      <c r="AW1981" s="24"/>
      <c r="AX1981" s="24"/>
    </row>
    <row r="1982" ht="15.75" customHeight="1">
      <c r="A1982" s="24"/>
      <c r="B1982" s="24"/>
      <c r="C1982" s="28"/>
      <c r="D1982" s="28"/>
      <c r="E1982" s="28"/>
      <c r="F1982" s="28"/>
      <c r="G1982" s="28"/>
      <c r="H1982" s="28"/>
      <c r="I1982" s="28"/>
      <c r="J1982" s="28"/>
      <c r="K1982" s="28"/>
      <c r="L1982" s="28"/>
      <c r="M1982" s="28"/>
      <c r="N1982" s="28"/>
      <c r="O1982" s="24"/>
      <c r="P1982" s="24"/>
      <c r="Q1982" s="24"/>
      <c r="R1982" s="24"/>
      <c r="S1982" s="24"/>
      <c r="T1982" s="24"/>
      <c r="U1982" s="24"/>
      <c r="V1982" s="24"/>
      <c r="W1982" s="24"/>
      <c r="X1982" s="24"/>
      <c r="Y1982" s="24"/>
      <c r="Z1982" s="24"/>
      <c r="AA1982" s="24"/>
      <c r="AB1982" s="24"/>
      <c r="AC1982" s="24"/>
      <c r="AD1982" s="24"/>
      <c r="AE1982" s="24"/>
      <c r="AF1982" s="24"/>
      <c r="AG1982" s="24"/>
      <c r="AH1982" s="24"/>
      <c r="AI1982" s="24"/>
      <c r="AJ1982" s="24"/>
      <c r="AK1982" s="24"/>
      <c r="AL1982" s="24"/>
      <c r="AM1982" s="24"/>
      <c r="AN1982" s="24"/>
      <c r="AO1982" s="24"/>
      <c r="AP1982" s="24"/>
      <c r="AQ1982" s="24"/>
      <c r="AR1982" s="24"/>
      <c r="AS1982" s="24"/>
      <c r="AT1982" s="24"/>
      <c r="AU1982" s="24"/>
      <c r="AV1982" s="24"/>
      <c r="AW1982" s="24"/>
      <c r="AX1982" s="24"/>
    </row>
    <row r="1983" ht="15.75" customHeight="1">
      <c r="A1983" s="24"/>
      <c r="B1983" s="24"/>
      <c r="C1983" s="28"/>
      <c r="D1983" s="28"/>
      <c r="E1983" s="28"/>
      <c r="F1983" s="28"/>
      <c r="G1983" s="28"/>
      <c r="H1983" s="28"/>
      <c r="I1983" s="28"/>
      <c r="J1983" s="28"/>
      <c r="K1983" s="28"/>
      <c r="L1983" s="28"/>
      <c r="M1983" s="28"/>
      <c r="N1983" s="28"/>
      <c r="O1983" s="24"/>
      <c r="P1983" s="24"/>
      <c r="Q1983" s="24"/>
      <c r="R1983" s="24"/>
      <c r="S1983" s="24"/>
      <c r="T1983" s="24"/>
      <c r="U1983" s="24"/>
      <c r="V1983" s="24"/>
      <c r="W1983" s="24"/>
      <c r="X1983" s="24"/>
      <c r="Y1983" s="24"/>
      <c r="Z1983" s="24"/>
      <c r="AA1983" s="24"/>
      <c r="AB1983" s="24"/>
      <c r="AC1983" s="24"/>
      <c r="AD1983" s="24"/>
      <c r="AE1983" s="24"/>
      <c r="AF1983" s="24"/>
      <c r="AG1983" s="24"/>
      <c r="AH1983" s="24"/>
      <c r="AI1983" s="24"/>
      <c r="AJ1983" s="24"/>
      <c r="AK1983" s="24"/>
      <c r="AL1983" s="24"/>
      <c r="AM1983" s="24"/>
      <c r="AN1983" s="24"/>
      <c r="AO1983" s="24"/>
      <c r="AP1983" s="24"/>
      <c r="AQ1983" s="24"/>
      <c r="AR1983" s="24"/>
      <c r="AS1983" s="24"/>
      <c r="AT1983" s="24"/>
      <c r="AU1983" s="24"/>
      <c r="AV1983" s="24"/>
      <c r="AW1983" s="24"/>
      <c r="AX1983" s="24"/>
    </row>
    <row r="1984" ht="15.75" customHeight="1">
      <c r="A1984" s="24"/>
      <c r="B1984" s="24"/>
      <c r="C1984" s="28"/>
      <c r="D1984" s="28"/>
      <c r="E1984" s="28"/>
      <c r="F1984" s="28"/>
      <c r="G1984" s="28"/>
      <c r="H1984" s="28"/>
      <c r="I1984" s="28"/>
      <c r="J1984" s="28"/>
      <c r="K1984" s="28"/>
      <c r="L1984" s="28"/>
      <c r="M1984" s="28"/>
      <c r="N1984" s="28"/>
      <c r="O1984" s="24"/>
      <c r="P1984" s="24"/>
      <c r="Q1984" s="24"/>
      <c r="R1984" s="24"/>
      <c r="S1984" s="24"/>
      <c r="T1984" s="24"/>
      <c r="U1984" s="24"/>
      <c r="V1984" s="24"/>
      <c r="W1984" s="24"/>
      <c r="X1984" s="24"/>
      <c r="Y1984" s="24"/>
      <c r="Z1984" s="24"/>
      <c r="AA1984" s="24"/>
      <c r="AB1984" s="24"/>
      <c r="AC1984" s="24"/>
      <c r="AD1984" s="24"/>
      <c r="AE1984" s="24"/>
      <c r="AF1984" s="24"/>
      <c r="AG1984" s="24"/>
      <c r="AH1984" s="24"/>
      <c r="AI1984" s="24"/>
      <c r="AJ1984" s="24"/>
      <c r="AK1984" s="24"/>
      <c r="AL1984" s="24"/>
      <c r="AM1984" s="24"/>
      <c r="AN1984" s="24"/>
      <c r="AO1984" s="24"/>
      <c r="AP1984" s="24"/>
      <c r="AQ1984" s="24"/>
      <c r="AR1984" s="24"/>
      <c r="AS1984" s="24"/>
      <c r="AT1984" s="24"/>
      <c r="AU1984" s="24"/>
      <c r="AV1984" s="24"/>
      <c r="AW1984" s="24"/>
      <c r="AX1984" s="24"/>
    </row>
    <row r="1985" ht="15.75" customHeight="1">
      <c r="A1985" s="24"/>
      <c r="B1985" s="24"/>
      <c r="C1985" s="28"/>
      <c r="D1985" s="28"/>
      <c r="E1985" s="28"/>
      <c r="F1985" s="28"/>
      <c r="G1985" s="28"/>
      <c r="H1985" s="28"/>
      <c r="I1985" s="28"/>
      <c r="J1985" s="28"/>
      <c r="K1985" s="28"/>
      <c r="L1985" s="28"/>
      <c r="M1985" s="28"/>
      <c r="N1985" s="28"/>
      <c r="O1985" s="24"/>
      <c r="P1985" s="24"/>
      <c r="Q1985" s="24"/>
      <c r="R1985" s="24"/>
      <c r="S1985" s="24"/>
      <c r="T1985" s="24"/>
      <c r="U1985" s="24"/>
      <c r="V1985" s="24"/>
      <c r="W1985" s="24"/>
      <c r="X1985" s="24"/>
      <c r="Y1985" s="24"/>
      <c r="Z1985" s="24"/>
      <c r="AA1985" s="24"/>
      <c r="AB1985" s="24"/>
      <c r="AC1985" s="24"/>
      <c r="AD1985" s="24"/>
      <c r="AE1985" s="24"/>
      <c r="AF1985" s="24"/>
      <c r="AG1985" s="24"/>
      <c r="AH1985" s="24"/>
      <c r="AI1985" s="24"/>
      <c r="AJ1985" s="24"/>
      <c r="AK1985" s="24"/>
      <c r="AL1985" s="24"/>
      <c r="AM1985" s="24"/>
      <c r="AN1985" s="24"/>
      <c r="AO1985" s="24"/>
      <c r="AP1985" s="24"/>
      <c r="AQ1985" s="24"/>
      <c r="AR1985" s="24"/>
      <c r="AS1985" s="24"/>
      <c r="AT1985" s="24"/>
      <c r="AU1985" s="24"/>
      <c r="AV1985" s="24"/>
      <c r="AW1985" s="24"/>
      <c r="AX1985" s="24"/>
    </row>
    <row r="1986" ht="15.75" customHeight="1">
      <c r="A1986" s="24"/>
      <c r="B1986" s="24"/>
      <c r="C1986" s="28"/>
      <c r="D1986" s="28"/>
      <c r="E1986" s="28"/>
      <c r="F1986" s="28"/>
      <c r="G1986" s="28"/>
      <c r="H1986" s="28"/>
      <c r="I1986" s="28"/>
      <c r="J1986" s="28"/>
      <c r="K1986" s="28"/>
      <c r="L1986" s="28"/>
      <c r="M1986" s="28"/>
      <c r="N1986" s="28"/>
      <c r="O1986" s="24"/>
      <c r="P1986" s="24"/>
      <c r="Q1986" s="24"/>
      <c r="R1986" s="24"/>
      <c r="S1986" s="24"/>
      <c r="T1986" s="24"/>
      <c r="U1986" s="24"/>
      <c r="V1986" s="24"/>
      <c r="W1986" s="24"/>
      <c r="X1986" s="24"/>
      <c r="Y1986" s="24"/>
      <c r="Z1986" s="24"/>
      <c r="AA1986" s="24"/>
      <c r="AB1986" s="24"/>
      <c r="AC1986" s="24"/>
      <c r="AD1986" s="24"/>
      <c r="AE1986" s="24"/>
      <c r="AF1986" s="24"/>
      <c r="AG1986" s="24"/>
      <c r="AH1986" s="24"/>
      <c r="AI1986" s="24"/>
      <c r="AJ1986" s="24"/>
      <c r="AK1986" s="24"/>
      <c r="AL1986" s="24"/>
      <c r="AM1986" s="24"/>
      <c r="AN1986" s="24"/>
      <c r="AO1986" s="24"/>
      <c r="AP1986" s="24"/>
      <c r="AQ1986" s="24"/>
      <c r="AR1986" s="24"/>
      <c r="AS1986" s="24"/>
      <c r="AT1986" s="24"/>
      <c r="AU1986" s="24"/>
      <c r="AV1986" s="24"/>
      <c r="AW1986" s="24"/>
      <c r="AX1986" s="24"/>
    </row>
    <row r="1987" ht="15.75" customHeight="1">
      <c r="A1987" s="24"/>
      <c r="B1987" s="24"/>
      <c r="C1987" s="28"/>
      <c r="D1987" s="28"/>
      <c r="E1987" s="28"/>
      <c r="F1987" s="28"/>
      <c r="G1987" s="28"/>
      <c r="H1987" s="28"/>
      <c r="I1987" s="28"/>
      <c r="J1987" s="28"/>
      <c r="K1987" s="28"/>
      <c r="L1987" s="28"/>
      <c r="M1987" s="28"/>
      <c r="N1987" s="28"/>
      <c r="O1987" s="24"/>
      <c r="P1987" s="24"/>
      <c r="Q1987" s="24"/>
      <c r="R1987" s="24"/>
      <c r="S1987" s="24"/>
      <c r="T1987" s="24"/>
      <c r="U1987" s="24"/>
      <c r="V1987" s="24"/>
      <c r="W1987" s="24"/>
      <c r="X1987" s="24"/>
      <c r="Y1987" s="24"/>
      <c r="Z1987" s="24"/>
      <c r="AA1987" s="24"/>
      <c r="AB1987" s="24"/>
      <c r="AC1987" s="24"/>
      <c r="AD1987" s="24"/>
      <c r="AE1987" s="24"/>
      <c r="AF1987" s="24"/>
      <c r="AG1987" s="24"/>
      <c r="AH1987" s="24"/>
      <c r="AI1987" s="24"/>
      <c r="AJ1987" s="24"/>
      <c r="AK1987" s="24"/>
      <c r="AL1987" s="24"/>
      <c r="AM1987" s="24"/>
      <c r="AN1987" s="24"/>
      <c r="AO1987" s="24"/>
      <c r="AP1987" s="24"/>
      <c r="AQ1987" s="24"/>
      <c r="AR1987" s="24"/>
      <c r="AS1987" s="24"/>
      <c r="AT1987" s="24"/>
      <c r="AU1987" s="24"/>
      <c r="AV1987" s="24"/>
      <c r="AW1987" s="24"/>
      <c r="AX1987" s="24"/>
    </row>
    <row r="1988" ht="15.75" customHeight="1">
      <c r="A1988" s="24"/>
      <c r="B1988" s="24"/>
      <c r="C1988" s="28"/>
      <c r="D1988" s="28"/>
      <c r="E1988" s="28"/>
      <c r="F1988" s="28"/>
      <c r="G1988" s="28"/>
      <c r="H1988" s="28"/>
      <c r="I1988" s="28"/>
      <c r="J1988" s="28"/>
      <c r="K1988" s="28"/>
      <c r="L1988" s="28"/>
      <c r="M1988" s="28"/>
      <c r="N1988" s="28"/>
      <c r="O1988" s="24"/>
      <c r="P1988" s="24"/>
      <c r="Q1988" s="24"/>
      <c r="R1988" s="24"/>
      <c r="S1988" s="24"/>
      <c r="T1988" s="24"/>
      <c r="U1988" s="24"/>
      <c r="V1988" s="24"/>
      <c r="W1988" s="24"/>
      <c r="X1988" s="24"/>
      <c r="Y1988" s="24"/>
      <c r="Z1988" s="24"/>
      <c r="AA1988" s="24"/>
      <c r="AB1988" s="24"/>
      <c r="AC1988" s="24"/>
      <c r="AD1988" s="24"/>
      <c r="AE1988" s="24"/>
      <c r="AF1988" s="24"/>
      <c r="AG1988" s="24"/>
      <c r="AH1988" s="24"/>
      <c r="AI1988" s="24"/>
      <c r="AJ1988" s="24"/>
      <c r="AK1988" s="24"/>
      <c r="AL1988" s="24"/>
      <c r="AM1988" s="24"/>
      <c r="AN1988" s="24"/>
      <c r="AO1988" s="24"/>
      <c r="AP1988" s="24"/>
      <c r="AQ1988" s="24"/>
      <c r="AR1988" s="24"/>
      <c r="AS1988" s="24"/>
      <c r="AT1988" s="24"/>
      <c r="AU1988" s="24"/>
      <c r="AV1988" s="24"/>
      <c r="AW1988" s="24"/>
      <c r="AX1988" s="24"/>
    </row>
    <row r="1989" ht="15.75" customHeight="1">
      <c r="A1989" s="24"/>
      <c r="B1989" s="24"/>
      <c r="C1989" s="28"/>
      <c r="D1989" s="28"/>
      <c r="E1989" s="28"/>
      <c r="F1989" s="28"/>
      <c r="G1989" s="28"/>
      <c r="H1989" s="28"/>
      <c r="I1989" s="28"/>
      <c r="J1989" s="28"/>
      <c r="K1989" s="28"/>
      <c r="L1989" s="28"/>
      <c r="M1989" s="28"/>
      <c r="N1989" s="28"/>
      <c r="O1989" s="24"/>
      <c r="P1989" s="24"/>
      <c r="Q1989" s="24"/>
      <c r="R1989" s="24"/>
      <c r="S1989" s="24"/>
      <c r="T1989" s="24"/>
      <c r="U1989" s="24"/>
      <c r="V1989" s="24"/>
      <c r="W1989" s="24"/>
      <c r="X1989" s="24"/>
      <c r="Y1989" s="24"/>
      <c r="Z1989" s="24"/>
      <c r="AA1989" s="24"/>
      <c r="AB1989" s="24"/>
      <c r="AC1989" s="24"/>
      <c r="AD1989" s="24"/>
      <c r="AE1989" s="24"/>
      <c r="AF1989" s="24"/>
      <c r="AG1989" s="24"/>
      <c r="AH1989" s="24"/>
      <c r="AI1989" s="24"/>
      <c r="AJ1989" s="24"/>
      <c r="AK1989" s="24"/>
      <c r="AL1989" s="24"/>
      <c r="AM1989" s="24"/>
      <c r="AN1989" s="24"/>
      <c r="AO1989" s="24"/>
      <c r="AP1989" s="24"/>
      <c r="AQ1989" s="24"/>
      <c r="AR1989" s="24"/>
      <c r="AS1989" s="24"/>
      <c r="AT1989" s="24"/>
      <c r="AU1989" s="24"/>
      <c r="AV1989" s="24"/>
      <c r="AW1989" s="24"/>
      <c r="AX1989" s="24"/>
    </row>
    <row r="1990" ht="15.75" customHeight="1">
      <c r="A1990" s="24"/>
      <c r="B1990" s="24"/>
      <c r="C1990" s="28"/>
      <c r="D1990" s="28"/>
      <c r="E1990" s="28"/>
      <c r="F1990" s="28"/>
      <c r="G1990" s="28"/>
      <c r="H1990" s="28"/>
      <c r="I1990" s="28"/>
      <c r="J1990" s="28"/>
      <c r="K1990" s="28"/>
      <c r="L1990" s="28"/>
      <c r="M1990" s="28"/>
      <c r="N1990" s="28"/>
      <c r="O1990" s="24"/>
      <c r="P1990" s="24"/>
      <c r="Q1990" s="24"/>
      <c r="R1990" s="24"/>
      <c r="S1990" s="24"/>
      <c r="T1990" s="24"/>
      <c r="U1990" s="24"/>
      <c r="V1990" s="24"/>
      <c r="W1990" s="24"/>
      <c r="X1990" s="24"/>
      <c r="Y1990" s="24"/>
      <c r="Z1990" s="24"/>
      <c r="AA1990" s="24"/>
      <c r="AB1990" s="24"/>
      <c r="AC1990" s="24"/>
      <c r="AD1990" s="24"/>
      <c r="AE1990" s="24"/>
      <c r="AF1990" s="24"/>
      <c r="AG1990" s="24"/>
      <c r="AH1990" s="24"/>
      <c r="AI1990" s="24"/>
      <c r="AJ1990" s="24"/>
      <c r="AK1990" s="24"/>
      <c r="AL1990" s="24"/>
      <c r="AM1990" s="24"/>
      <c r="AN1990" s="24"/>
      <c r="AO1990" s="24"/>
      <c r="AP1990" s="24"/>
      <c r="AQ1990" s="24"/>
      <c r="AR1990" s="24"/>
      <c r="AS1990" s="24"/>
      <c r="AT1990" s="24"/>
      <c r="AU1990" s="24"/>
      <c r="AV1990" s="24"/>
      <c r="AW1990" s="24"/>
      <c r="AX1990" s="24"/>
    </row>
    <row r="1991" ht="15.75" customHeight="1">
      <c r="A1991" s="24"/>
      <c r="B1991" s="24"/>
      <c r="C1991" s="28"/>
      <c r="D1991" s="28"/>
      <c r="E1991" s="28"/>
      <c r="F1991" s="28"/>
      <c r="G1991" s="28"/>
      <c r="H1991" s="28"/>
      <c r="I1991" s="28"/>
      <c r="J1991" s="28"/>
      <c r="K1991" s="28"/>
      <c r="L1991" s="28"/>
      <c r="M1991" s="28"/>
      <c r="N1991" s="28"/>
      <c r="O1991" s="24"/>
      <c r="P1991" s="24"/>
      <c r="Q1991" s="24"/>
      <c r="R1991" s="24"/>
      <c r="S1991" s="24"/>
      <c r="T1991" s="24"/>
      <c r="U1991" s="24"/>
      <c r="V1991" s="24"/>
      <c r="W1991" s="24"/>
      <c r="X1991" s="24"/>
      <c r="Y1991" s="24"/>
      <c r="Z1991" s="24"/>
      <c r="AA1991" s="24"/>
      <c r="AB1991" s="24"/>
      <c r="AC1991" s="24"/>
      <c r="AD1991" s="24"/>
      <c r="AE1991" s="24"/>
      <c r="AF1991" s="24"/>
      <c r="AG1991" s="24"/>
      <c r="AH1991" s="24"/>
      <c r="AI1991" s="24"/>
      <c r="AJ1991" s="24"/>
      <c r="AK1991" s="24"/>
      <c r="AL1991" s="24"/>
      <c r="AM1991" s="24"/>
      <c r="AN1991" s="24"/>
      <c r="AO1991" s="24"/>
      <c r="AP1991" s="24"/>
      <c r="AQ1991" s="24"/>
      <c r="AR1991" s="24"/>
      <c r="AS1991" s="24"/>
      <c r="AT1991" s="24"/>
      <c r="AU1991" s="24"/>
      <c r="AV1991" s="24"/>
      <c r="AW1991" s="24"/>
      <c r="AX1991" s="24"/>
    </row>
    <row r="1992" ht="15.75" customHeight="1">
      <c r="A1992" s="24"/>
      <c r="B1992" s="24"/>
      <c r="C1992" s="28"/>
      <c r="D1992" s="28"/>
      <c r="E1992" s="28"/>
      <c r="F1992" s="28"/>
      <c r="G1992" s="28"/>
      <c r="H1992" s="28"/>
      <c r="I1992" s="28"/>
      <c r="J1992" s="28"/>
      <c r="K1992" s="28"/>
      <c r="L1992" s="28"/>
      <c r="M1992" s="28"/>
      <c r="N1992" s="28"/>
      <c r="O1992" s="24"/>
      <c r="P1992" s="24"/>
      <c r="Q1992" s="24"/>
      <c r="R1992" s="24"/>
      <c r="S1992" s="24"/>
      <c r="T1992" s="24"/>
      <c r="U1992" s="24"/>
      <c r="V1992" s="24"/>
      <c r="W1992" s="24"/>
      <c r="X1992" s="24"/>
      <c r="Y1992" s="24"/>
      <c r="Z1992" s="24"/>
      <c r="AA1992" s="24"/>
      <c r="AB1992" s="24"/>
      <c r="AC1992" s="24"/>
      <c r="AD1992" s="24"/>
      <c r="AE1992" s="24"/>
      <c r="AF1992" s="24"/>
      <c r="AG1992" s="24"/>
      <c r="AH1992" s="24"/>
      <c r="AI1992" s="24"/>
      <c r="AJ1992" s="24"/>
      <c r="AK1992" s="24"/>
      <c r="AL1992" s="24"/>
      <c r="AM1992" s="24"/>
      <c r="AN1992" s="24"/>
      <c r="AO1992" s="24"/>
      <c r="AP1992" s="24"/>
      <c r="AQ1992" s="24"/>
      <c r="AR1992" s="24"/>
      <c r="AS1992" s="24"/>
      <c r="AT1992" s="24"/>
      <c r="AU1992" s="24"/>
      <c r="AV1992" s="24"/>
      <c r="AW1992" s="24"/>
      <c r="AX1992" s="24"/>
    </row>
    <row r="1993" ht="15.75" customHeight="1">
      <c r="A1993" s="24"/>
      <c r="B1993" s="24"/>
      <c r="C1993" s="28"/>
      <c r="D1993" s="28"/>
      <c r="E1993" s="28"/>
      <c r="F1993" s="28"/>
      <c r="G1993" s="28"/>
      <c r="H1993" s="28"/>
      <c r="I1993" s="28"/>
      <c r="J1993" s="28"/>
      <c r="K1993" s="28"/>
      <c r="L1993" s="28"/>
      <c r="M1993" s="28"/>
      <c r="N1993" s="28"/>
      <c r="O1993" s="24"/>
      <c r="P1993" s="24"/>
      <c r="Q1993" s="24"/>
      <c r="R1993" s="24"/>
      <c r="S1993" s="24"/>
      <c r="T1993" s="24"/>
      <c r="U1993" s="24"/>
      <c r="V1993" s="24"/>
      <c r="W1993" s="24"/>
      <c r="X1993" s="24"/>
      <c r="Y1993" s="24"/>
      <c r="Z1993" s="24"/>
      <c r="AA1993" s="24"/>
      <c r="AB1993" s="24"/>
      <c r="AC1993" s="24"/>
      <c r="AD1993" s="24"/>
      <c r="AE1993" s="24"/>
      <c r="AF1993" s="24"/>
      <c r="AG1993" s="24"/>
      <c r="AH1993" s="24"/>
      <c r="AI1993" s="24"/>
      <c r="AJ1993" s="24"/>
      <c r="AK1993" s="24"/>
      <c r="AL1993" s="24"/>
      <c r="AM1993" s="24"/>
      <c r="AN1993" s="24"/>
      <c r="AO1993" s="24"/>
      <c r="AP1993" s="24"/>
      <c r="AQ1993" s="24"/>
      <c r="AR1993" s="24"/>
      <c r="AS1993" s="24"/>
      <c r="AT1993" s="24"/>
      <c r="AU1993" s="24"/>
      <c r="AV1993" s="24"/>
      <c r="AW1993" s="24"/>
      <c r="AX1993" s="24"/>
    </row>
    <row r="1994" ht="15.75" customHeight="1">
      <c r="A1994" s="24"/>
      <c r="B1994" s="24"/>
      <c r="C1994" s="28"/>
      <c r="D1994" s="28"/>
      <c r="E1994" s="28"/>
      <c r="F1994" s="28"/>
      <c r="G1994" s="28"/>
      <c r="H1994" s="28"/>
      <c r="I1994" s="28"/>
      <c r="J1994" s="28"/>
      <c r="K1994" s="28"/>
      <c r="L1994" s="28"/>
      <c r="M1994" s="28"/>
      <c r="N1994" s="28"/>
      <c r="O1994" s="24"/>
      <c r="P1994" s="24"/>
      <c r="Q1994" s="24"/>
      <c r="R1994" s="24"/>
      <c r="S1994" s="24"/>
      <c r="T1994" s="24"/>
      <c r="U1994" s="24"/>
      <c r="V1994" s="24"/>
      <c r="W1994" s="24"/>
      <c r="X1994" s="24"/>
      <c r="Y1994" s="24"/>
      <c r="Z1994" s="24"/>
      <c r="AA1994" s="24"/>
      <c r="AB1994" s="24"/>
      <c r="AC1994" s="24"/>
      <c r="AD1994" s="24"/>
      <c r="AE1994" s="24"/>
      <c r="AF1994" s="24"/>
      <c r="AG1994" s="24"/>
      <c r="AH1994" s="24"/>
      <c r="AI1994" s="24"/>
      <c r="AJ1994" s="24"/>
      <c r="AK1994" s="24"/>
      <c r="AL1994" s="24"/>
      <c r="AM1994" s="24"/>
      <c r="AN1994" s="24"/>
      <c r="AO1994" s="24"/>
      <c r="AP1994" s="24"/>
      <c r="AQ1994" s="24"/>
      <c r="AR1994" s="24"/>
      <c r="AS1994" s="24"/>
      <c r="AT1994" s="24"/>
      <c r="AU1994" s="24"/>
      <c r="AV1994" s="24"/>
      <c r="AW1994" s="24"/>
      <c r="AX1994" s="24"/>
    </row>
    <row r="1995" ht="15.75" customHeight="1">
      <c r="A1995" s="24"/>
      <c r="B1995" s="24"/>
      <c r="C1995" s="28"/>
      <c r="D1995" s="28"/>
      <c r="E1995" s="28"/>
      <c r="F1995" s="28"/>
      <c r="G1995" s="28"/>
      <c r="H1995" s="28"/>
      <c r="I1995" s="28"/>
      <c r="J1995" s="28"/>
      <c r="K1995" s="28"/>
      <c r="L1995" s="28"/>
      <c r="M1995" s="28"/>
      <c r="N1995" s="28"/>
      <c r="O1995" s="24"/>
      <c r="P1995" s="24"/>
      <c r="Q1995" s="24"/>
      <c r="R1995" s="24"/>
      <c r="S1995" s="24"/>
      <c r="T1995" s="24"/>
      <c r="U1995" s="24"/>
      <c r="V1995" s="24"/>
      <c r="W1995" s="24"/>
      <c r="X1995" s="24"/>
      <c r="Y1995" s="24"/>
      <c r="Z1995" s="24"/>
      <c r="AA1995" s="24"/>
      <c r="AB1995" s="24"/>
      <c r="AC1995" s="24"/>
      <c r="AD1995" s="24"/>
      <c r="AE1995" s="24"/>
      <c r="AF1995" s="24"/>
      <c r="AG1995" s="24"/>
      <c r="AH1995" s="24"/>
      <c r="AI1995" s="24"/>
      <c r="AJ1995" s="24"/>
      <c r="AK1995" s="24"/>
      <c r="AL1995" s="24"/>
      <c r="AM1995" s="24"/>
      <c r="AN1995" s="24"/>
      <c r="AO1995" s="24"/>
      <c r="AP1995" s="24"/>
      <c r="AQ1995" s="24"/>
      <c r="AR1995" s="24"/>
      <c r="AS1995" s="24"/>
      <c r="AT1995" s="24"/>
      <c r="AU1995" s="24"/>
      <c r="AV1995" s="24"/>
      <c r="AW1995" s="24"/>
      <c r="AX1995" s="24"/>
    </row>
    <row r="1996" ht="15.75" customHeight="1">
      <c r="A1996" s="24"/>
      <c r="B1996" s="24"/>
      <c r="C1996" s="28"/>
      <c r="D1996" s="28"/>
      <c r="E1996" s="28"/>
      <c r="F1996" s="28"/>
      <c r="G1996" s="28"/>
      <c r="H1996" s="28"/>
      <c r="I1996" s="28"/>
      <c r="J1996" s="28"/>
      <c r="K1996" s="28"/>
      <c r="L1996" s="28"/>
      <c r="M1996" s="28"/>
      <c r="N1996" s="28"/>
      <c r="O1996" s="24"/>
      <c r="P1996" s="24"/>
      <c r="Q1996" s="24"/>
      <c r="R1996" s="24"/>
      <c r="S1996" s="24"/>
      <c r="T1996" s="24"/>
      <c r="U1996" s="24"/>
      <c r="V1996" s="24"/>
      <c r="W1996" s="24"/>
      <c r="X1996" s="24"/>
      <c r="Y1996" s="24"/>
      <c r="Z1996" s="24"/>
      <c r="AA1996" s="24"/>
      <c r="AB1996" s="24"/>
      <c r="AC1996" s="24"/>
      <c r="AD1996" s="24"/>
      <c r="AE1996" s="24"/>
      <c r="AF1996" s="24"/>
      <c r="AG1996" s="24"/>
      <c r="AH1996" s="24"/>
      <c r="AI1996" s="24"/>
      <c r="AJ1996" s="24"/>
      <c r="AK1996" s="24"/>
      <c r="AL1996" s="24"/>
      <c r="AM1996" s="24"/>
      <c r="AN1996" s="24"/>
      <c r="AO1996" s="24"/>
      <c r="AP1996" s="24"/>
      <c r="AQ1996" s="24"/>
      <c r="AR1996" s="24"/>
      <c r="AS1996" s="24"/>
      <c r="AT1996" s="24"/>
      <c r="AU1996" s="24"/>
      <c r="AV1996" s="24"/>
      <c r="AW1996" s="24"/>
      <c r="AX1996" s="24"/>
    </row>
    <row r="1997" ht="15.75" customHeight="1">
      <c r="A1997" s="24"/>
      <c r="B1997" s="24"/>
      <c r="C1997" s="28"/>
      <c r="D1997" s="28"/>
      <c r="E1997" s="28"/>
      <c r="F1997" s="28"/>
      <c r="G1997" s="28"/>
      <c r="H1997" s="28"/>
      <c r="I1997" s="28"/>
      <c r="J1997" s="28"/>
      <c r="K1997" s="28"/>
      <c r="L1997" s="28"/>
      <c r="M1997" s="28"/>
      <c r="N1997" s="28"/>
      <c r="O1997" s="24"/>
      <c r="P1997" s="24"/>
      <c r="Q1997" s="24"/>
      <c r="R1997" s="24"/>
      <c r="S1997" s="24"/>
      <c r="T1997" s="24"/>
      <c r="U1997" s="24"/>
      <c r="V1997" s="24"/>
      <c r="W1997" s="24"/>
      <c r="X1997" s="24"/>
      <c r="Y1997" s="24"/>
      <c r="Z1997" s="24"/>
      <c r="AA1997" s="24"/>
      <c r="AB1997" s="24"/>
      <c r="AC1997" s="24"/>
      <c r="AD1997" s="24"/>
      <c r="AE1997" s="24"/>
      <c r="AF1997" s="24"/>
      <c r="AG1997" s="24"/>
      <c r="AH1997" s="24"/>
      <c r="AI1997" s="24"/>
      <c r="AJ1997" s="24"/>
      <c r="AK1997" s="24"/>
      <c r="AL1997" s="24"/>
      <c r="AM1997" s="24"/>
      <c r="AN1997" s="24"/>
      <c r="AO1997" s="24"/>
      <c r="AP1997" s="24"/>
      <c r="AQ1997" s="24"/>
      <c r="AR1997" s="24"/>
      <c r="AS1997" s="24"/>
      <c r="AT1997" s="24"/>
      <c r="AU1997" s="24"/>
      <c r="AV1997" s="24"/>
      <c r="AW1997" s="24"/>
      <c r="AX1997" s="24"/>
    </row>
    <row r="1998" ht="15.75" customHeight="1">
      <c r="A1998" s="24"/>
      <c r="B1998" s="24"/>
      <c r="C1998" s="28"/>
      <c r="D1998" s="28"/>
      <c r="E1998" s="28"/>
      <c r="F1998" s="28"/>
      <c r="G1998" s="28"/>
      <c r="H1998" s="28"/>
      <c r="I1998" s="28"/>
      <c r="J1998" s="28"/>
      <c r="K1998" s="28"/>
      <c r="L1998" s="28"/>
      <c r="M1998" s="28"/>
      <c r="N1998" s="28"/>
      <c r="O1998" s="24"/>
      <c r="P1998" s="24"/>
      <c r="Q1998" s="24"/>
      <c r="R1998" s="24"/>
      <c r="S1998" s="24"/>
      <c r="T1998" s="24"/>
      <c r="U1998" s="24"/>
      <c r="V1998" s="24"/>
      <c r="W1998" s="24"/>
      <c r="X1998" s="24"/>
      <c r="Y1998" s="24"/>
      <c r="Z1998" s="24"/>
      <c r="AA1998" s="24"/>
      <c r="AB1998" s="24"/>
      <c r="AC1998" s="24"/>
      <c r="AD1998" s="24"/>
      <c r="AE1998" s="24"/>
      <c r="AF1998" s="24"/>
      <c r="AG1998" s="24"/>
      <c r="AH1998" s="24"/>
      <c r="AI1998" s="24"/>
      <c r="AJ1998" s="24"/>
      <c r="AK1998" s="24"/>
      <c r="AL1998" s="24"/>
      <c r="AM1998" s="24"/>
      <c r="AN1998" s="24"/>
      <c r="AO1998" s="24"/>
      <c r="AP1998" s="24"/>
      <c r="AQ1998" s="24"/>
      <c r="AR1998" s="24"/>
      <c r="AS1998" s="24"/>
      <c r="AT1998" s="24"/>
      <c r="AU1998" s="24"/>
      <c r="AV1998" s="24"/>
      <c r="AW1998" s="24"/>
      <c r="AX1998" s="24"/>
    </row>
    <row r="1999" ht="15.75" customHeight="1">
      <c r="A1999" s="24"/>
      <c r="B1999" s="24"/>
      <c r="C1999" s="28"/>
      <c r="D1999" s="28"/>
      <c r="E1999" s="28"/>
      <c r="F1999" s="28"/>
      <c r="G1999" s="28"/>
      <c r="H1999" s="28"/>
      <c r="I1999" s="28"/>
      <c r="J1999" s="28"/>
      <c r="K1999" s="28"/>
      <c r="L1999" s="28"/>
      <c r="M1999" s="28"/>
      <c r="N1999" s="28"/>
      <c r="O1999" s="24"/>
      <c r="P1999" s="24"/>
      <c r="Q1999" s="24"/>
      <c r="R1999" s="24"/>
      <c r="S1999" s="24"/>
      <c r="T1999" s="24"/>
      <c r="U1999" s="24"/>
      <c r="V1999" s="24"/>
      <c r="W1999" s="24"/>
      <c r="X1999" s="24"/>
      <c r="Y1999" s="24"/>
      <c r="Z1999" s="24"/>
      <c r="AA1999" s="24"/>
      <c r="AB1999" s="24"/>
      <c r="AC1999" s="24"/>
      <c r="AD1999" s="24"/>
      <c r="AE1999" s="24"/>
      <c r="AF1999" s="24"/>
      <c r="AG1999" s="24"/>
      <c r="AH1999" s="24"/>
      <c r="AI1999" s="24"/>
      <c r="AJ1999" s="24"/>
      <c r="AK1999" s="24"/>
      <c r="AL1999" s="24"/>
      <c r="AM1999" s="24"/>
      <c r="AN1999" s="24"/>
      <c r="AO1999" s="24"/>
      <c r="AP1999" s="24"/>
      <c r="AQ1999" s="24"/>
      <c r="AR1999" s="24"/>
      <c r="AS1999" s="24"/>
      <c r="AT1999" s="24"/>
      <c r="AU1999" s="24"/>
      <c r="AV1999" s="24"/>
      <c r="AW1999" s="24"/>
      <c r="AX1999" s="24"/>
    </row>
    <row r="2000" ht="15.75" customHeight="1">
      <c r="A2000" s="24"/>
      <c r="B2000" s="24"/>
      <c r="C2000" s="28"/>
      <c r="D2000" s="28"/>
      <c r="E2000" s="28"/>
      <c r="F2000" s="28"/>
      <c r="G2000" s="28"/>
      <c r="H2000" s="28"/>
      <c r="I2000" s="28"/>
      <c r="J2000" s="28"/>
      <c r="K2000" s="28"/>
      <c r="L2000" s="28"/>
      <c r="M2000" s="28"/>
      <c r="N2000" s="28"/>
      <c r="O2000" s="24"/>
      <c r="P2000" s="24"/>
      <c r="Q2000" s="24"/>
      <c r="R2000" s="24"/>
      <c r="S2000" s="24"/>
      <c r="T2000" s="24"/>
      <c r="U2000" s="24"/>
      <c r="V2000" s="24"/>
      <c r="W2000" s="24"/>
      <c r="X2000" s="24"/>
      <c r="Y2000" s="24"/>
      <c r="Z2000" s="24"/>
      <c r="AA2000" s="24"/>
      <c r="AB2000" s="24"/>
      <c r="AC2000" s="24"/>
      <c r="AD2000" s="24"/>
      <c r="AE2000" s="24"/>
      <c r="AF2000" s="24"/>
      <c r="AG2000" s="24"/>
      <c r="AH2000" s="24"/>
      <c r="AI2000" s="24"/>
      <c r="AJ2000" s="24"/>
      <c r="AK2000" s="24"/>
      <c r="AL2000" s="24"/>
      <c r="AM2000" s="24"/>
      <c r="AN2000" s="24"/>
      <c r="AO2000" s="24"/>
      <c r="AP2000" s="24"/>
      <c r="AQ2000" s="24"/>
      <c r="AR2000" s="24"/>
      <c r="AS2000" s="24"/>
      <c r="AT2000" s="24"/>
      <c r="AU2000" s="24"/>
      <c r="AV2000" s="24"/>
      <c r="AW2000" s="24"/>
      <c r="AX2000" s="24"/>
    </row>
    <row r="2001" ht="15.75" customHeight="1">
      <c r="A2001" s="24"/>
      <c r="B2001" s="24"/>
      <c r="C2001" s="28"/>
      <c r="D2001" s="28"/>
      <c r="E2001" s="28"/>
      <c r="F2001" s="28"/>
      <c r="G2001" s="28"/>
      <c r="H2001" s="28"/>
      <c r="I2001" s="28"/>
      <c r="J2001" s="28"/>
      <c r="K2001" s="28"/>
      <c r="L2001" s="28"/>
      <c r="M2001" s="28"/>
      <c r="N2001" s="28"/>
      <c r="O2001" s="24"/>
      <c r="P2001" s="24"/>
      <c r="Q2001" s="24"/>
      <c r="R2001" s="24"/>
      <c r="S2001" s="24"/>
      <c r="T2001" s="24"/>
      <c r="U2001" s="24"/>
      <c r="V2001" s="24"/>
      <c r="W2001" s="24"/>
      <c r="X2001" s="24"/>
      <c r="Y2001" s="24"/>
      <c r="Z2001" s="24"/>
      <c r="AA2001" s="24"/>
      <c r="AB2001" s="24"/>
      <c r="AC2001" s="24"/>
      <c r="AD2001" s="24"/>
      <c r="AE2001" s="24"/>
      <c r="AF2001" s="24"/>
      <c r="AG2001" s="24"/>
      <c r="AH2001" s="24"/>
      <c r="AI2001" s="24"/>
      <c r="AJ2001" s="24"/>
      <c r="AK2001" s="24"/>
      <c r="AL2001" s="24"/>
      <c r="AM2001" s="24"/>
      <c r="AN2001" s="24"/>
      <c r="AO2001" s="24"/>
      <c r="AP2001" s="24"/>
      <c r="AQ2001" s="24"/>
      <c r="AR2001" s="24"/>
      <c r="AS2001" s="24"/>
      <c r="AT2001" s="24"/>
      <c r="AU2001" s="24"/>
      <c r="AV2001" s="24"/>
      <c r="AW2001" s="24"/>
      <c r="AX2001" s="24"/>
    </row>
    <row r="2002" ht="15.75" customHeight="1">
      <c r="A2002" s="24"/>
      <c r="B2002" s="24"/>
      <c r="C2002" s="28"/>
      <c r="D2002" s="28"/>
      <c r="E2002" s="28"/>
      <c r="F2002" s="28"/>
      <c r="G2002" s="28"/>
      <c r="H2002" s="28"/>
      <c r="I2002" s="28"/>
      <c r="J2002" s="28"/>
      <c r="K2002" s="28"/>
      <c r="L2002" s="28"/>
      <c r="M2002" s="28"/>
      <c r="N2002" s="28"/>
      <c r="O2002" s="24"/>
      <c r="P2002" s="24"/>
      <c r="Q2002" s="24"/>
      <c r="R2002" s="24"/>
      <c r="S2002" s="24"/>
      <c r="T2002" s="24"/>
      <c r="U2002" s="24"/>
      <c r="V2002" s="24"/>
      <c r="W2002" s="24"/>
      <c r="X2002" s="24"/>
      <c r="Y2002" s="24"/>
      <c r="Z2002" s="24"/>
      <c r="AA2002" s="24"/>
      <c r="AB2002" s="24"/>
      <c r="AC2002" s="24"/>
      <c r="AD2002" s="24"/>
      <c r="AE2002" s="24"/>
      <c r="AF2002" s="24"/>
      <c r="AG2002" s="24"/>
      <c r="AH2002" s="24"/>
      <c r="AI2002" s="24"/>
      <c r="AJ2002" s="24"/>
      <c r="AK2002" s="24"/>
      <c r="AL2002" s="24"/>
      <c r="AM2002" s="24"/>
      <c r="AN2002" s="24"/>
      <c r="AO2002" s="24"/>
      <c r="AP2002" s="24"/>
      <c r="AQ2002" s="24"/>
      <c r="AR2002" s="24"/>
      <c r="AS2002" s="24"/>
      <c r="AT2002" s="24"/>
      <c r="AU2002" s="24"/>
      <c r="AV2002" s="24"/>
      <c r="AW2002" s="24"/>
      <c r="AX2002" s="24"/>
    </row>
    <row r="2003" ht="15.75" customHeight="1">
      <c r="A2003" s="24"/>
      <c r="B2003" s="24"/>
      <c r="C2003" s="28"/>
      <c r="D2003" s="28"/>
      <c r="E2003" s="28"/>
      <c r="F2003" s="28"/>
      <c r="G2003" s="28"/>
      <c r="H2003" s="28"/>
      <c r="I2003" s="28"/>
      <c r="J2003" s="28"/>
      <c r="K2003" s="28"/>
      <c r="L2003" s="28"/>
      <c r="M2003" s="28"/>
      <c r="N2003" s="28"/>
      <c r="O2003" s="24"/>
      <c r="P2003" s="24"/>
      <c r="Q2003" s="24"/>
      <c r="R2003" s="24"/>
      <c r="S2003" s="24"/>
      <c r="T2003" s="24"/>
      <c r="U2003" s="24"/>
      <c r="V2003" s="24"/>
      <c r="W2003" s="24"/>
      <c r="X2003" s="24"/>
      <c r="Y2003" s="24"/>
      <c r="Z2003" s="24"/>
      <c r="AA2003" s="24"/>
      <c r="AB2003" s="24"/>
      <c r="AC2003" s="24"/>
      <c r="AD2003" s="24"/>
      <c r="AE2003" s="24"/>
      <c r="AF2003" s="24"/>
      <c r="AG2003" s="24"/>
      <c r="AH2003" s="24"/>
      <c r="AI2003" s="24"/>
      <c r="AJ2003" s="24"/>
      <c r="AK2003" s="24"/>
      <c r="AL2003" s="24"/>
      <c r="AM2003" s="24"/>
      <c r="AN2003" s="24"/>
      <c r="AO2003" s="24"/>
      <c r="AP2003" s="24"/>
      <c r="AQ2003" s="24"/>
      <c r="AR2003" s="24"/>
      <c r="AS2003" s="24"/>
      <c r="AT2003" s="24"/>
      <c r="AU2003" s="24"/>
      <c r="AV2003" s="24"/>
      <c r="AW2003" s="24"/>
      <c r="AX2003" s="24"/>
    </row>
    <row r="2004" ht="15.75" customHeight="1">
      <c r="A2004" s="24"/>
      <c r="B2004" s="24"/>
      <c r="C2004" s="28"/>
      <c r="D2004" s="28"/>
      <c r="E2004" s="28"/>
      <c r="F2004" s="28"/>
      <c r="G2004" s="28"/>
      <c r="H2004" s="28"/>
      <c r="I2004" s="28"/>
      <c r="J2004" s="28"/>
      <c r="K2004" s="28"/>
      <c r="L2004" s="28"/>
      <c r="M2004" s="28"/>
      <c r="N2004" s="28"/>
      <c r="O2004" s="24"/>
      <c r="P2004" s="24"/>
      <c r="Q2004" s="24"/>
      <c r="R2004" s="24"/>
      <c r="S2004" s="24"/>
      <c r="T2004" s="24"/>
      <c r="U2004" s="24"/>
      <c r="V2004" s="24"/>
      <c r="W2004" s="24"/>
      <c r="X2004" s="24"/>
      <c r="Y2004" s="24"/>
      <c r="Z2004" s="24"/>
      <c r="AA2004" s="24"/>
      <c r="AB2004" s="24"/>
      <c r="AC2004" s="24"/>
      <c r="AD2004" s="24"/>
      <c r="AE2004" s="24"/>
      <c r="AF2004" s="24"/>
      <c r="AG2004" s="24"/>
      <c r="AH2004" s="24"/>
      <c r="AI2004" s="24"/>
      <c r="AJ2004" s="24"/>
      <c r="AK2004" s="24"/>
      <c r="AL2004" s="24"/>
      <c r="AM2004" s="24"/>
      <c r="AN2004" s="24"/>
      <c r="AO2004" s="24"/>
      <c r="AP2004" s="24"/>
      <c r="AQ2004" s="24"/>
      <c r="AR2004" s="24"/>
      <c r="AS2004" s="24"/>
      <c r="AT2004" s="24"/>
      <c r="AU2004" s="24"/>
      <c r="AV2004" s="24"/>
      <c r="AW2004" s="24"/>
      <c r="AX2004" s="24"/>
    </row>
    <row r="2005" ht="15.75" customHeight="1">
      <c r="A2005" s="24"/>
      <c r="B2005" s="24"/>
      <c r="C2005" s="28"/>
      <c r="D2005" s="28"/>
      <c r="E2005" s="28"/>
      <c r="F2005" s="28"/>
      <c r="G2005" s="28"/>
      <c r="H2005" s="28"/>
      <c r="I2005" s="28"/>
      <c r="J2005" s="28"/>
      <c r="K2005" s="28"/>
      <c r="L2005" s="28"/>
      <c r="M2005" s="28"/>
      <c r="N2005" s="28"/>
      <c r="O2005" s="24"/>
      <c r="P2005" s="24"/>
      <c r="Q2005" s="24"/>
      <c r="R2005" s="24"/>
      <c r="S2005" s="24"/>
      <c r="T2005" s="24"/>
      <c r="U2005" s="24"/>
      <c r="V2005" s="24"/>
      <c r="W2005" s="24"/>
      <c r="X2005" s="24"/>
      <c r="Y2005" s="24"/>
      <c r="Z2005" s="24"/>
      <c r="AA2005" s="24"/>
      <c r="AB2005" s="24"/>
      <c r="AC2005" s="24"/>
      <c r="AD2005" s="24"/>
      <c r="AE2005" s="24"/>
      <c r="AF2005" s="24"/>
      <c r="AG2005" s="24"/>
      <c r="AH2005" s="24"/>
      <c r="AI2005" s="24"/>
      <c r="AJ2005" s="24"/>
      <c r="AK2005" s="24"/>
      <c r="AL2005" s="24"/>
      <c r="AM2005" s="24"/>
      <c r="AN2005" s="24"/>
      <c r="AO2005" s="24"/>
      <c r="AP2005" s="24"/>
      <c r="AQ2005" s="24"/>
      <c r="AR2005" s="24"/>
      <c r="AS2005" s="24"/>
      <c r="AT2005" s="24"/>
      <c r="AU2005" s="24"/>
      <c r="AV2005" s="24"/>
      <c r="AW2005" s="24"/>
      <c r="AX2005" s="24"/>
    </row>
    <row r="2006" ht="15.75" customHeight="1">
      <c r="A2006" s="24"/>
      <c r="B2006" s="24"/>
      <c r="C2006" s="28"/>
      <c r="D2006" s="28"/>
      <c r="E2006" s="28"/>
      <c r="F2006" s="28"/>
      <c r="G2006" s="28"/>
      <c r="H2006" s="28"/>
      <c r="I2006" s="28"/>
      <c r="J2006" s="28"/>
      <c r="K2006" s="28"/>
      <c r="L2006" s="28"/>
      <c r="M2006" s="28"/>
      <c r="N2006" s="28"/>
      <c r="O2006" s="24"/>
      <c r="P2006" s="24"/>
      <c r="Q2006" s="24"/>
      <c r="R2006" s="24"/>
      <c r="S2006" s="24"/>
      <c r="T2006" s="24"/>
      <c r="U2006" s="24"/>
      <c r="V2006" s="24"/>
      <c r="W2006" s="24"/>
      <c r="X2006" s="24"/>
      <c r="Y2006" s="24"/>
      <c r="Z2006" s="24"/>
      <c r="AA2006" s="24"/>
      <c r="AB2006" s="24"/>
      <c r="AC2006" s="24"/>
      <c r="AD2006" s="24"/>
      <c r="AE2006" s="24"/>
      <c r="AF2006" s="24"/>
      <c r="AG2006" s="24"/>
      <c r="AH2006" s="24"/>
      <c r="AI2006" s="24"/>
      <c r="AJ2006" s="24"/>
      <c r="AK2006" s="24"/>
      <c r="AL2006" s="24"/>
      <c r="AM2006" s="24"/>
      <c r="AN2006" s="24"/>
      <c r="AO2006" s="24"/>
      <c r="AP2006" s="24"/>
      <c r="AQ2006" s="24"/>
      <c r="AR2006" s="24"/>
      <c r="AS2006" s="24"/>
      <c r="AT2006" s="24"/>
      <c r="AU2006" s="24"/>
      <c r="AV2006" s="24"/>
      <c r="AW2006" s="24"/>
      <c r="AX2006" s="24"/>
    </row>
    <row r="2007" ht="15.75" customHeight="1">
      <c r="A2007" s="24"/>
      <c r="B2007" s="24"/>
      <c r="C2007" s="28"/>
      <c r="D2007" s="28"/>
      <c r="E2007" s="28"/>
      <c r="F2007" s="28"/>
      <c r="G2007" s="28"/>
      <c r="H2007" s="28"/>
      <c r="I2007" s="28"/>
      <c r="J2007" s="28"/>
      <c r="K2007" s="28"/>
      <c r="L2007" s="28"/>
      <c r="M2007" s="28"/>
      <c r="N2007" s="28"/>
      <c r="O2007" s="24"/>
      <c r="P2007" s="24"/>
      <c r="Q2007" s="24"/>
      <c r="R2007" s="24"/>
      <c r="S2007" s="24"/>
      <c r="T2007" s="24"/>
      <c r="U2007" s="24"/>
      <c r="V2007" s="24"/>
      <c r="W2007" s="24"/>
      <c r="X2007" s="24"/>
      <c r="Y2007" s="24"/>
      <c r="Z2007" s="24"/>
      <c r="AA2007" s="24"/>
      <c r="AB2007" s="24"/>
      <c r="AC2007" s="24"/>
      <c r="AD2007" s="24"/>
      <c r="AE2007" s="24"/>
      <c r="AF2007" s="24"/>
      <c r="AG2007" s="24"/>
      <c r="AH2007" s="24"/>
      <c r="AI2007" s="24"/>
      <c r="AJ2007" s="24"/>
      <c r="AK2007" s="24"/>
      <c r="AL2007" s="24"/>
      <c r="AM2007" s="24"/>
      <c r="AN2007" s="24"/>
      <c r="AO2007" s="24"/>
      <c r="AP2007" s="24"/>
      <c r="AQ2007" s="24"/>
      <c r="AR2007" s="24"/>
      <c r="AS2007" s="24"/>
      <c r="AT2007" s="24"/>
      <c r="AU2007" s="24"/>
      <c r="AV2007" s="24"/>
      <c r="AW2007" s="24"/>
      <c r="AX2007" s="24"/>
    </row>
    <row r="2008" ht="15.75" customHeight="1">
      <c r="A2008" s="24"/>
      <c r="B2008" s="24"/>
      <c r="C2008" s="28"/>
      <c r="D2008" s="28"/>
      <c r="E2008" s="28"/>
      <c r="F2008" s="28"/>
      <c r="G2008" s="28"/>
      <c r="H2008" s="28"/>
      <c r="I2008" s="28"/>
      <c r="J2008" s="28"/>
      <c r="K2008" s="28"/>
      <c r="L2008" s="28"/>
      <c r="M2008" s="28"/>
      <c r="N2008" s="28"/>
      <c r="O2008" s="24"/>
      <c r="P2008" s="24"/>
      <c r="Q2008" s="24"/>
      <c r="R2008" s="24"/>
      <c r="S2008" s="24"/>
      <c r="T2008" s="24"/>
      <c r="U2008" s="24"/>
      <c r="V2008" s="24"/>
      <c r="W2008" s="24"/>
      <c r="X2008" s="24"/>
      <c r="Y2008" s="24"/>
      <c r="Z2008" s="24"/>
      <c r="AA2008" s="24"/>
      <c r="AB2008" s="24"/>
      <c r="AC2008" s="24"/>
      <c r="AD2008" s="24"/>
      <c r="AE2008" s="24"/>
      <c r="AF2008" s="24"/>
      <c r="AG2008" s="24"/>
      <c r="AH2008" s="24"/>
      <c r="AI2008" s="24"/>
      <c r="AJ2008" s="24"/>
      <c r="AK2008" s="24"/>
      <c r="AL2008" s="24"/>
      <c r="AM2008" s="24"/>
      <c r="AN2008" s="24"/>
      <c r="AO2008" s="24"/>
      <c r="AP2008" s="24"/>
      <c r="AQ2008" s="24"/>
      <c r="AR2008" s="24"/>
      <c r="AS2008" s="24"/>
      <c r="AT2008" s="24"/>
      <c r="AU2008" s="24"/>
      <c r="AV2008" s="24"/>
      <c r="AW2008" s="24"/>
      <c r="AX2008" s="24"/>
    </row>
    <row r="2009" ht="15.75" customHeight="1">
      <c r="A2009" s="24"/>
      <c r="B2009" s="24"/>
      <c r="C2009" s="28"/>
      <c r="D2009" s="28"/>
      <c r="E2009" s="28"/>
      <c r="F2009" s="28"/>
      <c r="G2009" s="28"/>
      <c r="H2009" s="28"/>
      <c r="I2009" s="28"/>
      <c r="J2009" s="28"/>
      <c r="K2009" s="28"/>
      <c r="L2009" s="28"/>
      <c r="M2009" s="28"/>
      <c r="N2009" s="28"/>
      <c r="O2009" s="24"/>
      <c r="P2009" s="24"/>
      <c r="Q2009" s="24"/>
      <c r="R2009" s="24"/>
      <c r="S2009" s="24"/>
      <c r="T2009" s="24"/>
      <c r="U2009" s="24"/>
      <c r="V2009" s="24"/>
      <c r="W2009" s="24"/>
      <c r="X2009" s="24"/>
      <c r="Y2009" s="24"/>
      <c r="Z2009" s="24"/>
      <c r="AA2009" s="24"/>
      <c r="AB2009" s="24"/>
      <c r="AC2009" s="24"/>
      <c r="AD2009" s="24"/>
      <c r="AE2009" s="24"/>
      <c r="AF2009" s="24"/>
      <c r="AG2009" s="24"/>
      <c r="AH2009" s="24"/>
      <c r="AI2009" s="24"/>
      <c r="AJ2009" s="24"/>
      <c r="AK2009" s="24"/>
      <c r="AL2009" s="24"/>
      <c r="AM2009" s="24"/>
      <c r="AN2009" s="24"/>
      <c r="AO2009" s="24"/>
      <c r="AP2009" s="24"/>
      <c r="AQ2009" s="24"/>
      <c r="AR2009" s="24"/>
      <c r="AS2009" s="24"/>
      <c r="AT2009" s="24"/>
      <c r="AU2009" s="24"/>
      <c r="AV2009" s="24"/>
      <c r="AW2009" s="24"/>
      <c r="AX2009" s="24"/>
    </row>
    <row r="2010" ht="15.75" customHeight="1">
      <c r="A2010" s="24"/>
      <c r="B2010" s="24"/>
      <c r="C2010" s="28"/>
      <c r="D2010" s="28"/>
      <c r="E2010" s="28"/>
      <c r="F2010" s="28"/>
      <c r="G2010" s="28"/>
      <c r="H2010" s="28"/>
      <c r="I2010" s="28"/>
      <c r="J2010" s="28"/>
      <c r="K2010" s="28"/>
      <c r="L2010" s="28"/>
      <c r="M2010" s="28"/>
      <c r="N2010" s="28"/>
      <c r="O2010" s="24"/>
      <c r="P2010" s="24"/>
      <c r="Q2010" s="24"/>
      <c r="R2010" s="24"/>
      <c r="S2010" s="24"/>
      <c r="T2010" s="24"/>
      <c r="U2010" s="24"/>
      <c r="V2010" s="24"/>
      <c r="W2010" s="24"/>
      <c r="X2010" s="24"/>
      <c r="Y2010" s="24"/>
      <c r="Z2010" s="24"/>
      <c r="AA2010" s="24"/>
      <c r="AB2010" s="24"/>
      <c r="AC2010" s="24"/>
      <c r="AD2010" s="24"/>
      <c r="AE2010" s="24"/>
      <c r="AF2010" s="24"/>
      <c r="AG2010" s="24"/>
      <c r="AH2010" s="24"/>
      <c r="AI2010" s="24"/>
      <c r="AJ2010" s="24"/>
      <c r="AK2010" s="24"/>
      <c r="AL2010" s="24"/>
      <c r="AM2010" s="24"/>
      <c r="AN2010" s="24"/>
      <c r="AO2010" s="24"/>
      <c r="AP2010" s="24"/>
      <c r="AQ2010" s="24"/>
      <c r="AR2010" s="24"/>
      <c r="AS2010" s="24"/>
      <c r="AT2010" s="24"/>
      <c r="AU2010" s="24"/>
      <c r="AV2010" s="24"/>
      <c r="AW2010" s="24"/>
      <c r="AX2010" s="24"/>
    </row>
    <row r="2011" ht="15.75" customHeight="1">
      <c r="A2011" s="24"/>
      <c r="B2011" s="24"/>
      <c r="C2011" s="28"/>
      <c r="D2011" s="28"/>
      <c r="E2011" s="28"/>
      <c r="F2011" s="28"/>
      <c r="G2011" s="28"/>
      <c r="H2011" s="28"/>
      <c r="I2011" s="28"/>
      <c r="J2011" s="28"/>
      <c r="K2011" s="28"/>
      <c r="L2011" s="28"/>
      <c r="M2011" s="28"/>
      <c r="N2011" s="28"/>
      <c r="O2011" s="24"/>
      <c r="P2011" s="24"/>
      <c r="Q2011" s="24"/>
      <c r="R2011" s="24"/>
      <c r="S2011" s="24"/>
      <c r="T2011" s="24"/>
      <c r="U2011" s="24"/>
      <c r="V2011" s="24"/>
      <c r="W2011" s="24"/>
      <c r="X2011" s="24"/>
      <c r="Y2011" s="24"/>
      <c r="Z2011" s="24"/>
      <c r="AA2011" s="24"/>
      <c r="AB2011" s="24"/>
      <c r="AC2011" s="24"/>
      <c r="AD2011" s="24"/>
      <c r="AE2011" s="24"/>
      <c r="AF2011" s="24"/>
      <c r="AG2011" s="24"/>
      <c r="AH2011" s="24"/>
      <c r="AI2011" s="24"/>
      <c r="AJ2011" s="24"/>
      <c r="AK2011" s="24"/>
      <c r="AL2011" s="24"/>
      <c r="AM2011" s="24"/>
      <c r="AN2011" s="24"/>
      <c r="AO2011" s="24"/>
      <c r="AP2011" s="24"/>
      <c r="AQ2011" s="24"/>
      <c r="AR2011" s="24"/>
      <c r="AS2011" s="24"/>
      <c r="AT2011" s="24"/>
      <c r="AU2011" s="24"/>
      <c r="AV2011" s="24"/>
      <c r="AW2011" s="24"/>
      <c r="AX2011" s="24"/>
    </row>
    <row r="2012" ht="15.75" customHeight="1">
      <c r="A2012" s="24"/>
      <c r="B2012" s="24"/>
      <c r="C2012" s="28"/>
      <c r="D2012" s="28"/>
      <c r="E2012" s="28"/>
      <c r="F2012" s="28"/>
      <c r="G2012" s="28"/>
      <c r="H2012" s="28"/>
      <c r="I2012" s="28"/>
      <c r="J2012" s="28"/>
      <c r="K2012" s="28"/>
      <c r="L2012" s="28"/>
      <c r="M2012" s="28"/>
      <c r="N2012" s="28"/>
      <c r="O2012" s="24"/>
      <c r="P2012" s="24"/>
      <c r="Q2012" s="24"/>
      <c r="R2012" s="24"/>
      <c r="S2012" s="24"/>
      <c r="T2012" s="24"/>
      <c r="U2012" s="24"/>
      <c r="V2012" s="24"/>
      <c r="W2012" s="24"/>
      <c r="X2012" s="24"/>
      <c r="Y2012" s="24"/>
      <c r="Z2012" s="24"/>
      <c r="AA2012" s="24"/>
      <c r="AB2012" s="24"/>
      <c r="AC2012" s="24"/>
      <c r="AD2012" s="24"/>
      <c r="AE2012" s="24"/>
      <c r="AF2012" s="24"/>
      <c r="AG2012" s="24"/>
      <c r="AH2012" s="24"/>
      <c r="AI2012" s="24"/>
      <c r="AJ2012" s="24"/>
      <c r="AK2012" s="24"/>
      <c r="AL2012" s="24"/>
      <c r="AM2012" s="24"/>
      <c r="AN2012" s="24"/>
      <c r="AO2012" s="24"/>
      <c r="AP2012" s="24"/>
      <c r="AQ2012" s="24"/>
      <c r="AR2012" s="24"/>
      <c r="AS2012" s="24"/>
      <c r="AT2012" s="24"/>
      <c r="AU2012" s="24"/>
      <c r="AV2012" s="24"/>
      <c r="AW2012" s="24"/>
      <c r="AX2012" s="24"/>
    </row>
    <row r="2013" ht="15.75" customHeight="1">
      <c r="A2013" s="24"/>
      <c r="B2013" s="24"/>
      <c r="C2013" s="28"/>
      <c r="D2013" s="28"/>
      <c r="E2013" s="28"/>
      <c r="F2013" s="28"/>
      <c r="G2013" s="28"/>
      <c r="H2013" s="28"/>
      <c r="I2013" s="28"/>
      <c r="J2013" s="28"/>
      <c r="K2013" s="28"/>
      <c r="L2013" s="28"/>
      <c r="M2013" s="28"/>
      <c r="N2013" s="28"/>
      <c r="O2013" s="24"/>
      <c r="P2013" s="24"/>
      <c r="Q2013" s="24"/>
      <c r="R2013" s="24"/>
      <c r="S2013" s="24"/>
      <c r="T2013" s="24"/>
      <c r="U2013" s="24"/>
      <c r="V2013" s="24"/>
      <c r="W2013" s="24"/>
      <c r="X2013" s="24"/>
      <c r="Y2013" s="24"/>
      <c r="Z2013" s="24"/>
      <c r="AA2013" s="24"/>
      <c r="AB2013" s="24"/>
      <c r="AC2013" s="24"/>
      <c r="AD2013" s="24"/>
      <c r="AE2013" s="24"/>
      <c r="AF2013" s="24"/>
      <c r="AG2013" s="24"/>
      <c r="AH2013" s="24"/>
      <c r="AI2013" s="24"/>
      <c r="AJ2013" s="24"/>
      <c r="AK2013" s="24"/>
      <c r="AL2013" s="24"/>
      <c r="AM2013" s="24"/>
      <c r="AN2013" s="24"/>
      <c r="AO2013" s="24"/>
      <c r="AP2013" s="24"/>
      <c r="AQ2013" s="24"/>
      <c r="AR2013" s="24"/>
      <c r="AS2013" s="24"/>
      <c r="AT2013" s="24"/>
      <c r="AU2013" s="24"/>
      <c r="AV2013" s="24"/>
      <c r="AW2013" s="24"/>
      <c r="AX2013" s="24"/>
    </row>
    <row r="2014" ht="15.75" customHeight="1">
      <c r="A2014" s="24"/>
      <c r="B2014" s="24"/>
      <c r="C2014" s="28"/>
      <c r="D2014" s="28"/>
      <c r="E2014" s="28"/>
      <c r="F2014" s="28"/>
      <c r="G2014" s="28"/>
      <c r="H2014" s="28"/>
      <c r="I2014" s="28"/>
      <c r="J2014" s="28"/>
      <c r="K2014" s="28"/>
      <c r="L2014" s="28"/>
      <c r="M2014" s="28"/>
      <c r="N2014" s="28"/>
      <c r="O2014" s="24"/>
      <c r="P2014" s="24"/>
      <c r="Q2014" s="24"/>
      <c r="R2014" s="24"/>
      <c r="S2014" s="24"/>
      <c r="T2014" s="24"/>
      <c r="U2014" s="24"/>
      <c r="V2014" s="24"/>
      <c r="W2014" s="24"/>
      <c r="X2014" s="24"/>
      <c r="Y2014" s="24"/>
      <c r="Z2014" s="24"/>
      <c r="AA2014" s="24"/>
      <c r="AB2014" s="24"/>
      <c r="AC2014" s="24"/>
      <c r="AD2014" s="24"/>
      <c r="AE2014" s="24"/>
      <c r="AF2014" s="24"/>
      <c r="AG2014" s="24"/>
      <c r="AH2014" s="24"/>
      <c r="AI2014" s="24"/>
      <c r="AJ2014" s="24"/>
      <c r="AK2014" s="24"/>
      <c r="AL2014" s="24"/>
      <c r="AM2014" s="24"/>
      <c r="AN2014" s="24"/>
      <c r="AO2014" s="24"/>
      <c r="AP2014" s="24"/>
      <c r="AQ2014" s="24"/>
      <c r="AR2014" s="24"/>
      <c r="AS2014" s="24"/>
      <c r="AT2014" s="24"/>
      <c r="AU2014" s="24"/>
      <c r="AV2014" s="24"/>
      <c r="AW2014" s="24"/>
      <c r="AX2014" s="24"/>
    </row>
    <row r="2015" ht="15.75" customHeight="1">
      <c r="A2015" s="24"/>
      <c r="B2015" s="24"/>
      <c r="C2015" s="28"/>
      <c r="D2015" s="28"/>
      <c r="E2015" s="28"/>
      <c r="F2015" s="28"/>
      <c r="G2015" s="28"/>
      <c r="H2015" s="28"/>
      <c r="I2015" s="28"/>
      <c r="J2015" s="28"/>
      <c r="K2015" s="28"/>
      <c r="L2015" s="28"/>
      <c r="M2015" s="28"/>
      <c r="N2015" s="28"/>
      <c r="O2015" s="24"/>
      <c r="P2015" s="24"/>
      <c r="Q2015" s="24"/>
      <c r="R2015" s="24"/>
      <c r="S2015" s="24"/>
      <c r="T2015" s="24"/>
      <c r="U2015" s="24"/>
      <c r="V2015" s="24"/>
      <c r="W2015" s="24"/>
      <c r="X2015" s="24"/>
      <c r="Y2015" s="24"/>
      <c r="Z2015" s="24"/>
      <c r="AA2015" s="24"/>
      <c r="AB2015" s="24"/>
      <c r="AC2015" s="24"/>
      <c r="AD2015" s="24"/>
      <c r="AE2015" s="24"/>
      <c r="AF2015" s="24"/>
      <c r="AG2015" s="24"/>
      <c r="AH2015" s="24"/>
      <c r="AI2015" s="24"/>
      <c r="AJ2015" s="24"/>
      <c r="AK2015" s="24"/>
      <c r="AL2015" s="24"/>
      <c r="AM2015" s="24"/>
      <c r="AN2015" s="24"/>
      <c r="AO2015" s="24"/>
      <c r="AP2015" s="24"/>
      <c r="AQ2015" s="24"/>
      <c r="AR2015" s="24"/>
      <c r="AS2015" s="24"/>
      <c r="AT2015" s="24"/>
      <c r="AU2015" s="24"/>
      <c r="AV2015" s="24"/>
      <c r="AW2015" s="24"/>
      <c r="AX2015" s="24"/>
    </row>
    <row r="2016" ht="15.75" customHeight="1">
      <c r="A2016" s="24"/>
      <c r="B2016" s="24"/>
      <c r="C2016" s="28"/>
      <c r="D2016" s="28"/>
      <c r="E2016" s="28"/>
      <c r="F2016" s="28"/>
      <c r="G2016" s="28"/>
      <c r="H2016" s="28"/>
      <c r="I2016" s="28"/>
      <c r="J2016" s="28"/>
      <c r="K2016" s="28"/>
      <c r="L2016" s="28"/>
      <c r="M2016" s="28"/>
      <c r="N2016" s="28"/>
      <c r="O2016" s="24"/>
      <c r="P2016" s="24"/>
      <c r="Q2016" s="24"/>
      <c r="R2016" s="24"/>
      <c r="S2016" s="24"/>
      <c r="T2016" s="24"/>
      <c r="U2016" s="24"/>
      <c r="V2016" s="24"/>
      <c r="W2016" s="24"/>
      <c r="X2016" s="24"/>
      <c r="Y2016" s="24"/>
      <c r="Z2016" s="24"/>
      <c r="AA2016" s="24"/>
      <c r="AB2016" s="24"/>
      <c r="AC2016" s="24"/>
      <c r="AD2016" s="24"/>
      <c r="AE2016" s="24"/>
      <c r="AF2016" s="24"/>
      <c r="AG2016" s="24"/>
      <c r="AH2016" s="24"/>
      <c r="AI2016" s="24"/>
      <c r="AJ2016" s="24"/>
      <c r="AK2016" s="24"/>
      <c r="AL2016" s="24"/>
      <c r="AM2016" s="24"/>
      <c r="AN2016" s="24"/>
      <c r="AO2016" s="24"/>
      <c r="AP2016" s="24"/>
      <c r="AQ2016" s="24"/>
      <c r="AR2016" s="24"/>
      <c r="AS2016" s="24"/>
      <c r="AT2016" s="24"/>
      <c r="AU2016" s="24"/>
      <c r="AV2016" s="24"/>
      <c r="AW2016" s="24"/>
      <c r="AX2016" s="24"/>
    </row>
    <row r="2017" ht="15.75" customHeight="1">
      <c r="A2017" s="24"/>
      <c r="B2017" s="24"/>
      <c r="C2017" s="28"/>
      <c r="D2017" s="28"/>
      <c r="E2017" s="28"/>
      <c r="F2017" s="28"/>
      <c r="G2017" s="28"/>
      <c r="H2017" s="28"/>
      <c r="I2017" s="28"/>
      <c r="J2017" s="28"/>
      <c r="K2017" s="28"/>
      <c r="L2017" s="28"/>
      <c r="M2017" s="28"/>
      <c r="N2017" s="28"/>
      <c r="O2017" s="24"/>
      <c r="P2017" s="24"/>
      <c r="Q2017" s="24"/>
      <c r="R2017" s="24"/>
      <c r="S2017" s="24"/>
      <c r="T2017" s="24"/>
      <c r="U2017" s="24"/>
      <c r="V2017" s="24"/>
      <c r="W2017" s="24"/>
      <c r="X2017" s="24"/>
      <c r="Y2017" s="24"/>
      <c r="Z2017" s="24"/>
      <c r="AA2017" s="24"/>
      <c r="AB2017" s="24"/>
      <c r="AC2017" s="24"/>
      <c r="AD2017" s="24"/>
      <c r="AE2017" s="24"/>
      <c r="AF2017" s="24"/>
      <c r="AG2017" s="24"/>
      <c r="AH2017" s="24"/>
      <c r="AI2017" s="24"/>
      <c r="AJ2017" s="24"/>
      <c r="AK2017" s="24"/>
      <c r="AL2017" s="24"/>
      <c r="AM2017" s="24"/>
      <c r="AN2017" s="24"/>
      <c r="AO2017" s="24"/>
      <c r="AP2017" s="24"/>
      <c r="AQ2017" s="24"/>
      <c r="AR2017" s="24"/>
      <c r="AS2017" s="24"/>
      <c r="AT2017" s="24"/>
      <c r="AU2017" s="24"/>
      <c r="AV2017" s="24"/>
      <c r="AW2017" s="24"/>
      <c r="AX2017" s="24"/>
    </row>
    <row r="2018" ht="15.75" customHeight="1">
      <c r="A2018" s="24"/>
      <c r="B2018" s="24"/>
      <c r="C2018" s="28"/>
      <c r="D2018" s="28"/>
      <c r="E2018" s="28"/>
      <c r="F2018" s="28"/>
      <c r="G2018" s="28"/>
      <c r="H2018" s="28"/>
      <c r="I2018" s="28"/>
      <c r="J2018" s="28"/>
      <c r="K2018" s="28"/>
      <c r="L2018" s="28"/>
      <c r="M2018" s="28"/>
      <c r="N2018" s="28"/>
      <c r="O2018" s="24"/>
      <c r="P2018" s="24"/>
      <c r="Q2018" s="24"/>
      <c r="R2018" s="24"/>
      <c r="S2018" s="24"/>
      <c r="T2018" s="24"/>
      <c r="U2018" s="24"/>
      <c r="V2018" s="24"/>
      <c r="W2018" s="24"/>
      <c r="X2018" s="24"/>
      <c r="Y2018" s="24"/>
      <c r="Z2018" s="24"/>
      <c r="AA2018" s="24"/>
      <c r="AB2018" s="24"/>
      <c r="AC2018" s="24"/>
      <c r="AD2018" s="24"/>
      <c r="AE2018" s="24"/>
      <c r="AF2018" s="24"/>
      <c r="AG2018" s="24"/>
      <c r="AH2018" s="24"/>
      <c r="AI2018" s="24"/>
      <c r="AJ2018" s="24"/>
      <c r="AK2018" s="24"/>
      <c r="AL2018" s="24"/>
      <c r="AM2018" s="24"/>
      <c r="AN2018" s="24"/>
      <c r="AO2018" s="24"/>
      <c r="AP2018" s="24"/>
      <c r="AQ2018" s="24"/>
      <c r="AR2018" s="24"/>
      <c r="AS2018" s="24"/>
      <c r="AT2018" s="24"/>
      <c r="AU2018" s="24"/>
      <c r="AV2018" s="24"/>
      <c r="AW2018" s="24"/>
      <c r="AX2018" s="24"/>
    </row>
    <row r="2019" ht="15.75" customHeight="1">
      <c r="A2019" s="24"/>
      <c r="B2019" s="24"/>
      <c r="C2019" s="28"/>
      <c r="D2019" s="28"/>
      <c r="E2019" s="28"/>
      <c r="F2019" s="28"/>
      <c r="G2019" s="28"/>
      <c r="H2019" s="28"/>
      <c r="I2019" s="28"/>
      <c r="J2019" s="28"/>
      <c r="K2019" s="28"/>
      <c r="L2019" s="28"/>
      <c r="M2019" s="28"/>
      <c r="N2019" s="28"/>
      <c r="O2019" s="24"/>
      <c r="P2019" s="24"/>
      <c r="Q2019" s="24"/>
      <c r="R2019" s="24"/>
      <c r="S2019" s="24"/>
      <c r="T2019" s="24"/>
      <c r="U2019" s="24"/>
      <c r="V2019" s="24"/>
      <c r="W2019" s="24"/>
      <c r="X2019" s="24"/>
      <c r="Y2019" s="24"/>
      <c r="Z2019" s="24"/>
      <c r="AA2019" s="24"/>
      <c r="AB2019" s="24"/>
      <c r="AC2019" s="24"/>
      <c r="AD2019" s="24"/>
      <c r="AE2019" s="24"/>
      <c r="AF2019" s="24"/>
      <c r="AG2019" s="24"/>
      <c r="AH2019" s="24"/>
      <c r="AI2019" s="24"/>
      <c r="AJ2019" s="24"/>
      <c r="AK2019" s="24"/>
      <c r="AL2019" s="24"/>
      <c r="AM2019" s="24"/>
      <c r="AN2019" s="24"/>
      <c r="AO2019" s="24"/>
      <c r="AP2019" s="24"/>
      <c r="AQ2019" s="24"/>
      <c r="AR2019" s="24"/>
      <c r="AS2019" s="24"/>
      <c r="AT2019" s="24"/>
      <c r="AU2019" s="24"/>
      <c r="AV2019" s="24"/>
      <c r="AW2019" s="24"/>
      <c r="AX2019" s="24"/>
    </row>
    <row r="2020" ht="15.75" customHeight="1">
      <c r="A2020" s="24"/>
      <c r="B2020" s="24"/>
      <c r="C2020" s="28"/>
      <c r="D2020" s="28"/>
      <c r="E2020" s="28"/>
      <c r="F2020" s="28"/>
      <c r="G2020" s="28"/>
      <c r="H2020" s="28"/>
      <c r="I2020" s="28"/>
      <c r="J2020" s="28"/>
      <c r="K2020" s="28"/>
      <c r="L2020" s="28"/>
      <c r="M2020" s="28"/>
      <c r="N2020" s="28"/>
      <c r="O2020" s="24"/>
      <c r="P2020" s="24"/>
      <c r="Q2020" s="24"/>
      <c r="R2020" s="24"/>
      <c r="S2020" s="24"/>
      <c r="T2020" s="24"/>
      <c r="U2020" s="24"/>
      <c r="V2020" s="24"/>
      <c r="W2020" s="24"/>
      <c r="X2020" s="24"/>
      <c r="Y2020" s="24"/>
      <c r="Z2020" s="24"/>
      <c r="AA2020" s="24"/>
      <c r="AB2020" s="24"/>
      <c r="AC2020" s="24"/>
      <c r="AD2020" s="24"/>
      <c r="AE2020" s="24"/>
      <c r="AF2020" s="24"/>
      <c r="AG2020" s="24"/>
      <c r="AH2020" s="24"/>
      <c r="AI2020" s="24"/>
      <c r="AJ2020" s="24"/>
      <c r="AK2020" s="24"/>
      <c r="AL2020" s="24"/>
      <c r="AM2020" s="24"/>
      <c r="AN2020" s="24"/>
      <c r="AO2020" s="24"/>
      <c r="AP2020" s="24"/>
      <c r="AQ2020" s="24"/>
      <c r="AR2020" s="24"/>
      <c r="AS2020" s="24"/>
      <c r="AT2020" s="24"/>
      <c r="AU2020" s="24"/>
      <c r="AV2020" s="24"/>
      <c r="AW2020" s="24"/>
      <c r="AX2020" s="24"/>
    </row>
    <row r="2021" ht="15.75" customHeight="1">
      <c r="A2021" s="24"/>
      <c r="B2021" s="24"/>
      <c r="C2021" s="28"/>
      <c r="D2021" s="28"/>
      <c r="E2021" s="28"/>
      <c r="F2021" s="28"/>
      <c r="G2021" s="28"/>
      <c r="H2021" s="28"/>
      <c r="I2021" s="28"/>
      <c r="J2021" s="28"/>
      <c r="K2021" s="28"/>
      <c r="L2021" s="28"/>
      <c r="M2021" s="28"/>
      <c r="N2021" s="28"/>
      <c r="O2021" s="24"/>
      <c r="P2021" s="24"/>
      <c r="Q2021" s="24"/>
      <c r="R2021" s="24"/>
      <c r="S2021" s="24"/>
      <c r="T2021" s="24"/>
      <c r="U2021" s="24"/>
      <c r="V2021" s="24"/>
      <c r="W2021" s="24"/>
      <c r="X2021" s="24"/>
      <c r="Y2021" s="24"/>
      <c r="Z2021" s="24"/>
      <c r="AA2021" s="24"/>
      <c r="AB2021" s="24"/>
      <c r="AC2021" s="24"/>
      <c r="AD2021" s="24"/>
      <c r="AE2021" s="24"/>
      <c r="AF2021" s="24"/>
      <c r="AG2021" s="24"/>
      <c r="AH2021" s="24"/>
      <c r="AI2021" s="24"/>
      <c r="AJ2021" s="24"/>
      <c r="AK2021" s="24"/>
      <c r="AL2021" s="24"/>
      <c r="AM2021" s="24"/>
      <c r="AN2021" s="24"/>
      <c r="AO2021" s="24"/>
      <c r="AP2021" s="24"/>
      <c r="AQ2021" s="24"/>
      <c r="AR2021" s="24"/>
      <c r="AS2021" s="24"/>
      <c r="AT2021" s="24"/>
      <c r="AU2021" s="24"/>
      <c r="AV2021" s="24"/>
      <c r="AW2021" s="24"/>
      <c r="AX2021" s="24"/>
    </row>
    <row r="2022" ht="15.75" customHeight="1">
      <c r="A2022" s="24"/>
      <c r="B2022" s="24"/>
      <c r="C2022" s="28"/>
      <c r="D2022" s="28"/>
      <c r="E2022" s="28"/>
      <c r="F2022" s="28"/>
      <c r="G2022" s="28"/>
      <c r="H2022" s="28"/>
      <c r="I2022" s="28"/>
      <c r="J2022" s="28"/>
      <c r="K2022" s="28"/>
      <c r="L2022" s="28"/>
      <c r="M2022" s="28"/>
      <c r="N2022" s="28"/>
      <c r="O2022" s="24"/>
      <c r="P2022" s="24"/>
      <c r="Q2022" s="24"/>
      <c r="R2022" s="24"/>
      <c r="S2022" s="24"/>
      <c r="T2022" s="24"/>
      <c r="U2022" s="24"/>
      <c r="V2022" s="24"/>
      <c r="W2022" s="24"/>
      <c r="X2022" s="24"/>
      <c r="Y2022" s="24"/>
      <c r="Z2022" s="24"/>
      <c r="AA2022" s="24"/>
      <c r="AB2022" s="24"/>
      <c r="AC2022" s="24"/>
      <c r="AD2022" s="24"/>
      <c r="AE2022" s="24"/>
      <c r="AF2022" s="24"/>
      <c r="AG2022" s="24"/>
      <c r="AH2022" s="24"/>
      <c r="AI2022" s="24"/>
      <c r="AJ2022" s="24"/>
      <c r="AK2022" s="24"/>
      <c r="AL2022" s="24"/>
      <c r="AM2022" s="24"/>
      <c r="AN2022" s="24"/>
      <c r="AO2022" s="24"/>
      <c r="AP2022" s="24"/>
      <c r="AQ2022" s="24"/>
      <c r="AR2022" s="24"/>
      <c r="AS2022" s="24"/>
      <c r="AT2022" s="24"/>
      <c r="AU2022" s="24"/>
      <c r="AV2022" s="24"/>
      <c r="AW2022" s="24"/>
      <c r="AX2022" s="24"/>
    </row>
    <row r="2023" ht="15.75" customHeight="1">
      <c r="A2023" s="24"/>
      <c r="B2023" s="24"/>
      <c r="C2023" s="28"/>
      <c r="D2023" s="28"/>
      <c r="E2023" s="28"/>
      <c r="F2023" s="28"/>
      <c r="G2023" s="28"/>
      <c r="H2023" s="28"/>
      <c r="I2023" s="28"/>
      <c r="J2023" s="28"/>
      <c r="K2023" s="28"/>
      <c r="L2023" s="28"/>
      <c r="M2023" s="28"/>
      <c r="N2023" s="28"/>
      <c r="O2023" s="24"/>
      <c r="P2023" s="24"/>
      <c r="Q2023" s="24"/>
      <c r="R2023" s="24"/>
      <c r="S2023" s="24"/>
      <c r="T2023" s="24"/>
      <c r="U2023" s="24"/>
      <c r="V2023" s="24"/>
      <c r="W2023" s="24"/>
      <c r="X2023" s="24"/>
      <c r="Y2023" s="24"/>
      <c r="Z2023" s="24"/>
      <c r="AA2023" s="24"/>
      <c r="AB2023" s="24"/>
      <c r="AC2023" s="24"/>
      <c r="AD2023" s="24"/>
      <c r="AE2023" s="24"/>
      <c r="AF2023" s="24"/>
      <c r="AG2023" s="24"/>
      <c r="AH2023" s="24"/>
      <c r="AI2023" s="24"/>
      <c r="AJ2023" s="24"/>
      <c r="AK2023" s="24"/>
      <c r="AL2023" s="24"/>
      <c r="AM2023" s="24"/>
      <c r="AN2023" s="24"/>
      <c r="AO2023" s="24"/>
      <c r="AP2023" s="24"/>
      <c r="AQ2023" s="24"/>
      <c r="AR2023" s="24"/>
      <c r="AS2023" s="24"/>
      <c r="AT2023" s="24"/>
      <c r="AU2023" s="24"/>
      <c r="AV2023" s="24"/>
      <c r="AW2023" s="24"/>
      <c r="AX2023" s="24"/>
    </row>
    <row r="2024" ht="15.75" customHeight="1">
      <c r="A2024" s="24"/>
      <c r="B2024" s="24"/>
      <c r="C2024" s="28"/>
      <c r="D2024" s="28"/>
      <c r="E2024" s="28"/>
      <c r="F2024" s="28"/>
      <c r="G2024" s="28"/>
      <c r="H2024" s="28"/>
      <c r="I2024" s="28"/>
      <c r="J2024" s="28"/>
      <c r="K2024" s="28"/>
      <c r="L2024" s="28"/>
      <c r="M2024" s="28"/>
      <c r="N2024" s="28"/>
      <c r="O2024" s="24"/>
      <c r="P2024" s="24"/>
      <c r="Q2024" s="24"/>
      <c r="R2024" s="24"/>
      <c r="S2024" s="24"/>
      <c r="T2024" s="24"/>
      <c r="U2024" s="24"/>
      <c r="V2024" s="24"/>
      <c r="W2024" s="24"/>
      <c r="X2024" s="24"/>
      <c r="Y2024" s="24"/>
      <c r="Z2024" s="24"/>
      <c r="AA2024" s="24"/>
      <c r="AB2024" s="24"/>
      <c r="AC2024" s="24"/>
      <c r="AD2024" s="24"/>
      <c r="AE2024" s="24"/>
      <c r="AF2024" s="24"/>
      <c r="AG2024" s="24"/>
      <c r="AH2024" s="24"/>
      <c r="AI2024" s="24"/>
      <c r="AJ2024" s="24"/>
      <c r="AK2024" s="24"/>
      <c r="AL2024" s="24"/>
      <c r="AM2024" s="24"/>
      <c r="AN2024" s="24"/>
      <c r="AO2024" s="24"/>
      <c r="AP2024" s="24"/>
      <c r="AQ2024" s="24"/>
      <c r="AR2024" s="24"/>
      <c r="AS2024" s="24"/>
      <c r="AT2024" s="24"/>
      <c r="AU2024" s="24"/>
      <c r="AV2024" s="24"/>
      <c r="AW2024" s="24"/>
      <c r="AX2024" s="24"/>
    </row>
    <row r="2025" ht="15.75" customHeight="1">
      <c r="A2025" s="24"/>
      <c r="B2025" s="24"/>
      <c r="C2025" s="28"/>
      <c r="D2025" s="28"/>
      <c r="E2025" s="28"/>
      <c r="F2025" s="28"/>
      <c r="G2025" s="28"/>
      <c r="H2025" s="28"/>
      <c r="I2025" s="28"/>
      <c r="J2025" s="28"/>
      <c r="K2025" s="28"/>
      <c r="L2025" s="28"/>
      <c r="M2025" s="28"/>
      <c r="N2025" s="28"/>
      <c r="O2025" s="24"/>
      <c r="P2025" s="24"/>
      <c r="Q2025" s="24"/>
      <c r="R2025" s="24"/>
      <c r="S2025" s="24"/>
      <c r="T2025" s="24"/>
      <c r="U2025" s="24"/>
      <c r="V2025" s="24"/>
      <c r="W2025" s="24"/>
      <c r="X2025" s="24"/>
      <c r="Y2025" s="24"/>
      <c r="Z2025" s="24"/>
      <c r="AA2025" s="24"/>
      <c r="AB2025" s="24"/>
      <c r="AC2025" s="24"/>
      <c r="AD2025" s="24"/>
      <c r="AE2025" s="24"/>
      <c r="AF2025" s="24"/>
      <c r="AG2025" s="24"/>
      <c r="AH2025" s="24"/>
      <c r="AI2025" s="24"/>
      <c r="AJ2025" s="24"/>
      <c r="AK2025" s="24"/>
      <c r="AL2025" s="24"/>
      <c r="AM2025" s="24"/>
      <c r="AN2025" s="24"/>
      <c r="AO2025" s="24"/>
      <c r="AP2025" s="24"/>
      <c r="AQ2025" s="24"/>
      <c r="AR2025" s="24"/>
      <c r="AS2025" s="24"/>
      <c r="AT2025" s="24"/>
      <c r="AU2025" s="24"/>
      <c r="AV2025" s="24"/>
      <c r="AW2025" s="24"/>
      <c r="AX2025" s="24"/>
    </row>
    <row r="2026" ht="15.75" customHeight="1">
      <c r="A2026" s="24"/>
      <c r="B2026" s="24"/>
      <c r="C2026" s="28"/>
      <c r="D2026" s="28"/>
      <c r="E2026" s="28"/>
      <c r="F2026" s="28"/>
      <c r="G2026" s="28"/>
      <c r="H2026" s="28"/>
      <c r="I2026" s="28"/>
      <c r="J2026" s="28"/>
      <c r="K2026" s="28"/>
      <c r="L2026" s="28"/>
      <c r="M2026" s="28"/>
      <c r="N2026" s="28"/>
      <c r="O2026" s="24"/>
      <c r="P2026" s="24"/>
      <c r="Q2026" s="24"/>
      <c r="R2026" s="24"/>
      <c r="S2026" s="24"/>
      <c r="T2026" s="24"/>
      <c r="U2026" s="24"/>
      <c r="V2026" s="24"/>
      <c r="W2026" s="24"/>
      <c r="X2026" s="24"/>
      <c r="Y2026" s="24"/>
      <c r="Z2026" s="24"/>
      <c r="AA2026" s="24"/>
      <c r="AB2026" s="24"/>
      <c r="AC2026" s="24"/>
      <c r="AD2026" s="24"/>
      <c r="AE2026" s="24"/>
      <c r="AF2026" s="24"/>
      <c r="AG2026" s="24"/>
      <c r="AH2026" s="24"/>
      <c r="AI2026" s="24"/>
      <c r="AJ2026" s="24"/>
      <c r="AK2026" s="24"/>
      <c r="AL2026" s="24"/>
      <c r="AM2026" s="24"/>
      <c r="AN2026" s="24"/>
      <c r="AO2026" s="24"/>
      <c r="AP2026" s="24"/>
      <c r="AQ2026" s="24"/>
      <c r="AR2026" s="24"/>
      <c r="AS2026" s="24"/>
      <c r="AT2026" s="24"/>
      <c r="AU2026" s="24"/>
      <c r="AV2026" s="24"/>
      <c r="AW2026" s="24"/>
      <c r="AX2026" s="24"/>
    </row>
    <row r="2027" ht="15.75" customHeight="1">
      <c r="A2027" s="24"/>
      <c r="B2027" s="24"/>
      <c r="C2027" s="28"/>
      <c r="D2027" s="28"/>
      <c r="E2027" s="28"/>
      <c r="F2027" s="28"/>
      <c r="G2027" s="28"/>
      <c r="H2027" s="28"/>
      <c r="I2027" s="28"/>
      <c r="J2027" s="28"/>
      <c r="K2027" s="28"/>
      <c r="L2027" s="28"/>
      <c r="M2027" s="28"/>
      <c r="N2027" s="28"/>
      <c r="O2027" s="24"/>
      <c r="P2027" s="24"/>
      <c r="Q2027" s="24"/>
      <c r="R2027" s="24"/>
      <c r="S2027" s="24"/>
      <c r="T2027" s="24"/>
      <c r="U2027" s="24"/>
      <c r="V2027" s="24"/>
      <c r="W2027" s="24"/>
      <c r="X2027" s="24"/>
      <c r="Y2027" s="24"/>
      <c r="Z2027" s="24"/>
      <c r="AA2027" s="24"/>
      <c r="AB2027" s="24"/>
      <c r="AC2027" s="24"/>
      <c r="AD2027" s="24"/>
      <c r="AE2027" s="24"/>
      <c r="AF2027" s="24"/>
      <c r="AG2027" s="24"/>
      <c r="AH2027" s="24"/>
      <c r="AI2027" s="24"/>
      <c r="AJ2027" s="24"/>
      <c r="AK2027" s="24"/>
      <c r="AL2027" s="24"/>
      <c r="AM2027" s="24"/>
      <c r="AN2027" s="24"/>
      <c r="AO2027" s="24"/>
      <c r="AP2027" s="24"/>
      <c r="AQ2027" s="24"/>
      <c r="AR2027" s="24"/>
      <c r="AS2027" s="24"/>
      <c r="AT2027" s="24"/>
      <c r="AU2027" s="24"/>
      <c r="AV2027" s="24"/>
      <c r="AW2027" s="24"/>
      <c r="AX2027" s="24"/>
    </row>
    <row r="2028" ht="15.75" customHeight="1">
      <c r="A2028" s="24"/>
      <c r="B2028" s="24"/>
      <c r="C2028" s="28"/>
      <c r="D2028" s="28"/>
      <c r="E2028" s="28"/>
      <c r="F2028" s="28"/>
      <c r="G2028" s="28"/>
      <c r="H2028" s="28"/>
      <c r="I2028" s="28"/>
      <c r="J2028" s="28"/>
      <c r="K2028" s="28"/>
      <c r="L2028" s="28"/>
      <c r="M2028" s="28"/>
      <c r="N2028" s="28"/>
      <c r="O2028" s="24"/>
      <c r="P2028" s="24"/>
      <c r="Q2028" s="24"/>
      <c r="R2028" s="24"/>
      <c r="S2028" s="24"/>
      <c r="T2028" s="24"/>
      <c r="U2028" s="24"/>
      <c r="V2028" s="24"/>
      <c r="W2028" s="24"/>
      <c r="X2028" s="24"/>
      <c r="Y2028" s="24"/>
      <c r="Z2028" s="24"/>
      <c r="AA2028" s="24"/>
      <c r="AB2028" s="24"/>
      <c r="AC2028" s="24"/>
      <c r="AD2028" s="24"/>
      <c r="AE2028" s="24"/>
      <c r="AF2028" s="24"/>
      <c r="AG2028" s="24"/>
      <c r="AH2028" s="24"/>
      <c r="AI2028" s="24"/>
      <c r="AJ2028" s="24"/>
      <c r="AK2028" s="24"/>
      <c r="AL2028" s="24"/>
      <c r="AM2028" s="24"/>
      <c r="AN2028" s="24"/>
      <c r="AO2028" s="24"/>
      <c r="AP2028" s="24"/>
      <c r="AQ2028" s="24"/>
      <c r="AR2028" s="24"/>
      <c r="AS2028" s="24"/>
      <c r="AT2028" s="24"/>
      <c r="AU2028" s="24"/>
      <c r="AV2028" s="24"/>
      <c r="AW2028" s="24"/>
      <c r="AX2028" s="24"/>
    </row>
    <row r="2029" ht="15.75" customHeight="1">
      <c r="A2029" s="24"/>
      <c r="B2029" s="24"/>
      <c r="C2029" s="28"/>
      <c r="D2029" s="28"/>
      <c r="E2029" s="28"/>
      <c r="F2029" s="28"/>
      <c r="G2029" s="28"/>
      <c r="H2029" s="28"/>
      <c r="I2029" s="28"/>
      <c r="J2029" s="28"/>
      <c r="K2029" s="28"/>
      <c r="L2029" s="28"/>
      <c r="M2029" s="28"/>
      <c r="N2029" s="28"/>
      <c r="O2029" s="24"/>
      <c r="P2029" s="24"/>
      <c r="Q2029" s="24"/>
      <c r="R2029" s="24"/>
      <c r="S2029" s="24"/>
      <c r="T2029" s="24"/>
      <c r="U2029" s="24"/>
      <c r="V2029" s="24"/>
      <c r="W2029" s="24"/>
      <c r="X2029" s="24"/>
      <c r="Y2029" s="24"/>
      <c r="Z2029" s="24"/>
      <c r="AA2029" s="24"/>
      <c r="AB2029" s="24"/>
      <c r="AC2029" s="24"/>
      <c r="AD2029" s="24"/>
      <c r="AE2029" s="24"/>
      <c r="AF2029" s="24"/>
      <c r="AG2029" s="24"/>
      <c r="AH2029" s="24"/>
      <c r="AI2029" s="24"/>
      <c r="AJ2029" s="24"/>
      <c r="AK2029" s="24"/>
      <c r="AL2029" s="24"/>
      <c r="AM2029" s="24"/>
      <c r="AN2029" s="24"/>
      <c r="AO2029" s="24"/>
      <c r="AP2029" s="24"/>
      <c r="AQ2029" s="24"/>
      <c r="AR2029" s="24"/>
      <c r="AS2029" s="24"/>
      <c r="AT2029" s="24"/>
      <c r="AU2029" s="24"/>
      <c r="AV2029" s="24"/>
      <c r="AW2029" s="24"/>
      <c r="AX2029" s="24"/>
    </row>
    <row r="2030" ht="15.75" customHeight="1">
      <c r="A2030" s="24"/>
      <c r="B2030" s="24"/>
      <c r="C2030" s="28"/>
      <c r="D2030" s="28"/>
      <c r="E2030" s="28"/>
      <c r="F2030" s="28"/>
      <c r="G2030" s="28"/>
      <c r="H2030" s="28"/>
      <c r="I2030" s="28"/>
      <c r="J2030" s="28"/>
      <c r="K2030" s="28"/>
      <c r="L2030" s="28"/>
      <c r="M2030" s="28"/>
      <c r="N2030" s="28"/>
      <c r="O2030" s="24"/>
      <c r="P2030" s="24"/>
      <c r="Q2030" s="24"/>
      <c r="R2030" s="24"/>
      <c r="S2030" s="24"/>
      <c r="T2030" s="24"/>
      <c r="U2030" s="24"/>
      <c r="V2030" s="24"/>
      <c r="W2030" s="24"/>
      <c r="X2030" s="24"/>
      <c r="Y2030" s="24"/>
      <c r="Z2030" s="24"/>
      <c r="AA2030" s="24"/>
      <c r="AB2030" s="24"/>
      <c r="AC2030" s="24"/>
      <c r="AD2030" s="24"/>
      <c r="AE2030" s="24"/>
      <c r="AF2030" s="24"/>
      <c r="AG2030" s="24"/>
      <c r="AH2030" s="24"/>
      <c r="AI2030" s="24"/>
      <c r="AJ2030" s="24"/>
      <c r="AK2030" s="24"/>
      <c r="AL2030" s="24"/>
      <c r="AM2030" s="24"/>
      <c r="AN2030" s="24"/>
      <c r="AO2030" s="24"/>
      <c r="AP2030" s="24"/>
      <c r="AQ2030" s="24"/>
      <c r="AR2030" s="24"/>
      <c r="AS2030" s="24"/>
      <c r="AT2030" s="24"/>
      <c r="AU2030" s="24"/>
      <c r="AV2030" s="24"/>
      <c r="AW2030" s="24"/>
      <c r="AX2030" s="24"/>
    </row>
    <row r="2031" ht="15.75" customHeight="1">
      <c r="A2031" s="24"/>
      <c r="B2031" s="24"/>
      <c r="C2031" s="28"/>
      <c r="D2031" s="28"/>
      <c r="E2031" s="28"/>
      <c r="F2031" s="28"/>
      <c r="G2031" s="28"/>
      <c r="H2031" s="28"/>
      <c r="I2031" s="28"/>
      <c r="J2031" s="28"/>
      <c r="K2031" s="28"/>
      <c r="L2031" s="28"/>
      <c r="M2031" s="28"/>
      <c r="N2031" s="28"/>
      <c r="O2031" s="24"/>
      <c r="P2031" s="24"/>
      <c r="Q2031" s="24"/>
      <c r="R2031" s="24"/>
      <c r="S2031" s="24"/>
      <c r="T2031" s="24"/>
      <c r="U2031" s="24"/>
      <c r="V2031" s="24"/>
      <c r="W2031" s="24"/>
      <c r="X2031" s="24"/>
      <c r="Y2031" s="24"/>
      <c r="Z2031" s="24"/>
      <c r="AA2031" s="24"/>
      <c r="AB2031" s="24"/>
      <c r="AC2031" s="24"/>
      <c r="AD2031" s="24"/>
      <c r="AE2031" s="24"/>
      <c r="AF2031" s="24"/>
      <c r="AG2031" s="24"/>
      <c r="AH2031" s="24"/>
      <c r="AI2031" s="24"/>
      <c r="AJ2031" s="24"/>
      <c r="AK2031" s="24"/>
      <c r="AL2031" s="24"/>
      <c r="AM2031" s="24"/>
      <c r="AN2031" s="24"/>
      <c r="AO2031" s="24"/>
      <c r="AP2031" s="24"/>
      <c r="AQ2031" s="24"/>
      <c r="AR2031" s="24"/>
      <c r="AS2031" s="24"/>
      <c r="AT2031" s="24"/>
      <c r="AU2031" s="24"/>
      <c r="AV2031" s="24"/>
      <c r="AW2031" s="24"/>
      <c r="AX2031" s="24"/>
    </row>
    <row r="2032" ht="15.75" customHeight="1">
      <c r="A2032" s="24"/>
      <c r="B2032" s="24"/>
      <c r="C2032" s="28"/>
      <c r="D2032" s="28"/>
      <c r="E2032" s="28"/>
      <c r="F2032" s="28"/>
      <c r="G2032" s="28"/>
      <c r="H2032" s="28"/>
      <c r="I2032" s="28"/>
      <c r="J2032" s="28"/>
      <c r="K2032" s="28"/>
      <c r="L2032" s="28"/>
      <c r="M2032" s="28"/>
      <c r="N2032" s="28"/>
      <c r="O2032" s="24"/>
      <c r="P2032" s="24"/>
      <c r="Q2032" s="24"/>
      <c r="R2032" s="24"/>
      <c r="S2032" s="24"/>
      <c r="T2032" s="24"/>
      <c r="U2032" s="24"/>
      <c r="V2032" s="24"/>
      <c r="W2032" s="24"/>
      <c r="X2032" s="24"/>
      <c r="Y2032" s="24"/>
      <c r="Z2032" s="24"/>
      <c r="AA2032" s="24"/>
      <c r="AB2032" s="24"/>
      <c r="AC2032" s="24"/>
      <c r="AD2032" s="24"/>
      <c r="AE2032" s="24"/>
      <c r="AF2032" s="24"/>
      <c r="AG2032" s="24"/>
      <c r="AH2032" s="24"/>
      <c r="AI2032" s="24"/>
      <c r="AJ2032" s="24"/>
      <c r="AK2032" s="24"/>
      <c r="AL2032" s="24"/>
      <c r="AM2032" s="24"/>
      <c r="AN2032" s="24"/>
      <c r="AO2032" s="24"/>
      <c r="AP2032" s="24"/>
      <c r="AQ2032" s="24"/>
      <c r="AR2032" s="24"/>
      <c r="AS2032" s="24"/>
      <c r="AT2032" s="24"/>
      <c r="AU2032" s="24"/>
      <c r="AV2032" s="24"/>
      <c r="AW2032" s="24"/>
      <c r="AX2032" s="24"/>
    </row>
    <row r="2033" ht="15.75" customHeight="1">
      <c r="A2033" s="24"/>
      <c r="B2033" s="24"/>
      <c r="C2033" s="28"/>
      <c r="D2033" s="28"/>
      <c r="E2033" s="28"/>
      <c r="F2033" s="28"/>
      <c r="G2033" s="28"/>
      <c r="H2033" s="28"/>
      <c r="I2033" s="28"/>
      <c r="J2033" s="28"/>
      <c r="K2033" s="28"/>
      <c r="L2033" s="28"/>
      <c r="M2033" s="28"/>
      <c r="N2033" s="28"/>
      <c r="O2033" s="24"/>
      <c r="P2033" s="24"/>
      <c r="Q2033" s="24"/>
      <c r="R2033" s="24"/>
      <c r="S2033" s="24"/>
      <c r="T2033" s="24"/>
      <c r="U2033" s="24"/>
      <c r="V2033" s="24"/>
      <c r="W2033" s="24"/>
      <c r="X2033" s="24"/>
      <c r="Y2033" s="24"/>
      <c r="Z2033" s="24"/>
      <c r="AA2033" s="24"/>
      <c r="AB2033" s="24"/>
      <c r="AC2033" s="24"/>
      <c r="AD2033" s="24"/>
      <c r="AE2033" s="24"/>
      <c r="AF2033" s="24"/>
      <c r="AG2033" s="24"/>
      <c r="AH2033" s="24"/>
      <c r="AI2033" s="24"/>
      <c r="AJ2033" s="24"/>
      <c r="AK2033" s="24"/>
      <c r="AL2033" s="24"/>
      <c r="AM2033" s="24"/>
      <c r="AN2033" s="24"/>
      <c r="AO2033" s="24"/>
      <c r="AP2033" s="24"/>
      <c r="AQ2033" s="24"/>
      <c r="AR2033" s="24"/>
      <c r="AS2033" s="24"/>
      <c r="AT2033" s="24"/>
      <c r="AU2033" s="24"/>
      <c r="AV2033" s="24"/>
      <c r="AW2033" s="24"/>
      <c r="AX2033" s="24"/>
    </row>
    <row r="2034" ht="15.75" customHeight="1">
      <c r="A2034" s="24"/>
      <c r="B2034" s="24"/>
      <c r="C2034" s="28"/>
      <c r="D2034" s="28"/>
      <c r="E2034" s="28"/>
      <c r="F2034" s="28"/>
      <c r="G2034" s="28"/>
      <c r="H2034" s="28"/>
      <c r="I2034" s="28"/>
      <c r="J2034" s="28"/>
      <c r="K2034" s="28"/>
      <c r="L2034" s="28"/>
      <c r="M2034" s="28"/>
      <c r="N2034" s="28"/>
      <c r="O2034" s="24"/>
      <c r="P2034" s="24"/>
      <c r="Q2034" s="24"/>
      <c r="R2034" s="24"/>
      <c r="S2034" s="24"/>
      <c r="T2034" s="24"/>
      <c r="U2034" s="24"/>
      <c r="V2034" s="24"/>
      <c r="W2034" s="24"/>
      <c r="X2034" s="24"/>
      <c r="Y2034" s="24"/>
      <c r="Z2034" s="24"/>
      <c r="AA2034" s="24"/>
      <c r="AB2034" s="24"/>
      <c r="AC2034" s="24"/>
      <c r="AD2034" s="24"/>
      <c r="AE2034" s="24"/>
      <c r="AF2034" s="24"/>
      <c r="AG2034" s="24"/>
      <c r="AH2034" s="24"/>
      <c r="AI2034" s="24"/>
      <c r="AJ2034" s="24"/>
      <c r="AK2034" s="24"/>
      <c r="AL2034" s="24"/>
      <c r="AM2034" s="24"/>
      <c r="AN2034" s="24"/>
      <c r="AO2034" s="24"/>
      <c r="AP2034" s="24"/>
      <c r="AQ2034" s="24"/>
      <c r="AR2034" s="24"/>
      <c r="AS2034" s="24"/>
      <c r="AT2034" s="24"/>
      <c r="AU2034" s="24"/>
      <c r="AV2034" s="24"/>
      <c r="AW2034" s="24"/>
      <c r="AX2034" s="24"/>
    </row>
    <row r="2035" ht="15.75" customHeight="1">
      <c r="A2035" s="24"/>
      <c r="B2035" s="24"/>
      <c r="C2035" s="28"/>
      <c r="D2035" s="28"/>
      <c r="E2035" s="28"/>
      <c r="F2035" s="28"/>
      <c r="G2035" s="28"/>
      <c r="H2035" s="28"/>
      <c r="I2035" s="28"/>
      <c r="J2035" s="28"/>
      <c r="K2035" s="28"/>
      <c r="L2035" s="28"/>
      <c r="M2035" s="28"/>
      <c r="N2035" s="28"/>
      <c r="O2035" s="24"/>
      <c r="P2035" s="24"/>
      <c r="Q2035" s="24"/>
      <c r="R2035" s="24"/>
      <c r="S2035" s="24"/>
      <c r="T2035" s="24"/>
      <c r="U2035" s="24"/>
      <c r="V2035" s="24"/>
      <c r="W2035" s="24"/>
      <c r="X2035" s="24"/>
      <c r="Y2035" s="24"/>
      <c r="Z2035" s="24"/>
      <c r="AA2035" s="24"/>
      <c r="AB2035" s="24"/>
      <c r="AC2035" s="24"/>
      <c r="AD2035" s="24"/>
      <c r="AE2035" s="24"/>
      <c r="AF2035" s="24"/>
      <c r="AG2035" s="24"/>
      <c r="AH2035" s="24"/>
      <c r="AI2035" s="24"/>
      <c r="AJ2035" s="24"/>
      <c r="AK2035" s="24"/>
      <c r="AL2035" s="24"/>
      <c r="AM2035" s="24"/>
      <c r="AN2035" s="24"/>
      <c r="AO2035" s="24"/>
      <c r="AP2035" s="24"/>
      <c r="AQ2035" s="24"/>
      <c r="AR2035" s="24"/>
      <c r="AS2035" s="24"/>
      <c r="AT2035" s="24"/>
      <c r="AU2035" s="24"/>
      <c r="AV2035" s="24"/>
      <c r="AW2035" s="24"/>
      <c r="AX2035" s="24"/>
    </row>
    <row r="2036" ht="15.75" customHeight="1">
      <c r="A2036" s="24"/>
      <c r="B2036" s="24"/>
      <c r="C2036" s="28"/>
      <c r="D2036" s="28"/>
      <c r="E2036" s="28"/>
      <c r="F2036" s="28"/>
      <c r="G2036" s="28"/>
      <c r="H2036" s="28"/>
      <c r="I2036" s="28"/>
      <c r="J2036" s="28"/>
      <c r="K2036" s="28"/>
      <c r="L2036" s="28"/>
      <c r="M2036" s="28"/>
      <c r="N2036" s="28"/>
      <c r="O2036" s="24"/>
      <c r="P2036" s="24"/>
      <c r="Q2036" s="24"/>
      <c r="R2036" s="24"/>
      <c r="S2036" s="24"/>
      <c r="T2036" s="24"/>
      <c r="U2036" s="24"/>
      <c r="V2036" s="24"/>
      <c r="W2036" s="24"/>
      <c r="X2036" s="24"/>
      <c r="Y2036" s="24"/>
      <c r="Z2036" s="24"/>
      <c r="AA2036" s="24"/>
      <c r="AB2036" s="24"/>
      <c r="AC2036" s="24"/>
      <c r="AD2036" s="24"/>
      <c r="AE2036" s="24"/>
      <c r="AF2036" s="24"/>
      <c r="AG2036" s="24"/>
      <c r="AH2036" s="24"/>
      <c r="AI2036" s="24"/>
      <c r="AJ2036" s="24"/>
      <c r="AK2036" s="24"/>
      <c r="AL2036" s="24"/>
      <c r="AM2036" s="24"/>
      <c r="AN2036" s="24"/>
      <c r="AO2036" s="24"/>
      <c r="AP2036" s="24"/>
      <c r="AQ2036" s="24"/>
      <c r="AR2036" s="24"/>
      <c r="AS2036" s="24"/>
      <c r="AT2036" s="24"/>
      <c r="AU2036" s="24"/>
      <c r="AV2036" s="24"/>
      <c r="AW2036" s="24"/>
      <c r="AX2036" s="24"/>
    </row>
    <row r="2037" ht="15.75" customHeight="1">
      <c r="A2037" s="24"/>
      <c r="B2037" s="24"/>
      <c r="C2037" s="28"/>
      <c r="D2037" s="28"/>
      <c r="E2037" s="28"/>
      <c r="F2037" s="28"/>
      <c r="G2037" s="28"/>
      <c r="H2037" s="28"/>
      <c r="I2037" s="28"/>
      <c r="J2037" s="28"/>
      <c r="K2037" s="28"/>
      <c r="L2037" s="28"/>
      <c r="M2037" s="28"/>
      <c r="N2037" s="28"/>
      <c r="O2037" s="24"/>
      <c r="P2037" s="24"/>
      <c r="Q2037" s="24"/>
      <c r="R2037" s="24"/>
      <c r="S2037" s="24"/>
      <c r="T2037" s="24"/>
      <c r="U2037" s="24"/>
      <c r="V2037" s="24"/>
      <c r="W2037" s="24"/>
      <c r="X2037" s="24"/>
      <c r="Y2037" s="24"/>
      <c r="Z2037" s="24"/>
      <c r="AA2037" s="24"/>
      <c r="AB2037" s="24"/>
      <c r="AC2037" s="24"/>
      <c r="AD2037" s="24"/>
      <c r="AE2037" s="24"/>
      <c r="AF2037" s="24"/>
      <c r="AG2037" s="24"/>
      <c r="AH2037" s="24"/>
      <c r="AI2037" s="24"/>
      <c r="AJ2037" s="24"/>
      <c r="AK2037" s="24"/>
      <c r="AL2037" s="24"/>
      <c r="AM2037" s="24"/>
      <c r="AN2037" s="24"/>
      <c r="AO2037" s="24"/>
      <c r="AP2037" s="24"/>
      <c r="AQ2037" s="24"/>
      <c r="AR2037" s="24"/>
      <c r="AS2037" s="24"/>
      <c r="AT2037" s="24"/>
      <c r="AU2037" s="24"/>
      <c r="AV2037" s="24"/>
      <c r="AW2037" s="24"/>
      <c r="AX2037" s="24"/>
    </row>
    <row r="2038" ht="15.75" customHeight="1">
      <c r="A2038" s="24"/>
      <c r="B2038" s="24"/>
      <c r="C2038" s="28"/>
      <c r="D2038" s="28"/>
      <c r="E2038" s="28"/>
      <c r="F2038" s="28"/>
      <c r="G2038" s="28"/>
      <c r="H2038" s="28"/>
      <c r="I2038" s="28"/>
      <c r="J2038" s="28"/>
      <c r="K2038" s="28"/>
      <c r="L2038" s="28"/>
      <c r="M2038" s="28"/>
      <c r="N2038" s="28"/>
      <c r="O2038" s="24"/>
      <c r="P2038" s="24"/>
      <c r="Q2038" s="24"/>
      <c r="R2038" s="24"/>
      <c r="S2038" s="24"/>
      <c r="T2038" s="24"/>
      <c r="U2038" s="24"/>
      <c r="V2038" s="24"/>
      <c r="W2038" s="24"/>
      <c r="X2038" s="24"/>
      <c r="Y2038" s="24"/>
      <c r="Z2038" s="24"/>
      <c r="AA2038" s="24"/>
      <c r="AB2038" s="24"/>
      <c r="AC2038" s="24"/>
      <c r="AD2038" s="24"/>
      <c r="AE2038" s="24"/>
      <c r="AF2038" s="24"/>
      <c r="AG2038" s="24"/>
      <c r="AH2038" s="24"/>
      <c r="AI2038" s="24"/>
      <c r="AJ2038" s="24"/>
      <c r="AK2038" s="24"/>
      <c r="AL2038" s="24"/>
      <c r="AM2038" s="24"/>
      <c r="AN2038" s="24"/>
      <c r="AO2038" s="24"/>
      <c r="AP2038" s="24"/>
      <c r="AQ2038" s="24"/>
      <c r="AR2038" s="24"/>
      <c r="AS2038" s="24"/>
      <c r="AT2038" s="24"/>
      <c r="AU2038" s="24"/>
      <c r="AV2038" s="24"/>
      <c r="AW2038" s="24"/>
      <c r="AX2038" s="24"/>
    </row>
    <row r="2039" ht="15.75" customHeight="1">
      <c r="A2039" s="24"/>
      <c r="B2039" s="24"/>
      <c r="C2039" s="28"/>
      <c r="D2039" s="28"/>
      <c r="E2039" s="28"/>
      <c r="F2039" s="28"/>
      <c r="G2039" s="28"/>
      <c r="H2039" s="28"/>
      <c r="I2039" s="28"/>
      <c r="J2039" s="28"/>
      <c r="K2039" s="28"/>
      <c r="L2039" s="28"/>
      <c r="M2039" s="28"/>
      <c r="N2039" s="28"/>
      <c r="O2039" s="24"/>
      <c r="P2039" s="24"/>
      <c r="Q2039" s="24"/>
      <c r="R2039" s="24"/>
      <c r="S2039" s="24"/>
      <c r="T2039" s="24"/>
      <c r="U2039" s="24"/>
      <c r="V2039" s="24"/>
      <c r="W2039" s="24"/>
      <c r="X2039" s="24"/>
      <c r="Y2039" s="24"/>
      <c r="Z2039" s="24"/>
      <c r="AA2039" s="24"/>
      <c r="AB2039" s="24"/>
      <c r="AC2039" s="24"/>
      <c r="AD2039" s="24"/>
      <c r="AE2039" s="24"/>
      <c r="AF2039" s="24"/>
      <c r="AG2039" s="24"/>
      <c r="AH2039" s="24"/>
      <c r="AI2039" s="24"/>
      <c r="AJ2039" s="24"/>
      <c r="AK2039" s="24"/>
      <c r="AL2039" s="24"/>
      <c r="AM2039" s="24"/>
      <c r="AN2039" s="24"/>
      <c r="AO2039" s="24"/>
      <c r="AP2039" s="24"/>
      <c r="AQ2039" s="24"/>
      <c r="AR2039" s="24"/>
      <c r="AS2039" s="24"/>
      <c r="AT2039" s="24"/>
      <c r="AU2039" s="24"/>
      <c r="AV2039" s="24"/>
      <c r="AW2039" s="24"/>
      <c r="AX2039" s="24"/>
    </row>
    <row r="2040" ht="15.75" customHeight="1">
      <c r="A2040" s="24"/>
      <c r="B2040" s="24"/>
      <c r="C2040" s="28"/>
      <c r="D2040" s="28"/>
      <c r="E2040" s="28"/>
      <c r="F2040" s="28"/>
      <c r="G2040" s="28"/>
      <c r="H2040" s="28"/>
      <c r="I2040" s="28"/>
      <c r="J2040" s="28"/>
      <c r="K2040" s="28"/>
      <c r="L2040" s="28"/>
      <c r="M2040" s="28"/>
      <c r="N2040" s="28"/>
      <c r="O2040" s="24"/>
      <c r="P2040" s="24"/>
      <c r="Q2040" s="24"/>
      <c r="R2040" s="24"/>
      <c r="S2040" s="24"/>
      <c r="T2040" s="24"/>
      <c r="U2040" s="24"/>
      <c r="V2040" s="24"/>
      <c r="W2040" s="24"/>
      <c r="X2040" s="24"/>
      <c r="Y2040" s="24"/>
      <c r="Z2040" s="24"/>
      <c r="AA2040" s="24"/>
      <c r="AB2040" s="24"/>
      <c r="AC2040" s="24"/>
      <c r="AD2040" s="24"/>
      <c r="AE2040" s="24"/>
      <c r="AF2040" s="24"/>
      <c r="AG2040" s="24"/>
      <c r="AH2040" s="24"/>
      <c r="AI2040" s="24"/>
      <c r="AJ2040" s="24"/>
      <c r="AK2040" s="24"/>
      <c r="AL2040" s="24"/>
      <c r="AM2040" s="24"/>
      <c r="AN2040" s="24"/>
      <c r="AO2040" s="24"/>
      <c r="AP2040" s="24"/>
      <c r="AQ2040" s="24"/>
      <c r="AR2040" s="24"/>
      <c r="AS2040" s="24"/>
      <c r="AT2040" s="24"/>
      <c r="AU2040" s="24"/>
      <c r="AV2040" s="24"/>
      <c r="AW2040" s="24"/>
      <c r="AX2040" s="24"/>
    </row>
    <row r="2041" ht="15.75" customHeight="1">
      <c r="A2041" s="24"/>
      <c r="B2041" s="24"/>
      <c r="C2041" s="28"/>
      <c r="D2041" s="28"/>
      <c r="E2041" s="28"/>
      <c r="F2041" s="28"/>
      <c r="G2041" s="28"/>
      <c r="H2041" s="28"/>
      <c r="I2041" s="28"/>
      <c r="J2041" s="28"/>
      <c r="K2041" s="28"/>
      <c r="L2041" s="28"/>
      <c r="M2041" s="28"/>
      <c r="N2041" s="28"/>
      <c r="O2041" s="24"/>
      <c r="P2041" s="24"/>
      <c r="Q2041" s="24"/>
      <c r="R2041" s="24"/>
      <c r="S2041" s="24"/>
      <c r="T2041" s="24"/>
      <c r="U2041" s="24"/>
      <c r="V2041" s="24"/>
      <c r="W2041" s="24"/>
      <c r="X2041" s="24"/>
      <c r="Y2041" s="24"/>
      <c r="Z2041" s="24"/>
      <c r="AA2041" s="24"/>
      <c r="AB2041" s="24"/>
      <c r="AC2041" s="24"/>
      <c r="AD2041" s="24"/>
      <c r="AE2041" s="24"/>
      <c r="AF2041" s="24"/>
      <c r="AG2041" s="24"/>
      <c r="AH2041" s="24"/>
      <c r="AI2041" s="24"/>
      <c r="AJ2041" s="24"/>
      <c r="AK2041" s="24"/>
      <c r="AL2041" s="24"/>
      <c r="AM2041" s="24"/>
      <c r="AN2041" s="24"/>
      <c r="AO2041" s="24"/>
      <c r="AP2041" s="24"/>
      <c r="AQ2041" s="24"/>
      <c r="AR2041" s="24"/>
      <c r="AS2041" s="24"/>
      <c r="AT2041" s="24"/>
      <c r="AU2041" s="24"/>
      <c r="AV2041" s="24"/>
      <c r="AW2041" s="24"/>
      <c r="AX2041" s="24"/>
    </row>
    <row r="2042" ht="15.75" customHeight="1">
      <c r="A2042" s="24"/>
      <c r="B2042" s="24"/>
      <c r="C2042" s="28"/>
      <c r="D2042" s="28"/>
      <c r="E2042" s="28"/>
      <c r="F2042" s="28"/>
      <c r="G2042" s="28"/>
      <c r="H2042" s="28"/>
      <c r="I2042" s="28"/>
      <c r="J2042" s="28"/>
      <c r="K2042" s="28"/>
      <c r="L2042" s="28"/>
      <c r="M2042" s="28"/>
      <c r="N2042" s="28"/>
      <c r="O2042" s="24"/>
      <c r="P2042" s="24"/>
      <c r="Q2042" s="24"/>
      <c r="R2042" s="24"/>
      <c r="S2042" s="24"/>
      <c r="T2042" s="24"/>
      <c r="U2042" s="24"/>
      <c r="V2042" s="24"/>
      <c r="W2042" s="24"/>
      <c r="X2042" s="24"/>
      <c r="Y2042" s="24"/>
      <c r="Z2042" s="24"/>
      <c r="AA2042" s="24"/>
      <c r="AB2042" s="24"/>
      <c r="AC2042" s="24"/>
      <c r="AD2042" s="24"/>
      <c r="AE2042" s="24"/>
      <c r="AF2042" s="24"/>
      <c r="AG2042" s="24"/>
      <c r="AH2042" s="24"/>
      <c r="AI2042" s="24"/>
      <c r="AJ2042" s="24"/>
      <c r="AK2042" s="24"/>
      <c r="AL2042" s="24"/>
      <c r="AM2042" s="24"/>
      <c r="AN2042" s="24"/>
      <c r="AO2042" s="24"/>
      <c r="AP2042" s="24"/>
      <c r="AQ2042" s="24"/>
      <c r="AR2042" s="24"/>
      <c r="AS2042" s="24"/>
      <c r="AT2042" s="24"/>
      <c r="AU2042" s="24"/>
      <c r="AV2042" s="24"/>
      <c r="AW2042" s="24"/>
      <c r="AX2042" s="24"/>
    </row>
    <row r="2043" ht="15.75" customHeight="1">
      <c r="A2043" s="24"/>
      <c r="B2043" s="24"/>
      <c r="C2043" s="28"/>
      <c r="D2043" s="28"/>
      <c r="E2043" s="28"/>
      <c r="F2043" s="28"/>
      <c r="G2043" s="28"/>
      <c r="H2043" s="28"/>
      <c r="I2043" s="28"/>
      <c r="J2043" s="28"/>
      <c r="K2043" s="28"/>
      <c r="L2043" s="28"/>
      <c r="M2043" s="28"/>
      <c r="N2043" s="28"/>
      <c r="O2043" s="24"/>
      <c r="P2043" s="24"/>
      <c r="Q2043" s="24"/>
      <c r="R2043" s="24"/>
      <c r="S2043" s="24"/>
      <c r="T2043" s="24"/>
      <c r="U2043" s="24"/>
      <c r="V2043" s="24"/>
      <c r="W2043" s="24"/>
      <c r="X2043" s="24"/>
      <c r="Y2043" s="24"/>
      <c r="Z2043" s="24"/>
      <c r="AA2043" s="24"/>
      <c r="AB2043" s="24"/>
      <c r="AC2043" s="24"/>
      <c r="AD2043" s="24"/>
      <c r="AE2043" s="24"/>
      <c r="AF2043" s="24"/>
      <c r="AG2043" s="24"/>
      <c r="AH2043" s="24"/>
      <c r="AI2043" s="24"/>
      <c r="AJ2043" s="24"/>
      <c r="AK2043" s="24"/>
      <c r="AL2043" s="24"/>
      <c r="AM2043" s="24"/>
      <c r="AN2043" s="24"/>
      <c r="AO2043" s="24"/>
      <c r="AP2043" s="24"/>
      <c r="AQ2043" s="24"/>
      <c r="AR2043" s="24"/>
      <c r="AS2043" s="24"/>
      <c r="AT2043" s="24"/>
      <c r="AU2043" s="24"/>
      <c r="AV2043" s="24"/>
      <c r="AW2043" s="24"/>
      <c r="AX2043" s="24"/>
    </row>
    <row r="2044" ht="15.75" customHeight="1">
      <c r="A2044" s="24"/>
      <c r="B2044" s="24"/>
      <c r="C2044" s="28"/>
      <c r="D2044" s="28"/>
      <c r="E2044" s="28"/>
      <c r="F2044" s="28"/>
      <c r="G2044" s="28"/>
      <c r="H2044" s="28"/>
      <c r="I2044" s="28"/>
      <c r="J2044" s="28"/>
      <c r="K2044" s="28"/>
      <c r="L2044" s="28"/>
      <c r="M2044" s="28"/>
      <c r="N2044" s="28"/>
      <c r="O2044" s="24"/>
      <c r="P2044" s="24"/>
      <c r="Q2044" s="24"/>
      <c r="R2044" s="24"/>
      <c r="S2044" s="24"/>
      <c r="T2044" s="24"/>
      <c r="U2044" s="24"/>
      <c r="V2044" s="24"/>
      <c r="W2044" s="24"/>
      <c r="X2044" s="24"/>
      <c r="Y2044" s="24"/>
      <c r="Z2044" s="24"/>
      <c r="AA2044" s="24"/>
      <c r="AB2044" s="24"/>
      <c r="AC2044" s="24"/>
      <c r="AD2044" s="24"/>
      <c r="AE2044" s="24"/>
      <c r="AF2044" s="24"/>
      <c r="AG2044" s="24"/>
      <c r="AH2044" s="24"/>
      <c r="AI2044" s="24"/>
      <c r="AJ2044" s="24"/>
      <c r="AK2044" s="24"/>
      <c r="AL2044" s="24"/>
      <c r="AM2044" s="24"/>
      <c r="AN2044" s="24"/>
      <c r="AO2044" s="24"/>
      <c r="AP2044" s="24"/>
      <c r="AQ2044" s="24"/>
      <c r="AR2044" s="24"/>
      <c r="AS2044" s="24"/>
      <c r="AT2044" s="24"/>
      <c r="AU2044" s="24"/>
      <c r="AV2044" s="24"/>
      <c r="AW2044" s="24"/>
      <c r="AX2044" s="24"/>
    </row>
    <row r="2045" ht="15.75" customHeight="1">
      <c r="A2045" s="24"/>
      <c r="B2045" s="24"/>
      <c r="C2045" s="28"/>
      <c r="D2045" s="28"/>
      <c r="E2045" s="28"/>
      <c r="F2045" s="28"/>
      <c r="G2045" s="28"/>
      <c r="H2045" s="28"/>
      <c r="I2045" s="28"/>
      <c r="J2045" s="28"/>
      <c r="K2045" s="28"/>
      <c r="L2045" s="28"/>
      <c r="M2045" s="28"/>
      <c r="N2045" s="28"/>
      <c r="O2045" s="24"/>
      <c r="P2045" s="24"/>
      <c r="Q2045" s="24"/>
      <c r="R2045" s="24"/>
      <c r="S2045" s="24"/>
      <c r="T2045" s="24"/>
      <c r="U2045" s="24"/>
      <c r="V2045" s="24"/>
      <c r="W2045" s="24"/>
      <c r="X2045" s="24"/>
      <c r="Y2045" s="24"/>
      <c r="Z2045" s="24"/>
      <c r="AA2045" s="24"/>
      <c r="AB2045" s="24"/>
      <c r="AC2045" s="24"/>
      <c r="AD2045" s="24"/>
      <c r="AE2045" s="24"/>
      <c r="AF2045" s="24"/>
      <c r="AG2045" s="24"/>
      <c r="AH2045" s="24"/>
      <c r="AI2045" s="24"/>
      <c r="AJ2045" s="24"/>
      <c r="AK2045" s="24"/>
      <c r="AL2045" s="24"/>
      <c r="AM2045" s="24"/>
      <c r="AN2045" s="24"/>
      <c r="AO2045" s="24"/>
      <c r="AP2045" s="24"/>
      <c r="AQ2045" s="24"/>
      <c r="AR2045" s="24"/>
      <c r="AS2045" s="24"/>
      <c r="AT2045" s="24"/>
      <c r="AU2045" s="24"/>
      <c r="AV2045" s="24"/>
      <c r="AW2045" s="24"/>
      <c r="AX2045" s="24"/>
    </row>
    <row r="2046" ht="15.75" customHeight="1">
      <c r="A2046" s="24"/>
      <c r="B2046" s="24"/>
      <c r="C2046" s="28"/>
      <c r="D2046" s="28"/>
      <c r="E2046" s="28"/>
      <c r="F2046" s="28"/>
      <c r="G2046" s="28"/>
      <c r="H2046" s="28"/>
      <c r="I2046" s="28"/>
      <c r="J2046" s="28"/>
      <c r="K2046" s="28"/>
      <c r="L2046" s="28"/>
      <c r="M2046" s="28"/>
      <c r="N2046" s="28"/>
      <c r="O2046" s="24"/>
      <c r="P2046" s="24"/>
      <c r="Q2046" s="24"/>
      <c r="R2046" s="24"/>
      <c r="S2046" s="24"/>
      <c r="T2046" s="24"/>
      <c r="U2046" s="24"/>
      <c r="V2046" s="24"/>
      <c r="W2046" s="24"/>
      <c r="X2046" s="24"/>
      <c r="Y2046" s="24"/>
      <c r="Z2046" s="24"/>
      <c r="AA2046" s="24"/>
      <c r="AB2046" s="24"/>
      <c r="AC2046" s="24"/>
      <c r="AD2046" s="24"/>
      <c r="AE2046" s="24"/>
      <c r="AF2046" s="24"/>
      <c r="AG2046" s="24"/>
      <c r="AH2046" s="24"/>
      <c r="AI2046" s="24"/>
      <c r="AJ2046" s="24"/>
      <c r="AK2046" s="24"/>
      <c r="AL2046" s="24"/>
      <c r="AM2046" s="24"/>
      <c r="AN2046" s="24"/>
      <c r="AO2046" s="24"/>
      <c r="AP2046" s="24"/>
      <c r="AQ2046" s="24"/>
      <c r="AR2046" s="24"/>
      <c r="AS2046" s="24"/>
      <c r="AT2046" s="24"/>
      <c r="AU2046" s="24"/>
      <c r="AV2046" s="24"/>
      <c r="AW2046" s="24"/>
      <c r="AX2046" s="24"/>
    </row>
    <row r="2047" ht="15.75" customHeight="1">
      <c r="A2047" s="24"/>
      <c r="B2047" s="24"/>
      <c r="C2047" s="28"/>
      <c r="D2047" s="28"/>
      <c r="E2047" s="28"/>
      <c r="F2047" s="28"/>
      <c r="G2047" s="28"/>
      <c r="H2047" s="28"/>
      <c r="I2047" s="28"/>
      <c r="J2047" s="28"/>
      <c r="K2047" s="28"/>
      <c r="L2047" s="28"/>
      <c r="M2047" s="28"/>
      <c r="N2047" s="28"/>
      <c r="O2047" s="24"/>
      <c r="P2047" s="24"/>
      <c r="Q2047" s="24"/>
      <c r="R2047" s="24"/>
      <c r="S2047" s="24"/>
      <c r="T2047" s="24"/>
      <c r="U2047" s="24"/>
      <c r="V2047" s="24"/>
      <c r="W2047" s="24"/>
      <c r="X2047" s="24"/>
      <c r="Y2047" s="24"/>
      <c r="Z2047" s="24"/>
      <c r="AA2047" s="24"/>
      <c r="AB2047" s="24"/>
      <c r="AC2047" s="24"/>
      <c r="AD2047" s="24"/>
      <c r="AE2047" s="24"/>
      <c r="AF2047" s="24"/>
      <c r="AG2047" s="24"/>
      <c r="AH2047" s="24"/>
      <c r="AI2047" s="24"/>
      <c r="AJ2047" s="24"/>
      <c r="AK2047" s="24"/>
      <c r="AL2047" s="24"/>
      <c r="AM2047" s="24"/>
      <c r="AN2047" s="24"/>
      <c r="AO2047" s="24"/>
      <c r="AP2047" s="24"/>
      <c r="AQ2047" s="24"/>
      <c r="AR2047" s="24"/>
      <c r="AS2047" s="24"/>
      <c r="AT2047" s="24"/>
      <c r="AU2047" s="24"/>
      <c r="AV2047" s="24"/>
      <c r="AW2047" s="24"/>
      <c r="AX2047" s="24"/>
    </row>
    <row r="2048" ht="15.75" customHeight="1">
      <c r="A2048" s="24"/>
      <c r="B2048" s="24"/>
      <c r="C2048" s="28"/>
      <c r="D2048" s="28"/>
      <c r="E2048" s="28"/>
      <c r="F2048" s="28"/>
      <c r="G2048" s="28"/>
      <c r="H2048" s="28"/>
      <c r="I2048" s="28"/>
      <c r="J2048" s="28"/>
      <c r="K2048" s="28"/>
      <c r="L2048" s="28"/>
      <c r="M2048" s="28"/>
      <c r="N2048" s="28"/>
      <c r="O2048" s="24"/>
      <c r="P2048" s="24"/>
      <c r="Q2048" s="24"/>
      <c r="R2048" s="24"/>
      <c r="S2048" s="24"/>
      <c r="T2048" s="24"/>
      <c r="U2048" s="24"/>
      <c r="V2048" s="24"/>
      <c r="W2048" s="24"/>
      <c r="X2048" s="24"/>
      <c r="Y2048" s="24"/>
      <c r="Z2048" s="24"/>
      <c r="AA2048" s="24"/>
      <c r="AB2048" s="24"/>
      <c r="AC2048" s="24"/>
      <c r="AD2048" s="24"/>
      <c r="AE2048" s="24"/>
      <c r="AF2048" s="24"/>
      <c r="AG2048" s="24"/>
      <c r="AH2048" s="24"/>
      <c r="AI2048" s="24"/>
      <c r="AJ2048" s="24"/>
      <c r="AK2048" s="24"/>
      <c r="AL2048" s="24"/>
      <c r="AM2048" s="24"/>
      <c r="AN2048" s="24"/>
      <c r="AO2048" s="24"/>
      <c r="AP2048" s="24"/>
      <c r="AQ2048" s="24"/>
      <c r="AR2048" s="24"/>
      <c r="AS2048" s="24"/>
      <c r="AT2048" s="24"/>
      <c r="AU2048" s="24"/>
      <c r="AV2048" s="24"/>
      <c r="AW2048" s="24"/>
      <c r="AX2048" s="24"/>
    </row>
    <row r="2049" ht="15.75" customHeight="1">
      <c r="A2049" s="24"/>
      <c r="B2049" s="24"/>
      <c r="C2049" s="28"/>
      <c r="D2049" s="28"/>
      <c r="E2049" s="28"/>
      <c r="F2049" s="28"/>
      <c r="G2049" s="28"/>
      <c r="H2049" s="28"/>
      <c r="I2049" s="28"/>
      <c r="J2049" s="28"/>
      <c r="K2049" s="28"/>
      <c r="L2049" s="28"/>
      <c r="M2049" s="28"/>
      <c r="N2049" s="28"/>
      <c r="O2049" s="24"/>
      <c r="P2049" s="24"/>
      <c r="Q2049" s="24"/>
      <c r="R2049" s="24"/>
      <c r="S2049" s="24"/>
      <c r="T2049" s="24"/>
      <c r="U2049" s="24"/>
      <c r="V2049" s="24"/>
      <c r="W2049" s="24"/>
      <c r="X2049" s="24"/>
      <c r="Y2049" s="24"/>
      <c r="Z2049" s="24"/>
      <c r="AA2049" s="24"/>
      <c r="AB2049" s="24"/>
      <c r="AC2049" s="24"/>
      <c r="AD2049" s="24"/>
      <c r="AE2049" s="24"/>
      <c r="AF2049" s="24"/>
      <c r="AG2049" s="24"/>
      <c r="AH2049" s="24"/>
      <c r="AI2049" s="24"/>
      <c r="AJ2049" s="24"/>
      <c r="AK2049" s="24"/>
      <c r="AL2049" s="24"/>
      <c r="AM2049" s="24"/>
      <c r="AN2049" s="24"/>
      <c r="AO2049" s="24"/>
      <c r="AP2049" s="24"/>
      <c r="AQ2049" s="24"/>
      <c r="AR2049" s="24"/>
      <c r="AS2049" s="24"/>
      <c r="AT2049" s="24"/>
      <c r="AU2049" s="24"/>
      <c r="AV2049" s="24"/>
      <c r="AW2049" s="24"/>
      <c r="AX2049" s="24"/>
    </row>
    <row r="2050" ht="15.75" customHeight="1">
      <c r="A2050" s="24"/>
      <c r="B2050" s="24"/>
      <c r="C2050" s="28"/>
      <c r="D2050" s="28"/>
      <c r="E2050" s="28"/>
      <c r="F2050" s="28"/>
      <c r="G2050" s="28"/>
      <c r="H2050" s="28"/>
      <c r="I2050" s="28"/>
      <c r="J2050" s="28"/>
      <c r="K2050" s="28"/>
      <c r="L2050" s="28"/>
      <c r="M2050" s="28"/>
      <c r="N2050" s="28"/>
      <c r="O2050" s="24"/>
      <c r="P2050" s="24"/>
      <c r="Q2050" s="24"/>
      <c r="R2050" s="24"/>
      <c r="S2050" s="24"/>
      <c r="T2050" s="24"/>
      <c r="U2050" s="24"/>
      <c r="V2050" s="24"/>
      <c r="W2050" s="24"/>
      <c r="X2050" s="24"/>
      <c r="Y2050" s="24"/>
      <c r="Z2050" s="24"/>
      <c r="AA2050" s="24"/>
      <c r="AB2050" s="24"/>
      <c r="AC2050" s="24"/>
      <c r="AD2050" s="24"/>
      <c r="AE2050" s="24"/>
      <c r="AF2050" s="24"/>
      <c r="AG2050" s="24"/>
      <c r="AH2050" s="24"/>
      <c r="AI2050" s="24"/>
      <c r="AJ2050" s="24"/>
      <c r="AK2050" s="24"/>
      <c r="AL2050" s="24"/>
      <c r="AM2050" s="24"/>
      <c r="AN2050" s="24"/>
      <c r="AO2050" s="24"/>
      <c r="AP2050" s="24"/>
      <c r="AQ2050" s="24"/>
      <c r="AR2050" s="24"/>
      <c r="AS2050" s="24"/>
      <c r="AT2050" s="24"/>
      <c r="AU2050" s="24"/>
      <c r="AV2050" s="24"/>
      <c r="AW2050" s="24"/>
      <c r="AX2050" s="24"/>
    </row>
    <row r="2051" ht="15.75" customHeight="1">
      <c r="A2051" s="24"/>
      <c r="B2051" s="24"/>
      <c r="C2051" s="28"/>
      <c r="D2051" s="28"/>
      <c r="E2051" s="28"/>
      <c r="F2051" s="28"/>
      <c r="G2051" s="28"/>
      <c r="H2051" s="28"/>
      <c r="I2051" s="28"/>
      <c r="J2051" s="28"/>
      <c r="K2051" s="28"/>
      <c r="L2051" s="28"/>
      <c r="M2051" s="28"/>
      <c r="N2051" s="28"/>
      <c r="O2051" s="24"/>
      <c r="P2051" s="24"/>
      <c r="Q2051" s="24"/>
      <c r="R2051" s="24"/>
      <c r="S2051" s="24"/>
      <c r="T2051" s="24"/>
      <c r="U2051" s="24"/>
      <c r="V2051" s="24"/>
      <c r="W2051" s="24"/>
      <c r="X2051" s="24"/>
      <c r="Y2051" s="24"/>
      <c r="Z2051" s="24"/>
      <c r="AA2051" s="24"/>
      <c r="AB2051" s="24"/>
      <c r="AC2051" s="24"/>
      <c r="AD2051" s="24"/>
      <c r="AE2051" s="24"/>
      <c r="AF2051" s="24"/>
      <c r="AG2051" s="24"/>
      <c r="AH2051" s="24"/>
      <c r="AI2051" s="24"/>
      <c r="AJ2051" s="24"/>
      <c r="AK2051" s="24"/>
      <c r="AL2051" s="24"/>
      <c r="AM2051" s="24"/>
      <c r="AN2051" s="24"/>
      <c r="AO2051" s="24"/>
      <c r="AP2051" s="24"/>
      <c r="AQ2051" s="24"/>
      <c r="AR2051" s="24"/>
      <c r="AS2051" s="24"/>
      <c r="AT2051" s="24"/>
      <c r="AU2051" s="24"/>
      <c r="AV2051" s="24"/>
      <c r="AW2051" s="24"/>
      <c r="AX2051" s="24"/>
    </row>
    <row r="2052" ht="15.75" customHeight="1">
      <c r="A2052" s="24"/>
      <c r="B2052" s="24"/>
      <c r="C2052" s="28"/>
      <c r="D2052" s="28"/>
      <c r="E2052" s="28"/>
      <c r="F2052" s="28"/>
      <c r="G2052" s="28"/>
      <c r="H2052" s="28"/>
      <c r="I2052" s="28"/>
      <c r="J2052" s="28"/>
      <c r="K2052" s="28"/>
      <c r="L2052" s="28"/>
      <c r="M2052" s="28"/>
      <c r="N2052" s="28"/>
      <c r="O2052" s="24"/>
      <c r="P2052" s="24"/>
      <c r="Q2052" s="24"/>
      <c r="R2052" s="24"/>
      <c r="S2052" s="24"/>
      <c r="T2052" s="24"/>
      <c r="U2052" s="24"/>
      <c r="V2052" s="24"/>
      <c r="W2052" s="24"/>
      <c r="X2052" s="24"/>
      <c r="Y2052" s="24"/>
      <c r="Z2052" s="24"/>
      <c r="AA2052" s="24"/>
      <c r="AB2052" s="24"/>
      <c r="AC2052" s="24"/>
      <c r="AD2052" s="24"/>
      <c r="AE2052" s="24"/>
      <c r="AF2052" s="24"/>
      <c r="AG2052" s="24"/>
      <c r="AH2052" s="24"/>
      <c r="AI2052" s="24"/>
      <c r="AJ2052" s="24"/>
      <c r="AK2052" s="24"/>
      <c r="AL2052" s="24"/>
      <c r="AM2052" s="24"/>
      <c r="AN2052" s="24"/>
      <c r="AO2052" s="24"/>
      <c r="AP2052" s="24"/>
      <c r="AQ2052" s="24"/>
      <c r="AR2052" s="24"/>
      <c r="AS2052" s="24"/>
      <c r="AT2052" s="24"/>
      <c r="AU2052" s="24"/>
      <c r="AV2052" s="24"/>
      <c r="AW2052" s="24"/>
      <c r="AX2052" s="24"/>
    </row>
    <row r="2053" ht="15.75" customHeight="1">
      <c r="A2053" s="24"/>
      <c r="B2053" s="24"/>
      <c r="C2053" s="28"/>
      <c r="D2053" s="28"/>
      <c r="E2053" s="28"/>
      <c r="F2053" s="28"/>
      <c r="G2053" s="28"/>
      <c r="H2053" s="28"/>
      <c r="I2053" s="28"/>
      <c r="J2053" s="28"/>
      <c r="K2053" s="28"/>
      <c r="L2053" s="28"/>
      <c r="M2053" s="28"/>
      <c r="N2053" s="28"/>
      <c r="O2053" s="24"/>
      <c r="P2053" s="24"/>
      <c r="Q2053" s="24"/>
      <c r="R2053" s="24"/>
      <c r="S2053" s="24"/>
      <c r="T2053" s="24"/>
      <c r="U2053" s="24"/>
      <c r="V2053" s="24"/>
      <c r="W2053" s="24"/>
      <c r="X2053" s="24"/>
      <c r="Y2053" s="24"/>
      <c r="Z2053" s="24"/>
      <c r="AA2053" s="24"/>
      <c r="AB2053" s="24"/>
      <c r="AC2053" s="24"/>
      <c r="AD2053" s="24"/>
      <c r="AE2053" s="24"/>
      <c r="AF2053" s="24"/>
      <c r="AG2053" s="24"/>
      <c r="AH2053" s="24"/>
      <c r="AI2053" s="24"/>
      <c r="AJ2053" s="24"/>
      <c r="AK2053" s="24"/>
      <c r="AL2053" s="24"/>
      <c r="AM2053" s="24"/>
      <c r="AN2053" s="24"/>
      <c r="AO2053" s="24"/>
      <c r="AP2053" s="24"/>
      <c r="AQ2053" s="24"/>
      <c r="AR2053" s="24"/>
      <c r="AS2053" s="24"/>
      <c r="AT2053" s="24"/>
      <c r="AU2053" s="24"/>
      <c r="AV2053" s="24"/>
      <c r="AW2053" s="24"/>
      <c r="AX2053" s="24"/>
    </row>
    <row r="2054" ht="15.75" customHeight="1">
      <c r="A2054" s="24"/>
      <c r="B2054" s="24"/>
      <c r="C2054" s="28"/>
      <c r="D2054" s="28"/>
      <c r="E2054" s="28"/>
      <c r="F2054" s="28"/>
      <c r="G2054" s="28"/>
      <c r="H2054" s="28"/>
      <c r="I2054" s="28"/>
      <c r="J2054" s="28"/>
      <c r="K2054" s="28"/>
      <c r="L2054" s="28"/>
      <c r="M2054" s="28"/>
      <c r="N2054" s="28"/>
      <c r="O2054" s="24"/>
      <c r="P2054" s="24"/>
      <c r="Q2054" s="24"/>
      <c r="R2054" s="24"/>
      <c r="S2054" s="24"/>
      <c r="T2054" s="24"/>
      <c r="U2054" s="24"/>
      <c r="V2054" s="24"/>
      <c r="W2054" s="24"/>
      <c r="X2054" s="24"/>
      <c r="Y2054" s="24"/>
      <c r="Z2054" s="24"/>
      <c r="AA2054" s="24"/>
      <c r="AB2054" s="24"/>
      <c r="AC2054" s="24"/>
      <c r="AD2054" s="24"/>
      <c r="AE2054" s="24"/>
      <c r="AF2054" s="24"/>
      <c r="AG2054" s="24"/>
      <c r="AH2054" s="24"/>
      <c r="AI2054" s="24"/>
      <c r="AJ2054" s="24"/>
      <c r="AK2054" s="24"/>
      <c r="AL2054" s="24"/>
      <c r="AM2054" s="24"/>
      <c r="AN2054" s="24"/>
      <c r="AO2054" s="24"/>
      <c r="AP2054" s="24"/>
      <c r="AQ2054" s="24"/>
      <c r="AR2054" s="24"/>
      <c r="AS2054" s="24"/>
      <c r="AT2054" s="24"/>
      <c r="AU2054" s="24"/>
      <c r="AV2054" s="24"/>
      <c r="AW2054" s="24"/>
      <c r="AX2054" s="24"/>
    </row>
    <row r="2055" ht="15.75" customHeight="1">
      <c r="A2055" s="24"/>
      <c r="B2055" s="24"/>
      <c r="C2055" s="28"/>
      <c r="D2055" s="28"/>
      <c r="E2055" s="28"/>
      <c r="F2055" s="28"/>
      <c r="G2055" s="28"/>
      <c r="H2055" s="28"/>
      <c r="I2055" s="28"/>
      <c r="J2055" s="28"/>
      <c r="K2055" s="28"/>
      <c r="L2055" s="28"/>
      <c r="M2055" s="28"/>
      <c r="N2055" s="28"/>
      <c r="O2055" s="24"/>
      <c r="P2055" s="24"/>
      <c r="Q2055" s="24"/>
      <c r="R2055" s="24"/>
      <c r="S2055" s="24"/>
      <c r="T2055" s="24"/>
      <c r="U2055" s="24"/>
      <c r="V2055" s="24"/>
      <c r="W2055" s="24"/>
      <c r="X2055" s="24"/>
      <c r="Y2055" s="24"/>
      <c r="Z2055" s="24"/>
      <c r="AA2055" s="24"/>
      <c r="AB2055" s="24"/>
      <c r="AC2055" s="24"/>
      <c r="AD2055" s="24"/>
      <c r="AE2055" s="24"/>
      <c r="AF2055" s="24"/>
      <c r="AG2055" s="24"/>
      <c r="AH2055" s="24"/>
      <c r="AI2055" s="24"/>
      <c r="AJ2055" s="24"/>
      <c r="AK2055" s="24"/>
      <c r="AL2055" s="24"/>
      <c r="AM2055" s="24"/>
      <c r="AN2055" s="24"/>
      <c r="AO2055" s="24"/>
      <c r="AP2055" s="24"/>
      <c r="AQ2055" s="24"/>
      <c r="AR2055" s="24"/>
      <c r="AS2055" s="24"/>
      <c r="AT2055" s="24"/>
      <c r="AU2055" s="24"/>
      <c r="AV2055" s="24"/>
      <c r="AW2055" s="24"/>
      <c r="AX2055" s="24"/>
    </row>
    <row r="2056" ht="15.75" customHeight="1">
      <c r="A2056" s="24"/>
      <c r="B2056" s="24"/>
      <c r="C2056" s="28"/>
      <c r="D2056" s="28"/>
      <c r="E2056" s="28"/>
      <c r="F2056" s="28"/>
      <c r="G2056" s="28"/>
      <c r="H2056" s="28"/>
      <c r="I2056" s="28"/>
      <c r="J2056" s="28"/>
      <c r="K2056" s="28"/>
      <c r="L2056" s="28"/>
      <c r="M2056" s="28"/>
      <c r="N2056" s="28"/>
      <c r="O2056" s="24"/>
      <c r="P2056" s="24"/>
      <c r="Q2056" s="24"/>
      <c r="R2056" s="24"/>
      <c r="S2056" s="24"/>
      <c r="T2056" s="24"/>
      <c r="U2056" s="24"/>
      <c r="V2056" s="24"/>
      <c r="W2056" s="24"/>
      <c r="X2056" s="24"/>
      <c r="Y2056" s="24"/>
      <c r="Z2056" s="24"/>
      <c r="AA2056" s="24"/>
      <c r="AB2056" s="24"/>
      <c r="AC2056" s="24"/>
      <c r="AD2056" s="24"/>
      <c r="AE2056" s="24"/>
      <c r="AF2056" s="24"/>
      <c r="AG2056" s="24"/>
      <c r="AH2056" s="24"/>
      <c r="AI2056" s="24"/>
      <c r="AJ2056" s="24"/>
      <c r="AK2056" s="24"/>
      <c r="AL2056" s="24"/>
      <c r="AM2056" s="24"/>
      <c r="AN2056" s="24"/>
      <c r="AO2056" s="24"/>
      <c r="AP2056" s="24"/>
      <c r="AQ2056" s="24"/>
      <c r="AR2056" s="24"/>
      <c r="AS2056" s="24"/>
      <c r="AT2056" s="24"/>
      <c r="AU2056" s="24"/>
      <c r="AV2056" s="24"/>
      <c r="AW2056" s="24"/>
      <c r="AX2056" s="24"/>
    </row>
    <row r="2057" ht="15.75" customHeight="1">
      <c r="A2057" s="24"/>
      <c r="B2057" s="24"/>
      <c r="C2057" s="28"/>
      <c r="D2057" s="28"/>
      <c r="E2057" s="28"/>
      <c r="F2057" s="28"/>
      <c r="G2057" s="28"/>
      <c r="H2057" s="28"/>
      <c r="I2057" s="28"/>
      <c r="J2057" s="28"/>
      <c r="K2057" s="28"/>
      <c r="L2057" s="28"/>
      <c r="M2057" s="28"/>
      <c r="N2057" s="28"/>
      <c r="O2057" s="24"/>
      <c r="P2057" s="24"/>
      <c r="Q2057" s="24"/>
      <c r="R2057" s="24"/>
      <c r="S2057" s="24"/>
      <c r="T2057" s="24"/>
      <c r="U2057" s="24"/>
      <c r="V2057" s="24"/>
      <c r="W2057" s="24"/>
      <c r="X2057" s="24"/>
      <c r="Y2057" s="24"/>
      <c r="Z2057" s="24"/>
      <c r="AA2057" s="24"/>
      <c r="AB2057" s="24"/>
      <c r="AC2057" s="24"/>
      <c r="AD2057" s="24"/>
      <c r="AE2057" s="24"/>
      <c r="AF2057" s="24"/>
      <c r="AG2057" s="24"/>
      <c r="AH2057" s="24"/>
      <c r="AI2057" s="24"/>
      <c r="AJ2057" s="24"/>
      <c r="AK2057" s="24"/>
      <c r="AL2057" s="24"/>
      <c r="AM2057" s="24"/>
      <c r="AN2057" s="24"/>
      <c r="AO2057" s="24"/>
      <c r="AP2057" s="24"/>
      <c r="AQ2057" s="24"/>
      <c r="AR2057" s="24"/>
      <c r="AS2057" s="24"/>
      <c r="AT2057" s="24"/>
      <c r="AU2057" s="24"/>
      <c r="AV2057" s="24"/>
      <c r="AW2057" s="24"/>
      <c r="AX2057" s="24"/>
    </row>
    <row r="2058" ht="15.75" customHeight="1">
      <c r="A2058" s="24"/>
      <c r="B2058" s="24"/>
      <c r="C2058" s="28"/>
      <c r="D2058" s="28"/>
      <c r="E2058" s="28"/>
      <c r="F2058" s="28"/>
      <c r="G2058" s="28"/>
      <c r="H2058" s="28"/>
      <c r="I2058" s="28"/>
      <c r="J2058" s="28"/>
      <c r="K2058" s="28"/>
      <c r="L2058" s="28"/>
      <c r="M2058" s="28"/>
      <c r="N2058" s="28"/>
      <c r="O2058" s="24"/>
      <c r="P2058" s="24"/>
      <c r="Q2058" s="24"/>
      <c r="R2058" s="24"/>
      <c r="S2058" s="24"/>
      <c r="T2058" s="24"/>
      <c r="U2058" s="24"/>
      <c r="V2058" s="24"/>
      <c r="W2058" s="24"/>
      <c r="X2058" s="24"/>
      <c r="Y2058" s="24"/>
      <c r="Z2058" s="24"/>
      <c r="AA2058" s="24"/>
      <c r="AB2058" s="24"/>
      <c r="AC2058" s="24"/>
      <c r="AD2058" s="24"/>
      <c r="AE2058" s="24"/>
      <c r="AF2058" s="24"/>
      <c r="AG2058" s="24"/>
      <c r="AH2058" s="24"/>
      <c r="AI2058" s="24"/>
      <c r="AJ2058" s="24"/>
      <c r="AK2058" s="24"/>
      <c r="AL2058" s="24"/>
      <c r="AM2058" s="24"/>
      <c r="AN2058" s="24"/>
      <c r="AO2058" s="24"/>
      <c r="AP2058" s="24"/>
      <c r="AQ2058" s="24"/>
      <c r="AR2058" s="24"/>
      <c r="AS2058" s="24"/>
      <c r="AT2058" s="24"/>
      <c r="AU2058" s="24"/>
      <c r="AV2058" s="24"/>
      <c r="AW2058" s="24"/>
      <c r="AX2058" s="24"/>
    </row>
    <row r="2059" ht="15.75" customHeight="1">
      <c r="A2059" s="24"/>
      <c r="B2059" s="24"/>
      <c r="C2059" s="28"/>
      <c r="D2059" s="28"/>
      <c r="E2059" s="28"/>
      <c r="F2059" s="28"/>
      <c r="G2059" s="28"/>
      <c r="H2059" s="28"/>
      <c r="I2059" s="28"/>
      <c r="J2059" s="28"/>
      <c r="K2059" s="28"/>
      <c r="L2059" s="28"/>
      <c r="M2059" s="28"/>
      <c r="N2059" s="28"/>
      <c r="O2059" s="24"/>
      <c r="P2059" s="24"/>
      <c r="Q2059" s="24"/>
      <c r="R2059" s="24"/>
      <c r="S2059" s="24"/>
      <c r="T2059" s="24"/>
      <c r="U2059" s="24"/>
      <c r="V2059" s="24"/>
      <c r="W2059" s="24"/>
      <c r="X2059" s="24"/>
      <c r="Y2059" s="24"/>
      <c r="Z2059" s="24"/>
      <c r="AA2059" s="24"/>
      <c r="AB2059" s="24"/>
      <c r="AC2059" s="24"/>
      <c r="AD2059" s="24"/>
      <c r="AE2059" s="24"/>
      <c r="AF2059" s="24"/>
      <c r="AG2059" s="24"/>
      <c r="AH2059" s="24"/>
      <c r="AI2059" s="24"/>
      <c r="AJ2059" s="24"/>
      <c r="AK2059" s="24"/>
      <c r="AL2059" s="24"/>
      <c r="AM2059" s="24"/>
      <c r="AN2059" s="24"/>
      <c r="AO2059" s="24"/>
      <c r="AP2059" s="24"/>
      <c r="AQ2059" s="24"/>
      <c r="AR2059" s="24"/>
      <c r="AS2059" s="24"/>
      <c r="AT2059" s="24"/>
      <c r="AU2059" s="24"/>
      <c r="AV2059" s="24"/>
      <c r="AW2059" s="24"/>
      <c r="AX2059" s="24"/>
    </row>
    <row r="2060" ht="15.75" customHeight="1">
      <c r="A2060" s="24"/>
      <c r="B2060" s="24"/>
      <c r="C2060" s="28"/>
      <c r="D2060" s="28"/>
      <c r="E2060" s="28"/>
      <c r="F2060" s="28"/>
      <c r="G2060" s="28"/>
      <c r="H2060" s="28"/>
      <c r="I2060" s="28"/>
      <c r="J2060" s="28"/>
      <c r="K2060" s="28"/>
      <c r="L2060" s="28"/>
      <c r="M2060" s="28"/>
      <c r="N2060" s="28"/>
      <c r="O2060" s="24"/>
      <c r="P2060" s="24"/>
      <c r="Q2060" s="24"/>
      <c r="R2060" s="24"/>
      <c r="S2060" s="24"/>
      <c r="T2060" s="24"/>
      <c r="U2060" s="24"/>
      <c r="V2060" s="24"/>
      <c r="W2060" s="24"/>
      <c r="X2060" s="24"/>
      <c r="Y2060" s="24"/>
      <c r="Z2060" s="24"/>
      <c r="AA2060" s="24"/>
      <c r="AB2060" s="24"/>
      <c r="AC2060" s="24"/>
      <c r="AD2060" s="24"/>
      <c r="AE2060" s="24"/>
      <c r="AF2060" s="24"/>
      <c r="AG2060" s="24"/>
      <c r="AH2060" s="24"/>
      <c r="AI2060" s="24"/>
      <c r="AJ2060" s="24"/>
      <c r="AK2060" s="24"/>
      <c r="AL2060" s="24"/>
      <c r="AM2060" s="24"/>
      <c r="AN2060" s="24"/>
      <c r="AO2060" s="24"/>
      <c r="AP2060" s="24"/>
      <c r="AQ2060" s="24"/>
      <c r="AR2060" s="24"/>
      <c r="AS2060" s="24"/>
      <c r="AT2060" s="24"/>
      <c r="AU2060" s="24"/>
      <c r="AV2060" s="24"/>
      <c r="AW2060" s="24"/>
      <c r="AX2060" s="24"/>
    </row>
    <row r="2061" ht="15.75" customHeight="1">
      <c r="A2061" s="24"/>
      <c r="B2061" s="24"/>
      <c r="C2061" s="28"/>
      <c r="D2061" s="28"/>
      <c r="E2061" s="28"/>
      <c r="F2061" s="28"/>
      <c r="G2061" s="28"/>
      <c r="H2061" s="28"/>
      <c r="I2061" s="28"/>
      <c r="J2061" s="28"/>
      <c r="K2061" s="28"/>
      <c r="L2061" s="28"/>
      <c r="M2061" s="28"/>
      <c r="N2061" s="28"/>
      <c r="O2061" s="24"/>
      <c r="P2061" s="24"/>
      <c r="Q2061" s="24"/>
      <c r="R2061" s="24"/>
      <c r="S2061" s="24"/>
      <c r="T2061" s="24"/>
      <c r="U2061" s="24"/>
      <c r="V2061" s="24"/>
      <c r="W2061" s="24"/>
      <c r="X2061" s="24"/>
      <c r="Y2061" s="24"/>
      <c r="Z2061" s="24"/>
      <c r="AA2061" s="24"/>
      <c r="AB2061" s="24"/>
      <c r="AC2061" s="24"/>
      <c r="AD2061" s="24"/>
      <c r="AE2061" s="24"/>
      <c r="AF2061" s="24"/>
      <c r="AG2061" s="24"/>
      <c r="AH2061" s="24"/>
      <c r="AI2061" s="24"/>
      <c r="AJ2061" s="24"/>
      <c r="AK2061" s="24"/>
      <c r="AL2061" s="24"/>
      <c r="AM2061" s="24"/>
      <c r="AN2061" s="24"/>
      <c r="AO2061" s="24"/>
      <c r="AP2061" s="24"/>
      <c r="AQ2061" s="24"/>
      <c r="AR2061" s="24"/>
      <c r="AS2061" s="24"/>
      <c r="AT2061" s="24"/>
      <c r="AU2061" s="24"/>
      <c r="AV2061" s="24"/>
      <c r="AW2061" s="24"/>
      <c r="AX2061" s="24"/>
    </row>
    <row r="2062" ht="15.75" customHeight="1">
      <c r="A2062" s="24"/>
      <c r="B2062" s="24"/>
      <c r="C2062" s="28"/>
      <c r="D2062" s="28"/>
      <c r="E2062" s="28"/>
      <c r="F2062" s="28"/>
      <c r="G2062" s="28"/>
      <c r="H2062" s="28"/>
      <c r="I2062" s="28"/>
      <c r="J2062" s="28"/>
      <c r="K2062" s="28"/>
      <c r="L2062" s="28"/>
      <c r="M2062" s="28"/>
      <c r="N2062" s="28"/>
      <c r="O2062" s="24"/>
      <c r="P2062" s="24"/>
      <c r="Q2062" s="24"/>
      <c r="R2062" s="24"/>
      <c r="S2062" s="24"/>
      <c r="T2062" s="24"/>
      <c r="U2062" s="24"/>
      <c r="V2062" s="24"/>
      <c r="W2062" s="24"/>
      <c r="X2062" s="24"/>
      <c r="Y2062" s="24"/>
      <c r="Z2062" s="24"/>
      <c r="AA2062" s="24"/>
      <c r="AB2062" s="24"/>
      <c r="AC2062" s="24"/>
      <c r="AD2062" s="24"/>
      <c r="AE2062" s="24"/>
      <c r="AF2062" s="24"/>
      <c r="AG2062" s="24"/>
      <c r="AH2062" s="24"/>
      <c r="AI2062" s="24"/>
      <c r="AJ2062" s="24"/>
      <c r="AK2062" s="24"/>
      <c r="AL2062" s="24"/>
      <c r="AM2062" s="24"/>
      <c r="AN2062" s="24"/>
      <c r="AO2062" s="24"/>
      <c r="AP2062" s="24"/>
      <c r="AQ2062" s="24"/>
      <c r="AR2062" s="24"/>
      <c r="AS2062" s="24"/>
      <c r="AT2062" s="24"/>
      <c r="AU2062" s="24"/>
      <c r="AV2062" s="24"/>
      <c r="AW2062" s="24"/>
      <c r="AX2062" s="24"/>
    </row>
    <row r="2063" ht="15.75" customHeight="1">
      <c r="A2063" s="24"/>
      <c r="B2063" s="24"/>
      <c r="C2063" s="28"/>
      <c r="D2063" s="28"/>
      <c r="E2063" s="28"/>
      <c r="F2063" s="28"/>
      <c r="G2063" s="28"/>
      <c r="H2063" s="28"/>
      <c r="I2063" s="28"/>
      <c r="J2063" s="28"/>
      <c r="K2063" s="28"/>
      <c r="L2063" s="28"/>
      <c r="M2063" s="28"/>
      <c r="N2063" s="28"/>
      <c r="O2063" s="24"/>
      <c r="P2063" s="24"/>
      <c r="Q2063" s="24"/>
      <c r="R2063" s="24"/>
      <c r="S2063" s="24"/>
      <c r="T2063" s="24"/>
      <c r="U2063" s="24"/>
      <c r="V2063" s="24"/>
      <c r="W2063" s="24"/>
      <c r="X2063" s="24"/>
      <c r="Y2063" s="24"/>
      <c r="Z2063" s="24"/>
      <c r="AA2063" s="24"/>
      <c r="AB2063" s="24"/>
      <c r="AC2063" s="24"/>
      <c r="AD2063" s="24"/>
      <c r="AE2063" s="24"/>
      <c r="AF2063" s="24"/>
      <c r="AG2063" s="24"/>
      <c r="AH2063" s="24"/>
      <c r="AI2063" s="24"/>
      <c r="AJ2063" s="24"/>
      <c r="AK2063" s="24"/>
      <c r="AL2063" s="24"/>
      <c r="AM2063" s="24"/>
      <c r="AN2063" s="24"/>
      <c r="AO2063" s="24"/>
      <c r="AP2063" s="24"/>
      <c r="AQ2063" s="24"/>
      <c r="AR2063" s="24"/>
      <c r="AS2063" s="24"/>
      <c r="AT2063" s="24"/>
      <c r="AU2063" s="24"/>
      <c r="AV2063" s="24"/>
      <c r="AW2063" s="24"/>
      <c r="AX2063" s="24"/>
    </row>
    <row r="2064" ht="15.75" customHeight="1">
      <c r="A2064" s="24"/>
      <c r="B2064" s="24"/>
      <c r="C2064" s="28"/>
      <c r="D2064" s="28"/>
      <c r="E2064" s="28"/>
      <c r="F2064" s="28"/>
      <c r="G2064" s="28"/>
      <c r="H2064" s="28"/>
      <c r="I2064" s="28"/>
      <c r="J2064" s="28"/>
      <c r="K2064" s="28"/>
      <c r="L2064" s="28"/>
      <c r="M2064" s="28"/>
      <c r="N2064" s="28"/>
      <c r="O2064" s="24"/>
      <c r="P2064" s="24"/>
      <c r="Q2064" s="24"/>
      <c r="R2064" s="24"/>
      <c r="S2064" s="24"/>
      <c r="T2064" s="24"/>
      <c r="U2064" s="24"/>
      <c r="V2064" s="24"/>
      <c r="W2064" s="24"/>
      <c r="X2064" s="24"/>
      <c r="Y2064" s="24"/>
      <c r="Z2064" s="24"/>
      <c r="AA2064" s="24"/>
      <c r="AB2064" s="24"/>
      <c r="AC2064" s="24"/>
      <c r="AD2064" s="24"/>
      <c r="AE2064" s="24"/>
      <c r="AF2064" s="24"/>
      <c r="AG2064" s="24"/>
      <c r="AH2064" s="24"/>
      <c r="AI2064" s="24"/>
      <c r="AJ2064" s="24"/>
      <c r="AK2064" s="24"/>
      <c r="AL2064" s="24"/>
      <c r="AM2064" s="24"/>
      <c r="AN2064" s="24"/>
      <c r="AO2064" s="24"/>
      <c r="AP2064" s="24"/>
      <c r="AQ2064" s="24"/>
      <c r="AR2064" s="24"/>
      <c r="AS2064" s="24"/>
      <c r="AT2064" s="24"/>
      <c r="AU2064" s="24"/>
      <c r="AV2064" s="24"/>
      <c r="AW2064" s="24"/>
      <c r="AX2064" s="24"/>
    </row>
    <row r="2065" ht="15.75" customHeight="1">
      <c r="A2065" s="24"/>
      <c r="B2065" s="24"/>
      <c r="C2065" s="28"/>
      <c r="D2065" s="28"/>
      <c r="E2065" s="28"/>
      <c r="F2065" s="28"/>
      <c r="G2065" s="28"/>
      <c r="H2065" s="28"/>
      <c r="I2065" s="28"/>
      <c r="J2065" s="28"/>
      <c r="K2065" s="28"/>
      <c r="L2065" s="28"/>
      <c r="M2065" s="28"/>
      <c r="N2065" s="28"/>
      <c r="O2065" s="24"/>
      <c r="P2065" s="24"/>
      <c r="Q2065" s="24"/>
      <c r="R2065" s="24"/>
      <c r="S2065" s="24"/>
      <c r="T2065" s="24"/>
      <c r="U2065" s="24"/>
      <c r="V2065" s="24"/>
      <c r="W2065" s="24"/>
      <c r="X2065" s="24"/>
      <c r="Y2065" s="24"/>
      <c r="Z2065" s="24"/>
      <c r="AA2065" s="24"/>
      <c r="AB2065" s="24"/>
      <c r="AC2065" s="24"/>
      <c r="AD2065" s="24"/>
      <c r="AE2065" s="24"/>
      <c r="AF2065" s="24"/>
      <c r="AG2065" s="24"/>
      <c r="AH2065" s="24"/>
      <c r="AI2065" s="24"/>
      <c r="AJ2065" s="24"/>
      <c r="AK2065" s="24"/>
      <c r="AL2065" s="24"/>
      <c r="AM2065" s="24"/>
      <c r="AN2065" s="24"/>
      <c r="AO2065" s="24"/>
      <c r="AP2065" s="24"/>
      <c r="AQ2065" s="24"/>
      <c r="AR2065" s="24"/>
      <c r="AS2065" s="24"/>
      <c r="AT2065" s="24"/>
      <c r="AU2065" s="24"/>
      <c r="AV2065" s="24"/>
      <c r="AW2065" s="24"/>
      <c r="AX2065" s="24"/>
    </row>
    <row r="2066" ht="15.75" customHeight="1">
      <c r="A2066" s="24"/>
      <c r="B2066" s="24"/>
      <c r="C2066" s="28"/>
      <c r="D2066" s="28"/>
      <c r="E2066" s="28"/>
      <c r="F2066" s="28"/>
      <c r="G2066" s="28"/>
      <c r="H2066" s="28"/>
      <c r="I2066" s="28"/>
      <c r="J2066" s="28"/>
      <c r="K2066" s="28"/>
      <c r="L2066" s="28"/>
      <c r="M2066" s="28"/>
      <c r="N2066" s="28"/>
      <c r="O2066" s="24"/>
      <c r="P2066" s="24"/>
      <c r="Q2066" s="24"/>
      <c r="R2066" s="24"/>
      <c r="S2066" s="24"/>
      <c r="T2066" s="24"/>
      <c r="U2066" s="24"/>
      <c r="V2066" s="24"/>
      <c r="W2066" s="24"/>
      <c r="X2066" s="24"/>
      <c r="Y2066" s="24"/>
      <c r="Z2066" s="24"/>
      <c r="AA2066" s="24"/>
      <c r="AB2066" s="24"/>
      <c r="AC2066" s="24"/>
      <c r="AD2066" s="24"/>
      <c r="AE2066" s="24"/>
      <c r="AF2066" s="24"/>
      <c r="AG2066" s="24"/>
      <c r="AH2066" s="24"/>
      <c r="AI2066" s="24"/>
      <c r="AJ2066" s="24"/>
      <c r="AK2066" s="24"/>
      <c r="AL2066" s="24"/>
      <c r="AM2066" s="24"/>
      <c r="AN2066" s="24"/>
      <c r="AO2066" s="24"/>
      <c r="AP2066" s="24"/>
      <c r="AQ2066" s="24"/>
      <c r="AR2066" s="24"/>
      <c r="AS2066" s="24"/>
      <c r="AT2066" s="24"/>
      <c r="AU2066" s="24"/>
      <c r="AV2066" s="24"/>
      <c r="AW2066" s="24"/>
      <c r="AX2066" s="24"/>
    </row>
    <row r="2067" ht="15.75" customHeight="1">
      <c r="A2067" s="24"/>
      <c r="B2067" s="24"/>
      <c r="C2067" s="28"/>
      <c r="D2067" s="28"/>
      <c r="E2067" s="28"/>
      <c r="F2067" s="28"/>
      <c r="G2067" s="28"/>
      <c r="H2067" s="28"/>
      <c r="I2067" s="28"/>
      <c r="J2067" s="28"/>
      <c r="K2067" s="28"/>
      <c r="L2067" s="28"/>
      <c r="M2067" s="28"/>
      <c r="N2067" s="28"/>
      <c r="O2067" s="24"/>
      <c r="P2067" s="24"/>
      <c r="Q2067" s="24"/>
      <c r="R2067" s="24"/>
      <c r="S2067" s="24"/>
      <c r="T2067" s="24"/>
      <c r="U2067" s="24"/>
      <c r="V2067" s="24"/>
      <c r="W2067" s="24"/>
      <c r="X2067" s="24"/>
      <c r="Y2067" s="24"/>
      <c r="Z2067" s="24"/>
      <c r="AA2067" s="24"/>
      <c r="AB2067" s="24"/>
      <c r="AC2067" s="24"/>
      <c r="AD2067" s="24"/>
      <c r="AE2067" s="24"/>
      <c r="AF2067" s="24"/>
      <c r="AG2067" s="24"/>
      <c r="AH2067" s="24"/>
      <c r="AI2067" s="24"/>
      <c r="AJ2067" s="24"/>
      <c r="AK2067" s="24"/>
      <c r="AL2067" s="24"/>
      <c r="AM2067" s="24"/>
      <c r="AN2067" s="24"/>
      <c r="AO2067" s="24"/>
      <c r="AP2067" s="24"/>
      <c r="AQ2067" s="24"/>
      <c r="AR2067" s="24"/>
      <c r="AS2067" s="24"/>
      <c r="AT2067" s="24"/>
      <c r="AU2067" s="24"/>
      <c r="AV2067" s="24"/>
      <c r="AW2067" s="24"/>
      <c r="AX2067" s="24"/>
    </row>
    <row r="2068" ht="15.75" customHeight="1">
      <c r="A2068" s="24"/>
      <c r="B2068" s="24"/>
      <c r="C2068" s="28"/>
      <c r="D2068" s="28"/>
      <c r="E2068" s="28"/>
      <c r="F2068" s="28"/>
      <c r="G2068" s="28"/>
      <c r="H2068" s="28"/>
      <c r="I2068" s="28"/>
      <c r="J2068" s="28"/>
      <c r="K2068" s="28"/>
      <c r="L2068" s="28"/>
      <c r="M2068" s="28"/>
      <c r="N2068" s="28"/>
      <c r="O2068" s="24"/>
      <c r="P2068" s="24"/>
      <c r="Q2068" s="24"/>
      <c r="R2068" s="24"/>
      <c r="S2068" s="24"/>
      <c r="T2068" s="24"/>
      <c r="U2068" s="24"/>
      <c r="V2068" s="24"/>
      <c r="W2068" s="24"/>
      <c r="X2068" s="24"/>
      <c r="Y2068" s="24"/>
      <c r="Z2068" s="24"/>
      <c r="AA2068" s="24"/>
      <c r="AB2068" s="24"/>
      <c r="AC2068" s="24"/>
      <c r="AD2068" s="24"/>
      <c r="AE2068" s="24"/>
      <c r="AF2068" s="24"/>
      <c r="AG2068" s="24"/>
      <c r="AH2068" s="24"/>
      <c r="AI2068" s="24"/>
      <c r="AJ2068" s="24"/>
      <c r="AK2068" s="24"/>
      <c r="AL2068" s="24"/>
      <c r="AM2068" s="24"/>
      <c r="AN2068" s="24"/>
      <c r="AO2068" s="24"/>
      <c r="AP2068" s="24"/>
      <c r="AQ2068" s="24"/>
      <c r="AR2068" s="24"/>
      <c r="AS2068" s="24"/>
      <c r="AT2068" s="24"/>
      <c r="AU2068" s="24"/>
      <c r="AV2068" s="24"/>
      <c r="AW2068" s="24"/>
      <c r="AX2068" s="24"/>
    </row>
    <row r="2069" ht="15.75" customHeight="1">
      <c r="A2069" s="24"/>
      <c r="B2069" s="24"/>
      <c r="C2069" s="28"/>
      <c r="D2069" s="28"/>
      <c r="E2069" s="28"/>
      <c r="F2069" s="28"/>
      <c r="G2069" s="28"/>
      <c r="H2069" s="28"/>
      <c r="I2069" s="28"/>
      <c r="J2069" s="28"/>
      <c r="K2069" s="28"/>
      <c r="L2069" s="28"/>
      <c r="M2069" s="28"/>
      <c r="N2069" s="28"/>
      <c r="O2069" s="24"/>
      <c r="P2069" s="24"/>
      <c r="Q2069" s="24"/>
      <c r="R2069" s="24"/>
      <c r="S2069" s="24"/>
      <c r="T2069" s="24"/>
      <c r="U2069" s="24"/>
      <c r="V2069" s="24"/>
      <c r="W2069" s="24"/>
      <c r="X2069" s="24"/>
      <c r="Y2069" s="24"/>
      <c r="Z2069" s="24"/>
      <c r="AA2069" s="24"/>
      <c r="AB2069" s="24"/>
      <c r="AC2069" s="24"/>
      <c r="AD2069" s="24"/>
      <c r="AE2069" s="24"/>
      <c r="AF2069" s="24"/>
      <c r="AG2069" s="24"/>
      <c r="AH2069" s="24"/>
      <c r="AI2069" s="24"/>
      <c r="AJ2069" s="24"/>
      <c r="AK2069" s="24"/>
      <c r="AL2069" s="24"/>
      <c r="AM2069" s="24"/>
      <c r="AN2069" s="24"/>
      <c r="AO2069" s="24"/>
      <c r="AP2069" s="24"/>
      <c r="AQ2069" s="24"/>
      <c r="AR2069" s="24"/>
      <c r="AS2069" s="24"/>
      <c r="AT2069" s="24"/>
      <c r="AU2069" s="24"/>
      <c r="AV2069" s="24"/>
      <c r="AW2069" s="24"/>
      <c r="AX2069" s="24"/>
    </row>
    <row r="2070" ht="15.75" customHeight="1">
      <c r="A2070" s="24"/>
      <c r="B2070" s="24"/>
      <c r="C2070" s="28"/>
      <c r="D2070" s="28"/>
      <c r="E2070" s="28"/>
      <c r="F2070" s="28"/>
      <c r="G2070" s="28"/>
      <c r="H2070" s="28"/>
      <c r="I2070" s="28"/>
      <c r="J2070" s="28"/>
      <c r="K2070" s="28"/>
      <c r="L2070" s="28"/>
      <c r="M2070" s="28"/>
      <c r="N2070" s="28"/>
      <c r="O2070" s="24"/>
      <c r="P2070" s="24"/>
      <c r="Q2070" s="24"/>
      <c r="R2070" s="24"/>
      <c r="S2070" s="24"/>
      <c r="T2070" s="24"/>
      <c r="U2070" s="24"/>
      <c r="V2070" s="24"/>
      <c r="W2070" s="24"/>
      <c r="X2070" s="24"/>
      <c r="Y2070" s="24"/>
      <c r="Z2070" s="24"/>
      <c r="AA2070" s="24"/>
      <c r="AB2070" s="24"/>
      <c r="AC2070" s="24"/>
      <c r="AD2070" s="24"/>
      <c r="AE2070" s="24"/>
      <c r="AF2070" s="24"/>
      <c r="AG2070" s="24"/>
      <c r="AH2070" s="24"/>
      <c r="AI2070" s="24"/>
      <c r="AJ2070" s="24"/>
      <c r="AK2070" s="24"/>
      <c r="AL2070" s="24"/>
      <c r="AM2070" s="24"/>
      <c r="AN2070" s="24"/>
      <c r="AO2070" s="24"/>
      <c r="AP2070" s="24"/>
      <c r="AQ2070" s="24"/>
      <c r="AR2070" s="24"/>
      <c r="AS2070" s="24"/>
      <c r="AT2070" s="24"/>
      <c r="AU2070" s="24"/>
      <c r="AV2070" s="24"/>
      <c r="AW2070" s="24"/>
      <c r="AX2070" s="24"/>
    </row>
    <row r="2071" ht="15.75" customHeight="1">
      <c r="A2071" s="24"/>
      <c r="B2071" s="24"/>
      <c r="C2071" s="28"/>
      <c r="D2071" s="28"/>
      <c r="E2071" s="28"/>
      <c r="F2071" s="28"/>
      <c r="G2071" s="28"/>
      <c r="H2071" s="28"/>
      <c r="I2071" s="28"/>
      <c r="J2071" s="28"/>
      <c r="K2071" s="28"/>
      <c r="L2071" s="28"/>
      <c r="M2071" s="28"/>
      <c r="N2071" s="28"/>
      <c r="O2071" s="24"/>
      <c r="P2071" s="24"/>
      <c r="Q2071" s="24"/>
      <c r="R2071" s="24"/>
      <c r="S2071" s="24"/>
      <c r="T2071" s="24"/>
      <c r="U2071" s="24"/>
      <c r="V2071" s="24"/>
      <c r="W2071" s="24"/>
      <c r="X2071" s="24"/>
      <c r="Y2071" s="24"/>
      <c r="Z2071" s="24"/>
      <c r="AA2071" s="24"/>
      <c r="AB2071" s="24"/>
      <c r="AC2071" s="24"/>
      <c r="AD2071" s="24"/>
      <c r="AE2071" s="24"/>
      <c r="AF2071" s="24"/>
      <c r="AG2071" s="24"/>
      <c r="AH2071" s="24"/>
      <c r="AI2071" s="24"/>
      <c r="AJ2071" s="24"/>
      <c r="AK2071" s="24"/>
      <c r="AL2071" s="24"/>
      <c r="AM2071" s="24"/>
      <c r="AN2071" s="24"/>
      <c r="AO2071" s="24"/>
      <c r="AP2071" s="24"/>
      <c r="AQ2071" s="24"/>
      <c r="AR2071" s="24"/>
      <c r="AS2071" s="24"/>
      <c r="AT2071" s="24"/>
      <c r="AU2071" s="24"/>
      <c r="AV2071" s="24"/>
      <c r="AW2071" s="24"/>
      <c r="AX2071" s="24"/>
    </row>
    <row r="2072" ht="15.75" customHeight="1">
      <c r="A2072" s="24"/>
      <c r="B2072" s="24"/>
      <c r="C2072" s="28"/>
      <c r="D2072" s="28"/>
      <c r="E2072" s="28"/>
      <c r="F2072" s="28"/>
      <c r="G2072" s="28"/>
      <c r="H2072" s="28"/>
      <c r="I2072" s="28"/>
      <c r="J2072" s="28"/>
      <c r="K2072" s="28"/>
      <c r="L2072" s="28"/>
      <c r="M2072" s="28"/>
      <c r="N2072" s="28"/>
      <c r="O2072" s="24"/>
      <c r="P2072" s="24"/>
      <c r="Q2072" s="24"/>
      <c r="R2072" s="24"/>
      <c r="S2072" s="24"/>
      <c r="T2072" s="24"/>
      <c r="U2072" s="24"/>
      <c r="V2072" s="24"/>
      <c r="W2072" s="24"/>
      <c r="X2072" s="24"/>
      <c r="Y2072" s="24"/>
      <c r="Z2072" s="24"/>
      <c r="AA2072" s="24"/>
      <c r="AB2072" s="24"/>
      <c r="AC2072" s="24"/>
      <c r="AD2072" s="24"/>
      <c r="AE2072" s="24"/>
      <c r="AF2072" s="24"/>
      <c r="AG2072" s="24"/>
      <c r="AH2072" s="24"/>
      <c r="AI2072" s="24"/>
      <c r="AJ2072" s="24"/>
      <c r="AK2072" s="24"/>
      <c r="AL2072" s="24"/>
      <c r="AM2072" s="24"/>
      <c r="AN2072" s="24"/>
      <c r="AO2072" s="24"/>
      <c r="AP2072" s="24"/>
      <c r="AQ2072" s="24"/>
      <c r="AR2072" s="24"/>
      <c r="AS2072" s="24"/>
      <c r="AT2072" s="24"/>
      <c r="AU2072" s="24"/>
      <c r="AV2072" s="24"/>
      <c r="AW2072" s="24"/>
      <c r="AX2072" s="24"/>
    </row>
  </sheetData>
  <autoFilter ref="$A$1:$A$2072"/>
  <conditionalFormatting sqref="T34">
    <cfRule type="expression" dxfId="1" priority="1" stopIfTrue="1">
      <formula>$A33="begin repeat"</formula>
    </cfRule>
  </conditionalFormatting>
  <conditionalFormatting sqref="T31">
    <cfRule type="expression" dxfId="1" priority="2" stopIfTrue="1">
      <formula>$A30="begin repeat"</formula>
    </cfRule>
  </conditionalFormatting>
  <conditionalFormatting sqref="T37">
    <cfRule type="expression" dxfId="1" priority="3" stopIfTrue="1">
      <formula>$A36="begin repeat"</formula>
    </cfRule>
  </conditionalFormatting>
  <conditionalFormatting sqref="F993:G995 C1022:N1022 C1050:N1050 C1075:N1075">
    <cfRule type="expression" dxfId="36" priority="4">
      <formula>NOT($A993=$A992)</formula>
    </cfRule>
  </conditionalFormatting>
  <conditionalFormatting sqref="B1:C2072 D1:I2072 J1:J2072 K1:L2072 M1:N2072 O1:O316 T21 T134 T170:T209 T231:T270 T317 O318:O324 T325 O326:O894 T331:T333 O896:O1007 O1009:O2072 A1257">
    <cfRule type="expression" dxfId="0" priority="5" stopIfTrue="1">
      <formula>$A1="begin group"</formula>
    </cfRule>
  </conditionalFormatting>
  <conditionalFormatting sqref="B1:C2072 D1:L2072 M1:N2072 O1:O316 U1:U29 T21 U31:U32 U34:U35 U37:U1058 T40 T134 T145 T149 T170:T209 T231:T270 T317 O318:O324 T325 O326:O894 T331:T333 O896:O1007 O1009:O2072 T1059 U1060:U2072 A1257">
    <cfRule type="expression" dxfId="1" priority="6" stopIfTrue="1">
      <formula>$A1="begin repeat"</formula>
    </cfRule>
  </conditionalFormatting>
  <conditionalFormatting sqref="B1:F2072 G1:I2072 J1:J89 K1:N2072 T21 O90 J91:J2072 T134 T170:T209 T231:T270 T331:T333 O1200:O1206 A1257">
    <cfRule type="expression" dxfId="31" priority="7" stopIfTrue="1">
      <formula>$A1="enumerator"</formula>
    </cfRule>
  </conditionalFormatting>
  <conditionalFormatting sqref="B1:F2072 G1:I2072 J1:J89 K1:N2072 T21 O90 J91:J2072 T134 T170:T209 T231:T270 T331:T333 O1200:O1206 A1257">
    <cfRule type="expression" dxfId="2" priority="8" stopIfTrue="1">
      <formula>$A1="text"</formula>
    </cfRule>
  </conditionalFormatting>
  <conditionalFormatting sqref="B1:F2072 G1:I2072 J1:J89 K1:L2072 M1:N2072 T21 O90 J91:J2072 T134 T170:T209 T231:T270 T331:T333 O895:O896 O1008 O1200:O1206 A1257">
    <cfRule type="expression" dxfId="3" priority="9" stopIfTrue="1">
      <formula>$A1="integer"</formula>
    </cfRule>
  </conditionalFormatting>
  <conditionalFormatting sqref="B1:F2072 G1:I2072 J1:J89 K1:L2072 M1:N2072 T21 O90 J91:J2072 T134 T170:T209 T231:T270 T331:T333 O895:O896 O1008 O1200:O1206 A1257">
    <cfRule type="expression" dxfId="4" priority="10" stopIfTrue="1">
      <formula>$A1="decimal"</formula>
    </cfRule>
  </conditionalFormatting>
  <conditionalFormatting sqref="B1:C2072 D1:I2072 J1:J89 K1:N2072 T21 O90 J91:J2072 T134 T170:T209 T231:T270 T331:T333 O1200:O1206 A1257">
    <cfRule type="expression" dxfId="5" priority="11" stopIfTrue="1">
      <formula>OR(AND(LEFT($A1, 16)="select_multiple ", LEN($A1)&gt;16, NOT(ISNUMBER(SEARCH(" ", $A1, 17)))), AND(LEFT($A1, 11)="select_one ", LEN($A1)&gt;11, NOT(ISNUMBER(SEARCH(" ", $A1, 12)))))</formula>
    </cfRule>
  </conditionalFormatting>
  <conditionalFormatting sqref="B1:B314 C1:I1 J1:J89 K1:N1 T21 I89 O90 J91:J2072 T134 T170:T209 T231:T270 C315:I315 K315:N315 B316:B2072 C323:I323 K323:N323 T331:T333 C378:I389 K378:N389 C391:I396 K391:N396 C803:I803 K803:N803 O1200:O1206 A1257 C1322:I1335 K1322:N1335 C1337:I1342 K1337:N1342 C1458:I1458 K1458:N1458 C1466:I1466 K1466:N1466 C1520:I1531 K1520:N1531 C1533:I1538 K1533:N1538">
    <cfRule type="expression" dxfId="6" priority="12" stopIfTrue="1">
      <formula>OR($A1="audio audit", $A1="text audit", $A1="speed violations count", $A1="speed violations list", $A1="speed violations audit")</formula>
    </cfRule>
  </conditionalFormatting>
  <conditionalFormatting sqref="B1:C2072 D1:I2072 J1:J89 K1:N2072 T21 O90 J91:J2072 T134 T170:T209 T231:T270 T331:T333 O1200:O1206 A1257">
    <cfRule type="expression" dxfId="32" priority="13" stopIfTrue="1">
      <formula>$A1="file"</formula>
    </cfRule>
  </conditionalFormatting>
  <conditionalFormatting sqref="B1:C2072 D1:I2072 J1:J89 K1:N2072 T21 O90 J91:J2072 T134 T170:T209 T231:T270 T331:T333 O1200:O1206 A1257">
    <cfRule type="expression" dxfId="7" priority="14" stopIfTrue="1">
      <formula>$A1="note"</formula>
    </cfRule>
  </conditionalFormatting>
  <conditionalFormatting sqref="B1:C2072 D1:I2072 J1:J89 K1:N2072 T21 O90 J91:J2072 T134 T170:T209 T231:T270 T331:T333 O1200:O1206 A1257">
    <cfRule type="expression" dxfId="8" priority="15" stopIfTrue="1">
      <formula>$A1="barcode"</formula>
    </cfRule>
  </conditionalFormatting>
  <conditionalFormatting sqref="B1:C2072 D1:I2072 J1:J89 K1:N2072 T21 O90 J91:J2072 T134 T170:T209 T231:T270 T331:T333 O1200:O1206 A1257">
    <cfRule type="expression" dxfId="9" priority="16" stopIfTrue="1">
      <formula>OR($A1="geopoint", $A1="geoshape", $A1="geotrace")</formula>
    </cfRule>
  </conditionalFormatting>
  <conditionalFormatting sqref="B1:B314 C1:N1 T1:T316 J115:J123 C315:N315 B316:B2072 T318:T324 C323:N323 T326:T2072 C378:N389 C391:N396 C803:N803 U1059 O1200:O1206 A1257 C1322:N1335 U1325 C1337:N1342 C1458:N1458 C1466:N1466 C1520:N1531 C1533:N1538">
    <cfRule type="expression" dxfId="10" priority="17" stopIfTrue="1">
      <formula>OR($A1="calculate", $A1="calculate_here")</formula>
    </cfRule>
  </conditionalFormatting>
  <conditionalFormatting sqref="B1:C2072 D1:I2072 J1:J89 K1:N2072 T21 O90 J91:J2072 T134 T170:T209 T231:T270 T331:T333 O1200:O1206 A1257">
    <cfRule type="expression" dxfId="11" priority="18" stopIfTrue="1">
      <formula>OR($A1="date", $A1="datetime", $A1="time")</formula>
    </cfRule>
  </conditionalFormatting>
  <conditionalFormatting sqref="B1:C2072 D1:I2072 J1:J89 K1:N2072 T21 O90 J91:J2072 T134 T170:T209 T231:T270 T331:T333 O1200:O1206 A1257">
    <cfRule type="expression" dxfId="12" priority="19" stopIfTrue="1">
      <formula>$A1="image"</formula>
    </cfRule>
  </conditionalFormatting>
  <conditionalFormatting sqref="B1:C2072 D1:I2072 J1:J89 K1:N2072 T21 O90 J91:J2072 T134 T170:T209 T231:T270 T331:T333 O1200:O1206 A1257">
    <cfRule type="expression" dxfId="13" priority="20" stopIfTrue="1">
      <formula>OR($A1="audio", $A1="video")</formula>
    </cfRule>
  </conditionalFormatting>
  <conditionalFormatting sqref="A1:AC2072 AD64:AX65">
    <cfRule type="expression" dxfId="33" priority="21" stopIfTrue="1">
      <formula>$A1="file"</formula>
    </cfRule>
  </conditionalFormatting>
  <conditionalFormatting sqref="A1:AC2072 AD64:AX65">
    <cfRule type="expression" dxfId="34" priority="22" stopIfTrue="1">
      <formula>$A1="enumerator"</formula>
    </cfRule>
  </conditionalFormatting>
  <conditionalFormatting sqref="A1:AC2072 AD64:AX65">
    <cfRule type="expression" dxfId="35" priority="23" stopIfTrue="1">
      <formula>OR(AND(LEFT($A1, 14)="sensor_stream ", LEN($A1)&gt;14, NOT(ISNUMBER(SEARCH(" ", $A1, 15)))), AND(LEFT($A1, 17)="sensor_statistic ", LEN($A1)&gt;17, NOT(ISNUMBER(SEARCH(" ", $A1, 18)))))</formula>
    </cfRule>
  </conditionalFormatting>
  <conditionalFormatting sqref="A1:AC2072 AD64:AX65">
    <cfRule type="expression" dxfId="14" priority="24" stopIfTrue="1">
      <formula>$A1="comments"</formula>
    </cfRule>
  </conditionalFormatting>
  <conditionalFormatting sqref="A1:AC2072 AD64:AX65">
    <cfRule type="expression" dxfId="15" priority="25" stopIfTrue="1">
      <formula>OR($A1="audio", $A1="video")</formula>
    </cfRule>
  </conditionalFormatting>
  <conditionalFormatting sqref="A1:AC2072 AD64:AX65">
    <cfRule type="expression" dxfId="16" priority="26" stopIfTrue="1">
      <formula>$A1="image"</formula>
    </cfRule>
  </conditionalFormatting>
  <conditionalFormatting sqref="A1:AC2072 AD64:AX65">
    <cfRule type="expression" dxfId="17" priority="27" stopIfTrue="1">
      <formula>OR($A1="date", $A1="datetime", $A1="time")</formula>
    </cfRule>
  </conditionalFormatting>
  <conditionalFormatting sqref="A1:AC2072 AD64:AX65">
    <cfRule type="expression" dxfId="18" priority="28" stopIfTrue="1">
      <formula>OR($A1="calculate", $A1="calculate_here")</formula>
    </cfRule>
  </conditionalFormatting>
  <conditionalFormatting sqref="A1:AC2072 AD64:AX65">
    <cfRule type="expression" dxfId="19" priority="29" stopIfTrue="1">
      <formula>$A1="note"</formula>
    </cfRule>
  </conditionalFormatting>
  <conditionalFormatting sqref="A1:AC2072 AD64:AX65">
    <cfRule type="expression" dxfId="20" priority="30" stopIfTrue="1">
      <formula>$A1="barcode"</formula>
    </cfRule>
  </conditionalFormatting>
  <conditionalFormatting sqref="A1:AC2072 AD64:AX65">
    <cfRule type="expression" dxfId="21" priority="31" stopIfTrue="1">
      <formula>OR($A1="geopoint", $A1="geoshape", $A1="geotrace")</formula>
    </cfRule>
  </conditionalFormatting>
  <conditionalFormatting sqref="A1:AC2072 AD64:AX65">
    <cfRule type="expression" dxfId="22" priority="32" stopIfTrue="1">
      <formula>OR($A1="audio audit", $A1="text audit", $A1="speed violations count", $A1="speed violations list", $A1="speed violations audit")</formula>
    </cfRule>
  </conditionalFormatting>
  <conditionalFormatting sqref="A1:AC2072 AD64:AX65">
    <cfRule type="expression" dxfId="23" priority="33" stopIfTrue="1">
      <formula>OR($A1="username", $A1="phonenumber", $A1="start", $A1="end", $A1="deviceid", $A1="subscriberid", $A1="simserial", $A1="caseid")</formula>
    </cfRule>
  </conditionalFormatting>
  <conditionalFormatting sqref="A1:AC2072 AD64:AX65">
    <cfRule type="expression" dxfId="24" priority="34" stopIfTrue="1">
      <formula>OR(AND(LEFT($A1, 16)="select_multiple ", LEN($A1)&gt;16, NOT(ISNUMBER(SEARCH(" ", $A1, 17)))), AND(LEFT($A1, 11)="select_one ", LEN($A1)&gt;11, NOT(ISNUMBER(SEARCH(" ", $A1, 12)))))</formula>
    </cfRule>
  </conditionalFormatting>
  <conditionalFormatting sqref="A1:AC2072 AD64:AX65">
    <cfRule type="expression" dxfId="25" priority="35" stopIfTrue="1">
      <formula>$A1="decimal"</formula>
    </cfRule>
  </conditionalFormatting>
  <conditionalFormatting sqref="A1:AC2072 AD64:AX65">
    <cfRule type="expression" dxfId="26" priority="36" stopIfTrue="1">
      <formula>$A1="integer"</formula>
    </cfRule>
  </conditionalFormatting>
  <conditionalFormatting sqref="A1:AC2072 AD64:AX65">
    <cfRule type="expression" dxfId="27" priority="37" stopIfTrue="1">
      <formula>$A1="text"</formula>
    </cfRule>
  </conditionalFormatting>
  <conditionalFormatting sqref="A1:AC2072 AD64:AX65">
    <cfRule type="expression" dxfId="28" priority="38" stopIfTrue="1">
      <formula>$A1="end repeat"</formula>
    </cfRule>
  </conditionalFormatting>
  <conditionalFormatting sqref="A1:AC2072 AD64:AX65">
    <cfRule type="expression" dxfId="28" priority="39" stopIfTrue="1">
      <formula>$A1="begin repeat"</formula>
    </cfRule>
  </conditionalFormatting>
  <conditionalFormatting sqref="A1:AC2072 AD64:AX65">
    <cfRule type="expression" dxfId="29" priority="40" stopIfTrue="1">
      <formula>$A1="end group"</formula>
    </cfRule>
  </conditionalFormatting>
  <conditionalFormatting sqref="A1:AC2072 AD64:AX65">
    <cfRule type="expression" dxfId="29" priority="41" stopIfTrue="1">
      <formula>$A1="begin group"</formula>
    </cfRule>
  </conditionalFormatting>
  <conditionalFormatting sqref="B1:B314 C1:N1 T21 J115:J123 T134 T170:T209 T231:T270 C315:N315 B316:B2072 C323:N323 T331:T333 C378:N389 C391:N396 C803:N803 O1200:O1206 A1257 C1322:N1335 C1337:N1342 C1458:N1458 C1466:N1466 C1520:N1531 C1533:N1538">
    <cfRule type="expression" dxfId="30" priority="42" stopIfTrue="1">
      <formula>$A1="comments"</formula>
    </cfRule>
  </conditionalFormatting>
  <conditionalFormatting sqref="B1:B314 C1:I1 J1:J89 K1:N1 T21 I89 O90 J91:J2072 T134 T170:T209 T231:T270 C315:I315 K315:N315 B316:B2072 C323:I323 K323:N323 T331:T333 C378:I389 K378:N389 C391:I396 K391:N396 C803:I803 K803:N803 O1200:O1206 A1257 C1322:I1335 K1322:N1335 C1337:I1342 K1337:N1342 C1458:I1458 K1458:N1458 C1466:I1466 K1466:N1466 C1520:I1531 K1520:N1531 C1533:I1538 K1533:N1538">
    <cfRule type="expression" dxfId="37" priority="43" stopIfTrue="1">
      <formula>OR(AND(LEFT($A1, 14)="sensor_stream ", LEN($A1)&gt;14, NOT(ISNUMBER(SEARCH(" ", $A1, 15)))), AND(LEFT($A1, 17)="sensor_statistic ", LEN($A1)&gt;17, NOT(ISNUMBER(SEARCH(" ", $A1, 18)))))</formula>
    </cfRule>
  </conditionalFormatting>
  <printOptions/>
  <pageMargins bottom="0.9840277777777777" footer="0.0" header="0.0" left="0.7479166666666667" right="0.7479166666666667" top="0.9840277777777777"/>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1.22" defaultRowHeight="15.0"/>
  <cols>
    <col customWidth="1" min="1" max="1" width="15.44"/>
    <col customWidth="1" min="2" max="2" width="14.44"/>
    <col customWidth="1" min="3" max="3" width="39.67"/>
    <col customWidth="1" min="4" max="4" width="21.89"/>
    <col customWidth="1" min="5" max="5" width="21.78"/>
    <col customWidth="1" min="6" max="32" width="10.78"/>
  </cols>
  <sheetData>
    <row r="1" ht="18.0" customHeight="1">
      <c r="A1" s="1" t="s">
        <v>0</v>
      </c>
      <c r="B1" s="10" t="s">
        <v>3</v>
      </c>
      <c r="C1" s="13" t="s">
        <v>8</v>
      </c>
      <c r="D1" s="15" t="s">
        <v>10</v>
      </c>
      <c r="E1" s="15" t="s">
        <v>12</v>
      </c>
      <c r="F1" s="15" t="s">
        <v>23</v>
      </c>
      <c r="G1" s="10" t="s">
        <v>26</v>
      </c>
      <c r="H1" s="16" t="s">
        <v>29</v>
      </c>
      <c r="I1" s="17" t="s">
        <v>33</v>
      </c>
      <c r="J1" s="17" t="s">
        <v>37</v>
      </c>
      <c r="K1" s="19"/>
      <c r="L1" s="19"/>
      <c r="M1" s="19"/>
      <c r="N1" s="19"/>
      <c r="O1" s="19"/>
      <c r="P1" s="19"/>
      <c r="Q1" s="19"/>
      <c r="R1" s="19"/>
      <c r="S1" s="19"/>
      <c r="T1" s="19"/>
      <c r="U1" s="19"/>
      <c r="V1" s="19"/>
      <c r="W1" s="19"/>
      <c r="X1" s="19"/>
      <c r="Y1" s="19"/>
      <c r="Z1" s="19"/>
      <c r="AA1" s="19"/>
      <c r="AB1" s="19"/>
      <c r="AC1" s="19"/>
      <c r="AD1" s="19"/>
      <c r="AE1" s="19"/>
      <c r="AF1" s="19"/>
    </row>
    <row r="2" ht="15.75" customHeight="1">
      <c r="A2" s="23" t="s">
        <v>45</v>
      </c>
      <c r="B2" s="25">
        <v>1.0</v>
      </c>
      <c r="C2" s="29" t="s">
        <v>49</v>
      </c>
      <c r="D2" s="31" t="s">
        <v>51</v>
      </c>
      <c r="E2" s="31" t="s">
        <v>53</v>
      </c>
      <c r="F2" s="29"/>
      <c r="G2" s="29"/>
      <c r="H2" s="33"/>
      <c r="I2" s="33"/>
      <c r="J2" s="33"/>
      <c r="K2" s="33"/>
      <c r="L2" s="33"/>
      <c r="M2" s="33"/>
      <c r="N2" s="33"/>
      <c r="O2" s="33"/>
      <c r="P2" s="33"/>
      <c r="Q2" s="33"/>
      <c r="R2" s="33"/>
      <c r="S2" s="33"/>
      <c r="T2" s="33"/>
      <c r="U2" s="33"/>
      <c r="V2" s="33"/>
      <c r="W2" s="33"/>
      <c r="X2" s="33"/>
      <c r="Y2" s="33"/>
      <c r="Z2" s="33"/>
      <c r="AA2" s="33"/>
      <c r="AB2" s="33"/>
      <c r="AC2" s="33"/>
      <c r="AD2" s="33"/>
      <c r="AE2" s="33"/>
      <c r="AF2" s="33"/>
    </row>
    <row r="3" ht="15.75" customHeight="1">
      <c r="A3" s="34" t="s">
        <v>45</v>
      </c>
      <c r="B3" s="35">
        <v>0.0</v>
      </c>
      <c r="C3" s="36" t="s">
        <v>55</v>
      </c>
      <c r="D3" s="37" t="s">
        <v>57</v>
      </c>
      <c r="E3" s="37" t="s">
        <v>58</v>
      </c>
      <c r="F3" s="36"/>
      <c r="G3" s="36"/>
      <c r="H3" s="19"/>
      <c r="I3" s="19"/>
      <c r="J3" s="19"/>
      <c r="K3" s="19"/>
      <c r="L3" s="19"/>
      <c r="M3" s="19"/>
      <c r="N3" s="19"/>
      <c r="O3" s="19"/>
      <c r="P3" s="19"/>
      <c r="Q3" s="19"/>
      <c r="R3" s="19"/>
      <c r="S3" s="19"/>
      <c r="T3" s="19"/>
      <c r="U3" s="19"/>
      <c r="V3" s="19"/>
      <c r="W3" s="19"/>
      <c r="X3" s="19"/>
      <c r="Y3" s="19"/>
      <c r="Z3" s="19"/>
      <c r="AA3" s="19"/>
      <c r="AB3" s="19"/>
      <c r="AC3" s="19"/>
      <c r="AD3" s="19"/>
      <c r="AE3" s="19"/>
      <c r="AF3" s="19"/>
    </row>
    <row r="4" ht="15.75" customHeight="1">
      <c r="A4" s="34"/>
      <c r="B4" s="36"/>
      <c r="C4" s="36"/>
      <c r="D4" s="36"/>
      <c r="E4" s="36"/>
      <c r="F4" s="36"/>
      <c r="G4" s="36"/>
      <c r="H4" s="19"/>
      <c r="I4" s="19"/>
      <c r="J4" s="19"/>
      <c r="K4" s="19"/>
      <c r="L4" s="19"/>
      <c r="M4" s="19"/>
      <c r="N4" s="19"/>
      <c r="O4" s="19"/>
      <c r="P4" s="19"/>
      <c r="Q4" s="19"/>
      <c r="R4" s="19"/>
      <c r="S4" s="19"/>
      <c r="T4" s="19"/>
      <c r="U4" s="19"/>
      <c r="V4" s="19"/>
      <c r="W4" s="19"/>
      <c r="X4" s="19"/>
      <c r="Y4" s="19"/>
      <c r="Z4" s="19"/>
      <c r="AA4" s="19"/>
      <c r="AB4" s="19"/>
      <c r="AC4" s="19"/>
      <c r="AD4" s="19"/>
      <c r="AE4" s="19"/>
      <c r="AF4" s="19"/>
    </row>
    <row r="5" ht="15.75" customHeight="1">
      <c r="A5" s="40" t="s">
        <v>61</v>
      </c>
      <c r="B5" s="41">
        <v>3.0</v>
      </c>
      <c r="C5" s="42" t="s">
        <v>64</v>
      </c>
      <c r="D5" s="43" t="s">
        <v>65</v>
      </c>
      <c r="E5" s="43" t="s">
        <v>66</v>
      </c>
      <c r="F5" s="44"/>
      <c r="G5" s="45">
        <v>3.0</v>
      </c>
      <c r="H5" s="44"/>
      <c r="I5" s="44"/>
      <c r="J5" s="44"/>
      <c r="K5" s="44"/>
      <c r="L5" s="44"/>
      <c r="M5" s="44"/>
      <c r="N5" s="44"/>
      <c r="O5" s="44"/>
      <c r="P5" s="44"/>
      <c r="Q5" s="44"/>
      <c r="R5" s="44"/>
      <c r="S5" s="44"/>
      <c r="T5" s="44"/>
      <c r="U5" s="44"/>
      <c r="V5" s="44"/>
      <c r="W5" s="44"/>
      <c r="X5" s="44"/>
      <c r="Y5" s="44"/>
      <c r="Z5" s="44"/>
      <c r="AA5" s="44"/>
      <c r="AB5" s="44"/>
      <c r="AC5" s="44"/>
      <c r="AD5" s="44"/>
      <c r="AE5" s="44"/>
      <c r="AF5" s="44"/>
    </row>
    <row r="6" ht="15.75" customHeight="1">
      <c r="A6" s="23" t="s">
        <v>61</v>
      </c>
      <c r="B6" s="49">
        <v>5.0</v>
      </c>
      <c r="C6" s="50" t="s">
        <v>71</v>
      </c>
      <c r="D6" s="51" t="s">
        <v>72</v>
      </c>
      <c r="E6" s="51" t="s">
        <v>74</v>
      </c>
      <c r="F6" s="33"/>
      <c r="G6" s="52">
        <v>5.0</v>
      </c>
      <c r="H6" s="33"/>
      <c r="I6" s="33"/>
      <c r="J6" s="33"/>
      <c r="K6" s="33"/>
      <c r="L6" s="33"/>
      <c r="M6" s="33"/>
      <c r="N6" s="33"/>
      <c r="O6" s="33"/>
      <c r="P6" s="33"/>
      <c r="Q6" s="33"/>
      <c r="R6" s="33"/>
      <c r="S6" s="33"/>
      <c r="T6" s="33"/>
      <c r="U6" s="33"/>
      <c r="V6" s="33"/>
      <c r="W6" s="33"/>
      <c r="X6" s="33"/>
      <c r="Y6" s="33"/>
      <c r="Z6" s="33"/>
      <c r="AA6" s="33"/>
      <c r="AB6" s="33"/>
      <c r="AC6" s="33"/>
      <c r="AD6" s="33"/>
      <c r="AE6" s="33"/>
      <c r="AF6" s="33"/>
    </row>
    <row r="7" ht="15.75" customHeight="1">
      <c r="A7" s="34"/>
      <c r="B7" s="36"/>
      <c r="C7" s="36"/>
      <c r="D7" s="36"/>
      <c r="E7" s="36"/>
      <c r="F7" s="36"/>
      <c r="G7" s="36"/>
      <c r="H7" s="19"/>
      <c r="I7" s="19"/>
      <c r="J7" s="19"/>
      <c r="K7" s="19"/>
      <c r="L7" s="19"/>
      <c r="M7" s="19"/>
      <c r="N7" s="19"/>
      <c r="O7" s="19"/>
      <c r="P7" s="19"/>
      <c r="Q7" s="19"/>
      <c r="R7" s="19"/>
      <c r="S7" s="19"/>
      <c r="T7" s="19"/>
      <c r="U7" s="19"/>
      <c r="V7" s="19"/>
      <c r="W7" s="19"/>
      <c r="X7" s="19"/>
      <c r="Y7" s="19"/>
      <c r="Z7" s="19"/>
      <c r="AA7" s="19"/>
      <c r="AB7" s="19"/>
      <c r="AC7" s="19"/>
      <c r="AD7" s="19"/>
      <c r="AE7" s="19"/>
      <c r="AF7" s="19"/>
    </row>
    <row r="8" ht="15.75" customHeight="1">
      <c r="A8" s="23" t="s">
        <v>86</v>
      </c>
      <c r="B8" s="25">
        <v>1.0</v>
      </c>
      <c r="C8" s="55" t="s">
        <v>49</v>
      </c>
      <c r="D8" s="56" t="s">
        <v>51</v>
      </c>
      <c r="E8" s="56" t="s">
        <v>53</v>
      </c>
      <c r="F8" s="33"/>
      <c r="G8" s="33"/>
      <c r="H8" s="33"/>
      <c r="I8" s="33"/>
      <c r="J8" s="33"/>
      <c r="K8" s="33"/>
      <c r="L8" s="33"/>
      <c r="M8" s="33"/>
      <c r="N8" s="33"/>
      <c r="O8" s="33"/>
      <c r="P8" s="33"/>
      <c r="Q8" s="33"/>
      <c r="R8" s="33"/>
      <c r="S8" s="33"/>
      <c r="T8" s="33"/>
      <c r="U8" s="33"/>
      <c r="V8" s="33"/>
      <c r="W8" s="33"/>
      <c r="X8" s="33"/>
      <c r="Y8" s="33"/>
      <c r="Z8" s="33"/>
      <c r="AA8" s="33"/>
      <c r="AB8" s="33"/>
      <c r="AC8" s="33"/>
      <c r="AD8" s="33"/>
      <c r="AE8" s="33"/>
      <c r="AF8" s="33"/>
    </row>
    <row r="9" ht="15.75" customHeight="1">
      <c r="A9" s="23" t="s">
        <v>86</v>
      </c>
      <c r="B9" s="25">
        <v>0.0</v>
      </c>
      <c r="C9" s="55" t="s">
        <v>55</v>
      </c>
      <c r="D9" s="56" t="s">
        <v>57</v>
      </c>
      <c r="E9" s="56" t="s">
        <v>105</v>
      </c>
      <c r="F9" s="33"/>
      <c r="G9" s="33"/>
      <c r="H9" s="33"/>
      <c r="I9" s="33"/>
      <c r="J9" s="33"/>
      <c r="K9" s="33"/>
      <c r="L9" s="33"/>
      <c r="M9" s="33"/>
      <c r="N9" s="33"/>
      <c r="O9" s="33"/>
      <c r="P9" s="33"/>
      <c r="Q9" s="33"/>
      <c r="R9" s="33"/>
      <c r="S9" s="33"/>
      <c r="T9" s="33"/>
      <c r="U9" s="33"/>
      <c r="V9" s="33"/>
      <c r="W9" s="33"/>
      <c r="X9" s="33"/>
      <c r="Y9" s="33"/>
      <c r="Z9" s="33"/>
      <c r="AA9" s="33"/>
      <c r="AB9" s="33"/>
      <c r="AC9" s="33"/>
      <c r="AD9" s="33"/>
      <c r="AE9" s="33"/>
      <c r="AF9" s="33"/>
    </row>
    <row r="10" ht="15.75" customHeight="1">
      <c r="A10" s="34" t="s">
        <v>86</v>
      </c>
      <c r="B10" s="35">
        <v>-999.0</v>
      </c>
      <c r="C10" s="56" t="s">
        <v>115</v>
      </c>
      <c r="D10" s="56" t="s">
        <v>117</v>
      </c>
      <c r="E10" s="56" t="s">
        <v>118</v>
      </c>
      <c r="F10" s="19"/>
      <c r="G10" s="19"/>
      <c r="H10" s="19"/>
      <c r="I10" s="19"/>
      <c r="J10" s="19"/>
      <c r="K10" s="19"/>
      <c r="L10" s="19"/>
      <c r="M10" s="19"/>
      <c r="N10" s="19"/>
      <c r="O10" s="19"/>
      <c r="P10" s="19"/>
      <c r="Q10" s="19"/>
      <c r="R10" s="19"/>
      <c r="S10" s="19"/>
      <c r="T10" s="19"/>
      <c r="U10" s="19"/>
      <c r="V10" s="19"/>
      <c r="W10" s="19"/>
      <c r="X10" s="19"/>
      <c r="Y10" s="19"/>
      <c r="Z10" s="19"/>
      <c r="AA10" s="19"/>
      <c r="AB10" s="19"/>
      <c r="AC10" s="19"/>
      <c r="AD10" s="19"/>
      <c r="AE10" s="19"/>
      <c r="AF10" s="19"/>
    </row>
    <row r="11" ht="15.75" customHeight="1">
      <c r="A11" s="34"/>
      <c r="B11" s="36"/>
      <c r="C11" s="36"/>
      <c r="D11" s="36"/>
      <c r="E11" s="36"/>
      <c r="F11" s="36"/>
      <c r="G11" s="36"/>
      <c r="H11" s="19"/>
      <c r="I11" s="19"/>
      <c r="J11" s="19"/>
      <c r="K11" s="19"/>
      <c r="L11" s="19"/>
      <c r="M11" s="19"/>
      <c r="N11" s="19"/>
      <c r="O11" s="19"/>
      <c r="P11" s="19"/>
      <c r="Q11" s="19"/>
      <c r="R11" s="19"/>
      <c r="S11" s="19"/>
      <c r="T11" s="19"/>
      <c r="U11" s="19"/>
      <c r="V11" s="19"/>
      <c r="W11" s="19"/>
      <c r="X11" s="19"/>
      <c r="Y11" s="19"/>
      <c r="Z11" s="19"/>
      <c r="AA11" s="19"/>
      <c r="AB11" s="19"/>
      <c r="AC11" s="19"/>
      <c r="AD11" s="19"/>
      <c r="AE11" s="19"/>
      <c r="AF11" s="19"/>
    </row>
    <row r="12" ht="15.75" customHeight="1">
      <c r="A12" s="63" t="s">
        <v>127</v>
      </c>
      <c r="B12" s="37" t="s">
        <v>128</v>
      </c>
      <c r="C12" s="37" t="s">
        <v>129</v>
      </c>
      <c r="D12" s="37" t="s">
        <v>129</v>
      </c>
      <c r="E12" s="37" t="s">
        <v>129</v>
      </c>
      <c r="F12" s="37"/>
      <c r="G12" s="37"/>
      <c r="H12" s="19"/>
      <c r="I12" s="19"/>
      <c r="J12" s="19"/>
      <c r="K12" s="19"/>
      <c r="L12" s="19"/>
      <c r="M12" s="19"/>
      <c r="N12" s="19"/>
      <c r="O12" s="19"/>
      <c r="P12" s="19"/>
      <c r="Q12" s="19"/>
      <c r="R12" s="19"/>
      <c r="S12" s="19"/>
      <c r="T12" s="19"/>
      <c r="U12" s="19"/>
      <c r="V12" s="19"/>
      <c r="W12" s="19"/>
      <c r="X12" s="19"/>
      <c r="Y12" s="19"/>
      <c r="Z12" s="19"/>
      <c r="AA12" s="19"/>
      <c r="AB12" s="19"/>
      <c r="AC12" s="19"/>
      <c r="AD12" s="19"/>
      <c r="AE12" s="19"/>
      <c r="AF12" s="19"/>
    </row>
    <row r="13" ht="15.75" customHeight="1">
      <c r="A13" s="63"/>
      <c r="B13" s="37"/>
      <c r="C13" s="37"/>
      <c r="D13" s="37"/>
      <c r="E13" s="37"/>
      <c r="F13" s="37"/>
      <c r="G13" s="37"/>
      <c r="H13" s="19"/>
      <c r="I13" s="19"/>
      <c r="J13" s="19"/>
      <c r="K13" s="19"/>
      <c r="L13" s="19"/>
      <c r="M13" s="19"/>
      <c r="N13" s="19"/>
      <c r="O13" s="19"/>
      <c r="P13" s="19"/>
      <c r="Q13" s="19"/>
      <c r="R13" s="19"/>
      <c r="S13" s="19"/>
      <c r="T13" s="19"/>
      <c r="U13" s="19"/>
      <c r="V13" s="19"/>
      <c r="W13" s="19"/>
      <c r="X13" s="19"/>
      <c r="Y13" s="19"/>
      <c r="Z13" s="19"/>
      <c r="AA13" s="19"/>
      <c r="AB13" s="19"/>
      <c r="AC13" s="19"/>
      <c r="AD13" s="19"/>
      <c r="AE13" s="19"/>
      <c r="AF13" s="19"/>
    </row>
    <row r="14" ht="15.75" customHeight="1">
      <c r="A14" s="63" t="s">
        <v>136</v>
      </c>
      <c r="B14" s="37" t="s">
        <v>137</v>
      </c>
      <c r="C14" s="37" t="s">
        <v>138</v>
      </c>
      <c r="D14" s="37" t="s">
        <v>138</v>
      </c>
      <c r="E14" s="37" t="s">
        <v>138</v>
      </c>
      <c r="F14" s="37"/>
      <c r="G14" s="37"/>
      <c r="H14" s="19"/>
      <c r="I14" s="19"/>
      <c r="J14" s="19"/>
      <c r="K14" s="19"/>
      <c r="L14" s="19"/>
      <c r="M14" s="19"/>
      <c r="N14" s="19"/>
      <c r="O14" s="19"/>
      <c r="P14" s="19"/>
      <c r="Q14" s="19"/>
      <c r="R14" s="19"/>
      <c r="S14" s="19"/>
      <c r="T14" s="19"/>
      <c r="U14" s="19"/>
      <c r="V14" s="19"/>
      <c r="W14" s="19"/>
      <c r="X14" s="19"/>
      <c r="Y14" s="19"/>
      <c r="Z14" s="19"/>
      <c r="AA14" s="19"/>
      <c r="AB14" s="19"/>
      <c r="AC14" s="19"/>
      <c r="AD14" s="19"/>
      <c r="AE14" s="19"/>
      <c r="AF14" s="19"/>
    </row>
    <row r="15" ht="15.75" customHeight="1">
      <c r="A15" s="34"/>
      <c r="B15" s="36"/>
      <c r="C15" s="36"/>
      <c r="D15" s="36"/>
      <c r="E15" s="36"/>
      <c r="F15" s="36"/>
      <c r="G15" s="36"/>
      <c r="H15" s="19"/>
      <c r="I15" s="19"/>
      <c r="J15" s="19"/>
      <c r="K15" s="19"/>
      <c r="L15" s="19"/>
      <c r="M15" s="19"/>
      <c r="N15" s="19"/>
      <c r="O15" s="19"/>
      <c r="P15" s="19"/>
      <c r="Q15" s="19"/>
      <c r="R15" s="19"/>
      <c r="S15" s="19"/>
      <c r="T15" s="19"/>
      <c r="U15" s="19"/>
      <c r="V15" s="19"/>
      <c r="W15" s="19"/>
      <c r="X15" s="19"/>
      <c r="Y15" s="19"/>
      <c r="Z15" s="19"/>
      <c r="AA15" s="19"/>
      <c r="AB15" s="19"/>
      <c r="AC15" s="19"/>
      <c r="AD15" s="19"/>
      <c r="AE15" s="19"/>
      <c r="AF15" s="19"/>
    </row>
    <row r="16" ht="15.75" customHeight="1">
      <c r="A16" s="63" t="s">
        <v>149</v>
      </c>
      <c r="B16" s="37" t="s">
        <v>152</v>
      </c>
      <c r="C16" s="37" t="s">
        <v>154</v>
      </c>
      <c r="D16" s="37" t="s">
        <v>154</v>
      </c>
      <c r="E16" s="71" t="s">
        <v>154</v>
      </c>
      <c r="F16" s="36"/>
      <c r="G16" s="36"/>
      <c r="H16" s="19"/>
      <c r="I16" s="19"/>
      <c r="J16" s="19"/>
      <c r="K16" s="19"/>
      <c r="L16" s="19"/>
      <c r="M16" s="19"/>
      <c r="N16" s="19"/>
      <c r="O16" s="19"/>
      <c r="P16" s="19"/>
      <c r="Q16" s="19"/>
      <c r="R16" s="19"/>
      <c r="S16" s="19"/>
      <c r="T16" s="19"/>
      <c r="U16" s="19"/>
      <c r="V16" s="19"/>
      <c r="W16" s="19"/>
      <c r="X16" s="19"/>
      <c r="Y16" s="19"/>
      <c r="Z16" s="19"/>
      <c r="AA16" s="19"/>
      <c r="AB16" s="19"/>
      <c r="AC16" s="19"/>
      <c r="AD16" s="19"/>
      <c r="AE16" s="19"/>
      <c r="AF16" s="19"/>
    </row>
    <row r="17" ht="15.75" customHeight="1">
      <c r="A17" s="34"/>
      <c r="B17" s="36"/>
      <c r="C17" s="36"/>
      <c r="D17" s="36"/>
      <c r="E17" s="36"/>
      <c r="F17" s="36"/>
      <c r="G17" s="36"/>
      <c r="H17" s="19"/>
      <c r="I17" s="19"/>
      <c r="J17" s="19"/>
      <c r="K17" s="19"/>
      <c r="L17" s="19"/>
      <c r="M17" s="19"/>
      <c r="N17" s="19"/>
      <c r="O17" s="19"/>
      <c r="P17" s="19"/>
      <c r="Q17" s="19"/>
      <c r="R17" s="19"/>
      <c r="S17" s="19"/>
      <c r="T17" s="19"/>
      <c r="U17" s="19"/>
      <c r="V17" s="19"/>
      <c r="W17" s="19"/>
      <c r="X17" s="19"/>
      <c r="Y17" s="19"/>
      <c r="Z17" s="19"/>
      <c r="AA17" s="19"/>
      <c r="AB17" s="19"/>
      <c r="AC17" s="19"/>
      <c r="AD17" s="19"/>
      <c r="AE17" s="19"/>
      <c r="AF17" s="19"/>
    </row>
    <row r="18" ht="15.75" customHeight="1">
      <c r="A18" s="63" t="s">
        <v>164</v>
      </c>
      <c r="B18" s="37" t="s">
        <v>165</v>
      </c>
      <c r="C18" s="37" t="s">
        <v>166</v>
      </c>
      <c r="D18" s="37" t="s">
        <v>166</v>
      </c>
      <c r="E18" s="37" t="s">
        <v>166</v>
      </c>
      <c r="F18" s="36"/>
      <c r="G18" s="36"/>
      <c r="H18" s="19"/>
      <c r="I18" s="19"/>
      <c r="J18" s="19"/>
      <c r="K18" s="19"/>
      <c r="L18" s="19"/>
      <c r="M18" s="19"/>
      <c r="N18" s="19"/>
      <c r="O18" s="19"/>
      <c r="P18" s="19"/>
      <c r="Q18" s="19"/>
      <c r="R18" s="19"/>
      <c r="S18" s="19"/>
      <c r="T18" s="19"/>
      <c r="U18" s="19"/>
      <c r="V18" s="19"/>
      <c r="W18" s="19"/>
      <c r="X18" s="19"/>
      <c r="Y18" s="19"/>
      <c r="Z18" s="19"/>
      <c r="AA18" s="19"/>
      <c r="AB18" s="19"/>
      <c r="AC18" s="19"/>
      <c r="AD18" s="19"/>
      <c r="AE18" s="19"/>
      <c r="AF18" s="19"/>
    </row>
    <row r="19" ht="15.75" customHeight="1">
      <c r="A19" s="19"/>
      <c r="B19" s="19"/>
      <c r="C19" s="19"/>
      <c r="D19" s="19"/>
      <c r="E19" s="19"/>
      <c r="F19" s="19"/>
      <c r="G19" s="19"/>
      <c r="H19" s="19"/>
      <c r="I19" s="19"/>
      <c r="J19" s="19"/>
      <c r="K19" s="19"/>
      <c r="L19" s="19"/>
      <c r="M19" s="19"/>
      <c r="N19" s="19"/>
      <c r="O19" s="19"/>
      <c r="P19" s="19"/>
      <c r="Q19" s="19"/>
      <c r="R19" s="19"/>
      <c r="S19" s="19"/>
      <c r="T19" s="19"/>
      <c r="U19" s="19"/>
      <c r="V19" s="19"/>
      <c r="W19" s="19"/>
      <c r="X19" s="19"/>
      <c r="Y19" s="19"/>
      <c r="Z19" s="19"/>
      <c r="AA19" s="19"/>
      <c r="AB19" s="19"/>
      <c r="AC19" s="19"/>
      <c r="AD19" s="19"/>
      <c r="AE19" s="19"/>
      <c r="AF19" s="19"/>
    </row>
    <row r="20" ht="15.75" customHeight="1">
      <c r="A20" s="75" t="s">
        <v>178</v>
      </c>
      <c r="B20" s="76">
        <v>1.0</v>
      </c>
      <c r="C20" s="31" t="s">
        <v>179</v>
      </c>
      <c r="D20" s="31" t="s">
        <v>180</v>
      </c>
      <c r="E20" s="78" t="s">
        <v>180</v>
      </c>
      <c r="F20" s="29"/>
      <c r="G20" s="25">
        <v>1.0</v>
      </c>
      <c r="H20" s="79">
        <v>2.0</v>
      </c>
      <c r="I20" s="33"/>
      <c r="J20" s="33"/>
      <c r="K20" s="33"/>
      <c r="L20" s="33"/>
      <c r="M20" s="33"/>
      <c r="N20" s="33"/>
      <c r="O20" s="33"/>
      <c r="P20" s="33"/>
      <c r="Q20" s="33"/>
      <c r="R20" s="33"/>
      <c r="S20" s="33"/>
      <c r="T20" s="33"/>
      <c r="U20" s="33"/>
      <c r="V20" s="33"/>
      <c r="W20" s="33"/>
      <c r="X20" s="33"/>
      <c r="Y20" s="33"/>
      <c r="Z20" s="33"/>
      <c r="AA20" s="33"/>
      <c r="AB20" s="33"/>
      <c r="AC20" s="33"/>
      <c r="AD20" s="33"/>
      <c r="AE20" s="33"/>
      <c r="AF20" s="33"/>
    </row>
    <row r="21" ht="15.75" customHeight="1">
      <c r="A21" s="75" t="s">
        <v>178</v>
      </c>
      <c r="B21" s="76">
        <v>2.0</v>
      </c>
      <c r="C21" s="31" t="s">
        <v>189</v>
      </c>
      <c r="D21" s="31" t="s">
        <v>190</v>
      </c>
      <c r="E21" s="78" t="s">
        <v>190</v>
      </c>
      <c r="F21" s="29"/>
      <c r="G21" s="29"/>
      <c r="H21" s="79">
        <v>2.0</v>
      </c>
      <c r="I21" s="79">
        <v>1.0</v>
      </c>
      <c r="J21" s="33"/>
      <c r="K21" s="33"/>
      <c r="L21" s="33"/>
      <c r="M21" s="33"/>
      <c r="N21" s="33"/>
      <c r="O21" s="33"/>
      <c r="P21" s="33"/>
      <c r="Q21" s="33"/>
      <c r="R21" s="33"/>
      <c r="S21" s="33"/>
      <c r="T21" s="33"/>
      <c r="U21" s="33"/>
      <c r="V21" s="33"/>
      <c r="W21" s="33"/>
      <c r="X21" s="33"/>
      <c r="Y21" s="33"/>
      <c r="Z21" s="33"/>
      <c r="AA21" s="33"/>
      <c r="AB21" s="33"/>
      <c r="AC21" s="33"/>
      <c r="AD21" s="33"/>
      <c r="AE21" s="33"/>
      <c r="AF21" s="33"/>
    </row>
    <row r="22" ht="15.75" customHeight="1">
      <c r="A22" s="75" t="s">
        <v>178</v>
      </c>
      <c r="B22" s="85">
        <v>3.0</v>
      </c>
      <c r="C22" s="87" t="s">
        <v>193</v>
      </c>
      <c r="D22" s="87" t="s">
        <v>193</v>
      </c>
      <c r="E22" s="87" t="s">
        <v>193</v>
      </c>
      <c r="F22" s="88"/>
      <c r="G22" s="88"/>
      <c r="H22" s="89">
        <v>2.0</v>
      </c>
      <c r="I22" s="33"/>
      <c r="J22" s="52">
        <v>1.0</v>
      </c>
      <c r="K22" s="33"/>
      <c r="L22" s="33"/>
      <c r="M22" s="33"/>
      <c r="N22" s="33"/>
      <c r="O22" s="33"/>
      <c r="P22" s="33"/>
      <c r="Q22" s="33"/>
      <c r="R22" s="33"/>
      <c r="S22" s="33"/>
      <c r="T22" s="33"/>
      <c r="U22" s="33"/>
      <c r="V22" s="33"/>
      <c r="W22" s="33"/>
      <c r="X22" s="33"/>
      <c r="Y22" s="33"/>
      <c r="Z22" s="33"/>
      <c r="AA22" s="33"/>
      <c r="AB22" s="33"/>
      <c r="AC22" s="33"/>
      <c r="AD22" s="33"/>
      <c r="AE22" s="33"/>
      <c r="AF22" s="33"/>
    </row>
    <row r="23" ht="15.75" customHeight="1">
      <c r="A23" s="63" t="s">
        <v>178</v>
      </c>
      <c r="B23" s="94">
        <v>0.0</v>
      </c>
      <c r="C23" s="37" t="s">
        <v>199</v>
      </c>
      <c r="D23" s="95" t="s">
        <v>201</v>
      </c>
      <c r="E23" s="37" t="s">
        <v>203</v>
      </c>
      <c r="F23" s="36"/>
      <c r="G23" s="36" t="s">
        <v>49</v>
      </c>
      <c r="H23" s="97">
        <v>2.0</v>
      </c>
      <c r="I23" s="19"/>
      <c r="J23" s="19"/>
      <c r="K23" s="19"/>
      <c r="L23" s="19"/>
      <c r="M23" s="19"/>
      <c r="N23" s="19"/>
      <c r="O23" s="19"/>
      <c r="P23" s="19"/>
      <c r="Q23" s="19"/>
      <c r="R23" s="19"/>
      <c r="S23" s="19"/>
      <c r="T23" s="19"/>
      <c r="U23" s="19"/>
      <c r="V23" s="19"/>
      <c r="W23" s="19"/>
      <c r="X23" s="19"/>
      <c r="Y23" s="19"/>
      <c r="Z23" s="19"/>
      <c r="AA23" s="19"/>
      <c r="AB23" s="19"/>
      <c r="AC23" s="19"/>
      <c r="AD23" s="19"/>
      <c r="AE23" s="19"/>
      <c r="AF23" s="19"/>
    </row>
    <row r="24" ht="15.75" customHeight="1">
      <c r="A24" s="100"/>
      <c r="B24" s="102"/>
      <c r="C24" s="100"/>
      <c r="D24" s="100"/>
      <c r="E24" s="100"/>
      <c r="F24" s="33"/>
      <c r="G24" s="33"/>
      <c r="H24" s="79"/>
      <c r="I24" s="33"/>
      <c r="J24" s="33"/>
      <c r="K24" s="33"/>
      <c r="L24" s="33"/>
      <c r="M24" s="33"/>
      <c r="N24" s="33"/>
      <c r="O24" s="33"/>
      <c r="P24" s="33"/>
      <c r="Q24" s="33"/>
      <c r="R24" s="33"/>
      <c r="S24" s="33"/>
      <c r="T24" s="33"/>
      <c r="U24" s="33"/>
      <c r="V24" s="33"/>
      <c r="W24" s="33"/>
      <c r="X24" s="33"/>
      <c r="Y24" s="33"/>
      <c r="Z24" s="33"/>
      <c r="AA24" s="33"/>
      <c r="AB24" s="33"/>
      <c r="AC24" s="33"/>
      <c r="AD24" s="33"/>
      <c r="AE24" s="33"/>
      <c r="AF24" s="33"/>
    </row>
    <row r="25" ht="15.75" customHeight="1">
      <c r="A25" s="52" t="s">
        <v>211</v>
      </c>
      <c r="B25" s="89">
        <v>1.0</v>
      </c>
      <c r="C25" s="105" t="s">
        <v>212</v>
      </c>
      <c r="D25" s="105" t="s">
        <v>212</v>
      </c>
      <c r="E25" s="107" t="s">
        <v>212</v>
      </c>
      <c r="F25" s="33"/>
      <c r="G25" s="33"/>
      <c r="H25" s="79"/>
      <c r="I25" s="33"/>
      <c r="J25" s="33"/>
      <c r="K25" s="33"/>
      <c r="L25" s="33"/>
      <c r="M25" s="33"/>
      <c r="N25" s="33"/>
      <c r="O25" s="33"/>
      <c r="P25" s="33"/>
      <c r="Q25" s="33"/>
      <c r="R25" s="33"/>
      <c r="S25" s="33"/>
      <c r="T25" s="33"/>
      <c r="U25" s="33"/>
      <c r="V25" s="33"/>
      <c r="W25" s="33"/>
      <c r="X25" s="33"/>
      <c r="Y25" s="33"/>
      <c r="Z25" s="33"/>
      <c r="AA25" s="33"/>
      <c r="AB25" s="33"/>
      <c r="AC25" s="33"/>
      <c r="AD25" s="33"/>
      <c r="AE25" s="33"/>
      <c r="AF25" s="33"/>
    </row>
    <row r="26" ht="15.75" customHeight="1">
      <c r="A26" s="52" t="s">
        <v>211</v>
      </c>
      <c r="B26" s="89">
        <v>2.0</v>
      </c>
      <c r="C26" s="105" t="s">
        <v>219</v>
      </c>
      <c r="D26" s="105" t="s">
        <v>219</v>
      </c>
      <c r="E26" s="109" t="s">
        <v>219</v>
      </c>
      <c r="F26" s="33"/>
      <c r="G26" s="52">
        <v>1.0</v>
      </c>
      <c r="H26" s="79"/>
      <c r="I26" s="33"/>
      <c r="J26" s="33"/>
      <c r="K26" s="33"/>
      <c r="L26" s="33"/>
      <c r="M26" s="33"/>
      <c r="N26" s="33"/>
      <c r="O26" s="33"/>
      <c r="P26" s="33"/>
      <c r="Q26" s="33"/>
      <c r="R26" s="33"/>
      <c r="S26" s="33"/>
      <c r="T26" s="33"/>
      <c r="U26" s="33"/>
      <c r="V26" s="33"/>
      <c r="W26" s="33"/>
      <c r="X26" s="33"/>
      <c r="Y26" s="33"/>
      <c r="Z26" s="33"/>
      <c r="AA26" s="33"/>
      <c r="AB26" s="33"/>
      <c r="AC26" s="33"/>
      <c r="AD26" s="33"/>
      <c r="AE26" s="33"/>
      <c r="AF26" s="33"/>
    </row>
    <row r="27" ht="15.75" customHeight="1">
      <c r="A27" s="52"/>
      <c r="B27" s="89"/>
      <c r="C27" s="52"/>
      <c r="D27" s="52"/>
      <c r="E27" s="52"/>
      <c r="F27" s="33"/>
      <c r="G27" s="33"/>
      <c r="H27" s="79"/>
      <c r="I27" s="33"/>
      <c r="J27" s="33"/>
      <c r="K27" s="33"/>
      <c r="L27" s="33"/>
      <c r="M27" s="33"/>
      <c r="N27" s="33"/>
      <c r="O27" s="33"/>
      <c r="P27" s="33"/>
      <c r="Q27" s="33"/>
      <c r="R27" s="33"/>
      <c r="S27" s="33"/>
      <c r="T27" s="33"/>
      <c r="U27" s="33"/>
      <c r="V27" s="33"/>
      <c r="W27" s="33"/>
      <c r="X27" s="33"/>
      <c r="Y27" s="33"/>
      <c r="Z27" s="33"/>
      <c r="AA27" s="33"/>
      <c r="AB27" s="33"/>
      <c r="AC27" s="33"/>
      <c r="AD27" s="33"/>
      <c r="AE27" s="33"/>
      <c r="AF27" s="33"/>
    </row>
    <row r="28" ht="15.75" customHeight="1">
      <c r="A28" s="52" t="s">
        <v>224</v>
      </c>
      <c r="B28" s="89" t="s">
        <v>225</v>
      </c>
      <c r="C28" s="52" t="s">
        <v>226</v>
      </c>
      <c r="D28" s="52" t="s">
        <v>226</v>
      </c>
      <c r="E28" s="52" t="s">
        <v>226</v>
      </c>
      <c r="F28" s="33"/>
      <c r="G28" s="33"/>
      <c r="H28" s="79"/>
      <c r="I28" s="33"/>
      <c r="J28" s="33"/>
      <c r="K28" s="33"/>
      <c r="L28" s="33"/>
      <c r="M28" s="33"/>
      <c r="N28" s="33"/>
      <c r="O28" s="33"/>
      <c r="P28" s="33"/>
      <c r="Q28" s="33"/>
      <c r="R28" s="33"/>
      <c r="S28" s="33"/>
      <c r="T28" s="33"/>
      <c r="U28" s="33"/>
      <c r="V28" s="33"/>
      <c r="W28" s="33"/>
      <c r="X28" s="33"/>
      <c r="Y28" s="33"/>
      <c r="Z28" s="33"/>
      <c r="AA28" s="33"/>
      <c r="AB28" s="33"/>
      <c r="AC28" s="33"/>
      <c r="AD28" s="33"/>
      <c r="AE28" s="33"/>
      <c r="AF28" s="33"/>
    </row>
    <row r="29" ht="15.75" customHeight="1">
      <c r="A29" s="52"/>
      <c r="B29" s="89"/>
      <c r="C29" s="52"/>
      <c r="D29" s="52"/>
      <c r="E29" s="52"/>
      <c r="F29" s="33"/>
      <c r="G29" s="33"/>
      <c r="H29" s="79"/>
      <c r="I29" s="33"/>
      <c r="J29" s="33"/>
      <c r="K29" s="33"/>
      <c r="L29" s="33"/>
      <c r="M29" s="33"/>
      <c r="N29" s="33"/>
      <c r="O29" s="33"/>
      <c r="P29" s="33"/>
      <c r="Q29" s="33"/>
      <c r="R29" s="33"/>
      <c r="S29" s="33"/>
      <c r="T29" s="33"/>
      <c r="U29" s="33"/>
      <c r="V29" s="33"/>
      <c r="W29" s="33"/>
      <c r="X29" s="33"/>
      <c r="Y29" s="33"/>
      <c r="Z29" s="33"/>
      <c r="AA29" s="33"/>
      <c r="AB29" s="33"/>
      <c r="AC29" s="33"/>
      <c r="AD29" s="33"/>
      <c r="AE29" s="33"/>
      <c r="AF29" s="33"/>
    </row>
    <row r="30" ht="15.75" customHeight="1">
      <c r="A30" s="110" t="s">
        <v>229</v>
      </c>
      <c r="B30" s="111">
        <v>1.0</v>
      </c>
      <c r="C30" s="112" t="s">
        <v>232</v>
      </c>
      <c r="D30" s="113" t="s">
        <v>233</v>
      </c>
      <c r="E30" s="113" t="s">
        <v>234</v>
      </c>
      <c r="F30" s="114"/>
      <c r="G30" s="114"/>
      <c r="H30" s="44"/>
      <c r="I30" s="44"/>
      <c r="J30" s="44"/>
      <c r="K30" s="44"/>
      <c r="L30" s="44"/>
      <c r="M30" s="44"/>
      <c r="N30" s="44"/>
      <c r="O30" s="44"/>
      <c r="P30" s="44"/>
      <c r="Q30" s="44"/>
      <c r="R30" s="44"/>
      <c r="S30" s="44"/>
      <c r="T30" s="44"/>
      <c r="U30" s="44"/>
      <c r="V30" s="44"/>
      <c r="W30" s="44"/>
      <c r="X30" s="44"/>
      <c r="Y30" s="44"/>
      <c r="Z30" s="44"/>
      <c r="AA30" s="44"/>
      <c r="AB30" s="44"/>
      <c r="AC30" s="44"/>
      <c r="AD30" s="44"/>
      <c r="AE30" s="33"/>
      <c r="AF30" s="33"/>
    </row>
    <row r="31" ht="15.75" customHeight="1">
      <c r="A31" s="63" t="s">
        <v>229</v>
      </c>
      <c r="B31" s="94">
        <v>0.0</v>
      </c>
      <c r="C31" s="115" t="s">
        <v>238</v>
      </c>
      <c r="D31" s="115" t="s">
        <v>239</v>
      </c>
      <c r="E31" s="115" t="s">
        <v>240</v>
      </c>
      <c r="F31" s="36"/>
      <c r="G31" s="36"/>
      <c r="H31" s="19"/>
      <c r="I31" s="19"/>
      <c r="J31" s="19"/>
      <c r="K31" s="19"/>
      <c r="L31" s="19"/>
      <c r="M31" s="19"/>
      <c r="N31" s="19"/>
      <c r="O31" s="19"/>
      <c r="P31" s="19"/>
      <c r="Q31" s="19"/>
      <c r="R31" s="19"/>
      <c r="S31" s="19"/>
      <c r="T31" s="19"/>
      <c r="U31" s="19"/>
      <c r="V31" s="19"/>
      <c r="W31" s="19"/>
      <c r="X31" s="19"/>
      <c r="Y31" s="19"/>
      <c r="Z31" s="19"/>
      <c r="AA31" s="19"/>
      <c r="AB31" s="19"/>
      <c r="AC31" s="19"/>
      <c r="AD31" s="19"/>
      <c r="AE31" s="33"/>
      <c r="AF31" s="33"/>
    </row>
    <row r="32" ht="15.75" customHeight="1">
      <c r="A32" s="52"/>
      <c r="B32" s="89"/>
      <c r="C32" s="52"/>
      <c r="D32" s="52"/>
      <c r="E32" s="52"/>
      <c r="F32" s="33"/>
      <c r="G32" s="33"/>
      <c r="H32" s="79"/>
      <c r="I32" s="33"/>
      <c r="J32" s="33"/>
      <c r="K32" s="33"/>
      <c r="L32" s="33"/>
      <c r="M32" s="33"/>
      <c r="N32" s="33"/>
      <c r="O32" s="33"/>
      <c r="P32" s="33"/>
      <c r="Q32" s="33"/>
      <c r="R32" s="33"/>
      <c r="S32" s="33"/>
      <c r="T32" s="33"/>
      <c r="U32" s="33"/>
      <c r="V32" s="33"/>
      <c r="W32" s="33"/>
      <c r="X32" s="33"/>
      <c r="Y32" s="33"/>
      <c r="Z32" s="33"/>
      <c r="AA32" s="33"/>
      <c r="AB32" s="33"/>
      <c r="AC32" s="33"/>
      <c r="AD32" s="33"/>
      <c r="AE32" s="33"/>
      <c r="AF32" s="33"/>
    </row>
    <row r="33" ht="15.75" customHeight="1">
      <c r="A33" s="110" t="s">
        <v>242</v>
      </c>
      <c r="B33" s="111">
        <v>1.0</v>
      </c>
      <c r="C33" s="116" t="s">
        <v>243</v>
      </c>
      <c r="D33" s="116" t="s">
        <v>244</v>
      </c>
      <c r="E33" s="116" t="s">
        <v>245</v>
      </c>
      <c r="F33" s="114"/>
      <c r="G33" s="114"/>
      <c r="H33" s="44"/>
      <c r="I33" s="44"/>
      <c r="J33" s="44"/>
      <c r="K33" s="44"/>
      <c r="L33" s="44"/>
      <c r="M33" s="44"/>
      <c r="N33" s="44"/>
      <c r="O33" s="44"/>
      <c r="P33" s="44"/>
      <c r="Q33" s="44"/>
      <c r="R33" s="44"/>
      <c r="S33" s="44"/>
      <c r="T33" s="44"/>
      <c r="U33" s="44"/>
      <c r="V33" s="44"/>
      <c r="W33" s="44"/>
      <c r="X33" s="44"/>
      <c r="Y33" s="44"/>
      <c r="Z33" s="44"/>
      <c r="AA33" s="44"/>
      <c r="AB33" s="44"/>
      <c r="AC33" s="44"/>
      <c r="AD33" s="44"/>
      <c r="AE33" s="44"/>
      <c r="AF33" s="44"/>
    </row>
    <row r="34" ht="15.75" customHeight="1">
      <c r="A34" s="75" t="s">
        <v>242</v>
      </c>
      <c r="B34" s="76">
        <v>2.0</v>
      </c>
      <c r="C34" s="31" t="s">
        <v>249</v>
      </c>
      <c r="D34" s="31" t="s">
        <v>250</v>
      </c>
      <c r="E34" s="31" t="s">
        <v>251</v>
      </c>
      <c r="F34" s="29"/>
      <c r="G34" s="29"/>
      <c r="H34" s="33"/>
      <c r="I34" s="33"/>
      <c r="J34" s="33"/>
      <c r="K34" s="33"/>
      <c r="L34" s="33"/>
      <c r="M34" s="33"/>
      <c r="N34" s="33"/>
      <c r="O34" s="33"/>
      <c r="P34" s="33"/>
      <c r="Q34" s="33"/>
      <c r="R34" s="33"/>
      <c r="S34" s="33"/>
      <c r="T34" s="33"/>
      <c r="U34" s="33"/>
      <c r="V34" s="33"/>
      <c r="W34" s="33"/>
      <c r="X34" s="33"/>
      <c r="Y34" s="33"/>
      <c r="Z34" s="33"/>
      <c r="AA34" s="33"/>
      <c r="AB34" s="33"/>
      <c r="AC34" s="33"/>
      <c r="AD34" s="33"/>
      <c r="AE34" s="33"/>
      <c r="AF34" s="33"/>
    </row>
    <row r="35" ht="15.75" customHeight="1">
      <c r="A35" s="75" t="s">
        <v>242</v>
      </c>
      <c r="B35" s="76">
        <v>3.0</v>
      </c>
      <c r="C35" s="31" t="s">
        <v>254</v>
      </c>
      <c r="D35" s="31" t="s">
        <v>255</v>
      </c>
      <c r="E35" s="31" t="s">
        <v>256</v>
      </c>
      <c r="F35" s="29"/>
      <c r="G35" s="29"/>
      <c r="H35" s="33"/>
      <c r="I35" s="33"/>
      <c r="J35" s="33"/>
      <c r="K35" s="33"/>
      <c r="L35" s="33"/>
      <c r="M35" s="33"/>
      <c r="N35" s="33"/>
      <c r="O35" s="33"/>
      <c r="P35" s="33"/>
      <c r="Q35" s="33"/>
      <c r="R35" s="33"/>
      <c r="S35" s="33"/>
      <c r="T35" s="33"/>
      <c r="U35" s="33"/>
      <c r="V35" s="33"/>
      <c r="W35" s="33"/>
      <c r="X35" s="33"/>
      <c r="Y35" s="33"/>
      <c r="Z35" s="33"/>
      <c r="AA35" s="33"/>
      <c r="AB35" s="33"/>
      <c r="AC35" s="33"/>
      <c r="AD35" s="33"/>
      <c r="AE35" s="33"/>
      <c r="AF35" s="33"/>
    </row>
    <row r="36" ht="15.75" customHeight="1">
      <c r="A36" s="75" t="s">
        <v>242</v>
      </c>
      <c r="B36" s="76">
        <v>4.0</v>
      </c>
      <c r="C36" s="31" t="s">
        <v>260</v>
      </c>
      <c r="D36" s="31" t="s">
        <v>261</v>
      </c>
      <c r="E36" s="31" t="s">
        <v>262</v>
      </c>
      <c r="F36" s="29"/>
      <c r="G36" s="29"/>
      <c r="H36" s="33"/>
      <c r="I36" s="33"/>
      <c r="J36" s="33"/>
      <c r="K36" s="33"/>
      <c r="L36" s="33"/>
      <c r="M36" s="33"/>
      <c r="N36" s="33"/>
      <c r="O36" s="33"/>
      <c r="P36" s="33"/>
      <c r="Q36" s="33"/>
      <c r="R36" s="33"/>
      <c r="S36" s="33"/>
      <c r="T36" s="33"/>
      <c r="U36" s="33"/>
      <c r="V36" s="33"/>
      <c r="W36" s="33"/>
      <c r="X36" s="33"/>
      <c r="Y36" s="33"/>
      <c r="Z36" s="33"/>
      <c r="AA36" s="33"/>
      <c r="AB36" s="33"/>
      <c r="AC36" s="33"/>
      <c r="AD36" s="33"/>
      <c r="AE36" s="33"/>
      <c r="AF36" s="33"/>
    </row>
    <row r="37" ht="15.75" customHeight="1">
      <c r="A37" s="75" t="s">
        <v>242</v>
      </c>
      <c r="B37" s="76">
        <v>5.0</v>
      </c>
      <c r="C37" s="31" t="s">
        <v>267</v>
      </c>
      <c r="D37" s="31" t="s">
        <v>268</v>
      </c>
      <c r="E37" s="31" t="s">
        <v>269</v>
      </c>
      <c r="F37" s="29"/>
      <c r="G37" s="29"/>
      <c r="H37" s="33"/>
      <c r="I37" s="33"/>
      <c r="J37" s="33"/>
      <c r="K37" s="33"/>
      <c r="L37" s="33"/>
      <c r="M37" s="33"/>
      <c r="N37" s="33"/>
      <c r="O37" s="33"/>
      <c r="P37" s="33"/>
      <c r="Q37" s="33"/>
      <c r="R37" s="33"/>
      <c r="S37" s="33"/>
      <c r="T37" s="33"/>
      <c r="U37" s="33"/>
      <c r="V37" s="33"/>
      <c r="W37" s="33"/>
      <c r="X37" s="33"/>
      <c r="Y37" s="33"/>
      <c r="Z37" s="33"/>
      <c r="AA37" s="33"/>
      <c r="AB37" s="33"/>
      <c r="AC37" s="33"/>
      <c r="AD37" s="33"/>
      <c r="AE37" s="33"/>
      <c r="AF37" s="33"/>
    </row>
    <row r="38" ht="15.75" customHeight="1">
      <c r="A38" s="75" t="s">
        <v>242</v>
      </c>
      <c r="B38" s="76">
        <v>6.0</v>
      </c>
      <c r="C38" s="31" t="s">
        <v>272</v>
      </c>
      <c r="D38" s="31" t="s">
        <v>273</v>
      </c>
      <c r="E38" s="78" t="s">
        <v>274</v>
      </c>
      <c r="F38" s="29"/>
      <c r="G38" s="29"/>
      <c r="H38" s="33"/>
      <c r="I38" s="33"/>
      <c r="J38" s="33"/>
      <c r="K38" s="33"/>
      <c r="L38" s="33"/>
      <c r="M38" s="33"/>
      <c r="N38" s="33"/>
      <c r="O38" s="33"/>
      <c r="P38" s="33"/>
      <c r="Q38" s="33"/>
      <c r="R38" s="33"/>
      <c r="S38" s="33"/>
      <c r="T38" s="33"/>
      <c r="U38" s="33"/>
      <c r="V38" s="33"/>
      <c r="W38" s="33"/>
      <c r="X38" s="33"/>
      <c r="Y38" s="33"/>
      <c r="Z38" s="33"/>
      <c r="AA38" s="33"/>
      <c r="AB38" s="33"/>
      <c r="AC38" s="33"/>
      <c r="AD38" s="33"/>
      <c r="AE38" s="33"/>
      <c r="AF38" s="33"/>
    </row>
    <row r="39" ht="15.75" customHeight="1">
      <c r="A39" s="75" t="s">
        <v>242</v>
      </c>
      <c r="B39" s="76">
        <v>7.0</v>
      </c>
      <c r="C39" s="31" t="s">
        <v>278</v>
      </c>
      <c r="D39" s="31" t="s">
        <v>278</v>
      </c>
      <c r="E39" s="31" t="s">
        <v>279</v>
      </c>
      <c r="F39" s="29"/>
      <c r="G39" s="29"/>
      <c r="H39" s="33"/>
      <c r="I39" s="33"/>
      <c r="J39" s="33"/>
      <c r="K39" s="33"/>
      <c r="L39" s="33"/>
      <c r="M39" s="33"/>
      <c r="N39" s="33"/>
      <c r="O39" s="33"/>
      <c r="P39" s="33"/>
      <c r="Q39" s="33"/>
      <c r="R39" s="33"/>
      <c r="S39" s="33"/>
      <c r="T39" s="33"/>
      <c r="U39" s="33"/>
      <c r="V39" s="33"/>
      <c r="W39" s="33"/>
      <c r="X39" s="33"/>
      <c r="Y39" s="33"/>
      <c r="Z39" s="33"/>
      <c r="AA39" s="33"/>
      <c r="AB39" s="33"/>
      <c r="AC39" s="33"/>
      <c r="AD39" s="33"/>
      <c r="AE39" s="33"/>
      <c r="AF39" s="33"/>
    </row>
    <row r="40" ht="15.75" customHeight="1">
      <c r="A40" s="75" t="s">
        <v>242</v>
      </c>
      <c r="B40" s="76">
        <v>8.0</v>
      </c>
      <c r="C40" s="31" t="s">
        <v>281</v>
      </c>
      <c r="D40" s="31" t="s">
        <v>283</v>
      </c>
      <c r="E40" s="31" t="s">
        <v>284</v>
      </c>
      <c r="F40" s="29"/>
      <c r="G40" s="29"/>
      <c r="H40" s="33"/>
      <c r="I40" s="33"/>
      <c r="J40" s="33"/>
      <c r="K40" s="33"/>
      <c r="L40" s="33"/>
      <c r="M40" s="33"/>
      <c r="N40" s="33"/>
      <c r="O40" s="33"/>
      <c r="P40" s="33"/>
      <c r="Q40" s="33"/>
      <c r="R40" s="33"/>
      <c r="S40" s="33"/>
      <c r="T40" s="33"/>
      <c r="U40" s="33"/>
      <c r="V40" s="33"/>
      <c r="W40" s="33"/>
      <c r="X40" s="33"/>
      <c r="Y40" s="33"/>
      <c r="Z40" s="33"/>
      <c r="AA40" s="33"/>
      <c r="AB40" s="33"/>
      <c r="AC40" s="33"/>
      <c r="AD40" s="33"/>
      <c r="AE40" s="33"/>
      <c r="AF40" s="33"/>
    </row>
    <row r="41" ht="15.75" customHeight="1">
      <c r="A41" s="75" t="s">
        <v>242</v>
      </c>
      <c r="B41" s="76">
        <v>9.0</v>
      </c>
      <c r="C41" s="31" t="s">
        <v>288</v>
      </c>
      <c r="D41" s="31" t="s">
        <v>289</v>
      </c>
      <c r="E41" s="78" t="s">
        <v>291</v>
      </c>
      <c r="F41" s="29"/>
      <c r="G41" s="29"/>
      <c r="H41" s="33"/>
      <c r="I41" s="33"/>
      <c r="J41" s="33"/>
      <c r="K41" s="33"/>
      <c r="L41" s="33"/>
      <c r="M41" s="33"/>
      <c r="N41" s="33"/>
      <c r="O41" s="33"/>
      <c r="P41" s="33"/>
      <c r="Q41" s="33"/>
      <c r="R41" s="33"/>
      <c r="S41" s="33"/>
      <c r="T41" s="33"/>
      <c r="U41" s="33"/>
      <c r="V41" s="33"/>
      <c r="W41" s="33"/>
      <c r="X41" s="33"/>
      <c r="Y41" s="33"/>
      <c r="Z41" s="33"/>
      <c r="AA41" s="33"/>
      <c r="AB41" s="33"/>
      <c r="AC41" s="33"/>
      <c r="AD41" s="33"/>
      <c r="AE41" s="33"/>
      <c r="AF41" s="33"/>
    </row>
    <row r="42" ht="15.75" customHeight="1">
      <c r="A42" s="75" t="s">
        <v>242</v>
      </c>
      <c r="B42" s="76">
        <v>10.0</v>
      </c>
      <c r="C42" s="31" t="s">
        <v>295</v>
      </c>
      <c r="D42" s="31" t="s">
        <v>296</v>
      </c>
      <c r="E42" s="31" t="s">
        <v>297</v>
      </c>
      <c r="F42" s="29"/>
      <c r="G42" s="29"/>
      <c r="H42" s="33"/>
      <c r="I42" s="33"/>
      <c r="J42" s="33"/>
      <c r="K42" s="33"/>
      <c r="L42" s="33"/>
      <c r="M42" s="33"/>
      <c r="N42" s="33"/>
      <c r="O42" s="33"/>
      <c r="P42" s="33"/>
      <c r="Q42" s="33"/>
      <c r="R42" s="33"/>
      <c r="S42" s="33"/>
      <c r="T42" s="33"/>
      <c r="U42" s="33"/>
      <c r="V42" s="33"/>
      <c r="W42" s="33"/>
      <c r="X42" s="33"/>
      <c r="Y42" s="33"/>
      <c r="Z42" s="33"/>
      <c r="AA42" s="33"/>
      <c r="AB42" s="33"/>
      <c r="AC42" s="33"/>
      <c r="AD42" s="33"/>
      <c r="AE42" s="33"/>
      <c r="AF42" s="33"/>
    </row>
    <row r="43" ht="15.75" customHeight="1">
      <c r="A43" s="75" t="s">
        <v>242</v>
      </c>
      <c r="B43" s="76">
        <v>11.0</v>
      </c>
      <c r="C43" s="31" t="s">
        <v>300</v>
      </c>
      <c r="D43" s="31" t="s">
        <v>301</v>
      </c>
      <c r="E43" s="31" t="s">
        <v>302</v>
      </c>
      <c r="F43" s="29"/>
      <c r="G43" s="29"/>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row>
    <row r="44" ht="15.75" customHeight="1">
      <c r="A44" s="75" t="s">
        <v>242</v>
      </c>
      <c r="B44" s="76">
        <v>13.0</v>
      </c>
      <c r="C44" s="31" t="s">
        <v>306</v>
      </c>
      <c r="D44" s="31" t="s">
        <v>307</v>
      </c>
      <c r="E44" s="31" t="s">
        <v>308</v>
      </c>
      <c r="F44" s="29"/>
      <c r="G44" s="29"/>
      <c r="H44" s="33"/>
      <c r="I44" s="33"/>
      <c r="J44" s="33"/>
      <c r="K44" s="33"/>
      <c r="L44" s="33"/>
      <c r="M44" s="33"/>
      <c r="N44" s="33"/>
      <c r="O44" s="33"/>
      <c r="P44" s="33"/>
      <c r="Q44" s="33"/>
      <c r="R44" s="33"/>
      <c r="S44" s="33"/>
      <c r="T44" s="33"/>
      <c r="U44" s="33"/>
      <c r="V44" s="33"/>
      <c r="W44" s="33"/>
      <c r="X44" s="33"/>
      <c r="Y44" s="33"/>
      <c r="Z44" s="33"/>
      <c r="AA44" s="33"/>
      <c r="AB44" s="33"/>
      <c r="AC44" s="33"/>
      <c r="AD44" s="33"/>
      <c r="AE44" s="33"/>
      <c r="AF44" s="33"/>
    </row>
    <row r="45" ht="15.75" customHeight="1">
      <c r="A45" s="75" t="s">
        <v>242</v>
      </c>
      <c r="B45" s="76">
        <v>14.0</v>
      </c>
      <c r="C45" s="31" t="s">
        <v>312</v>
      </c>
      <c r="D45" s="31" t="s">
        <v>313</v>
      </c>
      <c r="E45" s="31" t="s">
        <v>314</v>
      </c>
      <c r="F45" s="29"/>
      <c r="G45" s="29"/>
      <c r="H45" s="33"/>
      <c r="I45" s="33"/>
      <c r="J45" s="33"/>
      <c r="K45" s="33"/>
      <c r="L45" s="33"/>
      <c r="M45" s="33"/>
      <c r="N45" s="33"/>
      <c r="O45" s="33"/>
      <c r="P45" s="33"/>
      <c r="Q45" s="33"/>
      <c r="R45" s="33"/>
      <c r="S45" s="33"/>
      <c r="T45" s="33"/>
      <c r="U45" s="33"/>
      <c r="V45" s="33"/>
      <c r="W45" s="33"/>
      <c r="X45" s="33"/>
      <c r="Y45" s="33"/>
      <c r="Z45" s="33"/>
      <c r="AA45" s="33"/>
      <c r="AB45" s="33"/>
      <c r="AC45" s="33"/>
      <c r="AD45" s="33"/>
      <c r="AE45" s="33"/>
      <c r="AF45" s="33"/>
    </row>
    <row r="46" ht="15.75" customHeight="1">
      <c r="A46" s="63" t="s">
        <v>242</v>
      </c>
      <c r="B46" s="94">
        <v>-99.0</v>
      </c>
      <c r="C46" s="37" t="s">
        <v>318</v>
      </c>
      <c r="D46" s="37" t="s">
        <v>320</v>
      </c>
      <c r="E46" s="37" t="s">
        <v>321</v>
      </c>
      <c r="F46" s="36"/>
      <c r="G46" s="36"/>
      <c r="H46" s="19"/>
      <c r="I46" s="19"/>
      <c r="J46" s="19"/>
      <c r="K46" s="19"/>
      <c r="L46" s="19"/>
      <c r="M46" s="19"/>
      <c r="N46" s="19"/>
      <c r="O46" s="19"/>
      <c r="P46" s="19"/>
      <c r="Q46" s="19"/>
      <c r="R46" s="19"/>
      <c r="S46" s="19"/>
      <c r="T46" s="19"/>
      <c r="U46" s="19"/>
      <c r="V46" s="19"/>
      <c r="W46" s="19"/>
      <c r="X46" s="19"/>
      <c r="Y46" s="19"/>
      <c r="Z46" s="19"/>
      <c r="AA46" s="19"/>
      <c r="AB46" s="19"/>
      <c r="AC46" s="19"/>
      <c r="AD46" s="19"/>
      <c r="AE46" s="19"/>
      <c r="AF46" s="19"/>
    </row>
    <row r="47" ht="15.75" customHeight="1">
      <c r="A47" s="52"/>
      <c r="B47" s="89"/>
      <c r="C47" s="52"/>
      <c r="D47" s="52"/>
      <c r="E47" s="52"/>
      <c r="F47" s="33"/>
      <c r="G47" s="33"/>
      <c r="H47" s="79"/>
      <c r="I47" s="33"/>
      <c r="J47" s="33"/>
      <c r="K47" s="33"/>
      <c r="L47" s="33"/>
      <c r="M47" s="33"/>
      <c r="N47" s="33"/>
      <c r="O47" s="33"/>
      <c r="P47" s="33"/>
      <c r="Q47" s="33"/>
      <c r="R47" s="33"/>
      <c r="S47" s="33"/>
      <c r="T47" s="33"/>
      <c r="U47" s="33"/>
      <c r="V47" s="33"/>
      <c r="W47" s="33"/>
      <c r="X47" s="33"/>
      <c r="Y47" s="33"/>
      <c r="Z47" s="33"/>
      <c r="AA47" s="33"/>
      <c r="AB47" s="33"/>
      <c r="AC47" s="33"/>
      <c r="AD47" s="33"/>
      <c r="AE47" s="33"/>
      <c r="AF47" s="33"/>
    </row>
    <row r="48" ht="15.75" customHeight="1">
      <c r="A48" s="110" t="s">
        <v>329</v>
      </c>
      <c r="B48" s="111">
        <v>0.0</v>
      </c>
      <c r="C48" s="116" t="s">
        <v>331</v>
      </c>
      <c r="D48" s="116" t="s">
        <v>332</v>
      </c>
      <c r="E48" s="116" t="s">
        <v>333</v>
      </c>
      <c r="F48" s="114"/>
      <c r="G48" s="114"/>
      <c r="H48" s="44"/>
      <c r="I48" s="44"/>
      <c r="J48" s="44"/>
      <c r="K48" s="44"/>
      <c r="L48" s="44"/>
      <c r="M48" s="44"/>
      <c r="N48" s="44"/>
      <c r="O48" s="44"/>
      <c r="P48" s="44"/>
      <c r="Q48" s="44"/>
      <c r="R48" s="44"/>
      <c r="S48" s="44"/>
      <c r="T48" s="44"/>
      <c r="U48" s="44"/>
      <c r="V48" s="44"/>
      <c r="W48" s="44"/>
      <c r="X48" s="44"/>
      <c r="Y48" s="44"/>
      <c r="Z48" s="44"/>
      <c r="AA48" s="44"/>
      <c r="AB48" s="44"/>
      <c r="AC48" s="44"/>
      <c r="AD48" s="44"/>
      <c r="AE48" s="44"/>
      <c r="AF48" s="44"/>
    </row>
    <row r="49" ht="15.75" customHeight="1">
      <c r="A49" s="75" t="s">
        <v>329</v>
      </c>
      <c r="B49" s="76">
        <v>1.0</v>
      </c>
      <c r="C49" s="31" t="s">
        <v>339</v>
      </c>
      <c r="D49" s="31" t="s">
        <v>343</v>
      </c>
      <c r="E49" s="78" t="s">
        <v>344</v>
      </c>
      <c r="F49" s="29"/>
      <c r="G49" s="29"/>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row>
    <row r="50" ht="15.75" customHeight="1">
      <c r="A50" s="75" t="s">
        <v>329</v>
      </c>
      <c r="B50" s="76">
        <v>2.0</v>
      </c>
      <c r="C50" s="31" t="s">
        <v>351</v>
      </c>
      <c r="D50" s="31" t="s">
        <v>353</v>
      </c>
      <c r="E50" s="31" t="s">
        <v>355</v>
      </c>
      <c r="F50" s="29"/>
      <c r="G50" s="29"/>
      <c r="H50" s="33"/>
      <c r="I50" s="33"/>
      <c r="J50" s="33"/>
      <c r="K50" s="33"/>
      <c r="L50" s="33"/>
      <c r="M50" s="33"/>
      <c r="N50" s="33"/>
      <c r="O50" s="33"/>
      <c r="P50" s="33"/>
      <c r="Q50" s="33"/>
      <c r="R50" s="33"/>
      <c r="S50" s="33"/>
      <c r="T50" s="33"/>
      <c r="U50" s="33"/>
      <c r="V50" s="33"/>
      <c r="W50" s="33"/>
      <c r="X50" s="33"/>
      <c r="Y50" s="33"/>
      <c r="Z50" s="33"/>
      <c r="AA50" s="33"/>
      <c r="AB50" s="33"/>
      <c r="AC50" s="33"/>
      <c r="AD50" s="33"/>
      <c r="AE50" s="33"/>
      <c r="AF50" s="33"/>
    </row>
    <row r="51" ht="15.75" customHeight="1">
      <c r="A51" s="63" t="s">
        <v>329</v>
      </c>
      <c r="B51" s="94">
        <v>-999.0</v>
      </c>
      <c r="C51" s="37" t="s">
        <v>115</v>
      </c>
      <c r="D51" s="37" t="s">
        <v>117</v>
      </c>
      <c r="E51" s="37" t="s">
        <v>118</v>
      </c>
      <c r="F51" s="36"/>
      <c r="G51" s="36"/>
      <c r="H51" s="19"/>
      <c r="I51" s="19"/>
      <c r="J51" s="19"/>
      <c r="K51" s="19"/>
      <c r="L51" s="19"/>
      <c r="M51" s="19"/>
      <c r="N51" s="19"/>
      <c r="O51" s="19"/>
      <c r="P51" s="19"/>
      <c r="Q51" s="19"/>
      <c r="R51" s="19"/>
      <c r="S51" s="19"/>
      <c r="T51" s="19"/>
      <c r="U51" s="19"/>
      <c r="V51" s="19"/>
      <c r="W51" s="19"/>
      <c r="X51" s="19"/>
      <c r="Y51" s="19"/>
      <c r="Z51" s="19"/>
      <c r="AA51" s="19"/>
      <c r="AB51" s="19"/>
      <c r="AC51" s="19"/>
      <c r="AD51" s="19"/>
      <c r="AE51" s="19"/>
      <c r="AF51" s="19"/>
    </row>
    <row r="52" ht="15.75" customHeight="1">
      <c r="A52" s="52"/>
      <c r="B52" s="89"/>
      <c r="C52" s="52"/>
      <c r="D52" s="52"/>
      <c r="E52" s="52"/>
      <c r="F52" s="33"/>
      <c r="G52" s="33"/>
      <c r="H52" s="79"/>
      <c r="I52" s="33"/>
      <c r="J52" s="33"/>
      <c r="K52" s="33"/>
      <c r="L52" s="33"/>
      <c r="M52" s="33"/>
      <c r="N52" s="33"/>
      <c r="O52" s="33"/>
      <c r="P52" s="33"/>
      <c r="Q52" s="33"/>
      <c r="R52" s="33"/>
      <c r="S52" s="33"/>
      <c r="T52" s="33"/>
      <c r="U52" s="33"/>
      <c r="V52" s="33"/>
      <c r="W52" s="33"/>
      <c r="X52" s="33"/>
      <c r="Y52" s="33"/>
      <c r="Z52" s="33"/>
      <c r="AA52" s="33"/>
      <c r="AB52" s="33"/>
      <c r="AC52" s="33"/>
      <c r="AD52" s="33"/>
      <c r="AE52" s="33"/>
      <c r="AF52" s="33"/>
    </row>
    <row r="53" ht="15.75" customHeight="1">
      <c r="A53" s="110" t="s">
        <v>364</v>
      </c>
      <c r="B53" s="89">
        <v>0.0</v>
      </c>
      <c r="C53" s="31" t="s">
        <v>366</v>
      </c>
      <c r="D53" s="142" t="s">
        <v>367</v>
      </c>
      <c r="E53" s="100" t="s">
        <v>370</v>
      </c>
      <c r="F53" s="33"/>
      <c r="G53" s="33"/>
      <c r="H53" s="33"/>
      <c r="I53" s="33"/>
      <c r="J53" s="33"/>
      <c r="K53" s="33"/>
      <c r="L53" s="33"/>
      <c r="M53" s="33"/>
      <c r="N53" s="33"/>
      <c r="O53" s="33"/>
      <c r="P53" s="33"/>
      <c r="Q53" s="33"/>
      <c r="R53" s="33"/>
      <c r="S53" s="33"/>
      <c r="T53" s="33"/>
      <c r="U53" s="33"/>
      <c r="V53" s="33"/>
      <c r="W53" s="33"/>
      <c r="X53" s="33"/>
      <c r="Y53" s="33"/>
      <c r="Z53" s="33"/>
      <c r="AA53" s="33"/>
      <c r="AB53" s="33"/>
      <c r="AC53" s="33"/>
      <c r="AD53" s="33"/>
      <c r="AE53" s="33"/>
      <c r="AF53" s="33"/>
    </row>
    <row r="54" ht="15.75" customHeight="1">
      <c r="A54" s="110" t="s">
        <v>364</v>
      </c>
      <c r="B54" s="111">
        <v>1.0</v>
      </c>
      <c r="C54" s="112" t="s">
        <v>373</v>
      </c>
      <c r="D54" s="113" t="s">
        <v>374</v>
      </c>
      <c r="E54" s="113" t="s">
        <v>375</v>
      </c>
      <c r="F54" s="114"/>
      <c r="G54" s="114"/>
      <c r="H54" s="44"/>
      <c r="I54" s="44"/>
      <c r="J54" s="44"/>
      <c r="K54" s="44"/>
      <c r="L54" s="44"/>
      <c r="M54" s="44"/>
      <c r="N54" s="44"/>
      <c r="O54" s="44"/>
      <c r="P54" s="44"/>
      <c r="Q54" s="44"/>
      <c r="R54" s="44"/>
      <c r="S54" s="44"/>
      <c r="T54" s="44"/>
      <c r="U54" s="44"/>
      <c r="V54" s="44"/>
      <c r="W54" s="44"/>
      <c r="X54" s="44"/>
      <c r="Y54" s="44"/>
      <c r="Z54" s="44"/>
      <c r="AA54" s="44"/>
      <c r="AB54" s="44"/>
      <c r="AC54" s="44"/>
      <c r="AD54" s="44"/>
      <c r="AE54" s="44"/>
      <c r="AF54" s="44"/>
    </row>
    <row r="55" ht="15.75" customHeight="1">
      <c r="A55" s="75" t="s">
        <v>364</v>
      </c>
      <c r="B55" s="76">
        <v>2.0</v>
      </c>
      <c r="C55" s="143" t="s">
        <v>380</v>
      </c>
      <c r="D55" s="115" t="s">
        <v>381</v>
      </c>
      <c r="E55" s="115" t="s">
        <v>382</v>
      </c>
      <c r="F55" s="29"/>
      <c r="G55" s="29"/>
      <c r="H55" s="33"/>
      <c r="I55" s="33"/>
      <c r="J55" s="33"/>
      <c r="K55" s="33"/>
      <c r="L55" s="33"/>
      <c r="M55" s="33"/>
      <c r="N55" s="33"/>
      <c r="O55" s="33"/>
      <c r="P55" s="33"/>
      <c r="Q55" s="33"/>
      <c r="R55" s="33"/>
      <c r="S55" s="33"/>
      <c r="T55" s="33"/>
      <c r="U55" s="33"/>
      <c r="V55" s="33"/>
      <c r="W55" s="33"/>
      <c r="X55" s="33"/>
      <c r="Y55" s="33"/>
      <c r="Z55" s="33"/>
      <c r="AA55" s="33"/>
      <c r="AB55" s="33"/>
      <c r="AC55" s="33"/>
      <c r="AD55" s="33"/>
      <c r="AE55" s="33"/>
      <c r="AF55" s="33"/>
    </row>
    <row r="56" ht="15.75" customHeight="1">
      <c r="A56" s="75" t="s">
        <v>364</v>
      </c>
      <c r="B56" s="76">
        <v>3.0</v>
      </c>
      <c r="C56" s="143" t="s">
        <v>386</v>
      </c>
      <c r="D56" s="115" t="s">
        <v>386</v>
      </c>
      <c r="E56" s="115" t="s">
        <v>387</v>
      </c>
      <c r="F56" s="29"/>
      <c r="G56" s="29"/>
      <c r="H56" s="33"/>
      <c r="I56" s="33"/>
      <c r="J56" s="33"/>
      <c r="K56" s="33"/>
      <c r="L56" s="33"/>
      <c r="M56" s="33"/>
      <c r="N56" s="33"/>
      <c r="O56" s="33"/>
      <c r="P56" s="33"/>
      <c r="Q56" s="33"/>
      <c r="R56" s="33"/>
      <c r="S56" s="33"/>
      <c r="T56" s="33"/>
      <c r="U56" s="33"/>
      <c r="V56" s="33"/>
      <c r="W56" s="33"/>
      <c r="X56" s="33"/>
      <c r="Y56" s="33"/>
      <c r="Z56" s="33"/>
      <c r="AA56" s="33"/>
      <c r="AB56" s="33"/>
      <c r="AC56" s="33"/>
      <c r="AD56" s="33"/>
      <c r="AE56" s="33"/>
      <c r="AF56" s="33"/>
    </row>
    <row r="57" ht="15.75" customHeight="1">
      <c r="A57" s="75" t="s">
        <v>364</v>
      </c>
      <c r="B57" s="76">
        <v>4.0</v>
      </c>
      <c r="C57" s="100" t="s">
        <v>390</v>
      </c>
      <c r="D57" s="100" t="s">
        <v>391</v>
      </c>
      <c r="E57" s="145" t="s">
        <v>392</v>
      </c>
      <c r="F57" s="29"/>
      <c r="G57" s="29"/>
      <c r="H57" s="33"/>
      <c r="I57" s="33"/>
      <c r="J57" s="33"/>
      <c r="K57" s="33"/>
      <c r="L57" s="33"/>
      <c r="M57" s="33"/>
      <c r="N57" s="33"/>
      <c r="O57" s="33"/>
      <c r="P57" s="33"/>
      <c r="Q57" s="33"/>
      <c r="R57" s="33"/>
      <c r="S57" s="33"/>
      <c r="T57" s="33"/>
      <c r="U57" s="33"/>
      <c r="V57" s="33"/>
      <c r="W57" s="33"/>
      <c r="X57" s="33"/>
      <c r="Y57" s="33"/>
      <c r="Z57" s="33"/>
      <c r="AA57" s="33"/>
      <c r="AB57" s="33"/>
      <c r="AC57" s="33"/>
      <c r="AD57" s="33"/>
      <c r="AE57" s="33"/>
      <c r="AF57" s="33"/>
    </row>
    <row r="58" ht="15.75" customHeight="1">
      <c r="A58" s="75" t="s">
        <v>364</v>
      </c>
      <c r="B58" s="76">
        <v>5.0</v>
      </c>
      <c r="C58" s="100" t="s">
        <v>395</v>
      </c>
      <c r="D58" s="100" t="s">
        <v>396</v>
      </c>
      <c r="E58" s="145" t="s">
        <v>398</v>
      </c>
      <c r="F58" s="29"/>
      <c r="G58" s="29"/>
      <c r="H58" s="33"/>
      <c r="I58" s="33"/>
      <c r="J58" s="33"/>
      <c r="K58" s="33"/>
      <c r="L58" s="33"/>
      <c r="M58" s="33"/>
      <c r="N58" s="33"/>
      <c r="O58" s="33"/>
      <c r="P58" s="33"/>
      <c r="Q58" s="33"/>
      <c r="R58" s="33"/>
      <c r="S58" s="33"/>
      <c r="T58" s="33"/>
      <c r="U58" s="33"/>
      <c r="V58" s="33"/>
      <c r="W58" s="33"/>
      <c r="X58" s="33"/>
      <c r="Y58" s="33"/>
      <c r="Z58" s="33"/>
      <c r="AA58" s="33"/>
      <c r="AB58" s="33"/>
      <c r="AC58" s="33"/>
      <c r="AD58" s="33"/>
      <c r="AE58" s="33"/>
      <c r="AF58" s="33"/>
    </row>
    <row r="59" ht="15.75" customHeight="1">
      <c r="A59" s="75" t="s">
        <v>364</v>
      </c>
      <c r="B59" s="76">
        <v>6.0</v>
      </c>
      <c r="C59" s="100" t="s">
        <v>400</v>
      </c>
      <c r="D59" s="100" t="s">
        <v>401</v>
      </c>
      <c r="E59" s="145" t="s">
        <v>402</v>
      </c>
      <c r="F59" s="29"/>
      <c r="G59" s="29"/>
      <c r="H59" s="33"/>
      <c r="I59" s="33"/>
      <c r="J59" s="33"/>
      <c r="K59" s="33"/>
      <c r="L59" s="33"/>
      <c r="M59" s="33"/>
      <c r="N59" s="33"/>
      <c r="O59" s="33"/>
      <c r="P59" s="33"/>
      <c r="Q59" s="33"/>
      <c r="R59" s="33"/>
      <c r="S59" s="33"/>
      <c r="T59" s="33"/>
      <c r="U59" s="33"/>
      <c r="V59" s="33"/>
      <c r="W59" s="33"/>
      <c r="X59" s="33"/>
      <c r="Y59" s="33"/>
      <c r="Z59" s="33"/>
      <c r="AA59" s="33"/>
      <c r="AB59" s="33"/>
      <c r="AC59" s="33"/>
      <c r="AD59" s="33"/>
      <c r="AE59" s="33"/>
      <c r="AF59" s="33"/>
    </row>
    <row r="60" ht="15.75" customHeight="1">
      <c r="A60" s="75" t="s">
        <v>364</v>
      </c>
      <c r="B60" s="76">
        <v>7.0</v>
      </c>
      <c r="C60" s="100" t="s">
        <v>407</v>
      </c>
      <c r="D60" s="100" t="s">
        <v>408</v>
      </c>
      <c r="E60" s="145" t="s">
        <v>409</v>
      </c>
      <c r="F60" s="29"/>
      <c r="G60" s="29"/>
      <c r="H60" s="33"/>
      <c r="I60" s="33"/>
      <c r="J60" s="33"/>
      <c r="K60" s="33"/>
      <c r="L60" s="33"/>
      <c r="M60" s="33"/>
      <c r="N60" s="33"/>
      <c r="O60" s="33"/>
      <c r="P60" s="33"/>
      <c r="Q60" s="33"/>
      <c r="R60" s="33"/>
      <c r="S60" s="33"/>
      <c r="T60" s="33"/>
      <c r="U60" s="33"/>
      <c r="V60" s="33"/>
      <c r="W60" s="33"/>
      <c r="X60" s="33"/>
      <c r="Y60" s="33"/>
      <c r="Z60" s="33"/>
      <c r="AA60" s="33"/>
      <c r="AB60" s="33"/>
      <c r="AC60" s="33"/>
      <c r="AD60" s="33"/>
      <c r="AE60" s="33"/>
      <c r="AF60" s="33"/>
    </row>
    <row r="61" ht="15.75" customHeight="1">
      <c r="A61" s="75" t="s">
        <v>364</v>
      </c>
      <c r="B61" s="76">
        <v>8.0</v>
      </c>
      <c r="C61" s="100" t="s">
        <v>411</v>
      </c>
      <c r="D61" s="100" t="s">
        <v>412</v>
      </c>
      <c r="E61" s="145" t="s">
        <v>413</v>
      </c>
      <c r="F61" s="29"/>
      <c r="G61" s="29"/>
      <c r="H61" s="33"/>
      <c r="I61" s="33"/>
      <c r="J61" s="33"/>
      <c r="K61" s="33"/>
      <c r="L61" s="33"/>
      <c r="M61" s="33"/>
      <c r="N61" s="33"/>
      <c r="O61" s="33"/>
      <c r="P61" s="33"/>
      <c r="Q61" s="33"/>
      <c r="R61" s="33"/>
      <c r="S61" s="33"/>
      <c r="T61" s="33"/>
      <c r="U61" s="33"/>
      <c r="V61" s="33"/>
      <c r="W61" s="33"/>
      <c r="X61" s="33"/>
      <c r="Y61" s="33"/>
      <c r="Z61" s="33"/>
      <c r="AA61" s="33"/>
      <c r="AB61" s="33"/>
      <c r="AC61" s="33"/>
      <c r="AD61" s="33"/>
      <c r="AE61" s="33"/>
      <c r="AF61" s="33"/>
    </row>
    <row r="62" ht="15.75" customHeight="1">
      <c r="A62" s="63" t="s">
        <v>364</v>
      </c>
      <c r="B62" s="94">
        <v>-777.0</v>
      </c>
      <c r="C62" s="95" t="s">
        <v>417</v>
      </c>
      <c r="D62" s="95" t="s">
        <v>418</v>
      </c>
      <c r="E62" s="37" t="s">
        <v>419</v>
      </c>
      <c r="F62" s="36"/>
      <c r="G62" s="36"/>
      <c r="H62" s="19"/>
      <c r="I62" s="19"/>
      <c r="J62" s="19"/>
      <c r="K62" s="19"/>
      <c r="L62" s="19"/>
      <c r="M62" s="19"/>
      <c r="N62" s="19"/>
      <c r="O62" s="19"/>
      <c r="P62" s="19"/>
      <c r="Q62" s="19"/>
      <c r="R62" s="19"/>
      <c r="S62" s="19"/>
      <c r="T62" s="19"/>
      <c r="U62" s="19"/>
      <c r="V62" s="19"/>
      <c r="W62" s="19"/>
      <c r="X62" s="19"/>
      <c r="Y62" s="19"/>
      <c r="Z62" s="19"/>
      <c r="AA62" s="19"/>
      <c r="AB62" s="19"/>
      <c r="AC62" s="19"/>
      <c r="AD62" s="19"/>
      <c r="AE62" s="19"/>
      <c r="AF62" s="19"/>
    </row>
    <row r="63" ht="15.75" customHeight="1">
      <c r="A63" s="52"/>
      <c r="B63" s="89"/>
      <c r="C63" s="52"/>
      <c r="D63" s="52"/>
      <c r="E63" s="52"/>
      <c r="F63" s="33"/>
      <c r="G63" s="33"/>
      <c r="H63" s="79"/>
      <c r="I63" s="33"/>
      <c r="J63" s="33"/>
      <c r="K63" s="33"/>
      <c r="L63" s="33"/>
      <c r="M63" s="33"/>
      <c r="N63" s="33"/>
      <c r="O63" s="33"/>
      <c r="P63" s="33"/>
      <c r="Q63" s="33"/>
      <c r="R63" s="33"/>
      <c r="S63" s="33"/>
      <c r="T63" s="33"/>
      <c r="U63" s="33"/>
      <c r="V63" s="33"/>
      <c r="W63" s="33"/>
      <c r="X63" s="33"/>
      <c r="Y63" s="33"/>
      <c r="Z63" s="33"/>
      <c r="AA63" s="33"/>
      <c r="AB63" s="33"/>
      <c r="AC63" s="33"/>
      <c r="AD63" s="33"/>
      <c r="AE63" s="33"/>
      <c r="AF63" s="33"/>
    </row>
    <row r="64" ht="15.75" customHeight="1">
      <c r="A64" s="75" t="s">
        <v>425</v>
      </c>
      <c r="B64" s="75">
        <v>1.0</v>
      </c>
      <c r="C64" s="75" t="s">
        <v>426</v>
      </c>
      <c r="D64" s="75" t="s">
        <v>427</v>
      </c>
      <c r="E64" s="75" t="s">
        <v>428</v>
      </c>
      <c r="F64" s="114"/>
      <c r="G64" s="114"/>
      <c r="H64" s="44"/>
      <c r="I64" s="44"/>
      <c r="J64" s="44"/>
      <c r="K64" s="44"/>
      <c r="L64" s="44"/>
      <c r="M64" s="44"/>
      <c r="N64" s="44"/>
      <c r="O64" s="44"/>
      <c r="P64" s="44"/>
      <c r="Q64" s="44"/>
      <c r="R64" s="44"/>
      <c r="S64" s="44"/>
      <c r="T64" s="44"/>
      <c r="U64" s="44"/>
      <c r="V64" s="44"/>
      <c r="W64" s="44"/>
      <c r="X64" s="44"/>
      <c r="Y64" s="44"/>
      <c r="Z64" s="44"/>
      <c r="AA64" s="44"/>
      <c r="AB64" s="44"/>
      <c r="AC64" s="44"/>
      <c r="AD64" s="44"/>
      <c r="AE64" s="44"/>
      <c r="AF64" s="44"/>
    </row>
    <row r="65" ht="15.75" customHeight="1">
      <c r="A65" s="75" t="s">
        <v>425</v>
      </c>
      <c r="B65" s="75">
        <v>2.0</v>
      </c>
      <c r="C65" s="75" t="s">
        <v>432</v>
      </c>
      <c r="D65" s="75" t="s">
        <v>433</v>
      </c>
      <c r="E65" s="75" t="s">
        <v>434</v>
      </c>
      <c r="F65" s="29"/>
      <c r="G65" s="29"/>
      <c r="H65" s="33"/>
      <c r="I65" s="33"/>
      <c r="J65" s="33"/>
      <c r="K65" s="33"/>
      <c r="L65" s="33"/>
      <c r="M65" s="33"/>
      <c r="N65" s="33"/>
      <c r="O65" s="33"/>
      <c r="P65" s="33"/>
      <c r="Q65" s="33"/>
      <c r="R65" s="33"/>
      <c r="S65" s="33"/>
      <c r="T65" s="33"/>
      <c r="U65" s="33"/>
      <c r="V65" s="33"/>
      <c r="W65" s="33"/>
      <c r="X65" s="33"/>
      <c r="Y65" s="33"/>
      <c r="Z65" s="33"/>
      <c r="AA65" s="33"/>
      <c r="AB65" s="33"/>
      <c r="AC65" s="33"/>
      <c r="AD65" s="33"/>
      <c r="AE65" s="33"/>
      <c r="AF65" s="33"/>
    </row>
    <row r="66" ht="15.75" customHeight="1">
      <c r="A66" s="75" t="s">
        <v>425</v>
      </c>
      <c r="B66" s="75">
        <v>3.0</v>
      </c>
      <c r="C66" s="75" t="s">
        <v>436</v>
      </c>
      <c r="D66" s="75" t="s">
        <v>437</v>
      </c>
      <c r="E66" s="75" t="s">
        <v>438</v>
      </c>
      <c r="F66" s="36"/>
      <c r="G66" s="36"/>
      <c r="H66" s="19"/>
      <c r="I66" s="19"/>
      <c r="J66" s="19"/>
      <c r="K66" s="19"/>
      <c r="L66" s="19"/>
      <c r="M66" s="19"/>
      <c r="N66" s="19"/>
      <c r="O66" s="19"/>
      <c r="P66" s="19"/>
      <c r="Q66" s="19"/>
      <c r="R66" s="19"/>
      <c r="S66" s="19"/>
      <c r="T66" s="19"/>
      <c r="U66" s="19"/>
      <c r="V66" s="19"/>
      <c r="W66" s="19"/>
      <c r="X66" s="19"/>
      <c r="Y66" s="19"/>
      <c r="Z66" s="19"/>
      <c r="AA66" s="19"/>
      <c r="AB66" s="19"/>
      <c r="AC66" s="19"/>
      <c r="AD66" s="19"/>
      <c r="AE66" s="19"/>
      <c r="AF66" s="19"/>
    </row>
    <row r="67" ht="15.75" customHeight="1">
      <c r="A67" s="75"/>
      <c r="B67" s="75"/>
      <c r="C67" s="75"/>
      <c r="D67" s="75"/>
      <c r="E67" s="75"/>
      <c r="F67" s="33"/>
      <c r="G67" s="33"/>
      <c r="H67" s="79"/>
      <c r="I67" s="33"/>
      <c r="J67" s="33"/>
      <c r="K67" s="33"/>
      <c r="L67" s="33"/>
      <c r="M67" s="33"/>
      <c r="N67" s="33"/>
      <c r="O67" s="33"/>
      <c r="P67" s="33"/>
      <c r="Q67" s="33"/>
      <c r="R67" s="33"/>
      <c r="S67" s="33"/>
      <c r="T67" s="33"/>
      <c r="U67" s="33"/>
      <c r="V67" s="33"/>
      <c r="W67" s="33"/>
      <c r="X67" s="33"/>
      <c r="Y67" s="33"/>
      <c r="Z67" s="33"/>
      <c r="AA67" s="33"/>
      <c r="AB67" s="33"/>
      <c r="AC67" s="33"/>
      <c r="AD67" s="33"/>
      <c r="AE67" s="33"/>
      <c r="AF67" s="33"/>
    </row>
    <row r="68" ht="15.75" customHeight="1">
      <c r="A68" s="147" t="s">
        <v>444</v>
      </c>
      <c r="B68" s="148">
        <v>1.0</v>
      </c>
      <c r="C68" s="149" t="s">
        <v>445</v>
      </c>
      <c r="D68" s="149" t="s">
        <v>447</v>
      </c>
      <c r="E68" s="149" t="s">
        <v>448</v>
      </c>
      <c r="F68" s="151"/>
      <c r="G68" s="151"/>
      <c r="H68" s="33"/>
      <c r="I68" s="33"/>
      <c r="J68" s="33"/>
      <c r="K68" s="33"/>
      <c r="L68" s="33"/>
      <c r="M68" s="33"/>
      <c r="N68" s="33"/>
      <c r="O68" s="33"/>
      <c r="P68" s="33"/>
      <c r="Q68" s="33"/>
      <c r="R68" s="33"/>
      <c r="S68" s="33"/>
      <c r="T68" s="33"/>
      <c r="U68" s="33"/>
      <c r="V68" s="33"/>
      <c r="W68" s="33"/>
      <c r="X68" s="33"/>
      <c r="Y68" s="33"/>
      <c r="Z68" s="33"/>
      <c r="AA68" s="33"/>
      <c r="AB68" s="33"/>
      <c r="AC68" s="33"/>
      <c r="AD68" s="33"/>
      <c r="AE68" s="33"/>
      <c r="AF68" s="33"/>
    </row>
    <row r="69" ht="15.75" customHeight="1">
      <c r="A69" s="75" t="s">
        <v>444</v>
      </c>
      <c r="B69" s="76">
        <v>2.0</v>
      </c>
      <c r="C69" s="31" t="s">
        <v>460</v>
      </c>
      <c r="D69" s="31" t="s">
        <v>461</v>
      </c>
      <c r="E69" s="78" t="s">
        <v>462</v>
      </c>
      <c r="F69" s="29"/>
      <c r="G69" s="29"/>
      <c r="H69" s="33"/>
      <c r="I69" s="33"/>
      <c r="J69" s="33"/>
      <c r="K69" s="33"/>
      <c r="L69" s="33"/>
      <c r="M69" s="33"/>
      <c r="N69" s="33"/>
      <c r="O69" s="33"/>
      <c r="P69" s="33"/>
      <c r="Q69" s="33"/>
      <c r="R69" s="33"/>
      <c r="S69" s="33"/>
      <c r="T69" s="33"/>
      <c r="U69" s="33"/>
      <c r="V69" s="33"/>
      <c r="W69" s="33"/>
      <c r="X69" s="33"/>
      <c r="Y69" s="33"/>
      <c r="Z69" s="33"/>
      <c r="AA69" s="33"/>
      <c r="AB69" s="33"/>
      <c r="AC69" s="33"/>
      <c r="AD69" s="33"/>
      <c r="AE69" s="33"/>
      <c r="AF69" s="33"/>
    </row>
    <row r="70" ht="15.75" customHeight="1">
      <c r="A70" s="75" t="s">
        <v>444</v>
      </c>
      <c r="B70" s="76">
        <v>3.0</v>
      </c>
      <c r="C70" s="31" t="s">
        <v>468</v>
      </c>
      <c r="D70" s="31" t="s">
        <v>469</v>
      </c>
      <c r="E70" s="78" t="s">
        <v>470</v>
      </c>
      <c r="F70" s="29"/>
      <c r="G70" s="29"/>
      <c r="H70" s="33"/>
      <c r="I70" s="33"/>
      <c r="J70" s="33"/>
      <c r="K70" s="33"/>
      <c r="L70" s="33"/>
      <c r="M70" s="33"/>
      <c r="N70" s="33"/>
      <c r="O70" s="33"/>
      <c r="P70" s="33"/>
      <c r="Q70" s="33"/>
      <c r="R70" s="33"/>
      <c r="S70" s="33"/>
      <c r="T70" s="33"/>
      <c r="U70" s="33"/>
      <c r="V70" s="33"/>
      <c r="W70" s="33"/>
      <c r="X70" s="33"/>
      <c r="Y70" s="33"/>
      <c r="Z70" s="33"/>
      <c r="AA70" s="33"/>
      <c r="AB70" s="33"/>
      <c r="AC70" s="33"/>
      <c r="AD70" s="33"/>
      <c r="AE70" s="33"/>
      <c r="AF70" s="33"/>
    </row>
    <row r="71" ht="15.75" customHeight="1">
      <c r="A71" s="75" t="s">
        <v>444</v>
      </c>
      <c r="B71" s="76">
        <v>4.0</v>
      </c>
      <c r="C71" s="31" t="s">
        <v>476</v>
      </c>
      <c r="D71" s="31" t="s">
        <v>477</v>
      </c>
      <c r="E71" s="78" t="s">
        <v>478</v>
      </c>
      <c r="F71" s="162"/>
      <c r="G71" s="162"/>
      <c r="H71" s="33"/>
      <c r="I71" s="33"/>
      <c r="J71" s="33"/>
      <c r="K71" s="33"/>
      <c r="L71" s="33"/>
      <c r="M71" s="33"/>
      <c r="N71" s="33"/>
      <c r="O71" s="33"/>
      <c r="P71" s="33"/>
      <c r="Q71" s="33"/>
      <c r="R71" s="33"/>
      <c r="S71" s="33"/>
      <c r="T71" s="33"/>
      <c r="U71" s="33"/>
      <c r="V71" s="33"/>
      <c r="W71" s="33"/>
      <c r="X71" s="33"/>
      <c r="Y71" s="33"/>
      <c r="Z71" s="33"/>
      <c r="AA71" s="33"/>
      <c r="AB71" s="33"/>
      <c r="AC71" s="33"/>
      <c r="AD71" s="33"/>
      <c r="AE71" s="33"/>
      <c r="AF71" s="33"/>
    </row>
    <row r="72" ht="15.75" customHeight="1">
      <c r="A72" s="75" t="s">
        <v>444</v>
      </c>
      <c r="B72" s="76">
        <v>5.0</v>
      </c>
      <c r="C72" s="31" t="s">
        <v>484</v>
      </c>
      <c r="D72" s="31" t="s">
        <v>486</v>
      </c>
      <c r="E72" s="78" t="s">
        <v>489</v>
      </c>
      <c r="F72" s="162"/>
      <c r="G72" s="29"/>
      <c r="H72" s="33"/>
      <c r="I72" s="33"/>
      <c r="J72" s="33"/>
      <c r="K72" s="33"/>
      <c r="L72" s="33"/>
      <c r="M72" s="33"/>
      <c r="N72" s="33"/>
      <c r="O72" s="33"/>
      <c r="P72" s="33"/>
      <c r="Q72" s="33"/>
      <c r="R72" s="33"/>
      <c r="S72" s="33"/>
      <c r="T72" s="33"/>
      <c r="U72" s="33"/>
      <c r="V72" s="33"/>
      <c r="W72" s="33"/>
      <c r="X72" s="33"/>
      <c r="Y72" s="33"/>
      <c r="Z72" s="33"/>
      <c r="AA72" s="33"/>
      <c r="AB72" s="33"/>
      <c r="AC72" s="33"/>
      <c r="AD72" s="33"/>
      <c r="AE72" s="33"/>
      <c r="AF72" s="33"/>
    </row>
    <row r="73" ht="15.75" customHeight="1">
      <c r="A73" s="75" t="s">
        <v>444</v>
      </c>
      <c r="B73" s="76">
        <v>6.0</v>
      </c>
      <c r="C73" s="31" t="s">
        <v>492</v>
      </c>
      <c r="D73" s="31" t="s">
        <v>493</v>
      </c>
      <c r="E73" s="78" t="s">
        <v>493</v>
      </c>
      <c r="F73" s="162"/>
      <c r="G73" s="162"/>
      <c r="H73" s="33"/>
      <c r="I73" s="33"/>
      <c r="J73" s="33"/>
      <c r="K73" s="33"/>
      <c r="L73" s="33"/>
      <c r="M73" s="33"/>
      <c r="N73" s="33"/>
      <c r="O73" s="33"/>
      <c r="P73" s="33"/>
      <c r="Q73" s="33"/>
      <c r="R73" s="33"/>
      <c r="S73" s="33"/>
      <c r="T73" s="33"/>
      <c r="U73" s="33"/>
      <c r="V73" s="33"/>
      <c r="W73" s="33"/>
      <c r="X73" s="33"/>
      <c r="Y73" s="33"/>
      <c r="Z73" s="33"/>
      <c r="AA73" s="33"/>
      <c r="AB73" s="33"/>
      <c r="AC73" s="33"/>
      <c r="AD73" s="33"/>
      <c r="AE73" s="33"/>
      <c r="AF73" s="33"/>
    </row>
    <row r="74" ht="15.75" customHeight="1">
      <c r="A74" s="75" t="s">
        <v>444</v>
      </c>
      <c r="B74" s="76">
        <v>-777.0</v>
      </c>
      <c r="C74" s="31" t="s">
        <v>417</v>
      </c>
      <c r="D74" s="31" t="s">
        <v>418</v>
      </c>
      <c r="E74" s="31" t="s">
        <v>419</v>
      </c>
      <c r="F74" s="29"/>
      <c r="G74" s="29"/>
      <c r="H74" s="33"/>
      <c r="I74" s="33"/>
      <c r="J74" s="33"/>
      <c r="K74" s="33"/>
      <c r="L74" s="33"/>
      <c r="M74" s="33"/>
      <c r="N74" s="33"/>
      <c r="O74" s="33"/>
      <c r="P74" s="33"/>
      <c r="Q74" s="33"/>
      <c r="R74" s="33"/>
      <c r="S74" s="33"/>
      <c r="T74" s="33"/>
      <c r="U74" s="33"/>
      <c r="V74" s="33"/>
      <c r="W74" s="33"/>
      <c r="X74" s="33"/>
      <c r="Y74" s="33"/>
      <c r="Z74" s="33"/>
      <c r="AA74" s="33"/>
      <c r="AB74" s="33"/>
      <c r="AC74" s="33"/>
      <c r="AD74" s="33"/>
      <c r="AE74" s="33"/>
      <c r="AF74" s="33"/>
    </row>
    <row r="75" ht="15.75" customHeight="1">
      <c r="A75" s="75" t="s">
        <v>444</v>
      </c>
      <c r="B75" s="76">
        <v>0.0</v>
      </c>
      <c r="C75" s="31" t="s">
        <v>199</v>
      </c>
      <c r="D75" s="31" t="s">
        <v>201</v>
      </c>
      <c r="E75" s="31" t="s">
        <v>203</v>
      </c>
      <c r="F75" s="29"/>
      <c r="G75" s="29"/>
      <c r="H75" s="33"/>
      <c r="I75" s="33"/>
      <c r="J75" s="33"/>
      <c r="K75" s="33"/>
      <c r="L75" s="33"/>
      <c r="M75" s="33"/>
      <c r="N75" s="33"/>
      <c r="O75" s="33"/>
      <c r="P75" s="33"/>
      <c r="Q75" s="33"/>
      <c r="R75" s="33"/>
      <c r="S75" s="33"/>
      <c r="T75" s="33"/>
      <c r="U75" s="33"/>
      <c r="V75" s="33"/>
      <c r="W75" s="33"/>
      <c r="X75" s="33"/>
      <c r="Y75" s="33"/>
      <c r="Z75" s="33"/>
      <c r="AA75" s="33"/>
      <c r="AB75" s="33"/>
      <c r="AC75" s="33"/>
      <c r="AD75" s="33"/>
      <c r="AE75" s="33"/>
      <c r="AF75" s="33"/>
    </row>
    <row r="76" ht="15.75" customHeight="1">
      <c r="A76" s="100"/>
      <c r="B76" s="100"/>
      <c r="C76" s="100"/>
      <c r="D76" s="100"/>
      <c r="E76" s="100"/>
      <c r="F76" s="33"/>
      <c r="G76" s="33"/>
      <c r="H76" s="33"/>
      <c r="I76" s="33"/>
      <c r="J76" s="33"/>
      <c r="K76" s="33"/>
      <c r="L76" s="33"/>
      <c r="M76" s="33"/>
      <c r="N76" s="33"/>
      <c r="O76" s="33"/>
      <c r="P76" s="33"/>
      <c r="Q76" s="33"/>
      <c r="R76" s="33"/>
      <c r="S76" s="33"/>
      <c r="T76" s="33"/>
      <c r="U76" s="33"/>
      <c r="V76" s="33"/>
      <c r="W76" s="33"/>
      <c r="X76" s="33"/>
      <c r="Y76" s="33"/>
      <c r="Z76" s="33"/>
      <c r="AA76" s="33"/>
      <c r="AB76" s="33"/>
      <c r="AC76" s="33"/>
      <c r="AD76" s="33"/>
      <c r="AE76" s="33"/>
      <c r="AF76" s="33"/>
    </row>
    <row r="77" ht="15.75" customHeight="1">
      <c r="A77" s="110" t="s">
        <v>525</v>
      </c>
      <c r="B77" s="111">
        <v>0.0</v>
      </c>
      <c r="C77" s="116" t="s">
        <v>526</v>
      </c>
      <c r="D77" s="116" t="s">
        <v>528</v>
      </c>
      <c r="E77" s="116" t="s">
        <v>530</v>
      </c>
      <c r="F77" s="114"/>
      <c r="G77" s="114"/>
      <c r="H77" s="44"/>
      <c r="I77" s="44"/>
      <c r="J77" s="44"/>
      <c r="K77" s="44"/>
      <c r="L77" s="44"/>
      <c r="M77" s="44"/>
      <c r="N77" s="44"/>
      <c r="O77" s="44"/>
      <c r="P77" s="44"/>
      <c r="Q77" s="44"/>
      <c r="R77" s="44"/>
      <c r="S77" s="44"/>
      <c r="T77" s="44"/>
      <c r="U77" s="44"/>
      <c r="V77" s="44"/>
      <c r="W77" s="44"/>
      <c r="X77" s="44"/>
      <c r="Y77" s="44"/>
      <c r="Z77" s="44"/>
      <c r="AA77" s="44"/>
      <c r="AB77" s="33"/>
      <c r="AC77" s="33"/>
      <c r="AD77" s="33"/>
      <c r="AE77" s="33"/>
      <c r="AF77" s="33"/>
    </row>
    <row r="78" ht="15.75" customHeight="1">
      <c r="A78" s="75" t="s">
        <v>525</v>
      </c>
      <c r="B78" s="76">
        <v>1.0</v>
      </c>
      <c r="C78" s="31" t="s">
        <v>538</v>
      </c>
      <c r="D78" s="31" t="s">
        <v>539</v>
      </c>
      <c r="E78" s="31" t="s">
        <v>540</v>
      </c>
      <c r="F78" s="29"/>
      <c r="G78" s="29"/>
      <c r="H78" s="33"/>
      <c r="I78" s="33"/>
      <c r="J78" s="33"/>
      <c r="K78" s="33"/>
      <c r="L78" s="33"/>
      <c r="M78" s="33"/>
      <c r="N78" s="33"/>
      <c r="O78" s="33"/>
      <c r="P78" s="33"/>
      <c r="Q78" s="33"/>
      <c r="R78" s="33"/>
      <c r="S78" s="33"/>
      <c r="T78" s="33"/>
      <c r="U78" s="33"/>
      <c r="V78" s="33"/>
      <c r="W78" s="33"/>
      <c r="X78" s="33"/>
      <c r="Y78" s="33"/>
      <c r="Z78" s="33"/>
      <c r="AA78" s="33"/>
      <c r="AB78" s="33"/>
      <c r="AC78" s="33"/>
      <c r="AD78" s="33"/>
      <c r="AE78" s="33"/>
      <c r="AF78" s="33"/>
    </row>
    <row r="79" ht="15.75" customHeight="1">
      <c r="A79" s="75" t="s">
        <v>525</v>
      </c>
      <c r="B79" s="76">
        <v>2.0</v>
      </c>
      <c r="C79" s="31" t="s">
        <v>541</v>
      </c>
      <c r="D79" s="31" t="s">
        <v>544</v>
      </c>
      <c r="E79" s="78" t="s">
        <v>546</v>
      </c>
      <c r="F79" s="29"/>
      <c r="G79" s="29"/>
      <c r="H79" s="33"/>
      <c r="I79" s="33"/>
      <c r="J79" s="33"/>
      <c r="K79" s="33"/>
      <c r="L79" s="33"/>
      <c r="M79" s="33"/>
      <c r="N79" s="33"/>
      <c r="O79" s="33"/>
      <c r="P79" s="33"/>
      <c r="Q79" s="33"/>
      <c r="R79" s="33"/>
      <c r="S79" s="33"/>
      <c r="T79" s="33"/>
      <c r="U79" s="33"/>
      <c r="V79" s="33"/>
      <c r="W79" s="33"/>
      <c r="X79" s="33"/>
      <c r="Y79" s="33"/>
      <c r="Z79" s="33"/>
      <c r="AA79" s="33"/>
      <c r="AB79" s="33"/>
      <c r="AC79" s="33"/>
      <c r="AD79" s="33"/>
      <c r="AE79" s="33"/>
      <c r="AF79" s="33"/>
    </row>
    <row r="80" ht="15.75" customHeight="1">
      <c r="A80" s="63" t="s">
        <v>525</v>
      </c>
      <c r="B80" s="94">
        <v>3.0</v>
      </c>
      <c r="C80" s="37" t="s">
        <v>548</v>
      </c>
      <c r="D80" s="31" t="s">
        <v>549</v>
      </c>
      <c r="E80" s="31" t="s">
        <v>550</v>
      </c>
      <c r="F80" s="36"/>
      <c r="G80" s="36"/>
      <c r="H80" s="19"/>
      <c r="I80" s="19"/>
      <c r="J80" s="19"/>
      <c r="K80" s="19"/>
      <c r="L80" s="19"/>
      <c r="M80" s="19"/>
      <c r="N80" s="19"/>
      <c r="O80" s="19"/>
      <c r="P80" s="19"/>
      <c r="Q80" s="19"/>
      <c r="R80" s="19"/>
      <c r="S80" s="19"/>
      <c r="T80" s="19"/>
      <c r="U80" s="19"/>
      <c r="V80" s="19"/>
      <c r="W80" s="19"/>
      <c r="X80" s="19"/>
      <c r="Y80" s="19"/>
      <c r="Z80" s="19"/>
      <c r="AA80" s="19"/>
      <c r="AB80" s="33"/>
      <c r="AC80" s="33"/>
      <c r="AD80" s="33"/>
      <c r="AE80" s="33"/>
      <c r="AF80" s="33"/>
    </row>
    <row r="81" ht="15.75" customHeight="1">
      <c r="A81" s="100"/>
      <c r="B81" s="100"/>
      <c r="C81" s="100"/>
      <c r="D81" s="100"/>
      <c r="E81" s="100"/>
      <c r="F81" s="33"/>
      <c r="G81" s="33"/>
      <c r="H81" s="33"/>
      <c r="I81" s="33"/>
      <c r="J81" s="33"/>
      <c r="K81" s="33"/>
      <c r="L81" s="33"/>
      <c r="M81" s="33"/>
      <c r="N81" s="33"/>
      <c r="O81" s="33"/>
      <c r="P81" s="33"/>
      <c r="Q81" s="33"/>
      <c r="R81" s="33"/>
      <c r="S81" s="33"/>
      <c r="T81" s="33"/>
      <c r="U81" s="33"/>
      <c r="V81" s="33"/>
      <c r="W81" s="33"/>
      <c r="X81" s="33"/>
      <c r="Y81" s="33"/>
      <c r="Z81" s="33"/>
      <c r="AA81" s="33"/>
      <c r="AB81" s="33"/>
      <c r="AC81" s="33"/>
      <c r="AD81" s="33"/>
      <c r="AE81" s="33"/>
      <c r="AF81" s="33"/>
    </row>
    <row r="82" ht="15.75" customHeight="1">
      <c r="A82" s="110" t="s">
        <v>242</v>
      </c>
      <c r="B82" s="111">
        <v>1.0</v>
      </c>
      <c r="C82" s="116" t="s">
        <v>243</v>
      </c>
      <c r="D82" s="116" t="s">
        <v>244</v>
      </c>
      <c r="E82" s="116" t="s">
        <v>245</v>
      </c>
      <c r="F82" s="114"/>
      <c r="G82" s="114"/>
      <c r="H82" s="44"/>
      <c r="I82" s="44"/>
      <c r="J82" s="44"/>
      <c r="K82" s="44"/>
      <c r="L82" s="44"/>
      <c r="M82" s="44"/>
      <c r="N82" s="44"/>
      <c r="O82" s="44"/>
      <c r="P82" s="44"/>
      <c r="Q82" s="44"/>
      <c r="R82" s="44"/>
      <c r="S82" s="44"/>
      <c r="T82" s="44"/>
      <c r="U82" s="44"/>
      <c r="V82" s="44"/>
      <c r="W82" s="44"/>
      <c r="X82" s="44"/>
      <c r="Y82" s="44"/>
      <c r="Z82" s="44"/>
      <c r="AA82" s="44"/>
      <c r="AB82" s="44"/>
      <c r="AC82" s="44"/>
      <c r="AD82" s="44"/>
      <c r="AE82" s="44"/>
      <c r="AF82" s="44"/>
    </row>
    <row r="83" ht="15.75" customHeight="1">
      <c r="A83" s="75" t="s">
        <v>242</v>
      </c>
      <c r="B83" s="76">
        <v>2.0</v>
      </c>
      <c r="C83" s="31" t="s">
        <v>249</v>
      </c>
      <c r="D83" s="31" t="s">
        <v>250</v>
      </c>
      <c r="E83" s="78" t="s">
        <v>251</v>
      </c>
      <c r="F83" s="29"/>
      <c r="G83" s="29"/>
      <c r="H83" s="33"/>
      <c r="I83" s="33"/>
      <c r="J83" s="33"/>
      <c r="K83" s="33"/>
      <c r="L83" s="33"/>
      <c r="M83" s="33"/>
      <c r="N83" s="33"/>
      <c r="O83" s="33"/>
      <c r="P83" s="33"/>
      <c r="Q83" s="33"/>
      <c r="R83" s="33"/>
      <c r="S83" s="33"/>
      <c r="T83" s="33"/>
      <c r="U83" s="33"/>
      <c r="V83" s="33"/>
      <c r="W83" s="33"/>
      <c r="X83" s="33"/>
      <c r="Y83" s="33"/>
      <c r="Z83" s="33"/>
      <c r="AA83" s="33"/>
      <c r="AB83" s="33"/>
      <c r="AC83" s="33"/>
      <c r="AD83" s="33"/>
      <c r="AE83" s="33"/>
      <c r="AF83" s="33"/>
    </row>
    <row r="84" ht="15.75" customHeight="1">
      <c r="A84" s="75" t="s">
        <v>242</v>
      </c>
      <c r="B84" s="76">
        <v>3.0</v>
      </c>
      <c r="C84" s="31" t="s">
        <v>254</v>
      </c>
      <c r="D84" s="31" t="s">
        <v>255</v>
      </c>
      <c r="E84" s="31" t="s">
        <v>256</v>
      </c>
      <c r="F84" s="29"/>
      <c r="G84" s="29"/>
      <c r="H84" s="33"/>
      <c r="I84" s="33"/>
      <c r="J84" s="33"/>
      <c r="K84" s="33"/>
      <c r="L84" s="33"/>
      <c r="M84" s="33"/>
      <c r="N84" s="33"/>
      <c r="O84" s="33"/>
      <c r="P84" s="33"/>
      <c r="Q84" s="33"/>
      <c r="R84" s="33"/>
      <c r="S84" s="33"/>
      <c r="T84" s="33"/>
      <c r="U84" s="33"/>
      <c r="V84" s="33"/>
      <c r="W84" s="33"/>
      <c r="X84" s="33"/>
      <c r="Y84" s="33"/>
      <c r="Z84" s="33"/>
      <c r="AA84" s="33"/>
      <c r="AB84" s="33"/>
      <c r="AC84" s="33"/>
      <c r="AD84" s="33"/>
      <c r="AE84" s="33"/>
      <c r="AF84" s="33"/>
    </row>
    <row r="85" ht="15.75" customHeight="1">
      <c r="A85" s="75" t="s">
        <v>242</v>
      </c>
      <c r="B85" s="76">
        <v>4.0</v>
      </c>
      <c r="C85" s="31" t="s">
        <v>260</v>
      </c>
      <c r="D85" s="31" t="s">
        <v>261</v>
      </c>
      <c r="E85" s="31" t="s">
        <v>262</v>
      </c>
      <c r="F85" s="29"/>
      <c r="G85" s="29"/>
      <c r="H85" s="33"/>
      <c r="I85" s="33"/>
      <c r="J85" s="33"/>
      <c r="K85" s="33"/>
      <c r="L85" s="33"/>
      <c r="M85" s="33"/>
      <c r="N85" s="33"/>
      <c r="O85" s="33"/>
      <c r="P85" s="33"/>
      <c r="Q85" s="33"/>
      <c r="R85" s="33"/>
      <c r="S85" s="33"/>
      <c r="T85" s="33"/>
      <c r="U85" s="33"/>
      <c r="V85" s="33"/>
      <c r="W85" s="33"/>
      <c r="X85" s="33"/>
      <c r="Y85" s="33"/>
      <c r="Z85" s="33"/>
      <c r="AA85" s="33"/>
      <c r="AB85" s="33"/>
      <c r="AC85" s="33"/>
      <c r="AD85" s="33"/>
      <c r="AE85" s="33"/>
      <c r="AF85" s="33"/>
    </row>
    <row r="86" ht="15.75" customHeight="1">
      <c r="A86" s="75" t="s">
        <v>242</v>
      </c>
      <c r="B86" s="76">
        <v>5.0</v>
      </c>
      <c r="C86" s="31" t="s">
        <v>267</v>
      </c>
      <c r="D86" s="31" t="s">
        <v>268</v>
      </c>
      <c r="E86" s="78" t="s">
        <v>269</v>
      </c>
      <c r="F86" s="29"/>
      <c r="G86" s="29"/>
      <c r="H86" s="33"/>
      <c r="I86" s="33"/>
      <c r="J86" s="33"/>
      <c r="K86" s="33"/>
      <c r="L86" s="33"/>
      <c r="M86" s="33"/>
      <c r="N86" s="33"/>
      <c r="O86" s="33"/>
      <c r="P86" s="33"/>
      <c r="Q86" s="33"/>
      <c r="R86" s="33"/>
      <c r="S86" s="33"/>
      <c r="T86" s="33"/>
      <c r="U86" s="33"/>
      <c r="V86" s="33"/>
      <c r="W86" s="33"/>
      <c r="X86" s="33"/>
      <c r="Y86" s="33"/>
      <c r="Z86" s="33"/>
      <c r="AA86" s="33"/>
      <c r="AB86" s="33"/>
      <c r="AC86" s="33"/>
      <c r="AD86" s="33"/>
      <c r="AE86" s="33"/>
      <c r="AF86" s="33"/>
    </row>
    <row r="87" ht="15.75" customHeight="1">
      <c r="A87" s="75" t="s">
        <v>242</v>
      </c>
      <c r="B87" s="76">
        <v>6.0</v>
      </c>
      <c r="C87" s="31" t="s">
        <v>272</v>
      </c>
      <c r="D87" s="31" t="s">
        <v>273</v>
      </c>
      <c r="E87" s="78" t="s">
        <v>274</v>
      </c>
      <c r="F87" s="162"/>
      <c r="G87" s="29"/>
      <c r="H87" s="33"/>
      <c r="I87" s="33"/>
      <c r="J87" s="33"/>
      <c r="K87" s="33"/>
      <c r="L87" s="33"/>
      <c r="M87" s="33"/>
      <c r="N87" s="33"/>
      <c r="O87" s="33"/>
      <c r="P87" s="33"/>
      <c r="Q87" s="33"/>
      <c r="R87" s="33"/>
      <c r="S87" s="33"/>
      <c r="T87" s="33"/>
      <c r="U87" s="33"/>
      <c r="V87" s="33"/>
      <c r="W87" s="33"/>
      <c r="X87" s="33"/>
      <c r="Y87" s="33"/>
      <c r="Z87" s="33"/>
      <c r="AA87" s="33"/>
      <c r="AB87" s="33"/>
      <c r="AC87" s="33"/>
      <c r="AD87" s="33"/>
      <c r="AE87" s="33"/>
      <c r="AF87" s="33"/>
    </row>
    <row r="88" ht="15.75" customHeight="1">
      <c r="A88" s="75" t="s">
        <v>242</v>
      </c>
      <c r="B88" s="76">
        <v>7.0</v>
      </c>
      <c r="C88" s="31" t="s">
        <v>278</v>
      </c>
      <c r="D88" s="31" t="s">
        <v>278</v>
      </c>
      <c r="E88" s="31" t="s">
        <v>279</v>
      </c>
      <c r="F88" s="29"/>
      <c r="G88" s="29"/>
      <c r="H88" s="33"/>
      <c r="I88" s="33"/>
      <c r="J88" s="33"/>
      <c r="K88" s="33"/>
      <c r="L88" s="33"/>
      <c r="M88" s="33"/>
      <c r="N88" s="33"/>
      <c r="O88" s="33"/>
      <c r="P88" s="33"/>
      <c r="Q88" s="33"/>
      <c r="R88" s="33"/>
      <c r="S88" s="33"/>
      <c r="T88" s="33"/>
      <c r="U88" s="33"/>
      <c r="V88" s="33"/>
      <c r="W88" s="33"/>
      <c r="X88" s="33"/>
      <c r="Y88" s="33"/>
      <c r="Z88" s="33"/>
      <c r="AA88" s="33"/>
      <c r="AB88" s="33"/>
      <c r="AC88" s="33"/>
      <c r="AD88" s="33"/>
      <c r="AE88" s="33"/>
      <c r="AF88" s="33"/>
    </row>
    <row r="89" ht="15.75" customHeight="1">
      <c r="A89" s="75" t="s">
        <v>242</v>
      </c>
      <c r="B89" s="76">
        <v>8.0</v>
      </c>
      <c r="C89" s="31" t="s">
        <v>281</v>
      </c>
      <c r="D89" s="31" t="s">
        <v>283</v>
      </c>
      <c r="E89" s="78" t="s">
        <v>284</v>
      </c>
      <c r="F89" s="29"/>
      <c r="G89" s="29"/>
      <c r="H89" s="33"/>
      <c r="I89" s="33"/>
      <c r="J89" s="33"/>
      <c r="K89" s="33"/>
      <c r="L89" s="33"/>
      <c r="M89" s="33"/>
      <c r="N89" s="33"/>
      <c r="O89" s="33"/>
      <c r="P89" s="33"/>
      <c r="Q89" s="33"/>
      <c r="R89" s="33"/>
      <c r="S89" s="33"/>
      <c r="T89" s="33"/>
      <c r="U89" s="33"/>
      <c r="V89" s="33"/>
      <c r="W89" s="33"/>
      <c r="X89" s="33"/>
      <c r="Y89" s="33"/>
      <c r="Z89" s="33"/>
      <c r="AA89" s="33"/>
      <c r="AB89" s="33"/>
      <c r="AC89" s="33"/>
      <c r="AD89" s="33"/>
      <c r="AE89" s="33"/>
      <c r="AF89" s="33"/>
    </row>
    <row r="90" ht="15.75" customHeight="1">
      <c r="A90" s="75" t="s">
        <v>242</v>
      </c>
      <c r="B90" s="76">
        <v>9.0</v>
      </c>
      <c r="C90" s="31" t="s">
        <v>288</v>
      </c>
      <c r="D90" s="31" t="s">
        <v>289</v>
      </c>
      <c r="E90" s="78" t="s">
        <v>291</v>
      </c>
      <c r="F90" s="162"/>
      <c r="G90" s="29"/>
      <c r="H90" s="33"/>
      <c r="I90" s="33"/>
      <c r="J90" s="33"/>
      <c r="K90" s="33"/>
      <c r="L90" s="33"/>
      <c r="M90" s="33"/>
      <c r="N90" s="33"/>
      <c r="O90" s="33"/>
      <c r="P90" s="33"/>
      <c r="Q90" s="33"/>
      <c r="R90" s="33"/>
      <c r="S90" s="33"/>
      <c r="T90" s="33"/>
      <c r="U90" s="33"/>
      <c r="V90" s="33"/>
      <c r="W90" s="33"/>
      <c r="X90" s="33"/>
      <c r="Y90" s="33"/>
      <c r="Z90" s="33"/>
      <c r="AA90" s="33"/>
      <c r="AB90" s="33"/>
      <c r="AC90" s="33"/>
      <c r="AD90" s="33"/>
      <c r="AE90" s="33"/>
      <c r="AF90" s="33"/>
    </row>
    <row r="91" ht="15.75" customHeight="1">
      <c r="A91" s="75" t="s">
        <v>242</v>
      </c>
      <c r="B91" s="76">
        <v>10.0</v>
      </c>
      <c r="C91" s="31" t="s">
        <v>295</v>
      </c>
      <c r="D91" s="31" t="s">
        <v>296</v>
      </c>
      <c r="E91" s="78" t="s">
        <v>297</v>
      </c>
      <c r="F91" s="29"/>
      <c r="G91" s="29"/>
      <c r="H91" s="33"/>
      <c r="I91" s="33"/>
      <c r="J91" s="33"/>
      <c r="K91" s="33"/>
      <c r="L91" s="33"/>
      <c r="M91" s="33"/>
      <c r="N91" s="33"/>
      <c r="O91" s="33"/>
      <c r="P91" s="33"/>
      <c r="Q91" s="33"/>
      <c r="R91" s="33"/>
      <c r="S91" s="33"/>
      <c r="T91" s="33"/>
      <c r="U91" s="33"/>
      <c r="V91" s="33"/>
      <c r="W91" s="33"/>
      <c r="X91" s="33"/>
      <c r="Y91" s="33"/>
      <c r="Z91" s="33"/>
      <c r="AA91" s="33"/>
      <c r="AB91" s="33"/>
      <c r="AC91" s="33"/>
      <c r="AD91" s="33"/>
      <c r="AE91" s="33"/>
      <c r="AF91" s="33"/>
    </row>
    <row r="92" ht="15.75" customHeight="1">
      <c r="A92" s="75" t="s">
        <v>242</v>
      </c>
      <c r="B92" s="76">
        <v>11.0</v>
      </c>
      <c r="C92" s="31" t="s">
        <v>300</v>
      </c>
      <c r="D92" s="31" t="s">
        <v>301</v>
      </c>
      <c r="E92" s="31" t="s">
        <v>302</v>
      </c>
      <c r="F92" s="29"/>
      <c r="G92" s="29"/>
      <c r="H92" s="33"/>
      <c r="I92" s="33"/>
      <c r="J92" s="33"/>
      <c r="K92" s="33"/>
      <c r="L92" s="33"/>
      <c r="M92" s="33"/>
      <c r="N92" s="33"/>
      <c r="O92" s="33"/>
      <c r="P92" s="33"/>
      <c r="Q92" s="33"/>
      <c r="R92" s="33"/>
      <c r="S92" s="33"/>
      <c r="T92" s="33"/>
      <c r="U92" s="33"/>
      <c r="V92" s="33"/>
      <c r="W92" s="33"/>
      <c r="X92" s="33"/>
      <c r="Y92" s="33"/>
      <c r="Z92" s="33"/>
      <c r="AA92" s="33"/>
      <c r="AB92" s="33"/>
      <c r="AC92" s="33"/>
      <c r="AD92" s="33"/>
      <c r="AE92" s="33"/>
      <c r="AF92" s="33"/>
    </row>
    <row r="93" ht="15.75" customHeight="1">
      <c r="A93" s="75" t="s">
        <v>242</v>
      </c>
      <c r="B93" s="76">
        <v>13.0</v>
      </c>
      <c r="C93" s="31" t="s">
        <v>306</v>
      </c>
      <c r="D93" s="31" t="s">
        <v>307</v>
      </c>
      <c r="E93" s="78" t="s">
        <v>308</v>
      </c>
      <c r="F93" s="29"/>
      <c r="G93" s="29"/>
      <c r="H93" s="33"/>
      <c r="I93" s="33"/>
      <c r="J93" s="33"/>
      <c r="K93" s="33"/>
      <c r="L93" s="33"/>
      <c r="M93" s="33"/>
      <c r="N93" s="33"/>
      <c r="O93" s="33"/>
      <c r="P93" s="33"/>
      <c r="Q93" s="33"/>
      <c r="R93" s="33"/>
      <c r="S93" s="33"/>
      <c r="T93" s="33"/>
      <c r="U93" s="33"/>
      <c r="V93" s="33"/>
      <c r="W93" s="33"/>
      <c r="X93" s="33"/>
      <c r="Y93" s="33"/>
      <c r="Z93" s="33"/>
      <c r="AA93" s="33"/>
      <c r="AB93" s="33"/>
      <c r="AC93" s="33"/>
      <c r="AD93" s="33"/>
      <c r="AE93" s="33"/>
      <c r="AF93" s="33"/>
    </row>
    <row r="94" ht="15.75" customHeight="1">
      <c r="A94" s="75" t="s">
        <v>242</v>
      </c>
      <c r="B94" s="76">
        <v>14.0</v>
      </c>
      <c r="C94" s="31" t="s">
        <v>312</v>
      </c>
      <c r="D94" s="31" t="s">
        <v>313</v>
      </c>
      <c r="E94" s="31" t="s">
        <v>314</v>
      </c>
      <c r="F94" s="29"/>
      <c r="G94" s="29"/>
      <c r="H94" s="33"/>
      <c r="I94" s="33"/>
      <c r="J94" s="33"/>
      <c r="K94" s="33"/>
      <c r="L94" s="33"/>
      <c r="M94" s="33"/>
      <c r="N94" s="33"/>
      <c r="O94" s="33"/>
      <c r="P94" s="33"/>
      <c r="Q94" s="33"/>
      <c r="R94" s="33"/>
      <c r="S94" s="33"/>
      <c r="T94" s="33"/>
      <c r="U94" s="33"/>
      <c r="V94" s="33"/>
      <c r="W94" s="33"/>
      <c r="X94" s="33"/>
      <c r="Y94" s="33"/>
      <c r="Z94" s="33"/>
      <c r="AA94" s="33"/>
      <c r="AB94" s="33"/>
      <c r="AC94" s="33"/>
      <c r="AD94" s="33"/>
      <c r="AE94" s="33"/>
      <c r="AF94" s="33"/>
    </row>
    <row r="95" ht="15.75" customHeight="1">
      <c r="A95" s="63" t="s">
        <v>242</v>
      </c>
      <c r="B95" s="94">
        <v>-99.0</v>
      </c>
      <c r="C95" s="37" t="s">
        <v>318</v>
      </c>
      <c r="D95" s="37" t="s">
        <v>320</v>
      </c>
      <c r="E95" s="71" t="s">
        <v>321</v>
      </c>
      <c r="F95" s="36"/>
      <c r="G95" s="36"/>
      <c r="H95" s="19"/>
      <c r="I95" s="19"/>
      <c r="J95" s="19"/>
      <c r="K95" s="19"/>
      <c r="L95" s="19"/>
      <c r="M95" s="19"/>
      <c r="N95" s="19"/>
      <c r="O95" s="19"/>
      <c r="P95" s="19"/>
      <c r="Q95" s="19"/>
      <c r="R95" s="19"/>
      <c r="S95" s="19"/>
      <c r="T95" s="19"/>
      <c r="U95" s="19"/>
      <c r="V95" s="19"/>
      <c r="W95" s="19"/>
      <c r="X95" s="19"/>
      <c r="Y95" s="19"/>
      <c r="Z95" s="19"/>
      <c r="AA95" s="19"/>
      <c r="AB95" s="19"/>
      <c r="AC95" s="19"/>
      <c r="AD95" s="19"/>
      <c r="AE95" s="19"/>
      <c r="AF95" s="19"/>
    </row>
    <row r="96" ht="15.75" customHeight="1">
      <c r="A96" s="100"/>
      <c r="B96" s="102"/>
      <c r="C96" s="100"/>
      <c r="D96" s="100"/>
      <c r="E96" s="165"/>
      <c r="F96" s="33"/>
      <c r="G96" s="33"/>
      <c r="H96" s="33"/>
      <c r="I96" s="33"/>
      <c r="J96" s="33"/>
      <c r="K96" s="33"/>
      <c r="L96" s="33"/>
      <c r="M96" s="33"/>
      <c r="N96" s="33"/>
      <c r="O96" s="33"/>
      <c r="P96" s="33"/>
      <c r="Q96" s="33"/>
      <c r="R96" s="33"/>
      <c r="S96" s="33"/>
      <c r="T96" s="33"/>
      <c r="U96" s="33"/>
      <c r="V96" s="33"/>
      <c r="W96" s="33"/>
      <c r="X96" s="33"/>
      <c r="Y96" s="33"/>
      <c r="Z96" s="33"/>
      <c r="AA96" s="33"/>
      <c r="AB96" s="33"/>
      <c r="AC96" s="33"/>
      <c r="AD96" s="33"/>
      <c r="AE96" s="33"/>
      <c r="AF96" s="33"/>
    </row>
    <row r="97" ht="15.75" customHeight="1">
      <c r="A97" s="110" t="s">
        <v>648</v>
      </c>
      <c r="B97" s="111">
        <v>0.0</v>
      </c>
      <c r="C97" s="116" t="s">
        <v>199</v>
      </c>
      <c r="D97" s="116" t="s">
        <v>201</v>
      </c>
      <c r="E97" s="168" t="s">
        <v>651</v>
      </c>
      <c r="F97" s="44"/>
      <c r="G97" s="44"/>
      <c r="H97" s="44"/>
      <c r="I97" s="44"/>
      <c r="J97" s="44"/>
      <c r="K97" s="44"/>
      <c r="L97" s="44"/>
      <c r="M97" s="44"/>
      <c r="N97" s="44"/>
      <c r="O97" s="44"/>
      <c r="P97" s="44"/>
      <c r="Q97" s="44"/>
      <c r="R97" s="44"/>
      <c r="S97" s="44"/>
      <c r="T97" s="44"/>
      <c r="U97" s="44"/>
      <c r="V97" s="44"/>
      <c r="W97" s="44"/>
      <c r="X97" s="44"/>
      <c r="Y97" s="44"/>
      <c r="Z97" s="44"/>
      <c r="AA97" s="44"/>
      <c r="AB97" s="44"/>
      <c r="AC97" s="44"/>
      <c r="AD97" s="44"/>
      <c r="AE97" s="44"/>
      <c r="AF97" s="44"/>
    </row>
    <row r="98" ht="15.75" customHeight="1">
      <c r="A98" s="75" t="s">
        <v>648</v>
      </c>
      <c r="B98" s="76">
        <v>1.0</v>
      </c>
      <c r="C98" s="31" t="s">
        <v>663</v>
      </c>
      <c r="D98" s="31" t="s">
        <v>664</v>
      </c>
      <c r="E98" s="78" t="s">
        <v>665</v>
      </c>
      <c r="F98" s="33"/>
      <c r="G98" s="33"/>
      <c r="H98" s="33"/>
      <c r="I98" s="33"/>
      <c r="J98" s="33"/>
      <c r="K98" s="33"/>
      <c r="L98" s="33"/>
      <c r="M98" s="33"/>
      <c r="N98" s="33"/>
      <c r="O98" s="33"/>
      <c r="P98" s="33"/>
      <c r="Q98" s="33"/>
      <c r="R98" s="33"/>
      <c r="S98" s="33"/>
      <c r="T98" s="33"/>
      <c r="U98" s="33"/>
      <c r="V98" s="33"/>
      <c r="W98" s="33"/>
      <c r="X98" s="33"/>
      <c r="Y98" s="33"/>
      <c r="Z98" s="33"/>
      <c r="AA98" s="33"/>
      <c r="AB98" s="33"/>
      <c r="AC98" s="33"/>
      <c r="AD98" s="33"/>
      <c r="AE98" s="33"/>
      <c r="AF98" s="33"/>
    </row>
    <row r="99" ht="15.75" customHeight="1">
      <c r="A99" s="75" t="s">
        <v>648</v>
      </c>
      <c r="B99" s="76">
        <v>2.0</v>
      </c>
      <c r="C99" s="31" t="s">
        <v>669</v>
      </c>
      <c r="D99" s="31" t="s">
        <v>671</v>
      </c>
      <c r="E99" s="78" t="s">
        <v>674</v>
      </c>
      <c r="F99" s="33"/>
      <c r="G99" s="33"/>
      <c r="H99" s="33"/>
      <c r="I99" s="33"/>
      <c r="J99" s="33"/>
      <c r="K99" s="33"/>
      <c r="L99" s="33"/>
      <c r="M99" s="33"/>
      <c r="N99" s="33"/>
      <c r="O99" s="33"/>
      <c r="P99" s="33"/>
      <c r="Q99" s="33"/>
      <c r="R99" s="33"/>
      <c r="S99" s="33"/>
      <c r="T99" s="33"/>
      <c r="U99" s="33"/>
      <c r="V99" s="33"/>
      <c r="W99" s="33"/>
      <c r="X99" s="33"/>
      <c r="Y99" s="33"/>
      <c r="Z99" s="33"/>
      <c r="AA99" s="33"/>
      <c r="AB99" s="33"/>
      <c r="AC99" s="33"/>
      <c r="AD99" s="33"/>
      <c r="AE99" s="33"/>
      <c r="AF99" s="33"/>
    </row>
    <row r="100" ht="15.75" customHeight="1">
      <c r="A100" s="75" t="s">
        <v>648</v>
      </c>
      <c r="B100" s="76">
        <v>3.0</v>
      </c>
      <c r="C100" s="31" t="s">
        <v>689</v>
      </c>
      <c r="D100" s="31" t="s">
        <v>690</v>
      </c>
      <c r="E100" s="31" t="s">
        <v>691</v>
      </c>
      <c r="F100" s="33"/>
      <c r="G100" s="33"/>
      <c r="H100" s="33"/>
      <c r="I100" s="33"/>
      <c r="J100" s="33"/>
      <c r="K100" s="33"/>
      <c r="L100" s="33"/>
      <c r="M100" s="33"/>
      <c r="N100" s="33"/>
      <c r="O100" s="33"/>
      <c r="P100" s="33"/>
      <c r="Q100" s="33"/>
      <c r="R100" s="33"/>
      <c r="S100" s="33"/>
      <c r="T100" s="33"/>
      <c r="U100" s="33"/>
      <c r="V100" s="33"/>
      <c r="W100" s="33"/>
      <c r="X100" s="33"/>
      <c r="Y100" s="33"/>
      <c r="Z100" s="33"/>
      <c r="AA100" s="33"/>
      <c r="AB100" s="33"/>
      <c r="AC100" s="33"/>
      <c r="AD100" s="33"/>
      <c r="AE100" s="33"/>
      <c r="AF100" s="33"/>
    </row>
    <row r="101" ht="15.75" customHeight="1">
      <c r="A101" s="75" t="s">
        <v>648</v>
      </c>
      <c r="B101" s="76">
        <v>4.0</v>
      </c>
      <c r="C101" s="31" t="s">
        <v>695</v>
      </c>
      <c r="D101" s="31" t="s">
        <v>696</v>
      </c>
      <c r="E101" s="78" t="s">
        <v>704</v>
      </c>
      <c r="F101" s="33"/>
      <c r="G101" s="33"/>
      <c r="H101" s="33"/>
      <c r="I101" s="33"/>
      <c r="J101" s="33"/>
      <c r="K101" s="33"/>
      <c r="L101" s="33"/>
      <c r="M101" s="33"/>
      <c r="N101" s="33"/>
      <c r="O101" s="33"/>
      <c r="P101" s="33"/>
      <c r="Q101" s="33"/>
      <c r="R101" s="33"/>
      <c r="S101" s="33"/>
      <c r="T101" s="33"/>
      <c r="U101" s="33"/>
      <c r="V101" s="33"/>
      <c r="W101" s="33"/>
      <c r="X101" s="33"/>
      <c r="Y101" s="33"/>
      <c r="Z101" s="33"/>
      <c r="AA101" s="33"/>
      <c r="AB101" s="33"/>
      <c r="AC101" s="33"/>
      <c r="AD101" s="33"/>
      <c r="AE101" s="33"/>
      <c r="AF101" s="33"/>
    </row>
    <row r="102" ht="15.75" customHeight="1">
      <c r="A102" s="75" t="s">
        <v>648</v>
      </c>
      <c r="B102" s="76">
        <v>5.0</v>
      </c>
      <c r="C102" s="31" t="s">
        <v>709</v>
      </c>
      <c r="D102" s="31" t="s">
        <v>710</v>
      </c>
      <c r="E102" s="78" t="s">
        <v>711</v>
      </c>
      <c r="F102" s="33"/>
      <c r="G102" s="33"/>
      <c r="H102" s="33"/>
      <c r="I102" s="33"/>
      <c r="J102" s="33"/>
      <c r="K102" s="33"/>
      <c r="L102" s="33"/>
      <c r="M102" s="33"/>
      <c r="N102" s="33"/>
      <c r="O102" s="33"/>
      <c r="P102" s="33"/>
      <c r="Q102" s="33"/>
      <c r="R102" s="33"/>
      <c r="S102" s="33"/>
      <c r="T102" s="33"/>
      <c r="U102" s="33"/>
      <c r="V102" s="33"/>
      <c r="W102" s="33"/>
      <c r="X102" s="33"/>
      <c r="Y102" s="33"/>
      <c r="Z102" s="33"/>
      <c r="AA102" s="33"/>
      <c r="AB102" s="33"/>
      <c r="AC102" s="33"/>
      <c r="AD102" s="33"/>
      <c r="AE102" s="33"/>
      <c r="AF102" s="33"/>
    </row>
    <row r="103" ht="15.75" customHeight="1">
      <c r="A103" s="63" t="s">
        <v>648</v>
      </c>
      <c r="B103" s="94">
        <v>6.0</v>
      </c>
      <c r="C103" s="37" t="s">
        <v>713</v>
      </c>
      <c r="D103" s="37" t="s">
        <v>714</v>
      </c>
      <c r="E103" s="37" t="s">
        <v>715</v>
      </c>
      <c r="F103" s="19"/>
      <c r="G103" s="19"/>
      <c r="H103" s="19"/>
      <c r="I103" s="19"/>
      <c r="J103" s="19"/>
      <c r="K103" s="19"/>
      <c r="L103" s="19"/>
      <c r="M103" s="19"/>
      <c r="N103" s="19"/>
      <c r="O103" s="19"/>
      <c r="P103" s="19"/>
      <c r="Q103" s="19"/>
      <c r="R103" s="19"/>
      <c r="S103" s="19"/>
      <c r="T103" s="19"/>
      <c r="U103" s="19"/>
      <c r="V103" s="19"/>
      <c r="W103" s="19"/>
      <c r="X103" s="19"/>
      <c r="Y103" s="19"/>
      <c r="Z103" s="19"/>
      <c r="AA103" s="19"/>
      <c r="AB103" s="19"/>
      <c r="AC103" s="19"/>
      <c r="AD103" s="19"/>
      <c r="AE103" s="19"/>
      <c r="AF103" s="19"/>
    </row>
    <row r="104" ht="15.75" customHeight="1">
      <c r="A104" s="100"/>
      <c r="B104" s="102"/>
      <c r="C104" s="100"/>
      <c r="D104" s="100"/>
      <c r="E104" s="165"/>
      <c r="F104" s="33"/>
      <c r="G104" s="33"/>
      <c r="H104" s="33"/>
      <c r="I104" s="33"/>
      <c r="J104" s="33"/>
      <c r="K104" s="33"/>
      <c r="L104" s="33"/>
      <c r="M104" s="33"/>
      <c r="N104" s="33"/>
      <c r="O104" s="33"/>
      <c r="P104" s="33"/>
      <c r="Q104" s="33"/>
      <c r="R104" s="33"/>
      <c r="S104" s="33"/>
      <c r="T104" s="33"/>
      <c r="U104" s="33"/>
      <c r="V104" s="33"/>
      <c r="W104" s="33"/>
      <c r="X104" s="33"/>
      <c r="Y104" s="33"/>
      <c r="Z104" s="33"/>
      <c r="AA104" s="33"/>
      <c r="AB104" s="33"/>
      <c r="AC104" s="33"/>
      <c r="AD104" s="33"/>
      <c r="AE104" s="33"/>
      <c r="AF104" s="33"/>
    </row>
    <row r="105" ht="15.75" customHeight="1">
      <c r="A105" s="110" t="s">
        <v>729</v>
      </c>
      <c r="B105" s="111">
        <v>1.0</v>
      </c>
      <c r="C105" s="116" t="s">
        <v>730</v>
      </c>
      <c r="D105" s="116" t="s">
        <v>730</v>
      </c>
      <c r="E105" s="116" t="s">
        <v>730</v>
      </c>
      <c r="F105" s="44"/>
      <c r="G105" s="44"/>
      <c r="H105" s="44"/>
      <c r="I105" s="44"/>
      <c r="J105" s="44"/>
      <c r="K105" s="44"/>
      <c r="L105" s="44"/>
      <c r="M105" s="44"/>
      <c r="N105" s="44"/>
      <c r="O105" s="44"/>
      <c r="P105" s="44"/>
      <c r="Q105" s="44"/>
      <c r="R105" s="44"/>
      <c r="S105" s="44"/>
      <c r="T105" s="44"/>
      <c r="U105" s="44"/>
      <c r="V105" s="44"/>
      <c r="W105" s="44"/>
      <c r="X105" s="44"/>
      <c r="Y105" s="44"/>
      <c r="Z105" s="44"/>
      <c r="AA105" s="44"/>
      <c r="AB105" s="44"/>
      <c r="AC105" s="44"/>
      <c r="AD105" s="44"/>
      <c r="AE105" s="44"/>
      <c r="AF105" s="44"/>
    </row>
    <row r="106" ht="15.75" customHeight="1">
      <c r="A106" s="75" t="s">
        <v>729</v>
      </c>
      <c r="B106" s="76">
        <v>2.0</v>
      </c>
      <c r="C106" s="31" t="s">
        <v>737</v>
      </c>
      <c r="D106" s="31" t="s">
        <v>737</v>
      </c>
      <c r="E106" s="31" t="s">
        <v>737</v>
      </c>
      <c r="F106" s="33"/>
      <c r="G106" s="33"/>
      <c r="H106" s="33"/>
      <c r="I106" s="33"/>
      <c r="J106" s="33"/>
      <c r="K106" s="33"/>
      <c r="L106" s="33"/>
      <c r="M106" s="33"/>
      <c r="N106" s="33"/>
      <c r="O106" s="33"/>
      <c r="P106" s="33"/>
      <c r="Q106" s="33"/>
      <c r="R106" s="33"/>
      <c r="S106" s="33"/>
      <c r="T106" s="33"/>
      <c r="U106" s="33"/>
      <c r="V106" s="33"/>
      <c r="W106" s="33"/>
      <c r="X106" s="33"/>
      <c r="Y106" s="33"/>
      <c r="Z106" s="33"/>
      <c r="AA106" s="33"/>
      <c r="AB106" s="33"/>
      <c r="AC106" s="33"/>
      <c r="AD106" s="33"/>
      <c r="AE106" s="33"/>
      <c r="AF106" s="33"/>
    </row>
    <row r="107" ht="15.75" customHeight="1">
      <c r="A107" s="75" t="s">
        <v>729</v>
      </c>
      <c r="B107" s="76">
        <v>3.0</v>
      </c>
      <c r="C107" s="31" t="s">
        <v>746</v>
      </c>
      <c r="D107" s="31" t="s">
        <v>746</v>
      </c>
      <c r="E107" s="31" t="s">
        <v>746</v>
      </c>
      <c r="F107" s="33"/>
      <c r="G107" s="33"/>
      <c r="H107" s="33"/>
      <c r="I107" s="33"/>
      <c r="J107" s="33"/>
      <c r="K107" s="33"/>
      <c r="L107" s="33"/>
      <c r="M107" s="33"/>
      <c r="N107" s="33"/>
      <c r="O107" s="33"/>
      <c r="P107" s="33"/>
      <c r="Q107" s="33"/>
      <c r="R107" s="33"/>
      <c r="S107" s="33"/>
      <c r="T107" s="33"/>
      <c r="U107" s="33"/>
      <c r="V107" s="33"/>
      <c r="W107" s="33"/>
      <c r="X107" s="33"/>
      <c r="Y107" s="33"/>
      <c r="Z107" s="33"/>
      <c r="AA107" s="33"/>
      <c r="AB107" s="33"/>
      <c r="AC107" s="33"/>
      <c r="AD107" s="33"/>
      <c r="AE107" s="33"/>
      <c r="AF107" s="33"/>
    </row>
    <row r="108" ht="15.75" customHeight="1">
      <c r="A108" s="75" t="s">
        <v>729</v>
      </c>
      <c r="B108" s="76">
        <v>4.0</v>
      </c>
      <c r="C108" s="31" t="s">
        <v>748</v>
      </c>
      <c r="D108" s="31" t="s">
        <v>748</v>
      </c>
      <c r="E108" s="31" t="s">
        <v>748</v>
      </c>
      <c r="F108" s="33"/>
      <c r="G108" s="33"/>
      <c r="H108" s="33"/>
      <c r="I108" s="33"/>
      <c r="J108" s="33"/>
      <c r="K108" s="33"/>
      <c r="L108" s="33"/>
      <c r="M108" s="33"/>
      <c r="N108" s="33"/>
      <c r="O108" s="33"/>
      <c r="P108" s="33"/>
      <c r="Q108" s="33"/>
      <c r="R108" s="33"/>
      <c r="S108" s="33"/>
      <c r="T108" s="33"/>
      <c r="U108" s="33"/>
      <c r="V108" s="33"/>
      <c r="W108" s="33"/>
      <c r="X108" s="33"/>
      <c r="Y108" s="33"/>
      <c r="Z108" s="33"/>
      <c r="AA108" s="33"/>
      <c r="AB108" s="33"/>
      <c r="AC108" s="33"/>
      <c r="AD108" s="33"/>
      <c r="AE108" s="33"/>
      <c r="AF108" s="33"/>
    </row>
    <row r="109" ht="15.75" customHeight="1">
      <c r="A109" s="75" t="s">
        <v>729</v>
      </c>
      <c r="B109" s="76">
        <v>5.0</v>
      </c>
      <c r="C109" s="31" t="s">
        <v>759</v>
      </c>
      <c r="D109" s="31" t="s">
        <v>759</v>
      </c>
      <c r="E109" s="31" t="s">
        <v>759</v>
      </c>
      <c r="F109" s="33"/>
      <c r="G109" s="33"/>
      <c r="H109" s="33"/>
      <c r="I109" s="33"/>
      <c r="J109" s="33"/>
      <c r="K109" s="33"/>
      <c r="L109" s="33"/>
      <c r="M109" s="33"/>
      <c r="N109" s="33"/>
      <c r="O109" s="33"/>
      <c r="P109" s="33"/>
      <c r="Q109" s="33"/>
      <c r="R109" s="33"/>
      <c r="S109" s="33"/>
      <c r="T109" s="33"/>
      <c r="U109" s="33"/>
      <c r="V109" s="33"/>
      <c r="W109" s="33"/>
      <c r="X109" s="33"/>
      <c r="Y109" s="33"/>
      <c r="Z109" s="33"/>
      <c r="AA109" s="33"/>
      <c r="AB109" s="33"/>
      <c r="AC109" s="33"/>
      <c r="AD109" s="33"/>
      <c r="AE109" s="33"/>
      <c r="AF109" s="33"/>
    </row>
    <row r="110" ht="15.75" customHeight="1">
      <c r="A110" s="75" t="s">
        <v>729</v>
      </c>
      <c r="B110" s="76">
        <v>6.0</v>
      </c>
      <c r="C110" s="31" t="s">
        <v>772</v>
      </c>
      <c r="D110" s="31" t="s">
        <v>772</v>
      </c>
      <c r="E110" s="31" t="s">
        <v>772</v>
      </c>
      <c r="F110" s="33"/>
      <c r="G110" s="33"/>
      <c r="H110" s="33"/>
      <c r="I110" s="33"/>
      <c r="J110" s="33"/>
      <c r="K110" s="33"/>
      <c r="L110" s="33"/>
      <c r="M110" s="33"/>
      <c r="N110" s="33"/>
      <c r="O110" s="33"/>
      <c r="P110" s="33"/>
      <c r="Q110" s="33"/>
      <c r="R110" s="33"/>
      <c r="S110" s="33"/>
      <c r="T110" s="33"/>
      <c r="U110" s="33"/>
      <c r="V110" s="33"/>
      <c r="W110" s="33"/>
      <c r="X110" s="33"/>
      <c r="Y110" s="33"/>
      <c r="Z110" s="33"/>
      <c r="AA110" s="33"/>
      <c r="AB110" s="33"/>
      <c r="AC110" s="33"/>
      <c r="AD110" s="33"/>
      <c r="AE110" s="33"/>
      <c r="AF110" s="33"/>
    </row>
    <row r="111" ht="15.75" customHeight="1">
      <c r="A111" s="75" t="s">
        <v>729</v>
      </c>
      <c r="B111" s="76">
        <v>7.0</v>
      </c>
      <c r="C111" s="31" t="s">
        <v>776</v>
      </c>
      <c r="D111" s="31" t="s">
        <v>776</v>
      </c>
      <c r="E111" s="31" t="s">
        <v>776</v>
      </c>
      <c r="F111" s="33"/>
      <c r="G111" s="33"/>
      <c r="H111" s="33"/>
      <c r="I111" s="33"/>
      <c r="J111" s="33"/>
      <c r="K111" s="33"/>
      <c r="L111" s="33"/>
      <c r="M111" s="33"/>
      <c r="N111" s="33"/>
      <c r="O111" s="33"/>
      <c r="P111" s="33"/>
      <c r="Q111" s="33"/>
      <c r="R111" s="33"/>
      <c r="S111" s="33"/>
      <c r="T111" s="33"/>
      <c r="U111" s="33"/>
      <c r="V111" s="33"/>
      <c r="W111" s="33"/>
      <c r="X111" s="33"/>
      <c r="Y111" s="33"/>
      <c r="Z111" s="33"/>
      <c r="AA111" s="33"/>
      <c r="AB111" s="33"/>
      <c r="AC111" s="33"/>
      <c r="AD111" s="33"/>
      <c r="AE111" s="33"/>
      <c r="AF111" s="33"/>
    </row>
    <row r="112" ht="15.75" customHeight="1">
      <c r="A112" s="63" t="s">
        <v>729</v>
      </c>
      <c r="B112" s="94">
        <v>8.0</v>
      </c>
      <c r="C112" s="37" t="s">
        <v>784</v>
      </c>
      <c r="D112" s="37" t="s">
        <v>784</v>
      </c>
      <c r="E112" s="37" t="s">
        <v>784</v>
      </c>
      <c r="F112" s="19"/>
      <c r="G112" s="19"/>
      <c r="H112" s="19"/>
      <c r="I112" s="19"/>
      <c r="J112" s="19"/>
      <c r="K112" s="19"/>
      <c r="L112" s="19"/>
      <c r="M112" s="19"/>
      <c r="N112" s="19"/>
      <c r="O112" s="19"/>
      <c r="P112" s="19"/>
      <c r="Q112" s="19"/>
      <c r="R112" s="19"/>
      <c r="S112" s="19"/>
      <c r="T112" s="19"/>
      <c r="U112" s="19"/>
      <c r="V112" s="19"/>
      <c r="W112" s="19"/>
      <c r="X112" s="19"/>
      <c r="Y112" s="19"/>
      <c r="Z112" s="19"/>
      <c r="AA112" s="19"/>
      <c r="AB112" s="19"/>
      <c r="AC112" s="19"/>
      <c r="AD112" s="19"/>
      <c r="AE112" s="19"/>
      <c r="AF112" s="19"/>
    </row>
    <row r="113" ht="15.75" customHeight="1">
      <c r="A113" s="100"/>
      <c r="B113" s="102"/>
      <c r="C113" s="100"/>
      <c r="D113" s="100"/>
      <c r="E113" s="165"/>
      <c r="F113" s="33"/>
      <c r="G113" s="33"/>
      <c r="H113" s="33"/>
      <c r="I113" s="33"/>
      <c r="J113" s="33"/>
      <c r="K113" s="33"/>
      <c r="L113" s="33"/>
      <c r="M113" s="33"/>
      <c r="N113" s="33"/>
      <c r="O113" s="33"/>
      <c r="P113" s="33"/>
      <c r="Q113" s="33"/>
      <c r="R113" s="33"/>
      <c r="S113" s="33"/>
      <c r="T113" s="33"/>
      <c r="U113" s="33"/>
      <c r="V113" s="33"/>
      <c r="W113" s="33"/>
      <c r="X113" s="33"/>
      <c r="Y113" s="33"/>
      <c r="Z113" s="33"/>
      <c r="AA113" s="33"/>
      <c r="AB113" s="33"/>
      <c r="AC113" s="33"/>
      <c r="AD113" s="33"/>
      <c r="AE113" s="33"/>
      <c r="AF113" s="33"/>
    </row>
    <row r="114" ht="15.75" customHeight="1">
      <c r="A114" s="184" t="s">
        <v>802</v>
      </c>
      <c r="B114" s="185" t="s">
        <v>803</v>
      </c>
      <c r="C114" s="185" t="s">
        <v>804</v>
      </c>
      <c r="D114" s="185" t="s">
        <v>804</v>
      </c>
      <c r="E114" s="185" t="s">
        <v>804</v>
      </c>
      <c r="F114" s="186"/>
      <c r="G114" s="186"/>
      <c r="H114" s="187"/>
      <c r="I114" s="187"/>
      <c r="J114" s="187"/>
      <c r="K114" s="187"/>
      <c r="L114" s="187"/>
      <c r="M114" s="187"/>
      <c r="N114" s="187"/>
      <c r="O114" s="187"/>
      <c r="P114" s="187"/>
      <c r="Q114" s="187"/>
      <c r="R114" s="187"/>
      <c r="S114" s="187"/>
      <c r="T114" s="187"/>
      <c r="U114" s="187"/>
      <c r="V114" s="187"/>
      <c r="W114" s="187"/>
      <c r="X114" s="187"/>
      <c r="Y114" s="187"/>
      <c r="Z114" s="187"/>
      <c r="AA114" s="187"/>
      <c r="AB114" s="187"/>
      <c r="AC114" s="187"/>
      <c r="AD114" s="187"/>
      <c r="AE114" s="187"/>
      <c r="AF114" s="187"/>
    </row>
    <row r="115" ht="15.75" customHeight="1">
      <c r="A115" s="184" t="s">
        <v>802</v>
      </c>
      <c r="B115" s="76">
        <v>-777.0</v>
      </c>
      <c r="C115" s="31" t="s">
        <v>417</v>
      </c>
      <c r="D115" s="31" t="s">
        <v>418</v>
      </c>
      <c r="E115" s="31" t="s">
        <v>817</v>
      </c>
      <c r="F115" s="33"/>
      <c r="G115" s="79"/>
      <c r="H115" s="33"/>
      <c r="I115" s="33"/>
      <c r="J115" s="33"/>
      <c r="K115" s="33"/>
      <c r="L115" s="33"/>
      <c r="M115" s="33"/>
      <c r="N115" s="33"/>
      <c r="O115" s="33"/>
      <c r="P115" s="33"/>
      <c r="Q115" s="33"/>
      <c r="R115" s="33"/>
      <c r="S115" s="33"/>
      <c r="T115" s="33"/>
      <c r="U115" s="33"/>
      <c r="V115" s="33"/>
      <c r="W115" s="33"/>
      <c r="X115" s="33"/>
      <c r="Y115" s="33"/>
      <c r="Z115" s="33"/>
      <c r="AA115" s="33"/>
      <c r="AB115" s="33"/>
      <c r="AC115" s="33"/>
      <c r="AD115" s="33"/>
      <c r="AE115" s="33"/>
      <c r="AF115" s="33"/>
    </row>
    <row r="116" ht="15.75" customHeight="1">
      <c r="A116" s="100"/>
      <c r="B116" s="102"/>
      <c r="C116" s="100"/>
      <c r="D116" s="100"/>
      <c r="E116" s="100"/>
      <c r="F116" s="33"/>
      <c r="G116" s="79"/>
      <c r="H116" s="33"/>
      <c r="I116" s="33"/>
      <c r="J116" s="33"/>
      <c r="K116" s="33"/>
      <c r="L116" s="33"/>
      <c r="M116" s="33"/>
      <c r="N116" s="33"/>
      <c r="O116" s="33"/>
      <c r="P116" s="33"/>
      <c r="Q116" s="33"/>
      <c r="R116" s="33"/>
      <c r="S116" s="33"/>
      <c r="T116" s="33"/>
      <c r="U116" s="33"/>
      <c r="V116" s="33"/>
      <c r="W116" s="33"/>
      <c r="X116" s="33"/>
      <c r="Y116" s="33"/>
      <c r="Z116" s="33"/>
      <c r="AA116" s="33"/>
      <c r="AB116" s="33"/>
      <c r="AC116" s="33"/>
      <c r="AD116" s="33"/>
      <c r="AE116" s="33"/>
      <c r="AF116" s="33"/>
    </row>
    <row r="117" ht="15.75" customHeight="1">
      <c r="A117" s="110" t="s">
        <v>824</v>
      </c>
      <c r="B117" s="111">
        <v>0.0</v>
      </c>
      <c r="C117" s="116" t="s">
        <v>199</v>
      </c>
      <c r="D117" s="116" t="s">
        <v>201</v>
      </c>
      <c r="E117" s="116" t="s">
        <v>203</v>
      </c>
      <c r="F117" s="114"/>
      <c r="G117" s="188">
        <v>1.0</v>
      </c>
      <c r="H117" s="44"/>
      <c r="I117" s="44"/>
      <c r="J117" s="44"/>
      <c r="K117" s="44"/>
      <c r="L117" s="44"/>
      <c r="M117" s="44"/>
      <c r="N117" s="44"/>
      <c r="O117" s="44"/>
      <c r="P117" s="44"/>
      <c r="Q117" s="44"/>
      <c r="R117" s="44"/>
      <c r="S117" s="44"/>
      <c r="T117" s="44"/>
      <c r="U117" s="44"/>
      <c r="V117" s="44"/>
      <c r="W117" s="44"/>
      <c r="X117" s="44"/>
      <c r="Y117" s="44"/>
      <c r="Z117" s="44"/>
      <c r="AA117" s="44"/>
      <c r="AB117" s="44"/>
      <c r="AC117" s="44"/>
      <c r="AD117" s="44"/>
      <c r="AE117" s="44"/>
      <c r="AF117" s="44"/>
    </row>
    <row r="118" ht="15.75" customHeight="1">
      <c r="A118" s="75" t="s">
        <v>824</v>
      </c>
      <c r="B118" s="76">
        <v>1.0</v>
      </c>
      <c r="C118" s="31" t="s">
        <v>828</v>
      </c>
      <c r="D118" s="31" t="s">
        <v>828</v>
      </c>
      <c r="E118" s="31" t="s">
        <v>829</v>
      </c>
      <c r="F118" s="29"/>
      <c r="G118" s="87">
        <v>2.0</v>
      </c>
      <c r="H118" s="33"/>
      <c r="I118" s="33"/>
      <c r="J118" s="33"/>
      <c r="K118" s="33"/>
      <c r="L118" s="33"/>
      <c r="M118" s="33"/>
      <c r="N118" s="33"/>
      <c r="O118" s="33"/>
      <c r="P118" s="33"/>
      <c r="Q118" s="33"/>
      <c r="R118" s="33"/>
      <c r="S118" s="33"/>
      <c r="T118" s="33"/>
      <c r="U118" s="33"/>
      <c r="V118" s="33"/>
      <c r="W118" s="33"/>
      <c r="X118" s="33"/>
      <c r="Y118" s="33"/>
      <c r="Z118" s="33"/>
      <c r="AA118" s="33"/>
      <c r="AB118" s="33"/>
      <c r="AC118" s="33"/>
      <c r="AD118" s="33"/>
      <c r="AE118" s="33"/>
      <c r="AF118" s="33"/>
    </row>
    <row r="119" ht="15.75" customHeight="1">
      <c r="A119" s="75" t="s">
        <v>824</v>
      </c>
      <c r="B119" s="76">
        <v>2.0</v>
      </c>
      <c r="C119" s="31" t="s">
        <v>831</v>
      </c>
      <c r="D119" s="31" t="s">
        <v>832</v>
      </c>
      <c r="E119" s="31" t="s">
        <v>833</v>
      </c>
      <c r="F119" s="29"/>
      <c r="G119" s="29"/>
      <c r="H119" s="33"/>
      <c r="I119" s="33"/>
      <c r="J119" s="33"/>
      <c r="K119" s="33"/>
      <c r="L119" s="33"/>
      <c r="M119" s="33"/>
      <c r="N119" s="33"/>
      <c r="O119" s="33"/>
      <c r="P119" s="33"/>
      <c r="Q119" s="33"/>
      <c r="R119" s="33"/>
      <c r="S119" s="33"/>
      <c r="T119" s="33"/>
      <c r="U119" s="33"/>
      <c r="V119" s="33"/>
      <c r="W119" s="33"/>
      <c r="X119" s="33"/>
      <c r="Y119" s="33"/>
      <c r="Z119" s="33"/>
      <c r="AA119" s="33"/>
      <c r="AB119" s="33"/>
      <c r="AC119" s="33"/>
      <c r="AD119" s="33"/>
      <c r="AE119" s="33"/>
      <c r="AF119" s="33"/>
    </row>
    <row r="120" ht="15.75" customHeight="1">
      <c r="A120" s="75" t="s">
        <v>824</v>
      </c>
      <c r="B120" s="76">
        <v>3.0</v>
      </c>
      <c r="C120" s="31" t="s">
        <v>835</v>
      </c>
      <c r="D120" s="31" t="s">
        <v>836</v>
      </c>
      <c r="E120" s="31" t="s">
        <v>835</v>
      </c>
      <c r="F120" s="29"/>
      <c r="G120" s="29"/>
      <c r="H120" s="33"/>
      <c r="I120" s="33"/>
      <c r="J120" s="33"/>
      <c r="K120" s="33"/>
      <c r="L120" s="33"/>
      <c r="M120" s="33"/>
      <c r="N120" s="33"/>
      <c r="O120" s="33"/>
      <c r="P120" s="33"/>
      <c r="Q120" s="33"/>
      <c r="R120" s="33"/>
      <c r="S120" s="33"/>
      <c r="T120" s="33"/>
      <c r="U120" s="33"/>
      <c r="V120" s="33"/>
      <c r="W120" s="33"/>
      <c r="X120" s="33"/>
      <c r="Y120" s="33"/>
      <c r="Z120" s="33"/>
      <c r="AA120" s="33"/>
      <c r="AB120" s="33"/>
      <c r="AC120" s="33"/>
      <c r="AD120" s="33"/>
      <c r="AE120" s="33"/>
      <c r="AF120" s="33"/>
    </row>
    <row r="121" ht="15.75" customHeight="1">
      <c r="A121" s="75" t="s">
        <v>824</v>
      </c>
      <c r="B121" s="76">
        <v>4.0</v>
      </c>
      <c r="C121" s="31" t="s">
        <v>845</v>
      </c>
      <c r="D121" s="31" t="s">
        <v>845</v>
      </c>
      <c r="E121" s="31" t="s">
        <v>845</v>
      </c>
      <c r="F121" s="29"/>
      <c r="G121" s="29"/>
      <c r="H121" s="33"/>
      <c r="I121" s="33"/>
      <c r="J121" s="33"/>
      <c r="K121" s="33"/>
      <c r="L121" s="33"/>
      <c r="M121" s="33"/>
      <c r="N121" s="33"/>
      <c r="O121" s="33"/>
      <c r="P121" s="33"/>
      <c r="Q121" s="33"/>
      <c r="R121" s="33"/>
      <c r="S121" s="33"/>
      <c r="T121" s="33"/>
      <c r="U121" s="33"/>
      <c r="V121" s="33"/>
      <c r="W121" s="33"/>
      <c r="X121" s="33"/>
      <c r="Y121" s="33"/>
      <c r="Z121" s="33"/>
      <c r="AA121" s="33"/>
      <c r="AB121" s="33"/>
      <c r="AC121" s="33"/>
      <c r="AD121" s="33"/>
      <c r="AE121" s="33"/>
      <c r="AF121" s="33"/>
    </row>
    <row r="122" ht="15.75" customHeight="1">
      <c r="A122" s="75" t="s">
        <v>824</v>
      </c>
      <c r="B122" s="76">
        <v>5.0</v>
      </c>
      <c r="C122" s="31" t="s">
        <v>856</v>
      </c>
      <c r="D122" s="31" t="s">
        <v>857</v>
      </c>
      <c r="E122" s="31" t="s">
        <v>858</v>
      </c>
      <c r="F122" s="29"/>
      <c r="G122" s="29"/>
      <c r="H122" s="33"/>
      <c r="I122" s="33"/>
      <c r="J122" s="33"/>
      <c r="K122" s="33"/>
      <c r="L122" s="33"/>
      <c r="M122" s="33"/>
      <c r="N122" s="33"/>
      <c r="O122" s="33"/>
      <c r="P122" s="33"/>
      <c r="Q122" s="33"/>
      <c r="R122" s="33"/>
      <c r="S122" s="33"/>
      <c r="T122" s="33"/>
      <c r="U122" s="33"/>
      <c r="V122" s="33"/>
      <c r="W122" s="33"/>
      <c r="X122" s="33"/>
      <c r="Y122" s="33"/>
      <c r="Z122" s="33"/>
      <c r="AA122" s="33"/>
      <c r="AB122" s="33"/>
      <c r="AC122" s="33"/>
      <c r="AD122" s="33"/>
      <c r="AE122" s="33"/>
      <c r="AF122" s="33"/>
    </row>
    <row r="123" ht="15.75" customHeight="1">
      <c r="A123" s="75" t="s">
        <v>824</v>
      </c>
      <c r="B123" s="76">
        <v>6.0</v>
      </c>
      <c r="C123" s="31" t="s">
        <v>863</v>
      </c>
      <c r="D123" s="31" t="s">
        <v>865</v>
      </c>
      <c r="E123" s="78" t="s">
        <v>866</v>
      </c>
      <c r="F123" s="29"/>
      <c r="G123" s="29"/>
      <c r="H123" s="33"/>
      <c r="I123" s="33"/>
      <c r="J123" s="33"/>
      <c r="K123" s="33"/>
      <c r="L123" s="33"/>
      <c r="M123" s="33"/>
      <c r="N123" s="33"/>
      <c r="O123" s="33"/>
      <c r="P123" s="33"/>
      <c r="Q123" s="33"/>
      <c r="R123" s="33"/>
      <c r="S123" s="33"/>
      <c r="T123" s="33"/>
      <c r="U123" s="33"/>
      <c r="V123" s="33"/>
      <c r="W123" s="33"/>
      <c r="X123" s="33"/>
      <c r="Y123" s="33"/>
      <c r="Z123" s="33"/>
      <c r="AA123" s="33"/>
      <c r="AB123" s="33"/>
      <c r="AC123" s="33"/>
      <c r="AD123" s="33"/>
      <c r="AE123" s="33"/>
      <c r="AF123" s="33"/>
    </row>
    <row r="124" ht="15.75" customHeight="1">
      <c r="A124" s="75" t="s">
        <v>824</v>
      </c>
      <c r="B124" s="76">
        <v>7.0</v>
      </c>
      <c r="C124" s="31" t="s">
        <v>869</v>
      </c>
      <c r="D124" s="31" t="s">
        <v>870</v>
      </c>
      <c r="E124" s="31" t="s">
        <v>869</v>
      </c>
      <c r="F124" s="29"/>
      <c r="G124" s="29"/>
      <c r="H124" s="33"/>
      <c r="I124" s="33"/>
      <c r="J124" s="33"/>
      <c r="K124" s="33"/>
      <c r="L124" s="33"/>
      <c r="M124" s="33"/>
      <c r="N124" s="33"/>
      <c r="O124" s="33"/>
      <c r="P124" s="33"/>
      <c r="Q124" s="33"/>
      <c r="R124" s="33"/>
      <c r="S124" s="33"/>
      <c r="T124" s="33"/>
      <c r="U124" s="33"/>
      <c r="V124" s="33"/>
      <c r="W124" s="33"/>
      <c r="X124" s="33"/>
      <c r="Y124" s="33"/>
      <c r="Z124" s="33"/>
      <c r="AA124" s="33"/>
      <c r="AB124" s="33"/>
      <c r="AC124" s="33"/>
      <c r="AD124" s="33"/>
      <c r="AE124" s="33"/>
      <c r="AF124" s="33"/>
    </row>
    <row r="125" ht="15.75" customHeight="1">
      <c r="A125" s="75" t="s">
        <v>824</v>
      </c>
      <c r="B125" s="76">
        <v>8.0</v>
      </c>
      <c r="C125" s="31" t="s">
        <v>879</v>
      </c>
      <c r="D125" s="31" t="s">
        <v>879</v>
      </c>
      <c r="E125" s="31" t="s">
        <v>879</v>
      </c>
      <c r="F125" s="29"/>
      <c r="G125" s="29"/>
      <c r="H125" s="33"/>
      <c r="I125" s="33"/>
      <c r="J125" s="33"/>
      <c r="K125" s="33"/>
      <c r="L125" s="33"/>
      <c r="M125" s="33"/>
      <c r="N125" s="33"/>
      <c r="O125" s="33"/>
      <c r="P125" s="33"/>
      <c r="Q125" s="33"/>
      <c r="R125" s="33"/>
      <c r="S125" s="33"/>
      <c r="T125" s="33"/>
      <c r="U125" s="33"/>
      <c r="V125" s="33"/>
      <c r="W125" s="33"/>
      <c r="X125" s="33"/>
      <c r="Y125" s="33"/>
      <c r="Z125" s="33"/>
      <c r="AA125" s="33"/>
      <c r="AB125" s="33"/>
      <c r="AC125" s="33"/>
      <c r="AD125" s="33"/>
      <c r="AE125" s="33"/>
      <c r="AF125" s="33"/>
    </row>
    <row r="126" ht="15.75" customHeight="1">
      <c r="A126" s="75" t="s">
        <v>824</v>
      </c>
      <c r="B126" s="76">
        <v>9.0</v>
      </c>
      <c r="C126" s="31" t="s">
        <v>887</v>
      </c>
      <c r="D126" s="31" t="s">
        <v>887</v>
      </c>
      <c r="E126" s="31" t="s">
        <v>887</v>
      </c>
      <c r="F126" s="29"/>
      <c r="G126" s="29"/>
      <c r="H126" s="33"/>
      <c r="I126" s="33"/>
      <c r="J126" s="33"/>
      <c r="K126" s="33"/>
      <c r="L126" s="33"/>
      <c r="M126" s="33"/>
      <c r="N126" s="33"/>
      <c r="O126" s="33"/>
      <c r="P126" s="33"/>
      <c r="Q126" s="33"/>
      <c r="R126" s="33"/>
      <c r="S126" s="33"/>
      <c r="T126" s="33"/>
      <c r="U126" s="33"/>
      <c r="V126" s="33"/>
      <c r="W126" s="33"/>
      <c r="X126" s="33"/>
      <c r="Y126" s="33"/>
      <c r="Z126" s="33"/>
      <c r="AA126" s="33"/>
      <c r="AB126" s="33"/>
      <c r="AC126" s="33"/>
      <c r="AD126" s="33"/>
      <c r="AE126" s="33"/>
      <c r="AF126" s="33"/>
    </row>
    <row r="127" ht="15.75" customHeight="1">
      <c r="A127" s="75" t="s">
        <v>824</v>
      </c>
      <c r="B127" s="76">
        <v>10.0</v>
      </c>
      <c r="C127" s="31" t="s">
        <v>899</v>
      </c>
      <c r="D127" s="31" t="s">
        <v>900</v>
      </c>
      <c r="E127" s="31" t="s">
        <v>901</v>
      </c>
      <c r="F127" s="29"/>
      <c r="G127" s="29"/>
      <c r="H127" s="33"/>
      <c r="I127" s="33"/>
      <c r="J127" s="33"/>
      <c r="K127" s="33"/>
      <c r="L127" s="33"/>
      <c r="M127" s="33"/>
      <c r="N127" s="33"/>
      <c r="O127" s="33"/>
      <c r="P127" s="33"/>
      <c r="Q127" s="33"/>
      <c r="R127" s="33"/>
      <c r="S127" s="33"/>
      <c r="T127" s="33"/>
      <c r="U127" s="33"/>
      <c r="V127" s="33"/>
      <c r="W127" s="33"/>
      <c r="X127" s="33"/>
      <c r="Y127" s="33"/>
      <c r="Z127" s="33"/>
      <c r="AA127" s="33"/>
      <c r="AB127" s="33"/>
      <c r="AC127" s="33"/>
      <c r="AD127" s="33"/>
      <c r="AE127" s="33"/>
      <c r="AF127" s="33"/>
    </row>
    <row r="128" ht="15.75" customHeight="1">
      <c r="A128" s="75" t="s">
        <v>824</v>
      </c>
      <c r="B128" s="76">
        <v>11.0</v>
      </c>
      <c r="C128" s="31" t="s">
        <v>909</v>
      </c>
      <c r="D128" s="31" t="s">
        <v>910</v>
      </c>
      <c r="E128" s="31" t="s">
        <v>909</v>
      </c>
      <c r="F128" s="29"/>
      <c r="G128" s="29"/>
      <c r="H128" s="33"/>
      <c r="I128" s="33"/>
      <c r="J128" s="33"/>
      <c r="K128" s="33"/>
      <c r="L128" s="33"/>
      <c r="M128" s="33"/>
      <c r="N128" s="33"/>
      <c r="O128" s="33"/>
      <c r="P128" s="33"/>
      <c r="Q128" s="33"/>
      <c r="R128" s="33"/>
      <c r="S128" s="33"/>
      <c r="T128" s="33"/>
      <c r="U128" s="33"/>
      <c r="V128" s="33"/>
      <c r="W128" s="33"/>
      <c r="X128" s="33"/>
      <c r="Y128" s="33"/>
      <c r="Z128" s="33"/>
      <c r="AA128" s="33"/>
      <c r="AB128" s="33"/>
      <c r="AC128" s="33"/>
      <c r="AD128" s="33"/>
      <c r="AE128" s="33"/>
      <c r="AF128" s="33"/>
    </row>
    <row r="129" ht="15.75" customHeight="1">
      <c r="A129" s="75" t="s">
        <v>824</v>
      </c>
      <c r="B129" s="76">
        <v>12.0</v>
      </c>
      <c r="C129" s="31" t="s">
        <v>917</v>
      </c>
      <c r="D129" s="31" t="s">
        <v>917</v>
      </c>
      <c r="E129" s="31" t="s">
        <v>917</v>
      </c>
      <c r="F129" s="29"/>
      <c r="G129" s="29"/>
      <c r="H129" s="33"/>
      <c r="I129" s="33"/>
      <c r="J129" s="33"/>
      <c r="K129" s="33"/>
      <c r="L129" s="33"/>
      <c r="M129" s="33"/>
      <c r="N129" s="33"/>
      <c r="O129" s="33"/>
      <c r="P129" s="33"/>
      <c r="Q129" s="33"/>
      <c r="R129" s="33"/>
      <c r="S129" s="33"/>
      <c r="T129" s="33"/>
      <c r="U129" s="33"/>
      <c r="V129" s="33"/>
      <c r="W129" s="33"/>
      <c r="X129" s="33"/>
      <c r="Y129" s="33"/>
      <c r="Z129" s="33"/>
      <c r="AA129" s="33"/>
      <c r="AB129" s="33"/>
      <c r="AC129" s="33"/>
      <c r="AD129" s="33"/>
      <c r="AE129" s="33"/>
      <c r="AF129" s="33"/>
    </row>
    <row r="130" ht="15.75" customHeight="1">
      <c r="A130" s="75" t="s">
        <v>824</v>
      </c>
      <c r="B130" s="76">
        <v>13.0</v>
      </c>
      <c r="C130" s="31" t="s">
        <v>923</v>
      </c>
      <c r="D130" s="31" t="s">
        <v>924</v>
      </c>
      <c r="E130" s="31" t="s">
        <v>923</v>
      </c>
      <c r="F130" s="29"/>
      <c r="G130" s="29"/>
      <c r="H130" s="33"/>
      <c r="I130" s="33"/>
      <c r="J130" s="33"/>
      <c r="K130" s="33"/>
      <c r="L130" s="33"/>
      <c r="M130" s="33"/>
      <c r="N130" s="33"/>
      <c r="O130" s="33"/>
      <c r="P130" s="33"/>
      <c r="Q130" s="33"/>
      <c r="R130" s="33"/>
      <c r="S130" s="33"/>
      <c r="T130" s="33"/>
      <c r="U130" s="33"/>
      <c r="V130" s="33"/>
      <c r="W130" s="33"/>
      <c r="X130" s="33"/>
      <c r="Y130" s="33"/>
      <c r="Z130" s="33"/>
      <c r="AA130" s="33"/>
      <c r="AB130" s="33"/>
      <c r="AC130" s="33"/>
      <c r="AD130" s="33"/>
      <c r="AE130" s="33"/>
      <c r="AF130" s="33"/>
    </row>
    <row r="131" ht="15.75" customHeight="1">
      <c r="A131" s="75" t="s">
        <v>824</v>
      </c>
      <c r="B131" s="76">
        <v>14.0</v>
      </c>
      <c r="C131" s="31" t="s">
        <v>932</v>
      </c>
      <c r="D131" s="31" t="s">
        <v>932</v>
      </c>
      <c r="E131" s="31" t="s">
        <v>932</v>
      </c>
      <c r="F131" s="29"/>
      <c r="G131" s="29"/>
      <c r="H131" s="33"/>
      <c r="I131" s="33"/>
      <c r="J131" s="33"/>
      <c r="K131" s="33"/>
      <c r="L131" s="33"/>
      <c r="M131" s="33"/>
      <c r="N131" s="33"/>
      <c r="O131" s="33"/>
      <c r="P131" s="33"/>
      <c r="Q131" s="33"/>
      <c r="R131" s="33"/>
      <c r="S131" s="33"/>
      <c r="T131" s="33"/>
      <c r="U131" s="33"/>
      <c r="V131" s="33"/>
      <c r="W131" s="33"/>
      <c r="X131" s="33"/>
      <c r="Y131" s="33"/>
      <c r="Z131" s="33"/>
      <c r="AA131" s="33"/>
      <c r="AB131" s="33"/>
      <c r="AC131" s="33"/>
      <c r="AD131" s="33"/>
      <c r="AE131" s="33"/>
      <c r="AF131" s="33"/>
    </row>
    <row r="132" ht="15.75" customHeight="1">
      <c r="A132" s="75" t="s">
        <v>824</v>
      </c>
      <c r="B132" s="76">
        <v>15.0</v>
      </c>
      <c r="C132" s="31" t="s">
        <v>936</v>
      </c>
      <c r="D132" s="31" t="s">
        <v>937</v>
      </c>
      <c r="E132" s="31" t="s">
        <v>936</v>
      </c>
      <c r="F132" s="29"/>
      <c r="G132" s="29"/>
      <c r="H132" s="33"/>
      <c r="I132" s="33"/>
      <c r="J132" s="33"/>
      <c r="K132" s="33"/>
      <c r="L132" s="33"/>
      <c r="M132" s="33"/>
      <c r="N132" s="33"/>
      <c r="O132" s="33"/>
      <c r="P132" s="33"/>
      <c r="Q132" s="33"/>
      <c r="R132" s="33"/>
      <c r="S132" s="33"/>
      <c r="T132" s="33"/>
      <c r="U132" s="33"/>
      <c r="V132" s="33"/>
      <c r="W132" s="33"/>
      <c r="X132" s="33"/>
      <c r="Y132" s="33"/>
      <c r="Z132" s="33"/>
      <c r="AA132" s="33"/>
      <c r="AB132" s="33"/>
      <c r="AC132" s="33"/>
      <c r="AD132" s="33"/>
      <c r="AE132" s="33"/>
      <c r="AF132" s="33"/>
    </row>
    <row r="133" ht="15.75" customHeight="1">
      <c r="A133" s="75" t="s">
        <v>824</v>
      </c>
      <c r="B133" s="76">
        <v>16.0</v>
      </c>
      <c r="C133" s="31" t="s">
        <v>946</v>
      </c>
      <c r="D133" s="31" t="s">
        <v>947</v>
      </c>
      <c r="E133" s="31" t="s">
        <v>946</v>
      </c>
      <c r="F133" s="29"/>
      <c r="G133" s="29"/>
      <c r="H133" s="33"/>
      <c r="I133" s="33"/>
      <c r="J133" s="33"/>
      <c r="K133" s="33"/>
      <c r="L133" s="33"/>
      <c r="M133" s="33"/>
      <c r="N133" s="33"/>
      <c r="O133" s="33"/>
      <c r="P133" s="33"/>
      <c r="Q133" s="33"/>
      <c r="R133" s="33"/>
      <c r="S133" s="33"/>
      <c r="T133" s="33"/>
      <c r="U133" s="33"/>
      <c r="V133" s="33"/>
      <c r="W133" s="33"/>
      <c r="X133" s="33"/>
      <c r="Y133" s="33"/>
      <c r="Z133" s="33"/>
      <c r="AA133" s="33"/>
      <c r="AB133" s="33"/>
      <c r="AC133" s="33"/>
      <c r="AD133" s="33"/>
      <c r="AE133" s="33"/>
      <c r="AF133" s="33"/>
    </row>
    <row r="134" ht="15.75" customHeight="1">
      <c r="A134" s="75" t="s">
        <v>824</v>
      </c>
      <c r="B134" s="76">
        <v>17.0</v>
      </c>
      <c r="C134" s="31" t="s">
        <v>954</v>
      </c>
      <c r="D134" s="31" t="s">
        <v>957</v>
      </c>
      <c r="E134" s="31" t="s">
        <v>959</v>
      </c>
      <c r="F134" s="29"/>
      <c r="G134" s="29"/>
      <c r="H134" s="33"/>
      <c r="I134" s="33"/>
      <c r="J134" s="33"/>
      <c r="K134" s="33"/>
      <c r="L134" s="33"/>
      <c r="M134" s="33"/>
      <c r="N134" s="33"/>
      <c r="O134" s="33"/>
      <c r="P134" s="33"/>
      <c r="Q134" s="33"/>
      <c r="R134" s="33"/>
      <c r="S134" s="33"/>
      <c r="T134" s="33"/>
      <c r="U134" s="33"/>
      <c r="V134" s="33"/>
      <c r="W134" s="33"/>
      <c r="X134" s="33"/>
      <c r="Y134" s="33"/>
      <c r="Z134" s="33"/>
      <c r="AA134" s="33"/>
      <c r="AB134" s="33"/>
      <c r="AC134" s="33"/>
      <c r="AD134" s="33"/>
      <c r="AE134" s="33"/>
      <c r="AF134" s="33"/>
    </row>
    <row r="135" ht="15.75" customHeight="1">
      <c r="A135" s="75" t="s">
        <v>824</v>
      </c>
      <c r="B135" s="76">
        <v>18.0</v>
      </c>
      <c r="C135" s="31" t="s">
        <v>969</v>
      </c>
      <c r="D135" s="31" t="s">
        <v>969</v>
      </c>
      <c r="E135" s="31" t="s">
        <v>970</v>
      </c>
      <c r="F135" s="29"/>
      <c r="G135" s="29"/>
      <c r="H135" s="33"/>
      <c r="I135" s="33"/>
      <c r="J135" s="33"/>
      <c r="K135" s="33"/>
      <c r="L135" s="33"/>
      <c r="M135" s="33"/>
      <c r="N135" s="33"/>
      <c r="O135" s="33"/>
      <c r="P135" s="33"/>
      <c r="Q135" s="33"/>
      <c r="R135" s="33"/>
      <c r="S135" s="33"/>
      <c r="T135" s="33"/>
      <c r="U135" s="33"/>
      <c r="V135" s="33"/>
      <c r="W135" s="33"/>
      <c r="X135" s="33"/>
      <c r="Y135" s="33"/>
      <c r="Z135" s="33"/>
      <c r="AA135" s="33"/>
      <c r="AB135" s="33"/>
      <c r="AC135" s="33"/>
      <c r="AD135" s="33"/>
      <c r="AE135" s="33"/>
      <c r="AF135" s="33"/>
    </row>
    <row r="136" ht="15.75" customHeight="1">
      <c r="A136" s="75" t="s">
        <v>824</v>
      </c>
      <c r="B136" s="76">
        <v>19.0</v>
      </c>
      <c r="C136" s="31" t="s">
        <v>979</v>
      </c>
      <c r="D136" s="31" t="s">
        <v>979</v>
      </c>
      <c r="E136" s="31" t="s">
        <v>980</v>
      </c>
      <c r="F136" s="29"/>
      <c r="G136" s="29"/>
      <c r="H136" s="33"/>
      <c r="I136" s="33"/>
      <c r="J136" s="33"/>
      <c r="K136" s="33"/>
      <c r="L136" s="33"/>
      <c r="M136" s="33"/>
      <c r="N136" s="33"/>
      <c r="O136" s="33"/>
      <c r="P136" s="33"/>
      <c r="Q136" s="33"/>
      <c r="R136" s="33"/>
      <c r="S136" s="33"/>
      <c r="T136" s="33"/>
      <c r="U136" s="33"/>
      <c r="V136" s="33"/>
      <c r="W136" s="33"/>
      <c r="X136" s="33"/>
      <c r="Y136" s="33"/>
      <c r="Z136" s="33"/>
      <c r="AA136" s="33"/>
      <c r="AB136" s="33"/>
      <c r="AC136" s="33"/>
      <c r="AD136" s="33"/>
      <c r="AE136" s="33"/>
      <c r="AF136" s="33"/>
    </row>
    <row r="137" ht="15.75" customHeight="1">
      <c r="A137" s="75" t="s">
        <v>824</v>
      </c>
      <c r="B137" s="76">
        <v>20.0</v>
      </c>
      <c r="C137" s="31" t="s">
        <v>988</v>
      </c>
      <c r="D137" s="31" t="s">
        <v>989</v>
      </c>
      <c r="E137" s="78" t="s">
        <v>990</v>
      </c>
      <c r="F137" s="29"/>
      <c r="G137" s="29"/>
      <c r="H137" s="33"/>
      <c r="I137" s="33"/>
      <c r="J137" s="33"/>
      <c r="K137" s="33"/>
      <c r="L137" s="33"/>
      <c r="M137" s="33"/>
      <c r="N137" s="33"/>
      <c r="O137" s="33"/>
      <c r="P137" s="33"/>
      <c r="Q137" s="33"/>
      <c r="R137" s="33"/>
      <c r="S137" s="33"/>
      <c r="T137" s="33"/>
      <c r="U137" s="33"/>
      <c r="V137" s="33"/>
      <c r="W137" s="33"/>
      <c r="X137" s="33"/>
      <c r="Y137" s="33"/>
      <c r="Z137" s="33"/>
      <c r="AA137" s="33"/>
      <c r="AB137" s="33"/>
      <c r="AC137" s="33"/>
      <c r="AD137" s="33"/>
      <c r="AE137" s="33"/>
      <c r="AF137" s="33"/>
    </row>
    <row r="138" ht="15.75" customHeight="1">
      <c r="A138" s="75" t="s">
        <v>824</v>
      </c>
      <c r="B138" s="76">
        <v>21.0</v>
      </c>
      <c r="C138" s="31" t="s">
        <v>999</v>
      </c>
      <c r="D138" s="31" t="s">
        <v>1001</v>
      </c>
      <c r="E138" s="31" t="s">
        <v>1002</v>
      </c>
      <c r="F138" s="29"/>
      <c r="G138" s="29"/>
      <c r="H138" s="33"/>
      <c r="I138" s="33"/>
      <c r="J138" s="33"/>
      <c r="K138" s="33"/>
      <c r="L138" s="33"/>
      <c r="M138" s="33"/>
      <c r="N138" s="33"/>
      <c r="O138" s="33"/>
      <c r="P138" s="33"/>
      <c r="Q138" s="33"/>
      <c r="R138" s="33"/>
      <c r="S138" s="33"/>
      <c r="T138" s="33"/>
      <c r="U138" s="33"/>
      <c r="V138" s="33"/>
      <c r="W138" s="33"/>
      <c r="X138" s="33"/>
      <c r="Y138" s="33"/>
      <c r="Z138" s="33"/>
      <c r="AA138" s="33"/>
      <c r="AB138" s="33"/>
      <c r="AC138" s="33"/>
      <c r="AD138" s="33"/>
      <c r="AE138" s="33"/>
      <c r="AF138" s="33"/>
    </row>
    <row r="139" ht="15.75" customHeight="1">
      <c r="A139" s="75" t="s">
        <v>824</v>
      </c>
      <c r="B139" s="76">
        <v>-777.0</v>
      </c>
      <c r="C139" s="31" t="s">
        <v>417</v>
      </c>
      <c r="D139" s="31" t="s">
        <v>418</v>
      </c>
      <c r="E139" s="31" t="s">
        <v>817</v>
      </c>
      <c r="F139" s="29"/>
      <c r="G139" s="29"/>
      <c r="H139" s="33"/>
      <c r="I139" s="33"/>
      <c r="J139" s="33"/>
      <c r="K139" s="33"/>
      <c r="L139" s="33"/>
      <c r="M139" s="33"/>
      <c r="N139" s="33"/>
      <c r="O139" s="33"/>
      <c r="P139" s="33"/>
      <c r="Q139" s="33"/>
      <c r="R139" s="33"/>
      <c r="S139" s="33"/>
      <c r="T139" s="33"/>
      <c r="U139" s="33"/>
      <c r="V139" s="33"/>
      <c r="W139" s="33"/>
      <c r="X139" s="33"/>
      <c r="Y139" s="33"/>
      <c r="Z139" s="33"/>
      <c r="AA139" s="33"/>
      <c r="AB139" s="33"/>
      <c r="AC139" s="33"/>
      <c r="AD139" s="33"/>
      <c r="AE139" s="33"/>
      <c r="AF139" s="33"/>
    </row>
    <row r="140" ht="15.75" customHeight="1">
      <c r="A140" s="63" t="s">
        <v>824</v>
      </c>
      <c r="B140" s="94">
        <v>-999.0</v>
      </c>
      <c r="C140" s="37" t="s">
        <v>115</v>
      </c>
      <c r="D140" s="37" t="s">
        <v>117</v>
      </c>
      <c r="E140" s="37" t="s">
        <v>118</v>
      </c>
      <c r="F140" s="36"/>
      <c r="G140" s="36"/>
      <c r="H140" s="19"/>
      <c r="I140" s="19"/>
      <c r="J140" s="19"/>
      <c r="K140" s="19"/>
      <c r="L140" s="19"/>
      <c r="M140" s="19"/>
      <c r="N140" s="19"/>
      <c r="O140" s="19"/>
      <c r="P140" s="19"/>
      <c r="Q140" s="19"/>
      <c r="R140" s="19"/>
      <c r="S140" s="19"/>
      <c r="T140" s="19"/>
      <c r="U140" s="19"/>
      <c r="V140" s="19"/>
      <c r="W140" s="19"/>
      <c r="X140" s="19"/>
      <c r="Y140" s="19"/>
      <c r="Z140" s="19"/>
      <c r="AA140" s="19"/>
      <c r="AB140" s="19"/>
      <c r="AC140" s="19"/>
      <c r="AD140" s="19"/>
      <c r="AE140" s="19"/>
      <c r="AF140" s="19"/>
    </row>
    <row r="141" ht="15.75" customHeight="1">
      <c r="A141" s="100"/>
      <c r="B141" s="102"/>
      <c r="C141" s="100"/>
      <c r="D141" s="100"/>
      <c r="E141" s="165"/>
      <c r="F141" s="33"/>
      <c r="G141" s="33"/>
      <c r="H141" s="33"/>
      <c r="I141" s="33"/>
      <c r="J141" s="33"/>
      <c r="K141" s="33"/>
      <c r="L141" s="33"/>
      <c r="M141" s="33"/>
      <c r="N141" s="33"/>
      <c r="O141" s="33"/>
      <c r="P141" s="33"/>
      <c r="Q141" s="33"/>
      <c r="R141" s="33"/>
      <c r="S141" s="33"/>
      <c r="T141" s="33"/>
      <c r="U141" s="33"/>
      <c r="V141" s="33"/>
      <c r="W141" s="33"/>
      <c r="X141" s="33"/>
      <c r="Y141" s="33"/>
      <c r="Z141" s="33"/>
      <c r="AA141" s="33"/>
      <c r="AB141" s="33"/>
      <c r="AC141" s="33"/>
      <c r="AD141" s="33"/>
      <c r="AE141" s="33"/>
      <c r="AF141" s="33"/>
    </row>
    <row r="142" ht="15.75" customHeight="1">
      <c r="A142" s="110" t="s">
        <v>1024</v>
      </c>
      <c r="B142" s="111">
        <v>1.0</v>
      </c>
      <c r="C142" s="116" t="s">
        <v>1025</v>
      </c>
      <c r="D142" s="116" t="s">
        <v>1026</v>
      </c>
      <c r="E142" s="168" t="s">
        <v>1027</v>
      </c>
      <c r="F142" s="44"/>
      <c r="G142" s="44"/>
      <c r="H142" s="44"/>
      <c r="I142" s="44"/>
      <c r="J142" s="44"/>
      <c r="K142" s="44"/>
      <c r="L142" s="44"/>
      <c r="M142" s="44"/>
      <c r="N142" s="44"/>
      <c r="O142" s="44"/>
      <c r="P142" s="44"/>
      <c r="Q142" s="44"/>
      <c r="R142" s="44"/>
      <c r="S142" s="44"/>
      <c r="T142" s="44"/>
      <c r="U142" s="44"/>
      <c r="V142" s="44"/>
      <c r="W142" s="44"/>
      <c r="X142" s="44"/>
      <c r="Y142" s="44"/>
      <c r="Z142" s="44"/>
      <c r="AA142" s="44"/>
      <c r="AB142" s="44"/>
      <c r="AC142" s="44"/>
      <c r="AD142" s="44"/>
      <c r="AE142" s="44"/>
      <c r="AF142" s="44"/>
    </row>
    <row r="143" ht="15.75" customHeight="1">
      <c r="A143" s="75" t="s">
        <v>1024</v>
      </c>
      <c r="B143" s="76">
        <v>2.0</v>
      </c>
      <c r="C143" s="31" t="s">
        <v>1035</v>
      </c>
      <c r="D143" s="31" t="s">
        <v>1037</v>
      </c>
      <c r="E143" s="78" t="s">
        <v>1038</v>
      </c>
      <c r="F143" s="33"/>
      <c r="G143" s="33"/>
      <c r="H143" s="33"/>
      <c r="I143" s="33"/>
      <c r="J143" s="33"/>
      <c r="K143" s="33"/>
      <c r="L143" s="33"/>
      <c r="M143" s="33"/>
      <c r="N143" s="33"/>
      <c r="O143" s="33"/>
      <c r="P143" s="33"/>
      <c r="Q143" s="33"/>
      <c r="R143" s="33"/>
      <c r="S143" s="33"/>
      <c r="T143" s="33"/>
      <c r="U143" s="33"/>
      <c r="V143" s="33"/>
      <c r="W143" s="33"/>
      <c r="X143" s="33"/>
      <c r="Y143" s="33"/>
      <c r="Z143" s="33"/>
      <c r="AA143" s="33"/>
      <c r="AB143" s="33"/>
      <c r="AC143" s="33"/>
      <c r="AD143" s="33"/>
      <c r="AE143" s="33"/>
      <c r="AF143" s="33"/>
    </row>
    <row r="144" ht="15.75" customHeight="1">
      <c r="A144" s="75" t="s">
        <v>1024</v>
      </c>
      <c r="B144" s="76">
        <v>3.0</v>
      </c>
      <c r="C144" s="31" t="s">
        <v>1039</v>
      </c>
      <c r="D144" s="31" t="s">
        <v>1040</v>
      </c>
      <c r="E144" s="31" t="s">
        <v>1041</v>
      </c>
      <c r="F144" s="33"/>
      <c r="G144" s="33"/>
      <c r="H144" s="33"/>
      <c r="I144" s="33"/>
      <c r="J144" s="33"/>
      <c r="K144" s="33"/>
      <c r="L144" s="33"/>
      <c r="M144" s="33"/>
      <c r="N144" s="33"/>
      <c r="O144" s="33"/>
      <c r="P144" s="33"/>
      <c r="Q144" s="33"/>
      <c r="R144" s="33"/>
      <c r="S144" s="33"/>
      <c r="T144" s="33"/>
      <c r="U144" s="33"/>
      <c r="V144" s="33"/>
      <c r="W144" s="33"/>
      <c r="X144" s="33"/>
      <c r="Y144" s="33"/>
      <c r="Z144" s="33"/>
      <c r="AA144" s="33"/>
      <c r="AB144" s="33"/>
      <c r="AC144" s="33"/>
      <c r="AD144" s="33"/>
      <c r="AE144" s="33"/>
      <c r="AF144" s="33"/>
    </row>
    <row r="145" ht="15.75" customHeight="1">
      <c r="A145" s="75" t="s">
        <v>1024</v>
      </c>
      <c r="B145" s="76">
        <v>4.0</v>
      </c>
      <c r="C145" s="31" t="s">
        <v>1046</v>
      </c>
      <c r="D145" s="31" t="s">
        <v>1047</v>
      </c>
      <c r="E145" s="31" t="s">
        <v>1048</v>
      </c>
      <c r="F145" s="33"/>
      <c r="G145" s="33"/>
      <c r="H145" s="33"/>
      <c r="I145" s="33"/>
      <c r="J145" s="33"/>
      <c r="K145" s="33"/>
      <c r="L145" s="33"/>
      <c r="M145" s="33"/>
      <c r="N145" s="33"/>
      <c r="O145" s="33"/>
      <c r="P145" s="33"/>
      <c r="Q145" s="33"/>
      <c r="R145" s="33"/>
      <c r="S145" s="33"/>
      <c r="T145" s="33"/>
      <c r="U145" s="33"/>
      <c r="V145" s="33"/>
      <c r="W145" s="33"/>
      <c r="X145" s="33"/>
      <c r="Y145" s="33"/>
      <c r="Z145" s="33"/>
      <c r="AA145" s="33"/>
      <c r="AB145" s="33"/>
      <c r="AC145" s="33"/>
      <c r="AD145" s="33"/>
      <c r="AE145" s="33"/>
      <c r="AF145" s="33"/>
    </row>
    <row r="146" ht="15.75" customHeight="1">
      <c r="A146" s="63" t="s">
        <v>1024</v>
      </c>
      <c r="B146" s="94">
        <v>-777.0</v>
      </c>
      <c r="C146" s="37" t="s">
        <v>417</v>
      </c>
      <c r="D146" s="37" t="s">
        <v>418</v>
      </c>
      <c r="E146" s="37" t="s">
        <v>419</v>
      </c>
      <c r="F146" s="19"/>
      <c r="G146" s="19"/>
      <c r="H146" s="19"/>
      <c r="I146" s="19"/>
      <c r="J146" s="19"/>
      <c r="K146" s="19"/>
      <c r="L146" s="19"/>
      <c r="M146" s="19"/>
      <c r="N146" s="19"/>
      <c r="O146" s="19"/>
      <c r="P146" s="19"/>
      <c r="Q146" s="19"/>
      <c r="R146" s="19"/>
      <c r="S146" s="19"/>
      <c r="T146" s="19"/>
      <c r="U146" s="19"/>
      <c r="V146" s="19"/>
      <c r="W146" s="19"/>
      <c r="X146" s="19"/>
      <c r="Y146" s="19"/>
      <c r="Z146" s="19"/>
      <c r="AA146" s="19"/>
      <c r="AB146" s="19"/>
      <c r="AC146" s="19"/>
      <c r="AD146" s="19"/>
      <c r="AE146" s="19"/>
      <c r="AF146" s="19"/>
    </row>
    <row r="147" ht="15.75" customHeight="1">
      <c r="A147" s="100"/>
      <c r="B147" s="102"/>
      <c r="C147" s="100"/>
      <c r="D147" s="100"/>
      <c r="E147" s="165"/>
      <c r="F147" s="33"/>
      <c r="G147" s="33"/>
      <c r="H147" s="33"/>
      <c r="I147" s="33"/>
      <c r="J147" s="33"/>
      <c r="K147" s="33"/>
      <c r="L147" s="33"/>
      <c r="M147" s="33"/>
      <c r="N147" s="33"/>
      <c r="O147" s="33"/>
      <c r="P147" s="33"/>
      <c r="Q147" s="33"/>
      <c r="R147" s="33"/>
      <c r="S147" s="33"/>
      <c r="T147" s="33"/>
      <c r="U147" s="33"/>
      <c r="V147" s="33"/>
      <c r="W147" s="33"/>
      <c r="X147" s="33"/>
      <c r="Y147" s="33"/>
      <c r="Z147" s="33"/>
      <c r="AA147" s="33"/>
      <c r="AB147" s="33"/>
      <c r="AC147" s="33"/>
      <c r="AD147" s="33"/>
      <c r="AE147" s="33"/>
      <c r="AF147" s="33"/>
    </row>
    <row r="148" ht="15.75" customHeight="1">
      <c r="A148" s="110" t="s">
        <v>1061</v>
      </c>
      <c r="B148" s="111">
        <v>1.0</v>
      </c>
      <c r="C148" s="116" t="s">
        <v>1063</v>
      </c>
      <c r="D148" s="116" t="s">
        <v>1064</v>
      </c>
      <c r="E148" s="168" t="s">
        <v>1065</v>
      </c>
      <c r="F148" s="114"/>
      <c r="G148" s="114"/>
      <c r="H148" s="44"/>
      <c r="I148" s="44"/>
      <c r="J148" s="44"/>
      <c r="K148" s="44"/>
      <c r="L148" s="44"/>
      <c r="M148" s="44"/>
      <c r="N148" s="44"/>
      <c r="O148" s="44"/>
      <c r="P148" s="44"/>
      <c r="Q148" s="44"/>
      <c r="R148" s="44"/>
      <c r="S148" s="44"/>
      <c r="T148" s="44"/>
      <c r="U148" s="44"/>
      <c r="V148" s="44"/>
      <c r="W148" s="44"/>
      <c r="X148" s="44"/>
      <c r="Y148" s="44"/>
      <c r="Z148" s="44"/>
      <c r="AA148" s="44"/>
      <c r="AB148" s="44"/>
      <c r="AC148" s="44"/>
      <c r="AD148" s="44"/>
      <c r="AE148" s="44"/>
      <c r="AF148" s="44"/>
    </row>
    <row r="149" ht="15.75" customHeight="1">
      <c r="A149" s="75" t="s">
        <v>1061</v>
      </c>
      <c r="B149" s="76">
        <v>2.0</v>
      </c>
      <c r="C149" s="31" t="s">
        <v>1071</v>
      </c>
      <c r="D149" s="31" t="s">
        <v>1072</v>
      </c>
      <c r="E149" s="31" t="s">
        <v>1074</v>
      </c>
      <c r="F149" s="29"/>
      <c r="G149" s="29"/>
      <c r="H149" s="33"/>
      <c r="I149" s="33"/>
      <c r="J149" s="33"/>
      <c r="K149" s="33"/>
      <c r="L149" s="33"/>
      <c r="M149" s="33"/>
      <c r="N149" s="33"/>
      <c r="O149" s="33"/>
      <c r="P149" s="33"/>
      <c r="Q149" s="33"/>
      <c r="R149" s="33"/>
      <c r="S149" s="33"/>
      <c r="T149" s="33"/>
      <c r="U149" s="33"/>
      <c r="V149" s="33"/>
      <c r="W149" s="33"/>
      <c r="X149" s="33"/>
      <c r="Y149" s="33"/>
      <c r="Z149" s="33"/>
      <c r="AA149" s="33"/>
      <c r="AB149" s="33"/>
      <c r="AC149" s="33"/>
      <c r="AD149" s="33"/>
      <c r="AE149" s="33"/>
      <c r="AF149" s="33"/>
    </row>
    <row r="150" ht="15.75" customHeight="1">
      <c r="A150" s="75" t="s">
        <v>1061</v>
      </c>
      <c r="B150" s="76">
        <v>3.0</v>
      </c>
      <c r="C150" s="31" t="s">
        <v>1080</v>
      </c>
      <c r="D150" s="31" t="s">
        <v>1081</v>
      </c>
      <c r="E150" s="78" t="s">
        <v>1083</v>
      </c>
      <c r="F150" s="29"/>
      <c r="G150" s="29"/>
      <c r="H150" s="33"/>
      <c r="I150" s="33"/>
      <c r="J150" s="33"/>
      <c r="K150" s="33"/>
      <c r="L150" s="33"/>
      <c r="M150" s="33"/>
      <c r="N150" s="33"/>
      <c r="O150" s="33"/>
      <c r="P150" s="33"/>
      <c r="Q150" s="33"/>
      <c r="R150" s="33"/>
      <c r="S150" s="33"/>
      <c r="T150" s="33"/>
      <c r="U150" s="33"/>
      <c r="V150" s="33"/>
      <c r="W150" s="33"/>
      <c r="X150" s="33"/>
      <c r="Y150" s="33"/>
      <c r="Z150" s="33"/>
      <c r="AA150" s="33"/>
      <c r="AB150" s="33"/>
      <c r="AC150" s="33"/>
      <c r="AD150" s="33"/>
      <c r="AE150" s="33"/>
      <c r="AF150" s="33"/>
    </row>
    <row r="151" ht="15.75" customHeight="1">
      <c r="A151" s="75" t="s">
        <v>1061</v>
      </c>
      <c r="B151" s="76">
        <v>4.0</v>
      </c>
      <c r="C151" s="31" t="s">
        <v>1092</v>
      </c>
      <c r="D151" s="31" t="s">
        <v>1093</v>
      </c>
      <c r="E151" s="78" t="s">
        <v>1094</v>
      </c>
      <c r="F151" s="29"/>
      <c r="G151" s="29"/>
      <c r="H151" s="33"/>
      <c r="I151" s="33"/>
      <c r="J151" s="33"/>
      <c r="K151" s="33"/>
      <c r="L151" s="33"/>
      <c r="M151" s="33"/>
      <c r="N151" s="33"/>
      <c r="O151" s="33"/>
      <c r="P151" s="33"/>
      <c r="Q151" s="33"/>
      <c r="R151" s="33"/>
      <c r="S151" s="33"/>
      <c r="T151" s="33"/>
      <c r="U151" s="33"/>
      <c r="V151" s="33"/>
      <c r="W151" s="33"/>
      <c r="X151" s="33"/>
      <c r="Y151" s="33"/>
      <c r="Z151" s="33"/>
      <c r="AA151" s="33"/>
      <c r="AB151" s="33"/>
      <c r="AC151" s="33"/>
      <c r="AD151" s="33"/>
      <c r="AE151" s="33"/>
      <c r="AF151" s="33"/>
    </row>
    <row r="152" ht="15.75" customHeight="1">
      <c r="A152" s="75" t="s">
        <v>1061</v>
      </c>
      <c r="B152" s="76">
        <v>5.0</v>
      </c>
      <c r="C152" s="31" t="s">
        <v>1099</v>
      </c>
      <c r="D152" s="31" t="s">
        <v>1100</v>
      </c>
      <c r="E152" s="31" t="s">
        <v>1101</v>
      </c>
      <c r="F152" s="29"/>
      <c r="G152" s="29"/>
      <c r="H152" s="33"/>
      <c r="I152" s="33"/>
      <c r="J152" s="33"/>
      <c r="K152" s="33"/>
      <c r="L152" s="33"/>
      <c r="M152" s="33"/>
      <c r="N152" s="33"/>
      <c r="O152" s="33"/>
      <c r="P152" s="33"/>
      <c r="Q152" s="33"/>
      <c r="R152" s="33"/>
      <c r="S152" s="33"/>
      <c r="T152" s="33"/>
      <c r="U152" s="33"/>
      <c r="V152" s="33"/>
      <c r="W152" s="33"/>
      <c r="X152" s="33"/>
      <c r="Y152" s="33"/>
      <c r="Z152" s="33"/>
      <c r="AA152" s="33"/>
      <c r="AB152" s="33"/>
      <c r="AC152" s="33"/>
      <c r="AD152" s="33"/>
      <c r="AE152" s="33"/>
      <c r="AF152" s="33"/>
    </row>
    <row r="153" ht="15.75" customHeight="1">
      <c r="A153" s="75" t="s">
        <v>1061</v>
      </c>
      <c r="B153" s="76">
        <v>6.0</v>
      </c>
      <c r="C153" s="31" t="s">
        <v>1111</v>
      </c>
      <c r="D153" s="31" t="s">
        <v>1113</v>
      </c>
      <c r="E153" s="31" t="s">
        <v>1115</v>
      </c>
      <c r="F153" s="29"/>
      <c r="G153" s="29"/>
      <c r="H153" s="33"/>
      <c r="I153" s="33"/>
      <c r="J153" s="33"/>
      <c r="K153" s="33"/>
      <c r="L153" s="33"/>
      <c r="M153" s="33"/>
      <c r="N153" s="33"/>
      <c r="O153" s="33"/>
      <c r="P153" s="33"/>
      <c r="Q153" s="33"/>
      <c r="R153" s="33"/>
      <c r="S153" s="33"/>
      <c r="T153" s="33"/>
      <c r="U153" s="33"/>
      <c r="V153" s="33"/>
      <c r="W153" s="33"/>
      <c r="X153" s="33"/>
      <c r="Y153" s="33"/>
      <c r="Z153" s="33"/>
      <c r="AA153" s="33"/>
      <c r="AB153" s="33"/>
      <c r="AC153" s="33"/>
      <c r="AD153" s="33"/>
      <c r="AE153" s="33"/>
      <c r="AF153" s="33"/>
    </row>
    <row r="154" ht="15.75" customHeight="1">
      <c r="A154" s="75" t="s">
        <v>1061</v>
      </c>
      <c r="B154" s="76">
        <v>7.0</v>
      </c>
      <c r="C154" s="31" t="s">
        <v>1117</v>
      </c>
      <c r="D154" s="31" t="s">
        <v>1118</v>
      </c>
      <c r="E154" s="31" t="s">
        <v>1119</v>
      </c>
      <c r="F154" s="29"/>
      <c r="G154" s="29"/>
      <c r="H154" s="33"/>
      <c r="I154" s="33"/>
      <c r="J154" s="33"/>
      <c r="K154" s="33"/>
      <c r="L154" s="33"/>
      <c r="M154" s="33"/>
      <c r="N154" s="33"/>
      <c r="O154" s="33"/>
      <c r="P154" s="33"/>
      <c r="Q154" s="33"/>
      <c r="R154" s="33"/>
      <c r="S154" s="33"/>
      <c r="T154" s="33"/>
      <c r="U154" s="33"/>
      <c r="V154" s="33"/>
      <c r="W154" s="33"/>
      <c r="X154" s="33"/>
      <c r="Y154" s="33"/>
      <c r="Z154" s="33"/>
      <c r="AA154" s="33"/>
      <c r="AB154" s="33"/>
      <c r="AC154" s="33"/>
      <c r="AD154" s="33"/>
      <c r="AE154" s="33"/>
      <c r="AF154" s="33"/>
    </row>
    <row r="155" ht="15.75" customHeight="1">
      <c r="A155" s="75" t="s">
        <v>1061</v>
      </c>
      <c r="B155" s="76">
        <v>8.0</v>
      </c>
      <c r="C155" s="31" t="s">
        <v>1129</v>
      </c>
      <c r="D155" s="31" t="s">
        <v>1130</v>
      </c>
      <c r="E155" s="78" t="s">
        <v>1131</v>
      </c>
      <c r="F155" s="29"/>
      <c r="G155" s="29"/>
      <c r="H155" s="33"/>
      <c r="I155" s="33"/>
      <c r="J155" s="33"/>
      <c r="K155" s="33"/>
      <c r="L155" s="33"/>
      <c r="M155" s="33"/>
      <c r="N155" s="33"/>
      <c r="O155" s="33"/>
      <c r="P155" s="33"/>
      <c r="Q155" s="33"/>
      <c r="R155" s="33"/>
      <c r="S155" s="33"/>
      <c r="T155" s="33"/>
      <c r="U155" s="33"/>
      <c r="V155" s="33"/>
      <c r="W155" s="33"/>
      <c r="X155" s="33"/>
      <c r="Y155" s="33"/>
      <c r="Z155" s="33"/>
      <c r="AA155" s="33"/>
      <c r="AB155" s="33"/>
      <c r="AC155" s="33"/>
      <c r="AD155" s="33"/>
      <c r="AE155" s="33"/>
      <c r="AF155" s="33"/>
    </row>
    <row r="156" ht="15.75" customHeight="1">
      <c r="A156" s="75" t="s">
        <v>1061</v>
      </c>
      <c r="B156" s="76">
        <v>9.0</v>
      </c>
      <c r="C156" s="31" t="s">
        <v>1135</v>
      </c>
      <c r="D156" s="31" t="s">
        <v>1136</v>
      </c>
      <c r="E156" s="31" t="s">
        <v>1138</v>
      </c>
      <c r="F156" s="29"/>
      <c r="G156" s="29"/>
      <c r="H156" s="33"/>
      <c r="I156" s="33"/>
      <c r="J156" s="33"/>
      <c r="K156" s="33"/>
      <c r="L156" s="33"/>
      <c r="M156" s="33"/>
      <c r="N156" s="33"/>
      <c r="O156" s="33"/>
      <c r="P156" s="33"/>
      <c r="Q156" s="33"/>
      <c r="R156" s="33"/>
      <c r="S156" s="33"/>
      <c r="T156" s="33"/>
      <c r="U156" s="33"/>
      <c r="V156" s="33"/>
      <c r="W156" s="33"/>
      <c r="X156" s="33"/>
      <c r="Y156" s="33"/>
      <c r="Z156" s="33"/>
      <c r="AA156" s="33"/>
      <c r="AB156" s="33"/>
      <c r="AC156" s="33"/>
      <c r="AD156" s="33"/>
      <c r="AE156" s="33"/>
      <c r="AF156" s="33"/>
    </row>
    <row r="157" ht="15.75" customHeight="1">
      <c r="A157" s="63" t="s">
        <v>1061</v>
      </c>
      <c r="B157" s="94">
        <v>-777.0</v>
      </c>
      <c r="C157" s="37" t="s">
        <v>417</v>
      </c>
      <c r="D157" s="37" t="s">
        <v>418</v>
      </c>
      <c r="E157" s="37" t="s">
        <v>419</v>
      </c>
      <c r="F157" s="36"/>
      <c r="G157" s="36"/>
      <c r="H157" s="19"/>
      <c r="I157" s="19"/>
      <c r="J157" s="19"/>
      <c r="K157" s="19"/>
      <c r="L157" s="19"/>
      <c r="M157" s="19"/>
      <c r="N157" s="19"/>
      <c r="O157" s="19"/>
      <c r="P157" s="19"/>
      <c r="Q157" s="19"/>
      <c r="R157" s="19"/>
      <c r="S157" s="19"/>
      <c r="T157" s="19"/>
      <c r="U157" s="19"/>
      <c r="V157" s="19"/>
      <c r="W157" s="19"/>
      <c r="X157" s="19"/>
      <c r="Y157" s="19"/>
      <c r="Z157" s="19"/>
      <c r="AA157" s="19"/>
      <c r="AB157" s="19"/>
      <c r="AC157" s="19"/>
      <c r="AD157" s="19"/>
      <c r="AE157" s="19"/>
      <c r="AF157" s="19"/>
    </row>
    <row r="158" ht="15.75" customHeight="1">
      <c r="A158" s="100"/>
      <c r="B158" s="102"/>
      <c r="C158" s="100"/>
      <c r="D158" s="100"/>
      <c r="E158" s="165"/>
      <c r="F158" s="33"/>
      <c r="G158" s="33"/>
      <c r="H158" s="33"/>
      <c r="I158" s="33"/>
      <c r="J158" s="33"/>
      <c r="K158" s="33"/>
      <c r="L158" s="33"/>
      <c r="M158" s="33"/>
      <c r="N158" s="33"/>
      <c r="O158" s="33"/>
      <c r="P158" s="33"/>
      <c r="Q158" s="33"/>
      <c r="R158" s="33"/>
      <c r="S158" s="33"/>
      <c r="T158" s="33"/>
      <c r="U158" s="33"/>
      <c r="V158" s="33"/>
      <c r="W158" s="33"/>
      <c r="X158" s="33"/>
      <c r="Y158" s="33"/>
      <c r="Z158" s="33"/>
      <c r="AA158" s="33"/>
      <c r="AB158" s="33"/>
      <c r="AC158" s="33"/>
      <c r="AD158" s="33"/>
      <c r="AE158" s="33"/>
      <c r="AF158" s="33"/>
    </row>
    <row r="159" ht="15.75" customHeight="1">
      <c r="A159" s="110" t="s">
        <v>1156</v>
      </c>
      <c r="B159" s="111">
        <v>1.0</v>
      </c>
      <c r="C159" s="116" t="s">
        <v>1157</v>
      </c>
      <c r="D159" s="116" t="s">
        <v>1158</v>
      </c>
      <c r="E159" s="168" t="s">
        <v>1159</v>
      </c>
      <c r="F159" s="114"/>
      <c r="G159" s="201"/>
      <c r="H159" s="44"/>
      <c r="I159" s="44"/>
      <c r="J159" s="44"/>
      <c r="K159" s="44"/>
      <c r="L159" s="44"/>
      <c r="M159" s="44"/>
      <c r="N159" s="44"/>
      <c r="O159" s="44"/>
      <c r="P159" s="44"/>
      <c r="Q159" s="44"/>
      <c r="R159" s="44"/>
      <c r="S159" s="44"/>
      <c r="T159" s="44"/>
      <c r="U159" s="44"/>
      <c r="V159" s="44"/>
      <c r="W159" s="44"/>
      <c r="X159" s="44"/>
      <c r="Y159" s="44"/>
      <c r="Z159" s="44"/>
      <c r="AA159" s="44"/>
      <c r="AB159" s="44"/>
      <c r="AC159" s="44"/>
      <c r="AD159" s="44"/>
      <c r="AE159" s="44"/>
      <c r="AF159" s="44"/>
    </row>
    <row r="160" ht="15.75" customHeight="1">
      <c r="A160" s="75" t="s">
        <v>1156</v>
      </c>
      <c r="B160" s="76">
        <v>2.0</v>
      </c>
      <c r="C160" s="31" t="s">
        <v>1172</v>
      </c>
      <c r="D160" s="31" t="s">
        <v>1173</v>
      </c>
      <c r="E160" s="78" t="s">
        <v>1174</v>
      </c>
      <c r="F160" s="162"/>
      <c r="G160" s="29"/>
      <c r="H160" s="33"/>
      <c r="I160" s="33"/>
      <c r="J160" s="33"/>
      <c r="K160" s="33"/>
      <c r="L160" s="33"/>
      <c r="M160" s="33"/>
      <c r="N160" s="33"/>
      <c r="O160" s="33"/>
      <c r="P160" s="33"/>
      <c r="Q160" s="33"/>
      <c r="R160" s="33"/>
      <c r="S160" s="33"/>
      <c r="T160" s="33"/>
      <c r="U160" s="33"/>
      <c r="V160" s="33"/>
      <c r="W160" s="33"/>
      <c r="X160" s="33"/>
      <c r="Y160" s="33"/>
      <c r="Z160" s="33"/>
      <c r="AA160" s="33"/>
      <c r="AB160" s="33"/>
      <c r="AC160" s="33"/>
      <c r="AD160" s="33"/>
      <c r="AE160" s="33"/>
      <c r="AF160" s="33"/>
    </row>
    <row r="161" ht="15.75" customHeight="1">
      <c r="A161" s="75" t="s">
        <v>1156</v>
      </c>
      <c r="B161" s="76">
        <v>3.0</v>
      </c>
      <c r="C161" s="31" t="s">
        <v>1183</v>
      </c>
      <c r="D161" s="31" t="s">
        <v>696</v>
      </c>
      <c r="E161" s="78" t="s">
        <v>1185</v>
      </c>
      <c r="F161" s="162"/>
      <c r="G161" s="29"/>
      <c r="H161" s="33"/>
      <c r="I161" s="33"/>
      <c r="J161" s="33"/>
      <c r="K161" s="33"/>
      <c r="L161" s="33"/>
      <c r="M161" s="33"/>
      <c r="N161" s="33"/>
      <c r="O161" s="33"/>
      <c r="P161" s="33"/>
      <c r="Q161" s="33"/>
      <c r="R161" s="33"/>
      <c r="S161" s="33"/>
      <c r="T161" s="33"/>
      <c r="U161" s="33"/>
      <c r="V161" s="33"/>
      <c r="W161" s="33"/>
      <c r="X161" s="33"/>
      <c r="Y161" s="33"/>
      <c r="Z161" s="33"/>
      <c r="AA161" s="33"/>
      <c r="AB161" s="33"/>
      <c r="AC161" s="33"/>
      <c r="AD161" s="33"/>
      <c r="AE161" s="33"/>
      <c r="AF161" s="33"/>
    </row>
    <row r="162" ht="15.75" customHeight="1">
      <c r="A162" s="63" t="s">
        <v>1156</v>
      </c>
      <c r="B162" s="94">
        <v>4.0</v>
      </c>
      <c r="C162" s="37" t="s">
        <v>1199</v>
      </c>
      <c r="D162" s="37" t="s">
        <v>1200</v>
      </c>
      <c r="E162" s="71" t="s">
        <v>1202</v>
      </c>
      <c r="F162" s="19"/>
      <c r="G162" s="19"/>
      <c r="H162" s="19"/>
      <c r="I162" s="19"/>
      <c r="J162" s="19"/>
      <c r="K162" s="19"/>
      <c r="L162" s="19"/>
      <c r="M162" s="19"/>
      <c r="N162" s="19"/>
      <c r="O162" s="19"/>
      <c r="P162" s="19"/>
      <c r="Q162" s="19"/>
      <c r="R162" s="19"/>
      <c r="S162" s="19"/>
      <c r="T162" s="19"/>
      <c r="U162" s="19"/>
      <c r="V162" s="19"/>
      <c r="W162" s="19"/>
      <c r="X162" s="19"/>
      <c r="Y162" s="19"/>
      <c r="Z162" s="19"/>
      <c r="AA162" s="19"/>
      <c r="AB162" s="19"/>
      <c r="AC162" s="19"/>
      <c r="AD162" s="19"/>
      <c r="AE162" s="19"/>
      <c r="AF162" s="19"/>
    </row>
    <row r="163" ht="15.75" customHeight="1">
      <c r="A163" s="100"/>
      <c r="B163" s="102"/>
      <c r="C163" s="100"/>
      <c r="D163" s="100"/>
      <c r="E163" s="165"/>
      <c r="F163" s="33"/>
      <c r="G163" s="33"/>
      <c r="H163" s="33"/>
      <c r="I163" s="33"/>
      <c r="J163" s="33"/>
      <c r="K163" s="33"/>
      <c r="L163" s="33"/>
      <c r="M163" s="33"/>
      <c r="N163" s="33"/>
      <c r="O163" s="33"/>
      <c r="P163" s="33"/>
      <c r="Q163" s="33"/>
      <c r="R163" s="33"/>
      <c r="S163" s="33"/>
      <c r="T163" s="33"/>
      <c r="U163" s="33"/>
      <c r="V163" s="33"/>
      <c r="W163" s="33"/>
      <c r="X163" s="33"/>
      <c r="Y163" s="33"/>
      <c r="Z163" s="33"/>
      <c r="AA163" s="33"/>
      <c r="AB163" s="33"/>
      <c r="AC163" s="33"/>
      <c r="AD163" s="33"/>
      <c r="AE163" s="33"/>
      <c r="AF163" s="33"/>
    </row>
    <row r="164" ht="15.75" customHeight="1">
      <c r="A164" s="110" t="s">
        <v>1230</v>
      </c>
      <c r="B164" s="111">
        <v>1.0</v>
      </c>
      <c r="C164" s="116" t="s">
        <v>1231</v>
      </c>
      <c r="D164" s="116" t="s">
        <v>1231</v>
      </c>
      <c r="E164" s="116" t="s">
        <v>1232</v>
      </c>
      <c r="F164" s="44"/>
      <c r="G164" s="44"/>
      <c r="H164" s="44"/>
      <c r="I164" s="44"/>
      <c r="J164" s="44"/>
      <c r="K164" s="44"/>
      <c r="L164" s="44"/>
      <c r="M164" s="44"/>
      <c r="N164" s="44"/>
      <c r="O164" s="44"/>
      <c r="P164" s="44"/>
      <c r="Q164" s="44"/>
      <c r="R164" s="44"/>
      <c r="S164" s="44"/>
      <c r="T164" s="44"/>
      <c r="U164" s="44"/>
      <c r="V164" s="44"/>
      <c r="W164" s="44"/>
      <c r="X164" s="44"/>
      <c r="Y164" s="44"/>
      <c r="Z164" s="44"/>
      <c r="AA164" s="44"/>
      <c r="AB164" s="44"/>
      <c r="AC164" s="44"/>
      <c r="AD164" s="44"/>
      <c r="AE164" s="33"/>
      <c r="AF164" s="33"/>
    </row>
    <row r="165" ht="15.75" customHeight="1">
      <c r="A165" s="75" t="s">
        <v>1230</v>
      </c>
      <c r="B165" s="76">
        <v>2.0</v>
      </c>
      <c r="C165" s="31" t="s">
        <v>1245</v>
      </c>
      <c r="D165" s="31" t="s">
        <v>1246</v>
      </c>
      <c r="E165" s="31" t="s">
        <v>1247</v>
      </c>
      <c r="F165" s="33"/>
      <c r="G165" s="33"/>
      <c r="H165" s="33"/>
      <c r="I165" s="33"/>
      <c r="J165" s="33"/>
      <c r="K165" s="33"/>
      <c r="L165" s="33"/>
      <c r="M165" s="33"/>
      <c r="N165" s="33"/>
      <c r="O165" s="33"/>
      <c r="P165" s="33"/>
      <c r="Q165" s="33"/>
      <c r="R165" s="33"/>
      <c r="S165" s="33"/>
      <c r="T165" s="33"/>
      <c r="U165" s="33"/>
      <c r="V165" s="33"/>
      <c r="W165" s="33"/>
      <c r="X165" s="33"/>
      <c r="Y165" s="33"/>
      <c r="Z165" s="33"/>
      <c r="AA165" s="33"/>
      <c r="AB165" s="33"/>
      <c r="AC165" s="33"/>
      <c r="AD165" s="33"/>
      <c r="AE165" s="33"/>
      <c r="AF165" s="33"/>
    </row>
    <row r="166" ht="15.75" customHeight="1">
      <c r="A166" s="75" t="s">
        <v>1230</v>
      </c>
      <c r="B166" s="76">
        <v>3.0</v>
      </c>
      <c r="C166" s="31" t="s">
        <v>1258</v>
      </c>
      <c r="D166" s="31" t="s">
        <v>1258</v>
      </c>
      <c r="E166" s="31" t="s">
        <v>1259</v>
      </c>
      <c r="F166" s="33"/>
      <c r="G166" s="33"/>
      <c r="H166" s="33"/>
      <c r="I166" s="33"/>
      <c r="J166" s="33"/>
      <c r="K166" s="33"/>
      <c r="L166" s="33"/>
      <c r="M166" s="33"/>
      <c r="N166" s="33"/>
      <c r="O166" s="33"/>
      <c r="P166" s="33"/>
      <c r="Q166" s="33"/>
      <c r="R166" s="33"/>
      <c r="S166" s="33"/>
      <c r="T166" s="33"/>
      <c r="U166" s="33"/>
      <c r="V166" s="33"/>
      <c r="W166" s="33"/>
      <c r="X166" s="33"/>
      <c r="Y166" s="33"/>
      <c r="Z166" s="33"/>
      <c r="AA166" s="33"/>
      <c r="AB166" s="33"/>
      <c r="AC166" s="33"/>
      <c r="AD166" s="33"/>
      <c r="AE166" s="33"/>
      <c r="AF166" s="33"/>
    </row>
    <row r="167" ht="15.75" customHeight="1">
      <c r="A167" s="75" t="s">
        <v>1230</v>
      </c>
      <c r="B167" s="76">
        <v>4.0</v>
      </c>
      <c r="C167" s="31" t="s">
        <v>1271</v>
      </c>
      <c r="D167" s="31" t="s">
        <v>1273</v>
      </c>
      <c r="E167" s="31" t="s">
        <v>1275</v>
      </c>
      <c r="F167" s="33"/>
      <c r="G167" s="33"/>
      <c r="H167" s="33"/>
      <c r="I167" s="33"/>
      <c r="J167" s="33"/>
      <c r="K167" s="33"/>
      <c r="L167" s="33"/>
      <c r="M167" s="33"/>
      <c r="N167" s="33"/>
      <c r="O167" s="33"/>
      <c r="P167" s="33"/>
      <c r="Q167" s="33"/>
      <c r="R167" s="33"/>
      <c r="S167" s="33"/>
      <c r="T167" s="33"/>
      <c r="U167" s="33"/>
      <c r="V167" s="33"/>
      <c r="W167" s="33"/>
      <c r="X167" s="33"/>
      <c r="Y167" s="33"/>
      <c r="Z167" s="33"/>
      <c r="AA167" s="33"/>
      <c r="AB167" s="33"/>
      <c r="AC167" s="33"/>
      <c r="AD167" s="33"/>
      <c r="AE167" s="33"/>
      <c r="AF167" s="33"/>
    </row>
    <row r="168" ht="15.75" customHeight="1">
      <c r="A168" s="75" t="s">
        <v>1230</v>
      </c>
      <c r="B168" s="76">
        <v>5.0</v>
      </c>
      <c r="C168" s="31" t="s">
        <v>1285</v>
      </c>
      <c r="D168" s="31" t="s">
        <v>1288</v>
      </c>
      <c r="E168" s="31" t="s">
        <v>1290</v>
      </c>
      <c r="F168" s="33"/>
      <c r="G168" s="33"/>
      <c r="H168" s="33"/>
      <c r="I168" s="33"/>
      <c r="J168" s="33"/>
      <c r="K168" s="33"/>
      <c r="L168" s="33"/>
      <c r="M168" s="33"/>
      <c r="N168" s="33"/>
      <c r="O168" s="33"/>
      <c r="P168" s="33"/>
      <c r="Q168" s="33"/>
      <c r="R168" s="33"/>
      <c r="S168" s="33"/>
      <c r="T168" s="33"/>
      <c r="U168" s="33"/>
      <c r="V168" s="33"/>
      <c r="W168" s="33"/>
      <c r="X168" s="33"/>
      <c r="Y168" s="33"/>
      <c r="Z168" s="33"/>
      <c r="AA168" s="33"/>
      <c r="AB168" s="33"/>
      <c r="AC168" s="33"/>
      <c r="AD168" s="33"/>
      <c r="AE168" s="33"/>
      <c r="AF168" s="33"/>
    </row>
    <row r="169" ht="15.75" customHeight="1">
      <c r="A169" s="75" t="s">
        <v>1230</v>
      </c>
      <c r="B169" s="76">
        <v>6.0</v>
      </c>
      <c r="C169" s="31" t="s">
        <v>1303</v>
      </c>
      <c r="D169" s="31" t="s">
        <v>1304</v>
      </c>
      <c r="E169" s="31" t="s">
        <v>1305</v>
      </c>
      <c r="F169" s="33"/>
      <c r="G169" s="33"/>
      <c r="H169" s="33"/>
      <c r="I169" s="33"/>
      <c r="J169" s="33"/>
      <c r="K169" s="33"/>
      <c r="L169" s="33"/>
      <c r="M169" s="33"/>
      <c r="N169" s="33"/>
      <c r="O169" s="33"/>
      <c r="P169" s="33"/>
      <c r="Q169" s="33"/>
      <c r="R169" s="33"/>
      <c r="S169" s="33"/>
      <c r="T169" s="33"/>
      <c r="U169" s="33"/>
      <c r="V169" s="33"/>
      <c r="W169" s="33"/>
      <c r="X169" s="33"/>
      <c r="Y169" s="33"/>
      <c r="Z169" s="33"/>
      <c r="AA169" s="33"/>
      <c r="AB169" s="33"/>
      <c r="AC169" s="33"/>
      <c r="AD169" s="33"/>
      <c r="AE169" s="33"/>
      <c r="AF169" s="33"/>
    </row>
    <row r="170" ht="15.75" customHeight="1">
      <c r="A170" s="75" t="s">
        <v>1230</v>
      </c>
      <c r="B170" s="76">
        <v>7.0</v>
      </c>
      <c r="C170" s="31" t="s">
        <v>1230</v>
      </c>
      <c r="D170" s="31" t="s">
        <v>1316</v>
      </c>
      <c r="E170" s="31" t="s">
        <v>1317</v>
      </c>
      <c r="F170" s="33"/>
      <c r="G170" s="33"/>
      <c r="H170" s="33"/>
      <c r="I170" s="33"/>
      <c r="J170" s="33"/>
      <c r="K170" s="33"/>
      <c r="L170" s="33"/>
      <c r="M170" s="33"/>
      <c r="N170" s="33"/>
      <c r="O170" s="33"/>
      <c r="P170" s="33"/>
      <c r="Q170" s="33"/>
      <c r="R170" s="33"/>
      <c r="S170" s="33"/>
      <c r="T170" s="33"/>
      <c r="U170" s="33"/>
      <c r="V170" s="33"/>
      <c r="W170" s="33"/>
      <c r="X170" s="33"/>
      <c r="Y170" s="33"/>
      <c r="Z170" s="33"/>
      <c r="AA170" s="33"/>
      <c r="AB170" s="33"/>
      <c r="AC170" s="33"/>
      <c r="AD170" s="33"/>
      <c r="AE170" s="33"/>
      <c r="AF170" s="33"/>
    </row>
    <row r="171" ht="15.75" customHeight="1">
      <c r="A171" s="75" t="s">
        <v>1230</v>
      </c>
      <c r="B171" s="76">
        <v>8.0</v>
      </c>
      <c r="C171" s="31" t="s">
        <v>1330</v>
      </c>
      <c r="D171" s="31" t="s">
        <v>1331</v>
      </c>
      <c r="E171" s="31" t="s">
        <v>1330</v>
      </c>
      <c r="F171" s="33"/>
      <c r="G171" s="33"/>
      <c r="H171" s="33"/>
      <c r="I171" s="33"/>
      <c r="J171" s="33"/>
      <c r="K171" s="33"/>
      <c r="L171" s="33"/>
      <c r="M171" s="33"/>
      <c r="N171" s="33"/>
      <c r="O171" s="33"/>
      <c r="P171" s="33"/>
      <c r="Q171" s="33"/>
      <c r="R171" s="33"/>
      <c r="S171" s="33"/>
      <c r="T171" s="33"/>
      <c r="U171" s="33"/>
      <c r="V171" s="33"/>
      <c r="W171" s="33"/>
      <c r="X171" s="33"/>
      <c r="Y171" s="33"/>
      <c r="Z171" s="33"/>
      <c r="AA171" s="33"/>
      <c r="AB171" s="33"/>
      <c r="AC171" s="33"/>
      <c r="AD171" s="33"/>
      <c r="AE171" s="33"/>
      <c r="AF171" s="33"/>
    </row>
    <row r="172" ht="15.75" customHeight="1">
      <c r="A172" s="75" t="s">
        <v>1230</v>
      </c>
      <c r="B172" s="76">
        <v>9.0</v>
      </c>
      <c r="C172" s="31" t="s">
        <v>1339</v>
      </c>
      <c r="D172" s="31" t="s">
        <v>1340</v>
      </c>
      <c r="E172" s="31" t="s">
        <v>1341</v>
      </c>
      <c r="F172" s="33"/>
      <c r="G172" s="33"/>
      <c r="H172" s="33"/>
      <c r="I172" s="33"/>
      <c r="J172" s="33"/>
      <c r="K172" s="33"/>
      <c r="L172" s="33"/>
      <c r="M172" s="33"/>
      <c r="N172" s="33"/>
      <c r="O172" s="33"/>
      <c r="P172" s="33"/>
      <c r="Q172" s="33"/>
      <c r="R172" s="33"/>
      <c r="S172" s="33"/>
      <c r="T172" s="33"/>
      <c r="U172" s="33"/>
      <c r="V172" s="33"/>
      <c r="W172" s="33"/>
      <c r="X172" s="33"/>
      <c r="Y172" s="33"/>
      <c r="Z172" s="33"/>
      <c r="AA172" s="33"/>
      <c r="AB172" s="33"/>
      <c r="AC172" s="33"/>
      <c r="AD172" s="33"/>
      <c r="AE172" s="33"/>
      <c r="AF172" s="33"/>
    </row>
    <row r="173" ht="15.75" customHeight="1">
      <c r="A173" s="75" t="s">
        <v>1230</v>
      </c>
      <c r="B173" s="76">
        <v>10.0</v>
      </c>
      <c r="C173" s="31" t="s">
        <v>1350</v>
      </c>
      <c r="D173" s="31" t="s">
        <v>1352</v>
      </c>
      <c r="E173" s="31" t="s">
        <v>1353</v>
      </c>
      <c r="F173" s="33"/>
      <c r="G173" s="33"/>
      <c r="H173" s="33"/>
      <c r="I173" s="33"/>
      <c r="J173" s="33"/>
      <c r="K173" s="33"/>
      <c r="L173" s="33"/>
      <c r="M173" s="33"/>
      <c r="N173" s="33"/>
      <c r="O173" s="33"/>
      <c r="P173" s="33"/>
      <c r="Q173" s="33"/>
      <c r="R173" s="33"/>
      <c r="S173" s="33"/>
      <c r="T173" s="33"/>
      <c r="U173" s="33"/>
      <c r="V173" s="33"/>
      <c r="W173" s="33"/>
      <c r="X173" s="33"/>
      <c r="Y173" s="33"/>
      <c r="Z173" s="33"/>
      <c r="AA173" s="33"/>
      <c r="AB173" s="33"/>
      <c r="AC173" s="33"/>
      <c r="AD173" s="33"/>
      <c r="AE173" s="33"/>
      <c r="AF173" s="33"/>
    </row>
    <row r="174" ht="15.75" customHeight="1">
      <c r="A174" s="75" t="s">
        <v>1230</v>
      </c>
      <c r="B174" s="76">
        <v>11.0</v>
      </c>
      <c r="C174" s="31" t="s">
        <v>1363</v>
      </c>
      <c r="D174" s="31" t="s">
        <v>1365</v>
      </c>
      <c r="E174" s="31" t="s">
        <v>1367</v>
      </c>
      <c r="F174" s="33"/>
      <c r="G174" s="33"/>
      <c r="H174" s="33"/>
      <c r="I174" s="33"/>
      <c r="J174" s="33"/>
      <c r="K174" s="33"/>
      <c r="L174" s="33"/>
      <c r="M174" s="33"/>
      <c r="N174" s="33"/>
      <c r="O174" s="33"/>
      <c r="P174" s="33"/>
      <c r="Q174" s="33"/>
      <c r="R174" s="33"/>
      <c r="S174" s="33"/>
      <c r="T174" s="33"/>
      <c r="U174" s="33"/>
      <c r="V174" s="33"/>
      <c r="W174" s="33"/>
      <c r="X174" s="33"/>
      <c r="Y174" s="33"/>
      <c r="Z174" s="33"/>
      <c r="AA174" s="33"/>
      <c r="AB174" s="33"/>
      <c r="AC174" s="33"/>
      <c r="AD174" s="33"/>
      <c r="AE174" s="33"/>
      <c r="AF174" s="33"/>
    </row>
    <row r="175" ht="15.75" customHeight="1">
      <c r="A175" s="63" t="s">
        <v>1230</v>
      </c>
      <c r="B175" s="94">
        <v>-777.0</v>
      </c>
      <c r="C175" s="37" t="s">
        <v>1377</v>
      </c>
      <c r="D175" s="37" t="s">
        <v>1378</v>
      </c>
      <c r="E175" s="37" t="s">
        <v>1379</v>
      </c>
      <c r="F175" s="19"/>
      <c r="G175" s="19"/>
      <c r="H175" s="19"/>
      <c r="I175" s="19"/>
      <c r="J175" s="19"/>
      <c r="K175" s="19"/>
      <c r="L175" s="19"/>
      <c r="M175" s="19"/>
      <c r="N175" s="19"/>
      <c r="O175" s="19"/>
      <c r="P175" s="19"/>
      <c r="Q175" s="19"/>
      <c r="R175" s="19"/>
      <c r="S175" s="19"/>
      <c r="T175" s="19"/>
      <c r="U175" s="19"/>
      <c r="V175" s="19"/>
      <c r="W175" s="19"/>
      <c r="X175" s="19"/>
      <c r="Y175" s="19"/>
      <c r="Z175" s="19"/>
      <c r="AA175" s="19"/>
      <c r="AB175" s="19"/>
      <c r="AC175" s="19"/>
      <c r="AD175" s="19"/>
      <c r="AE175" s="33"/>
      <c r="AF175" s="33"/>
    </row>
    <row r="176" ht="15.75" customHeight="1">
      <c r="A176" s="100"/>
      <c r="B176" s="102"/>
      <c r="C176" s="100"/>
      <c r="D176" s="100"/>
      <c r="E176" s="165"/>
      <c r="F176" s="33"/>
      <c r="G176" s="33"/>
      <c r="H176" s="33"/>
      <c r="I176" s="33"/>
      <c r="J176" s="33"/>
      <c r="K176" s="33"/>
      <c r="L176" s="33"/>
      <c r="M176" s="33"/>
      <c r="N176" s="33"/>
      <c r="O176" s="33"/>
      <c r="P176" s="33"/>
      <c r="Q176" s="33"/>
      <c r="R176" s="33"/>
      <c r="S176" s="33"/>
      <c r="T176" s="33"/>
      <c r="U176" s="33"/>
      <c r="V176" s="33"/>
      <c r="W176" s="33"/>
      <c r="X176" s="33"/>
      <c r="Y176" s="33"/>
      <c r="Z176" s="33"/>
      <c r="AA176" s="33"/>
      <c r="AB176" s="33"/>
      <c r="AC176" s="33"/>
      <c r="AD176" s="33"/>
      <c r="AE176" s="33"/>
      <c r="AF176" s="33"/>
    </row>
    <row r="177" ht="15.75" customHeight="1">
      <c r="A177" s="110" t="s">
        <v>1382</v>
      </c>
      <c r="B177" s="111">
        <v>0.0</v>
      </c>
      <c r="C177" s="116" t="s">
        <v>199</v>
      </c>
      <c r="D177" s="116" t="s">
        <v>201</v>
      </c>
      <c r="E177" s="116" t="s">
        <v>203</v>
      </c>
      <c r="F177" s="44"/>
      <c r="G177" s="44"/>
      <c r="H177" s="44"/>
      <c r="I177" s="44"/>
      <c r="J177" s="44"/>
      <c r="K177" s="44"/>
      <c r="L177" s="44"/>
      <c r="M177" s="44"/>
      <c r="N177" s="44"/>
      <c r="O177" s="44"/>
      <c r="P177" s="44"/>
      <c r="Q177" s="44"/>
      <c r="R177" s="44"/>
      <c r="S177" s="44"/>
      <c r="T177" s="44"/>
      <c r="U177" s="44"/>
      <c r="V177" s="44"/>
      <c r="W177" s="44"/>
      <c r="X177" s="44"/>
      <c r="Y177" s="44"/>
      <c r="Z177" s="44"/>
      <c r="AA177" s="44"/>
      <c r="AB177" s="44"/>
      <c r="AC177" s="44"/>
      <c r="AD177" s="44"/>
      <c r="AE177" s="33"/>
      <c r="AF177" s="33"/>
    </row>
    <row r="178" ht="15.75" customHeight="1">
      <c r="A178" s="75" t="s">
        <v>1382</v>
      </c>
      <c r="B178" s="76">
        <v>1.0</v>
      </c>
      <c r="C178" s="31" t="s">
        <v>1390</v>
      </c>
      <c r="D178" s="31" t="s">
        <v>1391</v>
      </c>
      <c r="E178" s="31" t="s">
        <v>1394</v>
      </c>
      <c r="F178" s="33"/>
      <c r="G178" s="33"/>
      <c r="H178" s="33"/>
      <c r="I178" s="33"/>
      <c r="J178" s="33"/>
      <c r="K178" s="33"/>
      <c r="L178" s="33"/>
      <c r="M178" s="33"/>
      <c r="N178" s="33"/>
      <c r="O178" s="33"/>
      <c r="P178" s="33"/>
      <c r="Q178" s="33"/>
      <c r="R178" s="33"/>
      <c r="S178" s="33"/>
      <c r="T178" s="33"/>
      <c r="U178" s="33"/>
      <c r="V178" s="33"/>
      <c r="W178" s="33"/>
      <c r="X178" s="33"/>
      <c r="Y178" s="33"/>
      <c r="Z178" s="33"/>
      <c r="AA178" s="33"/>
      <c r="AB178" s="33"/>
      <c r="AC178" s="33"/>
      <c r="AD178" s="33"/>
      <c r="AE178" s="33"/>
      <c r="AF178" s="33"/>
    </row>
    <row r="179" ht="15.75" customHeight="1">
      <c r="A179" s="75" t="s">
        <v>1382</v>
      </c>
      <c r="B179" s="76">
        <v>2.0</v>
      </c>
      <c r="C179" s="31" t="s">
        <v>1400</v>
      </c>
      <c r="D179" s="31" t="s">
        <v>1402</v>
      </c>
      <c r="E179" s="31" t="s">
        <v>1403</v>
      </c>
      <c r="F179" s="33"/>
      <c r="G179" s="33"/>
      <c r="H179" s="33"/>
      <c r="I179" s="33"/>
      <c r="J179" s="33"/>
      <c r="K179" s="33"/>
      <c r="L179" s="33"/>
      <c r="M179" s="33"/>
      <c r="N179" s="33"/>
      <c r="O179" s="33"/>
      <c r="P179" s="33"/>
      <c r="Q179" s="33"/>
      <c r="R179" s="33"/>
      <c r="S179" s="33"/>
      <c r="T179" s="33"/>
      <c r="U179" s="33"/>
      <c r="V179" s="33"/>
      <c r="W179" s="33"/>
      <c r="X179" s="33"/>
      <c r="Y179" s="33"/>
      <c r="Z179" s="33"/>
      <c r="AA179" s="33"/>
      <c r="AB179" s="33"/>
      <c r="AC179" s="33"/>
      <c r="AD179" s="33"/>
      <c r="AE179" s="33"/>
      <c r="AF179" s="33"/>
    </row>
    <row r="180" ht="15.75" customHeight="1">
      <c r="A180" s="75" t="s">
        <v>1382</v>
      </c>
      <c r="B180" s="76">
        <v>3.0</v>
      </c>
      <c r="C180" s="31" t="s">
        <v>1409</v>
      </c>
      <c r="D180" s="31" t="s">
        <v>1410</v>
      </c>
      <c r="E180" s="31" t="s">
        <v>1411</v>
      </c>
      <c r="F180" s="33"/>
      <c r="G180" s="33"/>
      <c r="H180" s="33"/>
      <c r="I180" s="33"/>
      <c r="J180" s="33"/>
      <c r="K180" s="33"/>
      <c r="L180" s="33"/>
      <c r="M180" s="33"/>
      <c r="N180" s="33"/>
      <c r="O180" s="33"/>
      <c r="P180" s="33"/>
      <c r="Q180" s="33"/>
      <c r="R180" s="33"/>
      <c r="S180" s="33"/>
      <c r="T180" s="33"/>
      <c r="U180" s="33"/>
      <c r="V180" s="33"/>
      <c r="W180" s="33"/>
      <c r="X180" s="33"/>
      <c r="Y180" s="33"/>
      <c r="Z180" s="33"/>
      <c r="AA180" s="33"/>
      <c r="AB180" s="33"/>
      <c r="AC180" s="33"/>
      <c r="AD180" s="33"/>
      <c r="AE180" s="33"/>
      <c r="AF180" s="33"/>
    </row>
    <row r="181" ht="15.75" customHeight="1">
      <c r="A181" s="75" t="s">
        <v>1382</v>
      </c>
      <c r="B181" s="76">
        <v>4.0</v>
      </c>
      <c r="C181" s="31" t="s">
        <v>1417</v>
      </c>
      <c r="D181" s="31" t="s">
        <v>1419</v>
      </c>
      <c r="E181" s="31" t="s">
        <v>1421</v>
      </c>
      <c r="F181" s="33"/>
      <c r="G181" s="33"/>
      <c r="H181" s="33"/>
      <c r="I181" s="33"/>
      <c r="J181" s="33"/>
      <c r="K181" s="33"/>
      <c r="L181" s="33"/>
      <c r="M181" s="33"/>
      <c r="N181" s="33"/>
      <c r="O181" s="33"/>
      <c r="P181" s="33"/>
      <c r="Q181" s="33"/>
      <c r="R181" s="33"/>
      <c r="S181" s="33"/>
      <c r="T181" s="33"/>
      <c r="U181" s="33"/>
      <c r="V181" s="33"/>
      <c r="W181" s="33"/>
      <c r="X181" s="33"/>
      <c r="Y181" s="33"/>
      <c r="Z181" s="33"/>
      <c r="AA181" s="33"/>
      <c r="AB181" s="33"/>
      <c r="AC181" s="33"/>
      <c r="AD181" s="33"/>
      <c r="AE181" s="33"/>
      <c r="AF181" s="33"/>
    </row>
    <row r="182" ht="15.75" customHeight="1">
      <c r="A182" s="75" t="s">
        <v>1382</v>
      </c>
      <c r="B182" s="76">
        <v>5.0</v>
      </c>
      <c r="C182" s="31" t="s">
        <v>1426</v>
      </c>
      <c r="D182" s="31" t="s">
        <v>1427</v>
      </c>
      <c r="E182" s="31" t="s">
        <v>1428</v>
      </c>
      <c r="F182" s="33"/>
      <c r="G182" s="33"/>
      <c r="H182" s="33"/>
      <c r="I182" s="33"/>
      <c r="J182" s="33"/>
      <c r="K182" s="33"/>
      <c r="L182" s="33"/>
      <c r="M182" s="33"/>
      <c r="N182" s="33"/>
      <c r="O182" s="33"/>
      <c r="P182" s="33"/>
      <c r="Q182" s="33"/>
      <c r="R182" s="33"/>
      <c r="S182" s="33"/>
      <c r="T182" s="33"/>
      <c r="U182" s="33"/>
      <c r="V182" s="33"/>
      <c r="W182" s="33"/>
      <c r="X182" s="33"/>
      <c r="Y182" s="33"/>
      <c r="Z182" s="33"/>
      <c r="AA182" s="33"/>
      <c r="AB182" s="33"/>
      <c r="AC182" s="33"/>
      <c r="AD182" s="33"/>
      <c r="AE182" s="33"/>
      <c r="AF182" s="33"/>
    </row>
    <row r="183" ht="15.75" customHeight="1">
      <c r="A183" s="75" t="s">
        <v>1382</v>
      </c>
      <c r="B183" s="76">
        <v>6.0</v>
      </c>
      <c r="C183" s="31" t="s">
        <v>1429</v>
      </c>
      <c r="D183" s="31" t="s">
        <v>1430</v>
      </c>
      <c r="E183" s="31" t="s">
        <v>1431</v>
      </c>
      <c r="F183" s="33"/>
      <c r="G183" s="33"/>
      <c r="H183" s="33"/>
      <c r="I183" s="33"/>
      <c r="J183" s="33"/>
      <c r="K183" s="33"/>
      <c r="L183" s="33"/>
      <c r="M183" s="33"/>
      <c r="N183" s="33"/>
      <c r="O183" s="33"/>
      <c r="P183" s="33"/>
      <c r="Q183" s="33"/>
      <c r="R183" s="33"/>
      <c r="S183" s="33"/>
      <c r="T183" s="33"/>
      <c r="U183" s="33"/>
      <c r="V183" s="33"/>
      <c r="W183" s="33"/>
      <c r="X183" s="33"/>
      <c r="Y183" s="33"/>
      <c r="Z183" s="33"/>
      <c r="AA183" s="33"/>
      <c r="AB183" s="33"/>
      <c r="AC183" s="33"/>
      <c r="AD183" s="33"/>
      <c r="AE183" s="33"/>
      <c r="AF183" s="33"/>
    </row>
    <row r="184" ht="15.75" customHeight="1">
      <c r="A184" s="75" t="s">
        <v>1382</v>
      </c>
      <c r="B184" s="76">
        <v>7.0</v>
      </c>
      <c r="C184" s="31" t="s">
        <v>1434</v>
      </c>
      <c r="D184" s="31" t="s">
        <v>1434</v>
      </c>
      <c r="E184" s="31" t="s">
        <v>1436</v>
      </c>
      <c r="F184" s="33"/>
      <c r="G184" s="33"/>
      <c r="H184" s="33"/>
      <c r="I184" s="33"/>
      <c r="J184" s="33"/>
      <c r="K184" s="33"/>
      <c r="L184" s="33"/>
      <c r="M184" s="33"/>
      <c r="N184" s="33"/>
      <c r="O184" s="33"/>
      <c r="P184" s="33"/>
      <c r="Q184" s="33"/>
      <c r="R184" s="33"/>
      <c r="S184" s="33"/>
      <c r="T184" s="33"/>
      <c r="U184" s="33"/>
      <c r="V184" s="33"/>
      <c r="W184" s="33"/>
      <c r="X184" s="33"/>
      <c r="Y184" s="33"/>
      <c r="Z184" s="33"/>
      <c r="AA184" s="33"/>
      <c r="AB184" s="33"/>
      <c r="AC184" s="33"/>
      <c r="AD184" s="33"/>
      <c r="AE184" s="33"/>
      <c r="AF184" s="33"/>
    </row>
    <row r="185" ht="15.75" customHeight="1">
      <c r="A185" s="75" t="s">
        <v>1382</v>
      </c>
      <c r="B185" s="76">
        <v>8.0</v>
      </c>
      <c r="C185" s="31" t="s">
        <v>1438</v>
      </c>
      <c r="D185" s="31" t="s">
        <v>1439</v>
      </c>
      <c r="E185" s="31" t="s">
        <v>1441</v>
      </c>
      <c r="F185" s="33"/>
      <c r="G185" s="33"/>
      <c r="H185" s="33"/>
      <c r="I185" s="33"/>
      <c r="J185" s="33"/>
      <c r="K185" s="33"/>
      <c r="L185" s="33"/>
      <c r="M185" s="33"/>
      <c r="N185" s="33"/>
      <c r="O185" s="33"/>
      <c r="P185" s="33"/>
      <c r="Q185" s="33"/>
      <c r="R185" s="33"/>
      <c r="S185" s="33"/>
      <c r="T185" s="33"/>
      <c r="U185" s="33"/>
      <c r="V185" s="33"/>
      <c r="W185" s="33"/>
      <c r="X185" s="33"/>
      <c r="Y185" s="33"/>
      <c r="Z185" s="33"/>
      <c r="AA185" s="33"/>
      <c r="AB185" s="33"/>
      <c r="AC185" s="33"/>
      <c r="AD185" s="33"/>
      <c r="AE185" s="33"/>
      <c r="AF185" s="33"/>
    </row>
    <row r="186" ht="15.75" customHeight="1">
      <c r="A186" s="75" t="s">
        <v>1382</v>
      </c>
      <c r="B186" s="76">
        <v>9.0</v>
      </c>
      <c r="C186" s="31" t="s">
        <v>1442</v>
      </c>
      <c r="D186" s="31" t="s">
        <v>1442</v>
      </c>
      <c r="E186" s="31" t="s">
        <v>1443</v>
      </c>
      <c r="F186" s="33"/>
      <c r="G186" s="33"/>
      <c r="H186" s="33"/>
      <c r="I186" s="33"/>
      <c r="J186" s="33"/>
      <c r="K186" s="33"/>
      <c r="L186" s="33"/>
      <c r="M186" s="33"/>
      <c r="N186" s="33"/>
      <c r="O186" s="33"/>
      <c r="P186" s="33"/>
      <c r="Q186" s="33"/>
      <c r="R186" s="33"/>
      <c r="S186" s="33"/>
      <c r="T186" s="33"/>
      <c r="U186" s="33"/>
      <c r="V186" s="33"/>
      <c r="W186" s="33"/>
      <c r="X186" s="33"/>
      <c r="Y186" s="33"/>
      <c r="Z186" s="33"/>
      <c r="AA186" s="33"/>
      <c r="AB186" s="33"/>
      <c r="AC186" s="33"/>
      <c r="AD186" s="33"/>
      <c r="AE186" s="33"/>
      <c r="AF186" s="33"/>
    </row>
    <row r="187" ht="15.75" customHeight="1">
      <c r="A187" s="75" t="s">
        <v>1382</v>
      </c>
      <c r="B187" s="76">
        <v>10.0</v>
      </c>
      <c r="C187" s="31" t="s">
        <v>1445</v>
      </c>
      <c r="D187" s="31" t="s">
        <v>1445</v>
      </c>
      <c r="E187" s="31" t="s">
        <v>1446</v>
      </c>
      <c r="F187" s="33"/>
      <c r="G187" s="33"/>
      <c r="H187" s="33"/>
      <c r="I187" s="33"/>
      <c r="J187" s="33"/>
      <c r="K187" s="33"/>
      <c r="L187" s="33"/>
      <c r="M187" s="33"/>
      <c r="N187" s="33"/>
      <c r="O187" s="33"/>
      <c r="P187" s="33"/>
      <c r="Q187" s="33"/>
      <c r="R187" s="33"/>
      <c r="S187" s="33"/>
      <c r="T187" s="33"/>
      <c r="U187" s="33"/>
      <c r="V187" s="33"/>
      <c r="W187" s="33"/>
      <c r="X187" s="33"/>
      <c r="Y187" s="33"/>
      <c r="Z187" s="33"/>
      <c r="AA187" s="33"/>
      <c r="AB187" s="33"/>
      <c r="AC187" s="33"/>
      <c r="AD187" s="33"/>
      <c r="AE187" s="33"/>
      <c r="AF187" s="33"/>
    </row>
    <row r="188" ht="15.75" customHeight="1">
      <c r="A188" s="75" t="s">
        <v>1382</v>
      </c>
      <c r="B188" s="76">
        <v>11.0</v>
      </c>
      <c r="C188" s="31" t="s">
        <v>1448</v>
      </c>
      <c r="D188" s="31" t="s">
        <v>1449</v>
      </c>
      <c r="E188" s="31" t="s">
        <v>1450</v>
      </c>
      <c r="F188" s="33"/>
      <c r="G188" s="33"/>
      <c r="H188" s="33"/>
      <c r="I188" s="33"/>
      <c r="J188" s="33"/>
      <c r="K188" s="33"/>
      <c r="L188" s="33"/>
      <c r="M188" s="33"/>
      <c r="N188" s="33"/>
      <c r="O188" s="33"/>
      <c r="P188" s="33"/>
      <c r="Q188" s="33"/>
      <c r="R188" s="33"/>
      <c r="S188" s="33"/>
      <c r="T188" s="33"/>
      <c r="U188" s="33"/>
      <c r="V188" s="33"/>
      <c r="W188" s="33"/>
      <c r="X188" s="33"/>
      <c r="Y188" s="33"/>
      <c r="Z188" s="33"/>
      <c r="AA188" s="33"/>
      <c r="AB188" s="33"/>
      <c r="AC188" s="33"/>
      <c r="AD188" s="33"/>
      <c r="AE188" s="33"/>
      <c r="AF188" s="33"/>
    </row>
    <row r="189" ht="15.75" customHeight="1">
      <c r="A189" s="75" t="s">
        <v>1382</v>
      </c>
      <c r="B189" s="76">
        <v>12.0</v>
      </c>
      <c r="C189" s="31" t="s">
        <v>1457</v>
      </c>
      <c r="D189" s="31" t="s">
        <v>1458</v>
      </c>
      <c r="E189" s="31" t="s">
        <v>1459</v>
      </c>
      <c r="F189" s="33"/>
      <c r="G189" s="33"/>
      <c r="H189" s="33"/>
      <c r="I189" s="33"/>
      <c r="J189" s="33"/>
      <c r="K189" s="33"/>
      <c r="L189" s="33"/>
      <c r="M189" s="33"/>
      <c r="N189" s="33"/>
      <c r="O189" s="33"/>
      <c r="P189" s="33"/>
      <c r="Q189" s="33"/>
      <c r="R189" s="33"/>
      <c r="S189" s="33"/>
      <c r="T189" s="33"/>
      <c r="U189" s="33"/>
      <c r="V189" s="33"/>
      <c r="W189" s="33"/>
      <c r="X189" s="33"/>
      <c r="Y189" s="33"/>
      <c r="Z189" s="33"/>
      <c r="AA189" s="33"/>
      <c r="AB189" s="33"/>
      <c r="AC189" s="33"/>
      <c r="AD189" s="33"/>
      <c r="AE189" s="33"/>
      <c r="AF189" s="33"/>
    </row>
    <row r="190" ht="15.75" customHeight="1">
      <c r="A190" s="75" t="s">
        <v>1382</v>
      </c>
      <c r="B190" s="76">
        <v>13.0</v>
      </c>
      <c r="C190" s="31" t="s">
        <v>1463</v>
      </c>
      <c r="D190" s="31" t="s">
        <v>1464</v>
      </c>
      <c r="E190" s="31" t="s">
        <v>1466</v>
      </c>
      <c r="F190" s="33"/>
      <c r="G190" s="33"/>
      <c r="H190" s="33"/>
      <c r="I190" s="33"/>
      <c r="J190" s="33"/>
      <c r="K190" s="33"/>
      <c r="L190" s="33"/>
      <c r="M190" s="33"/>
      <c r="N190" s="33"/>
      <c r="O190" s="33"/>
      <c r="P190" s="33"/>
      <c r="Q190" s="33"/>
      <c r="R190" s="33"/>
      <c r="S190" s="33"/>
      <c r="T190" s="33"/>
      <c r="U190" s="33"/>
      <c r="V190" s="33"/>
      <c r="W190" s="33"/>
      <c r="X190" s="33"/>
      <c r="Y190" s="33"/>
      <c r="Z190" s="33"/>
      <c r="AA190" s="33"/>
      <c r="AB190" s="33"/>
      <c r="AC190" s="33"/>
      <c r="AD190" s="33"/>
      <c r="AE190" s="33"/>
      <c r="AF190" s="33"/>
    </row>
    <row r="191" ht="15.75" customHeight="1">
      <c r="A191" s="75" t="s">
        <v>1382</v>
      </c>
      <c r="B191" s="76">
        <v>14.0</v>
      </c>
      <c r="C191" s="31" t="s">
        <v>1471</v>
      </c>
      <c r="D191" s="31" t="s">
        <v>1472</v>
      </c>
      <c r="E191" s="31" t="s">
        <v>1473</v>
      </c>
      <c r="F191" s="33"/>
      <c r="G191" s="33"/>
      <c r="H191" s="33"/>
      <c r="I191" s="33"/>
      <c r="J191" s="33"/>
      <c r="K191" s="33"/>
      <c r="L191" s="33"/>
      <c r="M191" s="33"/>
      <c r="N191" s="33"/>
      <c r="O191" s="33"/>
      <c r="P191" s="33"/>
      <c r="Q191" s="33"/>
      <c r="R191" s="33"/>
      <c r="S191" s="33"/>
      <c r="T191" s="33"/>
      <c r="U191" s="33"/>
      <c r="V191" s="33"/>
      <c r="W191" s="33"/>
      <c r="X191" s="33"/>
      <c r="Y191" s="33"/>
      <c r="Z191" s="33"/>
      <c r="AA191" s="33"/>
      <c r="AB191" s="33"/>
      <c r="AC191" s="33"/>
      <c r="AD191" s="33"/>
      <c r="AE191" s="33"/>
      <c r="AF191" s="33"/>
    </row>
    <row r="192" ht="15.75" customHeight="1">
      <c r="A192" s="75" t="s">
        <v>1382</v>
      </c>
      <c r="B192" s="76">
        <v>15.0</v>
      </c>
      <c r="C192" s="31" t="s">
        <v>1479</v>
      </c>
      <c r="D192" s="31" t="s">
        <v>1481</v>
      </c>
      <c r="E192" s="31" t="s">
        <v>1483</v>
      </c>
      <c r="F192" s="33"/>
      <c r="G192" s="33"/>
      <c r="H192" s="33"/>
      <c r="I192" s="33"/>
      <c r="J192" s="33"/>
      <c r="K192" s="33"/>
      <c r="L192" s="33"/>
      <c r="M192" s="33"/>
      <c r="N192" s="33"/>
      <c r="O192" s="33"/>
      <c r="P192" s="33"/>
      <c r="Q192" s="33"/>
      <c r="R192" s="33"/>
      <c r="S192" s="33"/>
      <c r="T192" s="33"/>
      <c r="U192" s="33"/>
      <c r="V192" s="33"/>
      <c r="W192" s="33"/>
      <c r="X192" s="33"/>
      <c r="Y192" s="33"/>
      <c r="Z192" s="33"/>
      <c r="AA192" s="33"/>
      <c r="AB192" s="33"/>
      <c r="AC192" s="33"/>
      <c r="AD192" s="33"/>
      <c r="AE192" s="33"/>
      <c r="AF192" s="33"/>
    </row>
    <row r="193" ht="15.75" customHeight="1">
      <c r="A193" s="75" t="s">
        <v>1382</v>
      </c>
      <c r="B193" s="76">
        <v>16.0</v>
      </c>
      <c r="C193" s="31" t="s">
        <v>1488</v>
      </c>
      <c r="D193" s="31" t="s">
        <v>1489</v>
      </c>
      <c r="E193" s="31" t="s">
        <v>1490</v>
      </c>
      <c r="F193" s="33"/>
      <c r="G193" s="33"/>
      <c r="H193" s="33"/>
      <c r="I193" s="33"/>
      <c r="J193" s="33"/>
      <c r="K193" s="33"/>
      <c r="L193" s="33"/>
      <c r="M193" s="33"/>
      <c r="N193" s="33"/>
      <c r="O193" s="33"/>
      <c r="P193" s="33"/>
      <c r="Q193" s="33"/>
      <c r="R193" s="33"/>
      <c r="S193" s="33"/>
      <c r="T193" s="33"/>
      <c r="U193" s="33"/>
      <c r="V193" s="33"/>
      <c r="W193" s="33"/>
      <c r="X193" s="33"/>
      <c r="Y193" s="33"/>
      <c r="Z193" s="33"/>
      <c r="AA193" s="33"/>
      <c r="AB193" s="33"/>
      <c r="AC193" s="33"/>
      <c r="AD193" s="33"/>
      <c r="AE193" s="33"/>
      <c r="AF193" s="33"/>
    </row>
    <row r="194" ht="15.75" customHeight="1">
      <c r="A194" s="75" t="s">
        <v>1382</v>
      </c>
      <c r="B194" s="76">
        <v>17.0</v>
      </c>
      <c r="C194" s="31" t="s">
        <v>1496</v>
      </c>
      <c r="D194" s="31" t="s">
        <v>1497</v>
      </c>
      <c r="E194" s="31" t="s">
        <v>1498</v>
      </c>
      <c r="F194" s="33"/>
      <c r="G194" s="33"/>
      <c r="H194" s="33"/>
      <c r="I194" s="33"/>
      <c r="J194" s="33"/>
      <c r="K194" s="33"/>
      <c r="L194" s="33"/>
      <c r="M194" s="33"/>
      <c r="N194" s="33"/>
      <c r="O194" s="33"/>
      <c r="P194" s="33"/>
      <c r="Q194" s="33"/>
      <c r="R194" s="33"/>
      <c r="S194" s="33"/>
      <c r="T194" s="33"/>
      <c r="U194" s="33"/>
      <c r="V194" s="33"/>
      <c r="W194" s="33"/>
      <c r="X194" s="33"/>
      <c r="Y194" s="33"/>
      <c r="Z194" s="33"/>
      <c r="AA194" s="33"/>
      <c r="AB194" s="33"/>
      <c r="AC194" s="33"/>
      <c r="AD194" s="33"/>
      <c r="AE194" s="33"/>
      <c r="AF194" s="33"/>
    </row>
    <row r="195" ht="15.75" customHeight="1">
      <c r="A195" s="75" t="s">
        <v>1382</v>
      </c>
      <c r="B195" s="76">
        <v>18.0</v>
      </c>
      <c r="C195" s="31" t="s">
        <v>1505</v>
      </c>
      <c r="D195" s="31" t="s">
        <v>1506</v>
      </c>
      <c r="E195" s="31" t="s">
        <v>1507</v>
      </c>
      <c r="F195" s="33"/>
      <c r="G195" s="33"/>
      <c r="H195" s="33"/>
      <c r="I195" s="33"/>
      <c r="J195" s="33"/>
      <c r="K195" s="33"/>
      <c r="L195" s="33"/>
      <c r="M195" s="33"/>
      <c r="N195" s="33"/>
      <c r="O195" s="33"/>
      <c r="P195" s="33"/>
      <c r="Q195" s="33"/>
      <c r="R195" s="33"/>
      <c r="S195" s="33"/>
      <c r="T195" s="33"/>
      <c r="U195" s="33"/>
      <c r="V195" s="33"/>
      <c r="W195" s="33"/>
      <c r="X195" s="33"/>
      <c r="Y195" s="33"/>
      <c r="Z195" s="33"/>
      <c r="AA195" s="33"/>
      <c r="AB195" s="33"/>
      <c r="AC195" s="33"/>
      <c r="AD195" s="33"/>
      <c r="AE195" s="33"/>
      <c r="AF195" s="33"/>
    </row>
    <row r="196" ht="15.75" customHeight="1">
      <c r="A196" s="75" t="s">
        <v>1382</v>
      </c>
      <c r="B196" s="76">
        <v>19.0</v>
      </c>
      <c r="C196" s="31" t="s">
        <v>1512</v>
      </c>
      <c r="D196" s="31" t="s">
        <v>1513</v>
      </c>
      <c r="E196" s="31" t="s">
        <v>1514</v>
      </c>
      <c r="F196" s="33"/>
      <c r="G196" s="33"/>
      <c r="H196" s="33"/>
      <c r="I196" s="33"/>
      <c r="J196" s="33"/>
      <c r="K196" s="33"/>
      <c r="L196" s="33"/>
      <c r="M196" s="33"/>
      <c r="N196" s="33"/>
      <c r="O196" s="33"/>
      <c r="P196" s="33"/>
      <c r="Q196" s="33"/>
      <c r="R196" s="33"/>
      <c r="S196" s="33"/>
      <c r="T196" s="33"/>
      <c r="U196" s="33"/>
      <c r="V196" s="33"/>
      <c r="W196" s="33"/>
      <c r="X196" s="33"/>
      <c r="Y196" s="33"/>
      <c r="Z196" s="33"/>
      <c r="AA196" s="33"/>
      <c r="AB196" s="33"/>
      <c r="AC196" s="33"/>
      <c r="AD196" s="33"/>
      <c r="AE196" s="33"/>
      <c r="AF196" s="33"/>
    </row>
    <row r="197" ht="15.75" customHeight="1">
      <c r="A197" s="75" t="s">
        <v>1382</v>
      </c>
      <c r="B197" s="76">
        <v>20.0</v>
      </c>
      <c r="C197" s="31" t="s">
        <v>1516</v>
      </c>
      <c r="D197" s="31" t="s">
        <v>1517</v>
      </c>
      <c r="E197" s="31" t="s">
        <v>1518</v>
      </c>
      <c r="F197" s="33"/>
      <c r="G197" s="33"/>
      <c r="H197" s="33"/>
      <c r="I197" s="33"/>
      <c r="J197" s="33"/>
      <c r="K197" s="33"/>
      <c r="L197" s="33"/>
      <c r="M197" s="33"/>
      <c r="N197" s="33"/>
      <c r="O197" s="33"/>
      <c r="P197" s="33"/>
      <c r="Q197" s="33"/>
      <c r="R197" s="33"/>
      <c r="S197" s="33"/>
      <c r="T197" s="33"/>
      <c r="U197" s="33"/>
      <c r="V197" s="33"/>
      <c r="W197" s="33"/>
      <c r="X197" s="33"/>
      <c r="Y197" s="33"/>
      <c r="Z197" s="33"/>
      <c r="AA197" s="33"/>
      <c r="AB197" s="33"/>
      <c r="AC197" s="33"/>
      <c r="AD197" s="33"/>
      <c r="AE197" s="33"/>
      <c r="AF197" s="33"/>
    </row>
    <row r="198" ht="15.75" customHeight="1">
      <c r="A198" s="75" t="s">
        <v>1382</v>
      </c>
      <c r="B198" s="76">
        <v>21.0</v>
      </c>
      <c r="C198" s="31" t="s">
        <v>1522</v>
      </c>
      <c r="D198" s="31" t="s">
        <v>1523</v>
      </c>
      <c r="E198" s="31" t="s">
        <v>1524</v>
      </c>
      <c r="F198" s="33"/>
      <c r="G198" s="33"/>
      <c r="H198" s="33"/>
      <c r="I198" s="33"/>
      <c r="J198" s="33"/>
      <c r="K198" s="33"/>
      <c r="L198" s="33"/>
      <c r="M198" s="33"/>
      <c r="N198" s="33"/>
      <c r="O198" s="33"/>
      <c r="P198" s="33"/>
      <c r="Q198" s="33"/>
      <c r="R198" s="33"/>
      <c r="S198" s="33"/>
      <c r="T198" s="33"/>
      <c r="U198" s="33"/>
      <c r="V198" s="33"/>
      <c r="W198" s="33"/>
      <c r="X198" s="33"/>
      <c r="Y198" s="33"/>
      <c r="Z198" s="33"/>
      <c r="AA198" s="33"/>
      <c r="AB198" s="33"/>
      <c r="AC198" s="33"/>
      <c r="AD198" s="33"/>
      <c r="AE198" s="33"/>
      <c r="AF198" s="33"/>
    </row>
    <row r="199" ht="15.75" customHeight="1">
      <c r="A199" s="75" t="s">
        <v>1382</v>
      </c>
      <c r="B199" s="76">
        <v>22.0</v>
      </c>
      <c r="C199" s="31" t="s">
        <v>1526</v>
      </c>
      <c r="D199" s="31" t="s">
        <v>1527</v>
      </c>
      <c r="E199" s="31" t="s">
        <v>1529</v>
      </c>
      <c r="F199" s="33"/>
      <c r="G199" s="33"/>
      <c r="H199" s="33"/>
      <c r="I199" s="33"/>
      <c r="J199" s="33"/>
      <c r="K199" s="33"/>
      <c r="L199" s="33"/>
      <c r="M199" s="33"/>
      <c r="N199" s="33"/>
      <c r="O199" s="33"/>
      <c r="P199" s="33"/>
      <c r="Q199" s="33"/>
      <c r="R199" s="33"/>
      <c r="S199" s="33"/>
      <c r="T199" s="33"/>
      <c r="U199" s="33"/>
      <c r="V199" s="33"/>
      <c r="W199" s="33"/>
      <c r="X199" s="33"/>
      <c r="Y199" s="33"/>
      <c r="Z199" s="33"/>
      <c r="AA199" s="33"/>
      <c r="AB199" s="33"/>
      <c r="AC199" s="33"/>
      <c r="AD199" s="33"/>
      <c r="AE199" s="33"/>
      <c r="AF199" s="33"/>
    </row>
    <row r="200" ht="15.75" customHeight="1">
      <c r="A200" s="75" t="s">
        <v>1382</v>
      </c>
      <c r="B200" s="76">
        <v>23.0</v>
      </c>
      <c r="C200" s="31" t="s">
        <v>1531</v>
      </c>
      <c r="D200" s="31" t="s">
        <v>1532</v>
      </c>
      <c r="E200" s="31" t="s">
        <v>1533</v>
      </c>
      <c r="F200" s="33"/>
      <c r="G200" s="33"/>
      <c r="H200" s="33"/>
      <c r="I200" s="33"/>
      <c r="J200" s="33"/>
      <c r="K200" s="33"/>
      <c r="L200" s="33"/>
      <c r="M200" s="33"/>
      <c r="N200" s="33"/>
      <c r="O200" s="33"/>
      <c r="P200" s="33"/>
      <c r="Q200" s="33"/>
      <c r="R200" s="33"/>
      <c r="S200" s="33"/>
      <c r="T200" s="33"/>
      <c r="U200" s="33"/>
      <c r="V200" s="33"/>
      <c r="W200" s="33"/>
      <c r="X200" s="33"/>
      <c r="Y200" s="33"/>
      <c r="Z200" s="33"/>
      <c r="AA200" s="33"/>
      <c r="AB200" s="33"/>
      <c r="AC200" s="33"/>
      <c r="AD200" s="33"/>
      <c r="AE200" s="33"/>
      <c r="AF200" s="33"/>
    </row>
    <row r="201" ht="15.75" customHeight="1">
      <c r="A201" s="75" t="s">
        <v>1382</v>
      </c>
      <c r="B201" s="76">
        <v>24.0</v>
      </c>
      <c r="C201" s="31" t="s">
        <v>1540</v>
      </c>
      <c r="D201" s="31" t="s">
        <v>1541</v>
      </c>
      <c r="E201" s="31" t="s">
        <v>1542</v>
      </c>
      <c r="F201" s="33"/>
      <c r="G201" s="33"/>
      <c r="H201" s="33"/>
      <c r="I201" s="33"/>
      <c r="J201" s="33"/>
      <c r="K201" s="33"/>
      <c r="L201" s="33"/>
      <c r="M201" s="33"/>
      <c r="N201" s="33"/>
      <c r="O201" s="33"/>
      <c r="P201" s="33"/>
      <c r="Q201" s="33"/>
      <c r="R201" s="33"/>
      <c r="S201" s="33"/>
      <c r="T201" s="33"/>
      <c r="U201" s="33"/>
      <c r="V201" s="33"/>
      <c r="W201" s="33"/>
      <c r="X201" s="33"/>
      <c r="Y201" s="33"/>
      <c r="Z201" s="33"/>
      <c r="AA201" s="33"/>
      <c r="AB201" s="33"/>
      <c r="AC201" s="33"/>
      <c r="AD201" s="33"/>
      <c r="AE201" s="33"/>
      <c r="AF201" s="33"/>
    </row>
    <row r="202" ht="15.75" customHeight="1">
      <c r="A202" s="63" t="s">
        <v>1382</v>
      </c>
      <c r="B202" s="94">
        <v>-777.0</v>
      </c>
      <c r="C202" s="37" t="s">
        <v>417</v>
      </c>
      <c r="D202" s="37" t="s">
        <v>418</v>
      </c>
      <c r="E202" s="37" t="s">
        <v>419</v>
      </c>
      <c r="F202" s="19"/>
      <c r="G202" s="19"/>
      <c r="H202" s="19"/>
      <c r="I202" s="19"/>
      <c r="J202" s="19"/>
      <c r="K202" s="19"/>
      <c r="L202" s="19"/>
      <c r="M202" s="19"/>
      <c r="N202" s="19"/>
      <c r="O202" s="19"/>
      <c r="P202" s="19"/>
      <c r="Q202" s="19"/>
      <c r="R202" s="19"/>
      <c r="S202" s="19"/>
      <c r="T202" s="19"/>
      <c r="U202" s="19"/>
      <c r="V202" s="19"/>
      <c r="W202" s="19"/>
      <c r="X202" s="19"/>
      <c r="Y202" s="19"/>
      <c r="Z202" s="19"/>
      <c r="AA202" s="19"/>
      <c r="AB202" s="19"/>
      <c r="AC202" s="19"/>
      <c r="AD202" s="19"/>
      <c r="AE202" s="33"/>
      <c r="AF202" s="33"/>
    </row>
    <row r="203" ht="15.75" customHeight="1">
      <c r="A203" s="100"/>
      <c r="B203" s="102"/>
      <c r="C203" s="100"/>
      <c r="D203" s="100"/>
      <c r="E203" s="165"/>
      <c r="F203" s="33"/>
      <c r="G203" s="33"/>
      <c r="H203" s="33"/>
      <c r="I203" s="33"/>
      <c r="J203" s="33"/>
      <c r="K203" s="33"/>
      <c r="L203" s="33"/>
      <c r="M203" s="33"/>
      <c r="N203" s="33"/>
      <c r="O203" s="33"/>
      <c r="P203" s="33"/>
      <c r="Q203" s="33"/>
      <c r="R203" s="33"/>
      <c r="S203" s="33"/>
      <c r="T203" s="33"/>
      <c r="U203" s="33"/>
      <c r="V203" s="33"/>
      <c r="W203" s="33"/>
      <c r="X203" s="33"/>
      <c r="Y203" s="33"/>
      <c r="Z203" s="33"/>
      <c r="AA203" s="33"/>
      <c r="AB203" s="33"/>
      <c r="AC203" s="33"/>
      <c r="AD203" s="33"/>
      <c r="AE203" s="33"/>
      <c r="AF203" s="33"/>
    </row>
    <row r="204" ht="15.75" customHeight="1">
      <c r="A204" s="110" t="s">
        <v>1561</v>
      </c>
      <c r="B204" s="111">
        <v>1.0</v>
      </c>
      <c r="C204" s="116" t="s">
        <v>1564</v>
      </c>
      <c r="D204" s="116" t="s">
        <v>1565</v>
      </c>
      <c r="E204" s="116" t="s">
        <v>1566</v>
      </c>
      <c r="F204" s="44"/>
      <c r="G204" s="44"/>
      <c r="H204" s="44"/>
      <c r="I204" s="44"/>
      <c r="J204" s="44"/>
      <c r="K204" s="44"/>
      <c r="L204" s="44"/>
      <c r="M204" s="44"/>
      <c r="N204" s="44"/>
      <c r="O204" s="44"/>
      <c r="P204" s="44"/>
      <c r="Q204" s="44"/>
      <c r="R204" s="44"/>
      <c r="S204" s="44"/>
      <c r="T204" s="44"/>
      <c r="U204" s="44"/>
      <c r="V204" s="44"/>
      <c r="W204" s="44"/>
      <c r="X204" s="44"/>
      <c r="Y204" s="44"/>
      <c r="Z204" s="44"/>
      <c r="AA204" s="44"/>
      <c r="AB204" s="44"/>
      <c r="AC204" s="44"/>
      <c r="AD204" s="44"/>
      <c r="AE204" s="33"/>
      <c r="AF204" s="33"/>
    </row>
    <row r="205" ht="15.75" customHeight="1">
      <c r="A205" s="75" t="s">
        <v>1561</v>
      </c>
      <c r="B205" s="76">
        <v>2.0</v>
      </c>
      <c r="C205" s="31" t="s">
        <v>1574</v>
      </c>
      <c r="D205" s="31" t="s">
        <v>1575</v>
      </c>
      <c r="E205" s="31" t="s">
        <v>1576</v>
      </c>
      <c r="F205" s="33"/>
      <c r="G205" s="33"/>
      <c r="H205" s="33"/>
      <c r="I205" s="33"/>
      <c r="J205" s="33"/>
      <c r="K205" s="33"/>
      <c r="L205" s="33"/>
      <c r="M205" s="33"/>
      <c r="N205" s="33"/>
      <c r="O205" s="33"/>
      <c r="P205" s="33"/>
      <c r="Q205" s="33"/>
      <c r="R205" s="33"/>
      <c r="S205" s="33"/>
      <c r="T205" s="33"/>
      <c r="U205" s="33"/>
      <c r="V205" s="33"/>
      <c r="W205" s="33"/>
      <c r="X205" s="33"/>
      <c r="Y205" s="33"/>
      <c r="Z205" s="33"/>
      <c r="AA205" s="33"/>
      <c r="AB205" s="33"/>
      <c r="AC205" s="33"/>
      <c r="AD205" s="33"/>
      <c r="AE205" s="33"/>
      <c r="AF205" s="33"/>
    </row>
    <row r="206" ht="15.75" customHeight="1">
      <c r="A206" s="75" t="s">
        <v>1561</v>
      </c>
      <c r="B206" s="76">
        <v>3.0</v>
      </c>
      <c r="C206" s="31" t="s">
        <v>1582</v>
      </c>
      <c r="D206" s="31" t="s">
        <v>1582</v>
      </c>
      <c r="E206" s="31" t="s">
        <v>1586</v>
      </c>
      <c r="F206" s="33"/>
      <c r="G206" s="33"/>
      <c r="H206" s="33"/>
      <c r="I206" s="33"/>
      <c r="J206" s="33"/>
      <c r="K206" s="33"/>
      <c r="L206" s="33"/>
      <c r="M206" s="33"/>
      <c r="N206" s="33"/>
      <c r="O206" s="33"/>
      <c r="P206" s="33"/>
      <c r="Q206" s="33"/>
      <c r="R206" s="33"/>
      <c r="S206" s="33"/>
      <c r="T206" s="33"/>
      <c r="U206" s="33"/>
      <c r="V206" s="33"/>
      <c r="W206" s="33"/>
      <c r="X206" s="33"/>
      <c r="Y206" s="33"/>
      <c r="Z206" s="33"/>
      <c r="AA206" s="33"/>
      <c r="AB206" s="33"/>
      <c r="AC206" s="33"/>
      <c r="AD206" s="33"/>
      <c r="AE206" s="33"/>
      <c r="AF206" s="33"/>
    </row>
    <row r="207" ht="15.75" customHeight="1">
      <c r="A207" s="75" t="s">
        <v>1561</v>
      </c>
      <c r="B207" s="76">
        <v>4.0</v>
      </c>
      <c r="C207" s="31" t="s">
        <v>1591</v>
      </c>
      <c r="D207" s="31" t="s">
        <v>1593</v>
      </c>
      <c r="E207" s="31" t="s">
        <v>1594</v>
      </c>
      <c r="F207" s="33"/>
      <c r="G207" s="33"/>
      <c r="H207" s="33"/>
      <c r="I207" s="33"/>
      <c r="J207" s="33"/>
      <c r="K207" s="33"/>
      <c r="L207" s="33"/>
      <c r="M207" s="33"/>
      <c r="N207" s="33"/>
      <c r="O207" s="33"/>
      <c r="P207" s="33"/>
      <c r="Q207" s="33"/>
      <c r="R207" s="33"/>
      <c r="S207" s="33"/>
      <c r="T207" s="33"/>
      <c r="U207" s="33"/>
      <c r="V207" s="33"/>
      <c r="W207" s="33"/>
      <c r="X207" s="33"/>
      <c r="Y207" s="33"/>
      <c r="Z207" s="33"/>
      <c r="AA207" s="33"/>
      <c r="AB207" s="33"/>
      <c r="AC207" s="33"/>
      <c r="AD207" s="33"/>
      <c r="AE207" s="33"/>
      <c r="AF207" s="33"/>
    </row>
    <row r="208" ht="15.75" customHeight="1">
      <c r="A208" s="75" t="s">
        <v>1561</v>
      </c>
      <c r="B208" s="76">
        <v>5.0</v>
      </c>
      <c r="C208" s="31" t="s">
        <v>1596</v>
      </c>
      <c r="D208" s="31" t="s">
        <v>1597</v>
      </c>
      <c r="E208" s="31" t="s">
        <v>1599</v>
      </c>
      <c r="F208" s="33"/>
      <c r="G208" s="33"/>
      <c r="H208" s="33"/>
      <c r="I208" s="33"/>
      <c r="J208" s="33"/>
      <c r="K208" s="33"/>
      <c r="L208" s="33"/>
      <c r="M208" s="33"/>
      <c r="N208" s="33"/>
      <c r="O208" s="33"/>
      <c r="P208" s="33"/>
      <c r="Q208" s="33"/>
      <c r="R208" s="33"/>
      <c r="S208" s="33"/>
      <c r="T208" s="33"/>
      <c r="U208" s="33"/>
      <c r="V208" s="33"/>
      <c r="W208" s="33"/>
      <c r="X208" s="33"/>
      <c r="Y208" s="33"/>
      <c r="Z208" s="33"/>
      <c r="AA208" s="33"/>
      <c r="AB208" s="33"/>
      <c r="AC208" s="33"/>
      <c r="AD208" s="33"/>
      <c r="AE208" s="33"/>
      <c r="AF208" s="33"/>
    </row>
    <row r="209" ht="15.75" customHeight="1">
      <c r="A209" s="75" t="s">
        <v>1561</v>
      </c>
      <c r="B209" s="76">
        <v>6.0</v>
      </c>
      <c r="C209" s="31" t="s">
        <v>1607</v>
      </c>
      <c r="D209" s="31" t="s">
        <v>1608</v>
      </c>
      <c r="E209" s="31" t="s">
        <v>1609</v>
      </c>
      <c r="F209" s="33"/>
      <c r="G209" s="33"/>
      <c r="H209" s="33"/>
      <c r="I209" s="33"/>
      <c r="J209" s="33"/>
      <c r="K209" s="33"/>
      <c r="L209" s="33"/>
      <c r="M209" s="33"/>
      <c r="N209" s="33"/>
      <c r="O209" s="33"/>
      <c r="P209" s="33"/>
      <c r="Q209" s="33"/>
      <c r="R209" s="33"/>
      <c r="S209" s="33"/>
      <c r="T209" s="33"/>
      <c r="U209" s="33"/>
      <c r="V209" s="33"/>
      <c r="W209" s="33"/>
      <c r="X209" s="33"/>
      <c r="Y209" s="33"/>
      <c r="Z209" s="33"/>
      <c r="AA209" s="33"/>
      <c r="AB209" s="33"/>
      <c r="AC209" s="33"/>
      <c r="AD209" s="33"/>
      <c r="AE209" s="33"/>
      <c r="AF209" s="33"/>
    </row>
    <row r="210" ht="15.75" customHeight="1">
      <c r="A210" s="75" t="s">
        <v>1561</v>
      </c>
      <c r="B210" s="76">
        <v>7.0</v>
      </c>
      <c r="C210" s="31" t="s">
        <v>1612</v>
      </c>
      <c r="D210" s="31" t="s">
        <v>1613</v>
      </c>
      <c r="E210" s="31" t="s">
        <v>1614</v>
      </c>
      <c r="F210" s="33"/>
      <c r="G210" s="33"/>
      <c r="H210" s="33"/>
      <c r="I210" s="33"/>
      <c r="J210" s="33"/>
      <c r="K210" s="33"/>
      <c r="L210" s="33"/>
      <c r="M210" s="33"/>
      <c r="N210" s="33"/>
      <c r="O210" s="33"/>
      <c r="P210" s="33"/>
      <c r="Q210" s="33"/>
      <c r="R210" s="33"/>
      <c r="S210" s="33"/>
      <c r="T210" s="33"/>
      <c r="U210" s="33"/>
      <c r="V210" s="33"/>
      <c r="W210" s="33"/>
      <c r="X210" s="33"/>
      <c r="Y210" s="33"/>
      <c r="Z210" s="33"/>
      <c r="AA210" s="33"/>
      <c r="AB210" s="33"/>
      <c r="AC210" s="33"/>
      <c r="AD210" s="33"/>
      <c r="AE210" s="33"/>
      <c r="AF210" s="33"/>
    </row>
    <row r="211" ht="15.75" customHeight="1">
      <c r="A211" s="75" t="s">
        <v>1561</v>
      </c>
      <c r="B211" s="76">
        <v>8.0</v>
      </c>
      <c r="C211" s="31" t="s">
        <v>1616</v>
      </c>
      <c r="D211" s="31" t="s">
        <v>1618</v>
      </c>
      <c r="E211" s="31" t="s">
        <v>1620</v>
      </c>
      <c r="F211" s="33"/>
      <c r="G211" s="33"/>
      <c r="H211" s="33"/>
      <c r="I211" s="33"/>
      <c r="J211" s="33"/>
      <c r="K211" s="33"/>
      <c r="L211" s="33"/>
      <c r="M211" s="33"/>
      <c r="N211" s="33"/>
      <c r="O211" s="33"/>
      <c r="P211" s="33"/>
      <c r="Q211" s="33"/>
      <c r="R211" s="33"/>
      <c r="S211" s="33"/>
      <c r="T211" s="33"/>
      <c r="U211" s="33"/>
      <c r="V211" s="33"/>
      <c r="W211" s="33"/>
      <c r="X211" s="33"/>
      <c r="Y211" s="33"/>
      <c r="Z211" s="33"/>
      <c r="AA211" s="33"/>
      <c r="AB211" s="33"/>
      <c r="AC211" s="33"/>
      <c r="AD211" s="33"/>
      <c r="AE211" s="33"/>
      <c r="AF211" s="33"/>
    </row>
    <row r="212" ht="15.75" customHeight="1">
      <c r="A212" s="75" t="s">
        <v>1561</v>
      </c>
      <c r="B212" s="76">
        <v>9.0</v>
      </c>
      <c r="C212" s="31" t="s">
        <v>1621</v>
      </c>
      <c r="D212" s="31" t="s">
        <v>1623</v>
      </c>
      <c r="E212" s="31" t="s">
        <v>1624</v>
      </c>
      <c r="F212" s="33"/>
      <c r="G212" s="33"/>
      <c r="H212" s="33"/>
      <c r="I212" s="33"/>
      <c r="J212" s="33"/>
      <c r="K212" s="33"/>
      <c r="L212" s="33"/>
      <c r="M212" s="33"/>
      <c r="N212" s="33"/>
      <c r="O212" s="33"/>
      <c r="P212" s="33"/>
      <c r="Q212" s="33"/>
      <c r="R212" s="33"/>
      <c r="S212" s="33"/>
      <c r="T212" s="33"/>
      <c r="U212" s="33"/>
      <c r="V212" s="33"/>
      <c r="W212" s="33"/>
      <c r="X212" s="33"/>
      <c r="Y212" s="33"/>
      <c r="Z212" s="33"/>
      <c r="AA212" s="33"/>
      <c r="AB212" s="33"/>
      <c r="AC212" s="33"/>
      <c r="AD212" s="33"/>
      <c r="AE212" s="33"/>
      <c r="AF212" s="33"/>
    </row>
    <row r="213" ht="15.75" customHeight="1">
      <c r="A213" s="75" t="s">
        <v>1561</v>
      </c>
      <c r="B213" s="76">
        <v>10.0</v>
      </c>
      <c r="C213" s="31" t="s">
        <v>1630</v>
      </c>
      <c r="D213" s="31" t="s">
        <v>1631</v>
      </c>
      <c r="E213" s="31" t="s">
        <v>1632</v>
      </c>
      <c r="F213" s="33"/>
      <c r="G213" s="33"/>
      <c r="H213" s="33"/>
      <c r="I213" s="33"/>
      <c r="J213" s="33"/>
      <c r="K213" s="33"/>
      <c r="L213" s="33"/>
      <c r="M213" s="33"/>
      <c r="N213" s="33"/>
      <c r="O213" s="33"/>
      <c r="P213" s="33"/>
      <c r="Q213" s="33"/>
      <c r="R213" s="33"/>
      <c r="S213" s="33"/>
      <c r="T213" s="33"/>
      <c r="U213" s="33"/>
      <c r="V213" s="33"/>
      <c r="W213" s="33"/>
      <c r="X213" s="33"/>
      <c r="Y213" s="33"/>
      <c r="Z213" s="33"/>
      <c r="AA213" s="33"/>
      <c r="AB213" s="33"/>
      <c r="AC213" s="33"/>
      <c r="AD213" s="33"/>
      <c r="AE213" s="33"/>
      <c r="AF213" s="33"/>
    </row>
    <row r="214" ht="15.75" customHeight="1">
      <c r="A214" s="75" t="s">
        <v>1561</v>
      </c>
      <c r="B214" s="76">
        <v>11.0</v>
      </c>
      <c r="C214" s="31" t="s">
        <v>1640</v>
      </c>
      <c r="D214" s="31" t="s">
        <v>1641</v>
      </c>
      <c r="E214" s="31" t="s">
        <v>1643</v>
      </c>
      <c r="F214" s="33"/>
      <c r="G214" s="33"/>
      <c r="H214" s="33"/>
      <c r="I214" s="33"/>
      <c r="J214" s="33"/>
      <c r="K214" s="33"/>
      <c r="L214" s="33"/>
      <c r="M214" s="33"/>
      <c r="N214" s="33"/>
      <c r="O214" s="33"/>
      <c r="P214" s="33"/>
      <c r="Q214" s="33"/>
      <c r="R214" s="33"/>
      <c r="S214" s="33"/>
      <c r="T214" s="33"/>
      <c r="U214" s="33"/>
      <c r="V214" s="33"/>
      <c r="W214" s="33"/>
      <c r="X214" s="33"/>
      <c r="Y214" s="33"/>
      <c r="Z214" s="33"/>
      <c r="AA214" s="33"/>
      <c r="AB214" s="33"/>
      <c r="AC214" s="33"/>
      <c r="AD214" s="33"/>
      <c r="AE214" s="33"/>
      <c r="AF214" s="33"/>
    </row>
    <row r="215" ht="15.75" customHeight="1">
      <c r="A215" s="75" t="s">
        <v>1561</v>
      </c>
      <c r="B215" s="76">
        <v>12.0</v>
      </c>
      <c r="C215" s="31" t="s">
        <v>1648</v>
      </c>
      <c r="D215" s="31" t="s">
        <v>1649</v>
      </c>
      <c r="E215" s="31" t="s">
        <v>1650</v>
      </c>
      <c r="F215" s="33"/>
      <c r="G215" s="33"/>
      <c r="H215" s="33"/>
      <c r="I215" s="33"/>
      <c r="J215" s="33"/>
      <c r="K215" s="33"/>
      <c r="L215" s="33"/>
      <c r="M215" s="33"/>
      <c r="N215" s="33"/>
      <c r="O215" s="33"/>
      <c r="P215" s="33"/>
      <c r="Q215" s="33"/>
      <c r="R215" s="33"/>
      <c r="S215" s="33"/>
      <c r="T215" s="33"/>
      <c r="U215" s="33"/>
      <c r="V215" s="33"/>
      <c r="W215" s="33"/>
      <c r="X215" s="33"/>
      <c r="Y215" s="33"/>
      <c r="Z215" s="33"/>
      <c r="AA215" s="33"/>
      <c r="AB215" s="33"/>
      <c r="AC215" s="33"/>
      <c r="AD215" s="33"/>
      <c r="AE215" s="33"/>
      <c r="AF215" s="33"/>
    </row>
    <row r="216" ht="15.75" customHeight="1">
      <c r="A216" s="63" t="s">
        <v>1561</v>
      </c>
      <c r="B216" s="94">
        <v>0.0</v>
      </c>
      <c r="C216" s="37" t="s">
        <v>199</v>
      </c>
      <c r="D216" s="37" t="s">
        <v>201</v>
      </c>
      <c r="E216" s="37" t="s">
        <v>203</v>
      </c>
      <c r="F216" s="19"/>
      <c r="G216" s="19"/>
      <c r="H216" s="19"/>
      <c r="I216" s="19"/>
      <c r="J216" s="19"/>
      <c r="K216" s="19"/>
      <c r="L216" s="19"/>
      <c r="M216" s="19"/>
      <c r="N216" s="19"/>
      <c r="O216" s="19"/>
      <c r="P216" s="19"/>
      <c r="Q216" s="19"/>
      <c r="R216" s="19"/>
      <c r="S216" s="19"/>
      <c r="T216" s="19"/>
      <c r="U216" s="19"/>
      <c r="V216" s="19"/>
      <c r="W216" s="19"/>
      <c r="X216" s="19"/>
      <c r="Y216" s="19"/>
      <c r="Z216" s="19"/>
      <c r="AA216" s="19"/>
      <c r="AB216" s="19"/>
      <c r="AC216" s="19"/>
      <c r="AD216" s="19"/>
      <c r="AE216" s="33"/>
      <c r="AF216" s="33"/>
    </row>
    <row r="217" ht="15.75" customHeight="1">
      <c r="A217" s="63"/>
      <c r="B217" s="37"/>
      <c r="C217" s="37"/>
      <c r="D217" s="37"/>
      <c r="E217" s="37"/>
      <c r="F217" s="19"/>
      <c r="G217" s="19"/>
      <c r="H217" s="19"/>
      <c r="I217" s="19"/>
      <c r="J217" s="19"/>
      <c r="K217" s="19"/>
      <c r="L217" s="19"/>
      <c r="M217" s="19"/>
      <c r="N217" s="19"/>
      <c r="O217" s="19"/>
      <c r="P217" s="19"/>
      <c r="Q217" s="19"/>
      <c r="R217" s="19"/>
      <c r="S217" s="19"/>
      <c r="T217" s="19"/>
      <c r="U217" s="19"/>
      <c r="V217" s="19"/>
      <c r="W217" s="19"/>
      <c r="X217" s="19"/>
      <c r="Y217" s="19"/>
      <c r="Z217" s="19"/>
      <c r="AA217" s="19"/>
      <c r="AB217" s="19"/>
      <c r="AC217" s="19"/>
      <c r="AD217" s="19"/>
      <c r="AE217" s="33"/>
      <c r="AF217" s="33"/>
    </row>
    <row r="218" ht="15.75" customHeight="1">
      <c r="A218" s="75" t="s">
        <v>1657</v>
      </c>
      <c r="B218" s="76">
        <v>1.0</v>
      </c>
      <c r="C218" s="37" t="s">
        <v>1658</v>
      </c>
      <c r="D218" s="37" t="s">
        <v>1659</v>
      </c>
      <c r="E218" s="37" t="s">
        <v>1660</v>
      </c>
      <c r="F218" s="33"/>
      <c r="G218" s="33"/>
      <c r="H218" s="33"/>
      <c r="I218" s="33"/>
      <c r="J218" s="33"/>
      <c r="K218" s="33"/>
      <c r="L218" s="33"/>
      <c r="M218" s="33"/>
      <c r="N218" s="33"/>
      <c r="O218" s="33"/>
      <c r="P218" s="33"/>
      <c r="Q218" s="33"/>
      <c r="R218" s="33"/>
      <c r="S218" s="33"/>
      <c r="T218" s="33"/>
      <c r="U218" s="33"/>
      <c r="V218" s="33"/>
      <c r="W218" s="33"/>
      <c r="X218" s="33"/>
      <c r="Y218" s="33"/>
      <c r="Z218" s="33"/>
      <c r="AA218" s="33"/>
      <c r="AB218" s="33"/>
      <c r="AC218" s="33"/>
      <c r="AD218" s="33"/>
      <c r="AE218" s="33"/>
      <c r="AF218" s="33"/>
    </row>
    <row r="219" ht="15.75" customHeight="1">
      <c r="A219" s="75" t="s">
        <v>1657</v>
      </c>
      <c r="B219" s="76">
        <v>2.0</v>
      </c>
      <c r="C219" s="31" t="s">
        <v>1666</v>
      </c>
      <c r="D219" s="31" t="s">
        <v>1667</v>
      </c>
      <c r="E219" s="31" t="s">
        <v>1669</v>
      </c>
      <c r="F219" s="33"/>
      <c r="G219" s="33"/>
      <c r="H219" s="33"/>
      <c r="I219" s="33"/>
      <c r="J219" s="33"/>
      <c r="K219" s="33"/>
      <c r="L219" s="33"/>
      <c r="M219" s="33"/>
      <c r="N219" s="33"/>
      <c r="O219" s="33"/>
      <c r="P219" s="33"/>
      <c r="Q219" s="33"/>
      <c r="R219" s="33"/>
      <c r="S219" s="33"/>
      <c r="T219" s="33"/>
      <c r="U219" s="33"/>
      <c r="V219" s="33"/>
      <c r="W219" s="33"/>
      <c r="X219" s="33"/>
      <c r="Y219" s="33"/>
      <c r="Z219" s="33"/>
      <c r="AA219" s="33"/>
      <c r="AB219" s="33"/>
      <c r="AC219" s="33"/>
      <c r="AD219" s="33"/>
      <c r="AE219" s="33"/>
      <c r="AF219" s="33"/>
    </row>
    <row r="220" ht="15.75" customHeight="1">
      <c r="A220" s="75" t="s">
        <v>1657</v>
      </c>
      <c r="B220" s="76">
        <v>3.0</v>
      </c>
      <c r="C220" s="31" t="s">
        <v>1671</v>
      </c>
      <c r="D220" s="31" t="s">
        <v>1672</v>
      </c>
      <c r="E220" s="31" t="s">
        <v>1673</v>
      </c>
      <c r="F220" s="33"/>
      <c r="G220" s="33"/>
      <c r="H220" s="33"/>
      <c r="I220" s="33"/>
      <c r="J220" s="33"/>
      <c r="K220" s="33"/>
      <c r="L220" s="33"/>
      <c r="M220" s="33"/>
      <c r="N220" s="33"/>
      <c r="O220" s="33"/>
      <c r="P220" s="33"/>
      <c r="Q220" s="33"/>
      <c r="R220" s="33"/>
      <c r="S220" s="33"/>
      <c r="T220" s="33"/>
      <c r="U220" s="33"/>
      <c r="V220" s="33"/>
      <c r="W220" s="33"/>
      <c r="X220" s="33"/>
      <c r="Y220" s="33"/>
      <c r="Z220" s="33"/>
      <c r="AA220" s="33"/>
      <c r="AB220" s="33"/>
      <c r="AC220" s="33"/>
      <c r="AD220" s="33"/>
      <c r="AE220" s="33"/>
      <c r="AF220" s="33"/>
    </row>
    <row r="221" ht="15.75" customHeight="1">
      <c r="A221" s="75" t="s">
        <v>1657</v>
      </c>
      <c r="B221" s="76">
        <v>4.0</v>
      </c>
      <c r="C221" s="31" t="s">
        <v>1679</v>
      </c>
      <c r="D221" s="31" t="s">
        <v>1680</v>
      </c>
      <c r="E221" s="31" t="s">
        <v>1681</v>
      </c>
      <c r="F221" s="33"/>
      <c r="G221" s="33"/>
      <c r="H221" s="33"/>
      <c r="I221" s="33"/>
      <c r="J221" s="33"/>
      <c r="K221" s="33"/>
      <c r="L221" s="33"/>
      <c r="M221" s="33"/>
      <c r="N221" s="33"/>
      <c r="O221" s="33"/>
      <c r="P221" s="33"/>
      <c r="Q221" s="33"/>
      <c r="R221" s="33"/>
      <c r="S221" s="33"/>
      <c r="T221" s="33"/>
      <c r="U221" s="33"/>
      <c r="V221" s="33"/>
      <c r="W221" s="33"/>
      <c r="X221" s="33"/>
      <c r="Y221" s="33"/>
      <c r="Z221" s="33"/>
      <c r="AA221" s="33"/>
      <c r="AB221" s="33"/>
      <c r="AC221" s="33"/>
      <c r="AD221" s="33"/>
      <c r="AE221" s="33"/>
      <c r="AF221" s="33"/>
    </row>
    <row r="222" ht="15.75" customHeight="1">
      <c r="A222" s="75" t="s">
        <v>1657</v>
      </c>
      <c r="B222" s="76">
        <v>5.0</v>
      </c>
      <c r="C222" s="31" t="s">
        <v>1689</v>
      </c>
      <c r="D222" s="31" t="s">
        <v>1691</v>
      </c>
      <c r="E222" s="31" t="s">
        <v>1692</v>
      </c>
      <c r="F222" s="33"/>
      <c r="G222" s="33"/>
      <c r="H222" s="33"/>
      <c r="I222" s="33"/>
      <c r="J222" s="33"/>
      <c r="K222" s="33"/>
      <c r="L222" s="33"/>
      <c r="M222" s="33"/>
      <c r="N222" s="33"/>
      <c r="O222" s="33"/>
      <c r="P222" s="33"/>
      <c r="Q222" s="33"/>
      <c r="R222" s="33"/>
      <c r="S222" s="33"/>
      <c r="T222" s="33"/>
      <c r="U222" s="33"/>
      <c r="V222" s="33"/>
      <c r="W222" s="33"/>
      <c r="X222" s="33"/>
      <c r="Y222" s="33"/>
      <c r="Z222" s="33"/>
      <c r="AA222" s="33"/>
      <c r="AB222" s="33"/>
      <c r="AC222" s="33"/>
      <c r="AD222" s="33"/>
      <c r="AE222" s="33"/>
      <c r="AF222" s="33"/>
    </row>
    <row r="223" ht="15.75" customHeight="1">
      <c r="A223" s="75" t="s">
        <v>1657</v>
      </c>
      <c r="B223" s="76">
        <v>6.0</v>
      </c>
      <c r="C223" s="31" t="s">
        <v>1697</v>
      </c>
      <c r="D223" s="31" t="s">
        <v>1698</v>
      </c>
      <c r="E223" s="31" t="s">
        <v>1699</v>
      </c>
      <c r="F223" s="33"/>
      <c r="G223" s="33"/>
      <c r="H223" s="33"/>
      <c r="I223" s="33"/>
      <c r="J223" s="33"/>
      <c r="K223" s="33"/>
      <c r="L223" s="33"/>
      <c r="M223" s="33"/>
      <c r="N223" s="33"/>
      <c r="O223" s="33"/>
      <c r="P223" s="33"/>
      <c r="Q223" s="33"/>
      <c r="R223" s="33"/>
      <c r="S223" s="33"/>
      <c r="T223" s="33"/>
      <c r="U223" s="33"/>
      <c r="V223" s="33"/>
      <c r="W223" s="33"/>
      <c r="X223" s="33"/>
      <c r="Y223" s="33"/>
      <c r="Z223" s="33"/>
      <c r="AA223" s="33"/>
      <c r="AB223" s="33"/>
      <c r="AC223" s="33"/>
      <c r="AD223" s="33"/>
      <c r="AE223" s="33"/>
      <c r="AF223" s="33"/>
    </row>
    <row r="224" ht="15.75" customHeight="1">
      <c r="A224" s="75" t="s">
        <v>1657</v>
      </c>
      <c r="B224" s="76">
        <v>7.0</v>
      </c>
      <c r="C224" s="31" t="s">
        <v>1702</v>
      </c>
      <c r="D224" s="31" t="s">
        <v>1703</v>
      </c>
      <c r="E224" s="31" t="s">
        <v>1704</v>
      </c>
      <c r="F224" s="33"/>
      <c r="G224" s="33"/>
      <c r="H224" s="33"/>
      <c r="I224" s="33"/>
      <c r="J224" s="33"/>
      <c r="K224" s="33"/>
      <c r="L224" s="33"/>
      <c r="M224" s="33"/>
      <c r="N224" s="33"/>
      <c r="O224" s="33"/>
      <c r="P224" s="33"/>
      <c r="Q224" s="33"/>
      <c r="R224" s="33"/>
      <c r="S224" s="33"/>
      <c r="T224" s="33"/>
      <c r="U224" s="33"/>
      <c r="V224" s="33"/>
      <c r="W224" s="33"/>
      <c r="X224" s="33"/>
      <c r="Y224" s="33"/>
      <c r="Z224" s="33"/>
      <c r="AA224" s="33"/>
      <c r="AB224" s="33"/>
      <c r="AC224" s="33"/>
      <c r="AD224" s="33"/>
      <c r="AE224" s="33"/>
      <c r="AF224" s="33"/>
    </row>
    <row r="225" ht="15.75" customHeight="1">
      <c r="A225" s="63" t="s">
        <v>1657</v>
      </c>
      <c r="B225" s="94">
        <v>0.0</v>
      </c>
      <c r="C225" s="37" t="s">
        <v>199</v>
      </c>
      <c r="D225" s="37" t="s">
        <v>201</v>
      </c>
      <c r="E225" s="37" t="s">
        <v>203</v>
      </c>
      <c r="F225" s="19"/>
      <c r="G225" s="19"/>
      <c r="H225" s="19"/>
      <c r="I225" s="19"/>
      <c r="J225" s="19"/>
      <c r="K225" s="19"/>
      <c r="L225" s="19"/>
      <c r="M225" s="19"/>
      <c r="N225" s="19"/>
      <c r="O225" s="19"/>
      <c r="P225" s="19"/>
      <c r="Q225" s="19"/>
      <c r="R225" s="19"/>
      <c r="S225" s="19"/>
      <c r="T225" s="19"/>
      <c r="U225" s="19"/>
      <c r="V225" s="19"/>
      <c r="W225" s="19"/>
      <c r="X225" s="19"/>
      <c r="Y225" s="19"/>
      <c r="Z225" s="19"/>
      <c r="AA225" s="19"/>
      <c r="AB225" s="19"/>
      <c r="AC225" s="19"/>
      <c r="AD225" s="19"/>
      <c r="AE225" s="33"/>
      <c r="AF225" s="33"/>
    </row>
    <row r="226" ht="15.75" customHeight="1">
      <c r="A226" s="100"/>
      <c r="B226" s="102"/>
      <c r="C226" s="100"/>
      <c r="D226" s="100"/>
      <c r="E226" s="165"/>
      <c r="F226" s="33"/>
      <c r="G226" s="33"/>
      <c r="H226" s="33"/>
      <c r="I226" s="33"/>
      <c r="J226" s="33"/>
      <c r="K226" s="33"/>
      <c r="L226" s="33"/>
      <c r="M226" s="33"/>
      <c r="N226" s="33"/>
      <c r="O226" s="33"/>
      <c r="P226" s="33"/>
      <c r="Q226" s="33"/>
      <c r="R226" s="33"/>
      <c r="S226" s="33"/>
      <c r="T226" s="33"/>
      <c r="U226" s="33"/>
      <c r="V226" s="33"/>
      <c r="W226" s="33"/>
      <c r="X226" s="33"/>
      <c r="Y226" s="33"/>
      <c r="Z226" s="33"/>
      <c r="AA226" s="33"/>
      <c r="AB226" s="33"/>
      <c r="AC226" s="33"/>
      <c r="AD226" s="33"/>
      <c r="AE226" s="33"/>
      <c r="AF226" s="33"/>
    </row>
    <row r="227" ht="15.75" customHeight="1">
      <c r="A227" s="110" t="s">
        <v>1719</v>
      </c>
      <c r="B227" s="111">
        <v>1.0</v>
      </c>
      <c r="C227" s="116" t="s">
        <v>1721</v>
      </c>
      <c r="D227" s="116" t="s">
        <v>1722</v>
      </c>
      <c r="E227" s="116" t="s">
        <v>1723</v>
      </c>
      <c r="F227" s="44"/>
      <c r="G227" s="44"/>
      <c r="H227" s="44"/>
      <c r="I227" s="44"/>
      <c r="J227" s="44"/>
      <c r="K227" s="44"/>
      <c r="L227" s="44"/>
      <c r="M227" s="44"/>
      <c r="N227" s="44"/>
      <c r="O227" s="44"/>
      <c r="P227" s="44"/>
      <c r="Q227" s="44"/>
      <c r="R227" s="44"/>
      <c r="S227" s="44"/>
      <c r="T227" s="44"/>
      <c r="U227" s="44"/>
      <c r="V227" s="44"/>
      <c r="W227" s="44"/>
      <c r="X227" s="44"/>
      <c r="Y227" s="44"/>
      <c r="Z227" s="44"/>
      <c r="AA227" s="44"/>
      <c r="AB227" s="44"/>
      <c r="AC227" s="44"/>
      <c r="AD227" s="44"/>
      <c r="AE227" s="33"/>
      <c r="AF227" s="33"/>
    </row>
    <row r="228" ht="15.75" customHeight="1">
      <c r="A228" s="75" t="s">
        <v>1719</v>
      </c>
      <c r="B228" s="76">
        <v>2.0</v>
      </c>
      <c r="C228" s="31" t="s">
        <v>1733</v>
      </c>
      <c r="D228" s="31" t="s">
        <v>1734</v>
      </c>
      <c r="E228" s="31" t="s">
        <v>1735</v>
      </c>
      <c r="F228" s="33"/>
      <c r="G228" s="33"/>
      <c r="H228" s="33"/>
      <c r="I228" s="33"/>
      <c r="J228" s="33"/>
      <c r="K228" s="33"/>
      <c r="L228" s="33"/>
      <c r="M228" s="33"/>
      <c r="N228" s="33"/>
      <c r="O228" s="33"/>
      <c r="P228" s="33"/>
      <c r="Q228" s="33"/>
      <c r="R228" s="33"/>
      <c r="S228" s="33"/>
      <c r="T228" s="33"/>
      <c r="U228" s="33"/>
      <c r="V228" s="33"/>
      <c r="W228" s="33"/>
      <c r="X228" s="33"/>
      <c r="Y228" s="33"/>
      <c r="Z228" s="33"/>
      <c r="AA228" s="33"/>
      <c r="AB228" s="33"/>
      <c r="AC228" s="33"/>
      <c r="AD228" s="33"/>
      <c r="AE228" s="33"/>
      <c r="AF228" s="33"/>
    </row>
    <row r="229" ht="15.75" customHeight="1">
      <c r="A229" s="75" t="s">
        <v>1719</v>
      </c>
      <c r="B229" s="76">
        <v>3.0</v>
      </c>
      <c r="C229" s="31" t="s">
        <v>1743</v>
      </c>
      <c r="D229" s="31" t="s">
        <v>1745</v>
      </c>
      <c r="E229" s="31" t="s">
        <v>1746</v>
      </c>
      <c r="F229" s="33"/>
      <c r="G229" s="33"/>
      <c r="H229" s="33"/>
      <c r="I229" s="33"/>
      <c r="J229" s="33"/>
      <c r="K229" s="33"/>
      <c r="L229" s="33"/>
      <c r="M229" s="33"/>
      <c r="N229" s="33"/>
      <c r="O229" s="33"/>
      <c r="P229" s="33"/>
      <c r="Q229" s="33"/>
      <c r="R229" s="33"/>
      <c r="S229" s="33"/>
      <c r="T229" s="33"/>
      <c r="U229" s="33"/>
      <c r="V229" s="33"/>
      <c r="W229" s="33"/>
      <c r="X229" s="33"/>
      <c r="Y229" s="33"/>
      <c r="Z229" s="33"/>
      <c r="AA229" s="33"/>
      <c r="AB229" s="33"/>
      <c r="AC229" s="33"/>
      <c r="AD229" s="33"/>
      <c r="AE229" s="33"/>
      <c r="AF229" s="33"/>
    </row>
    <row r="230" ht="15.75" customHeight="1">
      <c r="A230" s="75" t="s">
        <v>1719</v>
      </c>
      <c r="B230" s="76">
        <v>4.0</v>
      </c>
      <c r="C230" s="31" t="s">
        <v>1752</v>
      </c>
      <c r="D230" s="31" t="s">
        <v>1753</v>
      </c>
      <c r="E230" s="31" t="s">
        <v>1754</v>
      </c>
      <c r="F230" s="33"/>
      <c r="G230" s="33"/>
      <c r="H230" s="33"/>
      <c r="I230" s="33"/>
      <c r="J230" s="33"/>
      <c r="K230" s="33"/>
      <c r="L230" s="33"/>
      <c r="M230" s="33"/>
      <c r="N230" s="33"/>
      <c r="O230" s="33"/>
      <c r="P230" s="33"/>
      <c r="Q230" s="33"/>
      <c r="R230" s="33"/>
      <c r="S230" s="33"/>
      <c r="T230" s="33"/>
      <c r="U230" s="33"/>
      <c r="V230" s="33"/>
      <c r="W230" s="33"/>
      <c r="X230" s="33"/>
      <c r="Y230" s="33"/>
      <c r="Z230" s="33"/>
      <c r="AA230" s="33"/>
      <c r="AB230" s="33"/>
      <c r="AC230" s="33"/>
      <c r="AD230" s="33"/>
      <c r="AE230" s="33"/>
      <c r="AF230" s="33"/>
    </row>
    <row r="231" ht="15.75" customHeight="1">
      <c r="A231" s="75" t="s">
        <v>1719</v>
      </c>
      <c r="B231" s="76">
        <v>5.0</v>
      </c>
      <c r="C231" s="31" t="s">
        <v>1760</v>
      </c>
      <c r="D231" s="31" t="s">
        <v>1762</v>
      </c>
      <c r="E231" s="31" t="s">
        <v>1764</v>
      </c>
      <c r="F231" s="33"/>
      <c r="G231" s="33"/>
      <c r="H231" s="33"/>
      <c r="I231" s="33"/>
      <c r="J231" s="33"/>
      <c r="K231" s="33"/>
      <c r="L231" s="33"/>
      <c r="M231" s="33"/>
      <c r="N231" s="33"/>
      <c r="O231" s="33"/>
      <c r="P231" s="33"/>
      <c r="Q231" s="33"/>
      <c r="R231" s="33"/>
      <c r="S231" s="33"/>
      <c r="T231" s="33"/>
      <c r="U231" s="33"/>
      <c r="V231" s="33"/>
      <c r="W231" s="33"/>
      <c r="X231" s="33"/>
      <c r="Y231" s="33"/>
      <c r="Z231" s="33"/>
      <c r="AA231" s="33"/>
      <c r="AB231" s="33"/>
      <c r="AC231" s="33"/>
      <c r="AD231" s="33"/>
      <c r="AE231" s="33"/>
      <c r="AF231" s="33"/>
    </row>
    <row r="232" ht="15.75" customHeight="1">
      <c r="A232" s="75" t="s">
        <v>1719</v>
      </c>
      <c r="B232" s="76">
        <v>6.0</v>
      </c>
      <c r="C232" s="31" t="s">
        <v>1770</v>
      </c>
      <c r="D232" s="31" t="s">
        <v>1771</v>
      </c>
      <c r="E232" s="31" t="s">
        <v>1772</v>
      </c>
      <c r="F232" s="33"/>
      <c r="G232" s="33"/>
      <c r="H232" s="33"/>
      <c r="I232" s="33"/>
      <c r="J232" s="33"/>
      <c r="K232" s="33"/>
      <c r="L232" s="33"/>
      <c r="M232" s="33"/>
      <c r="N232" s="33"/>
      <c r="O232" s="33"/>
      <c r="P232" s="33"/>
      <c r="Q232" s="33"/>
      <c r="R232" s="33"/>
      <c r="S232" s="33"/>
      <c r="T232" s="33"/>
      <c r="U232" s="33"/>
      <c r="V232" s="33"/>
      <c r="W232" s="33"/>
      <c r="X232" s="33"/>
      <c r="Y232" s="33"/>
      <c r="Z232" s="33"/>
      <c r="AA232" s="33"/>
      <c r="AB232" s="33"/>
      <c r="AC232" s="33"/>
      <c r="AD232" s="33"/>
      <c r="AE232" s="33"/>
      <c r="AF232" s="33"/>
    </row>
    <row r="233" ht="15.75" customHeight="1">
      <c r="A233" s="75" t="s">
        <v>1719</v>
      </c>
      <c r="B233" s="76">
        <v>7.0</v>
      </c>
      <c r="C233" s="31" t="s">
        <v>1778</v>
      </c>
      <c r="D233" s="31" t="s">
        <v>1779</v>
      </c>
      <c r="E233" s="31" t="s">
        <v>1780</v>
      </c>
      <c r="F233" s="33"/>
      <c r="G233" s="33"/>
      <c r="H233" s="33"/>
      <c r="I233" s="33"/>
      <c r="J233" s="33"/>
      <c r="K233" s="33"/>
      <c r="L233" s="33"/>
      <c r="M233" s="33"/>
      <c r="N233" s="33"/>
      <c r="O233" s="33"/>
      <c r="P233" s="33"/>
      <c r="Q233" s="33"/>
      <c r="R233" s="33"/>
      <c r="S233" s="33"/>
      <c r="T233" s="33"/>
      <c r="U233" s="33"/>
      <c r="V233" s="33"/>
      <c r="W233" s="33"/>
      <c r="X233" s="33"/>
      <c r="Y233" s="33"/>
      <c r="Z233" s="33"/>
      <c r="AA233" s="33"/>
      <c r="AB233" s="33"/>
      <c r="AC233" s="33"/>
      <c r="AD233" s="33"/>
      <c r="AE233" s="33"/>
      <c r="AF233" s="33"/>
    </row>
    <row r="234" ht="15.75" customHeight="1">
      <c r="A234" s="75" t="s">
        <v>1719</v>
      </c>
      <c r="B234" s="76">
        <v>8.0</v>
      </c>
      <c r="C234" s="31" t="s">
        <v>1787</v>
      </c>
      <c r="D234" s="31" t="s">
        <v>1787</v>
      </c>
      <c r="E234" s="31" t="s">
        <v>1788</v>
      </c>
      <c r="F234" s="33"/>
      <c r="G234" s="33"/>
      <c r="H234" s="33"/>
      <c r="I234" s="33"/>
      <c r="J234" s="33"/>
      <c r="K234" s="33"/>
      <c r="L234" s="33"/>
      <c r="M234" s="33"/>
      <c r="N234" s="33"/>
      <c r="O234" s="33"/>
      <c r="P234" s="33"/>
      <c r="Q234" s="33"/>
      <c r="R234" s="33"/>
      <c r="S234" s="33"/>
      <c r="T234" s="33"/>
      <c r="U234" s="33"/>
      <c r="V234" s="33"/>
      <c r="W234" s="33"/>
      <c r="X234" s="33"/>
      <c r="Y234" s="33"/>
      <c r="Z234" s="33"/>
      <c r="AA234" s="33"/>
      <c r="AB234" s="33"/>
      <c r="AC234" s="33"/>
      <c r="AD234" s="33"/>
      <c r="AE234" s="33"/>
      <c r="AF234" s="33"/>
    </row>
    <row r="235" ht="15.75" customHeight="1">
      <c r="A235" s="75" t="s">
        <v>1719</v>
      </c>
      <c r="B235" s="76">
        <v>9.0</v>
      </c>
      <c r="C235" s="31" t="s">
        <v>1793</v>
      </c>
      <c r="D235" s="31" t="s">
        <v>1794</v>
      </c>
      <c r="E235" s="31" t="s">
        <v>1795</v>
      </c>
      <c r="F235" s="33"/>
      <c r="G235" s="33"/>
      <c r="H235" s="33"/>
      <c r="I235" s="33"/>
      <c r="J235" s="33"/>
      <c r="K235" s="33"/>
      <c r="L235" s="33"/>
      <c r="M235" s="33"/>
      <c r="N235" s="33"/>
      <c r="O235" s="33"/>
      <c r="P235" s="33"/>
      <c r="Q235" s="33"/>
      <c r="R235" s="33"/>
      <c r="S235" s="33"/>
      <c r="T235" s="33"/>
      <c r="U235" s="33"/>
      <c r="V235" s="33"/>
      <c r="W235" s="33"/>
      <c r="X235" s="33"/>
      <c r="Y235" s="33"/>
      <c r="Z235" s="33"/>
      <c r="AA235" s="33"/>
      <c r="AB235" s="33"/>
      <c r="AC235" s="33"/>
      <c r="AD235" s="33"/>
      <c r="AE235" s="33"/>
      <c r="AF235" s="33"/>
    </row>
    <row r="236" ht="15.75" customHeight="1">
      <c r="A236" s="75" t="s">
        <v>1719</v>
      </c>
      <c r="B236" s="76">
        <v>10.0</v>
      </c>
      <c r="C236" s="31" t="s">
        <v>1797</v>
      </c>
      <c r="D236" s="31" t="s">
        <v>1798</v>
      </c>
      <c r="E236" s="31" t="s">
        <v>1799</v>
      </c>
      <c r="F236" s="33"/>
      <c r="G236" s="33"/>
      <c r="H236" s="33"/>
      <c r="I236" s="33"/>
      <c r="J236" s="33"/>
      <c r="K236" s="33"/>
      <c r="L236" s="33"/>
      <c r="M236" s="33"/>
      <c r="N236" s="33"/>
      <c r="O236" s="33"/>
      <c r="P236" s="33"/>
      <c r="Q236" s="33"/>
      <c r="R236" s="33"/>
      <c r="S236" s="33"/>
      <c r="T236" s="33"/>
      <c r="U236" s="33"/>
      <c r="V236" s="33"/>
      <c r="W236" s="33"/>
      <c r="X236" s="33"/>
      <c r="Y236" s="33"/>
      <c r="Z236" s="33"/>
      <c r="AA236" s="33"/>
      <c r="AB236" s="33"/>
      <c r="AC236" s="33"/>
      <c r="AD236" s="33"/>
      <c r="AE236" s="33"/>
      <c r="AF236" s="33"/>
    </row>
    <row r="237" ht="15.75" customHeight="1">
      <c r="A237" s="75" t="s">
        <v>1719</v>
      </c>
      <c r="B237" s="76">
        <v>11.0</v>
      </c>
      <c r="C237" s="31" t="s">
        <v>1803</v>
      </c>
      <c r="D237" s="31" t="s">
        <v>1804</v>
      </c>
      <c r="E237" s="31" t="s">
        <v>1805</v>
      </c>
      <c r="F237" s="33"/>
      <c r="G237" s="33"/>
      <c r="H237" s="33"/>
      <c r="I237" s="33"/>
      <c r="J237" s="33"/>
      <c r="K237" s="33"/>
      <c r="L237" s="33"/>
      <c r="M237" s="33"/>
      <c r="N237" s="33"/>
      <c r="O237" s="33"/>
      <c r="P237" s="33"/>
      <c r="Q237" s="33"/>
      <c r="R237" s="33"/>
      <c r="S237" s="33"/>
      <c r="T237" s="33"/>
      <c r="U237" s="33"/>
      <c r="V237" s="33"/>
      <c r="W237" s="33"/>
      <c r="X237" s="33"/>
      <c r="Y237" s="33"/>
      <c r="Z237" s="33"/>
      <c r="AA237" s="33"/>
      <c r="AB237" s="33"/>
      <c r="AC237" s="33"/>
      <c r="AD237" s="33"/>
      <c r="AE237" s="33"/>
      <c r="AF237" s="33"/>
    </row>
    <row r="238" ht="15.75" customHeight="1">
      <c r="A238" s="75" t="s">
        <v>1719</v>
      </c>
      <c r="B238" s="76">
        <v>12.0</v>
      </c>
      <c r="C238" s="31" t="s">
        <v>1807</v>
      </c>
      <c r="D238" s="31" t="s">
        <v>1810</v>
      </c>
      <c r="E238" s="31" t="s">
        <v>1812</v>
      </c>
      <c r="F238" s="33"/>
      <c r="G238" s="33"/>
      <c r="H238" s="33"/>
      <c r="I238" s="33"/>
      <c r="J238" s="33"/>
      <c r="K238" s="33"/>
      <c r="L238" s="33"/>
      <c r="M238" s="33"/>
      <c r="N238" s="33"/>
      <c r="O238" s="33"/>
      <c r="P238" s="33"/>
      <c r="Q238" s="33"/>
      <c r="R238" s="33"/>
      <c r="S238" s="33"/>
      <c r="T238" s="33"/>
      <c r="U238" s="33"/>
      <c r="V238" s="33"/>
      <c r="W238" s="33"/>
      <c r="X238" s="33"/>
      <c r="Y238" s="33"/>
      <c r="Z238" s="33"/>
      <c r="AA238" s="33"/>
      <c r="AB238" s="33"/>
      <c r="AC238" s="33"/>
      <c r="AD238" s="33"/>
      <c r="AE238" s="33"/>
      <c r="AF238" s="33"/>
    </row>
    <row r="239" ht="15.75" customHeight="1">
      <c r="A239" s="63" t="s">
        <v>1719</v>
      </c>
      <c r="B239" s="94">
        <v>-777.0</v>
      </c>
      <c r="C239" s="37" t="s">
        <v>417</v>
      </c>
      <c r="D239" s="37" t="s">
        <v>418</v>
      </c>
      <c r="E239" s="37" t="s">
        <v>1815</v>
      </c>
      <c r="F239" s="19"/>
      <c r="G239" s="19"/>
      <c r="H239" s="19"/>
      <c r="I239" s="19"/>
      <c r="J239" s="19"/>
      <c r="K239" s="19"/>
      <c r="L239" s="19"/>
      <c r="M239" s="19"/>
      <c r="N239" s="19"/>
      <c r="O239" s="19"/>
      <c r="P239" s="19"/>
      <c r="Q239" s="19"/>
      <c r="R239" s="19"/>
      <c r="S239" s="19"/>
      <c r="T239" s="19"/>
      <c r="U239" s="19"/>
      <c r="V239" s="19"/>
      <c r="W239" s="19"/>
      <c r="X239" s="19"/>
      <c r="Y239" s="19"/>
      <c r="Z239" s="19"/>
      <c r="AA239" s="19"/>
      <c r="AB239" s="19"/>
      <c r="AC239" s="19"/>
      <c r="AD239" s="19"/>
      <c r="AE239" s="33"/>
      <c r="AF239" s="33"/>
    </row>
    <row r="240" ht="15.75" customHeight="1">
      <c r="A240" s="100"/>
      <c r="B240" s="102"/>
      <c r="C240" s="100"/>
      <c r="D240" s="100"/>
      <c r="E240" s="165"/>
      <c r="F240" s="33"/>
      <c r="G240" s="33"/>
      <c r="H240" s="33"/>
      <c r="I240" s="33"/>
      <c r="J240" s="33"/>
      <c r="K240" s="33"/>
      <c r="L240" s="33"/>
      <c r="M240" s="33"/>
      <c r="N240" s="33"/>
      <c r="O240" s="33"/>
      <c r="P240" s="33"/>
      <c r="Q240" s="33"/>
      <c r="R240" s="33"/>
      <c r="S240" s="33"/>
      <c r="T240" s="33"/>
      <c r="U240" s="33"/>
      <c r="V240" s="33"/>
      <c r="W240" s="33"/>
      <c r="X240" s="33"/>
      <c r="Y240" s="33"/>
      <c r="Z240" s="33"/>
      <c r="AA240" s="33"/>
      <c r="AB240" s="33"/>
      <c r="AC240" s="33"/>
      <c r="AD240" s="33"/>
      <c r="AE240" s="33"/>
      <c r="AF240" s="33"/>
    </row>
    <row r="241" ht="15.75" customHeight="1">
      <c r="A241" s="110" t="s">
        <v>1825</v>
      </c>
      <c r="B241" s="89">
        <v>0.0</v>
      </c>
      <c r="C241" s="52" t="s">
        <v>1826</v>
      </c>
      <c r="D241" s="223" t="s">
        <v>1827</v>
      </c>
      <c r="E241" s="223" t="s">
        <v>1829</v>
      </c>
      <c r="F241" s="33"/>
      <c r="G241" s="52">
        <v>0.0</v>
      </c>
      <c r="H241" s="33"/>
      <c r="I241" s="33"/>
      <c r="J241" s="33"/>
      <c r="K241" s="33"/>
      <c r="L241" s="33"/>
      <c r="M241" s="33"/>
      <c r="N241" s="33"/>
      <c r="O241" s="33"/>
      <c r="P241" s="33"/>
      <c r="Q241" s="33"/>
      <c r="R241" s="33"/>
      <c r="S241" s="33"/>
      <c r="T241" s="33"/>
      <c r="U241" s="33"/>
      <c r="V241" s="33"/>
      <c r="W241" s="33"/>
      <c r="X241" s="33"/>
      <c r="Y241" s="33"/>
      <c r="Z241" s="33"/>
      <c r="AA241" s="33"/>
      <c r="AB241" s="33"/>
      <c r="AC241" s="33"/>
      <c r="AD241" s="33"/>
      <c r="AE241" s="33"/>
      <c r="AF241" s="33"/>
    </row>
    <row r="242" ht="15.75" customHeight="1">
      <c r="A242" s="110" t="s">
        <v>1825</v>
      </c>
      <c r="B242" s="111">
        <v>1.0</v>
      </c>
      <c r="C242" s="116" t="s">
        <v>1833</v>
      </c>
      <c r="D242" s="116" t="s">
        <v>1834</v>
      </c>
      <c r="E242" s="168" t="s">
        <v>1836</v>
      </c>
      <c r="F242" s="44"/>
      <c r="G242" s="44"/>
      <c r="H242" s="44"/>
      <c r="I242" s="44"/>
      <c r="J242" s="44"/>
      <c r="K242" s="44"/>
      <c r="L242" s="44"/>
      <c r="M242" s="44"/>
      <c r="N242" s="44"/>
      <c r="O242" s="44"/>
      <c r="P242" s="44"/>
      <c r="Q242" s="44"/>
      <c r="R242" s="44"/>
      <c r="S242" s="44"/>
      <c r="T242" s="44"/>
      <c r="U242" s="44"/>
      <c r="V242" s="44"/>
      <c r="W242" s="44"/>
      <c r="X242" s="44"/>
      <c r="Y242" s="44"/>
      <c r="Z242" s="44"/>
      <c r="AA242" s="44"/>
      <c r="AB242" s="44"/>
      <c r="AC242" s="44"/>
      <c r="AD242" s="44"/>
      <c r="AE242" s="33"/>
      <c r="AF242" s="33"/>
    </row>
    <row r="243" ht="15.75" customHeight="1">
      <c r="A243" s="75" t="s">
        <v>1825</v>
      </c>
      <c r="B243" s="76">
        <v>2.0</v>
      </c>
      <c r="C243" s="31" t="s">
        <v>1842</v>
      </c>
      <c r="D243" s="31" t="s">
        <v>1845</v>
      </c>
      <c r="E243" s="31" t="s">
        <v>1847</v>
      </c>
      <c r="F243" s="33"/>
      <c r="G243" s="33"/>
      <c r="H243" s="33"/>
      <c r="I243" s="33"/>
      <c r="J243" s="33"/>
      <c r="K243" s="33"/>
      <c r="L243" s="33"/>
      <c r="M243" s="33"/>
      <c r="N243" s="33"/>
      <c r="O243" s="33"/>
      <c r="P243" s="33"/>
      <c r="Q243" s="33"/>
      <c r="R243" s="33"/>
      <c r="S243" s="33"/>
      <c r="T243" s="33"/>
      <c r="U243" s="33"/>
      <c r="V243" s="33"/>
      <c r="W243" s="33"/>
      <c r="X243" s="33"/>
      <c r="Y243" s="33"/>
      <c r="Z243" s="33"/>
      <c r="AA243" s="33"/>
      <c r="AB243" s="33"/>
      <c r="AC243" s="33"/>
      <c r="AD243" s="33"/>
      <c r="AE243" s="33"/>
      <c r="AF243" s="33"/>
    </row>
    <row r="244" ht="15.75" customHeight="1">
      <c r="A244" s="75" t="s">
        <v>1825</v>
      </c>
      <c r="B244" s="76">
        <v>3.0</v>
      </c>
      <c r="C244" s="31" t="s">
        <v>1853</v>
      </c>
      <c r="D244" s="31" t="s">
        <v>1854</v>
      </c>
      <c r="E244" s="31" t="s">
        <v>1855</v>
      </c>
      <c r="F244" s="33"/>
      <c r="G244" s="33"/>
      <c r="H244" s="33"/>
      <c r="I244" s="33"/>
      <c r="J244" s="33"/>
      <c r="K244" s="33"/>
      <c r="L244" s="33"/>
      <c r="M244" s="33"/>
      <c r="N244" s="33"/>
      <c r="O244" s="33"/>
      <c r="P244" s="33"/>
      <c r="Q244" s="33"/>
      <c r="R244" s="33"/>
      <c r="S244" s="33"/>
      <c r="T244" s="33"/>
      <c r="U244" s="33"/>
      <c r="V244" s="33"/>
      <c r="W244" s="33"/>
      <c r="X244" s="33"/>
      <c r="Y244" s="33"/>
      <c r="Z244" s="33"/>
      <c r="AA244" s="33"/>
      <c r="AB244" s="33"/>
      <c r="AC244" s="33"/>
      <c r="AD244" s="33"/>
      <c r="AE244" s="33"/>
      <c r="AF244" s="33"/>
    </row>
    <row r="245" ht="15.75" customHeight="1">
      <c r="A245" s="75" t="s">
        <v>1825</v>
      </c>
      <c r="B245" s="76">
        <v>4.0</v>
      </c>
      <c r="C245" s="37" t="s">
        <v>1858</v>
      </c>
      <c r="D245" s="37" t="s">
        <v>1860</v>
      </c>
      <c r="E245" s="37" t="s">
        <v>1862</v>
      </c>
      <c r="F245" s="33"/>
      <c r="G245" s="33"/>
      <c r="H245" s="33"/>
      <c r="I245" s="33"/>
      <c r="J245" s="33"/>
      <c r="K245" s="33"/>
      <c r="L245" s="33"/>
      <c r="M245" s="33"/>
      <c r="N245" s="33"/>
      <c r="O245" s="33"/>
      <c r="P245" s="33"/>
      <c r="Q245" s="33"/>
      <c r="R245" s="33"/>
      <c r="S245" s="33"/>
      <c r="T245" s="33"/>
      <c r="U245" s="33"/>
      <c r="V245" s="33"/>
      <c r="W245" s="33"/>
      <c r="X245" s="33"/>
      <c r="Y245" s="33"/>
      <c r="Z245" s="33"/>
      <c r="AA245" s="33"/>
      <c r="AB245" s="33"/>
      <c r="AC245" s="33"/>
      <c r="AD245" s="33"/>
      <c r="AE245" s="33"/>
      <c r="AF245" s="33"/>
    </row>
    <row r="246" ht="15.75" customHeight="1">
      <c r="A246" s="75" t="s">
        <v>1825</v>
      </c>
      <c r="B246" s="76">
        <v>5.0</v>
      </c>
      <c r="C246" s="224" t="s">
        <v>1868</v>
      </c>
      <c r="D246" s="115" t="s">
        <v>1869</v>
      </c>
      <c r="E246" s="115" t="s">
        <v>1871</v>
      </c>
      <c r="F246" s="33"/>
      <c r="G246" s="33"/>
      <c r="H246" s="33"/>
      <c r="I246" s="33"/>
      <c r="J246" s="33"/>
      <c r="K246" s="33"/>
      <c r="L246" s="33"/>
      <c r="M246" s="33"/>
      <c r="N246" s="33"/>
      <c r="O246" s="33"/>
      <c r="P246" s="33"/>
      <c r="Q246" s="33"/>
      <c r="R246" s="33"/>
      <c r="S246" s="33"/>
      <c r="T246" s="33"/>
      <c r="U246" s="33"/>
      <c r="V246" s="33"/>
      <c r="W246" s="33"/>
      <c r="X246" s="33"/>
      <c r="Y246" s="33"/>
      <c r="Z246" s="33"/>
      <c r="AA246" s="33"/>
      <c r="AB246" s="33"/>
      <c r="AC246" s="33"/>
      <c r="AD246" s="33"/>
      <c r="AE246" s="33"/>
      <c r="AF246" s="33"/>
    </row>
    <row r="247" ht="15.75" customHeight="1">
      <c r="A247" s="75" t="s">
        <v>1825</v>
      </c>
      <c r="B247" s="76">
        <v>6.0</v>
      </c>
      <c r="C247" s="225" t="s">
        <v>1876</v>
      </c>
      <c r="D247" s="100" t="s">
        <v>1878</v>
      </c>
      <c r="E247" s="165" t="s">
        <v>1878</v>
      </c>
      <c r="F247" s="33"/>
      <c r="G247" s="33"/>
      <c r="H247" s="33"/>
      <c r="I247" s="33"/>
      <c r="J247" s="33"/>
      <c r="K247" s="33"/>
      <c r="L247" s="33"/>
      <c r="M247" s="33"/>
      <c r="N247" s="33"/>
      <c r="O247" s="33"/>
      <c r="P247" s="33"/>
      <c r="Q247" s="33"/>
      <c r="R247" s="33"/>
      <c r="S247" s="33"/>
      <c r="T247" s="33"/>
      <c r="U247" s="33"/>
      <c r="V247" s="33"/>
      <c r="W247" s="33"/>
      <c r="X247" s="33"/>
      <c r="Y247" s="33"/>
      <c r="Z247" s="33"/>
      <c r="AA247" s="33"/>
      <c r="AB247" s="33"/>
      <c r="AC247" s="33"/>
      <c r="AD247" s="33"/>
      <c r="AE247" s="33"/>
      <c r="AF247" s="33"/>
    </row>
    <row r="248" ht="15.75" customHeight="1">
      <c r="A248" s="63" t="s">
        <v>1825</v>
      </c>
      <c r="B248" s="94">
        <v>-777.0</v>
      </c>
      <c r="C248" s="37" t="s">
        <v>1887</v>
      </c>
      <c r="D248" s="37" t="s">
        <v>418</v>
      </c>
      <c r="E248" s="37" t="s">
        <v>1888</v>
      </c>
      <c r="F248" s="19"/>
      <c r="G248" s="19"/>
      <c r="H248" s="19"/>
      <c r="I248" s="19"/>
      <c r="J248" s="19"/>
      <c r="K248" s="19"/>
      <c r="L248" s="19"/>
      <c r="M248" s="19"/>
      <c r="N248" s="19"/>
      <c r="O248" s="19"/>
      <c r="P248" s="19"/>
      <c r="Q248" s="19"/>
      <c r="R248" s="19"/>
      <c r="S248" s="19"/>
      <c r="T248" s="19"/>
      <c r="U248" s="19"/>
      <c r="V248" s="19"/>
      <c r="W248" s="19"/>
      <c r="X248" s="19"/>
      <c r="Y248" s="19"/>
      <c r="Z248" s="19"/>
      <c r="AA248" s="19"/>
      <c r="AB248" s="19"/>
      <c r="AC248" s="19"/>
      <c r="AD248" s="19"/>
      <c r="AE248" s="33"/>
      <c r="AF248" s="33"/>
    </row>
    <row r="249" ht="15.75" customHeight="1">
      <c r="A249" s="100"/>
      <c r="B249" s="102"/>
      <c r="C249" s="100"/>
      <c r="D249" s="100"/>
      <c r="E249" s="165"/>
      <c r="F249" s="33"/>
      <c r="G249" s="33"/>
      <c r="H249" s="33"/>
      <c r="I249" s="33"/>
      <c r="J249" s="33"/>
      <c r="K249" s="33"/>
      <c r="L249" s="33"/>
      <c r="M249" s="33"/>
      <c r="N249" s="33"/>
      <c r="O249" s="33"/>
      <c r="P249" s="33"/>
      <c r="Q249" s="33"/>
      <c r="R249" s="33"/>
      <c r="S249" s="33"/>
      <c r="T249" s="33"/>
      <c r="U249" s="33"/>
      <c r="V249" s="33"/>
      <c r="W249" s="33"/>
      <c r="X249" s="33"/>
      <c r="Y249" s="33"/>
      <c r="Z249" s="33"/>
      <c r="AA249" s="33"/>
      <c r="AB249" s="33"/>
      <c r="AC249" s="33"/>
      <c r="AD249" s="33"/>
      <c r="AE249" s="33"/>
      <c r="AF249" s="33"/>
    </row>
    <row r="250" ht="15.75" customHeight="1">
      <c r="A250" s="110" t="s">
        <v>1902</v>
      </c>
      <c r="B250" s="111">
        <v>1.0</v>
      </c>
      <c r="C250" s="116" t="s">
        <v>1903</v>
      </c>
      <c r="D250" s="116" t="s">
        <v>1904</v>
      </c>
      <c r="E250" s="168" t="s">
        <v>1906</v>
      </c>
      <c r="F250" s="201"/>
      <c r="G250" s="201"/>
      <c r="H250" s="44"/>
      <c r="I250" s="44"/>
      <c r="J250" s="44"/>
      <c r="K250" s="44"/>
      <c r="L250" s="44"/>
      <c r="M250" s="44"/>
      <c r="N250" s="44"/>
      <c r="O250" s="44"/>
      <c r="P250" s="44"/>
      <c r="Q250" s="44"/>
      <c r="R250" s="44"/>
      <c r="S250" s="44"/>
      <c r="T250" s="44"/>
      <c r="U250" s="44"/>
      <c r="V250" s="44"/>
      <c r="W250" s="44"/>
      <c r="X250" s="44"/>
      <c r="Y250" s="44"/>
      <c r="Z250" s="44"/>
      <c r="AA250" s="44"/>
      <c r="AB250" s="44"/>
      <c r="AC250" s="44"/>
      <c r="AD250" s="44"/>
      <c r="AE250" s="44"/>
      <c r="AF250" s="44"/>
    </row>
    <row r="251" ht="15.75" customHeight="1">
      <c r="A251" s="75" t="s">
        <v>1902</v>
      </c>
      <c r="B251" s="76">
        <v>2.0</v>
      </c>
      <c r="C251" s="31" t="s">
        <v>1842</v>
      </c>
      <c r="D251" s="31" t="s">
        <v>1845</v>
      </c>
      <c r="E251" s="78" t="s">
        <v>1915</v>
      </c>
      <c r="F251" s="162"/>
      <c r="G251" s="29"/>
      <c r="H251" s="33"/>
      <c r="I251" s="33"/>
      <c r="J251" s="33"/>
      <c r="K251" s="33"/>
      <c r="L251" s="33"/>
      <c r="M251" s="33"/>
      <c r="N251" s="33"/>
      <c r="O251" s="33"/>
      <c r="P251" s="33"/>
      <c r="Q251" s="33"/>
      <c r="R251" s="33"/>
      <c r="S251" s="33"/>
      <c r="T251" s="33"/>
      <c r="U251" s="33"/>
      <c r="V251" s="33"/>
      <c r="W251" s="33"/>
      <c r="X251" s="33"/>
      <c r="Y251" s="33"/>
      <c r="Z251" s="33"/>
      <c r="AA251" s="33"/>
      <c r="AB251" s="33"/>
      <c r="AC251" s="33"/>
      <c r="AD251" s="33"/>
      <c r="AE251" s="33"/>
      <c r="AF251" s="33"/>
    </row>
    <row r="252" ht="15.75" customHeight="1">
      <c r="A252" s="75" t="s">
        <v>1902</v>
      </c>
      <c r="B252" s="76">
        <v>3.0</v>
      </c>
      <c r="C252" s="31" t="s">
        <v>1853</v>
      </c>
      <c r="D252" s="31" t="s">
        <v>1854</v>
      </c>
      <c r="E252" s="78" t="s">
        <v>1920</v>
      </c>
      <c r="F252" s="29"/>
      <c r="G252" s="29"/>
      <c r="H252" s="33"/>
      <c r="I252" s="33"/>
      <c r="J252" s="33"/>
      <c r="K252" s="33"/>
      <c r="L252" s="33"/>
      <c r="M252" s="33"/>
      <c r="N252" s="33"/>
      <c r="O252" s="33"/>
      <c r="P252" s="33"/>
      <c r="Q252" s="33"/>
      <c r="R252" s="33"/>
      <c r="S252" s="33"/>
      <c r="T252" s="33"/>
      <c r="U252" s="33"/>
      <c r="V252" s="33"/>
      <c r="W252" s="33"/>
      <c r="X252" s="33"/>
      <c r="Y252" s="33"/>
      <c r="Z252" s="33"/>
      <c r="AA252" s="33"/>
      <c r="AB252" s="33"/>
      <c r="AC252" s="33"/>
      <c r="AD252" s="33"/>
      <c r="AE252" s="33"/>
      <c r="AF252" s="33"/>
    </row>
    <row r="253" ht="15.75" customHeight="1">
      <c r="A253" s="63" t="s">
        <v>1902</v>
      </c>
      <c r="B253" s="94">
        <v>-777.0</v>
      </c>
      <c r="C253" s="37" t="s">
        <v>1887</v>
      </c>
      <c r="D253" s="37" t="s">
        <v>418</v>
      </c>
      <c r="E253" s="71" t="s">
        <v>1888</v>
      </c>
      <c r="F253" s="19"/>
      <c r="G253" s="19"/>
      <c r="H253" s="19"/>
      <c r="I253" s="19"/>
      <c r="J253" s="19"/>
      <c r="K253" s="19"/>
      <c r="L253" s="19"/>
      <c r="M253" s="19"/>
      <c r="N253" s="19"/>
      <c r="O253" s="19"/>
      <c r="P253" s="19"/>
      <c r="Q253" s="19"/>
      <c r="R253" s="19"/>
      <c r="S253" s="19"/>
      <c r="T253" s="19"/>
      <c r="U253" s="19"/>
      <c r="V253" s="19"/>
      <c r="W253" s="19"/>
      <c r="X253" s="19"/>
      <c r="Y253" s="19"/>
      <c r="Z253" s="19"/>
      <c r="AA253" s="19"/>
      <c r="AB253" s="19"/>
      <c r="AC253" s="19"/>
      <c r="AD253" s="19"/>
      <c r="AE253" s="19"/>
      <c r="AF253" s="19"/>
    </row>
    <row r="254" ht="15.75" customHeight="1">
      <c r="A254" s="100"/>
      <c r="B254" s="102"/>
      <c r="C254" s="100"/>
      <c r="D254" s="100"/>
      <c r="E254" s="100"/>
      <c r="F254" s="33"/>
      <c r="G254" s="33"/>
      <c r="H254" s="33"/>
      <c r="I254" s="33"/>
      <c r="J254" s="33"/>
      <c r="K254" s="33"/>
      <c r="L254" s="33"/>
      <c r="M254" s="33"/>
      <c r="N254" s="33"/>
      <c r="O254" s="33"/>
      <c r="P254" s="33"/>
      <c r="Q254" s="33"/>
      <c r="R254" s="33"/>
      <c r="S254" s="33"/>
      <c r="T254" s="33"/>
      <c r="U254" s="33"/>
      <c r="V254" s="33"/>
      <c r="W254" s="33"/>
      <c r="X254" s="33"/>
      <c r="Y254" s="33"/>
      <c r="Z254" s="33"/>
      <c r="AA254" s="33"/>
      <c r="AB254" s="33"/>
      <c r="AC254" s="33"/>
      <c r="AD254" s="33"/>
      <c r="AE254" s="33"/>
      <c r="AF254" s="33"/>
    </row>
    <row r="255" ht="15.75" customHeight="1">
      <c r="A255" s="110" t="s">
        <v>1935</v>
      </c>
      <c r="B255" s="111">
        <v>0.0</v>
      </c>
      <c r="C255" s="116" t="s">
        <v>199</v>
      </c>
      <c r="D255" s="116" t="s">
        <v>201</v>
      </c>
      <c r="E255" s="116" t="s">
        <v>203</v>
      </c>
      <c r="F255" s="44"/>
      <c r="G255" s="44"/>
      <c r="H255" s="44"/>
      <c r="I255" s="44"/>
      <c r="J255" s="44"/>
      <c r="K255" s="44"/>
      <c r="L255" s="44"/>
      <c r="M255" s="44"/>
      <c r="N255" s="44"/>
      <c r="O255" s="44"/>
      <c r="P255" s="44"/>
      <c r="Q255" s="44"/>
      <c r="R255" s="44"/>
      <c r="S255" s="44"/>
      <c r="T255" s="44"/>
      <c r="U255" s="44"/>
      <c r="V255" s="44"/>
      <c r="W255" s="44"/>
      <c r="X255" s="44"/>
      <c r="Y255" s="44"/>
      <c r="Z255" s="44"/>
      <c r="AA255" s="44"/>
      <c r="AB255" s="44"/>
      <c r="AC255" s="44"/>
      <c r="AD255" s="44"/>
      <c r="AE255" s="33"/>
      <c r="AF255" s="33"/>
    </row>
    <row r="256" ht="15.75" customHeight="1">
      <c r="A256" s="75" t="s">
        <v>1935</v>
      </c>
      <c r="B256" s="76">
        <v>1.0</v>
      </c>
      <c r="C256" s="31" t="s">
        <v>1945</v>
      </c>
      <c r="D256" s="31" t="s">
        <v>1946</v>
      </c>
      <c r="E256" s="31" t="s">
        <v>1947</v>
      </c>
      <c r="F256" s="33"/>
      <c r="G256" s="33"/>
      <c r="H256" s="33"/>
      <c r="I256" s="33"/>
      <c r="J256" s="33"/>
      <c r="K256" s="33"/>
      <c r="L256" s="33"/>
      <c r="M256" s="33"/>
      <c r="N256" s="33"/>
      <c r="O256" s="33"/>
      <c r="P256" s="33"/>
      <c r="Q256" s="33"/>
      <c r="R256" s="33"/>
      <c r="S256" s="33"/>
      <c r="T256" s="33"/>
      <c r="U256" s="33"/>
      <c r="V256" s="33"/>
      <c r="W256" s="33"/>
      <c r="X256" s="33"/>
      <c r="Y256" s="33"/>
      <c r="Z256" s="33"/>
      <c r="AA256" s="33"/>
      <c r="AB256" s="33"/>
      <c r="AC256" s="33"/>
      <c r="AD256" s="33"/>
      <c r="AE256" s="33"/>
      <c r="AF256" s="33"/>
    </row>
    <row r="257" ht="15.75" customHeight="1">
      <c r="A257" s="75" t="s">
        <v>1935</v>
      </c>
      <c r="B257" s="76">
        <v>2.0</v>
      </c>
      <c r="C257" s="31" t="s">
        <v>1952</v>
      </c>
      <c r="D257" s="31" t="s">
        <v>1954</v>
      </c>
      <c r="E257" s="78" t="s">
        <v>1956</v>
      </c>
      <c r="F257" s="33"/>
      <c r="G257" s="33"/>
      <c r="H257" s="33"/>
      <c r="I257" s="33"/>
      <c r="J257" s="33"/>
      <c r="K257" s="33"/>
      <c r="L257" s="33"/>
      <c r="M257" s="33"/>
      <c r="N257" s="33"/>
      <c r="O257" s="33"/>
      <c r="P257" s="33"/>
      <c r="Q257" s="33"/>
      <c r="R257" s="33"/>
      <c r="S257" s="33"/>
      <c r="T257" s="33"/>
      <c r="U257" s="33"/>
      <c r="V257" s="33"/>
      <c r="W257" s="33"/>
      <c r="X257" s="33"/>
      <c r="Y257" s="33"/>
      <c r="Z257" s="33"/>
      <c r="AA257" s="33"/>
      <c r="AB257" s="33"/>
      <c r="AC257" s="33"/>
      <c r="AD257" s="33"/>
      <c r="AE257" s="33"/>
      <c r="AF257" s="33"/>
    </row>
    <row r="258" ht="15.75" customHeight="1">
      <c r="A258" s="75" t="s">
        <v>1935</v>
      </c>
      <c r="B258" s="76">
        <v>3.0</v>
      </c>
      <c r="C258" s="31" t="s">
        <v>1962</v>
      </c>
      <c r="D258" s="31" t="s">
        <v>1963</v>
      </c>
      <c r="E258" s="31" t="s">
        <v>1964</v>
      </c>
      <c r="F258" s="33"/>
      <c r="G258" s="33"/>
      <c r="H258" s="33"/>
      <c r="I258" s="33"/>
      <c r="J258" s="33"/>
      <c r="K258" s="33"/>
      <c r="L258" s="33"/>
      <c r="M258" s="33"/>
      <c r="N258" s="33"/>
      <c r="O258" s="33"/>
      <c r="P258" s="33"/>
      <c r="Q258" s="33"/>
      <c r="R258" s="33"/>
      <c r="S258" s="33"/>
      <c r="T258" s="33"/>
      <c r="U258" s="33"/>
      <c r="V258" s="33"/>
      <c r="W258" s="33"/>
      <c r="X258" s="33"/>
      <c r="Y258" s="33"/>
      <c r="Z258" s="33"/>
      <c r="AA258" s="33"/>
      <c r="AB258" s="33"/>
      <c r="AC258" s="33"/>
      <c r="AD258" s="33"/>
      <c r="AE258" s="33"/>
      <c r="AF258" s="33"/>
    </row>
    <row r="259" ht="15.75" customHeight="1">
      <c r="A259" s="75" t="s">
        <v>1935</v>
      </c>
      <c r="B259" s="76">
        <v>4.0</v>
      </c>
      <c r="C259" s="31" t="s">
        <v>1966</v>
      </c>
      <c r="D259" s="31" t="s">
        <v>1968</v>
      </c>
      <c r="E259" s="78" t="s">
        <v>1969</v>
      </c>
      <c r="F259" s="33"/>
      <c r="G259" s="33"/>
      <c r="H259" s="33"/>
      <c r="I259" s="33"/>
      <c r="J259" s="33"/>
      <c r="K259" s="33"/>
      <c r="L259" s="33"/>
      <c r="M259" s="33"/>
      <c r="N259" s="33"/>
      <c r="O259" s="33"/>
      <c r="P259" s="33"/>
      <c r="Q259" s="33"/>
      <c r="R259" s="33"/>
      <c r="S259" s="33"/>
      <c r="T259" s="33"/>
      <c r="U259" s="33"/>
      <c r="V259" s="33"/>
      <c r="W259" s="33"/>
      <c r="X259" s="33"/>
      <c r="Y259" s="33"/>
      <c r="Z259" s="33"/>
      <c r="AA259" s="33"/>
      <c r="AB259" s="33"/>
      <c r="AC259" s="33"/>
      <c r="AD259" s="33"/>
      <c r="AE259" s="33"/>
      <c r="AF259" s="33"/>
    </row>
    <row r="260" ht="15.75" customHeight="1">
      <c r="A260" s="75" t="s">
        <v>1935</v>
      </c>
      <c r="B260" s="76">
        <v>5.0</v>
      </c>
      <c r="C260" s="31" t="s">
        <v>1972</v>
      </c>
      <c r="D260" s="31" t="s">
        <v>1973</v>
      </c>
      <c r="E260" s="31" t="s">
        <v>1974</v>
      </c>
      <c r="F260" s="33"/>
      <c r="G260" s="33"/>
      <c r="H260" s="33"/>
      <c r="I260" s="33"/>
      <c r="J260" s="33"/>
      <c r="K260" s="33"/>
      <c r="L260" s="33"/>
      <c r="M260" s="33"/>
      <c r="N260" s="33"/>
      <c r="O260" s="33"/>
      <c r="P260" s="33"/>
      <c r="Q260" s="33"/>
      <c r="R260" s="33"/>
      <c r="S260" s="33"/>
      <c r="T260" s="33"/>
      <c r="U260" s="33"/>
      <c r="V260" s="33"/>
      <c r="W260" s="33"/>
      <c r="X260" s="33"/>
      <c r="Y260" s="33"/>
      <c r="Z260" s="33"/>
      <c r="AA260" s="33"/>
      <c r="AB260" s="33"/>
      <c r="AC260" s="33"/>
      <c r="AD260" s="33"/>
      <c r="AE260" s="33"/>
      <c r="AF260" s="33"/>
    </row>
    <row r="261" ht="15.75" customHeight="1">
      <c r="A261" s="75" t="s">
        <v>1935</v>
      </c>
      <c r="B261" s="76">
        <v>6.0</v>
      </c>
      <c r="C261" s="31" t="s">
        <v>1978</v>
      </c>
      <c r="D261" s="31" t="s">
        <v>1979</v>
      </c>
      <c r="E261" s="31" t="s">
        <v>1980</v>
      </c>
      <c r="F261" s="33"/>
      <c r="G261" s="33"/>
      <c r="H261" s="33"/>
      <c r="I261" s="33"/>
      <c r="J261" s="33"/>
      <c r="K261" s="33"/>
      <c r="L261" s="33"/>
      <c r="M261" s="33"/>
      <c r="N261" s="33"/>
      <c r="O261" s="33"/>
      <c r="P261" s="33"/>
      <c r="Q261" s="33"/>
      <c r="R261" s="33"/>
      <c r="S261" s="33"/>
      <c r="T261" s="33"/>
      <c r="U261" s="33"/>
      <c r="V261" s="33"/>
      <c r="W261" s="33"/>
      <c r="X261" s="33"/>
      <c r="Y261" s="33"/>
      <c r="Z261" s="33"/>
      <c r="AA261" s="33"/>
      <c r="AB261" s="33"/>
      <c r="AC261" s="33"/>
      <c r="AD261" s="33"/>
      <c r="AE261" s="33"/>
      <c r="AF261" s="33"/>
    </row>
    <row r="262" ht="15.75" customHeight="1">
      <c r="A262" s="75" t="s">
        <v>1935</v>
      </c>
      <c r="B262" s="76">
        <v>7.0</v>
      </c>
      <c r="C262" s="31" t="s">
        <v>1985</v>
      </c>
      <c r="D262" s="31" t="s">
        <v>1986</v>
      </c>
      <c r="E262" s="31" t="s">
        <v>1987</v>
      </c>
      <c r="F262" s="33"/>
      <c r="G262" s="33"/>
      <c r="H262" s="33"/>
      <c r="I262" s="33"/>
      <c r="J262" s="33"/>
      <c r="K262" s="33"/>
      <c r="L262" s="33"/>
      <c r="M262" s="33"/>
      <c r="N262" s="33"/>
      <c r="O262" s="33"/>
      <c r="P262" s="33"/>
      <c r="Q262" s="33"/>
      <c r="R262" s="33"/>
      <c r="S262" s="33"/>
      <c r="T262" s="33"/>
      <c r="U262" s="33"/>
      <c r="V262" s="33"/>
      <c r="W262" s="33"/>
      <c r="X262" s="33"/>
      <c r="Y262" s="33"/>
      <c r="Z262" s="33"/>
      <c r="AA262" s="33"/>
      <c r="AB262" s="33"/>
      <c r="AC262" s="33"/>
      <c r="AD262" s="33"/>
      <c r="AE262" s="33"/>
      <c r="AF262" s="33"/>
    </row>
    <row r="263" ht="15.75" customHeight="1">
      <c r="A263" s="75" t="s">
        <v>1935</v>
      </c>
      <c r="B263" s="76">
        <v>8.0</v>
      </c>
      <c r="C263" s="31" t="s">
        <v>1996</v>
      </c>
      <c r="D263" s="31" t="s">
        <v>1997</v>
      </c>
      <c r="E263" s="78" t="s">
        <v>1998</v>
      </c>
      <c r="F263" s="33"/>
      <c r="G263" s="33"/>
      <c r="H263" s="33"/>
      <c r="I263" s="33"/>
      <c r="J263" s="33"/>
      <c r="K263" s="33"/>
      <c r="L263" s="33"/>
      <c r="M263" s="33"/>
      <c r="N263" s="33"/>
      <c r="O263" s="33"/>
      <c r="P263" s="33"/>
      <c r="Q263" s="33"/>
      <c r="R263" s="33"/>
      <c r="S263" s="33"/>
      <c r="T263" s="33"/>
      <c r="U263" s="33"/>
      <c r="V263" s="33"/>
      <c r="W263" s="33"/>
      <c r="X263" s="33"/>
      <c r="Y263" s="33"/>
      <c r="Z263" s="33"/>
      <c r="AA263" s="33"/>
      <c r="AB263" s="33"/>
      <c r="AC263" s="33"/>
      <c r="AD263" s="33"/>
      <c r="AE263" s="33"/>
      <c r="AF263" s="33"/>
    </row>
    <row r="264" ht="15.75" customHeight="1">
      <c r="A264" s="75" t="s">
        <v>1935</v>
      </c>
      <c r="B264" s="76">
        <v>9.0</v>
      </c>
      <c r="C264" s="31" t="s">
        <v>2003</v>
      </c>
      <c r="D264" s="31" t="s">
        <v>2005</v>
      </c>
      <c r="E264" s="31" t="s">
        <v>2007</v>
      </c>
      <c r="F264" s="33"/>
      <c r="G264" s="33"/>
      <c r="H264" s="33"/>
      <c r="I264" s="33"/>
      <c r="J264" s="33"/>
      <c r="K264" s="33"/>
      <c r="L264" s="33"/>
      <c r="M264" s="33"/>
      <c r="N264" s="33"/>
      <c r="O264" s="33"/>
      <c r="P264" s="33"/>
      <c r="Q264" s="33"/>
      <c r="R264" s="33"/>
      <c r="S264" s="33"/>
      <c r="T264" s="33"/>
      <c r="U264" s="33"/>
      <c r="V264" s="33"/>
      <c r="W264" s="33"/>
      <c r="X264" s="33"/>
      <c r="Y264" s="33"/>
      <c r="Z264" s="33"/>
      <c r="AA264" s="33"/>
      <c r="AB264" s="33"/>
      <c r="AC264" s="33"/>
      <c r="AD264" s="33"/>
      <c r="AE264" s="33"/>
      <c r="AF264" s="33"/>
    </row>
    <row r="265" ht="15.75" customHeight="1">
      <c r="A265" s="75" t="s">
        <v>1935</v>
      </c>
      <c r="B265" s="76">
        <v>10.0</v>
      </c>
      <c r="C265" s="31" t="s">
        <v>2012</v>
      </c>
      <c r="D265" s="31" t="s">
        <v>2013</v>
      </c>
      <c r="E265" s="31" t="s">
        <v>2014</v>
      </c>
      <c r="F265" s="33"/>
      <c r="G265" s="33"/>
      <c r="H265" s="33"/>
      <c r="I265" s="33"/>
      <c r="J265" s="33"/>
      <c r="K265" s="33"/>
      <c r="L265" s="33"/>
      <c r="M265" s="33"/>
      <c r="N265" s="33"/>
      <c r="O265" s="33"/>
      <c r="P265" s="33"/>
      <c r="Q265" s="33"/>
      <c r="R265" s="33"/>
      <c r="S265" s="33"/>
      <c r="T265" s="33"/>
      <c r="U265" s="33"/>
      <c r="V265" s="33"/>
      <c r="W265" s="33"/>
      <c r="X265" s="33"/>
      <c r="Y265" s="33"/>
      <c r="Z265" s="33"/>
      <c r="AA265" s="33"/>
      <c r="AB265" s="33"/>
      <c r="AC265" s="33"/>
      <c r="AD265" s="33"/>
      <c r="AE265" s="33"/>
      <c r="AF265" s="33"/>
    </row>
    <row r="266" ht="15.75" customHeight="1">
      <c r="A266" s="75" t="s">
        <v>1935</v>
      </c>
      <c r="B266" s="76">
        <v>11.0</v>
      </c>
      <c r="C266" s="31" t="s">
        <v>2019</v>
      </c>
      <c r="D266" s="31" t="s">
        <v>2020</v>
      </c>
      <c r="E266" s="78" t="s">
        <v>2022</v>
      </c>
      <c r="F266" s="33"/>
      <c r="G266" s="33"/>
      <c r="H266" s="33"/>
      <c r="I266" s="33"/>
      <c r="J266" s="33"/>
      <c r="K266" s="33"/>
      <c r="L266" s="33"/>
      <c r="M266" s="33"/>
      <c r="N266" s="33"/>
      <c r="O266" s="33"/>
      <c r="P266" s="33"/>
      <c r="Q266" s="33"/>
      <c r="R266" s="33"/>
      <c r="S266" s="33"/>
      <c r="T266" s="33"/>
      <c r="U266" s="33"/>
      <c r="V266" s="33"/>
      <c r="W266" s="33"/>
      <c r="X266" s="33"/>
      <c r="Y266" s="33"/>
      <c r="Z266" s="33"/>
      <c r="AA266" s="33"/>
      <c r="AB266" s="33"/>
      <c r="AC266" s="33"/>
      <c r="AD266" s="33"/>
      <c r="AE266" s="33"/>
      <c r="AF266" s="33"/>
    </row>
    <row r="267" ht="15.75" customHeight="1">
      <c r="A267" s="75" t="s">
        <v>1935</v>
      </c>
      <c r="B267" s="76">
        <v>12.0</v>
      </c>
      <c r="C267" s="31" t="s">
        <v>2024</v>
      </c>
      <c r="D267" s="31" t="s">
        <v>2025</v>
      </c>
      <c r="E267" s="78" t="s">
        <v>2026</v>
      </c>
      <c r="F267" s="33"/>
      <c r="G267" s="33"/>
      <c r="H267" s="33"/>
      <c r="I267" s="33"/>
      <c r="J267" s="33"/>
      <c r="K267" s="33"/>
      <c r="L267" s="33"/>
      <c r="M267" s="33"/>
      <c r="N267" s="33"/>
      <c r="O267" s="33"/>
      <c r="P267" s="33"/>
      <c r="Q267" s="33"/>
      <c r="R267" s="33"/>
      <c r="S267" s="33"/>
      <c r="T267" s="33"/>
      <c r="U267" s="33"/>
      <c r="V267" s="33"/>
      <c r="W267" s="33"/>
      <c r="X267" s="33"/>
      <c r="Y267" s="33"/>
      <c r="Z267" s="33"/>
      <c r="AA267" s="33"/>
      <c r="AB267" s="33"/>
      <c r="AC267" s="33"/>
      <c r="AD267" s="33"/>
      <c r="AE267" s="33"/>
      <c r="AF267" s="33"/>
    </row>
    <row r="268" ht="15.75" customHeight="1">
      <c r="A268" s="63" t="s">
        <v>1935</v>
      </c>
      <c r="B268" s="94">
        <v>-777.0</v>
      </c>
      <c r="C268" s="37" t="s">
        <v>417</v>
      </c>
      <c r="D268" s="37" t="s">
        <v>418</v>
      </c>
      <c r="E268" s="37" t="s">
        <v>1888</v>
      </c>
      <c r="F268" s="19"/>
      <c r="G268" s="19"/>
      <c r="H268" s="19"/>
      <c r="I268" s="19"/>
      <c r="J268" s="19"/>
      <c r="K268" s="19"/>
      <c r="L268" s="19"/>
      <c r="M268" s="19"/>
      <c r="N268" s="19"/>
      <c r="O268" s="19"/>
      <c r="P268" s="19"/>
      <c r="Q268" s="19"/>
      <c r="R268" s="19"/>
      <c r="S268" s="19"/>
      <c r="T268" s="19"/>
      <c r="U268" s="19"/>
      <c r="V268" s="19"/>
      <c r="W268" s="19"/>
      <c r="X268" s="19"/>
      <c r="Y268" s="19"/>
      <c r="Z268" s="19"/>
      <c r="AA268" s="19"/>
      <c r="AB268" s="19"/>
      <c r="AC268" s="19"/>
      <c r="AD268" s="19"/>
      <c r="AE268" s="33"/>
      <c r="AF268" s="33"/>
    </row>
    <row r="269" ht="15.75" customHeight="1">
      <c r="A269" s="63"/>
      <c r="B269" s="37"/>
      <c r="C269" s="37"/>
      <c r="D269" s="37"/>
      <c r="E269" s="37"/>
      <c r="F269" s="19"/>
      <c r="G269" s="19"/>
      <c r="H269" s="19"/>
      <c r="I269" s="19"/>
      <c r="J269" s="19"/>
      <c r="K269" s="19"/>
      <c r="L269" s="19"/>
      <c r="M269" s="19"/>
      <c r="N269" s="19"/>
      <c r="O269" s="19"/>
      <c r="P269" s="19"/>
      <c r="Q269" s="19"/>
      <c r="R269" s="19"/>
      <c r="S269" s="19"/>
      <c r="T269" s="19"/>
      <c r="U269" s="19"/>
      <c r="V269" s="19"/>
      <c r="W269" s="19"/>
      <c r="X269" s="19"/>
      <c r="Y269" s="19"/>
      <c r="Z269" s="19"/>
      <c r="AA269" s="19"/>
      <c r="AB269" s="19"/>
      <c r="AC269" s="19"/>
      <c r="AD269" s="19"/>
      <c r="AE269" s="33"/>
      <c r="AF269" s="33"/>
    </row>
    <row r="270" ht="15.75" customHeight="1">
      <c r="A270" s="75" t="s">
        <v>2034</v>
      </c>
      <c r="B270" s="76">
        <v>1.0</v>
      </c>
      <c r="C270" s="31" t="s">
        <v>2036</v>
      </c>
      <c r="D270" s="31" t="s">
        <v>2037</v>
      </c>
      <c r="E270" s="31" t="s">
        <v>2038</v>
      </c>
      <c r="F270" s="33"/>
      <c r="G270" s="33"/>
      <c r="H270" s="33"/>
      <c r="I270" s="33"/>
      <c r="J270" s="33"/>
      <c r="K270" s="33"/>
      <c r="L270" s="33"/>
      <c r="M270" s="33"/>
      <c r="N270" s="33"/>
      <c r="O270" s="33"/>
      <c r="P270" s="33"/>
      <c r="Q270" s="33"/>
      <c r="R270" s="33"/>
      <c r="S270" s="33"/>
      <c r="T270" s="33"/>
      <c r="U270" s="33"/>
      <c r="V270" s="33"/>
      <c r="W270" s="33"/>
      <c r="X270" s="33"/>
      <c r="Y270" s="33"/>
      <c r="Z270" s="33"/>
      <c r="AA270" s="33"/>
      <c r="AB270" s="33"/>
      <c r="AC270" s="33"/>
      <c r="AD270" s="33"/>
      <c r="AE270" s="33"/>
      <c r="AF270" s="33"/>
    </row>
    <row r="271" ht="15.75" customHeight="1">
      <c r="A271" s="75" t="s">
        <v>2034</v>
      </c>
      <c r="B271" s="76">
        <v>2.0</v>
      </c>
      <c r="C271" s="31" t="s">
        <v>2040</v>
      </c>
      <c r="D271" s="31" t="s">
        <v>2041</v>
      </c>
      <c r="E271" s="31" t="s">
        <v>2043</v>
      </c>
      <c r="F271" s="33"/>
      <c r="G271" s="33"/>
      <c r="H271" s="33"/>
      <c r="I271" s="33"/>
      <c r="J271" s="33"/>
      <c r="K271" s="33"/>
      <c r="L271" s="33"/>
      <c r="M271" s="33"/>
      <c r="N271" s="33"/>
      <c r="O271" s="33"/>
      <c r="P271" s="33"/>
      <c r="Q271" s="33"/>
      <c r="R271" s="33"/>
      <c r="S271" s="33"/>
      <c r="T271" s="33"/>
      <c r="U271" s="33"/>
      <c r="V271" s="33"/>
      <c r="W271" s="33"/>
      <c r="X271" s="33"/>
      <c r="Y271" s="33"/>
      <c r="Z271" s="33"/>
      <c r="AA271" s="33"/>
      <c r="AB271" s="33"/>
      <c r="AC271" s="33"/>
      <c r="AD271" s="33"/>
      <c r="AE271" s="33"/>
      <c r="AF271" s="33"/>
    </row>
    <row r="272" ht="15.75" customHeight="1">
      <c r="A272" s="75" t="s">
        <v>2034</v>
      </c>
      <c r="B272" s="76">
        <v>3.0</v>
      </c>
      <c r="C272" s="31" t="s">
        <v>2046</v>
      </c>
      <c r="D272" s="31" t="s">
        <v>2047</v>
      </c>
      <c r="E272" s="31" t="s">
        <v>2048</v>
      </c>
      <c r="F272" s="33"/>
      <c r="G272" s="33"/>
      <c r="H272" s="33"/>
      <c r="I272" s="33"/>
      <c r="J272" s="33"/>
      <c r="K272" s="33"/>
      <c r="L272" s="33"/>
      <c r="M272" s="33"/>
      <c r="N272" s="33"/>
      <c r="O272" s="33"/>
      <c r="P272" s="33"/>
      <c r="Q272" s="33"/>
      <c r="R272" s="33"/>
      <c r="S272" s="33"/>
      <c r="T272" s="33"/>
      <c r="U272" s="33"/>
      <c r="V272" s="33"/>
      <c r="W272" s="33"/>
      <c r="X272" s="33"/>
      <c r="Y272" s="33"/>
      <c r="Z272" s="33"/>
      <c r="AA272" s="33"/>
      <c r="AB272" s="33"/>
      <c r="AC272" s="33"/>
      <c r="AD272" s="33"/>
      <c r="AE272" s="33"/>
      <c r="AF272" s="33"/>
    </row>
    <row r="273" ht="15.75" customHeight="1">
      <c r="A273" s="75" t="s">
        <v>2034</v>
      </c>
      <c r="B273" s="76">
        <v>4.0</v>
      </c>
      <c r="C273" s="31" t="s">
        <v>2053</v>
      </c>
      <c r="D273" s="31" t="s">
        <v>2054</v>
      </c>
      <c r="E273" s="31" t="s">
        <v>2055</v>
      </c>
      <c r="F273" s="33"/>
      <c r="G273" s="33"/>
      <c r="H273" s="33"/>
      <c r="I273" s="33"/>
      <c r="J273" s="33"/>
      <c r="K273" s="33"/>
      <c r="L273" s="33"/>
      <c r="M273" s="33"/>
      <c r="N273" s="33"/>
      <c r="O273" s="33"/>
      <c r="P273" s="33"/>
      <c r="Q273" s="33"/>
      <c r="R273" s="33"/>
      <c r="S273" s="33"/>
      <c r="T273" s="33"/>
      <c r="U273" s="33"/>
      <c r="V273" s="33"/>
      <c r="W273" s="33"/>
      <c r="X273" s="33"/>
      <c r="Y273" s="33"/>
      <c r="Z273" s="33"/>
      <c r="AA273" s="33"/>
      <c r="AB273" s="33"/>
      <c r="AC273" s="33"/>
      <c r="AD273" s="33"/>
      <c r="AE273" s="33"/>
      <c r="AF273" s="33"/>
    </row>
    <row r="274" ht="15.75" customHeight="1">
      <c r="A274" s="75" t="s">
        <v>2034</v>
      </c>
      <c r="B274" s="76">
        <v>5.0</v>
      </c>
      <c r="C274" s="31" t="s">
        <v>2061</v>
      </c>
      <c r="D274" s="31" t="s">
        <v>2062</v>
      </c>
      <c r="E274" s="31" t="s">
        <v>2063</v>
      </c>
      <c r="F274" s="33"/>
      <c r="G274" s="33"/>
      <c r="H274" s="33"/>
      <c r="I274" s="33"/>
      <c r="J274" s="33"/>
      <c r="K274" s="33"/>
      <c r="L274" s="33"/>
      <c r="M274" s="33"/>
      <c r="N274" s="33"/>
      <c r="O274" s="33"/>
      <c r="P274" s="33"/>
      <c r="Q274" s="33"/>
      <c r="R274" s="33"/>
      <c r="S274" s="33"/>
      <c r="T274" s="33"/>
      <c r="U274" s="33"/>
      <c r="V274" s="33"/>
      <c r="W274" s="33"/>
      <c r="X274" s="33"/>
      <c r="Y274" s="33"/>
      <c r="Z274" s="33"/>
      <c r="AA274" s="33"/>
      <c r="AB274" s="33"/>
      <c r="AC274" s="33"/>
      <c r="AD274" s="33"/>
      <c r="AE274" s="33"/>
      <c r="AF274" s="33"/>
    </row>
    <row r="275" ht="15.75" customHeight="1">
      <c r="A275" s="63" t="s">
        <v>2034</v>
      </c>
      <c r="B275" s="94">
        <v>0.0</v>
      </c>
      <c r="C275" s="37" t="s">
        <v>199</v>
      </c>
      <c r="D275" s="37" t="s">
        <v>201</v>
      </c>
      <c r="E275" s="37" t="s">
        <v>203</v>
      </c>
      <c r="F275" s="19"/>
      <c r="G275" s="19"/>
      <c r="H275" s="19"/>
      <c r="I275" s="19"/>
      <c r="J275" s="19"/>
      <c r="K275" s="19"/>
      <c r="L275" s="19"/>
      <c r="M275" s="19"/>
      <c r="N275" s="19"/>
      <c r="O275" s="19"/>
      <c r="P275" s="19"/>
      <c r="Q275" s="19"/>
      <c r="R275" s="19"/>
      <c r="S275" s="19"/>
      <c r="T275" s="19"/>
      <c r="U275" s="19"/>
      <c r="V275" s="19"/>
      <c r="W275" s="19"/>
      <c r="X275" s="19"/>
      <c r="Y275" s="19"/>
      <c r="Z275" s="19"/>
      <c r="AA275" s="19"/>
      <c r="AB275" s="19"/>
      <c r="AC275" s="19"/>
      <c r="AD275" s="19"/>
      <c r="AE275" s="33"/>
      <c r="AF275" s="33"/>
    </row>
    <row r="276" ht="15.75" customHeight="1">
      <c r="A276" s="63"/>
      <c r="B276" s="37"/>
      <c r="C276" s="37"/>
      <c r="D276" s="37"/>
      <c r="E276" s="37"/>
      <c r="F276" s="19"/>
      <c r="G276" s="19"/>
      <c r="H276" s="19"/>
      <c r="I276" s="19"/>
      <c r="J276" s="19"/>
      <c r="K276" s="19"/>
      <c r="L276" s="19"/>
      <c r="M276" s="19"/>
      <c r="N276" s="19"/>
      <c r="O276" s="19"/>
      <c r="P276" s="19"/>
      <c r="Q276" s="19"/>
      <c r="R276" s="19"/>
      <c r="S276" s="19"/>
      <c r="T276" s="19"/>
      <c r="U276" s="19"/>
      <c r="V276" s="19"/>
      <c r="W276" s="19"/>
      <c r="X276" s="19"/>
      <c r="Y276" s="19"/>
      <c r="Z276" s="19"/>
      <c r="AA276" s="19"/>
      <c r="AB276" s="19"/>
      <c r="AC276" s="19"/>
      <c r="AD276" s="19"/>
      <c r="AE276" s="33"/>
      <c r="AF276" s="33"/>
    </row>
    <row r="277" ht="15.75" customHeight="1">
      <c r="A277" s="75" t="s">
        <v>2069</v>
      </c>
      <c r="B277" s="76">
        <v>1.0</v>
      </c>
      <c r="C277" s="31" t="s">
        <v>2070</v>
      </c>
      <c r="D277" s="31" t="s">
        <v>2071</v>
      </c>
      <c r="E277" s="31" t="s">
        <v>2072</v>
      </c>
      <c r="F277" s="33"/>
      <c r="G277" s="33"/>
      <c r="H277" s="33"/>
      <c r="I277" s="33"/>
      <c r="J277" s="33"/>
      <c r="K277" s="33"/>
      <c r="L277" s="33"/>
      <c r="M277" s="33"/>
      <c r="N277" s="33"/>
      <c r="O277" s="33"/>
      <c r="P277" s="33"/>
      <c r="Q277" s="33"/>
      <c r="R277" s="33"/>
      <c r="S277" s="33"/>
      <c r="T277" s="33"/>
      <c r="U277" s="33"/>
      <c r="V277" s="33"/>
      <c r="W277" s="33"/>
      <c r="X277" s="33"/>
      <c r="Y277" s="33"/>
      <c r="Z277" s="33"/>
      <c r="AA277" s="33"/>
      <c r="AB277" s="33"/>
      <c r="AC277" s="33"/>
      <c r="AD277" s="33"/>
      <c r="AE277" s="33"/>
      <c r="AF277" s="33"/>
    </row>
    <row r="278" ht="15.75" customHeight="1">
      <c r="A278" s="75" t="s">
        <v>2069</v>
      </c>
      <c r="B278" s="76">
        <v>2.0</v>
      </c>
      <c r="C278" s="31" t="s">
        <v>2075</v>
      </c>
      <c r="D278" s="31" t="s">
        <v>2076</v>
      </c>
      <c r="E278" s="31" t="s">
        <v>2077</v>
      </c>
      <c r="F278" s="33"/>
      <c r="G278" s="33"/>
      <c r="H278" s="33"/>
      <c r="I278" s="33"/>
      <c r="J278" s="33"/>
      <c r="K278" s="33"/>
      <c r="L278" s="33"/>
      <c r="M278" s="33"/>
      <c r="N278" s="33"/>
      <c r="O278" s="33"/>
      <c r="P278" s="33"/>
      <c r="Q278" s="33"/>
      <c r="R278" s="33"/>
      <c r="S278" s="33"/>
      <c r="T278" s="33"/>
      <c r="U278" s="33"/>
      <c r="V278" s="33"/>
      <c r="W278" s="33"/>
      <c r="X278" s="33"/>
      <c r="Y278" s="33"/>
      <c r="Z278" s="33"/>
      <c r="AA278" s="33"/>
      <c r="AB278" s="33"/>
      <c r="AC278" s="33"/>
      <c r="AD278" s="33"/>
      <c r="AE278" s="33"/>
      <c r="AF278" s="33"/>
    </row>
    <row r="279" ht="15.75" customHeight="1">
      <c r="A279" s="75" t="s">
        <v>2069</v>
      </c>
      <c r="B279" s="76">
        <v>3.0</v>
      </c>
      <c r="C279" s="31" t="s">
        <v>2079</v>
      </c>
      <c r="D279" s="31" t="s">
        <v>2081</v>
      </c>
      <c r="E279" s="78" t="s">
        <v>2082</v>
      </c>
      <c r="F279" s="33"/>
      <c r="G279" s="33"/>
      <c r="H279" s="33"/>
      <c r="I279" s="33"/>
      <c r="J279" s="33"/>
      <c r="K279" s="33"/>
      <c r="L279" s="33"/>
      <c r="M279" s="33"/>
      <c r="N279" s="33"/>
      <c r="O279" s="33"/>
      <c r="P279" s="33"/>
      <c r="Q279" s="33"/>
      <c r="R279" s="33"/>
      <c r="S279" s="33"/>
      <c r="T279" s="33"/>
      <c r="U279" s="33"/>
      <c r="V279" s="33"/>
      <c r="W279" s="33"/>
      <c r="X279" s="33"/>
      <c r="Y279" s="33"/>
      <c r="Z279" s="33"/>
      <c r="AA279" s="33"/>
      <c r="AB279" s="33"/>
      <c r="AC279" s="33"/>
      <c r="AD279" s="33"/>
      <c r="AE279" s="33"/>
      <c r="AF279" s="33"/>
    </row>
    <row r="280" ht="15.75" customHeight="1">
      <c r="A280" s="75" t="s">
        <v>2069</v>
      </c>
      <c r="B280" s="76">
        <v>4.0</v>
      </c>
      <c r="C280" s="31" t="s">
        <v>2085</v>
      </c>
      <c r="D280" s="31" t="s">
        <v>2086</v>
      </c>
      <c r="E280" s="31" t="s">
        <v>2087</v>
      </c>
      <c r="F280" s="33"/>
      <c r="G280" s="33"/>
      <c r="H280" s="33"/>
      <c r="I280" s="33"/>
      <c r="J280" s="33"/>
      <c r="K280" s="33"/>
      <c r="L280" s="33"/>
      <c r="M280" s="33"/>
      <c r="N280" s="33"/>
      <c r="O280" s="33"/>
      <c r="P280" s="33"/>
      <c r="Q280" s="33"/>
      <c r="R280" s="33"/>
      <c r="S280" s="33"/>
      <c r="T280" s="33"/>
      <c r="U280" s="33"/>
      <c r="V280" s="33"/>
      <c r="W280" s="33"/>
      <c r="X280" s="33"/>
      <c r="Y280" s="33"/>
      <c r="Z280" s="33"/>
      <c r="AA280" s="33"/>
      <c r="AB280" s="33"/>
      <c r="AC280" s="33"/>
      <c r="AD280" s="33"/>
      <c r="AE280" s="33"/>
      <c r="AF280" s="33"/>
    </row>
    <row r="281" ht="15.75" customHeight="1">
      <c r="A281" s="75" t="s">
        <v>2069</v>
      </c>
      <c r="B281" s="76">
        <v>5.0</v>
      </c>
      <c r="C281" s="31" t="s">
        <v>2092</v>
      </c>
      <c r="D281" s="31" t="s">
        <v>2093</v>
      </c>
      <c r="E281" s="31" t="s">
        <v>2094</v>
      </c>
      <c r="F281" s="33"/>
      <c r="G281" s="33"/>
      <c r="H281" s="33"/>
      <c r="I281" s="33"/>
      <c r="J281" s="33"/>
      <c r="K281" s="33"/>
      <c r="L281" s="33"/>
      <c r="M281" s="33"/>
      <c r="N281" s="33"/>
      <c r="O281" s="33"/>
      <c r="P281" s="33"/>
      <c r="Q281" s="33"/>
      <c r="R281" s="33"/>
      <c r="S281" s="33"/>
      <c r="T281" s="33"/>
      <c r="U281" s="33"/>
      <c r="V281" s="33"/>
      <c r="W281" s="33"/>
      <c r="X281" s="33"/>
      <c r="Y281" s="33"/>
      <c r="Z281" s="33"/>
      <c r="AA281" s="33"/>
      <c r="AB281" s="33"/>
      <c r="AC281" s="33"/>
      <c r="AD281" s="33"/>
      <c r="AE281" s="33"/>
      <c r="AF281" s="33"/>
    </row>
    <row r="282" ht="15.75" customHeight="1">
      <c r="A282" s="75" t="s">
        <v>2069</v>
      </c>
      <c r="B282" s="76">
        <v>6.0</v>
      </c>
      <c r="C282" s="31" t="s">
        <v>2101</v>
      </c>
      <c r="D282" s="31" t="s">
        <v>2102</v>
      </c>
      <c r="E282" s="31" t="s">
        <v>2103</v>
      </c>
      <c r="F282" s="33"/>
      <c r="G282" s="33"/>
      <c r="H282" s="33"/>
      <c r="I282" s="33"/>
      <c r="J282" s="33"/>
      <c r="K282" s="33"/>
      <c r="L282" s="33"/>
      <c r="M282" s="33"/>
      <c r="N282" s="33"/>
      <c r="O282" s="33"/>
      <c r="P282" s="33"/>
      <c r="Q282" s="33"/>
      <c r="R282" s="33"/>
      <c r="S282" s="33"/>
      <c r="T282" s="33"/>
      <c r="U282" s="33"/>
      <c r="V282" s="33"/>
      <c r="W282" s="33"/>
      <c r="X282" s="33"/>
      <c r="Y282" s="33"/>
      <c r="Z282" s="33"/>
      <c r="AA282" s="33"/>
      <c r="AB282" s="33"/>
      <c r="AC282" s="33"/>
      <c r="AD282" s="33"/>
      <c r="AE282" s="33"/>
      <c r="AF282" s="33"/>
    </row>
    <row r="283" ht="15.75" customHeight="1">
      <c r="A283" s="63" t="s">
        <v>2069</v>
      </c>
      <c r="B283" s="94">
        <v>0.0</v>
      </c>
      <c r="C283" s="37" t="s">
        <v>199</v>
      </c>
      <c r="D283" s="37" t="s">
        <v>201</v>
      </c>
      <c r="E283" s="37" t="s">
        <v>203</v>
      </c>
      <c r="F283" s="19"/>
      <c r="G283" s="19"/>
      <c r="H283" s="19"/>
      <c r="I283" s="19"/>
      <c r="J283" s="19"/>
      <c r="K283" s="19"/>
      <c r="L283" s="19"/>
      <c r="M283" s="19"/>
      <c r="N283" s="19"/>
      <c r="O283" s="19"/>
      <c r="P283" s="19"/>
      <c r="Q283" s="19"/>
      <c r="R283" s="19"/>
      <c r="S283" s="19"/>
      <c r="T283" s="19"/>
      <c r="U283" s="19"/>
      <c r="V283" s="19"/>
      <c r="W283" s="19"/>
      <c r="X283" s="19"/>
      <c r="Y283" s="19"/>
      <c r="Z283" s="19"/>
      <c r="AA283" s="19"/>
      <c r="AB283" s="19"/>
      <c r="AC283" s="19"/>
      <c r="AD283" s="19"/>
      <c r="AE283" s="33"/>
      <c r="AF283" s="33"/>
    </row>
    <row r="284" ht="15.75" customHeight="1">
      <c r="A284" s="100"/>
      <c r="B284" s="102"/>
      <c r="C284" s="100"/>
      <c r="D284" s="100"/>
      <c r="E284" s="165"/>
      <c r="F284" s="33"/>
      <c r="G284" s="33"/>
      <c r="H284" s="33"/>
      <c r="I284" s="33"/>
      <c r="J284" s="33"/>
      <c r="K284" s="33"/>
      <c r="L284" s="33"/>
      <c r="M284" s="33"/>
      <c r="N284" s="33"/>
      <c r="O284" s="33"/>
      <c r="P284" s="33"/>
      <c r="Q284" s="33"/>
      <c r="R284" s="33"/>
      <c r="S284" s="33"/>
      <c r="T284" s="33"/>
      <c r="U284" s="33"/>
      <c r="V284" s="33"/>
      <c r="W284" s="33"/>
      <c r="X284" s="33"/>
      <c r="Y284" s="33"/>
      <c r="Z284" s="33"/>
      <c r="AA284" s="33"/>
      <c r="AB284" s="33"/>
      <c r="AC284" s="33"/>
      <c r="AD284" s="33"/>
      <c r="AE284" s="33"/>
      <c r="AF284" s="33"/>
    </row>
    <row r="285" ht="15.75" customHeight="1">
      <c r="A285" s="110" t="s">
        <v>2121</v>
      </c>
      <c r="B285" s="111">
        <v>0.0</v>
      </c>
      <c r="C285" s="116" t="s">
        <v>199</v>
      </c>
      <c r="D285" s="116" t="s">
        <v>201</v>
      </c>
      <c r="E285" s="116" t="s">
        <v>203</v>
      </c>
      <c r="F285" s="114"/>
      <c r="G285" s="114"/>
      <c r="H285" s="44"/>
      <c r="I285" s="44"/>
      <c r="J285" s="44"/>
      <c r="K285" s="44"/>
      <c r="L285" s="44"/>
      <c r="M285" s="44"/>
      <c r="N285" s="44"/>
      <c r="O285" s="44"/>
      <c r="P285" s="44"/>
      <c r="Q285" s="44"/>
      <c r="R285" s="44"/>
      <c r="S285" s="44"/>
      <c r="T285" s="44"/>
      <c r="U285" s="44"/>
      <c r="V285" s="44"/>
      <c r="W285" s="44"/>
      <c r="X285" s="44"/>
      <c r="Y285" s="44"/>
      <c r="Z285" s="44"/>
      <c r="AA285" s="44"/>
      <c r="AB285" s="44"/>
      <c r="AC285" s="44"/>
      <c r="AD285" s="44"/>
      <c r="AE285" s="44"/>
      <c r="AF285" s="44"/>
    </row>
    <row r="286" ht="15.75" customHeight="1">
      <c r="A286" s="75" t="s">
        <v>2121</v>
      </c>
      <c r="B286" s="76">
        <v>1.0</v>
      </c>
      <c r="C286" s="31" t="s">
        <v>2134</v>
      </c>
      <c r="D286" s="31" t="s">
        <v>2134</v>
      </c>
      <c r="E286" s="78" t="s">
        <v>2134</v>
      </c>
      <c r="F286" s="162"/>
      <c r="G286" s="29"/>
      <c r="H286" s="33"/>
      <c r="I286" s="33"/>
      <c r="J286" s="33"/>
      <c r="K286" s="33"/>
      <c r="L286" s="33"/>
      <c r="M286" s="33"/>
      <c r="N286" s="33"/>
      <c r="O286" s="33"/>
      <c r="P286" s="33"/>
      <c r="Q286" s="33"/>
      <c r="R286" s="33"/>
      <c r="S286" s="33"/>
      <c r="T286" s="33"/>
      <c r="U286" s="33"/>
      <c r="V286" s="33"/>
      <c r="W286" s="33"/>
      <c r="X286" s="33"/>
      <c r="Y286" s="33"/>
      <c r="Z286" s="33"/>
      <c r="AA286" s="33"/>
      <c r="AB286" s="33"/>
      <c r="AC286" s="33"/>
      <c r="AD286" s="33"/>
      <c r="AE286" s="33"/>
      <c r="AF286" s="33"/>
    </row>
    <row r="287" ht="15.75" customHeight="1">
      <c r="A287" s="75" t="s">
        <v>2121</v>
      </c>
      <c r="B287" s="76">
        <v>2.0</v>
      </c>
      <c r="C287" s="31" t="s">
        <v>2143</v>
      </c>
      <c r="D287" s="31" t="s">
        <v>2143</v>
      </c>
      <c r="E287" s="31" t="s">
        <v>2143</v>
      </c>
      <c r="F287" s="29"/>
      <c r="G287" s="29"/>
      <c r="H287" s="33"/>
      <c r="I287" s="33"/>
      <c r="J287" s="33"/>
      <c r="K287" s="33"/>
      <c r="L287" s="33"/>
      <c r="M287" s="33"/>
      <c r="N287" s="33"/>
      <c r="O287" s="33"/>
      <c r="P287" s="33"/>
      <c r="Q287" s="33"/>
      <c r="R287" s="33"/>
      <c r="S287" s="33"/>
      <c r="T287" s="33"/>
      <c r="U287" s="33"/>
      <c r="V287" s="33"/>
      <c r="W287" s="33"/>
      <c r="X287" s="33"/>
      <c r="Y287" s="33"/>
      <c r="Z287" s="33"/>
      <c r="AA287" s="33"/>
      <c r="AB287" s="33"/>
      <c r="AC287" s="33"/>
      <c r="AD287" s="33"/>
      <c r="AE287" s="33"/>
      <c r="AF287" s="33"/>
    </row>
    <row r="288" ht="15.75" customHeight="1">
      <c r="A288" s="75" t="s">
        <v>2121</v>
      </c>
      <c r="B288" s="76">
        <v>3.0</v>
      </c>
      <c r="C288" s="31" t="s">
        <v>2153</v>
      </c>
      <c r="D288" s="31" t="s">
        <v>2153</v>
      </c>
      <c r="E288" s="31" t="s">
        <v>2153</v>
      </c>
      <c r="F288" s="29"/>
      <c r="G288" s="29"/>
      <c r="H288" s="33"/>
      <c r="I288" s="33"/>
      <c r="J288" s="33"/>
      <c r="K288" s="33"/>
      <c r="L288" s="33"/>
      <c r="M288" s="33"/>
      <c r="N288" s="33"/>
      <c r="O288" s="33"/>
      <c r="P288" s="33"/>
      <c r="Q288" s="33"/>
      <c r="R288" s="33"/>
      <c r="S288" s="33"/>
      <c r="T288" s="33"/>
      <c r="U288" s="33"/>
      <c r="V288" s="33"/>
      <c r="W288" s="33"/>
      <c r="X288" s="33"/>
      <c r="Y288" s="33"/>
      <c r="Z288" s="33"/>
      <c r="AA288" s="33"/>
      <c r="AB288" s="33"/>
      <c r="AC288" s="33"/>
      <c r="AD288" s="33"/>
      <c r="AE288" s="33"/>
      <c r="AF288" s="33"/>
    </row>
    <row r="289" ht="15.75" customHeight="1">
      <c r="A289" s="75" t="s">
        <v>2121</v>
      </c>
      <c r="B289" s="76">
        <v>4.0</v>
      </c>
      <c r="C289" s="31" t="s">
        <v>2162</v>
      </c>
      <c r="D289" s="31" t="s">
        <v>2162</v>
      </c>
      <c r="E289" s="78" t="s">
        <v>2162</v>
      </c>
      <c r="F289" s="29"/>
      <c r="G289" s="29"/>
      <c r="H289" s="33"/>
      <c r="I289" s="33"/>
      <c r="J289" s="33"/>
      <c r="K289" s="33"/>
      <c r="L289" s="33"/>
      <c r="M289" s="33"/>
      <c r="N289" s="33"/>
      <c r="O289" s="33"/>
      <c r="P289" s="33"/>
      <c r="Q289" s="33"/>
      <c r="R289" s="33"/>
      <c r="S289" s="33"/>
      <c r="T289" s="33"/>
      <c r="U289" s="33"/>
      <c r="V289" s="33"/>
      <c r="W289" s="33"/>
      <c r="X289" s="33"/>
      <c r="Y289" s="33"/>
      <c r="Z289" s="33"/>
      <c r="AA289" s="33"/>
      <c r="AB289" s="33"/>
      <c r="AC289" s="33"/>
      <c r="AD289" s="33"/>
      <c r="AE289" s="33"/>
      <c r="AF289" s="33"/>
    </row>
    <row r="290" ht="15.75" customHeight="1">
      <c r="A290" s="75" t="s">
        <v>2121</v>
      </c>
      <c r="B290" s="76">
        <v>5.0</v>
      </c>
      <c r="C290" s="31" t="s">
        <v>2171</v>
      </c>
      <c r="D290" s="31" t="s">
        <v>2171</v>
      </c>
      <c r="E290" s="78" t="s">
        <v>2171</v>
      </c>
      <c r="F290" s="162"/>
      <c r="G290" s="162"/>
      <c r="H290" s="33"/>
      <c r="I290" s="33"/>
      <c r="J290" s="33"/>
      <c r="K290" s="33"/>
      <c r="L290" s="33"/>
      <c r="M290" s="33"/>
      <c r="N290" s="33"/>
      <c r="O290" s="33"/>
      <c r="P290" s="33"/>
      <c r="Q290" s="33"/>
      <c r="R290" s="33"/>
      <c r="S290" s="33"/>
      <c r="T290" s="33"/>
      <c r="U290" s="33"/>
      <c r="V290" s="33"/>
      <c r="W290" s="33"/>
      <c r="X290" s="33"/>
      <c r="Y290" s="33"/>
      <c r="Z290" s="33"/>
      <c r="AA290" s="33"/>
      <c r="AB290" s="33"/>
      <c r="AC290" s="33"/>
      <c r="AD290" s="33"/>
      <c r="AE290" s="33"/>
      <c r="AF290" s="33"/>
    </row>
    <row r="291" ht="15.75" customHeight="1">
      <c r="A291" s="63" t="s">
        <v>2121</v>
      </c>
      <c r="B291" s="94">
        <v>6.0</v>
      </c>
      <c r="C291" s="37" t="s">
        <v>2180</v>
      </c>
      <c r="D291" s="37" t="s">
        <v>2180</v>
      </c>
      <c r="E291" s="37" t="s">
        <v>2180</v>
      </c>
      <c r="F291" s="36"/>
      <c r="G291" s="36"/>
      <c r="H291" s="19"/>
      <c r="I291" s="19"/>
      <c r="J291" s="19"/>
      <c r="K291" s="19"/>
      <c r="L291" s="19"/>
      <c r="M291" s="19"/>
      <c r="N291" s="19"/>
      <c r="O291" s="19"/>
      <c r="P291" s="19"/>
      <c r="Q291" s="19"/>
      <c r="R291" s="19"/>
      <c r="S291" s="19"/>
      <c r="T291" s="19"/>
      <c r="U291" s="19"/>
      <c r="V291" s="19"/>
      <c r="W291" s="19"/>
      <c r="X291" s="19"/>
      <c r="Y291" s="19"/>
      <c r="Z291" s="19"/>
      <c r="AA291" s="19"/>
      <c r="AB291" s="19"/>
      <c r="AC291" s="19"/>
      <c r="AD291" s="19"/>
      <c r="AE291" s="19"/>
      <c r="AF291" s="19"/>
    </row>
    <row r="292" ht="15.75" customHeight="1">
      <c r="A292" s="63" t="s">
        <v>2121</v>
      </c>
      <c r="B292" s="94">
        <v>7.0</v>
      </c>
      <c r="C292" s="37" t="s">
        <v>2187</v>
      </c>
      <c r="D292" s="37" t="s">
        <v>2187</v>
      </c>
      <c r="E292" s="71" t="s">
        <v>2187</v>
      </c>
      <c r="F292" s="36"/>
      <c r="G292" s="36"/>
      <c r="H292" s="19"/>
      <c r="I292" s="19"/>
      <c r="J292" s="19"/>
      <c r="K292" s="19"/>
      <c r="L292" s="19"/>
      <c r="M292" s="19"/>
      <c r="N292" s="19"/>
      <c r="O292" s="19"/>
      <c r="P292" s="19"/>
      <c r="Q292" s="19"/>
      <c r="R292" s="19"/>
      <c r="S292" s="19"/>
      <c r="T292" s="19"/>
      <c r="U292" s="19"/>
      <c r="V292" s="19"/>
      <c r="W292" s="19"/>
      <c r="X292" s="19"/>
      <c r="Y292" s="19"/>
      <c r="Z292" s="19"/>
      <c r="AA292" s="19"/>
      <c r="AB292" s="19"/>
      <c r="AC292" s="19"/>
      <c r="AD292" s="19"/>
      <c r="AE292" s="19"/>
      <c r="AF292" s="19"/>
    </row>
    <row r="293" ht="15.75" customHeight="1">
      <c r="A293" s="75" t="s">
        <v>2121</v>
      </c>
      <c r="B293" s="76">
        <v>8.0</v>
      </c>
      <c r="C293" s="31" t="s">
        <v>2192</v>
      </c>
      <c r="D293" s="31" t="s">
        <v>2192</v>
      </c>
      <c r="E293" s="31" t="s">
        <v>2192</v>
      </c>
      <c r="F293" s="29"/>
      <c r="G293" s="29"/>
      <c r="H293" s="33"/>
      <c r="I293" s="33"/>
      <c r="J293" s="33"/>
      <c r="K293" s="33"/>
      <c r="L293" s="33"/>
      <c r="M293" s="33"/>
      <c r="N293" s="33"/>
      <c r="O293" s="33"/>
      <c r="P293" s="33"/>
      <c r="Q293" s="33"/>
      <c r="R293" s="33"/>
      <c r="S293" s="33"/>
      <c r="T293" s="33"/>
      <c r="U293" s="33"/>
      <c r="V293" s="33"/>
      <c r="W293" s="33"/>
      <c r="X293" s="33"/>
      <c r="Y293" s="33"/>
      <c r="Z293" s="33"/>
      <c r="AA293" s="33"/>
      <c r="AB293" s="33"/>
      <c r="AC293" s="33"/>
      <c r="AD293" s="33"/>
      <c r="AE293" s="33"/>
      <c r="AF293" s="33"/>
    </row>
    <row r="294" ht="15.75" customHeight="1">
      <c r="A294" s="75" t="s">
        <v>2121</v>
      </c>
      <c r="B294" s="76">
        <v>9.0</v>
      </c>
      <c r="C294" s="31" t="s">
        <v>2203</v>
      </c>
      <c r="D294" s="31" t="s">
        <v>2203</v>
      </c>
      <c r="E294" s="31" t="s">
        <v>2203</v>
      </c>
      <c r="F294" s="29"/>
      <c r="G294" s="29"/>
      <c r="H294" s="33"/>
      <c r="I294" s="33"/>
      <c r="J294" s="33"/>
      <c r="K294" s="33"/>
      <c r="L294" s="33"/>
      <c r="M294" s="33"/>
      <c r="N294" s="33"/>
      <c r="O294" s="33"/>
      <c r="P294" s="33"/>
      <c r="Q294" s="33"/>
      <c r="R294" s="33"/>
      <c r="S294" s="33"/>
      <c r="T294" s="33"/>
      <c r="U294" s="33"/>
      <c r="V294" s="33"/>
      <c r="W294" s="33"/>
      <c r="X294" s="33"/>
      <c r="Y294" s="33"/>
      <c r="Z294" s="33"/>
      <c r="AA294" s="33"/>
      <c r="AB294" s="33"/>
      <c r="AC294" s="33"/>
      <c r="AD294" s="33"/>
      <c r="AE294" s="33"/>
      <c r="AF294" s="33"/>
    </row>
    <row r="295" ht="15.75" customHeight="1">
      <c r="A295" s="75" t="s">
        <v>2121</v>
      </c>
      <c r="B295" s="76">
        <v>10.0</v>
      </c>
      <c r="C295" s="31" t="s">
        <v>2212</v>
      </c>
      <c r="D295" s="31" t="s">
        <v>2212</v>
      </c>
      <c r="E295" s="31" t="s">
        <v>2212</v>
      </c>
      <c r="F295" s="29"/>
      <c r="G295" s="29"/>
      <c r="H295" s="33"/>
      <c r="I295" s="33"/>
      <c r="J295" s="33"/>
      <c r="K295" s="33"/>
      <c r="L295" s="33"/>
      <c r="M295" s="33"/>
      <c r="N295" s="33"/>
      <c r="O295" s="33"/>
      <c r="P295" s="33"/>
      <c r="Q295" s="33"/>
      <c r="R295" s="33"/>
      <c r="S295" s="33"/>
      <c r="T295" s="33"/>
      <c r="U295" s="33"/>
      <c r="V295" s="33"/>
      <c r="W295" s="33"/>
      <c r="X295" s="33"/>
      <c r="Y295" s="33"/>
      <c r="Z295" s="33"/>
      <c r="AA295" s="33"/>
      <c r="AB295" s="33"/>
      <c r="AC295" s="33"/>
      <c r="AD295" s="33"/>
      <c r="AE295" s="33"/>
      <c r="AF295" s="33"/>
    </row>
    <row r="296" ht="15.75" customHeight="1">
      <c r="A296" s="75" t="s">
        <v>2121</v>
      </c>
      <c r="B296" s="76">
        <v>11.0</v>
      </c>
      <c r="C296" s="31" t="s">
        <v>2220</v>
      </c>
      <c r="D296" s="31" t="s">
        <v>2220</v>
      </c>
      <c r="E296" s="225" t="s">
        <v>2220</v>
      </c>
      <c r="F296" s="29"/>
      <c r="G296" s="29"/>
      <c r="H296" s="33"/>
      <c r="I296" s="33"/>
      <c r="J296" s="33"/>
      <c r="K296" s="33"/>
      <c r="L296" s="33"/>
      <c r="M296" s="33"/>
      <c r="N296" s="33"/>
      <c r="O296" s="33"/>
      <c r="P296" s="33"/>
      <c r="Q296" s="33"/>
      <c r="R296" s="33"/>
      <c r="S296" s="33"/>
      <c r="T296" s="33"/>
      <c r="U296" s="33"/>
      <c r="V296" s="33"/>
      <c r="W296" s="33"/>
      <c r="X296" s="33"/>
      <c r="Y296" s="33"/>
      <c r="Z296" s="33"/>
      <c r="AA296" s="33"/>
      <c r="AB296" s="33"/>
      <c r="AC296" s="33"/>
      <c r="AD296" s="33"/>
      <c r="AE296" s="33"/>
      <c r="AF296" s="33"/>
    </row>
    <row r="297" ht="15.75" customHeight="1">
      <c r="A297" s="75" t="s">
        <v>2121</v>
      </c>
      <c r="B297" s="76">
        <v>12.0</v>
      </c>
      <c r="C297" s="31" t="s">
        <v>2230</v>
      </c>
      <c r="D297" s="31" t="s">
        <v>2230</v>
      </c>
      <c r="E297" s="31" t="s">
        <v>2230</v>
      </c>
      <c r="F297" s="29"/>
      <c r="G297" s="29"/>
      <c r="H297" s="33"/>
      <c r="I297" s="33"/>
      <c r="J297" s="33"/>
      <c r="K297" s="33"/>
      <c r="L297" s="33"/>
      <c r="M297" s="33"/>
      <c r="N297" s="33"/>
      <c r="O297" s="33"/>
      <c r="P297" s="33"/>
      <c r="Q297" s="33"/>
      <c r="R297" s="33"/>
      <c r="S297" s="33"/>
      <c r="T297" s="33"/>
      <c r="U297" s="33"/>
      <c r="V297" s="33"/>
      <c r="W297" s="33"/>
      <c r="X297" s="33"/>
      <c r="Y297" s="33"/>
      <c r="Z297" s="33"/>
      <c r="AA297" s="33"/>
      <c r="AB297" s="33"/>
      <c r="AC297" s="33"/>
      <c r="AD297" s="33"/>
      <c r="AE297" s="33"/>
      <c r="AF297" s="33"/>
    </row>
    <row r="298" ht="15.75" customHeight="1">
      <c r="A298" s="63" t="s">
        <v>2121</v>
      </c>
      <c r="B298" s="94">
        <v>13.0</v>
      </c>
      <c r="C298" s="37" t="s">
        <v>2239</v>
      </c>
      <c r="D298" s="37" t="s">
        <v>2239</v>
      </c>
      <c r="E298" s="71" t="s">
        <v>2239</v>
      </c>
      <c r="F298" s="19"/>
      <c r="G298" s="36"/>
      <c r="H298" s="19"/>
      <c r="I298" s="19"/>
      <c r="J298" s="19"/>
      <c r="K298" s="19"/>
      <c r="L298" s="19"/>
      <c r="M298" s="19"/>
      <c r="N298" s="19"/>
      <c r="O298" s="19"/>
      <c r="P298" s="19"/>
      <c r="Q298" s="19"/>
      <c r="R298" s="19"/>
      <c r="S298" s="19"/>
      <c r="T298" s="19"/>
      <c r="U298" s="19"/>
      <c r="V298" s="19"/>
      <c r="W298" s="19"/>
      <c r="X298" s="19"/>
      <c r="Y298" s="19"/>
      <c r="Z298" s="19"/>
      <c r="AA298" s="19"/>
      <c r="AB298" s="19"/>
      <c r="AC298" s="19"/>
      <c r="AD298" s="19"/>
      <c r="AE298" s="19"/>
      <c r="AF298" s="19"/>
    </row>
    <row r="299" ht="15.75" customHeight="1">
      <c r="A299" s="63" t="s">
        <v>2121</v>
      </c>
      <c r="B299" s="94">
        <v>14.0</v>
      </c>
      <c r="C299" s="37" t="s">
        <v>2249</v>
      </c>
      <c r="D299" s="37" t="s">
        <v>2249</v>
      </c>
      <c r="E299" s="37" t="s">
        <v>2249</v>
      </c>
      <c r="F299" s="36"/>
      <c r="G299" s="36"/>
      <c r="H299" s="19"/>
      <c r="I299" s="19"/>
      <c r="J299" s="19"/>
      <c r="K299" s="19"/>
      <c r="L299" s="19"/>
      <c r="M299" s="19"/>
      <c r="N299" s="19"/>
      <c r="O299" s="19"/>
      <c r="P299" s="19"/>
      <c r="Q299" s="19"/>
      <c r="R299" s="19"/>
      <c r="S299" s="19"/>
      <c r="T299" s="19"/>
      <c r="U299" s="19"/>
      <c r="V299" s="19"/>
      <c r="W299" s="19"/>
      <c r="X299" s="19"/>
      <c r="Y299" s="19"/>
      <c r="Z299" s="19"/>
      <c r="AA299" s="19"/>
      <c r="AB299" s="19"/>
      <c r="AC299" s="19"/>
      <c r="AD299" s="19"/>
      <c r="AE299" s="19"/>
      <c r="AF299" s="19"/>
    </row>
    <row r="300" ht="15.75" customHeight="1">
      <c r="A300" s="75" t="s">
        <v>2121</v>
      </c>
      <c r="B300" s="76">
        <v>15.0</v>
      </c>
      <c r="C300" s="31" t="s">
        <v>2259</v>
      </c>
      <c r="D300" s="31" t="s">
        <v>2259</v>
      </c>
      <c r="E300" s="78" t="s">
        <v>2259</v>
      </c>
      <c r="F300" s="29"/>
      <c r="G300" s="29"/>
      <c r="H300" s="33"/>
      <c r="I300" s="33"/>
      <c r="J300" s="33"/>
      <c r="K300" s="33"/>
      <c r="L300" s="33"/>
      <c r="M300" s="33"/>
      <c r="N300" s="33"/>
      <c r="O300" s="33"/>
      <c r="P300" s="33"/>
      <c r="Q300" s="33"/>
      <c r="R300" s="33"/>
      <c r="S300" s="33"/>
      <c r="T300" s="33"/>
      <c r="U300" s="33"/>
      <c r="V300" s="33"/>
      <c r="W300" s="33"/>
      <c r="X300" s="33"/>
      <c r="Y300" s="33"/>
      <c r="Z300" s="33"/>
      <c r="AA300" s="33"/>
      <c r="AB300" s="33"/>
      <c r="AC300" s="33"/>
      <c r="AD300" s="33"/>
      <c r="AE300" s="33"/>
      <c r="AF300" s="33"/>
    </row>
    <row r="301" ht="15.75" customHeight="1">
      <c r="A301" s="75" t="s">
        <v>2121</v>
      </c>
      <c r="B301" s="76">
        <v>16.0</v>
      </c>
      <c r="C301" s="31" t="s">
        <v>2266</v>
      </c>
      <c r="D301" s="31" t="s">
        <v>2266</v>
      </c>
      <c r="E301" s="31" t="s">
        <v>2266</v>
      </c>
      <c r="F301" s="29"/>
      <c r="G301" s="29"/>
      <c r="H301" s="33"/>
      <c r="I301" s="33"/>
      <c r="J301" s="33"/>
      <c r="K301" s="33"/>
      <c r="L301" s="33"/>
      <c r="M301" s="33"/>
      <c r="N301" s="33"/>
      <c r="O301" s="33"/>
      <c r="P301" s="33"/>
      <c r="Q301" s="33"/>
      <c r="R301" s="33"/>
      <c r="S301" s="33"/>
      <c r="T301" s="33"/>
      <c r="U301" s="33"/>
      <c r="V301" s="33"/>
      <c r="W301" s="33"/>
      <c r="X301" s="33"/>
      <c r="Y301" s="33"/>
      <c r="Z301" s="33"/>
      <c r="AA301" s="33"/>
      <c r="AB301" s="33"/>
      <c r="AC301" s="33"/>
      <c r="AD301" s="33"/>
      <c r="AE301" s="33"/>
      <c r="AF301" s="33"/>
    </row>
    <row r="302" ht="15.75" customHeight="1">
      <c r="A302" s="75" t="s">
        <v>2121</v>
      </c>
      <c r="B302" s="76">
        <v>17.0</v>
      </c>
      <c r="C302" s="31" t="s">
        <v>2274</v>
      </c>
      <c r="D302" s="31" t="s">
        <v>2274</v>
      </c>
      <c r="E302" s="31" t="s">
        <v>2274</v>
      </c>
      <c r="F302" s="29"/>
      <c r="G302" s="29"/>
      <c r="H302" s="33"/>
      <c r="I302" s="33"/>
      <c r="J302" s="33"/>
      <c r="K302" s="33"/>
      <c r="L302" s="33"/>
      <c r="M302" s="33"/>
      <c r="N302" s="33"/>
      <c r="O302" s="33"/>
      <c r="P302" s="33"/>
      <c r="Q302" s="33"/>
      <c r="R302" s="33"/>
      <c r="S302" s="33"/>
      <c r="T302" s="33"/>
      <c r="U302" s="33"/>
      <c r="V302" s="33"/>
      <c r="W302" s="33"/>
      <c r="X302" s="33"/>
      <c r="Y302" s="33"/>
      <c r="Z302" s="33"/>
      <c r="AA302" s="33"/>
      <c r="AB302" s="33"/>
      <c r="AC302" s="33"/>
      <c r="AD302" s="33"/>
      <c r="AE302" s="33"/>
      <c r="AF302" s="33"/>
    </row>
    <row r="303" ht="15.75" customHeight="1">
      <c r="A303" s="75" t="s">
        <v>2121</v>
      </c>
      <c r="B303" s="76">
        <v>18.0</v>
      </c>
      <c r="C303" s="31" t="s">
        <v>2283</v>
      </c>
      <c r="D303" s="31" t="s">
        <v>2283</v>
      </c>
      <c r="E303" s="78" t="s">
        <v>2283</v>
      </c>
      <c r="F303" s="162"/>
      <c r="G303" s="162"/>
      <c r="H303" s="33"/>
      <c r="I303" s="33"/>
      <c r="J303" s="33"/>
      <c r="K303" s="33"/>
      <c r="L303" s="33"/>
      <c r="M303" s="33"/>
      <c r="N303" s="33"/>
      <c r="O303" s="33"/>
      <c r="P303" s="33"/>
      <c r="Q303" s="33"/>
      <c r="R303" s="33"/>
      <c r="S303" s="33"/>
      <c r="T303" s="33"/>
      <c r="U303" s="33"/>
      <c r="V303" s="33"/>
      <c r="W303" s="33"/>
      <c r="X303" s="33"/>
      <c r="Y303" s="33"/>
      <c r="Z303" s="33"/>
      <c r="AA303" s="33"/>
      <c r="AB303" s="33"/>
      <c r="AC303" s="33"/>
      <c r="AD303" s="33"/>
      <c r="AE303" s="33"/>
      <c r="AF303" s="33"/>
    </row>
    <row r="304" ht="15.75" customHeight="1">
      <c r="A304" s="63" t="s">
        <v>2121</v>
      </c>
      <c r="B304" s="94">
        <v>19.0</v>
      </c>
      <c r="C304" s="37" t="s">
        <v>2292</v>
      </c>
      <c r="D304" s="37" t="s">
        <v>2292</v>
      </c>
      <c r="E304" s="37" t="s">
        <v>2292</v>
      </c>
      <c r="F304" s="36"/>
      <c r="G304" s="36"/>
      <c r="H304" s="19"/>
      <c r="I304" s="19"/>
      <c r="J304" s="19"/>
      <c r="K304" s="19"/>
      <c r="L304" s="19"/>
      <c r="M304" s="19"/>
      <c r="N304" s="19"/>
      <c r="O304" s="19"/>
      <c r="P304" s="19"/>
      <c r="Q304" s="19"/>
      <c r="R304" s="19"/>
      <c r="S304" s="19"/>
      <c r="T304" s="19"/>
      <c r="U304" s="19"/>
      <c r="V304" s="19"/>
      <c r="W304" s="19"/>
      <c r="X304" s="19"/>
      <c r="Y304" s="19"/>
      <c r="Z304" s="19"/>
      <c r="AA304" s="19"/>
      <c r="AB304" s="19"/>
      <c r="AC304" s="19"/>
      <c r="AD304" s="19"/>
      <c r="AE304" s="19"/>
      <c r="AF304" s="19"/>
    </row>
    <row r="305" ht="15.75" customHeight="1">
      <c r="A305" s="63" t="s">
        <v>2121</v>
      </c>
      <c r="B305" s="94">
        <v>20.0</v>
      </c>
      <c r="C305" s="37" t="s">
        <v>2305</v>
      </c>
      <c r="D305" s="37" t="s">
        <v>2305</v>
      </c>
      <c r="E305" s="37" t="s">
        <v>2305</v>
      </c>
      <c r="F305" s="36"/>
      <c r="G305" s="36"/>
      <c r="H305" s="19"/>
      <c r="I305" s="19"/>
      <c r="J305" s="19"/>
      <c r="K305" s="19"/>
      <c r="L305" s="19"/>
      <c r="M305" s="19"/>
      <c r="N305" s="19"/>
      <c r="O305" s="19"/>
      <c r="P305" s="19"/>
      <c r="Q305" s="19"/>
      <c r="R305" s="19"/>
      <c r="S305" s="19"/>
      <c r="T305" s="19"/>
      <c r="U305" s="19"/>
      <c r="V305" s="19"/>
      <c r="W305" s="19"/>
      <c r="X305" s="19"/>
      <c r="Y305" s="19"/>
      <c r="Z305" s="19"/>
      <c r="AA305" s="19"/>
      <c r="AB305" s="19"/>
      <c r="AC305" s="19"/>
      <c r="AD305" s="19"/>
      <c r="AE305" s="19"/>
      <c r="AF305" s="19"/>
    </row>
    <row r="306" ht="15.75" customHeight="1">
      <c r="A306" s="75" t="s">
        <v>2121</v>
      </c>
      <c r="B306" s="76">
        <v>21.0</v>
      </c>
      <c r="C306" s="31" t="s">
        <v>2321</v>
      </c>
      <c r="D306" s="31" t="s">
        <v>2321</v>
      </c>
      <c r="E306" s="31" t="s">
        <v>2321</v>
      </c>
      <c r="F306" s="29"/>
      <c r="G306" s="29"/>
      <c r="H306" s="33"/>
      <c r="I306" s="33"/>
      <c r="J306" s="33"/>
      <c r="K306" s="33"/>
      <c r="L306" s="33"/>
      <c r="M306" s="33"/>
      <c r="N306" s="33"/>
      <c r="O306" s="33"/>
      <c r="P306" s="33"/>
      <c r="Q306" s="33"/>
      <c r="R306" s="33"/>
      <c r="S306" s="33"/>
      <c r="T306" s="33"/>
      <c r="U306" s="33"/>
      <c r="V306" s="33"/>
      <c r="W306" s="33"/>
      <c r="X306" s="33"/>
      <c r="Y306" s="33"/>
      <c r="Z306" s="33"/>
      <c r="AA306" s="33"/>
      <c r="AB306" s="33"/>
      <c r="AC306" s="33"/>
      <c r="AD306" s="33"/>
      <c r="AE306" s="33"/>
      <c r="AF306" s="33"/>
    </row>
    <row r="307" ht="15.75" customHeight="1">
      <c r="A307" s="75" t="s">
        <v>2121</v>
      </c>
      <c r="B307" s="76">
        <v>22.0</v>
      </c>
      <c r="C307" s="31" t="s">
        <v>2330</v>
      </c>
      <c r="D307" s="31" t="s">
        <v>2330</v>
      </c>
      <c r="E307" s="31" t="s">
        <v>2330</v>
      </c>
      <c r="F307" s="29"/>
      <c r="G307" s="29"/>
      <c r="H307" s="33"/>
      <c r="I307" s="33"/>
      <c r="J307" s="33"/>
      <c r="K307" s="33"/>
      <c r="L307" s="33"/>
      <c r="M307" s="33"/>
      <c r="N307" s="33"/>
      <c r="O307" s="33"/>
      <c r="P307" s="33"/>
      <c r="Q307" s="33"/>
      <c r="R307" s="33"/>
      <c r="S307" s="33"/>
      <c r="T307" s="33"/>
      <c r="U307" s="33"/>
      <c r="V307" s="33"/>
      <c r="W307" s="33"/>
      <c r="X307" s="33"/>
      <c r="Y307" s="33"/>
      <c r="Z307" s="33"/>
      <c r="AA307" s="33"/>
      <c r="AB307" s="33"/>
      <c r="AC307" s="33"/>
      <c r="AD307" s="33"/>
      <c r="AE307" s="33"/>
      <c r="AF307" s="33"/>
    </row>
    <row r="308" ht="15.75" customHeight="1">
      <c r="A308" s="75" t="s">
        <v>2121</v>
      </c>
      <c r="B308" s="76">
        <v>23.0</v>
      </c>
      <c r="C308" s="31" t="s">
        <v>2337</v>
      </c>
      <c r="D308" s="31" t="s">
        <v>2337</v>
      </c>
      <c r="E308" s="225" t="s">
        <v>2337</v>
      </c>
      <c r="F308" s="29"/>
      <c r="G308" s="29"/>
      <c r="H308" s="33"/>
      <c r="I308" s="33"/>
      <c r="J308" s="33"/>
      <c r="K308" s="33"/>
      <c r="L308" s="33"/>
      <c r="M308" s="33"/>
      <c r="N308" s="33"/>
      <c r="O308" s="33"/>
      <c r="P308" s="33"/>
      <c r="Q308" s="33"/>
      <c r="R308" s="33"/>
      <c r="S308" s="33"/>
      <c r="T308" s="33"/>
      <c r="U308" s="33"/>
      <c r="V308" s="33"/>
      <c r="W308" s="33"/>
      <c r="X308" s="33"/>
      <c r="Y308" s="33"/>
      <c r="Z308" s="33"/>
      <c r="AA308" s="33"/>
      <c r="AB308" s="33"/>
      <c r="AC308" s="33"/>
      <c r="AD308" s="33"/>
      <c r="AE308" s="33"/>
      <c r="AF308" s="33"/>
    </row>
    <row r="309" ht="15.75" customHeight="1">
      <c r="A309" s="63" t="s">
        <v>2121</v>
      </c>
      <c r="B309" s="94">
        <v>24.0</v>
      </c>
      <c r="C309" s="37" t="s">
        <v>2349</v>
      </c>
      <c r="D309" s="37" t="s">
        <v>2349</v>
      </c>
      <c r="E309" s="37" t="s">
        <v>2349</v>
      </c>
      <c r="F309" s="36"/>
      <c r="G309" s="36"/>
      <c r="H309" s="19"/>
      <c r="I309" s="19"/>
      <c r="J309" s="19"/>
      <c r="K309" s="19"/>
      <c r="L309" s="19"/>
      <c r="M309" s="19"/>
      <c r="N309" s="19"/>
      <c r="O309" s="19"/>
      <c r="P309" s="19"/>
      <c r="Q309" s="19"/>
      <c r="R309" s="19"/>
      <c r="S309" s="19"/>
      <c r="T309" s="19"/>
      <c r="U309" s="19"/>
      <c r="V309" s="19"/>
      <c r="W309" s="19"/>
      <c r="X309" s="19"/>
      <c r="Y309" s="19"/>
      <c r="Z309" s="19"/>
      <c r="AA309" s="19"/>
      <c r="AB309" s="19"/>
      <c r="AC309" s="19"/>
      <c r="AD309" s="19"/>
      <c r="AE309" s="19"/>
      <c r="AF309" s="19"/>
    </row>
    <row r="310" ht="15.75" customHeight="1">
      <c r="A310" s="63" t="s">
        <v>2121</v>
      </c>
      <c r="B310" s="94">
        <v>25.0</v>
      </c>
      <c r="C310" s="37" t="s">
        <v>2361</v>
      </c>
      <c r="D310" s="37" t="s">
        <v>2361</v>
      </c>
      <c r="E310" s="37" t="s">
        <v>2361</v>
      </c>
      <c r="F310" s="36"/>
      <c r="G310" s="36"/>
      <c r="H310" s="19"/>
      <c r="I310" s="19"/>
      <c r="J310" s="19"/>
      <c r="K310" s="19"/>
      <c r="L310" s="19"/>
      <c r="M310" s="19"/>
      <c r="N310" s="19"/>
      <c r="O310" s="19"/>
      <c r="P310" s="19"/>
      <c r="Q310" s="19"/>
      <c r="R310" s="19"/>
      <c r="S310" s="19"/>
      <c r="T310" s="19"/>
      <c r="U310" s="19"/>
      <c r="V310" s="19"/>
      <c r="W310" s="19"/>
      <c r="X310" s="19"/>
      <c r="Y310" s="19"/>
      <c r="Z310" s="19"/>
      <c r="AA310" s="19"/>
      <c r="AB310" s="19"/>
      <c r="AC310" s="19"/>
      <c r="AD310" s="19"/>
      <c r="AE310" s="19"/>
      <c r="AF310" s="19"/>
    </row>
    <row r="311" ht="15.75" customHeight="1">
      <c r="A311" s="75" t="s">
        <v>2121</v>
      </c>
      <c r="B311" s="76">
        <v>26.0</v>
      </c>
      <c r="C311" s="31" t="s">
        <v>2377</v>
      </c>
      <c r="D311" s="31" t="s">
        <v>2377</v>
      </c>
      <c r="E311" s="31" t="s">
        <v>2377</v>
      </c>
      <c r="F311" s="29"/>
      <c r="G311" s="29"/>
      <c r="H311" s="33"/>
      <c r="I311" s="33"/>
      <c r="J311" s="33"/>
      <c r="K311" s="33"/>
      <c r="L311" s="33"/>
      <c r="M311" s="33"/>
      <c r="N311" s="33"/>
      <c r="O311" s="33"/>
      <c r="P311" s="33"/>
      <c r="Q311" s="33"/>
      <c r="R311" s="33"/>
      <c r="S311" s="33"/>
      <c r="T311" s="33"/>
      <c r="U311" s="33"/>
      <c r="V311" s="33"/>
      <c r="W311" s="33"/>
      <c r="X311" s="33"/>
      <c r="Y311" s="33"/>
      <c r="Z311" s="33"/>
      <c r="AA311" s="33"/>
      <c r="AB311" s="33"/>
      <c r="AC311" s="33"/>
      <c r="AD311" s="33"/>
      <c r="AE311" s="33"/>
      <c r="AF311" s="33"/>
    </row>
    <row r="312" ht="15.75" customHeight="1">
      <c r="A312" s="75" t="s">
        <v>2121</v>
      </c>
      <c r="B312" s="76">
        <v>27.0</v>
      </c>
      <c r="C312" s="31" t="s">
        <v>2388</v>
      </c>
      <c r="D312" s="31" t="s">
        <v>2388</v>
      </c>
      <c r="E312" s="225" t="s">
        <v>2388</v>
      </c>
      <c r="F312" s="162"/>
      <c r="G312" s="162"/>
      <c r="H312" s="33"/>
      <c r="I312" s="33"/>
      <c r="J312" s="33"/>
      <c r="K312" s="33"/>
      <c r="L312" s="33"/>
      <c r="M312" s="33"/>
      <c r="N312" s="33"/>
      <c r="O312" s="33"/>
      <c r="P312" s="33"/>
      <c r="Q312" s="33"/>
      <c r="R312" s="33"/>
      <c r="S312" s="33"/>
      <c r="T312" s="33"/>
      <c r="U312" s="33"/>
      <c r="V312" s="33"/>
      <c r="W312" s="33"/>
      <c r="X312" s="33"/>
      <c r="Y312" s="33"/>
      <c r="Z312" s="33"/>
      <c r="AA312" s="33"/>
      <c r="AB312" s="33"/>
      <c r="AC312" s="33"/>
      <c r="AD312" s="33"/>
      <c r="AE312" s="33"/>
      <c r="AF312" s="33"/>
    </row>
    <row r="313" ht="15.75" customHeight="1">
      <c r="A313" s="75" t="s">
        <v>2121</v>
      </c>
      <c r="B313" s="76">
        <v>28.0</v>
      </c>
      <c r="C313" s="31" t="s">
        <v>2400</v>
      </c>
      <c r="D313" s="31" t="s">
        <v>2400</v>
      </c>
      <c r="E313" s="31" t="s">
        <v>2400</v>
      </c>
      <c r="F313" s="29"/>
      <c r="G313" s="29"/>
      <c r="H313" s="33"/>
      <c r="I313" s="33"/>
      <c r="J313" s="33"/>
      <c r="K313" s="33"/>
      <c r="L313" s="33"/>
      <c r="M313" s="33"/>
      <c r="N313" s="33"/>
      <c r="O313" s="33"/>
      <c r="P313" s="33"/>
      <c r="Q313" s="33"/>
      <c r="R313" s="33"/>
      <c r="S313" s="33"/>
      <c r="T313" s="33"/>
      <c r="U313" s="33"/>
      <c r="V313" s="33"/>
      <c r="W313" s="33"/>
      <c r="X313" s="33"/>
      <c r="Y313" s="33"/>
      <c r="Z313" s="33"/>
      <c r="AA313" s="33"/>
      <c r="AB313" s="33"/>
      <c r="AC313" s="33"/>
      <c r="AD313" s="33"/>
      <c r="AE313" s="33"/>
      <c r="AF313" s="33"/>
    </row>
    <row r="314" ht="15.75" customHeight="1">
      <c r="A314" s="75" t="s">
        <v>2121</v>
      </c>
      <c r="B314" s="76">
        <v>29.0</v>
      </c>
      <c r="C314" s="31" t="s">
        <v>2412</v>
      </c>
      <c r="D314" s="31" t="s">
        <v>2412</v>
      </c>
      <c r="E314" s="78" t="s">
        <v>2412</v>
      </c>
      <c r="F314" s="162"/>
      <c r="G314" s="29"/>
      <c r="H314" s="33"/>
      <c r="I314" s="33"/>
      <c r="J314" s="33"/>
      <c r="K314" s="33"/>
      <c r="L314" s="33"/>
      <c r="M314" s="33"/>
      <c r="N314" s="33"/>
      <c r="O314" s="33"/>
      <c r="P314" s="33"/>
      <c r="Q314" s="33"/>
      <c r="R314" s="33"/>
      <c r="S314" s="33"/>
      <c r="T314" s="33"/>
      <c r="U314" s="33"/>
      <c r="V314" s="33"/>
      <c r="W314" s="33"/>
      <c r="X314" s="33"/>
      <c r="Y314" s="33"/>
      <c r="Z314" s="33"/>
      <c r="AA314" s="33"/>
      <c r="AB314" s="33"/>
      <c r="AC314" s="33"/>
      <c r="AD314" s="33"/>
      <c r="AE314" s="33"/>
      <c r="AF314" s="33"/>
    </row>
    <row r="315" ht="15.75" customHeight="1">
      <c r="A315" s="75" t="s">
        <v>2121</v>
      </c>
      <c r="B315" s="76">
        <v>30.0</v>
      </c>
      <c r="C315" s="31" t="s">
        <v>2420</v>
      </c>
      <c r="D315" s="31" t="s">
        <v>2420</v>
      </c>
      <c r="E315" s="78" t="s">
        <v>2420</v>
      </c>
      <c r="F315" s="162"/>
      <c r="G315" s="162"/>
      <c r="H315" s="33"/>
      <c r="I315" s="33"/>
      <c r="J315" s="33"/>
      <c r="K315" s="33"/>
      <c r="L315" s="33"/>
      <c r="M315" s="33"/>
      <c r="N315" s="33"/>
      <c r="O315" s="33"/>
      <c r="P315" s="33"/>
      <c r="Q315" s="33"/>
      <c r="R315" s="33"/>
      <c r="S315" s="33"/>
      <c r="T315" s="33"/>
      <c r="U315" s="33"/>
      <c r="V315" s="33"/>
      <c r="W315" s="33"/>
      <c r="X315" s="33"/>
      <c r="Y315" s="33"/>
      <c r="Z315" s="33"/>
      <c r="AA315" s="33"/>
      <c r="AB315" s="33"/>
      <c r="AC315" s="33"/>
      <c r="AD315" s="33"/>
      <c r="AE315" s="33"/>
      <c r="AF315" s="33"/>
    </row>
    <row r="316" ht="15.75" customHeight="1">
      <c r="A316" s="75" t="s">
        <v>2121</v>
      </c>
      <c r="B316" s="76">
        <v>31.0</v>
      </c>
      <c r="C316" s="31" t="s">
        <v>2429</v>
      </c>
      <c r="D316" s="31" t="s">
        <v>2429</v>
      </c>
      <c r="E316" s="225" t="s">
        <v>2429</v>
      </c>
      <c r="F316" s="29"/>
      <c r="G316" s="29"/>
      <c r="H316" s="33"/>
      <c r="I316" s="33"/>
      <c r="J316" s="33"/>
      <c r="K316" s="33"/>
      <c r="L316" s="33"/>
      <c r="M316" s="33"/>
      <c r="N316" s="33"/>
      <c r="O316" s="33"/>
      <c r="P316" s="33"/>
      <c r="Q316" s="33"/>
      <c r="R316" s="33"/>
      <c r="S316" s="33"/>
      <c r="T316" s="33"/>
      <c r="U316" s="33"/>
      <c r="V316" s="33"/>
      <c r="W316" s="33"/>
      <c r="X316" s="33"/>
      <c r="Y316" s="33"/>
      <c r="Z316" s="33"/>
      <c r="AA316" s="33"/>
      <c r="AB316" s="33"/>
      <c r="AC316" s="33"/>
      <c r="AD316" s="33"/>
      <c r="AE316" s="33"/>
      <c r="AF316" s="33"/>
    </row>
    <row r="317" ht="15.75" customHeight="1">
      <c r="A317" s="63" t="s">
        <v>2121</v>
      </c>
      <c r="B317" s="94">
        <v>32.0</v>
      </c>
      <c r="C317" s="37" t="s">
        <v>2442</v>
      </c>
      <c r="D317" s="37" t="s">
        <v>2442</v>
      </c>
      <c r="E317" s="37" t="s">
        <v>2442</v>
      </c>
      <c r="F317" s="36"/>
      <c r="G317" s="36"/>
      <c r="H317" s="19"/>
      <c r="I317" s="19"/>
      <c r="J317" s="19"/>
      <c r="K317" s="19"/>
      <c r="L317" s="19"/>
      <c r="M317" s="19"/>
      <c r="N317" s="19"/>
      <c r="O317" s="19"/>
      <c r="P317" s="19"/>
      <c r="Q317" s="19"/>
      <c r="R317" s="19"/>
      <c r="S317" s="19"/>
      <c r="T317" s="19"/>
      <c r="U317" s="19"/>
      <c r="V317" s="19"/>
      <c r="W317" s="19"/>
      <c r="X317" s="19"/>
      <c r="Y317" s="19"/>
      <c r="Z317" s="19"/>
      <c r="AA317" s="19"/>
      <c r="AB317" s="19"/>
      <c r="AC317" s="19"/>
      <c r="AD317" s="19"/>
      <c r="AE317" s="19"/>
      <c r="AF317" s="19"/>
    </row>
    <row r="318" ht="15.75" customHeight="1">
      <c r="A318" s="63" t="s">
        <v>2121</v>
      </c>
      <c r="B318" s="94">
        <v>33.0</v>
      </c>
      <c r="C318" s="37" t="s">
        <v>2455</v>
      </c>
      <c r="D318" s="37" t="s">
        <v>2455</v>
      </c>
      <c r="E318" s="71" t="s">
        <v>2455</v>
      </c>
      <c r="F318" s="36"/>
      <c r="G318" s="36"/>
      <c r="H318" s="19"/>
      <c r="I318" s="19"/>
      <c r="J318" s="19"/>
      <c r="K318" s="19"/>
      <c r="L318" s="19"/>
      <c r="M318" s="19"/>
      <c r="N318" s="19"/>
      <c r="O318" s="19"/>
      <c r="P318" s="19"/>
      <c r="Q318" s="19"/>
      <c r="R318" s="19"/>
      <c r="S318" s="19"/>
      <c r="T318" s="19"/>
      <c r="U318" s="19"/>
      <c r="V318" s="19"/>
      <c r="W318" s="19"/>
      <c r="X318" s="19"/>
      <c r="Y318" s="19"/>
      <c r="Z318" s="19"/>
      <c r="AA318" s="19"/>
      <c r="AB318" s="19"/>
      <c r="AC318" s="19"/>
      <c r="AD318" s="19"/>
      <c r="AE318" s="19"/>
      <c r="AF318" s="19"/>
    </row>
    <row r="319" ht="15.75" customHeight="1">
      <c r="A319" s="75" t="s">
        <v>2121</v>
      </c>
      <c r="B319" s="76">
        <v>34.0</v>
      </c>
      <c r="C319" s="31" t="s">
        <v>2470</v>
      </c>
      <c r="D319" s="31" t="s">
        <v>2470</v>
      </c>
      <c r="E319" s="78" t="s">
        <v>2470</v>
      </c>
      <c r="F319" s="29"/>
      <c r="G319" s="29"/>
      <c r="H319" s="33"/>
      <c r="I319" s="33"/>
      <c r="J319" s="33"/>
      <c r="K319" s="33"/>
      <c r="L319" s="33"/>
      <c r="M319" s="33"/>
      <c r="N319" s="33"/>
      <c r="O319" s="33"/>
      <c r="P319" s="33"/>
      <c r="Q319" s="33"/>
      <c r="R319" s="33"/>
      <c r="S319" s="33"/>
      <c r="T319" s="33"/>
      <c r="U319" s="33"/>
      <c r="V319" s="33"/>
      <c r="W319" s="33"/>
      <c r="X319" s="33"/>
      <c r="Y319" s="33"/>
      <c r="Z319" s="33"/>
      <c r="AA319" s="33"/>
      <c r="AB319" s="33"/>
      <c r="AC319" s="33"/>
      <c r="AD319" s="33"/>
      <c r="AE319" s="33"/>
      <c r="AF319" s="33"/>
    </row>
    <row r="320" ht="15.75" customHeight="1">
      <c r="A320" s="75" t="s">
        <v>2121</v>
      </c>
      <c r="B320" s="76">
        <v>35.0</v>
      </c>
      <c r="C320" s="31" t="s">
        <v>2480</v>
      </c>
      <c r="D320" s="31" t="s">
        <v>2480</v>
      </c>
      <c r="E320" s="31" t="s">
        <v>2480</v>
      </c>
      <c r="F320" s="29"/>
      <c r="G320" s="29"/>
      <c r="H320" s="33"/>
      <c r="I320" s="33"/>
      <c r="J320" s="33"/>
      <c r="K320" s="33"/>
      <c r="L320" s="33"/>
      <c r="M320" s="33"/>
      <c r="N320" s="33"/>
      <c r="O320" s="33"/>
      <c r="P320" s="33"/>
      <c r="Q320" s="33"/>
      <c r="R320" s="33"/>
      <c r="S320" s="33"/>
      <c r="T320" s="33"/>
      <c r="U320" s="33"/>
      <c r="V320" s="33"/>
      <c r="W320" s="33"/>
      <c r="X320" s="33"/>
      <c r="Y320" s="33"/>
      <c r="Z320" s="33"/>
      <c r="AA320" s="33"/>
      <c r="AB320" s="33"/>
      <c r="AC320" s="33"/>
      <c r="AD320" s="33"/>
      <c r="AE320" s="33"/>
      <c r="AF320" s="33"/>
    </row>
    <row r="321" ht="15.75" customHeight="1">
      <c r="A321" s="75" t="s">
        <v>2121</v>
      </c>
      <c r="B321" s="76">
        <v>36.0</v>
      </c>
      <c r="C321" s="31" t="s">
        <v>2495</v>
      </c>
      <c r="D321" s="31" t="s">
        <v>2495</v>
      </c>
      <c r="E321" s="31" t="s">
        <v>2495</v>
      </c>
      <c r="F321" s="29"/>
      <c r="G321" s="29"/>
      <c r="H321" s="33"/>
      <c r="I321" s="33"/>
      <c r="J321" s="33"/>
      <c r="K321" s="33"/>
      <c r="L321" s="33"/>
      <c r="M321" s="33"/>
      <c r="N321" s="33"/>
      <c r="O321" s="33"/>
      <c r="P321" s="33"/>
      <c r="Q321" s="33"/>
      <c r="R321" s="33"/>
      <c r="S321" s="33"/>
      <c r="T321" s="33"/>
      <c r="U321" s="33"/>
      <c r="V321" s="33"/>
      <c r="W321" s="33"/>
      <c r="X321" s="33"/>
      <c r="Y321" s="33"/>
      <c r="Z321" s="33"/>
      <c r="AA321" s="33"/>
      <c r="AB321" s="33"/>
      <c r="AC321" s="33"/>
      <c r="AD321" s="33"/>
      <c r="AE321" s="33"/>
      <c r="AF321" s="33"/>
    </row>
    <row r="322" ht="15.75" customHeight="1">
      <c r="A322" s="75" t="s">
        <v>2121</v>
      </c>
      <c r="B322" s="76">
        <v>37.0</v>
      </c>
      <c r="C322" s="31" t="s">
        <v>2511</v>
      </c>
      <c r="D322" s="31" t="s">
        <v>2511</v>
      </c>
      <c r="E322" s="31" t="s">
        <v>2511</v>
      </c>
      <c r="F322" s="29"/>
      <c r="G322" s="29"/>
      <c r="H322" s="33"/>
      <c r="I322" s="33"/>
      <c r="J322" s="33"/>
      <c r="K322" s="33"/>
      <c r="L322" s="33"/>
      <c r="M322" s="33"/>
      <c r="N322" s="33"/>
      <c r="O322" s="33"/>
      <c r="P322" s="33"/>
      <c r="Q322" s="33"/>
      <c r="R322" s="33"/>
      <c r="S322" s="33"/>
      <c r="T322" s="33"/>
      <c r="U322" s="33"/>
      <c r="V322" s="33"/>
      <c r="W322" s="33"/>
      <c r="X322" s="33"/>
      <c r="Y322" s="33"/>
      <c r="Z322" s="33"/>
      <c r="AA322" s="33"/>
      <c r="AB322" s="33"/>
      <c r="AC322" s="33"/>
      <c r="AD322" s="33"/>
      <c r="AE322" s="33"/>
      <c r="AF322" s="33"/>
    </row>
    <row r="323" ht="15.75" customHeight="1">
      <c r="A323" s="75" t="s">
        <v>2121</v>
      </c>
      <c r="B323" s="76">
        <v>38.0</v>
      </c>
      <c r="C323" s="31" t="s">
        <v>2521</v>
      </c>
      <c r="D323" s="31" t="s">
        <v>2521</v>
      </c>
      <c r="E323" s="31" t="s">
        <v>2521</v>
      </c>
      <c r="F323" s="29"/>
      <c r="G323" s="29"/>
      <c r="H323" s="33"/>
      <c r="I323" s="33"/>
      <c r="J323" s="33"/>
      <c r="K323" s="33"/>
      <c r="L323" s="33"/>
      <c r="M323" s="33"/>
      <c r="N323" s="33"/>
      <c r="O323" s="33"/>
      <c r="P323" s="33"/>
      <c r="Q323" s="33"/>
      <c r="R323" s="33"/>
      <c r="S323" s="33"/>
      <c r="T323" s="33"/>
      <c r="U323" s="33"/>
      <c r="V323" s="33"/>
      <c r="W323" s="33"/>
      <c r="X323" s="33"/>
      <c r="Y323" s="33"/>
      <c r="Z323" s="33"/>
      <c r="AA323" s="33"/>
      <c r="AB323" s="33"/>
      <c r="AC323" s="33"/>
      <c r="AD323" s="33"/>
      <c r="AE323" s="33"/>
      <c r="AF323" s="33"/>
    </row>
    <row r="324" ht="15.75" customHeight="1">
      <c r="A324" s="75" t="s">
        <v>2121</v>
      </c>
      <c r="B324" s="76">
        <v>39.0</v>
      </c>
      <c r="C324" s="31" t="s">
        <v>2533</v>
      </c>
      <c r="D324" s="31" t="s">
        <v>2533</v>
      </c>
      <c r="E324" s="78" t="s">
        <v>2533</v>
      </c>
      <c r="F324" s="162"/>
      <c r="G324" s="162"/>
      <c r="H324" s="33"/>
      <c r="I324" s="33"/>
      <c r="J324" s="33"/>
      <c r="K324" s="33"/>
      <c r="L324" s="33"/>
      <c r="M324" s="33"/>
      <c r="N324" s="33"/>
      <c r="O324" s="33"/>
      <c r="P324" s="33"/>
      <c r="Q324" s="33"/>
      <c r="R324" s="33"/>
      <c r="S324" s="33"/>
      <c r="T324" s="33"/>
      <c r="U324" s="33"/>
      <c r="V324" s="33"/>
      <c r="W324" s="33"/>
      <c r="X324" s="33"/>
      <c r="Y324" s="33"/>
      <c r="Z324" s="33"/>
      <c r="AA324" s="33"/>
      <c r="AB324" s="33"/>
      <c r="AC324" s="33"/>
      <c r="AD324" s="33"/>
      <c r="AE324" s="33"/>
      <c r="AF324" s="33"/>
    </row>
    <row r="325" ht="15.75" customHeight="1">
      <c r="A325" s="75" t="s">
        <v>2121</v>
      </c>
      <c r="B325" s="76">
        <v>40.0</v>
      </c>
      <c r="C325" s="31" t="s">
        <v>2544</v>
      </c>
      <c r="D325" s="31" t="s">
        <v>2544</v>
      </c>
      <c r="E325" s="31" t="s">
        <v>2544</v>
      </c>
      <c r="F325" s="29"/>
      <c r="G325" s="29"/>
      <c r="H325" s="33"/>
      <c r="I325" s="33"/>
      <c r="J325" s="33"/>
      <c r="K325" s="33"/>
      <c r="L325" s="33"/>
      <c r="M325" s="33"/>
      <c r="N325" s="33"/>
      <c r="O325" s="33"/>
      <c r="P325" s="33"/>
      <c r="Q325" s="33"/>
      <c r="R325" s="33"/>
      <c r="S325" s="33"/>
      <c r="T325" s="33"/>
      <c r="U325" s="33"/>
      <c r="V325" s="33"/>
      <c r="W325" s="33"/>
      <c r="X325" s="33"/>
      <c r="Y325" s="33"/>
      <c r="Z325" s="33"/>
      <c r="AA325" s="33"/>
      <c r="AB325" s="33"/>
      <c r="AC325" s="33"/>
      <c r="AD325" s="33"/>
      <c r="AE325" s="33"/>
      <c r="AF325" s="33"/>
    </row>
    <row r="326" ht="15.75" customHeight="1">
      <c r="A326" s="63" t="s">
        <v>2121</v>
      </c>
      <c r="B326" s="94">
        <v>41.0</v>
      </c>
      <c r="C326" s="37" t="s">
        <v>2558</v>
      </c>
      <c r="D326" s="37" t="s">
        <v>2558</v>
      </c>
      <c r="E326" s="37" t="s">
        <v>2558</v>
      </c>
      <c r="F326" s="36"/>
      <c r="G326" s="36"/>
      <c r="H326" s="19"/>
      <c r="I326" s="19"/>
      <c r="J326" s="19"/>
      <c r="K326" s="19"/>
      <c r="L326" s="19"/>
      <c r="M326" s="19"/>
      <c r="N326" s="19"/>
      <c r="O326" s="19"/>
      <c r="P326" s="19"/>
      <c r="Q326" s="19"/>
      <c r="R326" s="19"/>
      <c r="S326" s="19"/>
      <c r="T326" s="19"/>
      <c r="U326" s="19"/>
      <c r="V326" s="19"/>
      <c r="W326" s="19"/>
      <c r="X326" s="19"/>
      <c r="Y326" s="19"/>
      <c r="Z326" s="19"/>
      <c r="AA326" s="19"/>
      <c r="AB326" s="19"/>
      <c r="AC326" s="19"/>
      <c r="AD326" s="19"/>
      <c r="AE326" s="19"/>
      <c r="AF326" s="19"/>
    </row>
    <row r="327" ht="15.75" customHeight="1">
      <c r="A327" s="63" t="s">
        <v>2121</v>
      </c>
      <c r="B327" s="94">
        <v>42.0</v>
      </c>
      <c r="C327" s="37" t="s">
        <v>2576</v>
      </c>
      <c r="D327" s="37" t="s">
        <v>2576</v>
      </c>
      <c r="E327" s="37" t="s">
        <v>2576</v>
      </c>
      <c r="F327" s="36"/>
      <c r="G327" s="36"/>
      <c r="H327" s="19"/>
      <c r="I327" s="19"/>
      <c r="J327" s="19"/>
      <c r="K327" s="19"/>
      <c r="L327" s="19"/>
      <c r="M327" s="19"/>
      <c r="N327" s="19"/>
      <c r="O327" s="19"/>
      <c r="P327" s="19"/>
      <c r="Q327" s="19"/>
      <c r="R327" s="19"/>
      <c r="S327" s="19"/>
      <c r="T327" s="19"/>
      <c r="U327" s="19"/>
      <c r="V327" s="19"/>
      <c r="W327" s="19"/>
      <c r="X327" s="19"/>
      <c r="Y327" s="19"/>
      <c r="Z327" s="19"/>
      <c r="AA327" s="19"/>
      <c r="AB327" s="19"/>
      <c r="AC327" s="19"/>
      <c r="AD327" s="19"/>
      <c r="AE327" s="19"/>
      <c r="AF327" s="19"/>
    </row>
    <row r="328" ht="15.75" customHeight="1">
      <c r="A328" s="100"/>
      <c r="B328" s="102"/>
      <c r="C328" s="100"/>
      <c r="D328" s="100"/>
      <c r="E328" s="165"/>
      <c r="F328" s="33"/>
      <c r="G328" s="33"/>
      <c r="H328" s="33"/>
      <c r="I328" s="33"/>
      <c r="J328" s="33"/>
      <c r="K328" s="33"/>
      <c r="L328" s="33"/>
      <c r="M328" s="33"/>
      <c r="N328" s="33"/>
      <c r="O328" s="33"/>
      <c r="P328" s="33"/>
      <c r="Q328" s="33"/>
      <c r="R328" s="33"/>
      <c r="S328" s="33"/>
      <c r="T328" s="33"/>
      <c r="U328" s="33"/>
      <c r="V328" s="33"/>
      <c r="W328" s="33"/>
      <c r="X328" s="33"/>
      <c r="Y328" s="33"/>
      <c r="Z328" s="33"/>
      <c r="AA328" s="33"/>
      <c r="AB328" s="33"/>
      <c r="AC328" s="33"/>
      <c r="AD328" s="33"/>
      <c r="AE328" s="33"/>
      <c r="AF328" s="33"/>
    </row>
    <row r="329" ht="15.75" customHeight="1">
      <c r="A329" s="110" t="s">
        <v>2595</v>
      </c>
      <c r="B329" s="111">
        <v>0.0</v>
      </c>
      <c r="C329" s="116" t="s">
        <v>199</v>
      </c>
      <c r="D329" s="116" t="s">
        <v>201</v>
      </c>
      <c r="E329" s="116" t="s">
        <v>203</v>
      </c>
      <c r="F329" s="114"/>
      <c r="G329" s="188">
        <v>0.0</v>
      </c>
      <c r="H329" s="44"/>
      <c r="I329" s="44"/>
      <c r="J329" s="44"/>
      <c r="K329" s="44"/>
      <c r="L329" s="44"/>
      <c r="M329" s="44"/>
      <c r="N329" s="44"/>
      <c r="O329" s="44"/>
      <c r="P329" s="44"/>
      <c r="Q329" s="44"/>
      <c r="R329" s="44"/>
      <c r="S329" s="44"/>
      <c r="T329" s="44"/>
      <c r="U329" s="44"/>
      <c r="V329" s="44"/>
      <c r="W329" s="44"/>
      <c r="X329" s="44"/>
      <c r="Y329" s="44"/>
      <c r="Z329" s="44"/>
      <c r="AA329" s="44"/>
      <c r="AB329" s="44"/>
      <c r="AC329" s="44"/>
      <c r="AD329" s="44"/>
      <c r="AE329" s="44"/>
      <c r="AF329" s="44"/>
    </row>
    <row r="330" ht="15.75" customHeight="1">
      <c r="A330" s="75" t="s">
        <v>2595</v>
      </c>
      <c r="B330" s="76">
        <v>2.0</v>
      </c>
      <c r="C330" s="31" t="s">
        <v>831</v>
      </c>
      <c r="D330" s="31" t="s">
        <v>832</v>
      </c>
      <c r="E330" s="31" t="s">
        <v>833</v>
      </c>
      <c r="F330" s="29"/>
      <c r="G330" s="25">
        <v>1.0</v>
      </c>
      <c r="H330" s="33"/>
      <c r="I330" s="33"/>
      <c r="J330" s="33"/>
      <c r="K330" s="33"/>
      <c r="L330" s="33"/>
      <c r="M330" s="33"/>
      <c r="N330" s="33"/>
      <c r="O330" s="33"/>
      <c r="P330" s="33"/>
      <c r="Q330" s="33"/>
      <c r="R330" s="33"/>
      <c r="S330" s="33"/>
      <c r="T330" s="33"/>
      <c r="U330" s="33"/>
      <c r="V330" s="33"/>
      <c r="W330" s="33"/>
      <c r="X330" s="33"/>
      <c r="Y330" s="33"/>
      <c r="Z330" s="33"/>
      <c r="AA330" s="33"/>
      <c r="AB330" s="33"/>
      <c r="AC330" s="33"/>
      <c r="AD330" s="33"/>
      <c r="AE330" s="33"/>
      <c r="AF330" s="33"/>
    </row>
    <row r="331" ht="15.75" customHeight="1">
      <c r="A331" s="75" t="s">
        <v>2595</v>
      </c>
      <c r="B331" s="76">
        <v>3.0</v>
      </c>
      <c r="C331" s="31" t="s">
        <v>835</v>
      </c>
      <c r="D331" s="31" t="s">
        <v>836</v>
      </c>
      <c r="E331" s="31" t="s">
        <v>835</v>
      </c>
      <c r="F331" s="29"/>
      <c r="G331" s="25">
        <v>2.0</v>
      </c>
      <c r="H331" s="33"/>
      <c r="I331" s="33"/>
      <c r="J331" s="33"/>
      <c r="K331" s="33"/>
      <c r="L331" s="33"/>
      <c r="M331" s="33"/>
      <c r="N331" s="33"/>
      <c r="O331" s="33"/>
      <c r="P331" s="33"/>
      <c r="Q331" s="33"/>
      <c r="R331" s="33"/>
      <c r="S331" s="33"/>
      <c r="T331" s="33"/>
      <c r="U331" s="33"/>
      <c r="V331" s="33"/>
      <c r="W331" s="33"/>
      <c r="X331" s="33"/>
      <c r="Y331" s="33"/>
      <c r="Z331" s="33"/>
      <c r="AA331" s="33"/>
      <c r="AB331" s="33"/>
      <c r="AC331" s="33"/>
      <c r="AD331" s="33"/>
      <c r="AE331" s="33"/>
      <c r="AF331" s="33"/>
    </row>
    <row r="332" ht="15.75" customHeight="1">
      <c r="A332" s="75" t="s">
        <v>2595</v>
      </c>
      <c r="B332" s="76">
        <v>4.0</v>
      </c>
      <c r="C332" s="31" t="s">
        <v>845</v>
      </c>
      <c r="D332" s="31" t="s">
        <v>845</v>
      </c>
      <c r="E332" s="31" t="s">
        <v>845</v>
      </c>
      <c r="F332" s="29"/>
      <c r="G332" s="25">
        <v>3.0</v>
      </c>
      <c r="H332" s="33"/>
      <c r="I332" s="33"/>
      <c r="J332" s="33"/>
      <c r="K332" s="33"/>
      <c r="L332" s="33"/>
      <c r="M332" s="33"/>
      <c r="N332" s="33"/>
      <c r="O332" s="33"/>
      <c r="P332" s="33"/>
      <c r="Q332" s="33"/>
      <c r="R332" s="33"/>
      <c r="S332" s="33"/>
      <c r="T332" s="33"/>
      <c r="U332" s="33"/>
      <c r="V332" s="33"/>
      <c r="W332" s="33"/>
      <c r="X332" s="33"/>
      <c r="Y332" s="33"/>
      <c r="Z332" s="33"/>
      <c r="AA332" s="33"/>
      <c r="AB332" s="33"/>
      <c r="AC332" s="33"/>
      <c r="AD332" s="33"/>
      <c r="AE332" s="33"/>
      <c r="AF332" s="33"/>
    </row>
    <row r="333" ht="15.75" customHeight="1">
      <c r="A333" s="75" t="s">
        <v>2595</v>
      </c>
      <c r="B333" s="76">
        <v>5.0</v>
      </c>
      <c r="C333" s="31" t="s">
        <v>856</v>
      </c>
      <c r="D333" s="31" t="s">
        <v>857</v>
      </c>
      <c r="E333" s="31" t="s">
        <v>858</v>
      </c>
      <c r="F333" s="29"/>
      <c r="G333" s="25">
        <v>4.0</v>
      </c>
      <c r="H333" s="33"/>
      <c r="I333" s="33"/>
      <c r="J333" s="33"/>
      <c r="K333" s="33"/>
      <c r="L333" s="33"/>
      <c r="M333" s="33"/>
      <c r="N333" s="33"/>
      <c r="O333" s="33"/>
      <c r="P333" s="33"/>
      <c r="Q333" s="33"/>
      <c r="R333" s="33"/>
      <c r="S333" s="33"/>
      <c r="T333" s="33"/>
      <c r="U333" s="33"/>
      <c r="V333" s="33"/>
      <c r="W333" s="33"/>
      <c r="X333" s="33"/>
      <c r="Y333" s="33"/>
      <c r="Z333" s="33"/>
      <c r="AA333" s="33"/>
      <c r="AB333" s="33"/>
      <c r="AC333" s="33"/>
      <c r="AD333" s="33"/>
      <c r="AE333" s="33"/>
      <c r="AF333" s="33"/>
    </row>
    <row r="334" ht="15.75" customHeight="1">
      <c r="A334" s="75" t="s">
        <v>2595</v>
      </c>
      <c r="B334" s="76">
        <v>6.0</v>
      </c>
      <c r="C334" s="31" t="s">
        <v>863</v>
      </c>
      <c r="D334" s="31" t="s">
        <v>865</v>
      </c>
      <c r="E334" s="78" t="s">
        <v>866</v>
      </c>
      <c r="F334" s="29"/>
      <c r="G334" s="25">
        <v>5.0</v>
      </c>
      <c r="H334" s="33"/>
      <c r="I334" s="33"/>
      <c r="J334" s="33"/>
      <c r="K334" s="33"/>
      <c r="L334" s="33"/>
      <c r="M334" s="33"/>
      <c r="N334" s="33"/>
      <c r="O334" s="33"/>
      <c r="P334" s="33"/>
      <c r="Q334" s="33"/>
      <c r="R334" s="33"/>
      <c r="S334" s="33"/>
      <c r="T334" s="33"/>
      <c r="U334" s="33"/>
      <c r="V334" s="33"/>
      <c r="W334" s="33"/>
      <c r="X334" s="33"/>
      <c r="Y334" s="33"/>
      <c r="Z334" s="33"/>
      <c r="AA334" s="33"/>
      <c r="AB334" s="33"/>
      <c r="AC334" s="33"/>
      <c r="AD334" s="33"/>
      <c r="AE334" s="33"/>
      <c r="AF334" s="33"/>
    </row>
    <row r="335" ht="15.75" customHeight="1">
      <c r="A335" s="75" t="s">
        <v>2595</v>
      </c>
      <c r="B335" s="76">
        <v>7.0</v>
      </c>
      <c r="C335" s="31" t="s">
        <v>869</v>
      </c>
      <c r="D335" s="31" t="s">
        <v>870</v>
      </c>
      <c r="E335" s="31" t="s">
        <v>869</v>
      </c>
      <c r="F335" s="29"/>
      <c r="G335" s="25">
        <v>6.0</v>
      </c>
      <c r="H335" s="33"/>
      <c r="I335" s="33"/>
      <c r="J335" s="33"/>
      <c r="K335" s="33"/>
      <c r="L335" s="33"/>
      <c r="M335" s="33"/>
      <c r="N335" s="33"/>
      <c r="O335" s="33"/>
      <c r="P335" s="33"/>
      <c r="Q335" s="33"/>
      <c r="R335" s="33"/>
      <c r="S335" s="33"/>
      <c r="T335" s="33"/>
      <c r="U335" s="33"/>
      <c r="V335" s="33"/>
      <c r="W335" s="33"/>
      <c r="X335" s="33"/>
      <c r="Y335" s="33"/>
      <c r="Z335" s="33"/>
      <c r="AA335" s="33"/>
      <c r="AB335" s="33"/>
      <c r="AC335" s="33"/>
      <c r="AD335" s="33"/>
      <c r="AE335" s="33"/>
      <c r="AF335" s="33"/>
    </row>
    <row r="336" ht="15.75" customHeight="1">
      <c r="A336" s="75" t="s">
        <v>2595</v>
      </c>
      <c r="B336" s="76">
        <v>8.0</v>
      </c>
      <c r="C336" s="31" t="s">
        <v>879</v>
      </c>
      <c r="D336" s="31" t="s">
        <v>879</v>
      </c>
      <c r="E336" s="31" t="s">
        <v>879</v>
      </c>
      <c r="F336" s="29"/>
      <c r="G336" s="25">
        <v>7.0</v>
      </c>
      <c r="H336" s="33"/>
      <c r="I336" s="33"/>
      <c r="J336" s="33"/>
      <c r="K336" s="33"/>
      <c r="L336" s="33"/>
      <c r="M336" s="33"/>
      <c r="N336" s="33"/>
      <c r="O336" s="33"/>
      <c r="P336" s="33"/>
      <c r="Q336" s="33"/>
      <c r="R336" s="33"/>
      <c r="S336" s="33"/>
      <c r="T336" s="33"/>
      <c r="U336" s="33"/>
      <c r="V336" s="33"/>
      <c r="W336" s="33"/>
      <c r="X336" s="33"/>
      <c r="Y336" s="33"/>
      <c r="Z336" s="33"/>
      <c r="AA336" s="33"/>
      <c r="AB336" s="33"/>
      <c r="AC336" s="33"/>
      <c r="AD336" s="33"/>
      <c r="AE336" s="33"/>
      <c r="AF336" s="33"/>
    </row>
    <row r="337" ht="15.75" customHeight="1">
      <c r="A337" s="75" t="s">
        <v>2595</v>
      </c>
      <c r="B337" s="76">
        <v>9.0</v>
      </c>
      <c r="C337" s="31" t="s">
        <v>887</v>
      </c>
      <c r="D337" s="31" t="s">
        <v>887</v>
      </c>
      <c r="E337" s="31" t="s">
        <v>887</v>
      </c>
      <c r="F337" s="29"/>
      <c r="G337" s="25">
        <v>8.0</v>
      </c>
      <c r="H337" s="33"/>
      <c r="I337" s="33"/>
      <c r="J337" s="33"/>
      <c r="K337" s="33"/>
      <c r="L337" s="33"/>
      <c r="M337" s="33"/>
      <c r="N337" s="33"/>
      <c r="O337" s="33"/>
      <c r="P337" s="33"/>
      <c r="Q337" s="33"/>
      <c r="R337" s="33"/>
      <c r="S337" s="33"/>
      <c r="T337" s="33"/>
      <c r="U337" s="33"/>
      <c r="V337" s="33"/>
      <c r="W337" s="33"/>
      <c r="X337" s="33"/>
      <c r="Y337" s="33"/>
      <c r="Z337" s="33"/>
      <c r="AA337" s="33"/>
      <c r="AB337" s="33"/>
      <c r="AC337" s="33"/>
      <c r="AD337" s="33"/>
      <c r="AE337" s="33"/>
      <c r="AF337" s="33"/>
    </row>
    <row r="338" ht="15.75" customHeight="1">
      <c r="A338" s="75" t="s">
        <v>2595</v>
      </c>
      <c r="B338" s="76">
        <v>10.0</v>
      </c>
      <c r="C338" s="31" t="s">
        <v>899</v>
      </c>
      <c r="D338" s="31" t="s">
        <v>900</v>
      </c>
      <c r="E338" s="31" t="s">
        <v>901</v>
      </c>
      <c r="F338" s="29"/>
      <c r="G338" s="25">
        <v>9.0</v>
      </c>
      <c r="H338" s="33"/>
      <c r="I338" s="33"/>
      <c r="J338" s="33"/>
      <c r="K338" s="33"/>
      <c r="L338" s="33"/>
      <c r="M338" s="33"/>
      <c r="N338" s="33"/>
      <c r="O338" s="33"/>
      <c r="P338" s="33"/>
      <c r="Q338" s="33"/>
      <c r="R338" s="33"/>
      <c r="S338" s="33"/>
      <c r="T338" s="33"/>
      <c r="U338" s="33"/>
      <c r="V338" s="33"/>
      <c r="W338" s="33"/>
      <c r="X338" s="33"/>
      <c r="Y338" s="33"/>
      <c r="Z338" s="33"/>
      <c r="AA338" s="33"/>
      <c r="AB338" s="33"/>
      <c r="AC338" s="33"/>
      <c r="AD338" s="33"/>
      <c r="AE338" s="33"/>
      <c r="AF338" s="33"/>
    </row>
    <row r="339" ht="15.75" customHeight="1">
      <c r="A339" s="75" t="s">
        <v>2595</v>
      </c>
      <c r="B339" s="76">
        <v>11.0</v>
      </c>
      <c r="C339" s="31" t="s">
        <v>909</v>
      </c>
      <c r="D339" s="31" t="s">
        <v>910</v>
      </c>
      <c r="E339" s="31" t="s">
        <v>909</v>
      </c>
      <c r="F339" s="29"/>
      <c r="G339" s="25">
        <v>10.0</v>
      </c>
      <c r="H339" s="33"/>
      <c r="I339" s="33"/>
      <c r="J339" s="33"/>
      <c r="K339" s="33"/>
      <c r="L339" s="33"/>
      <c r="M339" s="33"/>
      <c r="N339" s="33"/>
      <c r="O339" s="33"/>
      <c r="P339" s="33"/>
      <c r="Q339" s="33"/>
      <c r="R339" s="33"/>
      <c r="S339" s="33"/>
      <c r="T339" s="33"/>
      <c r="U339" s="33"/>
      <c r="V339" s="33"/>
      <c r="W339" s="33"/>
      <c r="X339" s="33"/>
      <c r="Y339" s="33"/>
      <c r="Z339" s="33"/>
      <c r="AA339" s="33"/>
      <c r="AB339" s="33"/>
      <c r="AC339" s="33"/>
      <c r="AD339" s="33"/>
      <c r="AE339" s="33"/>
      <c r="AF339" s="33"/>
    </row>
    <row r="340" ht="15.75" customHeight="1">
      <c r="A340" s="75" t="s">
        <v>2595</v>
      </c>
      <c r="B340" s="76">
        <v>12.0</v>
      </c>
      <c r="C340" s="31" t="s">
        <v>917</v>
      </c>
      <c r="D340" s="31" t="s">
        <v>917</v>
      </c>
      <c r="E340" s="31" t="s">
        <v>917</v>
      </c>
      <c r="F340" s="29"/>
      <c r="G340" s="25">
        <v>11.0</v>
      </c>
      <c r="H340" s="33"/>
      <c r="I340" s="33"/>
      <c r="J340" s="33"/>
      <c r="K340" s="33"/>
      <c r="L340" s="33"/>
      <c r="M340" s="33"/>
      <c r="N340" s="33"/>
      <c r="O340" s="33"/>
      <c r="P340" s="33"/>
      <c r="Q340" s="33"/>
      <c r="R340" s="33"/>
      <c r="S340" s="33"/>
      <c r="T340" s="33"/>
      <c r="U340" s="33"/>
      <c r="V340" s="33"/>
      <c r="W340" s="33"/>
      <c r="X340" s="33"/>
      <c r="Y340" s="33"/>
      <c r="Z340" s="33"/>
      <c r="AA340" s="33"/>
      <c r="AB340" s="33"/>
      <c r="AC340" s="33"/>
      <c r="AD340" s="33"/>
      <c r="AE340" s="33"/>
      <c r="AF340" s="33"/>
    </row>
    <row r="341" ht="15.75" customHeight="1">
      <c r="A341" s="75" t="s">
        <v>2595</v>
      </c>
      <c r="B341" s="76">
        <v>13.0</v>
      </c>
      <c r="C341" s="31" t="s">
        <v>923</v>
      </c>
      <c r="D341" s="31" t="s">
        <v>924</v>
      </c>
      <c r="E341" s="31" t="s">
        <v>923</v>
      </c>
      <c r="F341" s="29"/>
      <c r="G341" s="25">
        <v>12.0</v>
      </c>
      <c r="H341" s="33"/>
      <c r="I341" s="33"/>
      <c r="J341" s="33"/>
      <c r="K341" s="33"/>
      <c r="L341" s="33"/>
      <c r="M341" s="33"/>
      <c r="N341" s="33"/>
      <c r="O341" s="33"/>
      <c r="P341" s="33"/>
      <c r="Q341" s="33"/>
      <c r="R341" s="33"/>
      <c r="S341" s="33"/>
      <c r="T341" s="33"/>
      <c r="U341" s="33"/>
      <c r="V341" s="33"/>
      <c r="W341" s="33"/>
      <c r="X341" s="33"/>
      <c r="Y341" s="33"/>
      <c r="Z341" s="33"/>
      <c r="AA341" s="33"/>
      <c r="AB341" s="33"/>
      <c r="AC341" s="33"/>
      <c r="AD341" s="33"/>
      <c r="AE341" s="33"/>
      <c r="AF341" s="33"/>
    </row>
    <row r="342" ht="15.75" customHeight="1">
      <c r="A342" s="75" t="s">
        <v>2595</v>
      </c>
      <c r="B342" s="76">
        <v>14.0</v>
      </c>
      <c r="C342" s="31" t="s">
        <v>932</v>
      </c>
      <c r="D342" s="31" t="s">
        <v>932</v>
      </c>
      <c r="E342" s="31" t="s">
        <v>932</v>
      </c>
      <c r="F342" s="29"/>
      <c r="G342" s="25">
        <v>13.0</v>
      </c>
      <c r="H342" s="33"/>
      <c r="I342" s="33"/>
      <c r="J342" s="33"/>
      <c r="K342" s="33"/>
      <c r="L342" s="33"/>
      <c r="M342" s="33"/>
      <c r="N342" s="33"/>
      <c r="O342" s="33"/>
      <c r="P342" s="33"/>
      <c r="Q342" s="33"/>
      <c r="R342" s="33"/>
      <c r="S342" s="33"/>
      <c r="T342" s="33"/>
      <c r="U342" s="33"/>
      <c r="V342" s="33"/>
      <c r="W342" s="33"/>
      <c r="X342" s="33"/>
      <c r="Y342" s="33"/>
      <c r="Z342" s="33"/>
      <c r="AA342" s="33"/>
      <c r="AB342" s="33"/>
      <c r="AC342" s="33"/>
      <c r="AD342" s="33"/>
      <c r="AE342" s="33"/>
      <c r="AF342" s="33"/>
    </row>
    <row r="343" ht="15.75" customHeight="1">
      <c r="A343" s="75" t="s">
        <v>2595</v>
      </c>
      <c r="B343" s="76">
        <v>15.0</v>
      </c>
      <c r="C343" s="31" t="s">
        <v>936</v>
      </c>
      <c r="D343" s="31" t="s">
        <v>937</v>
      </c>
      <c r="E343" s="31" t="s">
        <v>936</v>
      </c>
      <c r="F343" s="29"/>
      <c r="G343" s="25">
        <v>14.0</v>
      </c>
      <c r="H343" s="33"/>
      <c r="I343" s="33"/>
      <c r="J343" s="33"/>
      <c r="K343" s="33"/>
      <c r="L343" s="33"/>
      <c r="M343" s="33"/>
      <c r="N343" s="33"/>
      <c r="O343" s="33"/>
      <c r="P343" s="33"/>
      <c r="Q343" s="33"/>
      <c r="R343" s="33"/>
      <c r="S343" s="33"/>
      <c r="T343" s="33"/>
      <c r="U343" s="33"/>
      <c r="V343" s="33"/>
      <c r="W343" s="33"/>
      <c r="X343" s="33"/>
      <c r="Y343" s="33"/>
      <c r="Z343" s="33"/>
      <c r="AA343" s="33"/>
      <c r="AB343" s="33"/>
      <c r="AC343" s="33"/>
      <c r="AD343" s="33"/>
      <c r="AE343" s="33"/>
      <c r="AF343" s="33"/>
    </row>
    <row r="344" ht="15.75" customHeight="1">
      <c r="A344" s="75" t="s">
        <v>2595</v>
      </c>
      <c r="B344" s="76">
        <v>16.0</v>
      </c>
      <c r="C344" s="31" t="s">
        <v>946</v>
      </c>
      <c r="D344" s="31" t="s">
        <v>947</v>
      </c>
      <c r="E344" s="31" t="s">
        <v>946</v>
      </c>
      <c r="F344" s="29"/>
      <c r="G344" s="25">
        <v>15.0</v>
      </c>
      <c r="H344" s="33"/>
      <c r="I344" s="33"/>
      <c r="J344" s="33"/>
      <c r="K344" s="33"/>
      <c r="L344" s="33"/>
      <c r="M344" s="33"/>
      <c r="N344" s="33"/>
      <c r="O344" s="33"/>
      <c r="P344" s="33"/>
      <c r="Q344" s="33"/>
      <c r="R344" s="33"/>
      <c r="S344" s="33"/>
      <c r="T344" s="33"/>
      <c r="U344" s="33"/>
      <c r="V344" s="33"/>
      <c r="W344" s="33"/>
      <c r="X344" s="33"/>
      <c r="Y344" s="33"/>
      <c r="Z344" s="33"/>
      <c r="AA344" s="33"/>
      <c r="AB344" s="33"/>
      <c r="AC344" s="33"/>
      <c r="AD344" s="33"/>
      <c r="AE344" s="33"/>
      <c r="AF344" s="33"/>
    </row>
    <row r="345" ht="15.75" customHeight="1">
      <c r="A345" s="75" t="s">
        <v>2595</v>
      </c>
      <c r="B345" s="76">
        <v>17.0</v>
      </c>
      <c r="C345" s="31" t="s">
        <v>954</v>
      </c>
      <c r="D345" s="31" t="s">
        <v>957</v>
      </c>
      <c r="E345" s="31" t="s">
        <v>959</v>
      </c>
      <c r="F345" s="29"/>
      <c r="G345" s="25">
        <v>16.0</v>
      </c>
      <c r="H345" s="33"/>
      <c r="I345" s="33"/>
      <c r="J345" s="33"/>
      <c r="K345" s="33"/>
      <c r="L345" s="33"/>
      <c r="M345" s="33"/>
      <c r="N345" s="33"/>
      <c r="O345" s="33"/>
      <c r="P345" s="33"/>
      <c r="Q345" s="33"/>
      <c r="R345" s="33"/>
      <c r="S345" s="33"/>
      <c r="T345" s="33"/>
      <c r="U345" s="33"/>
      <c r="V345" s="33"/>
      <c r="W345" s="33"/>
      <c r="X345" s="33"/>
      <c r="Y345" s="33"/>
      <c r="Z345" s="33"/>
      <c r="AA345" s="33"/>
      <c r="AB345" s="33"/>
      <c r="AC345" s="33"/>
      <c r="AD345" s="33"/>
      <c r="AE345" s="33"/>
      <c r="AF345" s="33"/>
    </row>
    <row r="346" ht="15.75" customHeight="1">
      <c r="A346" s="75" t="s">
        <v>2595</v>
      </c>
      <c r="B346" s="76">
        <v>18.0</v>
      </c>
      <c r="C346" s="31" t="s">
        <v>969</v>
      </c>
      <c r="D346" s="31" t="s">
        <v>969</v>
      </c>
      <c r="E346" s="31" t="s">
        <v>970</v>
      </c>
      <c r="F346" s="29"/>
      <c r="G346" s="25">
        <v>17.0</v>
      </c>
      <c r="H346" s="33"/>
      <c r="I346" s="33"/>
      <c r="J346" s="33"/>
      <c r="K346" s="33"/>
      <c r="L346" s="33"/>
      <c r="M346" s="33"/>
      <c r="N346" s="33"/>
      <c r="O346" s="33"/>
      <c r="P346" s="33"/>
      <c r="Q346" s="33"/>
      <c r="R346" s="33"/>
      <c r="S346" s="33"/>
      <c r="T346" s="33"/>
      <c r="U346" s="33"/>
      <c r="V346" s="33"/>
      <c r="W346" s="33"/>
      <c r="X346" s="33"/>
      <c r="Y346" s="33"/>
      <c r="Z346" s="33"/>
      <c r="AA346" s="33"/>
      <c r="AB346" s="33"/>
      <c r="AC346" s="33"/>
      <c r="AD346" s="33"/>
      <c r="AE346" s="33"/>
      <c r="AF346" s="33"/>
    </row>
    <row r="347" ht="15.75" customHeight="1">
      <c r="A347" s="75" t="s">
        <v>2595</v>
      </c>
      <c r="B347" s="76">
        <v>19.0</v>
      </c>
      <c r="C347" s="31" t="s">
        <v>979</v>
      </c>
      <c r="D347" s="31" t="s">
        <v>979</v>
      </c>
      <c r="E347" s="31" t="s">
        <v>980</v>
      </c>
      <c r="F347" s="29"/>
      <c r="G347" s="25">
        <v>18.0</v>
      </c>
      <c r="H347" s="33"/>
      <c r="I347" s="33"/>
      <c r="J347" s="33"/>
      <c r="K347" s="33"/>
      <c r="L347" s="33"/>
      <c r="M347" s="33"/>
      <c r="N347" s="33"/>
      <c r="O347" s="33"/>
      <c r="P347" s="33"/>
      <c r="Q347" s="33"/>
      <c r="R347" s="33"/>
      <c r="S347" s="33"/>
      <c r="T347" s="33"/>
      <c r="U347" s="33"/>
      <c r="V347" s="33"/>
      <c r="W347" s="33"/>
      <c r="X347" s="33"/>
      <c r="Y347" s="33"/>
      <c r="Z347" s="33"/>
      <c r="AA347" s="33"/>
      <c r="AB347" s="33"/>
      <c r="AC347" s="33"/>
      <c r="AD347" s="33"/>
      <c r="AE347" s="33"/>
      <c r="AF347" s="33"/>
    </row>
    <row r="348" ht="15.75" customHeight="1">
      <c r="A348" s="75" t="s">
        <v>2595</v>
      </c>
      <c r="B348" s="76">
        <v>20.0</v>
      </c>
      <c r="C348" s="31" t="s">
        <v>988</v>
      </c>
      <c r="D348" s="31" t="s">
        <v>989</v>
      </c>
      <c r="E348" s="78" t="s">
        <v>990</v>
      </c>
      <c r="F348" s="29"/>
      <c r="G348" s="25">
        <v>19.0</v>
      </c>
      <c r="H348" s="33"/>
      <c r="I348" s="33"/>
      <c r="J348" s="33"/>
      <c r="K348" s="33"/>
      <c r="L348" s="33"/>
      <c r="M348" s="33"/>
      <c r="N348" s="33"/>
      <c r="O348" s="33"/>
      <c r="P348" s="33"/>
      <c r="Q348" s="33"/>
      <c r="R348" s="33"/>
      <c r="S348" s="33"/>
      <c r="T348" s="33"/>
      <c r="U348" s="33"/>
      <c r="V348" s="33"/>
      <c r="W348" s="33"/>
      <c r="X348" s="33"/>
      <c r="Y348" s="33"/>
      <c r="Z348" s="33"/>
      <c r="AA348" s="33"/>
      <c r="AB348" s="33"/>
      <c r="AC348" s="33"/>
      <c r="AD348" s="33"/>
      <c r="AE348" s="33"/>
      <c r="AF348" s="33"/>
    </row>
    <row r="349" ht="15.75" customHeight="1">
      <c r="A349" s="75" t="s">
        <v>2595</v>
      </c>
      <c r="B349" s="76">
        <v>21.0</v>
      </c>
      <c r="C349" s="31" t="s">
        <v>999</v>
      </c>
      <c r="D349" s="31" t="s">
        <v>1001</v>
      </c>
      <c r="E349" s="31" t="s">
        <v>1002</v>
      </c>
      <c r="F349" s="29"/>
      <c r="G349" s="25">
        <v>20.0</v>
      </c>
      <c r="H349" s="33"/>
      <c r="I349" s="33"/>
      <c r="J349" s="33"/>
      <c r="K349" s="33"/>
      <c r="L349" s="33"/>
      <c r="M349" s="33"/>
      <c r="N349" s="33"/>
      <c r="O349" s="33"/>
      <c r="P349" s="33"/>
      <c r="Q349" s="33"/>
      <c r="R349" s="33"/>
      <c r="S349" s="33"/>
      <c r="T349" s="33"/>
      <c r="U349" s="33"/>
      <c r="V349" s="33"/>
      <c r="W349" s="33"/>
      <c r="X349" s="33"/>
      <c r="Y349" s="33"/>
      <c r="Z349" s="33"/>
      <c r="AA349" s="33"/>
      <c r="AB349" s="33"/>
      <c r="AC349" s="33"/>
      <c r="AD349" s="33"/>
      <c r="AE349" s="33"/>
      <c r="AF349" s="33"/>
    </row>
    <row r="350" ht="15.75" customHeight="1">
      <c r="A350" s="75" t="s">
        <v>2595</v>
      </c>
      <c r="B350" s="76">
        <v>-777.0</v>
      </c>
      <c r="C350" s="31" t="s">
        <v>417</v>
      </c>
      <c r="D350" s="31" t="s">
        <v>418</v>
      </c>
      <c r="E350" s="31" t="s">
        <v>817</v>
      </c>
      <c r="F350" s="29"/>
      <c r="G350" s="25">
        <v>-777.0</v>
      </c>
      <c r="H350" s="33"/>
      <c r="I350" s="33"/>
      <c r="J350" s="33"/>
      <c r="K350" s="33"/>
      <c r="L350" s="33"/>
      <c r="M350" s="33"/>
      <c r="N350" s="33"/>
      <c r="O350" s="33"/>
      <c r="P350" s="33"/>
      <c r="Q350" s="33"/>
      <c r="R350" s="33"/>
      <c r="S350" s="33"/>
      <c r="T350" s="33"/>
      <c r="U350" s="33"/>
      <c r="V350" s="33"/>
      <c r="W350" s="33"/>
      <c r="X350" s="33"/>
      <c r="Y350" s="33"/>
      <c r="Z350" s="33"/>
      <c r="AA350" s="33"/>
      <c r="AB350" s="33"/>
      <c r="AC350" s="33"/>
      <c r="AD350" s="33"/>
      <c r="AE350" s="33"/>
      <c r="AF350" s="33"/>
    </row>
    <row r="351" ht="15.75" customHeight="1">
      <c r="A351" s="63" t="s">
        <v>2595</v>
      </c>
      <c r="B351" s="94">
        <v>-999.0</v>
      </c>
      <c r="C351" s="37" t="s">
        <v>115</v>
      </c>
      <c r="D351" s="37" t="s">
        <v>117</v>
      </c>
      <c r="E351" s="37" t="s">
        <v>118</v>
      </c>
      <c r="F351" s="36"/>
      <c r="G351" s="35">
        <v>-999.0</v>
      </c>
      <c r="H351" s="19"/>
      <c r="I351" s="19"/>
      <c r="J351" s="19"/>
      <c r="K351" s="19"/>
      <c r="L351" s="19"/>
      <c r="M351" s="19"/>
      <c r="N351" s="19"/>
      <c r="O351" s="19"/>
      <c r="P351" s="19"/>
      <c r="Q351" s="19"/>
      <c r="R351" s="19"/>
      <c r="S351" s="19"/>
      <c r="T351" s="19"/>
      <c r="U351" s="19"/>
      <c r="V351" s="19"/>
      <c r="W351" s="19"/>
      <c r="X351" s="19"/>
      <c r="Y351" s="19"/>
      <c r="Z351" s="19"/>
      <c r="AA351" s="19"/>
      <c r="AB351" s="19"/>
      <c r="AC351" s="19"/>
      <c r="AD351" s="19"/>
      <c r="AE351" s="19"/>
      <c r="AF351" s="19"/>
    </row>
    <row r="352" ht="15.75" customHeight="1">
      <c r="A352" s="100"/>
      <c r="B352" s="102"/>
      <c r="C352" s="100"/>
      <c r="D352" s="100"/>
      <c r="E352" s="165"/>
      <c r="F352" s="33"/>
      <c r="G352" s="33"/>
      <c r="H352" s="33"/>
      <c r="I352" s="33"/>
      <c r="J352" s="33"/>
      <c r="K352" s="33"/>
      <c r="L352" s="33"/>
      <c r="M352" s="33"/>
      <c r="N352" s="33"/>
      <c r="O352" s="33"/>
      <c r="P352" s="33"/>
      <c r="Q352" s="33"/>
      <c r="R352" s="33"/>
      <c r="S352" s="33"/>
      <c r="T352" s="33"/>
      <c r="U352" s="33"/>
      <c r="V352" s="33"/>
      <c r="W352" s="33"/>
      <c r="X352" s="33"/>
      <c r="Y352" s="33"/>
      <c r="Z352" s="33"/>
      <c r="AA352" s="33"/>
      <c r="AB352" s="33"/>
      <c r="AC352" s="33"/>
      <c r="AD352" s="33"/>
      <c r="AE352" s="33"/>
      <c r="AF352" s="33"/>
    </row>
    <row r="353" ht="15.75" customHeight="1">
      <c r="A353" s="110" t="s">
        <v>2856</v>
      </c>
      <c r="B353" s="111">
        <v>1.0</v>
      </c>
      <c r="C353" s="116" t="s">
        <v>2858</v>
      </c>
      <c r="D353" s="230" t="s">
        <v>2858</v>
      </c>
      <c r="E353" s="230" t="s">
        <v>2859</v>
      </c>
      <c r="F353" s="44"/>
      <c r="G353" s="44"/>
      <c r="H353" s="44"/>
      <c r="I353" s="44"/>
      <c r="J353" s="44"/>
      <c r="K353" s="44"/>
      <c r="L353" s="44"/>
      <c r="M353" s="44"/>
      <c r="N353" s="44"/>
      <c r="O353" s="44"/>
      <c r="P353" s="44"/>
      <c r="Q353" s="44"/>
      <c r="R353" s="44"/>
      <c r="S353" s="44"/>
      <c r="T353" s="44"/>
      <c r="U353" s="44"/>
      <c r="V353" s="44"/>
      <c r="W353" s="44"/>
      <c r="X353" s="44"/>
      <c r="Y353" s="44"/>
      <c r="Z353" s="44"/>
      <c r="AA353" s="44"/>
      <c r="AB353" s="44"/>
      <c r="AC353" s="44"/>
      <c r="AD353" s="44"/>
      <c r="AE353" s="44"/>
      <c r="AF353" s="44"/>
    </row>
    <row r="354" ht="15.75" customHeight="1">
      <c r="A354" s="75" t="s">
        <v>2856</v>
      </c>
      <c r="B354" s="76">
        <v>2.0</v>
      </c>
      <c r="C354" s="31" t="s">
        <v>2868</v>
      </c>
      <c r="D354" s="100" t="s">
        <v>2869</v>
      </c>
      <c r="E354" s="100" t="s">
        <v>2868</v>
      </c>
      <c r="F354" s="33"/>
      <c r="G354" s="33"/>
      <c r="H354" s="33"/>
      <c r="I354" s="33"/>
      <c r="J354" s="33"/>
      <c r="K354" s="33"/>
      <c r="L354" s="33"/>
      <c r="M354" s="33"/>
      <c r="N354" s="33"/>
      <c r="O354" s="33"/>
      <c r="P354" s="33"/>
      <c r="Q354" s="33"/>
      <c r="R354" s="33"/>
      <c r="S354" s="33"/>
      <c r="T354" s="33"/>
      <c r="U354" s="33"/>
      <c r="V354" s="33"/>
      <c r="W354" s="33"/>
      <c r="X354" s="33"/>
      <c r="Y354" s="33"/>
      <c r="Z354" s="33"/>
      <c r="AA354" s="33"/>
      <c r="AB354" s="33"/>
      <c r="AC354" s="33"/>
      <c r="AD354" s="33"/>
      <c r="AE354" s="33"/>
      <c r="AF354" s="33"/>
    </row>
    <row r="355" ht="15.75" customHeight="1">
      <c r="A355" s="75" t="s">
        <v>2856</v>
      </c>
      <c r="B355" s="76">
        <v>3.0</v>
      </c>
      <c r="C355" s="31" t="s">
        <v>2877</v>
      </c>
      <c r="D355" s="100" t="s">
        <v>2878</v>
      </c>
      <c r="E355" s="100" t="s">
        <v>2879</v>
      </c>
      <c r="F355" s="33"/>
      <c r="G355" s="33"/>
      <c r="H355" s="33"/>
      <c r="I355" s="33"/>
      <c r="J355" s="33"/>
      <c r="K355" s="33"/>
      <c r="L355" s="33"/>
      <c r="M355" s="33"/>
      <c r="N355" s="33"/>
      <c r="O355" s="33"/>
      <c r="P355" s="33"/>
      <c r="Q355" s="33"/>
      <c r="R355" s="33"/>
      <c r="S355" s="33"/>
      <c r="T355" s="33"/>
      <c r="U355" s="33"/>
      <c r="V355" s="33"/>
      <c r="W355" s="33"/>
      <c r="X355" s="33"/>
      <c r="Y355" s="33"/>
      <c r="Z355" s="33"/>
      <c r="AA355" s="33"/>
      <c r="AB355" s="33"/>
      <c r="AC355" s="33"/>
      <c r="AD355" s="33"/>
      <c r="AE355" s="33"/>
      <c r="AF355" s="33"/>
    </row>
    <row r="356" ht="15.75" customHeight="1">
      <c r="A356" s="63" t="s">
        <v>2856</v>
      </c>
      <c r="B356" s="94">
        <v>4.0</v>
      </c>
      <c r="C356" s="37" t="s">
        <v>2887</v>
      </c>
      <c r="D356" s="95" t="s">
        <v>2890</v>
      </c>
      <c r="E356" s="95" t="s">
        <v>2891</v>
      </c>
      <c r="F356" s="19"/>
      <c r="G356" s="19"/>
      <c r="H356" s="19"/>
      <c r="I356" s="19"/>
      <c r="J356" s="19"/>
      <c r="K356" s="19"/>
      <c r="L356" s="19"/>
      <c r="M356" s="19"/>
      <c r="N356" s="19"/>
      <c r="O356" s="19"/>
      <c r="P356" s="19"/>
      <c r="Q356" s="19"/>
      <c r="R356" s="19"/>
      <c r="S356" s="19"/>
      <c r="T356" s="19"/>
      <c r="U356" s="19"/>
      <c r="V356" s="19"/>
      <c r="W356" s="19"/>
      <c r="X356" s="19"/>
      <c r="Y356" s="19"/>
      <c r="Z356" s="19"/>
      <c r="AA356" s="19"/>
      <c r="AB356" s="19"/>
      <c r="AC356" s="19"/>
      <c r="AD356" s="19"/>
      <c r="AE356" s="19"/>
      <c r="AF356" s="19"/>
    </row>
    <row r="357" ht="15.75" customHeight="1">
      <c r="A357" s="63" t="s">
        <v>2856</v>
      </c>
      <c r="B357" s="232">
        <v>5.0</v>
      </c>
      <c r="C357" s="37" t="s">
        <v>2899</v>
      </c>
      <c r="D357" s="37" t="s">
        <v>2899</v>
      </c>
      <c r="E357" s="37" t="s">
        <v>2901</v>
      </c>
      <c r="F357" s="19"/>
      <c r="G357" s="19"/>
      <c r="H357" s="19"/>
      <c r="I357" s="19"/>
      <c r="J357" s="19"/>
      <c r="K357" s="19"/>
      <c r="L357" s="19"/>
      <c r="M357" s="19"/>
      <c r="N357" s="19"/>
      <c r="O357" s="19"/>
      <c r="P357" s="19"/>
      <c r="Q357" s="19"/>
      <c r="R357" s="19"/>
      <c r="S357" s="19"/>
      <c r="T357" s="19"/>
      <c r="U357" s="19"/>
      <c r="V357" s="19"/>
      <c r="W357" s="19"/>
      <c r="X357" s="19"/>
      <c r="Y357" s="19"/>
      <c r="Z357" s="19"/>
      <c r="AA357" s="19"/>
      <c r="AB357" s="19"/>
      <c r="AC357" s="19"/>
      <c r="AD357" s="19"/>
      <c r="AE357" s="19"/>
      <c r="AF357" s="19"/>
    </row>
    <row r="358" ht="15.75" customHeight="1">
      <c r="A358" s="63" t="s">
        <v>2856</v>
      </c>
      <c r="B358" s="94">
        <v>-777.0</v>
      </c>
      <c r="C358" s="37" t="s">
        <v>417</v>
      </c>
      <c r="D358" s="37" t="s">
        <v>418</v>
      </c>
      <c r="E358" s="37" t="s">
        <v>1815</v>
      </c>
      <c r="F358" s="36"/>
      <c r="G358" s="36"/>
      <c r="H358" s="19"/>
      <c r="I358" s="19"/>
      <c r="J358" s="19"/>
      <c r="K358" s="19"/>
      <c r="L358" s="19"/>
      <c r="M358" s="19"/>
      <c r="N358" s="19"/>
      <c r="O358" s="19"/>
      <c r="P358" s="19"/>
      <c r="Q358" s="19"/>
      <c r="R358" s="19"/>
      <c r="S358" s="19"/>
      <c r="T358" s="19"/>
      <c r="U358" s="19"/>
      <c r="V358" s="19"/>
      <c r="W358" s="19"/>
      <c r="X358" s="19"/>
      <c r="Y358" s="19"/>
      <c r="Z358" s="19"/>
      <c r="AA358" s="19"/>
      <c r="AB358" s="19"/>
      <c r="AC358" s="19"/>
      <c r="AD358" s="19"/>
      <c r="AE358" s="19"/>
      <c r="AF358" s="19"/>
    </row>
    <row r="359" ht="15.75" customHeight="1">
      <c r="A359" s="100"/>
      <c r="B359" s="102"/>
      <c r="C359" s="100"/>
      <c r="D359" s="100"/>
      <c r="E359" s="165"/>
      <c r="F359" s="33"/>
      <c r="G359" s="33"/>
      <c r="H359" s="33"/>
      <c r="I359" s="33"/>
      <c r="J359" s="33"/>
      <c r="K359" s="33"/>
      <c r="L359" s="33"/>
      <c r="M359" s="33"/>
      <c r="N359" s="33"/>
      <c r="O359" s="33"/>
      <c r="P359" s="33"/>
      <c r="Q359" s="33"/>
      <c r="R359" s="33"/>
      <c r="S359" s="33"/>
      <c r="T359" s="33"/>
      <c r="U359" s="33"/>
      <c r="V359" s="33"/>
      <c r="W359" s="33"/>
      <c r="X359" s="33"/>
      <c r="Y359" s="33"/>
      <c r="Z359" s="33"/>
      <c r="AA359" s="33"/>
      <c r="AB359" s="33"/>
      <c r="AC359" s="33"/>
      <c r="AD359" s="33"/>
      <c r="AE359" s="33"/>
      <c r="AF359" s="33"/>
    </row>
    <row r="360" ht="15.75" customHeight="1">
      <c r="A360" s="110" t="s">
        <v>2918</v>
      </c>
      <c r="B360" s="111">
        <v>1.0</v>
      </c>
      <c r="C360" s="116" t="s">
        <v>2920</v>
      </c>
      <c r="D360" s="116" t="s">
        <v>2922</v>
      </c>
      <c r="E360" s="116" t="s">
        <v>2923</v>
      </c>
      <c r="F360" s="114"/>
      <c r="G360" s="114"/>
      <c r="H360" s="44"/>
      <c r="I360" s="44"/>
      <c r="J360" s="44"/>
      <c r="K360" s="44"/>
      <c r="L360" s="44"/>
      <c r="M360" s="44"/>
      <c r="N360" s="44"/>
      <c r="O360" s="44"/>
      <c r="P360" s="44"/>
      <c r="Q360" s="44"/>
      <c r="R360" s="44"/>
      <c r="S360" s="44"/>
      <c r="T360" s="44"/>
      <c r="U360" s="44"/>
      <c r="V360" s="44"/>
      <c r="W360" s="44"/>
      <c r="X360" s="44"/>
      <c r="Y360" s="44"/>
      <c r="Z360" s="44"/>
      <c r="AA360" s="44"/>
      <c r="AB360" s="44"/>
      <c r="AC360" s="44"/>
      <c r="AD360" s="44"/>
      <c r="AE360" s="44"/>
      <c r="AF360" s="44"/>
    </row>
    <row r="361" ht="15.75" customHeight="1">
      <c r="A361" s="75" t="s">
        <v>2918</v>
      </c>
      <c r="B361" s="76">
        <v>2.0</v>
      </c>
      <c r="C361" s="31" t="s">
        <v>2932</v>
      </c>
      <c r="D361" s="31" t="s">
        <v>2934</v>
      </c>
      <c r="E361" s="78" t="s">
        <v>2936</v>
      </c>
      <c r="F361" s="29"/>
      <c r="G361" s="29"/>
      <c r="H361" s="33"/>
      <c r="I361" s="33"/>
      <c r="J361" s="33"/>
      <c r="K361" s="33"/>
      <c r="L361" s="33"/>
      <c r="M361" s="33"/>
      <c r="N361" s="33"/>
      <c r="O361" s="33"/>
      <c r="P361" s="33"/>
      <c r="Q361" s="33"/>
      <c r="R361" s="33"/>
      <c r="S361" s="33"/>
      <c r="T361" s="33"/>
      <c r="U361" s="33"/>
      <c r="V361" s="33"/>
      <c r="W361" s="33"/>
      <c r="X361" s="33"/>
      <c r="Y361" s="33"/>
      <c r="Z361" s="33"/>
      <c r="AA361" s="33"/>
      <c r="AB361" s="33"/>
      <c r="AC361" s="33"/>
      <c r="AD361" s="33"/>
      <c r="AE361" s="33"/>
      <c r="AF361" s="33"/>
    </row>
    <row r="362" ht="15.75" customHeight="1">
      <c r="A362" s="75" t="s">
        <v>2918</v>
      </c>
      <c r="B362" s="76">
        <v>3.0</v>
      </c>
      <c r="C362" s="31" t="s">
        <v>2941</v>
      </c>
      <c r="D362" s="31" t="s">
        <v>2943</v>
      </c>
      <c r="E362" s="78" t="s">
        <v>2946</v>
      </c>
      <c r="F362" s="29"/>
      <c r="G362" s="29"/>
      <c r="H362" s="33"/>
      <c r="I362" s="33"/>
      <c r="J362" s="33"/>
      <c r="K362" s="33"/>
      <c r="L362" s="33"/>
      <c r="M362" s="33"/>
      <c r="N362" s="33"/>
      <c r="O362" s="33"/>
      <c r="P362" s="33"/>
      <c r="Q362" s="33"/>
      <c r="R362" s="33"/>
      <c r="S362" s="33"/>
      <c r="T362" s="33"/>
      <c r="U362" s="33"/>
      <c r="V362" s="33"/>
      <c r="W362" s="33"/>
      <c r="X362" s="33"/>
      <c r="Y362" s="33"/>
      <c r="Z362" s="33"/>
      <c r="AA362" s="33"/>
      <c r="AB362" s="33"/>
      <c r="AC362" s="33"/>
      <c r="AD362" s="33"/>
      <c r="AE362" s="33"/>
      <c r="AF362" s="33"/>
    </row>
    <row r="363" ht="15.75" customHeight="1">
      <c r="A363" s="75" t="s">
        <v>2918</v>
      </c>
      <c r="B363" s="239">
        <v>4.0</v>
      </c>
      <c r="C363" s="145" t="s">
        <v>2952</v>
      </c>
      <c r="D363" s="100" t="s">
        <v>2953</v>
      </c>
      <c r="E363" s="165" t="s">
        <v>2955</v>
      </c>
      <c r="F363" s="88"/>
      <c r="G363" s="88"/>
      <c r="H363" s="33"/>
      <c r="I363" s="33"/>
      <c r="J363" s="33"/>
      <c r="K363" s="33"/>
      <c r="L363" s="33"/>
      <c r="M363" s="33"/>
      <c r="N363" s="33"/>
      <c r="O363" s="33"/>
      <c r="P363" s="33"/>
      <c r="Q363" s="33"/>
      <c r="R363" s="33"/>
      <c r="S363" s="33"/>
      <c r="T363" s="33"/>
      <c r="U363" s="33"/>
      <c r="V363" s="33"/>
      <c r="W363" s="33"/>
      <c r="X363" s="33"/>
      <c r="Y363" s="33"/>
      <c r="Z363" s="33"/>
      <c r="AA363" s="33"/>
      <c r="AB363" s="33"/>
      <c r="AC363" s="33"/>
      <c r="AD363" s="33"/>
      <c r="AE363" s="33"/>
      <c r="AF363" s="33"/>
    </row>
    <row r="364" ht="15.75" customHeight="1">
      <c r="A364" s="63" t="s">
        <v>2918</v>
      </c>
      <c r="B364" s="94">
        <v>-777.0</v>
      </c>
      <c r="C364" s="37" t="s">
        <v>417</v>
      </c>
      <c r="D364" s="37" t="s">
        <v>418</v>
      </c>
      <c r="E364" s="37" t="s">
        <v>419</v>
      </c>
      <c r="F364" s="36"/>
      <c r="G364" s="36"/>
      <c r="H364" s="19"/>
      <c r="I364" s="19"/>
      <c r="J364" s="19"/>
      <c r="K364" s="19"/>
      <c r="L364" s="19"/>
      <c r="M364" s="19"/>
      <c r="N364" s="19"/>
      <c r="O364" s="19"/>
      <c r="P364" s="19"/>
      <c r="Q364" s="19"/>
      <c r="R364" s="19"/>
      <c r="S364" s="19"/>
      <c r="T364" s="19"/>
      <c r="U364" s="19"/>
      <c r="V364" s="19"/>
      <c r="W364" s="19"/>
      <c r="X364" s="19"/>
      <c r="Y364" s="19"/>
      <c r="Z364" s="19"/>
      <c r="AA364" s="19"/>
      <c r="AB364" s="19"/>
      <c r="AC364" s="19"/>
      <c r="AD364" s="19"/>
      <c r="AE364" s="19"/>
      <c r="AF364" s="19"/>
    </row>
    <row r="365" ht="15.75" customHeight="1">
      <c r="A365" s="63"/>
      <c r="B365" s="37"/>
      <c r="C365" s="37"/>
      <c r="D365" s="37"/>
      <c r="E365" s="37"/>
      <c r="F365" s="36"/>
      <c r="G365" s="36"/>
      <c r="H365" s="19"/>
      <c r="I365" s="19"/>
      <c r="J365" s="19"/>
      <c r="K365" s="19"/>
      <c r="L365" s="19"/>
      <c r="M365" s="19"/>
      <c r="N365" s="19"/>
      <c r="O365" s="19"/>
      <c r="P365" s="19"/>
      <c r="Q365" s="19"/>
      <c r="R365" s="19"/>
      <c r="S365" s="19"/>
      <c r="T365" s="19"/>
      <c r="U365" s="19"/>
      <c r="V365" s="19"/>
      <c r="W365" s="19"/>
      <c r="X365" s="19"/>
      <c r="Y365" s="19"/>
      <c r="Z365" s="19"/>
      <c r="AA365" s="19"/>
      <c r="AB365" s="19"/>
      <c r="AC365" s="19"/>
      <c r="AD365" s="19"/>
      <c r="AE365" s="19"/>
      <c r="AF365" s="19"/>
    </row>
    <row r="366" ht="15.75" customHeight="1">
      <c r="A366" s="75" t="s">
        <v>2983</v>
      </c>
      <c r="B366" s="76">
        <v>0.0</v>
      </c>
      <c r="C366" s="31" t="s">
        <v>199</v>
      </c>
      <c r="D366" s="31" t="s">
        <v>201</v>
      </c>
      <c r="E366" s="31" t="s">
        <v>203</v>
      </c>
      <c r="F366" s="29"/>
      <c r="G366" s="29"/>
      <c r="H366" s="33"/>
      <c r="I366" s="33"/>
      <c r="J366" s="33"/>
      <c r="K366" s="33"/>
      <c r="L366" s="33"/>
      <c r="M366" s="33"/>
      <c r="N366" s="33"/>
      <c r="O366" s="33"/>
      <c r="P366" s="33"/>
      <c r="Q366" s="33"/>
      <c r="R366" s="33"/>
      <c r="S366" s="33"/>
      <c r="T366" s="33"/>
      <c r="U366" s="33"/>
      <c r="V366" s="33"/>
      <c r="W366" s="33"/>
      <c r="X366" s="33"/>
      <c r="Y366" s="33"/>
      <c r="Z366" s="33"/>
      <c r="AA366" s="33"/>
      <c r="AB366" s="33"/>
      <c r="AC366" s="33"/>
      <c r="AD366" s="33"/>
      <c r="AE366" s="33"/>
      <c r="AF366" s="33"/>
    </row>
    <row r="367" ht="15.75" customHeight="1">
      <c r="A367" s="75" t="s">
        <v>2983</v>
      </c>
      <c r="B367" s="76">
        <v>1.0</v>
      </c>
      <c r="C367" s="31" t="s">
        <v>2993</v>
      </c>
      <c r="D367" s="31" t="s">
        <v>2994</v>
      </c>
      <c r="E367" s="78" t="s">
        <v>2995</v>
      </c>
      <c r="F367" s="29"/>
      <c r="G367" s="29"/>
      <c r="H367" s="33"/>
      <c r="I367" s="33"/>
      <c r="J367" s="33"/>
      <c r="K367" s="33"/>
      <c r="L367" s="33"/>
      <c r="M367" s="33"/>
      <c r="N367" s="33"/>
      <c r="O367" s="33"/>
      <c r="P367" s="33"/>
      <c r="Q367" s="33"/>
      <c r="R367" s="33"/>
      <c r="S367" s="33"/>
      <c r="T367" s="33"/>
      <c r="U367" s="33"/>
      <c r="V367" s="33"/>
      <c r="W367" s="33"/>
      <c r="X367" s="33"/>
      <c r="Y367" s="33"/>
      <c r="Z367" s="33"/>
      <c r="AA367" s="33"/>
      <c r="AB367" s="33"/>
      <c r="AC367" s="33"/>
      <c r="AD367" s="33"/>
      <c r="AE367" s="33"/>
      <c r="AF367" s="33"/>
    </row>
    <row r="368" ht="15.75" customHeight="1">
      <c r="A368" s="75" t="s">
        <v>2983</v>
      </c>
      <c r="B368" s="76">
        <v>2.0</v>
      </c>
      <c r="C368" s="31" t="s">
        <v>3004</v>
      </c>
      <c r="D368" s="31" t="s">
        <v>3005</v>
      </c>
      <c r="E368" s="31" t="s">
        <v>3006</v>
      </c>
      <c r="F368" s="29"/>
      <c r="G368" s="29"/>
      <c r="H368" s="33"/>
      <c r="I368" s="33"/>
      <c r="J368" s="33"/>
      <c r="K368" s="33"/>
      <c r="L368" s="33"/>
      <c r="M368" s="33"/>
      <c r="N368" s="33"/>
      <c r="O368" s="33"/>
      <c r="P368" s="33"/>
      <c r="Q368" s="33"/>
      <c r="R368" s="33"/>
      <c r="S368" s="33"/>
      <c r="T368" s="33"/>
      <c r="U368" s="33"/>
      <c r="V368" s="33"/>
      <c r="W368" s="33"/>
      <c r="X368" s="33"/>
      <c r="Y368" s="33"/>
      <c r="Z368" s="33"/>
      <c r="AA368" s="33"/>
      <c r="AB368" s="33"/>
      <c r="AC368" s="33"/>
      <c r="AD368" s="33"/>
      <c r="AE368" s="33"/>
      <c r="AF368" s="33"/>
    </row>
    <row r="369" ht="15.75" customHeight="1">
      <c r="A369" s="75" t="s">
        <v>2983</v>
      </c>
      <c r="B369" s="76">
        <v>3.0</v>
      </c>
      <c r="C369" s="31" t="s">
        <v>3012</v>
      </c>
      <c r="D369" s="31" t="s">
        <v>3014</v>
      </c>
      <c r="E369" s="78" t="s">
        <v>3016</v>
      </c>
      <c r="F369" s="29"/>
      <c r="G369" s="29"/>
      <c r="H369" s="33"/>
      <c r="I369" s="33"/>
      <c r="J369" s="33"/>
      <c r="K369" s="33"/>
      <c r="L369" s="33"/>
      <c r="M369" s="33"/>
      <c r="N369" s="33"/>
      <c r="O369" s="33"/>
      <c r="P369" s="33"/>
      <c r="Q369" s="33"/>
      <c r="R369" s="33"/>
      <c r="S369" s="33"/>
      <c r="T369" s="33"/>
      <c r="U369" s="33"/>
      <c r="V369" s="33"/>
      <c r="W369" s="33"/>
      <c r="X369" s="33"/>
      <c r="Y369" s="33"/>
      <c r="Z369" s="33"/>
      <c r="AA369" s="33"/>
      <c r="AB369" s="33"/>
      <c r="AC369" s="33"/>
      <c r="AD369" s="33"/>
      <c r="AE369" s="33"/>
      <c r="AF369" s="33"/>
    </row>
    <row r="370" ht="15.75" customHeight="1">
      <c r="A370" s="75" t="s">
        <v>2983</v>
      </c>
      <c r="B370" s="76">
        <v>4.0</v>
      </c>
      <c r="C370" s="31" t="s">
        <v>3019</v>
      </c>
      <c r="D370" s="31" t="s">
        <v>3020</v>
      </c>
      <c r="E370" s="78" t="s">
        <v>3021</v>
      </c>
      <c r="F370" s="29"/>
      <c r="G370" s="29"/>
      <c r="H370" s="33"/>
      <c r="I370" s="33"/>
      <c r="J370" s="33"/>
      <c r="K370" s="33"/>
      <c r="L370" s="33"/>
      <c r="M370" s="33"/>
      <c r="N370" s="33"/>
      <c r="O370" s="33"/>
      <c r="P370" s="33"/>
      <c r="Q370" s="33"/>
      <c r="R370" s="33"/>
      <c r="S370" s="33"/>
      <c r="T370" s="33"/>
      <c r="U370" s="33"/>
      <c r="V370" s="33"/>
      <c r="W370" s="33"/>
      <c r="X370" s="33"/>
      <c r="Y370" s="33"/>
      <c r="Z370" s="33"/>
      <c r="AA370" s="33"/>
      <c r="AB370" s="33"/>
      <c r="AC370" s="33"/>
      <c r="AD370" s="33"/>
      <c r="AE370" s="33"/>
      <c r="AF370" s="33"/>
    </row>
    <row r="371" ht="15.75" customHeight="1">
      <c r="A371" s="75" t="s">
        <v>2983</v>
      </c>
      <c r="B371" s="76">
        <v>5.0</v>
      </c>
      <c r="C371" s="31" t="s">
        <v>3027</v>
      </c>
      <c r="D371" s="31" t="s">
        <v>3028</v>
      </c>
      <c r="E371" s="78" t="s">
        <v>3029</v>
      </c>
      <c r="F371" s="29"/>
      <c r="G371" s="29"/>
      <c r="H371" s="33"/>
      <c r="I371" s="33"/>
      <c r="J371" s="33"/>
      <c r="K371" s="33"/>
      <c r="L371" s="33"/>
      <c r="M371" s="33"/>
      <c r="N371" s="33"/>
      <c r="O371" s="33"/>
      <c r="P371" s="33"/>
      <c r="Q371" s="33"/>
      <c r="R371" s="33"/>
      <c r="S371" s="33"/>
      <c r="T371" s="33"/>
      <c r="U371" s="33"/>
      <c r="V371" s="33"/>
      <c r="W371" s="33"/>
      <c r="X371" s="33"/>
      <c r="Y371" s="33"/>
      <c r="Z371" s="33"/>
      <c r="AA371" s="33"/>
      <c r="AB371" s="33"/>
      <c r="AC371" s="33"/>
      <c r="AD371" s="33"/>
      <c r="AE371" s="33"/>
      <c r="AF371" s="33"/>
    </row>
    <row r="372" ht="15.75" customHeight="1">
      <c r="A372" s="63" t="s">
        <v>2983</v>
      </c>
      <c r="B372" s="94">
        <v>6.0</v>
      </c>
      <c r="C372" s="37" t="s">
        <v>3038</v>
      </c>
      <c r="D372" s="37" t="s">
        <v>3039</v>
      </c>
      <c r="E372" s="71" t="s">
        <v>3040</v>
      </c>
      <c r="F372" s="36"/>
      <c r="G372" s="36"/>
      <c r="H372" s="19"/>
      <c r="I372" s="19"/>
      <c r="J372" s="19"/>
      <c r="K372" s="19"/>
      <c r="L372" s="19"/>
      <c r="M372" s="19"/>
      <c r="N372" s="19"/>
      <c r="O372" s="19"/>
      <c r="P372" s="19"/>
      <c r="Q372" s="19"/>
      <c r="R372" s="19"/>
      <c r="S372" s="19"/>
      <c r="T372" s="19"/>
      <c r="U372" s="19"/>
      <c r="V372" s="19"/>
      <c r="W372" s="19"/>
      <c r="X372" s="19"/>
      <c r="Y372" s="19"/>
      <c r="Z372" s="19"/>
      <c r="AA372" s="19"/>
      <c r="AB372" s="19"/>
      <c r="AC372" s="19"/>
      <c r="AD372" s="19"/>
      <c r="AE372" s="19"/>
      <c r="AF372" s="19"/>
    </row>
    <row r="373" ht="15.75" customHeight="1">
      <c r="A373" s="63" t="s">
        <v>2983</v>
      </c>
      <c r="B373" s="94">
        <v>-777.0</v>
      </c>
      <c r="C373" s="37" t="s">
        <v>417</v>
      </c>
      <c r="D373" s="37" t="s">
        <v>418</v>
      </c>
      <c r="E373" s="37" t="s">
        <v>1815</v>
      </c>
      <c r="F373" s="36"/>
      <c r="G373" s="36"/>
      <c r="H373" s="19"/>
      <c r="I373" s="19"/>
      <c r="J373" s="19"/>
      <c r="K373" s="19"/>
      <c r="L373" s="19"/>
      <c r="M373" s="19"/>
      <c r="N373" s="19"/>
      <c r="O373" s="19"/>
      <c r="P373" s="19"/>
      <c r="Q373" s="19"/>
      <c r="R373" s="19"/>
      <c r="S373" s="19"/>
      <c r="T373" s="19"/>
      <c r="U373" s="19"/>
      <c r="V373" s="19"/>
      <c r="W373" s="19"/>
      <c r="X373" s="19"/>
      <c r="Y373" s="19"/>
      <c r="Z373" s="19"/>
      <c r="AA373" s="19"/>
      <c r="AB373" s="19"/>
      <c r="AC373" s="19"/>
      <c r="AD373" s="19"/>
      <c r="AE373" s="19"/>
      <c r="AF373" s="19"/>
    </row>
    <row r="374" ht="15.75" customHeight="1">
      <c r="A374" s="63" t="s">
        <v>2983</v>
      </c>
      <c r="B374" s="94">
        <v>-999.0</v>
      </c>
      <c r="C374" s="37" t="s">
        <v>115</v>
      </c>
      <c r="D374" s="37" t="s">
        <v>117</v>
      </c>
      <c r="E374" s="37" t="s">
        <v>118</v>
      </c>
      <c r="F374" s="36"/>
      <c r="G374" s="36"/>
      <c r="H374" s="19"/>
      <c r="I374" s="19"/>
      <c r="J374" s="19"/>
      <c r="K374" s="19"/>
      <c r="L374" s="19"/>
      <c r="M374" s="19"/>
      <c r="N374" s="19"/>
      <c r="O374" s="19"/>
      <c r="P374" s="19"/>
      <c r="Q374" s="19"/>
      <c r="R374" s="19"/>
      <c r="S374" s="19"/>
      <c r="T374" s="19"/>
      <c r="U374" s="19"/>
      <c r="V374" s="19"/>
      <c r="W374" s="19"/>
      <c r="X374" s="19"/>
      <c r="Y374" s="19"/>
      <c r="Z374" s="19"/>
      <c r="AA374" s="19"/>
      <c r="AB374" s="19"/>
      <c r="AC374" s="19"/>
      <c r="AD374" s="19"/>
      <c r="AE374" s="19"/>
      <c r="AF374" s="19"/>
    </row>
    <row r="375" ht="15.75" customHeight="1">
      <c r="A375" s="63"/>
      <c r="B375" s="37"/>
      <c r="C375" s="37"/>
      <c r="D375" s="37"/>
      <c r="E375" s="37"/>
      <c r="F375" s="36"/>
      <c r="G375" s="36"/>
      <c r="H375" s="19"/>
      <c r="I375" s="19"/>
      <c r="J375" s="19"/>
      <c r="K375" s="19"/>
      <c r="L375" s="19"/>
      <c r="M375" s="19"/>
      <c r="N375" s="19"/>
      <c r="O375" s="19"/>
      <c r="P375" s="19"/>
      <c r="Q375" s="19"/>
      <c r="R375" s="19"/>
      <c r="S375" s="19"/>
      <c r="T375" s="19"/>
      <c r="U375" s="19"/>
      <c r="V375" s="19"/>
      <c r="W375" s="19"/>
      <c r="X375" s="19"/>
      <c r="Y375" s="19"/>
      <c r="Z375" s="19"/>
      <c r="AA375" s="19"/>
      <c r="AB375" s="19"/>
      <c r="AC375" s="19"/>
      <c r="AD375" s="19"/>
      <c r="AE375" s="19"/>
      <c r="AF375" s="19"/>
    </row>
    <row r="376" ht="15.75" customHeight="1">
      <c r="A376" s="63"/>
      <c r="B376" s="37"/>
      <c r="C376" s="37"/>
      <c r="D376" s="37"/>
      <c r="E376" s="37"/>
      <c r="F376" s="36"/>
      <c r="G376" s="36"/>
      <c r="H376" s="19"/>
      <c r="I376" s="19"/>
      <c r="J376" s="19"/>
      <c r="K376" s="19"/>
      <c r="L376" s="19"/>
      <c r="M376" s="19"/>
      <c r="N376" s="19"/>
      <c r="O376" s="19"/>
      <c r="P376" s="19"/>
      <c r="Q376" s="19"/>
      <c r="R376" s="19"/>
      <c r="S376" s="19"/>
      <c r="T376" s="19"/>
      <c r="U376" s="19"/>
      <c r="V376" s="19"/>
      <c r="W376" s="19"/>
      <c r="X376" s="19"/>
      <c r="Y376" s="19"/>
      <c r="Z376" s="19"/>
      <c r="AA376" s="19"/>
      <c r="AB376" s="19"/>
      <c r="AC376" s="19"/>
      <c r="AD376" s="19"/>
      <c r="AE376" s="19"/>
      <c r="AF376" s="19"/>
    </row>
    <row r="377" ht="15.75" customHeight="1">
      <c r="A377" s="75" t="s">
        <v>3073</v>
      </c>
      <c r="B377" s="76">
        <v>1.0</v>
      </c>
      <c r="C377" s="31" t="s">
        <v>3075</v>
      </c>
      <c r="D377" s="31" t="s">
        <v>3076</v>
      </c>
      <c r="E377" s="78" t="s">
        <v>3077</v>
      </c>
      <c r="F377" s="29"/>
      <c r="G377" s="29"/>
      <c r="H377" s="33"/>
      <c r="I377" s="33"/>
      <c r="J377" s="33"/>
      <c r="K377" s="33"/>
      <c r="L377" s="33"/>
      <c r="M377" s="33"/>
      <c r="N377" s="33"/>
      <c r="O377" s="33"/>
      <c r="P377" s="33"/>
      <c r="Q377" s="33"/>
      <c r="R377" s="33"/>
      <c r="S377" s="33"/>
      <c r="T377" s="33"/>
      <c r="U377" s="33"/>
      <c r="V377" s="33"/>
      <c r="W377" s="33"/>
      <c r="X377" s="33"/>
      <c r="Y377" s="33"/>
      <c r="Z377" s="33"/>
      <c r="AA377" s="33"/>
      <c r="AB377" s="33"/>
      <c r="AC377" s="33"/>
      <c r="AD377" s="33"/>
      <c r="AE377" s="33"/>
      <c r="AF377" s="33"/>
    </row>
    <row r="378" ht="15.75" customHeight="1">
      <c r="A378" s="75" t="s">
        <v>3073</v>
      </c>
      <c r="B378" s="76">
        <v>2.0</v>
      </c>
      <c r="C378" s="31" t="s">
        <v>3086</v>
      </c>
      <c r="D378" s="31" t="s">
        <v>3088</v>
      </c>
      <c r="E378" s="78" t="s">
        <v>3089</v>
      </c>
      <c r="F378" s="29"/>
      <c r="G378" s="29"/>
      <c r="H378" s="33"/>
      <c r="I378" s="33"/>
      <c r="J378" s="33"/>
      <c r="K378" s="33"/>
      <c r="L378" s="33"/>
      <c r="M378" s="33"/>
      <c r="N378" s="33"/>
      <c r="O378" s="33"/>
      <c r="P378" s="33"/>
      <c r="Q378" s="33"/>
      <c r="R378" s="33"/>
      <c r="S378" s="33"/>
      <c r="T378" s="33"/>
      <c r="U378" s="33"/>
      <c r="V378" s="33"/>
      <c r="W378" s="33"/>
      <c r="X378" s="33"/>
      <c r="Y378" s="33"/>
      <c r="Z378" s="33"/>
      <c r="AA378" s="33"/>
      <c r="AB378" s="33"/>
      <c r="AC378" s="33"/>
      <c r="AD378" s="33"/>
      <c r="AE378" s="33"/>
      <c r="AF378" s="33"/>
    </row>
    <row r="379" ht="15.75" customHeight="1">
      <c r="A379" s="75" t="s">
        <v>3073</v>
      </c>
      <c r="B379" s="76">
        <v>3.0</v>
      </c>
      <c r="C379" s="31" t="s">
        <v>3094</v>
      </c>
      <c r="D379" s="31" t="s">
        <v>3095</v>
      </c>
      <c r="E379" s="78" t="s">
        <v>3097</v>
      </c>
      <c r="F379" s="29"/>
      <c r="G379" s="29"/>
      <c r="H379" s="33"/>
      <c r="I379" s="33"/>
      <c r="J379" s="33"/>
      <c r="K379" s="33"/>
      <c r="L379" s="33"/>
      <c r="M379" s="33"/>
      <c r="N379" s="33"/>
      <c r="O379" s="33"/>
      <c r="P379" s="33"/>
      <c r="Q379" s="33"/>
      <c r="R379" s="33"/>
      <c r="S379" s="33"/>
      <c r="T379" s="33"/>
      <c r="U379" s="33"/>
      <c r="V379" s="33"/>
      <c r="W379" s="33"/>
      <c r="X379" s="33"/>
      <c r="Y379" s="33"/>
      <c r="Z379" s="33"/>
      <c r="AA379" s="33"/>
      <c r="AB379" s="33"/>
      <c r="AC379" s="33"/>
      <c r="AD379" s="33"/>
      <c r="AE379" s="33"/>
      <c r="AF379" s="33"/>
    </row>
    <row r="380" ht="15.75" customHeight="1">
      <c r="A380" s="75" t="s">
        <v>3073</v>
      </c>
      <c r="B380" s="76">
        <v>4.0</v>
      </c>
      <c r="C380" s="31" t="s">
        <v>3105</v>
      </c>
      <c r="D380" s="31" t="s">
        <v>3106</v>
      </c>
      <c r="E380" s="78" t="s">
        <v>3107</v>
      </c>
      <c r="F380" s="162"/>
      <c r="G380" s="29"/>
      <c r="H380" s="33"/>
      <c r="I380" s="33"/>
      <c r="J380" s="33"/>
      <c r="K380" s="33"/>
      <c r="L380" s="33"/>
      <c r="M380" s="33"/>
      <c r="N380" s="33"/>
      <c r="O380" s="33"/>
      <c r="P380" s="33"/>
      <c r="Q380" s="33"/>
      <c r="R380" s="33"/>
      <c r="S380" s="33"/>
      <c r="T380" s="33"/>
      <c r="U380" s="33"/>
      <c r="V380" s="33"/>
      <c r="W380" s="33"/>
      <c r="X380" s="33"/>
      <c r="Y380" s="33"/>
      <c r="Z380" s="33"/>
      <c r="AA380" s="33"/>
      <c r="AB380" s="33"/>
      <c r="AC380" s="33"/>
      <c r="AD380" s="33"/>
      <c r="AE380" s="33"/>
      <c r="AF380" s="33"/>
    </row>
    <row r="381" ht="15.75" customHeight="1">
      <c r="A381" s="75" t="s">
        <v>3073</v>
      </c>
      <c r="B381" s="76">
        <v>5.0</v>
      </c>
      <c r="C381" s="31" t="s">
        <v>3115</v>
      </c>
      <c r="D381" s="31" t="s">
        <v>3116</v>
      </c>
      <c r="E381" s="31" t="s">
        <v>3117</v>
      </c>
      <c r="F381" s="29"/>
      <c r="G381" s="29"/>
      <c r="H381" s="33"/>
      <c r="I381" s="33"/>
      <c r="J381" s="33"/>
      <c r="K381" s="33"/>
      <c r="L381" s="33"/>
      <c r="M381" s="33"/>
      <c r="N381" s="33"/>
      <c r="O381" s="33"/>
      <c r="P381" s="33"/>
      <c r="Q381" s="33"/>
      <c r="R381" s="33"/>
      <c r="S381" s="33"/>
      <c r="T381" s="33"/>
      <c r="U381" s="33"/>
      <c r="V381" s="33"/>
      <c r="W381" s="33"/>
      <c r="X381" s="33"/>
      <c r="Y381" s="33"/>
      <c r="Z381" s="33"/>
      <c r="AA381" s="33"/>
      <c r="AB381" s="33"/>
      <c r="AC381" s="33"/>
      <c r="AD381" s="33"/>
      <c r="AE381" s="33"/>
      <c r="AF381" s="33"/>
    </row>
    <row r="382" ht="15.75" customHeight="1">
      <c r="A382" s="63" t="s">
        <v>3073</v>
      </c>
      <c r="B382" s="94">
        <v>-777.0</v>
      </c>
      <c r="C382" s="37" t="s">
        <v>417</v>
      </c>
      <c r="D382" s="37" t="s">
        <v>418</v>
      </c>
      <c r="E382" s="37" t="s">
        <v>1815</v>
      </c>
      <c r="F382" s="36"/>
      <c r="G382" s="36"/>
      <c r="H382" s="19"/>
      <c r="I382" s="19"/>
      <c r="J382" s="19"/>
      <c r="K382" s="19"/>
      <c r="L382" s="19"/>
      <c r="M382" s="19"/>
      <c r="N382" s="19"/>
      <c r="O382" s="19"/>
      <c r="P382" s="19"/>
      <c r="Q382" s="19"/>
      <c r="R382" s="19"/>
      <c r="S382" s="19"/>
      <c r="T382" s="19"/>
      <c r="U382" s="19"/>
      <c r="V382" s="19"/>
      <c r="W382" s="19"/>
      <c r="X382" s="19"/>
      <c r="Y382" s="19"/>
      <c r="Z382" s="19"/>
      <c r="AA382" s="19"/>
      <c r="AB382" s="19"/>
      <c r="AC382" s="19"/>
      <c r="AD382" s="19"/>
      <c r="AE382" s="19"/>
      <c r="AF382" s="19"/>
    </row>
    <row r="383" ht="15.75" customHeight="1">
      <c r="A383" s="63"/>
      <c r="B383" s="37"/>
      <c r="C383" s="37"/>
      <c r="D383" s="37"/>
      <c r="E383" s="37"/>
      <c r="F383" s="36"/>
      <c r="G383" s="36"/>
      <c r="H383" s="19"/>
      <c r="I383" s="19"/>
      <c r="J383" s="19"/>
      <c r="K383" s="19"/>
      <c r="L383" s="19"/>
      <c r="M383" s="19"/>
      <c r="N383" s="19"/>
      <c r="O383" s="19"/>
      <c r="P383" s="19"/>
      <c r="Q383" s="19"/>
      <c r="R383" s="19"/>
      <c r="S383" s="19"/>
      <c r="T383" s="19"/>
      <c r="U383" s="19"/>
      <c r="V383" s="19"/>
      <c r="W383" s="19"/>
      <c r="X383" s="19"/>
      <c r="Y383" s="19"/>
      <c r="Z383" s="19"/>
      <c r="AA383" s="19"/>
      <c r="AB383" s="19"/>
      <c r="AC383" s="19"/>
      <c r="AD383" s="19"/>
      <c r="AE383" s="19"/>
      <c r="AF383" s="19"/>
    </row>
    <row r="384" ht="15.75" customHeight="1">
      <c r="A384" s="75" t="s">
        <v>3149</v>
      </c>
      <c r="B384" s="76">
        <v>1.0</v>
      </c>
      <c r="C384" s="31" t="s">
        <v>3151</v>
      </c>
      <c r="D384" s="31" t="s">
        <v>3154</v>
      </c>
      <c r="E384" s="78" t="s">
        <v>3155</v>
      </c>
      <c r="F384" s="29"/>
      <c r="G384" s="25">
        <v>1.0</v>
      </c>
      <c r="H384" s="33"/>
      <c r="I384" s="33"/>
      <c r="J384" s="33"/>
      <c r="K384" s="33"/>
      <c r="L384" s="33"/>
      <c r="M384" s="33"/>
      <c r="N384" s="33"/>
      <c r="O384" s="33"/>
      <c r="P384" s="33"/>
      <c r="Q384" s="33"/>
      <c r="R384" s="33"/>
      <c r="S384" s="33"/>
      <c r="T384" s="33"/>
      <c r="U384" s="33"/>
      <c r="V384" s="33"/>
      <c r="W384" s="33"/>
      <c r="X384" s="33"/>
      <c r="Y384" s="33"/>
      <c r="Z384" s="33"/>
      <c r="AA384" s="33"/>
      <c r="AB384" s="33"/>
      <c r="AC384" s="33"/>
      <c r="AD384" s="33"/>
      <c r="AE384" s="33"/>
      <c r="AF384" s="33"/>
    </row>
    <row r="385" ht="15.75" customHeight="1">
      <c r="A385" s="75" t="s">
        <v>3149</v>
      </c>
      <c r="B385" s="76">
        <v>2.0</v>
      </c>
      <c r="C385" s="31" t="s">
        <v>3168</v>
      </c>
      <c r="D385" s="31" t="s">
        <v>3169</v>
      </c>
      <c r="E385" s="78" t="s">
        <v>3170</v>
      </c>
      <c r="F385" s="29"/>
      <c r="G385" s="25">
        <v>2.0</v>
      </c>
      <c r="H385" s="33"/>
      <c r="I385" s="33"/>
      <c r="J385" s="33"/>
      <c r="K385" s="33"/>
      <c r="L385" s="33"/>
      <c r="M385" s="33"/>
      <c r="N385" s="33"/>
      <c r="O385" s="33"/>
      <c r="P385" s="33"/>
      <c r="Q385" s="33"/>
      <c r="R385" s="33"/>
      <c r="S385" s="33"/>
      <c r="T385" s="33"/>
      <c r="U385" s="33"/>
      <c r="V385" s="33"/>
      <c r="W385" s="33"/>
      <c r="X385" s="33"/>
      <c r="Y385" s="33"/>
      <c r="Z385" s="33"/>
      <c r="AA385" s="33"/>
      <c r="AB385" s="33"/>
      <c r="AC385" s="33"/>
      <c r="AD385" s="33"/>
      <c r="AE385" s="33"/>
      <c r="AF385" s="33"/>
    </row>
    <row r="386" ht="15.75" customHeight="1">
      <c r="A386" s="75" t="s">
        <v>3149</v>
      </c>
      <c r="B386" s="76">
        <v>3.0</v>
      </c>
      <c r="C386" s="31" t="s">
        <v>3180</v>
      </c>
      <c r="D386" s="31" t="s">
        <v>3181</v>
      </c>
      <c r="E386" s="78" t="s">
        <v>3183</v>
      </c>
      <c r="F386" s="29"/>
      <c r="G386" s="25">
        <v>3.0</v>
      </c>
      <c r="H386" s="33"/>
      <c r="I386" s="33"/>
      <c r="J386" s="33"/>
      <c r="K386" s="33"/>
      <c r="L386" s="33"/>
      <c r="M386" s="33"/>
      <c r="N386" s="33"/>
      <c r="O386" s="33"/>
      <c r="P386" s="33"/>
      <c r="Q386" s="33"/>
      <c r="R386" s="33"/>
      <c r="S386" s="33"/>
      <c r="T386" s="33"/>
      <c r="U386" s="33"/>
      <c r="V386" s="33"/>
      <c r="W386" s="33"/>
      <c r="X386" s="33"/>
      <c r="Y386" s="33"/>
      <c r="Z386" s="33"/>
      <c r="AA386" s="33"/>
      <c r="AB386" s="33"/>
      <c r="AC386" s="33"/>
      <c r="AD386" s="33"/>
      <c r="AE386" s="33"/>
      <c r="AF386" s="33"/>
    </row>
    <row r="387" ht="15.75" customHeight="1">
      <c r="A387" s="75" t="s">
        <v>3149</v>
      </c>
      <c r="B387" s="76">
        <v>4.0</v>
      </c>
      <c r="C387" s="31" t="s">
        <v>3192</v>
      </c>
      <c r="D387" s="31" t="s">
        <v>3193</v>
      </c>
      <c r="E387" s="78" t="s">
        <v>3194</v>
      </c>
      <c r="F387" s="29"/>
      <c r="G387" s="25">
        <v>4.0</v>
      </c>
      <c r="H387" s="33"/>
      <c r="I387" s="33"/>
      <c r="J387" s="33"/>
      <c r="K387" s="33"/>
      <c r="L387" s="33"/>
      <c r="M387" s="33"/>
      <c r="N387" s="33"/>
      <c r="O387" s="33"/>
      <c r="P387" s="33"/>
      <c r="Q387" s="33"/>
      <c r="R387" s="33"/>
      <c r="S387" s="33"/>
      <c r="T387" s="33"/>
      <c r="U387" s="33"/>
      <c r="V387" s="33"/>
      <c r="W387" s="33"/>
      <c r="X387" s="33"/>
      <c r="Y387" s="33"/>
      <c r="Z387" s="33"/>
      <c r="AA387" s="33"/>
      <c r="AB387" s="33"/>
      <c r="AC387" s="33"/>
      <c r="AD387" s="33"/>
      <c r="AE387" s="33"/>
      <c r="AF387" s="33"/>
    </row>
    <row r="388" ht="15.75" customHeight="1">
      <c r="A388" s="63" t="s">
        <v>3149</v>
      </c>
      <c r="B388" s="94">
        <v>5.0</v>
      </c>
      <c r="C388" s="37" t="s">
        <v>3198</v>
      </c>
      <c r="D388" s="37" t="s">
        <v>3199</v>
      </c>
      <c r="E388" s="71" t="s">
        <v>3200</v>
      </c>
      <c r="F388" s="36"/>
      <c r="G388" s="35">
        <v>5.0</v>
      </c>
      <c r="H388" s="19"/>
      <c r="I388" s="19"/>
      <c r="J388" s="19"/>
      <c r="K388" s="19"/>
      <c r="L388" s="19"/>
      <c r="M388" s="19"/>
      <c r="N388" s="19"/>
      <c r="O388" s="19"/>
      <c r="P388" s="19"/>
      <c r="Q388" s="19"/>
      <c r="R388" s="19"/>
      <c r="S388" s="19"/>
      <c r="T388" s="19"/>
      <c r="U388" s="19"/>
      <c r="V388" s="19"/>
      <c r="W388" s="19"/>
      <c r="X388" s="19"/>
      <c r="Y388" s="19"/>
      <c r="Z388" s="19"/>
      <c r="AA388" s="19"/>
      <c r="AB388" s="19"/>
      <c r="AC388" s="19"/>
      <c r="AD388" s="19"/>
      <c r="AE388" s="19"/>
      <c r="AF388" s="19"/>
    </row>
    <row r="389" ht="15.75" customHeight="1">
      <c r="A389" s="63"/>
      <c r="B389" s="37"/>
      <c r="C389" s="37"/>
      <c r="D389" s="37"/>
      <c r="E389" s="37"/>
      <c r="F389" s="36"/>
      <c r="G389" s="36"/>
      <c r="H389" s="19"/>
      <c r="I389" s="19"/>
      <c r="J389" s="19"/>
      <c r="K389" s="19"/>
      <c r="L389" s="19"/>
      <c r="M389" s="19"/>
      <c r="N389" s="19"/>
      <c r="O389" s="19"/>
      <c r="P389" s="19"/>
      <c r="Q389" s="19"/>
      <c r="R389" s="19"/>
      <c r="S389" s="19"/>
      <c r="T389" s="19"/>
      <c r="U389" s="19"/>
      <c r="V389" s="19"/>
      <c r="W389" s="19"/>
      <c r="X389" s="19"/>
      <c r="Y389" s="19"/>
      <c r="Z389" s="19"/>
      <c r="AA389" s="19"/>
      <c r="AB389" s="19"/>
      <c r="AC389" s="19"/>
      <c r="AD389" s="19"/>
      <c r="AE389" s="19"/>
      <c r="AF389" s="19"/>
    </row>
    <row r="390" ht="15.75" customHeight="1">
      <c r="A390" s="63"/>
      <c r="B390" s="37"/>
      <c r="C390" s="37"/>
      <c r="D390" s="37"/>
      <c r="E390" s="37"/>
      <c r="F390" s="36"/>
      <c r="G390" s="36"/>
      <c r="H390" s="19"/>
      <c r="I390" s="19"/>
      <c r="J390" s="19"/>
      <c r="K390" s="19"/>
      <c r="L390" s="19"/>
      <c r="M390" s="19"/>
      <c r="N390" s="19"/>
      <c r="O390" s="19"/>
      <c r="P390" s="19"/>
      <c r="Q390" s="19"/>
      <c r="R390" s="19"/>
      <c r="S390" s="19"/>
      <c r="T390" s="19"/>
      <c r="U390" s="19"/>
      <c r="V390" s="19"/>
      <c r="W390" s="19"/>
      <c r="X390" s="19"/>
      <c r="Y390" s="19"/>
      <c r="Z390" s="19"/>
      <c r="AA390" s="19"/>
      <c r="AB390" s="19"/>
      <c r="AC390" s="19"/>
      <c r="AD390" s="19"/>
      <c r="AE390" s="19"/>
      <c r="AF390" s="19"/>
    </row>
    <row r="391" ht="15.75" customHeight="1">
      <c r="A391" s="75" t="s">
        <v>3226</v>
      </c>
      <c r="B391" s="76">
        <v>1.0</v>
      </c>
      <c r="C391" s="31" t="s">
        <v>3228</v>
      </c>
      <c r="D391" s="31" t="s">
        <v>3229</v>
      </c>
      <c r="E391" s="31" t="s">
        <v>3230</v>
      </c>
      <c r="F391" s="29"/>
      <c r="G391" s="29"/>
      <c r="H391" s="33"/>
      <c r="I391" s="33"/>
      <c r="J391" s="33"/>
      <c r="K391" s="33"/>
      <c r="L391" s="33"/>
      <c r="M391" s="33"/>
      <c r="N391" s="33"/>
      <c r="O391" s="33"/>
      <c r="P391" s="33"/>
      <c r="Q391" s="33"/>
      <c r="R391" s="33"/>
      <c r="S391" s="33"/>
      <c r="T391" s="33"/>
      <c r="U391" s="33"/>
      <c r="V391" s="33"/>
      <c r="W391" s="33"/>
      <c r="X391" s="33"/>
      <c r="Y391" s="33"/>
      <c r="Z391" s="33"/>
      <c r="AA391" s="33"/>
      <c r="AB391" s="33"/>
      <c r="AC391" s="33"/>
      <c r="AD391" s="33"/>
      <c r="AE391" s="33"/>
      <c r="AF391" s="33"/>
    </row>
    <row r="392" ht="15.75" customHeight="1">
      <c r="A392" s="75" t="s">
        <v>3226</v>
      </c>
      <c r="B392" s="76">
        <v>2.0</v>
      </c>
      <c r="C392" s="31" t="s">
        <v>3235</v>
      </c>
      <c r="D392" s="31" t="s">
        <v>3237</v>
      </c>
      <c r="E392" s="78" t="s">
        <v>3240</v>
      </c>
      <c r="F392" s="162"/>
      <c r="G392" s="29"/>
      <c r="H392" s="33"/>
      <c r="I392" s="33"/>
      <c r="J392" s="33"/>
      <c r="K392" s="33"/>
      <c r="L392" s="33"/>
      <c r="M392" s="33"/>
      <c r="N392" s="33"/>
      <c r="O392" s="33"/>
      <c r="P392" s="33"/>
      <c r="Q392" s="33"/>
      <c r="R392" s="33"/>
      <c r="S392" s="33"/>
      <c r="T392" s="33"/>
      <c r="U392" s="33"/>
      <c r="V392" s="33"/>
      <c r="W392" s="33"/>
      <c r="X392" s="33"/>
      <c r="Y392" s="33"/>
      <c r="Z392" s="33"/>
      <c r="AA392" s="33"/>
      <c r="AB392" s="33"/>
      <c r="AC392" s="33"/>
      <c r="AD392" s="33"/>
      <c r="AE392" s="33"/>
      <c r="AF392" s="33"/>
    </row>
    <row r="393" ht="15.75" customHeight="1">
      <c r="A393" s="75" t="s">
        <v>3226</v>
      </c>
      <c r="B393" s="76">
        <v>3.0</v>
      </c>
      <c r="C393" s="31" t="s">
        <v>3248</v>
      </c>
      <c r="D393" s="31" t="s">
        <v>3249</v>
      </c>
      <c r="E393" s="78" t="s">
        <v>3250</v>
      </c>
      <c r="F393" s="162"/>
      <c r="G393" s="29"/>
      <c r="H393" s="33"/>
      <c r="I393" s="33"/>
      <c r="J393" s="33"/>
      <c r="K393" s="33"/>
      <c r="L393" s="33"/>
      <c r="M393" s="33"/>
      <c r="N393" s="33"/>
      <c r="O393" s="33"/>
      <c r="P393" s="33"/>
      <c r="Q393" s="33"/>
      <c r="R393" s="33"/>
      <c r="S393" s="33"/>
      <c r="T393" s="33"/>
      <c r="U393" s="33"/>
      <c r="V393" s="33"/>
      <c r="W393" s="33"/>
      <c r="X393" s="33"/>
      <c r="Y393" s="33"/>
      <c r="Z393" s="33"/>
      <c r="AA393" s="33"/>
      <c r="AB393" s="33"/>
      <c r="AC393" s="33"/>
      <c r="AD393" s="33"/>
      <c r="AE393" s="33"/>
      <c r="AF393" s="33"/>
    </row>
    <row r="394" ht="15.75" customHeight="1">
      <c r="A394" s="63" t="s">
        <v>3226</v>
      </c>
      <c r="B394" s="94">
        <v>4.0</v>
      </c>
      <c r="C394" s="37" t="s">
        <v>3258</v>
      </c>
      <c r="D394" s="37" t="s">
        <v>3259</v>
      </c>
      <c r="E394" s="71" t="s">
        <v>3261</v>
      </c>
      <c r="F394" s="36"/>
      <c r="G394" s="36"/>
      <c r="H394" s="19"/>
      <c r="I394" s="19"/>
      <c r="J394" s="19"/>
      <c r="K394" s="19"/>
      <c r="L394" s="19"/>
      <c r="M394" s="19"/>
      <c r="N394" s="19"/>
      <c r="O394" s="19"/>
      <c r="P394" s="19"/>
      <c r="Q394" s="19"/>
      <c r="R394" s="19"/>
      <c r="S394" s="19"/>
      <c r="T394" s="19"/>
      <c r="U394" s="19"/>
      <c r="V394" s="19"/>
      <c r="W394" s="19"/>
      <c r="X394" s="19"/>
      <c r="Y394" s="19"/>
      <c r="Z394" s="19"/>
      <c r="AA394" s="19"/>
      <c r="AB394" s="19"/>
      <c r="AC394" s="19"/>
      <c r="AD394" s="19"/>
      <c r="AE394" s="19"/>
      <c r="AF394" s="19"/>
    </row>
    <row r="395" ht="15.75" customHeight="1">
      <c r="A395" s="63"/>
      <c r="B395" s="37"/>
      <c r="C395" s="37"/>
      <c r="D395" s="37"/>
      <c r="E395" s="37"/>
      <c r="F395" s="36"/>
      <c r="G395" s="36"/>
      <c r="H395" s="19"/>
      <c r="I395" s="19"/>
      <c r="J395" s="19"/>
      <c r="K395" s="19"/>
      <c r="L395" s="19"/>
      <c r="M395" s="19"/>
      <c r="N395" s="19"/>
      <c r="O395" s="19"/>
      <c r="P395" s="19"/>
      <c r="Q395" s="19"/>
      <c r="R395" s="19"/>
      <c r="S395" s="19"/>
      <c r="T395" s="19"/>
      <c r="U395" s="19"/>
      <c r="V395" s="19"/>
      <c r="W395" s="19"/>
      <c r="X395" s="19"/>
      <c r="Y395" s="19"/>
      <c r="Z395" s="19"/>
      <c r="AA395" s="19"/>
      <c r="AB395" s="19"/>
      <c r="AC395" s="19"/>
      <c r="AD395" s="19"/>
      <c r="AE395" s="19"/>
      <c r="AF395" s="19"/>
    </row>
    <row r="396" ht="15.75" customHeight="1">
      <c r="A396" s="75" t="s">
        <v>3276</v>
      </c>
      <c r="B396" s="76">
        <v>1.0</v>
      </c>
      <c r="C396" s="31" t="s">
        <v>3279</v>
      </c>
      <c r="D396" s="31" t="s">
        <v>3280</v>
      </c>
      <c r="E396" s="31" t="s">
        <v>3281</v>
      </c>
      <c r="F396" s="29"/>
      <c r="G396" s="29"/>
      <c r="H396" s="33"/>
      <c r="I396" s="33"/>
      <c r="J396" s="33"/>
      <c r="K396" s="33"/>
      <c r="L396" s="33"/>
      <c r="M396" s="33"/>
      <c r="N396" s="33"/>
      <c r="O396" s="33"/>
      <c r="P396" s="33"/>
      <c r="Q396" s="33"/>
      <c r="R396" s="33"/>
      <c r="S396" s="33"/>
      <c r="T396" s="33"/>
      <c r="U396" s="33"/>
      <c r="V396" s="33"/>
      <c r="W396" s="33"/>
      <c r="X396" s="33"/>
      <c r="Y396" s="33"/>
      <c r="Z396" s="33"/>
      <c r="AA396" s="33"/>
      <c r="AB396" s="33"/>
      <c r="AC396" s="33"/>
      <c r="AD396" s="33"/>
      <c r="AE396" s="33"/>
      <c r="AF396" s="33"/>
    </row>
    <row r="397" ht="15.75" customHeight="1">
      <c r="A397" s="75" t="s">
        <v>3276</v>
      </c>
      <c r="B397" s="76">
        <v>2.0</v>
      </c>
      <c r="C397" s="31" t="s">
        <v>3290</v>
      </c>
      <c r="D397" s="31" t="s">
        <v>3292</v>
      </c>
      <c r="E397" s="78" t="s">
        <v>3293</v>
      </c>
      <c r="F397" s="162"/>
      <c r="G397" s="162"/>
      <c r="H397" s="33"/>
      <c r="I397" s="33"/>
      <c r="J397" s="33"/>
      <c r="K397" s="33"/>
      <c r="L397" s="33"/>
      <c r="M397" s="33"/>
      <c r="N397" s="33"/>
      <c r="O397" s="33"/>
      <c r="P397" s="33"/>
      <c r="Q397" s="33"/>
      <c r="R397" s="33"/>
      <c r="S397" s="33"/>
      <c r="T397" s="33"/>
      <c r="U397" s="33"/>
      <c r="V397" s="33"/>
      <c r="W397" s="33"/>
      <c r="X397" s="33"/>
      <c r="Y397" s="33"/>
      <c r="Z397" s="33"/>
      <c r="AA397" s="33"/>
      <c r="AB397" s="33"/>
      <c r="AC397" s="33"/>
      <c r="AD397" s="33"/>
      <c r="AE397" s="33"/>
      <c r="AF397" s="33"/>
    </row>
    <row r="398" ht="15.75" customHeight="1">
      <c r="A398" s="75" t="s">
        <v>3276</v>
      </c>
      <c r="B398" s="76">
        <v>3.0</v>
      </c>
      <c r="C398" s="31" t="s">
        <v>3301</v>
      </c>
      <c r="D398" s="31" t="s">
        <v>3303</v>
      </c>
      <c r="E398" s="78" t="s">
        <v>3305</v>
      </c>
      <c r="F398" s="29"/>
      <c r="G398" s="29"/>
      <c r="H398" s="33"/>
      <c r="I398" s="33"/>
      <c r="J398" s="33"/>
      <c r="K398" s="33"/>
      <c r="L398" s="33"/>
      <c r="M398" s="33"/>
      <c r="N398" s="33"/>
      <c r="O398" s="33"/>
      <c r="P398" s="33"/>
      <c r="Q398" s="33"/>
      <c r="R398" s="33"/>
      <c r="S398" s="33"/>
      <c r="T398" s="33"/>
      <c r="U398" s="33"/>
      <c r="V398" s="33"/>
      <c r="W398" s="33"/>
      <c r="X398" s="33"/>
      <c r="Y398" s="33"/>
      <c r="Z398" s="33"/>
      <c r="AA398" s="33"/>
      <c r="AB398" s="33"/>
      <c r="AC398" s="33"/>
      <c r="AD398" s="33"/>
      <c r="AE398" s="33"/>
      <c r="AF398" s="33"/>
    </row>
    <row r="399" ht="15.75" customHeight="1">
      <c r="A399" s="75" t="s">
        <v>3276</v>
      </c>
      <c r="B399" s="76">
        <v>4.0</v>
      </c>
      <c r="C399" s="31" t="s">
        <v>3311</v>
      </c>
      <c r="D399" s="31" t="s">
        <v>3312</v>
      </c>
      <c r="E399" s="31" t="s">
        <v>3313</v>
      </c>
      <c r="F399" s="29"/>
      <c r="G399" s="29"/>
      <c r="H399" s="33"/>
      <c r="I399" s="33"/>
      <c r="J399" s="33"/>
      <c r="K399" s="33"/>
      <c r="L399" s="33"/>
      <c r="M399" s="33"/>
      <c r="N399" s="33"/>
      <c r="O399" s="33"/>
      <c r="P399" s="33"/>
      <c r="Q399" s="33"/>
      <c r="R399" s="33"/>
      <c r="S399" s="33"/>
      <c r="T399" s="33"/>
      <c r="U399" s="33"/>
      <c r="V399" s="33"/>
      <c r="W399" s="33"/>
      <c r="X399" s="33"/>
      <c r="Y399" s="33"/>
      <c r="Z399" s="33"/>
      <c r="AA399" s="33"/>
      <c r="AB399" s="33"/>
      <c r="AC399" s="33"/>
      <c r="AD399" s="33"/>
      <c r="AE399" s="33"/>
      <c r="AF399" s="33"/>
    </row>
    <row r="400" ht="15.75" customHeight="1">
      <c r="A400" s="75" t="s">
        <v>3276</v>
      </c>
      <c r="B400" s="76">
        <v>5.0</v>
      </c>
      <c r="C400" s="31" t="s">
        <v>3322</v>
      </c>
      <c r="D400" s="78" t="s">
        <v>3323</v>
      </c>
      <c r="E400" s="31"/>
      <c r="F400" s="29"/>
      <c r="G400" s="29"/>
      <c r="H400" s="33"/>
      <c r="I400" s="33"/>
      <c r="J400" s="33"/>
      <c r="K400" s="33"/>
      <c r="L400" s="33"/>
      <c r="M400" s="33"/>
      <c r="N400" s="33"/>
      <c r="O400" s="33"/>
      <c r="P400" s="33"/>
      <c r="Q400" s="33"/>
      <c r="R400" s="33"/>
      <c r="S400" s="33"/>
      <c r="T400" s="33"/>
      <c r="U400" s="33"/>
      <c r="V400" s="33"/>
      <c r="W400" s="33"/>
      <c r="X400" s="33"/>
      <c r="Y400" s="33"/>
      <c r="Z400" s="33"/>
      <c r="AA400" s="33"/>
      <c r="AB400" s="33"/>
      <c r="AC400" s="33"/>
      <c r="AD400" s="33"/>
      <c r="AE400" s="33"/>
      <c r="AF400" s="33"/>
    </row>
    <row r="401" ht="15.75" customHeight="1">
      <c r="A401" s="75" t="s">
        <v>3276</v>
      </c>
      <c r="B401" s="76">
        <v>8.0</v>
      </c>
      <c r="C401" s="31" t="s">
        <v>3329</v>
      </c>
      <c r="D401" s="31" t="s">
        <v>3330</v>
      </c>
      <c r="E401" s="78" t="s">
        <v>3331</v>
      </c>
      <c r="F401" s="162"/>
      <c r="G401" s="29"/>
      <c r="H401" s="33"/>
      <c r="I401" s="33"/>
      <c r="J401" s="33"/>
      <c r="K401" s="33"/>
      <c r="L401" s="33"/>
      <c r="M401" s="33"/>
      <c r="N401" s="33"/>
      <c r="O401" s="33"/>
      <c r="P401" s="33"/>
      <c r="Q401" s="33"/>
      <c r="R401" s="33"/>
      <c r="S401" s="33"/>
      <c r="T401" s="33"/>
      <c r="U401" s="33"/>
      <c r="V401" s="33"/>
      <c r="W401" s="33"/>
      <c r="X401" s="33"/>
      <c r="Y401" s="33"/>
      <c r="Z401" s="33"/>
      <c r="AA401" s="33"/>
      <c r="AB401" s="33"/>
      <c r="AC401" s="33"/>
      <c r="AD401" s="33"/>
      <c r="AE401" s="33"/>
      <c r="AF401" s="33"/>
    </row>
    <row r="402" ht="15.75" customHeight="1">
      <c r="A402" s="63" t="s">
        <v>3276</v>
      </c>
      <c r="B402" s="94">
        <v>-777.0</v>
      </c>
      <c r="C402" s="37" t="s">
        <v>3339</v>
      </c>
      <c r="D402" s="37" t="s">
        <v>3340</v>
      </c>
      <c r="E402" s="37" t="s">
        <v>1815</v>
      </c>
      <c r="F402" s="36"/>
      <c r="G402" s="36"/>
      <c r="H402" s="19"/>
      <c r="I402" s="19"/>
      <c r="J402" s="19"/>
      <c r="K402" s="19"/>
      <c r="L402" s="19"/>
      <c r="M402" s="19"/>
      <c r="N402" s="19"/>
      <c r="O402" s="19"/>
      <c r="P402" s="19"/>
      <c r="Q402" s="19"/>
      <c r="R402" s="19"/>
      <c r="S402" s="19"/>
      <c r="T402" s="19"/>
      <c r="U402" s="19"/>
      <c r="V402" s="19"/>
      <c r="W402" s="19"/>
      <c r="X402" s="19"/>
      <c r="Y402" s="19"/>
      <c r="Z402" s="19"/>
      <c r="AA402" s="19"/>
      <c r="AB402" s="19"/>
      <c r="AC402" s="19"/>
      <c r="AD402" s="19"/>
      <c r="AE402" s="19"/>
      <c r="AF402" s="19"/>
    </row>
    <row r="403" ht="15.75" customHeight="1">
      <c r="A403" s="63"/>
      <c r="B403" s="37"/>
      <c r="C403" s="37"/>
      <c r="D403" s="37"/>
      <c r="E403" s="37"/>
      <c r="F403" s="36"/>
      <c r="G403" s="36"/>
      <c r="H403" s="19"/>
      <c r="I403" s="19"/>
      <c r="J403" s="19"/>
      <c r="K403" s="19"/>
      <c r="L403" s="19"/>
      <c r="M403" s="19"/>
      <c r="N403" s="19"/>
      <c r="O403" s="19"/>
      <c r="P403" s="19"/>
      <c r="Q403" s="19"/>
      <c r="R403" s="19"/>
      <c r="S403" s="19"/>
      <c r="T403" s="19"/>
      <c r="U403" s="19"/>
      <c r="V403" s="19"/>
      <c r="W403" s="19"/>
      <c r="X403" s="19"/>
      <c r="Y403" s="19"/>
      <c r="Z403" s="19"/>
      <c r="AA403" s="19"/>
      <c r="AB403" s="19"/>
      <c r="AC403" s="19"/>
      <c r="AD403" s="19"/>
      <c r="AE403" s="19"/>
      <c r="AF403" s="19"/>
    </row>
    <row r="404" ht="15.75" customHeight="1">
      <c r="A404" s="75" t="s">
        <v>3356</v>
      </c>
      <c r="B404" s="76">
        <v>0.0</v>
      </c>
      <c r="C404" s="31" t="s">
        <v>3359</v>
      </c>
      <c r="D404" s="31" t="s">
        <v>3361</v>
      </c>
      <c r="E404" s="78" t="s">
        <v>3362</v>
      </c>
      <c r="F404" s="29"/>
      <c r="G404" s="29"/>
      <c r="H404" s="33"/>
      <c r="I404" s="33"/>
      <c r="J404" s="33"/>
      <c r="K404" s="33"/>
      <c r="L404" s="33"/>
      <c r="M404" s="33"/>
      <c r="N404" s="33"/>
      <c r="O404" s="33"/>
      <c r="P404" s="33"/>
      <c r="Q404" s="33"/>
      <c r="R404" s="33"/>
      <c r="S404" s="33"/>
      <c r="T404" s="33"/>
      <c r="U404" s="33"/>
      <c r="V404" s="33"/>
      <c r="W404" s="33"/>
      <c r="X404" s="33"/>
      <c r="Y404" s="33"/>
      <c r="Z404" s="33"/>
      <c r="AA404" s="33"/>
      <c r="AB404" s="33"/>
      <c r="AC404" s="33"/>
      <c r="AD404" s="33"/>
      <c r="AE404" s="33"/>
      <c r="AF404" s="33"/>
    </row>
    <row r="405" ht="15.75" customHeight="1">
      <c r="A405" s="75" t="s">
        <v>3356</v>
      </c>
      <c r="B405" s="76">
        <v>1.0</v>
      </c>
      <c r="C405" s="31" t="s">
        <v>3369</v>
      </c>
      <c r="D405" s="31" t="s">
        <v>3370</v>
      </c>
      <c r="E405" s="78" t="s">
        <v>3372</v>
      </c>
      <c r="F405" s="162"/>
      <c r="G405" s="29"/>
      <c r="H405" s="33"/>
      <c r="I405" s="33"/>
      <c r="J405" s="33"/>
      <c r="K405" s="33"/>
      <c r="L405" s="33"/>
      <c r="M405" s="33"/>
      <c r="N405" s="33"/>
      <c r="O405" s="33"/>
      <c r="P405" s="33"/>
      <c r="Q405" s="33"/>
      <c r="R405" s="33"/>
      <c r="S405" s="33"/>
      <c r="T405" s="33"/>
      <c r="U405" s="33"/>
      <c r="V405" s="33"/>
      <c r="W405" s="33"/>
      <c r="X405" s="33"/>
      <c r="Y405" s="33"/>
      <c r="Z405" s="33"/>
      <c r="AA405" s="33"/>
      <c r="AB405" s="33"/>
      <c r="AC405" s="33"/>
      <c r="AD405" s="33"/>
      <c r="AE405" s="33"/>
      <c r="AF405" s="33"/>
    </row>
    <row r="406" ht="15.75" customHeight="1">
      <c r="A406" s="75" t="s">
        <v>3356</v>
      </c>
      <c r="B406" s="76">
        <v>2.0</v>
      </c>
      <c r="C406" s="31" t="s">
        <v>3380</v>
      </c>
      <c r="D406" s="31" t="s">
        <v>3381</v>
      </c>
      <c r="E406" s="78" t="s">
        <v>3382</v>
      </c>
      <c r="F406" s="29"/>
      <c r="G406" s="29"/>
      <c r="H406" s="33"/>
      <c r="I406" s="33"/>
      <c r="J406" s="33"/>
      <c r="K406" s="33"/>
      <c r="L406" s="33"/>
      <c r="M406" s="33"/>
      <c r="N406" s="33"/>
      <c r="O406" s="33"/>
      <c r="P406" s="33"/>
      <c r="Q406" s="33"/>
      <c r="R406" s="33"/>
      <c r="S406" s="33"/>
      <c r="T406" s="33"/>
      <c r="U406" s="33"/>
      <c r="V406" s="33"/>
      <c r="W406" s="33"/>
      <c r="X406" s="33"/>
      <c r="Y406" s="33"/>
      <c r="Z406" s="33"/>
      <c r="AA406" s="33"/>
      <c r="AB406" s="33"/>
      <c r="AC406" s="33"/>
      <c r="AD406" s="33"/>
      <c r="AE406" s="33"/>
      <c r="AF406" s="33"/>
    </row>
    <row r="407" ht="15.75" customHeight="1">
      <c r="A407" s="75" t="s">
        <v>3356</v>
      </c>
      <c r="B407" s="76">
        <v>3.0</v>
      </c>
      <c r="C407" s="31" t="s">
        <v>3387</v>
      </c>
      <c r="D407" s="31" t="s">
        <v>3388</v>
      </c>
      <c r="E407" s="78" t="s">
        <v>3389</v>
      </c>
      <c r="F407" s="29"/>
      <c r="G407" s="29"/>
      <c r="H407" s="33"/>
      <c r="I407" s="33"/>
      <c r="J407" s="33"/>
      <c r="K407" s="33"/>
      <c r="L407" s="33"/>
      <c r="M407" s="33"/>
      <c r="N407" s="33"/>
      <c r="O407" s="33"/>
      <c r="P407" s="33"/>
      <c r="Q407" s="33"/>
      <c r="R407" s="33"/>
      <c r="S407" s="33"/>
      <c r="T407" s="33"/>
      <c r="U407" s="33"/>
      <c r="V407" s="33"/>
      <c r="W407" s="33"/>
      <c r="X407" s="33"/>
      <c r="Y407" s="33"/>
      <c r="Z407" s="33"/>
      <c r="AA407" s="33"/>
      <c r="AB407" s="33"/>
      <c r="AC407" s="33"/>
      <c r="AD407" s="33"/>
      <c r="AE407" s="33"/>
      <c r="AF407" s="33"/>
    </row>
    <row r="408" ht="15.75" customHeight="1">
      <c r="A408" s="75" t="s">
        <v>3356</v>
      </c>
      <c r="B408" s="76">
        <v>4.0</v>
      </c>
      <c r="C408" s="31" t="s">
        <v>3397</v>
      </c>
      <c r="D408" s="31" t="s">
        <v>3398</v>
      </c>
      <c r="E408" s="31" t="s">
        <v>3399</v>
      </c>
      <c r="F408" s="29"/>
      <c r="G408" s="29"/>
      <c r="H408" s="33"/>
      <c r="I408" s="33"/>
      <c r="J408" s="33"/>
      <c r="K408" s="33"/>
      <c r="L408" s="33"/>
      <c r="M408" s="33"/>
      <c r="N408" s="33"/>
      <c r="O408" s="33"/>
      <c r="P408" s="33"/>
      <c r="Q408" s="33"/>
      <c r="R408" s="33"/>
      <c r="S408" s="33"/>
      <c r="T408" s="33"/>
      <c r="U408" s="33"/>
      <c r="V408" s="33"/>
      <c r="W408" s="33"/>
      <c r="X408" s="33"/>
      <c r="Y408" s="33"/>
      <c r="Z408" s="33"/>
      <c r="AA408" s="33"/>
      <c r="AB408" s="33"/>
      <c r="AC408" s="33"/>
      <c r="AD408" s="33"/>
      <c r="AE408" s="33"/>
      <c r="AF408" s="33"/>
    </row>
    <row r="409" ht="15.75" customHeight="1">
      <c r="A409" s="75" t="s">
        <v>3356</v>
      </c>
      <c r="B409" s="76">
        <v>5.0</v>
      </c>
      <c r="C409" s="31" t="s">
        <v>3406</v>
      </c>
      <c r="D409" s="31" t="s">
        <v>3407</v>
      </c>
      <c r="E409" s="78" t="s">
        <v>3408</v>
      </c>
      <c r="F409" s="162"/>
      <c r="G409" s="29"/>
      <c r="H409" s="33"/>
      <c r="I409" s="33"/>
      <c r="J409" s="33"/>
      <c r="K409" s="33"/>
      <c r="L409" s="33"/>
      <c r="M409" s="33"/>
      <c r="N409" s="33"/>
      <c r="O409" s="33"/>
      <c r="P409" s="33"/>
      <c r="Q409" s="33"/>
      <c r="R409" s="33"/>
      <c r="S409" s="33"/>
      <c r="T409" s="33"/>
      <c r="U409" s="33"/>
      <c r="V409" s="33"/>
      <c r="W409" s="33"/>
      <c r="X409" s="33"/>
      <c r="Y409" s="33"/>
      <c r="Z409" s="33"/>
      <c r="AA409" s="33"/>
      <c r="AB409" s="33"/>
      <c r="AC409" s="33"/>
      <c r="AD409" s="33"/>
      <c r="AE409" s="33"/>
      <c r="AF409" s="33"/>
    </row>
    <row r="410" ht="15.75" customHeight="1">
      <c r="A410" s="75" t="s">
        <v>3356</v>
      </c>
      <c r="B410" s="76">
        <v>6.0</v>
      </c>
      <c r="C410" s="31" t="s">
        <v>3417</v>
      </c>
      <c r="D410" s="31" t="s">
        <v>3418</v>
      </c>
      <c r="E410" s="31" t="s">
        <v>3420</v>
      </c>
      <c r="F410" s="29"/>
      <c r="G410" s="29"/>
      <c r="H410" s="33"/>
      <c r="I410" s="33"/>
      <c r="J410" s="33"/>
      <c r="K410" s="33"/>
      <c r="L410" s="33"/>
      <c r="M410" s="33"/>
      <c r="N410" s="33"/>
      <c r="O410" s="33"/>
      <c r="P410" s="33"/>
      <c r="Q410" s="33"/>
      <c r="R410" s="33"/>
      <c r="S410" s="33"/>
      <c r="T410" s="33"/>
      <c r="U410" s="33"/>
      <c r="V410" s="33"/>
      <c r="W410" s="33"/>
      <c r="X410" s="33"/>
      <c r="Y410" s="33"/>
      <c r="Z410" s="33"/>
      <c r="AA410" s="33"/>
      <c r="AB410" s="33"/>
      <c r="AC410" s="33"/>
      <c r="AD410" s="33"/>
      <c r="AE410" s="33"/>
      <c r="AF410" s="33"/>
    </row>
    <row r="411" ht="15.75" customHeight="1">
      <c r="A411" s="63" t="s">
        <v>3356</v>
      </c>
      <c r="B411" s="94">
        <v>7.0</v>
      </c>
      <c r="C411" s="37" t="s">
        <v>3428</v>
      </c>
      <c r="D411" s="37" t="s">
        <v>3430</v>
      </c>
      <c r="E411" s="71" t="s">
        <v>3431</v>
      </c>
      <c r="F411" s="36"/>
      <c r="G411" s="36"/>
      <c r="H411" s="19"/>
      <c r="I411" s="19"/>
      <c r="J411" s="19"/>
      <c r="K411" s="19"/>
      <c r="L411" s="19"/>
      <c r="M411" s="19"/>
      <c r="N411" s="19"/>
      <c r="O411" s="19"/>
      <c r="P411" s="19"/>
      <c r="Q411" s="19"/>
      <c r="R411" s="19"/>
      <c r="S411" s="19"/>
      <c r="T411" s="19"/>
      <c r="U411" s="19"/>
      <c r="V411" s="19"/>
      <c r="W411" s="19"/>
      <c r="X411" s="19"/>
      <c r="Y411" s="19"/>
      <c r="Z411" s="19"/>
      <c r="AA411" s="19"/>
      <c r="AB411" s="19"/>
      <c r="AC411" s="19"/>
      <c r="AD411" s="19"/>
      <c r="AE411" s="19"/>
      <c r="AF411" s="19"/>
    </row>
    <row r="412" ht="15.75" customHeight="1">
      <c r="A412" s="75"/>
      <c r="B412" s="75"/>
      <c r="C412" s="75"/>
      <c r="D412" s="75"/>
      <c r="E412" s="75"/>
      <c r="F412" s="36"/>
      <c r="G412" s="36"/>
      <c r="H412" s="19"/>
      <c r="I412" s="19"/>
      <c r="J412" s="19"/>
      <c r="K412" s="19"/>
      <c r="L412" s="19"/>
      <c r="M412" s="19"/>
      <c r="N412" s="19"/>
      <c r="O412" s="19"/>
      <c r="P412" s="19"/>
      <c r="Q412" s="19"/>
      <c r="R412" s="19"/>
      <c r="S412" s="19"/>
      <c r="T412" s="19"/>
      <c r="U412" s="19"/>
      <c r="V412" s="19"/>
      <c r="W412" s="19"/>
      <c r="X412" s="19"/>
      <c r="Y412" s="19"/>
      <c r="Z412" s="19"/>
      <c r="AA412" s="19"/>
      <c r="AB412" s="19"/>
      <c r="AC412" s="19"/>
      <c r="AD412" s="19"/>
      <c r="AE412" s="19"/>
      <c r="AF412" s="19"/>
    </row>
    <row r="413" ht="15.75" customHeight="1">
      <c r="A413" s="75" t="s">
        <v>3450</v>
      </c>
      <c r="B413" s="75">
        <v>1.0</v>
      </c>
      <c r="C413" s="75" t="s">
        <v>3451</v>
      </c>
      <c r="D413" s="75" t="s">
        <v>3451</v>
      </c>
      <c r="E413" s="75" t="s">
        <v>3452</v>
      </c>
      <c r="F413" s="29"/>
      <c r="G413" s="29"/>
      <c r="H413" s="33"/>
      <c r="I413" s="33"/>
      <c r="J413" s="33"/>
      <c r="K413" s="33"/>
      <c r="L413" s="33"/>
      <c r="M413" s="33"/>
      <c r="N413" s="33"/>
      <c r="O413" s="33"/>
      <c r="P413" s="33"/>
      <c r="Q413" s="33"/>
      <c r="R413" s="33"/>
      <c r="S413" s="33"/>
      <c r="T413" s="33"/>
      <c r="U413" s="33"/>
      <c r="V413" s="33"/>
      <c r="W413" s="33"/>
      <c r="X413" s="33"/>
      <c r="Y413" s="33"/>
      <c r="Z413" s="33"/>
      <c r="AA413" s="33"/>
      <c r="AB413" s="33"/>
      <c r="AC413" s="33"/>
      <c r="AD413" s="33"/>
      <c r="AE413" s="33"/>
      <c r="AF413" s="33"/>
    </row>
    <row r="414" ht="15.75" customHeight="1">
      <c r="A414" s="75" t="s">
        <v>3450</v>
      </c>
      <c r="B414" s="75">
        <v>2.0</v>
      </c>
      <c r="C414" s="75" t="s">
        <v>3460</v>
      </c>
      <c r="D414" s="75" t="s">
        <v>3461</v>
      </c>
      <c r="E414" s="75" t="s">
        <v>3462</v>
      </c>
      <c r="F414" s="29"/>
      <c r="G414" s="29"/>
      <c r="H414" s="33"/>
      <c r="I414" s="33"/>
      <c r="J414" s="33"/>
      <c r="K414" s="33"/>
      <c r="L414" s="33"/>
      <c r="M414" s="33"/>
      <c r="N414" s="33"/>
      <c r="O414" s="33"/>
      <c r="P414" s="33"/>
      <c r="Q414" s="33"/>
      <c r="R414" s="33"/>
      <c r="S414" s="33"/>
      <c r="T414" s="33"/>
      <c r="U414" s="33"/>
      <c r="V414" s="33"/>
      <c r="W414" s="33"/>
      <c r="X414" s="33"/>
      <c r="Y414" s="33"/>
      <c r="Z414" s="33"/>
      <c r="AA414" s="33"/>
      <c r="AB414" s="33"/>
      <c r="AC414" s="33"/>
      <c r="AD414" s="33"/>
      <c r="AE414" s="33"/>
      <c r="AF414" s="33"/>
    </row>
    <row r="415" ht="15.75" customHeight="1">
      <c r="A415" s="75" t="s">
        <v>3450</v>
      </c>
      <c r="B415" s="75">
        <v>3.0</v>
      </c>
      <c r="C415" s="75" t="s">
        <v>3471</v>
      </c>
      <c r="D415" s="75" t="s">
        <v>3473</v>
      </c>
      <c r="E415" s="75" t="s">
        <v>3474</v>
      </c>
      <c r="F415" s="36"/>
      <c r="G415" s="36"/>
      <c r="H415" s="19"/>
      <c r="I415" s="19"/>
      <c r="J415" s="19"/>
      <c r="K415" s="19"/>
      <c r="L415" s="19"/>
      <c r="M415" s="19"/>
      <c r="N415" s="19"/>
      <c r="O415" s="19"/>
      <c r="P415" s="19"/>
      <c r="Q415" s="19"/>
      <c r="R415" s="19"/>
      <c r="S415" s="19"/>
      <c r="T415" s="19"/>
      <c r="U415" s="19"/>
      <c r="V415" s="19"/>
      <c r="W415" s="19"/>
      <c r="X415" s="19"/>
      <c r="Y415" s="19"/>
      <c r="Z415" s="19"/>
      <c r="AA415" s="19"/>
      <c r="AB415" s="19"/>
      <c r="AC415" s="19"/>
      <c r="AD415" s="19"/>
      <c r="AE415" s="19"/>
      <c r="AF415" s="19"/>
    </row>
    <row r="416" ht="15.75" customHeight="1">
      <c r="A416" s="75"/>
      <c r="B416" s="75"/>
      <c r="C416" s="75"/>
      <c r="D416" s="75"/>
      <c r="E416" s="75"/>
      <c r="F416" s="36"/>
      <c r="G416" s="36"/>
      <c r="H416" s="19"/>
      <c r="I416" s="19"/>
      <c r="J416" s="19"/>
      <c r="K416" s="19"/>
      <c r="L416" s="19"/>
      <c r="M416" s="19"/>
      <c r="N416" s="19"/>
      <c r="O416" s="19"/>
      <c r="P416" s="19"/>
      <c r="Q416" s="19"/>
      <c r="R416" s="19"/>
      <c r="S416" s="19"/>
      <c r="T416" s="19"/>
      <c r="U416" s="19"/>
      <c r="V416" s="19"/>
      <c r="W416" s="19"/>
      <c r="X416" s="19"/>
      <c r="Y416" s="19"/>
      <c r="Z416" s="19"/>
      <c r="AA416" s="19"/>
      <c r="AB416" s="19"/>
      <c r="AC416" s="19"/>
      <c r="AD416" s="19"/>
      <c r="AE416" s="19"/>
      <c r="AF416" s="19"/>
    </row>
    <row r="417" ht="15.75" customHeight="1">
      <c r="A417" s="75" t="s">
        <v>3490</v>
      </c>
      <c r="B417" s="75">
        <v>1.0</v>
      </c>
      <c r="C417" s="75" t="s">
        <v>3492</v>
      </c>
      <c r="D417" s="75" t="s">
        <v>3494</v>
      </c>
      <c r="E417" s="75" t="s">
        <v>3495</v>
      </c>
      <c r="F417" s="29"/>
      <c r="G417" s="29"/>
      <c r="H417" s="33"/>
      <c r="I417" s="33"/>
      <c r="J417" s="33"/>
      <c r="K417" s="33"/>
      <c r="L417" s="33"/>
      <c r="M417" s="33"/>
      <c r="N417" s="33"/>
      <c r="O417" s="33"/>
      <c r="P417" s="33"/>
      <c r="Q417" s="33"/>
      <c r="R417" s="33"/>
      <c r="S417" s="33"/>
      <c r="T417" s="33"/>
      <c r="U417" s="33"/>
      <c r="V417" s="33"/>
      <c r="W417" s="33"/>
      <c r="X417" s="33"/>
      <c r="Y417" s="33"/>
      <c r="Z417" s="33"/>
      <c r="AA417" s="33"/>
      <c r="AB417" s="33"/>
      <c r="AC417" s="33"/>
      <c r="AD417" s="33"/>
      <c r="AE417" s="33"/>
      <c r="AF417" s="33"/>
    </row>
    <row r="418" ht="15.75" customHeight="1">
      <c r="A418" s="75" t="s">
        <v>3490</v>
      </c>
      <c r="B418" s="75">
        <v>2.0</v>
      </c>
      <c r="C418" s="75" t="s">
        <v>3504</v>
      </c>
      <c r="D418" s="75" t="s">
        <v>3505</v>
      </c>
      <c r="E418" s="75" t="s">
        <v>3507</v>
      </c>
      <c r="F418" s="29"/>
      <c r="G418" s="29"/>
      <c r="H418" s="33"/>
      <c r="I418" s="33"/>
      <c r="J418" s="33"/>
      <c r="K418" s="33"/>
      <c r="L418" s="33"/>
      <c r="M418" s="33"/>
      <c r="N418" s="33"/>
      <c r="O418" s="33"/>
      <c r="P418" s="33"/>
      <c r="Q418" s="33"/>
      <c r="R418" s="33"/>
      <c r="S418" s="33"/>
      <c r="T418" s="33"/>
      <c r="U418" s="33"/>
      <c r="V418" s="33"/>
      <c r="W418" s="33"/>
      <c r="X418" s="33"/>
      <c r="Y418" s="33"/>
      <c r="Z418" s="33"/>
      <c r="AA418" s="33"/>
      <c r="AB418" s="33"/>
      <c r="AC418" s="33"/>
      <c r="AD418" s="33"/>
      <c r="AE418" s="33"/>
      <c r="AF418" s="33"/>
    </row>
    <row r="419" ht="15.75" customHeight="1">
      <c r="A419" s="75" t="s">
        <v>3490</v>
      </c>
      <c r="B419" s="75">
        <v>3.0</v>
      </c>
      <c r="C419" s="75" t="s">
        <v>3520</v>
      </c>
      <c r="D419" s="75" t="s">
        <v>3523</v>
      </c>
      <c r="E419" s="75" t="s">
        <v>3524</v>
      </c>
      <c r="F419" s="36"/>
      <c r="G419" s="36"/>
      <c r="H419" s="19"/>
      <c r="I419" s="19"/>
      <c r="J419" s="19"/>
      <c r="K419" s="19"/>
      <c r="L419" s="19"/>
      <c r="M419" s="19"/>
      <c r="N419" s="19"/>
      <c r="O419" s="19"/>
      <c r="P419" s="19"/>
      <c r="Q419" s="19"/>
      <c r="R419" s="19"/>
      <c r="S419" s="19"/>
      <c r="T419" s="19"/>
      <c r="U419" s="19"/>
      <c r="V419" s="19"/>
      <c r="W419" s="19"/>
      <c r="X419" s="19"/>
      <c r="Y419" s="19"/>
      <c r="Z419" s="19"/>
      <c r="AA419" s="19"/>
      <c r="AB419" s="19"/>
      <c r="AC419" s="19"/>
      <c r="AD419" s="19"/>
      <c r="AE419" s="19"/>
      <c r="AF419" s="19"/>
    </row>
    <row r="420" ht="15.75" customHeight="1">
      <c r="A420" s="75"/>
      <c r="B420" s="75"/>
      <c r="C420" s="75"/>
      <c r="D420" s="75"/>
      <c r="E420" s="75"/>
      <c r="F420" s="36"/>
      <c r="G420" s="36"/>
      <c r="H420" s="19"/>
      <c r="I420" s="19"/>
      <c r="J420" s="19"/>
      <c r="K420" s="19"/>
      <c r="L420" s="19"/>
      <c r="M420" s="19"/>
      <c r="N420" s="19"/>
      <c r="O420" s="19"/>
      <c r="P420" s="19"/>
      <c r="Q420" s="19"/>
      <c r="R420" s="19"/>
      <c r="S420" s="19"/>
      <c r="T420" s="19"/>
      <c r="U420" s="19"/>
      <c r="V420" s="19"/>
      <c r="W420" s="19"/>
      <c r="X420" s="19"/>
      <c r="Y420" s="19"/>
      <c r="Z420" s="19"/>
      <c r="AA420" s="19"/>
      <c r="AB420" s="19"/>
      <c r="AC420" s="19"/>
      <c r="AD420" s="19"/>
      <c r="AE420" s="19"/>
      <c r="AF420" s="19"/>
    </row>
    <row r="421" ht="15.75" customHeight="1">
      <c r="A421" s="75" t="s">
        <v>3552</v>
      </c>
      <c r="B421" s="75">
        <v>1.0</v>
      </c>
      <c r="C421" s="75" t="s">
        <v>3555</v>
      </c>
      <c r="D421" s="75" t="s">
        <v>3557</v>
      </c>
      <c r="E421" s="75" t="s">
        <v>3559</v>
      </c>
      <c r="F421" s="29"/>
      <c r="G421" s="29"/>
      <c r="H421" s="33"/>
      <c r="I421" s="33"/>
      <c r="J421" s="33"/>
      <c r="K421" s="33"/>
      <c r="L421" s="33"/>
      <c r="M421" s="33"/>
      <c r="N421" s="33"/>
      <c r="O421" s="33"/>
      <c r="P421" s="33"/>
      <c r="Q421" s="33"/>
      <c r="R421" s="33"/>
      <c r="S421" s="33"/>
      <c r="T421" s="33"/>
      <c r="U421" s="33"/>
      <c r="V421" s="33"/>
      <c r="W421" s="33"/>
      <c r="X421" s="33"/>
      <c r="Y421" s="33"/>
      <c r="Z421" s="33"/>
      <c r="AA421" s="33"/>
      <c r="AB421" s="33"/>
      <c r="AC421" s="33"/>
      <c r="AD421" s="33"/>
      <c r="AE421" s="33"/>
      <c r="AF421" s="33"/>
    </row>
    <row r="422" ht="15.75" customHeight="1">
      <c r="A422" s="75" t="s">
        <v>3552</v>
      </c>
      <c r="B422" s="75">
        <v>2.0</v>
      </c>
      <c r="C422" s="75" t="s">
        <v>3569</v>
      </c>
      <c r="D422" s="75" t="s">
        <v>3570</v>
      </c>
      <c r="E422" s="75" t="s">
        <v>3572</v>
      </c>
      <c r="F422" s="29"/>
      <c r="G422" s="29"/>
      <c r="H422" s="33"/>
      <c r="I422" s="33"/>
      <c r="J422" s="33"/>
      <c r="K422" s="33"/>
      <c r="L422" s="33"/>
      <c r="M422" s="33"/>
      <c r="N422" s="33"/>
      <c r="O422" s="33"/>
      <c r="P422" s="33"/>
      <c r="Q422" s="33"/>
      <c r="R422" s="33"/>
      <c r="S422" s="33"/>
      <c r="T422" s="33"/>
      <c r="U422" s="33"/>
      <c r="V422" s="33"/>
      <c r="W422" s="33"/>
      <c r="X422" s="33"/>
      <c r="Y422" s="33"/>
      <c r="Z422" s="33"/>
      <c r="AA422" s="33"/>
      <c r="AB422" s="33"/>
      <c r="AC422" s="33"/>
      <c r="AD422" s="33"/>
      <c r="AE422" s="33"/>
      <c r="AF422" s="33"/>
    </row>
    <row r="423" ht="15.75" customHeight="1">
      <c r="A423" s="75" t="s">
        <v>3552</v>
      </c>
      <c r="B423" s="75">
        <v>3.0</v>
      </c>
      <c r="C423" s="75" t="s">
        <v>3582</v>
      </c>
      <c r="D423" s="75" t="s">
        <v>3583</v>
      </c>
      <c r="E423" s="75" t="s">
        <v>3584</v>
      </c>
      <c r="F423" s="29"/>
      <c r="G423" s="29"/>
      <c r="H423" s="33"/>
      <c r="I423" s="33"/>
      <c r="J423" s="33"/>
      <c r="K423" s="33"/>
      <c r="L423" s="33"/>
      <c r="M423" s="33"/>
      <c r="N423" s="33"/>
      <c r="O423" s="33"/>
      <c r="P423" s="33"/>
      <c r="Q423" s="33"/>
      <c r="R423" s="33"/>
      <c r="S423" s="33"/>
      <c r="T423" s="33"/>
      <c r="U423" s="33"/>
      <c r="V423" s="33"/>
      <c r="W423" s="33"/>
      <c r="X423" s="33"/>
      <c r="Y423" s="33"/>
      <c r="Z423" s="33"/>
      <c r="AA423" s="33"/>
      <c r="AB423" s="33"/>
      <c r="AC423" s="33"/>
      <c r="AD423" s="33"/>
      <c r="AE423" s="33"/>
      <c r="AF423" s="33"/>
    </row>
    <row r="424" ht="15.75" customHeight="1">
      <c r="A424" s="75" t="s">
        <v>3552</v>
      </c>
      <c r="B424" s="75">
        <v>4.0</v>
      </c>
      <c r="C424" s="75" t="s">
        <v>3593</v>
      </c>
      <c r="D424" s="75" t="s">
        <v>3594</v>
      </c>
      <c r="E424" s="75" t="s">
        <v>3599</v>
      </c>
      <c r="F424" s="19"/>
      <c r="G424" s="36"/>
      <c r="H424" s="19"/>
      <c r="I424" s="19"/>
      <c r="J424" s="19"/>
      <c r="K424" s="19"/>
      <c r="L424" s="19"/>
      <c r="M424" s="19"/>
      <c r="N424" s="19"/>
      <c r="O424" s="19"/>
      <c r="P424" s="19"/>
      <c r="Q424" s="19"/>
      <c r="R424" s="19"/>
      <c r="S424" s="19"/>
      <c r="T424" s="19"/>
      <c r="U424" s="19"/>
      <c r="V424" s="19"/>
      <c r="W424" s="19"/>
      <c r="X424" s="19"/>
      <c r="Y424" s="19"/>
      <c r="Z424" s="19"/>
      <c r="AA424" s="19"/>
      <c r="AB424" s="19"/>
      <c r="AC424" s="19"/>
      <c r="AD424" s="19"/>
      <c r="AE424" s="19"/>
      <c r="AF424" s="19"/>
    </row>
    <row r="425" ht="15.75" customHeight="1">
      <c r="A425" s="75"/>
      <c r="B425" s="75"/>
      <c r="C425" s="75"/>
      <c r="D425" s="75"/>
      <c r="E425" s="75"/>
      <c r="F425" s="36"/>
      <c r="G425" s="36"/>
      <c r="H425" s="19"/>
      <c r="I425" s="19"/>
      <c r="J425" s="19"/>
      <c r="K425" s="19"/>
      <c r="L425" s="19"/>
      <c r="M425" s="19"/>
      <c r="N425" s="19"/>
      <c r="O425" s="19"/>
      <c r="P425" s="19"/>
      <c r="Q425" s="19"/>
      <c r="R425" s="19"/>
      <c r="S425" s="19"/>
      <c r="T425" s="19"/>
      <c r="U425" s="19"/>
      <c r="V425" s="19"/>
      <c r="W425" s="19"/>
      <c r="X425" s="19"/>
      <c r="Y425" s="19"/>
      <c r="Z425" s="19"/>
      <c r="AA425" s="19"/>
      <c r="AB425" s="19"/>
      <c r="AC425" s="19"/>
      <c r="AD425" s="19"/>
      <c r="AE425" s="19"/>
      <c r="AF425" s="19"/>
    </row>
    <row r="426" ht="15.75" customHeight="1">
      <c r="A426" s="75" t="s">
        <v>3624</v>
      </c>
      <c r="B426" s="75">
        <v>1.0</v>
      </c>
      <c r="C426" s="75" t="s">
        <v>3625</v>
      </c>
      <c r="D426" s="75" t="s">
        <v>3626</v>
      </c>
      <c r="E426" s="75" t="s">
        <v>3627</v>
      </c>
      <c r="F426" s="29"/>
      <c r="G426" s="29"/>
      <c r="H426" s="33"/>
      <c r="I426" s="33"/>
      <c r="J426" s="33"/>
      <c r="K426" s="33"/>
      <c r="L426" s="33"/>
      <c r="M426" s="33"/>
      <c r="N426" s="33"/>
      <c r="O426" s="33"/>
      <c r="P426" s="33"/>
      <c r="Q426" s="33"/>
      <c r="R426" s="33"/>
      <c r="S426" s="33"/>
      <c r="T426" s="33"/>
      <c r="U426" s="33"/>
      <c r="V426" s="33"/>
      <c r="W426" s="33"/>
      <c r="X426" s="33"/>
      <c r="Y426" s="33"/>
      <c r="Z426" s="33"/>
      <c r="AA426" s="33"/>
      <c r="AB426" s="33"/>
      <c r="AC426" s="33"/>
      <c r="AD426" s="33"/>
      <c r="AE426" s="33"/>
      <c r="AF426" s="33"/>
    </row>
    <row r="427" ht="15.75" customHeight="1">
      <c r="A427" s="75" t="s">
        <v>3624</v>
      </c>
      <c r="B427" s="75">
        <v>2.0</v>
      </c>
      <c r="C427" s="75" t="s">
        <v>3639</v>
      </c>
      <c r="D427" s="75" t="s">
        <v>3640</v>
      </c>
      <c r="E427" s="75" t="s">
        <v>3642</v>
      </c>
      <c r="F427" s="36"/>
      <c r="G427" s="36"/>
      <c r="H427" s="19"/>
      <c r="I427" s="19"/>
      <c r="J427" s="19"/>
      <c r="K427" s="19"/>
      <c r="L427" s="19"/>
      <c r="M427" s="19"/>
      <c r="N427" s="19"/>
      <c r="O427" s="19"/>
      <c r="P427" s="19"/>
      <c r="Q427" s="19"/>
      <c r="R427" s="19"/>
      <c r="S427" s="19"/>
      <c r="T427" s="19"/>
      <c r="U427" s="19"/>
      <c r="V427" s="19"/>
      <c r="W427" s="19"/>
      <c r="X427" s="19"/>
      <c r="Y427" s="19"/>
      <c r="Z427" s="19"/>
      <c r="AA427" s="19"/>
      <c r="AB427" s="19"/>
      <c r="AC427" s="19"/>
      <c r="AD427" s="19"/>
      <c r="AE427" s="19"/>
      <c r="AF427" s="19"/>
    </row>
    <row r="428" ht="15.75" customHeight="1">
      <c r="A428" s="100"/>
      <c r="B428" s="102"/>
      <c r="C428" s="100"/>
      <c r="D428" s="100"/>
      <c r="E428" s="165"/>
      <c r="F428" s="33"/>
      <c r="G428" s="33"/>
      <c r="H428" s="33"/>
      <c r="I428" s="33"/>
      <c r="J428" s="33"/>
      <c r="K428" s="33"/>
      <c r="L428" s="33"/>
      <c r="M428" s="33"/>
      <c r="N428" s="33"/>
      <c r="O428" s="33"/>
      <c r="P428" s="33"/>
      <c r="Q428" s="33"/>
      <c r="R428" s="33"/>
      <c r="S428" s="33"/>
      <c r="T428" s="33"/>
      <c r="U428" s="33"/>
      <c r="V428" s="33"/>
      <c r="W428" s="33"/>
      <c r="X428" s="33"/>
      <c r="Y428" s="33"/>
      <c r="Z428" s="33"/>
      <c r="AA428" s="33"/>
      <c r="AB428" s="33"/>
      <c r="AC428" s="33"/>
      <c r="AD428" s="33"/>
      <c r="AE428" s="33"/>
      <c r="AF428" s="33"/>
    </row>
    <row r="429" ht="15.75" customHeight="1">
      <c r="A429" s="110" t="s">
        <v>3667</v>
      </c>
      <c r="B429" s="111">
        <v>1.0</v>
      </c>
      <c r="C429" s="116" t="s">
        <v>3669</v>
      </c>
      <c r="D429" s="116" t="s">
        <v>3670</v>
      </c>
      <c r="E429" s="116" t="s">
        <v>3673</v>
      </c>
      <c r="F429" s="114"/>
      <c r="G429" s="114"/>
      <c r="H429" s="44"/>
      <c r="I429" s="44"/>
      <c r="J429" s="44"/>
      <c r="K429" s="44"/>
      <c r="L429" s="44"/>
      <c r="M429" s="44"/>
      <c r="N429" s="44"/>
      <c r="O429" s="44"/>
      <c r="P429" s="44"/>
      <c r="Q429" s="44"/>
      <c r="R429" s="44"/>
      <c r="S429" s="44"/>
      <c r="T429" s="44"/>
      <c r="U429" s="44"/>
      <c r="V429" s="44"/>
      <c r="W429" s="44"/>
      <c r="X429" s="44"/>
      <c r="Y429" s="44"/>
      <c r="Z429" s="44"/>
      <c r="AA429" s="44"/>
      <c r="AB429" s="44"/>
      <c r="AC429" s="44"/>
      <c r="AD429" s="44"/>
      <c r="AE429" s="44"/>
      <c r="AF429" s="44"/>
    </row>
    <row r="430" ht="15.75" customHeight="1">
      <c r="A430" s="75" t="s">
        <v>3667</v>
      </c>
      <c r="B430" s="76">
        <v>2.0</v>
      </c>
      <c r="C430" s="31" t="s">
        <v>3690</v>
      </c>
      <c r="D430" s="31" t="s">
        <v>3692</v>
      </c>
      <c r="E430" s="31" t="s">
        <v>3693</v>
      </c>
      <c r="F430" s="29"/>
      <c r="G430" s="29"/>
      <c r="H430" s="33"/>
      <c r="I430" s="33"/>
      <c r="J430" s="33"/>
      <c r="K430" s="33"/>
      <c r="L430" s="33"/>
      <c r="M430" s="33"/>
      <c r="N430" s="33"/>
      <c r="O430" s="33"/>
      <c r="P430" s="33"/>
      <c r="Q430" s="33"/>
      <c r="R430" s="33"/>
      <c r="S430" s="33"/>
      <c r="T430" s="33"/>
      <c r="U430" s="33"/>
      <c r="V430" s="33"/>
      <c r="W430" s="33"/>
      <c r="X430" s="33"/>
      <c r="Y430" s="33"/>
      <c r="Z430" s="33"/>
      <c r="AA430" s="33"/>
      <c r="AB430" s="33"/>
      <c r="AC430" s="33"/>
      <c r="AD430" s="33"/>
      <c r="AE430" s="33"/>
      <c r="AF430" s="33"/>
    </row>
    <row r="431" ht="15.75" customHeight="1">
      <c r="A431" s="75" t="s">
        <v>3667</v>
      </c>
      <c r="B431" s="76">
        <v>3.0</v>
      </c>
      <c r="C431" s="31" t="s">
        <v>3701</v>
      </c>
      <c r="D431" s="31" t="s">
        <v>3702</v>
      </c>
      <c r="E431" s="78" t="s">
        <v>3703</v>
      </c>
      <c r="F431" s="29"/>
      <c r="G431" s="29"/>
      <c r="H431" s="33"/>
      <c r="I431" s="33"/>
      <c r="J431" s="33"/>
      <c r="K431" s="33"/>
      <c r="L431" s="33"/>
      <c r="M431" s="33"/>
      <c r="N431" s="33"/>
      <c r="O431" s="33"/>
      <c r="P431" s="33"/>
      <c r="Q431" s="33"/>
      <c r="R431" s="33"/>
      <c r="S431" s="33"/>
      <c r="T431" s="33"/>
      <c r="U431" s="33"/>
      <c r="V431" s="33"/>
      <c r="W431" s="33"/>
      <c r="X431" s="33"/>
      <c r="Y431" s="33"/>
      <c r="Z431" s="33"/>
      <c r="AA431" s="33"/>
      <c r="AB431" s="33"/>
      <c r="AC431" s="33"/>
      <c r="AD431" s="33"/>
      <c r="AE431" s="33"/>
      <c r="AF431" s="33"/>
    </row>
    <row r="432" ht="15.75" customHeight="1">
      <c r="A432" s="75" t="s">
        <v>3667</v>
      </c>
      <c r="B432" s="76">
        <v>-777.0</v>
      </c>
      <c r="C432" s="31" t="s">
        <v>417</v>
      </c>
      <c r="D432" s="31" t="s">
        <v>418</v>
      </c>
      <c r="E432" s="31" t="s">
        <v>419</v>
      </c>
      <c r="F432" s="29"/>
      <c r="G432" s="29"/>
      <c r="H432" s="33"/>
      <c r="I432" s="33"/>
      <c r="J432" s="33"/>
      <c r="K432" s="33"/>
      <c r="L432" s="33"/>
      <c r="M432" s="33"/>
      <c r="N432" s="33"/>
      <c r="O432" s="33"/>
      <c r="P432" s="33"/>
      <c r="Q432" s="33"/>
      <c r="R432" s="33"/>
      <c r="S432" s="33"/>
      <c r="T432" s="33"/>
      <c r="U432" s="33"/>
      <c r="V432" s="33"/>
      <c r="W432" s="33"/>
      <c r="X432" s="33"/>
      <c r="Y432" s="33"/>
      <c r="Z432" s="33"/>
      <c r="AA432" s="33"/>
      <c r="AB432" s="33"/>
      <c r="AC432" s="33"/>
      <c r="AD432" s="33"/>
      <c r="AE432" s="33"/>
      <c r="AF432" s="33"/>
    </row>
    <row r="433" ht="15.75" customHeight="1">
      <c r="A433" s="63" t="s">
        <v>3667</v>
      </c>
      <c r="B433" s="94">
        <v>0.0</v>
      </c>
      <c r="C433" s="37" t="s">
        <v>199</v>
      </c>
      <c r="D433" s="37" t="s">
        <v>201</v>
      </c>
      <c r="E433" s="37" t="s">
        <v>203</v>
      </c>
      <c r="F433" s="36"/>
      <c r="G433" s="36"/>
      <c r="H433" s="19"/>
      <c r="I433" s="19"/>
      <c r="J433" s="19"/>
      <c r="K433" s="19"/>
      <c r="L433" s="19"/>
      <c r="M433" s="19"/>
      <c r="N433" s="19"/>
      <c r="O433" s="19"/>
      <c r="P433" s="19"/>
      <c r="Q433" s="19"/>
      <c r="R433" s="19"/>
      <c r="S433" s="19"/>
      <c r="T433" s="19"/>
      <c r="U433" s="19"/>
      <c r="V433" s="19"/>
      <c r="W433" s="19"/>
      <c r="X433" s="19"/>
      <c r="Y433" s="19"/>
      <c r="Z433" s="19"/>
      <c r="AA433" s="19"/>
      <c r="AB433" s="19"/>
      <c r="AC433" s="19"/>
      <c r="AD433" s="19"/>
      <c r="AE433" s="19"/>
      <c r="AF433" s="19"/>
    </row>
    <row r="434" ht="15.75" customHeight="1">
      <c r="A434" s="100"/>
      <c r="B434" s="102"/>
      <c r="C434" s="100"/>
      <c r="D434" s="100"/>
      <c r="E434" s="165"/>
      <c r="F434" s="33"/>
      <c r="G434" s="33"/>
      <c r="H434" s="33"/>
      <c r="I434" s="33"/>
      <c r="J434" s="33"/>
      <c r="K434" s="33"/>
      <c r="L434" s="33"/>
      <c r="M434" s="33"/>
      <c r="N434" s="33"/>
      <c r="O434" s="33"/>
      <c r="P434" s="33"/>
      <c r="Q434" s="33"/>
      <c r="R434" s="33"/>
      <c r="S434" s="33"/>
      <c r="T434" s="33"/>
      <c r="U434" s="33"/>
      <c r="V434" s="33"/>
      <c r="W434" s="33"/>
      <c r="X434" s="33"/>
      <c r="Y434" s="33"/>
      <c r="Z434" s="33"/>
      <c r="AA434" s="33"/>
      <c r="AB434" s="33"/>
      <c r="AC434" s="33"/>
      <c r="AD434" s="33"/>
      <c r="AE434" s="33"/>
      <c r="AF434" s="33"/>
    </row>
    <row r="435" ht="15.75" customHeight="1">
      <c r="A435" s="110" t="s">
        <v>3747</v>
      </c>
      <c r="B435" s="111">
        <v>0.0</v>
      </c>
      <c r="C435" s="116" t="s">
        <v>3750</v>
      </c>
      <c r="D435" s="116" t="s">
        <v>3752</v>
      </c>
      <c r="E435" s="168" t="s">
        <v>3753</v>
      </c>
      <c r="F435" s="114"/>
      <c r="G435" s="114"/>
      <c r="H435" s="44"/>
      <c r="I435" s="44"/>
      <c r="J435" s="44"/>
      <c r="K435" s="44"/>
      <c r="L435" s="44"/>
      <c r="M435" s="44"/>
      <c r="N435" s="44"/>
      <c r="O435" s="44"/>
      <c r="P435" s="44"/>
      <c r="Q435" s="44"/>
      <c r="R435" s="44"/>
      <c r="S435" s="44"/>
      <c r="T435" s="44"/>
      <c r="U435" s="44"/>
      <c r="V435" s="44"/>
      <c r="W435" s="44"/>
      <c r="X435" s="44"/>
      <c r="Y435" s="44"/>
      <c r="Z435" s="44"/>
      <c r="AA435" s="44"/>
      <c r="AB435" s="44"/>
      <c r="AC435" s="44"/>
      <c r="AD435" s="44"/>
      <c r="AE435" s="44"/>
      <c r="AF435" s="44"/>
    </row>
    <row r="436" ht="15.75" customHeight="1">
      <c r="A436" s="75" t="s">
        <v>3747</v>
      </c>
      <c r="B436" s="76">
        <v>1.0</v>
      </c>
      <c r="C436" s="31" t="s">
        <v>3766</v>
      </c>
      <c r="D436" s="31" t="s">
        <v>3767</v>
      </c>
      <c r="E436" s="31" t="s">
        <v>3768</v>
      </c>
      <c r="F436" s="29"/>
      <c r="G436" s="29"/>
      <c r="H436" s="33"/>
      <c r="I436" s="33"/>
      <c r="J436" s="33"/>
      <c r="K436" s="33"/>
      <c r="L436" s="33"/>
      <c r="M436" s="33"/>
      <c r="N436" s="33"/>
      <c r="O436" s="33"/>
      <c r="P436" s="33"/>
      <c r="Q436" s="33"/>
      <c r="R436" s="33"/>
      <c r="S436" s="33"/>
      <c r="T436" s="33"/>
      <c r="U436" s="33"/>
      <c r="V436" s="33"/>
      <c r="W436" s="33"/>
      <c r="X436" s="33"/>
      <c r="Y436" s="33"/>
      <c r="Z436" s="33"/>
      <c r="AA436" s="33"/>
      <c r="AB436" s="33"/>
      <c r="AC436" s="33"/>
      <c r="AD436" s="33"/>
      <c r="AE436" s="33"/>
      <c r="AF436" s="33"/>
    </row>
    <row r="437" ht="15.75" customHeight="1">
      <c r="A437" s="63" t="s">
        <v>3747</v>
      </c>
      <c r="B437" s="94">
        <v>2.0</v>
      </c>
      <c r="C437" s="37" t="s">
        <v>3782</v>
      </c>
      <c r="D437" s="37" t="s">
        <v>3784</v>
      </c>
      <c r="E437" s="37" t="s">
        <v>3785</v>
      </c>
      <c r="F437" s="36"/>
      <c r="G437" s="36"/>
      <c r="H437" s="19"/>
      <c r="I437" s="19"/>
      <c r="J437" s="19"/>
      <c r="K437" s="19"/>
      <c r="L437" s="19"/>
      <c r="M437" s="19"/>
      <c r="N437" s="19"/>
      <c r="O437" s="19"/>
      <c r="P437" s="19"/>
      <c r="Q437" s="19"/>
      <c r="R437" s="19"/>
      <c r="S437" s="19"/>
      <c r="T437" s="19"/>
      <c r="U437" s="19"/>
      <c r="V437" s="19"/>
      <c r="W437" s="19"/>
      <c r="X437" s="19"/>
      <c r="Y437" s="19"/>
      <c r="Z437" s="19"/>
      <c r="AA437" s="19"/>
      <c r="AB437" s="19"/>
      <c r="AC437" s="19"/>
      <c r="AD437" s="19"/>
      <c r="AE437" s="19"/>
      <c r="AF437" s="19"/>
    </row>
    <row r="438" ht="15.75" customHeight="1">
      <c r="A438" s="100"/>
      <c r="B438" s="102"/>
      <c r="C438" s="100"/>
      <c r="D438" s="100"/>
      <c r="E438" s="165"/>
      <c r="F438" s="33"/>
      <c r="G438" s="33"/>
      <c r="H438" s="33"/>
      <c r="I438" s="33"/>
      <c r="J438" s="33"/>
      <c r="K438" s="33"/>
      <c r="L438" s="33"/>
      <c r="M438" s="33"/>
      <c r="N438" s="33"/>
      <c r="O438" s="33"/>
      <c r="P438" s="33"/>
      <c r="Q438" s="33"/>
      <c r="R438" s="33"/>
      <c r="S438" s="33"/>
      <c r="T438" s="33"/>
      <c r="U438" s="33"/>
      <c r="V438" s="33"/>
      <c r="W438" s="33"/>
      <c r="X438" s="33"/>
      <c r="Y438" s="33"/>
      <c r="Z438" s="33"/>
      <c r="AA438" s="33"/>
      <c r="AB438" s="33"/>
      <c r="AC438" s="33"/>
      <c r="AD438" s="33"/>
      <c r="AE438" s="33"/>
      <c r="AF438" s="33"/>
    </row>
    <row r="439" ht="15.75" customHeight="1">
      <c r="A439" s="259" t="s">
        <v>3803</v>
      </c>
      <c r="B439" s="260">
        <v>1.0</v>
      </c>
      <c r="C439" s="261" t="s">
        <v>3808</v>
      </c>
      <c r="D439" s="261" t="s">
        <v>3808</v>
      </c>
      <c r="E439" s="262" t="s">
        <v>3808</v>
      </c>
      <c r="F439" s="44"/>
      <c r="G439" s="263">
        <v>1.0</v>
      </c>
      <c r="H439" s="44"/>
      <c r="I439" s="44"/>
      <c r="J439" s="44"/>
      <c r="K439" s="44"/>
      <c r="L439" s="44"/>
      <c r="M439" s="44"/>
      <c r="N439" s="44"/>
      <c r="O439" s="44"/>
      <c r="P439" s="44"/>
      <c r="Q439" s="44"/>
      <c r="R439" s="44"/>
      <c r="S439" s="44"/>
      <c r="T439" s="44"/>
      <c r="U439" s="44"/>
      <c r="V439" s="44"/>
      <c r="W439" s="44"/>
      <c r="X439" s="44"/>
      <c r="Y439" s="44"/>
      <c r="Z439" s="44"/>
      <c r="AA439" s="44"/>
      <c r="AB439" s="44"/>
      <c r="AC439" s="44"/>
      <c r="AD439" s="44"/>
      <c r="AE439" s="44"/>
      <c r="AF439" s="44"/>
    </row>
    <row r="440" ht="15.75" customHeight="1">
      <c r="A440" s="264" t="s">
        <v>3803</v>
      </c>
      <c r="B440" s="239">
        <v>2.0</v>
      </c>
      <c r="C440" s="145" t="s">
        <v>3824</v>
      </c>
      <c r="D440" s="145" t="s">
        <v>3824</v>
      </c>
      <c r="E440" s="165" t="s">
        <v>3824</v>
      </c>
      <c r="F440" s="33"/>
      <c r="G440" s="79">
        <v>2.0</v>
      </c>
      <c r="H440" s="33"/>
      <c r="I440" s="33"/>
      <c r="J440" s="33"/>
      <c r="K440" s="33"/>
      <c r="L440" s="33"/>
      <c r="M440" s="33"/>
      <c r="N440" s="33"/>
      <c r="O440" s="33"/>
      <c r="P440" s="33"/>
      <c r="Q440" s="33"/>
      <c r="R440" s="33"/>
      <c r="S440" s="33"/>
      <c r="T440" s="33"/>
      <c r="U440" s="33"/>
      <c r="V440" s="33"/>
      <c r="W440" s="33"/>
      <c r="X440" s="33"/>
      <c r="Y440" s="33"/>
      <c r="Z440" s="33"/>
      <c r="AA440" s="33"/>
      <c r="AB440" s="33"/>
      <c r="AC440" s="33"/>
      <c r="AD440" s="33"/>
      <c r="AE440" s="33"/>
      <c r="AF440" s="33"/>
    </row>
    <row r="441" ht="15.75" customHeight="1">
      <c r="A441" s="264" t="s">
        <v>3803</v>
      </c>
      <c r="B441" s="239">
        <v>3.0</v>
      </c>
      <c r="C441" s="145" t="s">
        <v>3840</v>
      </c>
      <c r="D441" s="145" t="s">
        <v>3840</v>
      </c>
      <c r="E441" s="165" t="s">
        <v>3840</v>
      </c>
      <c r="F441" s="33"/>
      <c r="G441" s="79">
        <v>3.0</v>
      </c>
      <c r="H441" s="33"/>
      <c r="I441" s="33"/>
      <c r="J441" s="33"/>
      <c r="K441" s="33"/>
      <c r="L441" s="33"/>
      <c r="M441" s="33"/>
      <c r="N441" s="33"/>
      <c r="O441" s="33"/>
      <c r="P441" s="33"/>
      <c r="Q441" s="33"/>
      <c r="R441" s="33"/>
      <c r="S441" s="33"/>
      <c r="T441" s="33"/>
      <c r="U441" s="33"/>
      <c r="V441" s="33"/>
      <c r="W441" s="33"/>
      <c r="X441" s="33"/>
      <c r="Y441" s="33"/>
      <c r="Z441" s="33"/>
      <c r="AA441" s="33"/>
      <c r="AB441" s="33"/>
      <c r="AC441" s="33"/>
      <c r="AD441" s="33"/>
      <c r="AE441" s="33"/>
      <c r="AF441" s="33"/>
    </row>
    <row r="442" ht="15.75" customHeight="1">
      <c r="A442" s="264" t="s">
        <v>3803</v>
      </c>
      <c r="B442" s="239">
        <v>4.0</v>
      </c>
      <c r="C442" s="145" t="s">
        <v>3852</v>
      </c>
      <c r="D442" s="145" t="s">
        <v>3852</v>
      </c>
      <c r="E442" s="165" t="s">
        <v>3852</v>
      </c>
      <c r="F442" s="33"/>
      <c r="G442" s="79">
        <v>4.0</v>
      </c>
      <c r="H442" s="33"/>
      <c r="I442" s="33"/>
      <c r="J442" s="33"/>
      <c r="K442" s="33"/>
      <c r="L442" s="33"/>
      <c r="M442" s="33"/>
      <c r="N442" s="33"/>
      <c r="O442" s="33"/>
      <c r="P442" s="33"/>
      <c r="Q442" s="33"/>
      <c r="R442" s="33"/>
      <c r="S442" s="33"/>
      <c r="T442" s="33"/>
      <c r="U442" s="33"/>
      <c r="V442" s="33"/>
      <c r="W442" s="33"/>
      <c r="X442" s="33"/>
      <c r="Y442" s="33"/>
      <c r="Z442" s="33"/>
      <c r="AA442" s="33"/>
      <c r="AB442" s="33"/>
      <c r="AC442" s="33"/>
      <c r="AD442" s="33"/>
      <c r="AE442" s="33"/>
      <c r="AF442" s="33"/>
    </row>
    <row r="443" ht="15.75" customHeight="1">
      <c r="A443" s="63" t="s">
        <v>3803</v>
      </c>
      <c r="B443" s="94">
        <v>5.0</v>
      </c>
      <c r="C443" s="37" t="s">
        <v>3860</v>
      </c>
      <c r="D443" s="37" t="s">
        <v>3860</v>
      </c>
      <c r="E443" s="71" t="s">
        <v>3860</v>
      </c>
      <c r="F443" s="19"/>
      <c r="G443" s="97">
        <v>5.0</v>
      </c>
      <c r="H443" s="19"/>
      <c r="I443" s="19"/>
      <c r="J443" s="19"/>
      <c r="K443" s="19"/>
      <c r="L443" s="19"/>
      <c r="M443" s="19"/>
      <c r="N443" s="19"/>
      <c r="O443" s="19"/>
      <c r="P443" s="19"/>
      <c r="Q443" s="19"/>
      <c r="R443" s="19"/>
      <c r="S443" s="19"/>
      <c r="T443" s="19"/>
      <c r="U443" s="19"/>
      <c r="V443" s="19"/>
      <c r="W443" s="19"/>
      <c r="X443" s="19"/>
      <c r="Y443" s="19"/>
      <c r="Z443" s="19"/>
      <c r="AA443" s="19"/>
      <c r="AB443" s="19"/>
      <c r="AC443" s="19"/>
      <c r="AD443" s="19"/>
      <c r="AE443" s="19"/>
      <c r="AF443" s="19"/>
    </row>
    <row r="444" ht="15.75" customHeight="1">
      <c r="A444" s="259" t="s">
        <v>3803</v>
      </c>
      <c r="B444" s="265">
        <v>6.0</v>
      </c>
      <c r="C444" s="266" t="s">
        <v>3865</v>
      </c>
      <c r="D444" s="266" t="s">
        <v>3865</v>
      </c>
      <c r="E444" s="266" t="s">
        <v>3865</v>
      </c>
      <c r="F444" s="44"/>
      <c r="G444" s="265">
        <v>6.0</v>
      </c>
      <c r="H444" s="44"/>
      <c r="I444" s="44"/>
      <c r="J444" s="44"/>
      <c r="K444" s="44"/>
      <c r="L444" s="44"/>
      <c r="M444" s="44"/>
      <c r="N444" s="44"/>
      <c r="O444" s="44"/>
      <c r="P444" s="44"/>
      <c r="Q444" s="44"/>
      <c r="R444" s="44"/>
      <c r="S444" s="44"/>
      <c r="T444" s="44"/>
      <c r="U444" s="44"/>
      <c r="V444" s="44"/>
      <c r="W444" s="44"/>
      <c r="X444" s="44"/>
      <c r="Y444" s="44"/>
      <c r="Z444" s="44"/>
      <c r="AA444" s="44"/>
      <c r="AB444" s="44"/>
      <c r="AC444" s="44"/>
      <c r="AD444" s="44"/>
      <c r="AE444" s="44"/>
      <c r="AF444" s="44"/>
    </row>
    <row r="445" ht="15.75" customHeight="1">
      <c r="A445" s="264" t="s">
        <v>3803</v>
      </c>
      <c r="B445" s="85">
        <v>7.0</v>
      </c>
      <c r="C445" s="267" t="s">
        <v>3878</v>
      </c>
      <c r="D445" s="267" t="s">
        <v>3878</v>
      </c>
      <c r="E445" s="267" t="s">
        <v>3878</v>
      </c>
      <c r="F445" s="33"/>
      <c r="G445" s="85">
        <v>7.0</v>
      </c>
      <c r="H445" s="33"/>
      <c r="I445" s="33"/>
      <c r="J445" s="33"/>
      <c r="K445" s="33"/>
      <c r="L445" s="33"/>
      <c r="M445" s="33"/>
      <c r="N445" s="33"/>
      <c r="O445" s="33"/>
      <c r="P445" s="33"/>
      <c r="Q445" s="33"/>
      <c r="R445" s="33"/>
      <c r="S445" s="33"/>
      <c r="T445" s="33"/>
      <c r="U445" s="33"/>
      <c r="V445" s="33"/>
      <c r="W445" s="33"/>
      <c r="X445" s="33"/>
      <c r="Y445" s="33"/>
      <c r="Z445" s="33"/>
      <c r="AA445" s="33"/>
      <c r="AB445" s="33"/>
      <c r="AC445" s="33"/>
      <c r="AD445" s="33"/>
      <c r="AE445" s="33"/>
      <c r="AF445" s="33"/>
    </row>
    <row r="446" ht="15.75" customHeight="1">
      <c r="A446" s="100"/>
      <c r="B446" s="102"/>
      <c r="C446" s="100"/>
      <c r="D446" s="100"/>
      <c r="E446" s="165"/>
      <c r="F446" s="33"/>
      <c r="G446" s="33"/>
      <c r="H446" s="33"/>
      <c r="I446" s="33"/>
      <c r="J446" s="33"/>
      <c r="K446" s="33"/>
      <c r="L446" s="33"/>
      <c r="M446" s="33"/>
      <c r="N446" s="33"/>
      <c r="O446" s="33"/>
      <c r="P446" s="33"/>
      <c r="Q446" s="33"/>
      <c r="R446" s="33"/>
      <c r="S446" s="33"/>
      <c r="T446" s="33"/>
      <c r="U446" s="33"/>
      <c r="V446" s="33"/>
      <c r="W446" s="33"/>
      <c r="X446" s="33"/>
      <c r="Y446" s="33"/>
      <c r="Z446" s="33"/>
      <c r="AA446" s="33"/>
      <c r="AB446" s="33"/>
      <c r="AC446" s="33"/>
      <c r="AD446" s="33"/>
      <c r="AE446" s="33"/>
      <c r="AF446" s="33"/>
    </row>
    <row r="447" ht="15.75" customHeight="1">
      <c r="A447" s="63"/>
      <c r="B447" s="37"/>
      <c r="C447" s="37"/>
      <c r="D447" s="37"/>
      <c r="E447" s="37"/>
      <c r="F447" s="36"/>
      <c r="G447" s="36"/>
      <c r="H447" s="19"/>
      <c r="I447" s="19"/>
      <c r="J447" s="19"/>
      <c r="K447" s="19"/>
      <c r="L447" s="19"/>
      <c r="M447" s="19"/>
      <c r="N447" s="19"/>
      <c r="O447" s="19"/>
      <c r="P447" s="19"/>
      <c r="Q447" s="19"/>
      <c r="R447" s="19"/>
      <c r="S447" s="19"/>
      <c r="T447" s="19"/>
      <c r="U447" s="19"/>
      <c r="V447" s="19"/>
      <c r="W447" s="19"/>
      <c r="X447" s="19"/>
      <c r="Y447" s="19"/>
      <c r="Z447" s="19"/>
      <c r="AA447" s="19"/>
      <c r="AB447" s="19"/>
      <c r="AC447" s="19"/>
      <c r="AD447" s="19"/>
      <c r="AE447" s="19"/>
      <c r="AF447" s="19"/>
    </row>
    <row r="448" ht="15.75" customHeight="1">
      <c r="A448" s="75" t="s">
        <v>3907</v>
      </c>
      <c r="B448" s="76">
        <v>1.0</v>
      </c>
      <c r="C448" s="31" t="s">
        <v>3911</v>
      </c>
      <c r="D448" s="31" t="s">
        <v>3912</v>
      </c>
      <c r="E448" s="31" t="s">
        <v>3913</v>
      </c>
      <c r="F448" s="29"/>
      <c r="G448" s="29"/>
      <c r="H448" s="33"/>
      <c r="I448" s="33"/>
      <c r="J448" s="33"/>
      <c r="K448" s="33"/>
      <c r="L448" s="33"/>
      <c r="M448" s="33"/>
      <c r="N448" s="33"/>
      <c r="O448" s="33"/>
      <c r="P448" s="33"/>
      <c r="Q448" s="33"/>
      <c r="R448" s="33"/>
      <c r="S448" s="33"/>
      <c r="T448" s="33"/>
      <c r="U448" s="33"/>
      <c r="V448" s="33"/>
      <c r="W448" s="33"/>
      <c r="X448" s="33"/>
      <c r="Y448" s="33"/>
      <c r="Z448" s="33"/>
      <c r="AA448" s="33"/>
      <c r="AB448" s="33"/>
      <c r="AC448" s="33"/>
      <c r="AD448" s="33"/>
      <c r="AE448" s="33"/>
      <c r="AF448" s="33"/>
    </row>
    <row r="449" ht="15.75" customHeight="1">
      <c r="A449" s="75" t="s">
        <v>3907</v>
      </c>
      <c r="B449" s="76">
        <v>2.0</v>
      </c>
      <c r="C449" s="31" t="s">
        <v>3921</v>
      </c>
      <c r="D449" s="31" t="s">
        <v>3922</v>
      </c>
      <c r="E449" s="78" t="s">
        <v>3924</v>
      </c>
      <c r="F449" s="29"/>
      <c r="G449" s="29"/>
      <c r="H449" s="33"/>
      <c r="I449" s="33"/>
      <c r="J449" s="33"/>
      <c r="K449" s="33"/>
      <c r="L449" s="33"/>
      <c r="M449" s="33"/>
      <c r="N449" s="33"/>
      <c r="O449" s="33"/>
      <c r="P449" s="33"/>
      <c r="Q449" s="33"/>
      <c r="R449" s="33"/>
      <c r="S449" s="33"/>
      <c r="T449" s="33"/>
      <c r="U449" s="33"/>
      <c r="V449" s="33"/>
      <c r="W449" s="33"/>
      <c r="X449" s="33"/>
      <c r="Y449" s="33"/>
      <c r="Z449" s="33"/>
      <c r="AA449" s="33"/>
      <c r="AB449" s="33"/>
      <c r="AC449" s="33"/>
      <c r="AD449" s="33"/>
      <c r="AE449" s="33"/>
      <c r="AF449" s="33"/>
    </row>
    <row r="450" ht="15.75" customHeight="1">
      <c r="A450" s="75" t="s">
        <v>3907</v>
      </c>
      <c r="B450" s="76">
        <v>3.0</v>
      </c>
      <c r="C450" s="31" t="s">
        <v>3934</v>
      </c>
      <c r="D450" s="31" t="s">
        <v>3936</v>
      </c>
      <c r="E450" s="78" t="s">
        <v>3938</v>
      </c>
      <c r="F450" s="162"/>
      <c r="G450" s="29"/>
      <c r="H450" s="33"/>
      <c r="I450" s="33"/>
      <c r="J450" s="33"/>
      <c r="K450" s="33"/>
      <c r="L450" s="33"/>
      <c r="M450" s="33"/>
      <c r="N450" s="33"/>
      <c r="O450" s="33"/>
      <c r="P450" s="33"/>
      <c r="Q450" s="33"/>
      <c r="R450" s="33"/>
      <c r="S450" s="33"/>
      <c r="T450" s="33"/>
      <c r="U450" s="33"/>
      <c r="V450" s="33"/>
      <c r="W450" s="33"/>
      <c r="X450" s="33"/>
      <c r="Y450" s="33"/>
      <c r="Z450" s="33"/>
      <c r="AA450" s="33"/>
      <c r="AB450" s="33"/>
      <c r="AC450" s="33"/>
      <c r="AD450" s="33"/>
      <c r="AE450" s="33"/>
      <c r="AF450" s="33"/>
    </row>
    <row r="451" ht="15.75" customHeight="1">
      <c r="A451" s="75" t="s">
        <v>3907</v>
      </c>
      <c r="B451" s="76">
        <v>4.0</v>
      </c>
      <c r="C451" s="31" t="s">
        <v>3950</v>
      </c>
      <c r="D451" s="31" t="s">
        <v>3952</v>
      </c>
      <c r="E451" s="31" t="s">
        <v>3953</v>
      </c>
      <c r="F451" s="29"/>
      <c r="G451" s="29"/>
      <c r="H451" s="33"/>
      <c r="I451" s="33"/>
      <c r="J451" s="33"/>
      <c r="K451" s="33"/>
      <c r="L451" s="33"/>
      <c r="M451" s="33"/>
      <c r="N451" s="33"/>
      <c r="O451" s="33"/>
      <c r="P451" s="33"/>
      <c r="Q451" s="33"/>
      <c r="R451" s="33"/>
      <c r="S451" s="33"/>
      <c r="T451" s="33"/>
      <c r="U451" s="33"/>
      <c r="V451" s="33"/>
      <c r="W451" s="33"/>
      <c r="X451" s="33"/>
      <c r="Y451" s="33"/>
      <c r="Z451" s="33"/>
      <c r="AA451" s="33"/>
      <c r="AB451" s="33"/>
      <c r="AC451" s="33"/>
      <c r="AD451" s="33"/>
      <c r="AE451" s="33"/>
      <c r="AF451" s="33"/>
    </row>
    <row r="452" ht="15.75" customHeight="1">
      <c r="A452" s="63" t="s">
        <v>3907</v>
      </c>
      <c r="B452" s="94">
        <v>5.0</v>
      </c>
      <c r="C452" s="37" t="s">
        <v>3964</v>
      </c>
      <c r="D452" s="37" t="s">
        <v>3967</v>
      </c>
      <c r="E452" s="37" t="s">
        <v>3969</v>
      </c>
      <c r="F452" s="36"/>
      <c r="G452" s="36"/>
      <c r="H452" s="19"/>
      <c r="I452" s="19"/>
      <c r="J452" s="19"/>
      <c r="K452" s="19"/>
      <c r="L452" s="19"/>
      <c r="M452" s="19"/>
      <c r="N452" s="19"/>
      <c r="O452" s="19"/>
      <c r="P452" s="19"/>
      <c r="Q452" s="19"/>
      <c r="R452" s="19"/>
      <c r="S452" s="19"/>
      <c r="T452" s="19"/>
      <c r="U452" s="19"/>
      <c r="V452" s="19"/>
      <c r="W452" s="19"/>
      <c r="X452" s="19"/>
      <c r="Y452" s="19"/>
      <c r="Z452" s="19"/>
      <c r="AA452" s="19"/>
      <c r="AB452" s="19"/>
      <c r="AC452" s="19"/>
      <c r="AD452" s="19"/>
      <c r="AE452" s="19"/>
      <c r="AF452" s="19"/>
    </row>
    <row r="453" ht="15.75" customHeight="1">
      <c r="A453" s="63"/>
      <c r="B453" s="37"/>
      <c r="C453" s="37"/>
      <c r="D453" s="37"/>
      <c r="E453" s="37"/>
      <c r="F453" s="36"/>
      <c r="G453" s="36"/>
      <c r="H453" s="19"/>
      <c r="I453" s="19"/>
      <c r="J453" s="19"/>
      <c r="K453" s="19"/>
      <c r="L453" s="19"/>
      <c r="M453" s="19"/>
      <c r="N453" s="19"/>
      <c r="O453" s="19"/>
      <c r="P453" s="19"/>
      <c r="Q453" s="19"/>
      <c r="R453" s="19"/>
      <c r="S453" s="19"/>
      <c r="T453" s="19"/>
      <c r="U453" s="19"/>
      <c r="V453" s="19"/>
      <c r="W453" s="19"/>
      <c r="X453" s="19"/>
      <c r="Y453" s="19"/>
      <c r="Z453" s="19"/>
      <c r="AA453" s="19"/>
      <c r="AB453" s="19"/>
      <c r="AC453" s="19"/>
      <c r="AD453" s="19"/>
      <c r="AE453" s="19"/>
      <c r="AF453" s="19"/>
    </row>
    <row r="454" ht="15.75" customHeight="1">
      <c r="A454" s="75" t="s">
        <v>3993</v>
      </c>
      <c r="B454" s="76">
        <v>1.0</v>
      </c>
      <c r="C454" s="31" t="s">
        <v>3994</v>
      </c>
      <c r="D454" s="31" t="s">
        <v>3995</v>
      </c>
      <c r="E454" s="78" t="s">
        <v>3996</v>
      </c>
      <c r="F454" s="29"/>
      <c r="G454" s="29"/>
      <c r="H454" s="33"/>
      <c r="I454" s="33"/>
      <c r="J454" s="33"/>
      <c r="K454" s="33"/>
      <c r="L454" s="33"/>
      <c r="M454" s="33"/>
      <c r="N454" s="33"/>
      <c r="O454" s="33"/>
      <c r="P454" s="33"/>
      <c r="Q454" s="33"/>
      <c r="R454" s="33"/>
      <c r="S454" s="33"/>
      <c r="T454" s="33"/>
      <c r="U454" s="33"/>
      <c r="V454" s="33"/>
      <c r="W454" s="33"/>
      <c r="X454" s="33"/>
      <c r="Y454" s="33"/>
      <c r="Z454" s="33"/>
      <c r="AA454" s="33"/>
      <c r="AB454" s="33"/>
      <c r="AC454" s="33"/>
      <c r="AD454" s="33"/>
      <c r="AE454" s="33"/>
      <c r="AF454" s="33"/>
    </row>
    <row r="455" ht="15.75" customHeight="1">
      <c r="A455" s="75" t="s">
        <v>3993</v>
      </c>
      <c r="B455" s="76">
        <v>2.0</v>
      </c>
      <c r="C455" s="31" t="s">
        <v>4011</v>
      </c>
      <c r="D455" s="31" t="s">
        <v>4012</v>
      </c>
      <c r="E455" s="31" t="s">
        <v>4013</v>
      </c>
      <c r="F455" s="29"/>
      <c r="G455" s="29"/>
      <c r="H455" s="33"/>
      <c r="I455" s="33"/>
      <c r="J455" s="33"/>
      <c r="K455" s="33"/>
      <c r="L455" s="33"/>
      <c r="M455" s="33"/>
      <c r="N455" s="33"/>
      <c r="O455" s="33"/>
      <c r="P455" s="33"/>
      <c r="Q455" s="33"/>
      <c r="R455" s="33"/>
      <c r="S455" s="33"/>
      <c r="T455" s="33"/>
      <c r="U455" s="33"/>
      <c r="V455" s="33"/>
      <c r="W455" s="33"/>
      <c r="X455" s="33"/>
      <c r="Y455" s="33"/>
      <c r="Z455" s="33"/>
      <c r="AA455" s="33"/>
      <c r="AB455" s="33"/>
      <c r="AC455" s="33"/>
      <c r="AD455" s="33"/>
      <c r="AE455" s="33"/>
      <c r="AF455" s="33"/>
    </row>
    <row r="456" ht="15.75" customHeight="1">
      <c r="A456" s="75" t="s">
        <v>3993</v>
      </c>
      <c r="B456" s="76">
        <v>3.0</v>
      </c>
      <c r="C456" s="31" t="s">
        <v>4028</v>
      </c>
      <c r="D456" s="31" t="s">
        <v>4030</v>
      </c>
      <c r="E456" s="78" t="s">
        <v>4031</v>
      </c>
      <c r="F456" s="29"/>
      <c r="G456" s="29"/>
      <c r="H456" s="33"/>
      <c r="I456" s="33"/>
      <c r="J456" s="33"/>
      <c r="K456" s="33"/>
      <c r="L456" s="33"/>
      <c r="M456" s="33"/>
      <c r="N456" s="33"/>
      <c r="O456" s="33"/>
      <c r="P456" s="33"/>
      <c r="Q456" s="33"/>
      <c r="R456" s="33"/>
      <c r="S456" s="33"/>
      <c r="T456" s="33"/>
      <c r="U456" s="33"/>
      <c r="V456" s="33"/>
      <c r="W456" s="33"/>
      <c r="X456" s="33"/>
      <c r="Y456" s="33"/>
      <c r="Z456" s="33"/>
      <c r="AA456" s="33"/>
      <c r="AB456" s="33"/>
      <c r="AC456" s="33"/>
      <c r="AD456" s="33"/>
      <c r="AE456" s="33"/>
      <c r="AF456" s="33"/>
    </row>
    <row r="457" ht="15.75" customHeight="1">
      <c r="A457" s="75" t="s">
        <v>3993</v>
      </c>
      <c r="B457" s="76">
        <v>4.0</v>
      </c>
      <c r="C457" s="31" t="s">
        <v>4044</v>
      </c>
      <c r="D457" s="31" t="s">
        <v>4046</v>
      </c>
      <c r="E457" s="31" t="s">
        <v>4049</v>
      </c>
      <c r="F457" s="29"/>
      <c r="G457" s="29"/>
      <c r="H457" s="33"/>
      <c r="I457" s="33"/>
      <c r="J457" s="33"/>
      <c r="K457" s="33"/>
      <c r="L457" s="33"/>
      <c r="M457" s="33"/>
      <c r="N457" s="33"/>
      <c r="O457" s="33"/>
      <c r="P457" s="33"/>
      <c r="Q457" s="33"/>
      <c r="R457" s="33"/>
      <c r="S457" s="33"/>
      <c r="T457" s="33"/>
      <c r="U457" s="33"/>
      <c r="V457" s="33"/>
      <c r="W457" s="33"/>
      <c r="X457" s="33"/>
      <c r="Y457" s="33"/>
      <c r="Z457" s="33"/>
      <c r="AA457" s="33"/>
      <c r="AB457" s="33"/>
      <c r="AC457" s="33"/>
      <c r="AD457" s="33"/>
      <c r="AE457" s="33"/>
      <c r="AF457" s="33"/>
    </row>
    <row r="458" ht="15.75" customHeight="1">
      <c r="A458" s="63" t="s">
        <v>3993</v>
      </c>
      <c r="B458" s="94">
        <v>5.0</v>
      </c>
      <c r="C458" s="37" t="s">
        <v>4059</v>
      </c>
      <c r="D458" s="37" t="s">
        <v>4060</v>
      </c>
      <c r="E458" s="37" t="s">
        <v>4063</v>
      </c>
      <c r="F458" s="36"/>
      <c r="G458" s="36"/>
      <c r="H458" s="19"/>
      <c r="I458" s="19"/>
      <c r="J458" s="19"/>
      <c r="K458" s="19"/>
      <c r="L458" s="19"/>
      <c r="M458" s="19"/>
      <c r="N458" s="19"/>
      <c r="O458" s="19"/>
      <c r="P458" s="19"/>
      <c r="Q458" s="19"/>
      <c r="R458" s="19"/>
      <c r="S458" s="19"/>
      <c r="T458" s="19"/>
      <c r="U458" s="19"/>
      <c r="V458" s="19"/>
      <c r="W458" s="19"/>
      <c r="X458" s="19"/>
      <c r="Y458" s="19"/>
      <c r="Z458" s="19"/>
      <c r="AA458" s="19"/>
      <c r="AB458" s="19"/>
      <c r="AC458" s="19"/>
      <c r="AD458" s="19"/>
      <c r="AE458" s="19"/>
      <c r="AF458" s="19"/>
    </row>
    <row r="459" ht="15.75" customHeight="1">
      <c r="A459" s="100"/>
      <c r="B459" s="102"/>
      <c r="C459" s="100"/>
      <c r="D459" s="100"/>
      <c r="E459" s="165"/>
      <c r="F459" s="33"/>
      <c r="G459" s="33"/>
      <c r="H459" s="33"/>
      <c r="I459" s="33"/>
      <c r="J459" s="33"/>
      <c r="K459" s="33"/>
      <c r="L459" s="33"/>
      <c r="M459" s="33"/>
      <c r="N459" s="33"/>
      <c r="O459" s="33"/>
      <c r="P459" s="33"/>
      <c r="Q459" s="33"/>
      <c r="R459" s="33"/>
      <c r="S459" s="33"/>
      <c r="T459" s="33"/>
      <c r="U459" s="33"/>
      <c r="V459" s="33"/>
      <c r="W459" s="33"/>
      <c r="X459" s="33"/>
      <c r="Y459" s="33"/>
      <c r="Z459" s="33"/>
      <c r="AA459" s="33"/>
      <c r="AB459" s="33"/>
      <c r="AC459" s="33"/>
      <c r="AD459" s="33"/>
      <c r="AE459" s="33"/>
      <c r="AF459" s="33"/>
    </row>
    <row r="460" ht="15.75" customHeight="1">
      <c r="A460" s="110" t="s">
        <v>4085</v>
      </c>
      <c r="B460" s="111">
        <v>1.0</v>
      </c>
      <c r="C460" s="116" t="s">
        <v>4087</v>
      </c>
      <c r="D460" s="116" t="s">
        <v>4089</v>
      </c>
      <c r="E460" s="168" t="s">
        <v>4090</v>
      </c>
      <c r="F460" s="114"/>
      <c r="G460" s="114"/>
      <c r="H460" s="44"/>
      <c r="I460" s="44"/>
      <c r="J460" s="44"/>
      <c r="K460" s="44"/>
      <c r="L460" s="44"/>
      <c r="M460" s="44"/>
      <c r="N460" s="44"/>
      <c r="O460" s="44"/>
      <c r="P460" s="44"/>
      <c r="Q460" s="44"/>
      <c r="R460" s="44"/>
      <c r="S460" s="44"/>
      <c r="T460" s="44"/>
      <c r="U460" s="44"/>
      <c r="V460" s="44"/>
      <c r="W460" s="44"/>
      <c r="X460" s="44"/>
      <c r="Y460" s="44"/>
      <c r="Z460" s="44"/>
      <c r="AA460" s="44"/>
      <c r="AB460" s="44"/>
      <c r="AC460" s="44"/>
      <c r="AD460" s="44"/>
      <c r="AE460" s="44"/>
      <c r="AF460" s="44"/>
    </row>
    <row r="461" ht="15.75" customHeight="1">
      <c r="A461" s="75" t="s">
        <v>4085</v>
      </c>
      <c r="B461" s="76">
        <v>2.0</v>
      </c>
      <c r="C461" s="31" t="s">
        <v>4099</v>
      </c>
      <c r="D461" s="31" t="s">
        <v>4100</v>
      </c>
      <c r="E461" s="78" t="s">
        <v>4101</v>
      </c>
      <c r="F461" s="29"/>
      <c r="G461" s="29"/>
      <c r="H461" s="33"/>
      <c r="I461" s="33"/>
      <c r="J461" s="33"/>
      <c r="K461" s="33"/>
      <c r="L461" s="33"/>
      <c r="M461" s="33"/>
      <c r="N461" s="33"/>
      <c r="O461" s="33"/>
      <c r="P461" s="33"/>
      <c r="Q461" s="33"/>
      <c r="R461" s="33"/>
      <c r="S461" s="33"/>
      <c r="T461" s="33"/>
      <c r="U461" s="33"/>
      <c r="V461" s="33"/>
      <c r="W461" s="33"/>
      <c r="X461" s="33"/>
      <c r="Y461" s="33"/>
      <c r="Z461" s="33"/>
      <c r="AA461" s="33"/>
      <c r="AB461" s="33"/>
      <c r="AC461" s="33"/>
      <c r="AD461" s="33"/>
      <c r="AE461" s="33"/>
      <c r="AF461" s="33"/>
    </row>
    <row r="462" ht="15.75" customHeight="1">
      <c r="A462" s="75" t="s">
        <v>4085</v>
      </c>
      <c r="B462" s="76">
        <v>3.0</v>
      </c>
      <c r="C462" s="31" t="s">
        <v>4109</v>
      </c>
      <c r="D462" s="31" t="s">
        <v>4111</v>
      </c>
      <c r="E462" s="31" t="s">
        <v>4112</v>
      </c>
      <c r="F462" s="29"/>
      <c r="G462" s="29"/>
      <c r="H462" s="33"/>
      <c r="I462" s="33"/>
      <c r="J462" s="33"/>
      <c r="K462" s="33"/>
      <c r="L462" s="33"/>
      <c r="M462" s="33"/>
      <c r="N462" s="33"/>
      <c r="O462" s="33"/>
      <c r="P462" s="33"/>
      <c r="Q462" s="33"/>
      <c r="R462" s="33"/>
      <c r="S462" s="33"/>
      <c r="T462" s="33"/>
      <c r="U462" s="33"/>
      <c r="V462" s="33"/>
      <c r="W462" s="33"/>
      <c r="X462" s="33"/>
      <c r="Y462" s="33"/>
      <c r="Z462" s="33"/>
      <c r="AA462" s="33"/>
      <c r="AB462" s="33"/>
      <c r="AC462" s="33"/>
      <c r="AD462" s="33"/>
      <c r="AE462" s="33"/>
      <c r="AF462" s="33"/>
    </row>
    <row r="463" ht="15.75" customHeight="1">
      <c r="A463" s="63" t="s">
        <v>4085</v>
      </c>
      <c r="B463" s="94">
        <v>4.0</v>
      </c>
      <c r="C463" s="37" t="s">
        <v>4117</v>
      </c>
      <c r="D463" s="37" t="s">
        <v>4118</v>
      </c>
      <c r="E463" s="37" t="s">
        <v>4119</v>
      </c>
      <c r="F463" s="36"/>
      <c r="G463" s="36"/>
      <c r="H463" s="19"/>
      <c r="I463" s="19"/>
      <c r="J463" s="19"/>
      <c r="K463" s="19"/>
      <c r="L463" s="19"/>
      <c r="M463" s="19"/>
      <c r="N463" s="19"/>
      <c r="O463" s="19"/>
      <c r="P463" s="19"/>
      <c r="Q463" s="19"/>
      <c r="R463" s="19"/>
      <c r="S463" s="19"/>
      <c r="T463" s="19"/>
      <c r="U463" s="19"/>
      <c r="V463" s="19"/>
      <c r="W463" s="19"/>
      <c r="X463" s="19"/>
      <c r="Y463" s="19"/>
      <c r="Z463" s="19"/>
      <c r="AA463" s="19"/>
      <c r="AB463" s="19"/>
      <c r="AC463" s="19"/>
      <c r="AD463" s="19"/>
      <c r="AE463" s="19"/>
      <c r="AF463" s="19"/>
    </row>
    <row r="464" ht="15.75" customHeight="1">
      <c r="A464" s="100"/>
      <c r="B464" s="102"/>
      <c r="C464" s="100"/>
      <c r="D464" s="100"/>
      <c r="E464" s="165"/>
      <c r="F464" s="33"/>
      <c r="G464" s="33"/>
      <c r="H464" s="33"/>
      <c r="I464" s="33"/>
      <c r="J464" s="33"/>
      <c r="K464" s="33"/>
      <c r="L464" s="33"/>
      <c r="M464" s="33"/>
      <c r="N464" s="33"/>
      <c r="O464" s="33"/>
      <c r="P464" s="33"/>
      <c r="Q464" s="33"/>
      <c r="R464" s="33"/>
      <c r="S464" s="33"/>
      <c r="T464" s="33"/>
      <c r="U464" s="33"/>
      <c r="V464" s="33"/>
      <c r="W464" s="33"/>
      <c r="X464" s="33"/>
      <c r="Y464" s="33"/>
      <c r="Z464" s="33"/>
      <c r="AA464" s="33"/>
      <c r="AB464" s="33"/>
      <c r="AC464" s="33"/>
      <c r="AD464" s="33"/>
      <c r="AE464" s="33"/>
      <c r="AF464" s="33"/>
    </row>
    <row r="465" ht="15.75" customHeight="1">
      <c r="A465" s="110" t="s">
        <v>4136</v>
      </c>
      <c r="B465" s="111">
        <v>1.0</v>
      </c>
      <c r="C465" s="116" t="s">
        <v>4139</v>
      </c>
      <c r="D465" s="116" t="s">
        <v>4141</v>
      </c>
      <c r="E465" s="168" t="s">
        <v>4144</v>
      </c>
      <c r="F465" s="114"/>
      <c r="G465" s="114"/>
      <c r="H465" s="44"/>
      <c r="I465" s="44"/>
      <c r="J465" s="44"/>
      <c r="K465" s="44"/>
      <c r="L465" s="44"/>
      <c r="M465" s="44"/>
      <c r="N465" s="44"/>
      <c r="O465" s="44"/>
      <c r="P465" s="44"/>
      <c r="Q465" s="44"/>
      <c r="R465" s="44"/>
      <c r="S465" s="44"/>
      <c r="T465" s="44"/>
      <c r="U465" s="44"/>
      <c r="V465" s="44"/>
      <c r="W465" s="44"/>
      <c r="X465" s="44"/>
      <c r="Y465" s="44"/>
      <c r="Z465" s="44"/>
      <c r="AA465" s="44"/>
      <c r="AB465" s="44"/>
      <c r="AC465" s="44"/>
      <c r="AD465" s="44"/>
      <c r="AE465" s="44"/>
      <c r="AF465" s="44"/>
    </row>
    <row r="466" ht="15.75" customHeight="1">
      <c r="A466" s="75" t="s">
        <v>4136</v>
      </c>
      <c r="B466" s="76">
        <v>2.0</v>
      </c>
      <c r="C466" s="31" t="s">
        <v>4150</v>
      </c>
      <c r="D466" s="31" t="s">
        <v>4153</v>
      </c>
      <c r="E466" s="78" t="s">
        <v>4155</v>
      </c>
      <c r="F466" s="29"/>
      <c r="G466" s="29"/>
      <c r="H466" s="33"/>
      <c r="I466" s="33"/>
      <c r="J466" s="33"/>
      <c r="K466" s="33"/>
      <c r="L466" s="33"/>
      <c r="M466" s="33"/>
      <c r="N466" s="33"/>
      <c r="O466" s="33"/>
      <c r="P466" s="33"/>
      <c r="Q466" s="33"/>
      <c r="R466" s="33"/>
      <c r="S466" s="33"/>
      <c r="T466" s="33"/>
      <c r="U466" s="33"/>
      <c r="V466" s="33"/>
      <c r="W466" s="33"/>
      <c r="X466" s="33"/>
      <c r="Y466" s="33"/>
      <c r="Z466" s="33"/>
      <c r="AA466" s="33"/>
      <c r="AB466" s="33"/>
      <c r="AC466" s="33"/>
      <c r="AD466" s="33"/>
      <c r="AE466" s="33"/>
      <c r="AF466" s="33"/>
    </row>
    <row r="467" ht="15.75" customHeight="1">
      <c r="A467" s="75" t="s">
        <v>4136</v>
      </c>
      <c r="B467" s="76">
        <v>3.0</v>
      </c>
      <c r="C467" s="31" t="s">
        <v>4167</v>
      </c>
      <c r="D467" s="31" t="s">
        <v>4169</v>
      </c>
      <c r="E467" s="78" t="s">
        <v>4170</v>
      </c>
      <c r="F467" s="29"/>
      <c r="G467" s="29"/>
      <c r="H467" s="33"/>
      <c r="I467" s="33"/>
      <c r="J467" s="33"/>
      <c r="K467" s="33"/>
      <c r="L467" s="33"/>
      <c r="M467" s="33"/>
      <c r="N467" s="33"/>
      <c r="O467" s="33"/>
      <c r="P467" s="33"/>
      <c r="Q467" s="33"/>
      <c r="R467" s="33"/>
      <c r="S467" s="33"/>
      <c r="T467" s="33"/>
      <c r="U467" s="33"/>
      <c r="V467" s="33"/>
      <c r="W467" s="33"/>
      <c r="X467" s="33"/>
      <c r="Y467" s="33"/>
      <c r="Z467" s="33"/>
      <c r="AA467" s="33"/>
      <c r="AB467" s="33"/>
      <c r="AC467" s="33"/>
      <c r="AD467" s="33"/>
      <c r="AE467" s="33"/>
      <c r="AF467" s="33"/>
    </row>
    <row r="468" ht="15.75" customHeight="1">
      <c r="A468" s="63" t="s">
        <v>4136</v>
      </c>
      <c r="B468" s="94">
        <v>4.0</v>
      </c>
      <c r="C468" s="37" t="s">
        <v>4179</v>
      </c>
      <c r="D468" s="37" t="s">
        <v>4180</v>
      </c>
      <c r="E468" s="71" t="s">
        <v>4170</v>
      </c>
      <c r="F468" s="36"/>
      <c r="G468" s="36"/>
      <c r="H468" s="19"/>
      <c r="I468" s="19"/>
      <c r="J468" s="19"/>
      <c r="K468" s="19"/>
      <c r="L468" s="19"/>
      <c r="M468" s="19"/>
      <c r="N468" s="19"/>
      <c r="O468" s="19"/>
      <c r="P468" s="19"/>
      <c r="Q468" s="19"/>
      <c r="R468" s="19"/>
      <c r="S468" s="19"/>
      <c r="T468" s="19"/>
      <c r="U468" s="19"/>
      <c r="V468" s="19"/>
      <c r="W468" s="19"/>
      <c r="X468" s="19"/>
      <c r="Y468" s="19"/>
      <c r="Z468" s="19"/>
      <c r="AA468" s="19"/>
      <c r="AB468" s="19"/>
      <c r="AC468" s="19"/>
      <c r="AD468" s="19"/>
      <c r="AE468" s="19"/>
      <c r="AF468" s="19"/>
    </row>
    <row r="469" ht="15.75" customHeight="1">
      <c r="A469" s="63"/>
      <c r="B469" s="37"/>
      <c r="C469" s="37"/>
      <c r="D469" s="37"/>
      <c r="E469" s="37"/>
      <c r="F469" s="36"/>
      <c r="G469" s="36"/>
      <c r="H469" s="19"/>
      <c r="I469" s="19"/>
      <c r="J469" s="19"/>
      <c r="K469" s="19"/>
      <c r="L469" s="19"/>
      <c r="M469" s="19"/>
      <c r="N469" s="19"/>
      <c r="O469" s="19"/>
      <c r="P469" s="19"/>
      <c r="Q469" s="19"/>
      <c r="R469" s="19"/>
      <c r="S469" s="19"/>
      <c r="T469" s="19"/>
      <c r="U469" s="19"/>
      <c r="V469" s="19"/>
      <c r="W469" s="19"/>
      <c r="X469" s="19"/>
      <c r="Y469" s="19"/>
      <c r="Z469" s="19"/>
      <c r="AA469" s="19"/>
      <c r="AB469" s="19"/>
      <c r="AC469" s="19"/>
      <c r="AD469" s="19"/>
      <c r="AE469" s="19"/>
      <c r="AF469" s="19"/>
    </row>
    <row r="470" ht="15.75" customHeight="1">
      <c r="A470" s="75" t="s">
        <v>4207</v>
      </c>
      <c r="B470" s="76">
        <v>1.0</v>
      </c>
      <c r="C470" s="31" t="s">
        <v>4208</v>
      </c>
      <c r="D470" s="31" t="s">
        <v>4209</v>
      </c>
      <c r="E470" s="31" t="s">
        <v>4210</v>
      </c>
      <c r="F470" s="29"/>
      <c r="G470" s="29"/>
      <c r="H470" s="33"/>
      <c r="I470" s="33"/>
      <c r="J470" s="33"/>
      <c r="K470" s="33"/>
      <c r="L470" s="33"/>
      <c r="M470" s="33"/>
      <c r="N470" s="33"/>
      <c r="O470" s="33"/>
      <c r="P470" s="33"/>
      <c r="Q470" s="33"/>
      <c r="R470" s="33"/>
      <c r="S470" s="33"/>
      <c r="T470" s="33"/>
      <c r="U470" s="33"/>
      <c r="V470" s="33"/>
      <c r="W470" s="33"/>
      <c r="X470" s="33"/>
      <c r="Y470" s="33"/>
      <c r="Z470" s="33"/>
      <c r="AA470" s="33"/>
      <c r="AB470" s="33"/>
      <c r="AC470" s="33"/>
      <c r="AD470" s="33"/>
      <c r="AE470" s="33"/>
      <c r="AF470" s="33"/>
    </row>
    <row r="471" ht="15.75" customHeight="1">
      <c r="A471" s="75" t="s">
        <v>4207</v>
      </c>
      <c r="B471" s="76">
        <v>2.0</v>
      </c>
      <c r="C471" s="31" t="s">
        <v>4222</v>
      </c>
      <c r="D471" s="31" t="s">
        <v>4223</v>
      </c>
      <c r="E471" s="31" t="s">
        <v>4225</v>
      </c>
      <c r="F471" s="29"/>
      <c r="G471" s="29"/>
      <c r="H471" s="33"/>
      <c r="I471" s="33"/>
      <c r="J471" s="33"/>
      <c r="K471" s="33"/>
      <c r="L471" s="33"/>
      <c r="M471" s="33"/>
      <c r="N471" s="33"/>
      <c r="O471" s="33"/>
      <c r="P471" s="33"/>
      <c r="Q471" s="33"/>
      <c r="R471" s="33"/>
      <c r="S471" s="33"/>
      <c r="T471" s="33"/>
      <c r="U471" s="33"/>
      <c r="V471" s="33"/>
      <c r="W471" s="33"/>
      <c r="X471" s="33"/>
      <c r="Y471" s="33"/>
      <c r="Z471" s="33"/>
      <c r="AA471" s="33"/>
      <c r="AB471" s="33"/>
      <c r="AC471" s="33"/>
      <c r="AD471" s="33"/>
      <c r="AE471" s="33"/>
      <c r="AF471" s="33"/>
    </row>
    <row r="472" ht="15.75" customHeight="1">
      <c r="A472" s="63" t="s">
        <v>4207</v>
      </c>
      <c r="B472" s="94">
        <v>3.0</v>
      </c>
      <c r="C472" s="37" t="s">
        <v>4234</v>
      </c>
      <c r="D472" s="37" t="s">
        <v>4236</v>
      </c>
      <c r="E472" s="37" t="s">
        <v>4238</v>
      </c>
      <c r="F472" s="36"/>
      <c r="G472" s="36"/>
      <c r="H472" s="19"/>
      <c r="I472" s="19"/>
      <c r="J472" s="19"/>
      <c r="K472" s="19"/>
      <c r="L472" s="19"/>
      <c r="M472" s="19"/>
      <c r="N472" s="19"/>
      <c r="O472" s="19"/>
      <c r="P472" s="19"/>
      <c r="Q472" s="19"/>
      <c r="R472" s="19"/>
      <c r="S472" s="19"/>
      <c r="T472" s="19"/>
      <c r="U472" s="19"/>
      <c r="V472" s="19"/>
      <c r="W472" s="19"/>
      <c r="X472" s="19"/>
      <c r="Y472" s="19"/>
      <c r="Z472" s="19"/>
      <c r="AA472" s="19"/>
      <c r="AB472" s="19"/>
      <c r="AC472" s="19"/>
      <c r="AD472" s="19"/>
      <c r="AE472" s="19"/>
      <c r="AF472" s="19"/>
    </row>
    <row r="473" ht="15.75" customHeight="1">
      <c r="A473" s="63"/>
      <c r="B473" s="37"/>
      <c r="C473" s="37"/>
      <c r="D473" s="37"/>
      <c r="E473" s="37"/>
      <c r="F473" s="36"/>
      <c r="G473" s="36"/>
      <c r="H473" s="19"/>
      <c r="I473" s="19"/>
      <c r="J473" s="19"/>
      <c r="K473" s="19"/>
      <c r="L473" s="19"/>
      <c r="M473" s="19"/>
      <c r="N473" s="19"/>
      <c r="O473" s="19"/>
      <c r="P473" s="19"/>
      <c r="Q473" s="19"/>
      <c r="R473" s="19"/>
      <c r="S473" s="19"/>
      <c r="T473" s="19"/>
      <c r="U473" s="19"/>
      <c r="V473" s="19"/>
      <c r="W473" s="19"/>
      <c r="X473" s="19"/>
      <c r="Y473" s="19"/>
      <c r="Z473" s="19"/>
      <c r="AA473" s="19"/>
      <c r="AB473" s="19"/>
      <c r="AC473" s="19"/>
      <c r="AD473" s="19"/>
      <c r="AE473" s="19"/>
      <c r="AF473" s="19"/>
    </row>
    <row r="474" ht="15.75" customHeight="1">
      <c r="A474" s="75" t="s">
        <v>4255</v>
      </c>
      <c r="B474" s="76">
        <v>1.0</v>
      </c>
      <c r="C474" s="31" t="s">
        <v>4256</v>
      </c>
      <c r="D474" s="31" t="s">
        <v>4257</v>
      </c>
      <c r="E474" s="78" t="s">
        <v>4258</v>
      </c>
      <c r="F474" s="29"/>
      <c r="G474" s="29"/>
      <c r="H474" s="33"/>
      <c r="I474" s="33"/>
      <c r="J474" s="33"/>
      <c r="K474" s="33"/>
      <c r="L474" s="33"/>
      <c r="M474" s="33"/>
      <c r="N474" s="33"/>
      <c r="O474" s="33"/>
      <c r="P474" s="33"/>
      <c r="Q474" s="33"/>
      <c r="R474" s="33"/>
      <c r="S474" s="33"/>
      <c r="T474" s="33"/>
      <c r="U474" s="33"/>
      <c r="V474" s="33"/>
      <c r="W474" s="33"/>
      <c r="X474" s="33"/>
      <c r="Y474" s="33"/>
      <c r="Z474" s="33"/>
      <c r="AA474" s="33"/>
      <c r="AB474" s="33"/>
      <c r="AC474" s="33"/>
      <c r="AD474" s="33"/>
      <c r="AE474" s="33"/>
      <c r="AF474" s="33"/>
    </row>
    <row r="475" ht="15.75" customHeight="1">
      <c r="A475" s="63" t="s">
        <v>4255</v>
      </c>
      <c r="B475" s="94">
        <v>2.0</v>
      </c>
      <c r="C475" s="37" t="s">
        <v>4267</v>
      </c>
      <c r="D475" s="37" t="s">
        <v>4268</v>
      </c>
      <c r="E475" s="71" t="s">
        <v>4269</v>
      </c>
      <c r="F475" s="19"/>
      <c r="G475" s="19"/>
      <c r="H475" s="19"/>
      <c r="I475" s="19"/>
      <c r="J475" s="19"/>
      <c r="K475" s="19"/>
      <c r="L475" s="19"/>
      <c r="M475" s="19"/>
      <c r="N475" s="19"/>
      <c r="O475" s="19"/>
      <c r="P475" s="19"/>
      <c r="Q475" s="19"/>
      <c r="R475" s="19"/>
      <c r="S475" s="19"/>
      <c r="T475" s="19"/>
      <c r="U475" s="19"/>
      <c r="V475" s="19"/>
      <c r="W475" s="19"/>
      <c r="X475" s="19"/>
      <c r="Y475" s="19"/>
      <c r="Z475" s="19"/>
      <c r="AA475" s="19"/>
      <c r="AB475" s="19"/>
      <c r="AC475" s="19"/>
      <c r="AD475" s="19"/>
      <c r="AE475" s="19"/>
      <c r="AF475" s="19"/>
    </row>
    <row r="476" ht="15.75" customHeight="1">
      <c r="A476" s="63"/>
      <c r="B476" s="37"/>
      <c r="C476" s="37"/>
      <c r="D476" s="37"/>
      <c r="E476" s="37"/>
      <c r="F476" s="36"/>
      <c r="G476" s="36"/>
      <c r="H476" s="19"/>
      <c r="I476" s="19"/>
      <c r="J476" s="19"/>
      <c r="K476" s="19"/>
      <c r="L476" s="19"/>
      <c r="M476" s="19"/>
      <c r="N476" s="19"/>
      <c r="O476" s="19"/>
      <c r="P476" s="19"/>
      <c r="Q476" s="19"/>
      <c r="R476" s="19"/>
      <c r="S476" s="19"/>
      <c r="T476" s="19"/>
      <c r="U476" s="19"/>
      <c r="V476" s="19"/>
      <c r="W476" s="19"/>
      <c r="X476" s="19"/>
      <c r="Y476" s="19"/>
      <c r="Z476" s="19"/>
      <c r="AA476" s="19"/>
      <c r="AB476" s="19"/>
      <c r="AC476" s="19"/>
      <c r="AD476" s="19"/>
      <c r="AE476" s="19"/>
      <c r="AF476" s="19"/>
    </row>
    <row r="477" ht="15.75" customHeight="1">
      <c r="A477" s="75" t="s">
        <v>4285</v>
      </c>
      <c r="B477" s="76">
        <v>1.0</v>
      </c>
      <c r="C477" s="31" t="s">
        <v>4286</v>
      </c>
      <c r="D477" s="31" t="s">
        <v>4289</v>
      </c>
      <c r="E477" s="78" t="s">
        <v>4291</v>
      </c>
      <c r="F477" s="162"/>
      <c r="G477" s="162"/>
      <c r="H477" s="33"/>
      <c r="I477" s="33"/>
      <c r="J477" s="33"/>
      <c r="K477" s="33"/>
      <c r="L477" s="33"/>
      <c r="M477" s="33"/>
      <c r="N477" s="33"/>
      <c r="O477" s="33"/>
      <c r="P477" s="33"/>
      <c r="Q477" s="33"/>
      <c r="R477" s="33"/>
      <c r="S477" s="33"/>
      <c r="T477" s="33"/>
      <c r="U477" s="33"/>
      <c r="V477" s="33"/>
      <c r="W477" s="33"/>
      <c r="X477" s="33"/>
      <c r="Y477" s="33"/>
      <c r="Z477" s="33"/>
      <c r="AA477" s="33"/>
      <c r="AB477" s="33"/>
      <c r="AC477" s="33"/>
      <c r="AD477" s="33"/>
      <c r="AE477" s="33"/>
      <c r="AF477" s="33"/>
    </row>
    <row r="478" ht="15.75" customHeight="1">
      <c r="A478" s="75" t="s">
        <v>4285</v>
      </c>
      <c r="B478" s="76">
        <v>2.0</v>
      </c>
      <c r="C478" s="31" t="s">
        <v>4305</v>
      </c>
      <c r="D478" s="31" t="s">
        <v>4308</v>
      </c>
      <c r="E478" s="78" t="s">
        <v>4311</v>
      </c>
      <c r="F478" s="162"/>
      <c r="G478" s="162"/>
      <c r="H478" s="33"/>
      <c r="I478" s="33"/>
      <c r="J478" s="33"/>
      <c r="K478" s="33"/>
      <c r="L478" s="33"/>
      <c r="M478" s="33"/>
      <c r="N478" s="33"/>
      <c r="O478" s="33"/>
      <c r="P478" s="33"/>
      <c r="Q478" s="33"/>
      <c r="R478" s="33"/>
      <c r="S478" s="33"/>
      <c r="T478" s="33"/>
      <c r="U478" s="33"/>
      <c r="V478" s="33"/>
      <c r="W478" s="33"/>
      <c r="X478" s="33"/>
      <c r="Y478" s="33"/>
      <c r="Z478" s="33"/>
      <c r="AA478" s="33"/>
      <c r="AB478" s="33"/>
      <c r="AC478" s="33"/>
      <c r="AD478" s="33"/>
      <c r="AE478" s="33"/>
      <c r="AF478" s="33"/>
    </row>
    <row r="479" ht="15.75" customHeight="1">
      <c r="A479" s="63" t="s">
        <v>4285</v>
      </c>
      <c r="B479" s="94">
        <v>3.0</v>
      </c>
      <c r="C479" s="37" t="s">
        <v>4323</v>
      </c>
      <c r="D479" s="37" t="s">
        <v>4325</v>
      </c>
      <c r="E479" s="71" t="s">
        <v>4328</v>
      </c>
      <c r="F479" s="19"/>
      <c r="G479" s="19"/>
      <c r="H479" s="19"/>
      <c r="I479" s="19"/>
      <c r="J479" s="19"/>
      <c r="K479" s="19"/>
      <c r="L479" s="19"/>
      <c r="M479" s="19"/>
      <c r="N479" s="19"/>
      <c r="O479" s="19"/>
      <c r="P479" s="19"/>
      <c r="Q479" s="19"/>
      <c r="R479" s="19"/>
      <c r="S479" s="19"/>
      <c r="T479" s="19"/>
      <c r="U479" s="19"/>
      <c r="V479" s="19"/>
      <c r="W479" s="19"/>
      <c r="X479" s="19"/>
      <c r="Y479" s="19"/>
      <c r="Z479" s="19"/>
      <c r="AA479" s="19"/>
      <c r="AB479" s="19"/>
      <c r="AC479" s="19"/>
      <c r="AD479" s="19"/>
      <c r="AE479" s="19"/>
      <c r="AF479" s="19"/>
    </row>
    <row r="480" ht="15.75" customHeight="1">
      <c r="A480" s="63"/>
      <c r="B480" s="37"/>
      <c r="C480" s="37"/>
      <c r="D480" s="37"/>
      <c r="E480" s="37"/>
      <c r="F480" s="36"/>
      <c r="G480" s="36"/>
      <c r="H480" s="19"/>
      <c r="I480" s="19"/>
      <c r="J480" s="19"/>
      <c r="K480" s="19"/>
      <c r="L480" s="19"/>
      <c r="M480" s="19"/>
      <c r="N480" s="19"/>
      <c r="O480" s="19"/>
      <c r="P480" s="19"/>
      <c r="Q480" s="19"/>
      <c r="R480" s="19"/>
      <c r="S480" s="19"/>
      <c r="T480" s="19"/>
      <c r="U480" s="19"/>
      <c r="V480" s="19"/>
      <c r="W480" s="19"/>
      <c r="X480" s="19"/>
      <c r="Y480" s="19"/>
      <c r="Z480" s="19"/>
      <c r="AA480" s="19"/>
      <c r="AB480" s="19"/>
      <c r="AC480" s="19"/>
      <c r="AD480" s="19"/>
      <c r="AE480" s="19"/>
      <c r="AF480" s="19"/>
    </row>
    <row r="481" ht="15.75" customHeight="1">
      <c r="A481" s="75" t="s">
        <v>4360</v>
      </c>
      <c r="B481" s="76">
        <v>1.0</v>
      </c>
      <c r="C481" s="31" t="s">
        <v>4365</v>
      </c>
      <c r="D481" s="31" t="s">
        <v>4368</v>
      </c>
      <c r="E481" s="78" t="s">
        <v>4369</v>
      </c>
      <c r="F481" s="162"/>
      <c r="G481" s="162"/>
      <c r="H481" s="33"/>
      <c r="I481" s="33"/>
      <c r="J481" s="33"/>
      <c r="K481" s="33"/>
      <c r="L481" s="33"/>
      <c r="M481" s="33"/>
      <c r="N481" s="33"/>
      <c r="O481" s="33"/>
      <c r="P481" s="33"/>
      <c r="Q481" s="33"/>
      <c r="R481" s="33"/>
      <c r="S481" s="33"/>
      <c r="T481" s="33"/>
      <c r="U481" s="33"/>
      <c r="V481" s="33"/>
      <c r="W481" s="33"/>
      <c r="X481" s="33"/>
      <c r="Y481" s="33"/>
      <c r="Z481" s="33"/>
      <c r="AA481" s="33"/>
      <c r="AB481" s="33"/>
      <c r="AC481" s="33"/>
      <c r="AD481" s="33"/>
      <c r="AE481" s="33"/>
      <c r="AF481" s="33"/>
    </row>
    <row r="482" ht="15.75" customHeight="1">
      <c r="A482" s="75" t="s">
        <v>4360</v>
      </c>
      <c r="B482" s="76">
        <v>2.0</v>
      </c>
      <c r="C482" s="31" t="s">
        <v>4383</v>
      </c>
      <c r="D482" s="31" t="s">
        <v>4385</v>
      </c>
      <c r="E482" s="78" t="s">
        <v>4387</v>
      </c>
      <c r="F482" s="162"/>
      <c r="G482" s="162"/>
      <c r="H482" s="33"/>
      <c r="I482" s="33"/>
      <c r="J482" s="33"/>
      <c r="K482" s="33"/>
      <c r="L482" s="33"/>
      <c r="M482" s="33"/>
      <c r="N482" s="33"/>
      <c r="O482" s="33"/>
      <c r="P482" s="33"/>
      <c r="Q482" s="33"/>
      <c r="R482" s="33"/>
      <c r="S482" s="33"/>
      <c r="T482" s="33"/>
      <c r="U482" s="33"/>
      <c r="V482" s="33"/>
      <c r="W482" s="33"/>
      <c r="X482" s="33"/>
      <c r="Y482" s="33"/>
      <c r="Z482" s="33"/>
      <c r="AA482" s="33"/>
      <c r="AB482" s="33"/>
      <c r="AC482" s="33"/>
      <c r="AD482" s="33"/>
      <c r="AE482" s="33"/>
      <c r="AF482" s="33"/>
    </row>
    <row r="483" ht="15.75" customHeight="1">
      <c r="A483" s="63" t="s">
        <v>4360</v>
      </c>
      <c r="B483" s="94">
        <v>3.0</v>
      </c>
      <c r="C483" s="37" t="s">
        <v>4398</v>
      </c>
      <c r="D483" s="37" t="s">
        <v>4399</v>
      </c>
      <c r="E483" s="71" t="s">
        <v>4400</v>
      </c>
      <c r="F483" s="19"/>
      <c r="G483" s="19"/>
      <c r="H483" s="19"/>
      <c r="I483" s="19"/>
      <c r="J483" s="19"/>
      <c r="K483" s="19"/>
      <c r="L483" s="19"/>
      <c r="M483" s="19"/>
      <c r="N483" s="19"/>
      <c r="O483" s="19"/>
      <c r="P483" s="19"/>
      <c r="Q483" s="19"/>
      <c r="R483" s="19"/>
      <c r="S483" s="19"/>
      <c r="T483" s="19"/>
      <c r="U483" s="19"/>
      <c r="V483" s="19"/>
      <c r="W483" s="19"/>
      <c r="X483" s="19"/>
      <c r="Y483" s="19"/>
      <c r="Z483" s="19"/>
      <c r="AA483" s="19"/>
      <c r="AB483" s="19"/>
      <c r="AC483" s="19"/>
      <c r="AD483" s="19"/>
      <c r="AE483" s="19"/>
      <c r="AF483" s="19"/>
    </row>
    <row r="484" ht="15.75" customHeight="1">
      <c r="A484" s="63"/>
      <c r="B484" s="37"/>
      <c r="C484" s="37"/>
      <c r="D484" s="37"/>
      <c r="E484" s="37"/>
      <c r="F484" s="36"/>
      <c r="G484" s="36"/>
      <c r="H484" s="19"/>
      <c r="I484" s="19"/>
      <c r="J484" s="19"/>
      <c r="K484" s="19"/>
      <c r="L484" s="19"/>
      <c r="M484" s="19"/>
      <c r="N484" s="19"/>
      <c r="O484" s="19"/>
      <c r="P484" s="19"/>
      <c r="Q484" s="19"/>
      <c r="R484" s="19"/>
      <c r="S484" s="19"/>
      <c r="T484" s="19"/>
      <c r="U484" s="19"/>
      <c r="V484" s="19"/>
      <c r="W484" s="19"/>
      <c r="X484" s="19"/>
      <c r="Y484" s="19"/>
      <c r="Z484" s="19"/>
      <c r="AA484" s="19"/>
      <c r="AB484" s="19"/>
      <c r="AC484" s="19"/>
      <c r="AD484" s="19"/>
      <c r="AE484" s="19"/>
      <c r="AF484" s="19"/>
    </row>
    <row r="485" ht="15.75" customHeight="1">
      <c r="A485" s="75" t="s">
        <v>4413</v>
      </c>
      <c r="B485" s="76">
        <v>1.0</v>
      </c>
      <c r="C485" s="31" t="s">
        <v>4414</v>
      </c>
      <c r="D485" s="31" t="s">
        <v>4415</v>
      </c>
      <c r="E485" s="78" t="s">
        <v>4416</v>
      </c>
      <c r="F485" s="162"/>
      <c r="G485" s="29"/>
      <c r="H485" s="33"/>
      <c r="I485" s="33"/>
      <c r="J485" s="33"/>
      <c r="K485" s="33"/>
      <c r="L485" s="33"/>
      <c r="M485" s="33"/>
      <c r="N485" s="33"/>
      <c r="O485" s="33"/>
      <c r="P485" s="33"/>
      <c r="Q485" s="33"/>
      <c r="R485" s="33"/>
      <c r="S485" s="33"/>
      <c r="T485" s="33"/>
      <c r="U485" s="33"/>
      <c r="V485" s="33"/>
      <c r="W485" s="33"/>
      <c r="X485" s="33"/>
      <c r="Y485" s="33"/>
      <c r="Z485" s="33"/>
      <c r="AA485" s="33"/>
      <c r="AB485" s="33"/>
      <c r="AC485" s="33"/>
      <c r="AD485" s="33"/>
      <c r="AE485" s="33"/>
      <c r="AF485" s="33"/>
    </row>
    <row r="486" ht="15.75" customHeight="1">
      <c r="A486" s="75" t="s">
        <v>4413</v>
      </c>
      <c r="B486" s="76">
        <v>2.0</v>
      </c>
      <c r="C486" s="31" t="s">
        <v>4423</v>
      </c>
      <c r="D486" s="31" t="s">
        <v>4424</v>
      </c>
      <c r="E486" s="78" t="s">
        <v>4425</v>
      </c>
      <c r="F486" s="29"/>
      <c r="G486" s="29"/>
      <c r="H486" s="33"/>
      <c r="I486" s="33"/>
      <c r="J486" s="33"/>
      <c r="K486" s="33"/>
      <c r="L486" s="33"/>
      <c r="M486" s="33"/>
      <c r="N486" s="33"/>
      <c r="O486" s="33"/>
      <c r="P486" s="33"/>
      <c r="Q486" s="33"/>
      <c r="R486" s="33"/>
      <c r="S486" s="33"/>
      <c r="T486" s="33"/>
      <c r="U486" s="33"/>
      <c r="V486" s="33"/>
      <c r="W486" s="33"/>
      <c r="X486" s="33"/>
      <c r="Y486" s="33"/>
      <c r="Z486" s="33"/>
      <c r="AA486" s="33"/>
      <c r="AB486" s="33"/>
      <c r="AC486" s="33"/>
      <c r="AD486" s="33"/>
      <c r="AE486" s="33"/>
      <c r="AF486" s="33"/>
    </row>
    <row r="487" ht="15.75" customHeight="1">
      <c r="A487" s="75" t="s">
        <v>4413</v>
      </c>
      <c r="B487" s="76">
        <v>3.0</v>
      </c>
      <c r="C487" s="31" t="s">
        <v>4440</v>
      </c>
      <c r="D487" s="31" t="s">
        <v>4442</v>
      </c>
      <c r="E487" s="31" t="s">
        <v>4444</v>
      </c>
      <c r="F487" s="29"/>
      <c r="G487" s="29"/>
      <c r="H487" s="33"/>
      <c r="I487" s="33"/>
      <c r="J487" s="33"/>
      <c r="K487" s="33"/>
      <c r="L487" s="33"/>
      <c r="M487" s="33"/>
      <c r="N487" s="33"/>
      <c r="O487" s="33"/>
      <c r="P487" s="33"/>
      <c r="Q487" s="33"/>
      <c r="R487" s="33"/>
      <c r="S487" s="33"/>
      <c r="T487" s="33"/>
      <c r="U487" s="33"/>
      <c r="V487" s="33"/>
      <c r="W487" s="33"/>
      <c r="X487" s="33"/>
      <c r="Y487" s="33"/>
      <c r="Z487" s="33"/>
      <c r="AA487" s="33"/>
      <c r="AB487" s="33"/>
      <c r="AC487" s="33"/>
      <c r="AD487" s="33"/>
      <c r="AE487" s="33"/>
      <c r="AF487" s="33"/>
    </row>
    <row r="488" ht="15.75" customHeight="1">
      <c r="A488" s="75" t="s">
        <v>4413</v>
      </c>
      <c r="B488" s="76">
        <v>4.0</v>
      </c>
      <c r="C488" s="31" t="s">
        <v>4461</v>
      </c>
      <c r="D488" s="31" t="s">
        <v>4464</v>
      </c>
      <c r="E488" s="31" t="s">
        <v>4465</v>
      </c>
      <c r="F488" s="29"/>
      <c r="G488" s="29"/>
      <c r="H488" s="33"/>
      <c r="I488" s="33"/>
      <c r="J488" s="33"/>
      <c r="K488" s="33"/>
      <c r="L488" s="33"/>
      <c r="M488" s="33"/>
      <c r="N488" s="33"/>
      <c r="O488" s="33"/>
      <c r="P488" s="33"/>
      <c r="Q488" s="33"/>
      <c r="R488" s="33"/>
      <c r="S488" s="33"/>
      <c r="T488" s="33"/>
      <c r="U488" s="33"/>
      <c r="V488" s="33"/>
      <c r="W488" s="33"/>
      <c r="X488" s="33"/>
      <c r="Y488" s="33"/>
      <c r="Z488" s="33"/>
      <c r="AA488" s="33"/>
      <c r="AB488" s="33"/>
      <c r="AC488" s="33"/>
      <c r="AD488" s="33"/>
      <c r="AE488" s="33"/>
      <c r="AF488" s="33"/>
    </row>
    <row r="489" ht="15.75" customHeight="1">
      <c r="A489" s="63" t="s">
        <v>4413</v>
      </c>
      <c r="B489" s="94">
        <v>5.0</v>
      </c>
      <c r="C489" s="37" t="s">
        <v>4475</v>
      </c>
      <c r="D489" s="37" t="s">
        <v>4477</v>
      </c>
      <c r="E489" s="71" t="s">
        <v>4478</v>
      </c>
      <c r="F489" s="19"/>
      <c r="G489" s="36"/>
      <c r="H489" s="19"/>
      <c r="I489" s="19"/>
      <c r="J489" s="19"/>
      <c r="K489" s="19"/>
      <c r="L489" s="19"/>
      <c r="M489" s="19"/>
      <c r="N489" s="19"/>
      <c r="O489" s="19"/>
      <c r="P489" s="19"/>
      <c r="Q489" s="19"/>
      <c r="R489" s="19"/>
      <c r="S489" s="19"/>
      <c r="T489" s="19"/>
      <c r="U489" s="19"/>
      <c r="V489" s="19"/>
      <c r="W489" s="19"/>
      <c r="X489" s="19"/>
      <c r="Y489" s="19"/>
      <c r="Z489" s="19"/>
      <c r="AA489" s="19"/>
      <c r="AB489" s="19"/>
      <c r="AC489" s="19"/>
      <c r="AD489" s="19"/>
      <c r="AE489" s="19"/>
      <c r="AF489" s="19"/>
    </row>
    <row r="490" ht="15.75" customHeight="1">
      <c r="A490" s="63"/>
      <c r="B490" s="37"/>
      <c r="C490" s="37"/>
      <c r="D490" s="37"/>
      <c r="E490" s="37"/>
      <c r="F490" s="36"/>
      <c r="G490" s="36"/>
      <c r="H490" s="19"/>
      <c r="I490" s="19"/>
      <c r="J490" s="19"/>
      <c r="K490" s="19"/>
      <c r="L490" s="19"/>
      <c r="M490" s="19"/>
      <c r="N490" s="19"/>
      <c r="O490" s="19"/>
      <c r="P490" s="19"/>
      <c r="Q490" s="19"/>
      <c r="R490" s="19"/>
      <c r="S490" s="19"/>
      <c r="T490" s="19"/>
      <c r="U490" s="19"/>
      <c r="V490" s="19"/>
      <c r="W490" s="19"/>
      <c r="X490" s="19"/>
      <c r="Y490" s="19"/>
      <c r="Z490" s="19"/>
      <c r="AA490" s="19"/>
      <c r="AB490" s="19"/>
      <c r="AC490" s="19"/>
      <c r="AD490" s="19"/>
      <c r="AE490" s="19"/>
      <c r="AF490" s="19"/>
    </row>
    <row r="491" ht="15.75" customHeight="1">
      <c r="A491" s="75" t="s">
        <v>4500</v>
      </c>
      <c r="B491" s="76">
        <v>1.0</v>
      </c>
      <c r="C491" s="31" t="s">
        <v>4501</v>
      </c>
      <c r="D491" s="31" t="s">
        <v>4503</v>
      </c>
      <c r="E491" s="78" t="s">
        <v>4504</v>
      </c>
      <c r="F491" s="29"/>
      <c r="G491" s="29"/>
      <c r="H491" s="33"/>
      <c r="I491" s="33"/>
      <c r="J491" s="33"/>
      <c r="K491" s="33"/>
      <c r="L491" s="33"/>
      <c r="M491" s="33"/>
      <c r="N491" s="33"/>
      <c r="O491" s="33"/>
      <c r="P491" s="33"/>
      <c r="Q491" s="33"/>
      <c r="R491" s="33"/>
      <c r="S491" s="33"/>
      <c r="T491" s="33"/>
      <c r="U491" s="33"/>
      <c r="V491" s="33"/>
      <c r="W491" s="33"/>
      <c r="X491" s="33"/>
      <c r="Y491" s="33"/>
      <c r="Z491" s="33"/>
      <c r="AA491" s="33"/>
      <c r="AB491" s="33"/>
      <c r="AC491" s="33"/>
      <c r="AD491" s="33"/>
      <c r="AE491" s="33"/>
      <c r="AF491" s="33"/>
    </row>
    <row r="492" ht="15.75" customHeight="1">
      <c r="A492" s="75" t="s">
        <v>4500</v>
      </c>
      <c r="B492" s="76">
        <v>2.0</v>
      </c>
      <c r="C492" s="31" t="s">
        <v>4514</v>
      </c>
      <c r="D492" s="273" t="s">
        <v>4515</v>
      </c>
      <c r="E492" s="78" t="s">
        <v>4516</v>
      </c>
      <c r="F492" s="29"/>
      <c r="G492" s="29"/>
      <c r="H492" s="33"/>
      <c r="I492" s="33"/>
      <c r="J492" s="33"/>
      <c r="K492" s="33"/>
      <c r="L492" s="33"/>
      <c r="M492" s="33"/>
      <c r="N492" s="33"/>
      <c r="O492" s="33"/>
      <c r="P492" s="33"/>
      <c r="Q492" s="33"/>
      <c r="R492" s="33"/>
      <c r="S492" s="33"/>
      <c r="T492" s="33"/>
      <c r="U492" s="33"/>
      <c r="V492" s="33"/>
      <c r="W492" s="33"/>
      <c r="X492" s="33"/>
      <c r="Y492" s="33"/>
      <c r="Z492" s="33"/>
      <c r="AA492" s="33"/>
      <c r="AB492" s="33"/>
      <c r="AC492" s="33"/>
      <c r="AD492" s="33"/>
      <c r="AE492" s="33"/>
      <c r="AF492" s="33"/>
    </row>
    <row r="493" ht="15.75" customHeight="1">
      <c r="A493" s="75" t="s">
        <v>4500</v>
      </c>
      <c r="B493" s="76">
        <v>3.0</v>
      </c>
      <c r="C493" s="31" t="s">
        <v>4529</v>
      </c>
      <c r="D493" s="100" t="s">
        <v>4530</v>
      </c>
      <c r="E493" s="78" t="s">
        <v>4531</v>
      </c>
      <c r="F493" s="29"/>
      <c r="G493" s="29"/>
      <c r="H493" s="33"/>
      <c r="I493" s="33"/>
      <c r="J493" s="33"/>
      <c r="K493" s="33"/>
      <c r="L493" s="33"/>
      <c r="M493" s="33"/>
      <c r="N493" s="33"/>
      <c r="O493" s="33"/>
      <c r="P493" s="33"/>
      <c r="Q493" s="33"/>
      <c r="R493" s="33"/>
      <c r="S493" s="33"/>
      <c r="T493" s="33"/>
      <c r="U493" s="33"/>
      <c r="V493" s="33"/>
      <c r="W493" s="33"/>
      <c r="X493" s="33"/>
      <c r="Y493" s="33"/>
      <c r="Z493" s="33"/>
      <c r="AA493" s="33"/>
      <c r="AB493" s="33"/>
      <c r="AC493" s="33"/>
      <c r="AD493" s="33"/>
      <c r="AE493" s="33"/>
      <c r="AF493" s="33"/>
    </row>
    <row r="494" ht="15.75" customHeight="1">
      <c r="A494" s="75" t="s">
        <v>4500</v>
      </c>
      <c r="B494" s="76">
        <v>4.0</v>
      </c>
      <c r="C494" s="31" t="s">
        <v>4549</v>
      </c>
      <c r="D494" s="100" t="s">
        <v>4551</v>
      </c>
      <c r="E494" s="78" t="s">
        <v>4552</v>
      </c>
      <c r="F494" s="162"/>
      <c r="G494" s="162"/>
      <c r="H494" s="33"/>
      <c r="I494" s="33"/>
      <c r="J494" s="33"/>
      <c r="K494" s="33"/>
      <c r="L494" s="33"/>
      <c r="M494" s="33"/>
      <c r="N494" s="33"/>
      <c r="O494" s="33"/>
      <c r="P494" s="33"/>
      <c r="Q494" s="33"/>
      <c r="R494" s="33"/>
      <c r="S494" s="33"/>
      <c r="T494" s="33"/>
      <c r="U494" s="33"/>
      <c r="V494" s="33"/>
      <c r="W494" s="33"/>
      <c r="X494" s="33"/>
      <c r="Y494" s="33"/>
      <c r="Z494" s="33"/>
      <c r="AA494" s="33"/>
      <c r="AB494" s="33"/>
      <c r="AC494" s="33"/>
      <c r="AD494" s="33"/>
      <c r="AE494" s="33"/>
      <c r="AF494" s="33"/>
    </row>
    <row r="495" ht="15.75" customHeight="1">
      <c r="A495" s="75" t="s">
        <v>4500</v>
      </c>
      <c r="B495" s="76">
        <v>5.0</v>
      </c>
      <c r="C495" s="31" t="s">
        <v>4555</v>
      </c>
      <c r="D495" s="100" t="s">
        <v>4556</v>
      </c>
      <c r="E495" s="78" t="s">
        <v>4558</v>
      </c>
      <c r="F495" s="29"/>
      <c r="G495" s="29"/>
      <c r="H495" s="33"/>
      <c r="I495" s="33"/>
      <c r="J495" s="33"/>
      <c r="K495" s="33"/>
      <c r="L495" s="33"/>
      <c r="M495" s="33"/>
      <c r="N495" s="33"/>
      <c r="O495" s="33"/>
      <c r="P495" s="33"/>
      <c r="Q495" s="33"/>
      <c r="R495" s="33"/>
      <c r="S495" s="33"/>
      <c r="T495" s="33"/>
      <c r="U495" s="33"/>
      <c r="V495" s="33"/>
      <c r="W495" s="33"/>
      <c r="X495" s="33"/>
      <c r="Y495" s="33"/>
      <c r="Z495" s="33"/>
      <c r="AA495" s="33"/>
      <c r="AB495" s="33"/>
      <c r="AC495" s="33"/>
      <c r="AD495" s="33"/>
      <c r="AE495" s="33"/>
      <c r="AF495" s="33"/>
    </row>
    <row r="496" ht="15.75" customHeight="1">
      <c r="A496" s="63" t="s">
        <v>4500</v>
      </c>
      <c r="B496" s="94">
        <v>6.0</v>
      </c>
      <c r="C496" s="37" t="s">
        <v>4570</v>
      </c>
      <c r="D496" s="95" t="s">
        <v>4571</v>
      </c>
      <c r="E496" s="71" t="s">
        <v>4572</v>
      </c>
      <c r="F496" s="36"/>
      <c r="G496" s="36"/>
      <c r="H496" s="19"/>
      <c r="I496" s="19"/>
      <c r="J496" s="19"/>
      <c r="K496" s="19"/>
      <c r="L496" s="19"/>
      <c r="M496" s="19"/>
      <c r="N496" s="19"/>
      <c r="O496" s="19"/>
      <c r="P496" s="19"/>
      <c r="Q496" s="19"/>
      <c r="R496" s="19"/>
      <c r="S496" s="19"/>
      <c r="T496" s="19"/>
      <c r="U496" s="19"/>
      <c r="V496" s="19"/>
      <c r="W496" s="19"/>
      <c r="X496" s="19"/>
      <c r="Y496" s="19"/>
      <c r="Z496" s="19"/>
      <c r="AA496" s="19"/>
      <c r="AB496" s="19"/>
      <c r="AC496" s="19"/>
      <c r="AD496" s="19"/>
      <c r="AE496" s="19"/>
      <c r="AF496" s="19"/>
    </row>
    <row r="497" ht="15.75" customHeight="1">
      <c r="A497" s="63"/>
      <c r="B497" s="37"/>
      <c r="C497" s="37"/>
      <c r="D497" s="37"/>
      <c r="E497" s="37"/>
      <c r="F497" s="36"/>
      <c r="G497" s="36"/>
      <c r="H497" s="19"/>
      <c r="I497" s="19"/>
      <c r="J497" s="19"/>
      <c r="K497" s="19"/>
      <c r="L497" s="19"/>
      <c r="M497" s="19"/>
      <c r="N497" s="19"/>
      <c r="O497" s="19"/>
      <c r="P497" s="19"/>
      <c r="Q497" s="19"/>
      <c r="R497" s="19"/>
      <c r="S497" s="19"/>
      <c r="T497" s="19"/>
      <c r="U497" s="19"/>
      <c r="V497" s="19"/>
      <c r="W497" s="19"/>
      <c r="X497" s="19"/>
      <c r="Y497" s="19"/>
      <c r="Z497" s="19"/>
      <c r="AA497" s="19"/>
      <c r="AB497" s="19"/>
      <c r="AC497" s="19"/>
      <c r="AD497" s="19"/>
      <c r="AE497" s="19"/>
      <c r="AF497" s="19"/>
    </row>
    <row r="498" ht="15.75" customHeight="1">
      <c r="A498" s="75" t="s">
        <v>4606</v>
      </c>
      <c r="B498" s="76">
        <v>1.0</v>
      </c>
      <c r="C498" s="31" t="s">
        <v>4607</v>
      </c>
      <c r="D498" s="31" t="s">
        <v>4608</v>
      </c>
      <c r="E498" s="78" t="s">
        <v>4609</v>
      </c>
      <c r="F498" s="162"/>
      <c r="G498" s="29"/>
      <c r="H498" s="33"/>
      <c r="I498" s="33"/>
      <c r="J498" s="33"/>
      <c r="K498" s="33"/>
      <c r="L498" s="33"/>
      <c r="M498" s="33"/>
      <c r="N498" s="33"/>
      <c r="O498" s="33"/>
      <c r="P498" s="33"/>
      <c r="Q498" s="33"/>
      <c r="R498" s="33"/>
      <c r="S498" s="33"/>
      <c r="T498" s="33"/>
      <c r="U498" s="33"/>
      <c r="V498" s="33"/>
      <c r="W498" s="33"/>
      <c r="X498" s="33"/>
      <c r="Y498" s="33"/>
      <c r="Z498" s="33"/>
      <c r="AA498" s="33"/>
      <c r="AB498" s="33"/>
      <c r="AC498" s="33"/>
      <c r="AD498" s="33"/>
      <c r="AE498" s="33"/>
      <c r="AF498" s="33"/>
    </row>
    <row r="499" ht="15.75" customHeight="1">
      <c r="A499" s="75" t="s">
        <v>4606</v>
      </c>
      <c r="B499" s="76">
        <v>2.0</v>
      </c>
      <c r="C499" s="31" t="s">
        <v>4619</v>
      </c>
      <c r="D499" s="31" t="s">
        <v>4620</v>
      </c>
      <c r="E499" s="78" t="s">
        <v>4621</v>
      </c>
      <c r="F499" s="162"/>
      <c r="G499" s="29"/>
      <c r="H499" s="33"/>
      <c r="I499" s="33"/>
      <c r="J499" s="33"/>
      <c r="K499" s="33"/>
      <c r="L499" s="33"/>
      <c r="M499" s="33"/>
      <c r="N499" s="33"/>
      <c r="O499" s="33"/>
      <c r="P499" s="33"/>
      <c r="Q499" s="33"/>
      <c r="R499" s="33"/>
      <c r="S499" s="33"/>
      <c r="T499" s="33"/>
      <c r="U499" s="33"/>
      <c r="V499" s="33"/>
      <c r="W499" s="33"/>
      <c r="X499" s="33"/>
      <c r="Y499" s="33"/>
      <c r="Z499" s="33"/>
      <c r="AA499" s="33"/>
      <c r="AB499" s="33"/>
      <c r="AC499" s="33"/>
      <c r="AD499" s="33"/>
      <c r="AE499" s="33"/>
      <c r="AF499" s="33"/>
    </row>
    <row r="500" ht="15.75" customHeight="1">
      <c r="A500" s="75" t="s">
        <v>4606</v>
      </c>
      <c r="B500" s="76">
        <v>3.0</v>
      </c>
      <c r="C500" s="31" t="s">
        <v>4637</v>
      </c>
      <c r="D500" s="100" t="s">
        <v>4638</v>
      </c>
      <c r="E500" s="78" t="s">
        <v>4639</v>
      </c>
      <c r="F500" s="162"/>
      <c r="G500" s="29"/>
      <c r="H500" s="33"/>
      <c r="I500" s="33"/>
      <c r="J500" s="33"/>
      <c r="K500" s="33"/>
      <c r="L500" s="33"/>
      <c r="M500" s="33"/>
      <c r="N500" s="33"/>
      <c r="O500" s="33"/>
      <c r="P500" s="33"/>
      <c r="Q500" s="33"/>
      <c r="R500" s="33"/>
      <c r="S500" s="33"/>
      <c r="T500" s="33"/>
      <c r="U500" s="33"/>
      <c r="V500" s="33"/>
      <c r="W500" s="33"/>
      <c r="X500" s="33"/>
      <c r="Y500" s="33"/>
      <c r="Z500" s="33"/>
      <c r="AA500" s="33"/>
      <c r="AB500" s="33"/>
      <c r="AC500" s="33"/>
      <c r="AD500" s="33"/>
      <c r="AE500" s="33"/>
      <c r="AF500" s="33"/>
    </row>
    <row r="501" ht="15.75" customHeight="1">
      <c r="A501" s="75" t="s">
        <v>4606</v>
      </c>
      <c r="B501" s="76">
        <v>4.0</v>
      </c>
      <c r="C501" s="31" t="s">
        <v>4651</v>
      </c>
      <c r="D501" s="100" t="s">
        <v>4652</v>
      </c>
      <c r="E501" s="78" t="s">
        <v>4653</v>
      </c>
      <c r="F501" s="162"/>
      <c r="G501" s="29"/>
      <c r="H501" s="33"/>
      <c r="I501" s="33"/>
      <c r="J501" s="33"/>
      <c r="K501" s="33"/>
      <c r="L501" s="33"/>
      <c r="M501" s="33"/>
      <c r="N501" s="33"/>
      <c r="O501" s="33"/>
      <c r="P501" s="33"/>
      <c r="Q501" s="33"/>
      <c r="R501" s="33"/>
      <c r="S501" s="33"/>
      <c r="T501" s="33"/>
      <c r="U501" s="33"/>
      <c r="V501" s="33"/>
      <c r="W501" s="33"/>
      <c r="X501" s="33"/>
      <c r="Y501" s="33"/>
      <c r="Z501" s="33"/>
      <c r="AA501" s="33"/>
      <c r="AB501" s="33"/>
      <c r="AC501" s="33"/>
      <c r="AD501" s="33"/>
      <c r="AE501" s="33"/>
      <c r="AF501" s="33"/>
    </row>
    <row r="502" ht="15.75" customHeight="1">
      <c r="A502" s="75" t="s">
        <v>4606</v>
      </c>
      <c r="B502" s="76">
        <v>5.0</v>
      </c>
      <c r="C502" s="31" t="s">
        <v>4665</v>
      </c>
      <c r="D502" s="100" t="s">
        <v>4556</v>
      </c>
      <c r="E502" s="78" t="s">
        <v>4653</v>
      </c>
      <c r="F502" s="162"/>
      <c r="G502" s="29"/>
      <c r="H502" s="33"/>
      <c r="I502" s="33"/>
      <c r="J502" s="33"/>
      <c r="K502" s="33"/>
      <c r="L502" s="33"/>
      <c r="M502" s="33"/>
      <c r="N502" s="33"/>
      <c r="O502" s="33"/>
      <c r="P502" s="33"/>
      <c r="Q502" s="33"/>
      <c r="R502" s="33"/>
      <c r="S502" s="33"/>
      <c r="T502" s="33"/>
      <c r="U502" s="33"/>
      <c r="V502" s="33"/>
      <c r="W502" s="33"/>
      <c r="X502" s="33"/>
      <c r="Y502" s="33"/>
      <c r="Z502" s="33"/>
      <c r="AA502" s="33"/>
      <c r="AB502" s="33"/>
      <c r="AC502" s="33"/>
      <c r="AD502" s="33"/>
      <c r="AE502" s="33"/>
      <c r="AF502" s="33"/>
    </row>
    <row r="503" ht="15.75" customHeight="1">
      <c r="A503" s="63" t="s">
        <v>4606</v>
      </c>
      <c r="B503" s="94">
        <v>6.0</v>
      </c>
      <c r="C503" s="37" t="s">
        <v>4687</v>
      </c>
      <c r="D503" s="95" t="s">
        <v>4571</v>
      </c>
      <c r="E503" s="71" t="s">
        <v>4689</v>
      </c>
      <c r="F503" s="19"/>
      <c r="G503" s="36"/>
      <c r="H503" s="19"/>
      <c r="I503" s="19"/>
      <c r="J503" s="19"/>
      <c r="K503" s="19"/>
      <c r="L503" s="19"/>
      <c r="M503" s="19"/>
      <c r="N503" s="19"/>
      <c r="O503" s="19"/>
      <c r="P503" s="19"/>
      <c r="Q503" s="19"/>
      <c r="R503" s="19"/>
      <c r="S503" s="19"/>
      <c r="T503" s="19"/>
      <c r="U503" s="19"/>
      <c r="V503" s="19"/>
      <c r="W503" s="19"/>
      <c r="X503" s="19"/>
      <c r="Y503" s="19"/>
      <c r="Z503" s="19"/>
      <c r="AA503" s="19"/>
      <c r="AB503" s="19"/>
      <c r="AC503" s="19"/>
      <c r="AD503" s="19"/>
      <c r="AE503" s="19"/>
      <c r="AF503" s="19"/>
    </row>
    <row r="504" ht="15.75" customHeight="1">
      <c r="A504" s="63"/>
      <c r="B504" s="37"/>
      <c r="C504" s="37"/>
      <c r="D504" s="37"/>
      <c r="E504" s="37"/>
      <c r="F504" s="36"/>
      <c r="G504" s="36"/>
      <c r="H504" s="19"/>
      <c r="I504" s="19"/>
      <c r="J504" s="19"/>
      <c r="K504" s="19"/>
      <c r="L504" s="19"/>
      <c r="M504" s="19"/>
      <c r="N504" s="19"/>
      <c r="O504" s="19"/>
      <c r="P504" s="19"/>
      <c r="Q504" s="19"/>
      <c r="R504" s="19"/>
      <c r="S504" s="19"/>
      <c r="T504" s="19"/>
      <c r="U504" s="19"/>
      <c r="V504" s="19"/>
      <c r="W504" s="19"/>
      <c r="X504" s="19"/>
      <c r="Y504" s="19"/>
      <c r="Z504" s="19"/>
      <c r="AA504" s="19"/>
      <c r="AB504" s="19"/>
      <c r="AC504" s="19"/>
      <c r="AD504" s="19"/>
      <c r="AE504" s="19"/>
      <c r="AF504" s="19"/>
    </row>
    <row r="505" ht="15.75" customHeight="1">
      <c r="A505" s="75" t="s">
        <v>4716</v>
      </c>
      <c r="B505" s="76">
        <v>1.0</v>
      </c>
      <c r="C505" s="31" t="s">
        <v>4717</v>
      </c>
      <c r="D505" s="31" t="s">
        <v>4718</v>
      </c>
      <c r="E505" s="78" t="s">
        <v>4719</v>
      </c>
      <c r="F505" s="162"/>
      <c r="G505" s="162"/>
      <c r="H505" s="33"/>
      <c r="I505" s="33"/>
      <c r="J505" s="33"/>
      <c r="K505" s="33"/>
      <c r="L505" s="33"/>
      <c r="M505" s="33"/>
      <c r="N505" s="33"/>
      <c r="O505" s="33"/>
      <c r="P505" s="33"/>
      <c r="Q505" s="33"/>
      <c r="R505" s="33"/>
      <c r="S505" s="33"/>
      <c r="T505" s="33"/>
      <c r="U505" s="33"/>
      <c r="V505" s="33"/>
      <c r="W505" s="33"/>
      <c r="X505" s="33"/>
      <c r="Y505" s="33"/>
      <c r="Z505" s="33"/>
      <c r="AA505" s="33"/>
      <c r="AB505" s="33"/>
      <c r="AC505" s="33"/>
      <c r="AD505" s="33"/>
      <c r="AE505" s="33"/>
      <c r="AF505" s="33"/>
    </row>
    <row r="506" ht="15.75" customHeight="1">
      <c r="A506" s="75" t="s">
        <v>4716</v>
      </c>
      <c r="B506" s="76">
        <v>2.0</v>
      </c>
      <c r="C506" s="31" t="s">
        <v>4736</v>
      </c>
      <c r="D506" s="31" t="s">
        <v>4737</v>
      </c>
      <c r="E506" s="78" t="s">
        <v>4739</v>
      </c>
      <c r="F506" s="162"/>
      <c r="G506" s="162"/>
      <c r="H506" s="33"/>
      <c r="I506" s="33"/>
      <c r="J506" s="33"/>
      <c r="K506" s="33"/>
      <c r="L506" s="33"/>
      <c r="M506" s="33"/>
      <c r="N506" s="33"/>
      <c r="O506" s="33"/>
      <c r="P506" s="33"/>
      <c r="Q506" s="33"/>
      <c r="R506" s="33"/>
      <c r="S506" s="33"/>
      <c r="T506" s="33"/>
      <c r="U506" s="33"/>
      <c r="V506" s="33"/>
      <c r="W506" s="33"/>
      <c r="X506" s="33"/>
      <c r="Y506" s="33"/>
      <c r="Z506" s="33"/>
      <c r="AA506" s="33"/>
      <c r="AB506" s="33"/>
      <c r="AC506" s="33"/>
      <c r="AD506" s="33"/>
      <c r="AE506" s="33"/>
      <c r="AF506" s="33"/>
    </row>
    <row r="507" ht="15.75" customHeight="1">
      <c r="A507" s="75" t="s">
        <v>4716</v>
      </c>
      <c r="B507" s="76">
        <v>3.0</v>
      </c>
      <c r="C507" s="31" t="s">
        <v>4752</v>
      </c>
      <c r="D507" s="31" t="s">
        <v>4754</v>
      </c>
      <c r="E507" s="78" t="s">
        <v>4755</v>
      </c>
      <c r="F507" s="162"/>
      <c r="G507" s="162"/>
      <c r="H507" s="33"/>
      <c r="I507" s="33"/>
      <c r="J507" s="33"/>
      <c r="K507" s="33"/>
      <c r="L507" s="33"/>
      <c r="M507" s="33"/>
      <c r="N507" s="33"/>
      <c r="O507" s="33"/>
      <c r="P507" s="33"/>
      <c r="Q507" s="33"/>
      <c r="R507" s="33"/>
      <c r="S507" s="33"/>
      <c r="T507" s="33"/>
      <c r="U507" s="33"/>
      <c r="V507" s="33"/>
      <c r="W507" s="33"/>
      <c r="X507" s="33"/>
      <c r="Y507" s="33"/>
      <c r="Z507" s="33"/>
      <c r="AA507" s="33"/>
      <c r="AB507" s="33"/>
      <c r="AC507" s="33"/>
      <c r="AD507" s="33"/>
      <c r="AE507" s="33"/>
      <c r="AF507" s="33"/>
    </row>
    <row r="508" ht="15.75" customHeight="1">
      <c r="A508" s="75" t="s">
        <v>4716</v>
      </c>
      <c r="B508" s="76">
        <v>4.0</v>
      </c>
      <c r="C508" s="31" t="s">
        <v>4771</v>
      </c>
      <c r="D508" s="31" t="s">
        <v>4772</v>
      </c>
      <c r="E508" s="78" t="s">
        <v>4773</v>
      </c>
      <c r="F508" s="162"/>
      <c r="G508" s="162"/>
      <c r="H508" s="33"/>
      <c r="I508" s="33"/>
      <c r="J508" s="33"/>
      <c r="K508" s="33"/>
      <c r="L508" s="33"/>
      <c r="M508" s="33"/>
      <c r="N508" s="33"/>
      <c r="O508" s="33"/>
      <c r="P508" s="33"/>
      <c r="Q508" s="33"/>
      <c r="R508" s="33"/>
      <c r="S508" s="33"/>
      <c r="T508" s="33"/>
      <c r="U508" s="33"/>
      <c r="V508" s="33"/>
      <c r="W508" s="33"/>
      <c r="X508" s="33"/>
      <c r="Y508" s="33"/>
      <c r="Z508" s="33"/>
      <c r="AA508" s="33"/>
      <c r="AB508" s="33"/>
      <c r="AC508" s="33"/>
      <c r="AD508" s="33"/>
      <c r="AE508" s="33"/>
      <c r="AF508" s="33"/>
    </row>
    <row r="509" ht="15.75" customHeight="1">
      <c r="A509" s="63" t="s">
        <v>4716</v>
      </c>
      <c r="B509" s="94">
        <v>5.0</v>
      </c>
      <c r="C509" s="37" t="s">
        <v>4784</v>
      </c>
      <c r="D509" s="37" t="s">
        <v>4785</v>
      </c>
      <c r="E509" s="71" t="s">
        <v>4786</v>
      </c>
      <c r="F509" s="19"/>
      <c r="G509" s="19"/>
      <c r="H509" s="19"/>
      <c r="I509" s="19"/>
      <c r="J509" s="19"/>
      <c r="K509" s="19"/>
      <c r="L509" s="19"/>
      <c r="M509" s="19"/>
      <c r="N509" s="19"/>
      <c r="O509" s="19"/>
      <c r="P509" s="19"/>
      <c r="Q509" s="19"/>
      <c r="R509" s="19"/>
      <c r="S509" s="19"/>
      <c r="T509" s="19"/>
      <c r="U509" s="19"/>
      <c r="V509" s="19"/>
      <c r="W509" s="19"/>
      <c r="X509" s="19"/>
      <c r="Y509" s="19"/>
      <c r="Z509" s="19"/>
      <c r="AA509" s="19"/>
      <c r="AB509" s="19"/>
      <c r="AC509" s="19"/>
      <c r="AD509" s="19"/>
      <c r="AE509" s="19"/>
      <c r="AF509" s="19"/>
    </row>
    <row r="510" ht="15.75" customHeight="1">
      <c r="A510" s="63"/>
      <c r="B510" s="37"/>
      <c r="C510" s="37"/>
      <c r="D510" s="37"/>
      <c r="E510" s="37"/>
      <c r="F510" s="36"/>
      <c r="G510" s="36"/>
      <c r="H510" s="19"/>
      <c r="I510" s="19"/>
      <c r="J510" s="19"/>
      <c r="K510" s="19"/>
      <c r="L510" s="19"/>
      <c r="M510" s="19"/>
      <c r="N510" s="19"/>
      <c r="O510" s="19"/>
      <c r="P510" s="19"/>
      <c r="Q510" s="19"/>
      <c r="R510" s="19"/>
      <c r="S510" s="19"/>
      <c r="T510" s="19"/>
      <c r="U510" s="19"/>
      <c r="V510" s="19"/>
      <c r="W510" s="19"/>
      <c r="X510" s="19"/>
      <c r="Y510" s="19"/>
      <c r="Z510" s="19"/>
      <c r="AA510" s="19"/>
      <c r="AB510" s="19"/>
      <c r="AC510" s="19"/>
      <c r="AD510" s="19"/>
      <c r="AE510" s="19"/>
      <c r="AF510" s="19"/>
    </row>
    <row r="511" ht="15.75" customHeight="1">
      <c r="A511" s="75" t="s">
        <v>4801</v>
      </c>
      <c r="B511" s="76">
        <v>1.0</v>
      </c>
      <c r="C511" s="31" t="s">
        <v>4803</v>
      </c>
      <c r="D511" s="31" t="s">
        <v>4804</v>
      </c>
      <c r="E511" s="78" t="s">
        <v>4805</v>
      </c>
      <c r="F511" s="162"/>
      <c r="G511" s="162"/>
      <c r="H511" s="33"/>
      <c r="I511" s="33"/>
      <c r="J511" s="33"/>
      <c r="K511" s="33"/>
      <c r="L511" s="33"/>
      <c r="M511" s="33"/>
      <c r="N511" s="33"/>
      <c r="O511" s="33"/>
      <c r="P511" s="33"/>
      <c r="Q511" s="33"/>
      <c r="R511" s="33"/>
      <c r="S511" s="33"/>
      <c r="T511" s="33"/>
      <c r="U511" s="33"/>
      <c r="V511" s="33"/>
      <c r="W511" s="33"/>
      <c r="X511" s="33"/>
      <c r="Y511" s="33"/>
      <c r="Z511" s="33"/>
      <c r="AA511" s="33"/>
      <c r="AB511" s="33"/>
      <c r="AC511" s="33"/>
      <c r="AD511" s="33"/>
      <c r="AE511" s="33"/>
      <c r="AF511" s="33"/>
    </row>
    <row r="512" ht="15.75" customHeight="1">
      <c r="A512" s="75" t="s">
        <v>4801</v>
      </c>
      <c r="B512" s="76">
        <v>2.0</v>
      </c>
      <c r="C512" s="31" t="s">
        <v>4815</v>
      </c>
      <c r="D512" s="31" t="s">
        <v>4817</v>
      </c>
      <c r="E512" s="78" t="s">
        <v>4818</v>
      </c>
      <c r="F512" s="162"/>
      <c r="G512" s="162"/>
      <c r="H512" s="33"/>
      <c r="I512" s="33"/>
      <c r="J512" s="33"/>
      <c r="K512" s="33"/>
      <c r="L512" s="33"/>
      <c r="M512" s="33"/>
      <c r="N512" s="33"/>
      <c r="O512" s="33"/>
      <c r="P512" s="33"/>
      <c r="Q512" s="33"/>
      <c r="R512" s="33"/>
      <c r="S512" s="33"/>
      <c r="T512" s="33"/>
      <c r="U512" s="33"/>
      <c r="V512" s="33"/>
      <c r="W512" s="33"/>
      <c r="X512" s="33"/>
      <c r="Y512" s="33"/>
      <c r="Z512" s="33"/>
      <c r="AA512" s="33"/>
      <c r="AB512" s="33"/>
      <c r="AC512" s="33"/>
      <c r="AD512" s="33"/>
      <c r="AE512" s="33"/>
      <c r="AF512" s="33"/>
    </row>
    <row r="513" ht="15.75" customHeight="1">
      <c r="A513" s="75" t="s">
        <v>4801</v>
      </c>
      <c r="B513" s="76">
        <v>3.0</v>
      </c>
      <c r="C513" s="31" t="s">
        <v>4829</v>
      </c>
      <c r="D513" s="31" t="s">
        <v>4831</v>
      </c>
      <c r="E513" s="78" t="s">
        <v>4832</v>
      </c>
      <c r="F513" s="162"/>
      <c r="G513" s="162"/>
      <c r="H513" s="33"/>
      <c r="I513" s="33"/>
      <c r="J513" s="33"/>
      <c r="K513" s="33"/>
      <c r="L513" s="33"/>
      <c r="M513" s="33"/>
      <c r="N513" s="33"/>
      <c r="O513" s="33"/>
      <c r="P513" s="33"/>
      <c r="Q513" s="33"/>
      <c r="R513" s="33"/>
      <c r="S513" s="33"/>
      <c r="T513" s="33"/>
      <c r="U513" s="33"/>
      <c r="V513" s="33"/>
      <c r="W513" s="33"/>
      <c r="X513" s="33"/>
      <c r="Y513" s="33"/>
      <c r="Z513" s="33"/>
      <c r="AA513" s="33"/>
      <c r="AB513" s="33"/>
      <c r="AC513" s="33"/>
      <c r="AD513" s="33"/>
      <c r="AE513" s="33"/>
      <c r="AF513" s="33"/>
    </row>
    <row r="514" ht="15.75" customHeight="1">
      <c r="A514" s="75" t="s">
        <v>4801</v>
      </c>
      <c r="B514" s="76">
        <v>4.0</v>
      </c>
      <c r="C514" s="31" t="s">
        <v>4843</v>
      </c>
      <c r="D514" s="31" t="s">
        <v>4845</v>
      </c>
      <c r="E514" s="78" t="s">
        <v>4846</v>
      </c>
      <c r="F514" s="162"/>
      <c r="G514" s="162"/>
      <c r="H514" s="33"/>
      <c r="I514" s="33"/>
      <c r="J514" s="33"/>
      <c r="K514" s="33"/>
      <c r="L514" s="33"/>
      <c r="M514" s="33"/>
      <c r="N514" s="33"/>
      <c r="O514" s="33"/>
      <c r="P514" s="33"/>
      <c r="Q514" s="33"/>
      <c r="R514" s="33"/>
      <c r="S514" s="33"/>
      <c r="T514" s="33"/>
      <c r="U514" s="33"/>
      <c r="V514" s="33"/>
      <c r="W514" s="33"/>
      <c r="X514" s="33"/>
      <c r="Y514" s="33"/>
      <c r="Z514" s="33"/>
      <c r="AA514" s="33"/>
      <c r="AB514" s="33"/>
      <c r="AC514" s="33"/>
      <c r="AD514" s="33"/>
      <c r="AE514" s="33"/>
      <c r="AF514" s="33"/>
    </row>
    <row r="515" ht="15.75" customHeight="1">
      <c r="A515" s="63" t="s">
        <v>4801</v>
      </c>
      <c r="B515" s="94">
        <v>5.0</v>
      </c>
      <c r="C515" s="37" t="s">
        <v>4851</v>
      </c>
      <c r="D515" s="37" t="s">
        <v>4853</v>
      </c>
      <c r="E515" s="71" t="s">
        <v>4855</v>
      </c>
      <c r="F515" s="19"/>
      <c r="G515" s="19"/>
      <c r="H515" s="19"/>
      <c r="I515" s="19"/>
      <c r="J515" s="19"/>
      <c r="K515" s="19"/>
      <c r="L515" s="19"/>
      <c r="M515" s="19"/>
      <c r="N515" s="19"/>
      <c r="O515" s="19"/>
      <c r="P515" s="19"/>
      <c r="Q515" s="19"/>
      <c r="R515" s="19"/>
      <c r="S515" s="19"/>
      <c r="T515" s="19"/>
      <c r="U515" s="19"/>
      <c r="V515" s="19"/>
      <c r="W515" s="19"/>
      <c r="X515" s="19"/>
      <c r="Y515" s="19"/>
      <c r="Z515" s="19"/>
      <c r="AA515" s="19"/>
      <c r="AB515" s="19"/>
      <c r="AC515" s="19"/>
      <c r="AD515" s="19"/>
      <c r="AE515" s="19"/>
      <c r="AF515" s="19"/>
    </row>
    <row r="516" ht="15.75" customHeight="1">
      <c r="A516" s="63"/>
      <c r="B516" s="37"/>
      <c r="C516" s="37"/>
      <c r="D516" s="37"/>
      <c r="E516" s="37"/>
      <c r="F516" s="36"/>
      <c r="G516" s="36"/>
      <c r="H516" s="19"/>
      <c r="I516" s="19"/>
      <c r="J516" s="19"/>
      <c r="K516" s="19"/>
      <c r="L516" s="19"/>
      <c r="M516" s="19"/>
      <c r="N516" s="19"/>
      <c r="O516" s="19"/>
      <c r="P516" s="19"/>
      <c r="Q516" s="19"/>
      <c r="R516" s="19"/>
      <c r="S516" s="19"/>
      <c r="T516" s="19"/>
      <c r="U516" s="19"/>
      <c r="V516" s="19"/>
      <c r="W516" s="19"/>
      <c r="X516" s="19"/>
      <c r="Y516" s="19"/>
      <c r="Z516" s="19"/>
      <c r="AA516" s="19"/>
      <c r="AB516" s="19"/>
      <c r="AC516" s="19"/>
      <c r="AD516" s="19"/>
      <c r="AE516" s="19"/>
      <c r="AF516" s="19"/>
    </row>
    <row r="517" ht="15.75" customHeight="1">
      <c r="A517" s="75" t="s">
        <v>4888</v>
      </c>
      <c r="B517" s="76">
        <v>1.0</v>
      </c>
      <c r="C517" s="31" t="s">
        <v>4889</v>
      </c>
      <c r="D517" s="31" t="s">
        <v>4892</v>
      </c>
      <c r="E517" s="78" t="s">
        <v>4894</v>
      </c>
      <c r="F517" s="162"/>
      <c r="G517" s="162"/>
      <c r="H517" s="33"/>
      <c r="I517" s="33"/>
      <c r="J517" s="33"/>
      <c r="K517" s="33"/>
      <c r="L517" s="33"/>
      <c r="M517" s="33"/>
      <c r="N517" s="33"/>
      <c r="O517" s="33"/>
      <c r="P517" s="33"/>
      <c r="Q517" s="33"/>
      <c r="R517" s="33"/>
      <c r="S517" s="33"/>
      <c r="T517" s="33"/>
      <c r="U517" s="33"/>
      <c r="V517" s="33"/>
      <c r="W517" s="33"/>
      <c r="X517" s="33"/>
      <c r="Y517" s="33"/>
      <c r="Z517" s="33"/>
      <c r="AA517" s="33"/>
      <c r="AB517" s="33"/>
      <c r="AC517" s="33"/>
      <c r="AD517" s="33"/>
      <c r="AE517" s="33"/>
      <c r="AF517" s="33"/>
    </row>
    <row r="518" ht="15.75" customHeight="1">
      <c r="A518" s="75" t="s">
        <v>4888</v>
      </c>
      <c r="B518" s="76">
        <v>2.0</v>
      </c>
      <c r="C518" s="31" t="s">
        <v>4902</v>
      </c>
      <c r="D518" s="31" t="s">
        <v>4905</v>
      </c>
      <c r="E518" s="78" t="s">
        <v>4907</v>
      </c>
      <c r="F518" s="162"/>
      <c r="G518" s="162"/>
      <c r="H518" s="33"/>
      <c r="I518" s="33"/>
      <c r="J518" s="33"/>
      <c r="K518" s="33"/>
      <c r="L518" s="33"/>
      <c r="M518" s="33"/>
      <c r="N518" s="33"/>
      <c r="O518" s="33"/>
      <c r="P518" s="33"/>
      <c r="Q518" s="33"/>
      <c r="R518" s="33"/>
      <c r="S518" s="33"/>
      <c r="T518" s="33"/>
      <c r="U518" s="33"/>
      <c r="V518" s="33"/>
      <c r="W518" s="33"/>
      <c r="X518" s="33"/>
      <c r="Y518" s="33"/>
      <c r="Z518" s="33"/>
      <c r="AA518" s="33"/>
      <c r="AB518" s="33"/>
      <c r="AC518" s="33"/>
      <c r="AD518" s="33"/>
      <c r="AE518" s="33"/>
      <c r="AF518" s="33"/>
    </row>
    <row r="519" ht="15.75" customHeight="1">
      <c r="A519" s="75" t="s">
        <v>4888</v>
      </c>
      <c r="B519" s="76">
        <v>3.0</v>
      </c>
      <c r="C519" s="31" t="s">
        <v>4752</v>
      </c>
      <c r="D519" s="31" t="s">
        <v>4914</v>
      </c>
      <c r="E519" s="78" t="s">
        <v>4755</v>
      </c>
      <c r="F519" s="162"/>
      <c r="G519" s="162"/>
      <c r="H519" s="33"/>
      <c r="I519" s="33"/>
      <c r="J519" s="33"/>
      <c r="K519" s="33"/>
      <c r="L519" s="33"/>
      <c r="M519" s="33"/>
      <c r="N519" s="33"/>
      <c r="O519" s="33"/>
      <c r="P519" s="33"/>
      <c r="Q519" s="33"/>
      <c r="R519" s="33"/>
      <c r="S519" s="33"/>
      <c r="T519" s="33"/>
      <c r="U519" s="33"/>
      <c r="V519" s="33"/>
      <c r="W519" s="33"/>
      <c r="X519" s="33"/>
      <c r="Y519" s="33"/>
      <c r="Z519" s="33"/>
      <c r="AA519" s="33"/>
      <c r="AB519" s="33"/>
      <c r="AC519" s="33"/>
      <c r="AD519" s="33"/>
      <c r="AE519" s="33"/>
      <c r="AF519" s="33"/>
    </row>
    <row r="520" ht="15.75" customHeight="1">
      <c r="A520" s="75" t="s">
        <v>4888</v>
      </c>
      <c r="B520" s="76">
        <v>4.0</v>
      </c>
      <c r="C520" s="31" t="s">
        <v>4924</v>
      </c>
      <c r="D520" s="31" t="s">
        <v>4925</v>
      </c>
      <c r="E520" s="78" t="s">
        <v>4927</v>
      </c>
      <c r="F520" s="162"/>
      <c r="G520" s="162"/>
      <c r="H520" s="33"/>
      <c r="I520" s="33"/>
      <c r="J520" s="33"/>
      <c r="K520" s="33"/>
      <c r="L520" s="33"/>
      <c r="M520" s="33"/>
      <c r="N520" s="33"/>
      <c r="O520" s="33"/>
      <c r="P520" s="33"/>
      <c r="Q520" s="33"/>
      <c r="R520" s="33"/>
      <c r="S520" s="33"/>
      <c r="T520" s="33"/>
      <c r="U520" s="33"/>
      <c r="V520" s="33"/>
      <c r="W520" s="33"/>
      <c r="X520" s="33"/>
      <c r="Y520" s="33"/>
      <c r="Z520" s="33"/>
      <c r="AA520" s="33"/>
      <c r="AB520" s="33"/>
      <c r="AC520" s="33"/>
      <c r="AD520" s="33"/>
      <c r="AE520" s="33"/>
      <c r="AF520" s="33"/>
    </row>
    <row r="521" ht="15.75" customHeight="1">
      <c r="A521" s="63" t="s">
        <v>4888</v>
      </c>
      <c r="B521" s="94">
        <v>5.0</v>
      </c>
      <c r="C521" s="37" t="s">
        <v>4939</v>
      </c>
      <c r="D521" s="37" t="s">
        <v>4942</v>
      </c>
      <c r="E521" s="71" t="s">
        <v>4944</v>
      </c>
      <c r="F521" s="19"/>
      <c r="G521" s="19"/>
      <c r="H521" s="19"/>
      <c r="I521" s="19"/>
      <c r="J521" s="19"/>
      <c r="K521" s="19"/>
      <c r="L521" s="19"/>
      <c r="M521" s="19"/>
      <c r="N521" s="19"/>
      <c r="O521" s="19"/>
      <c r="P521" s="19"/>
      <c r="Q521" s="19"/>
      <c r="R521" s="19"/>
      <c r="S521" s="19"/>
      <c r="T521" s="19"/>
      <c r="U521" s="19"/>
      <c r="V521" s="19"/>
      <c r="W521" s="19"/>
      <c r="X521" s="19"/>
      <c r="Y521" s="19"/>
      <c r="Z521" s="19"/>
      <c r="AA521" s="19"/>
      <c r="AB521" s="19"/>
      <c r="AC521" s="19"/>
      <c r="AD521" s="19"/>
      <c r="AE521" s="19"/>
      <c r="AF521" s="19"/>
    </row>
    <row r="522" ht="15.75" customHeight="1">
      <c r="A522" s="63"/>
      <c r="B522" s="37"/>
      <c r="C522" s="37"/>
      <c r="D522" s="37"/>
      <c r="E522" s="37"/>
      <c r="F522" s="36"/>
      <c r="G522" s="36"/>
      <c r="H522" s="19"/>
      <c r="I522" s="19"/>
      <c r="J522" s="19"/>
      <c r="K522" s="19"/>
      <c r="L522" s="19"/>
      <c r="M522" s="19"/>
      <c r="N522" s="19"/>
      <c r="O522" s="19"/>
      <c r="P522" s="19"/>
      <c r="Q522" s="19"/>
      <c r="R522" s="19"/>
      <c r="S522" s="19"/>
      <c r="T522" s="19"/>
      <c r="U522" s="19"/>
      <c r="V522" s="19"/>
      <c r="W522" s="19"/>
      <c r="X522" s="19"/>
      <c r="Y522" s="19"/>
      <c r="Z522" s="19"/>
      <c r="AA522" s="19"/>
      <c r="AB522" s="19"/>
      <c r="AC522" s="19"/>
      <c r="AD522" s="19"/>
      <c r="AE522" s="19"/>
      <c r="AF522" s="19"/>
    </row>
    <row r="523" ht="15.75" customHeight="1">
      <c r="A523" s="75" t="s">
        <v>4972</v>
      </c>
      <c r="B523" s="76">
        <v>1.0</v>
      </c>
      <c r="C523" s="31" t="s">
        <v>4973</v>
      </c>
      <c r="D523" s="31" t="s">
        <v>4974</v>
      </c>
      <c r="E523" s="78" t="s">
        <v>4975</v>
      </c>
      <c r="F523" s="162"/>
      <c r="G523" s="162"/>
      <c r="H523" s="33"/>
      <c r="I523" s="33"/>
      <c r="J523" s="33"/>
      <c r="K523" s="33"/>
      <c r="L523" s="33"/>
      <c r="M523" s="33"/>
      <c r="N523" s="33"/>
      <c r="O523" s="33"/>
      <c r="P523" s="33"/>
      <c r="Q523" s="33"/>
      <c r="R523" s="33"/>
      <c r="S523" s="33"/>
      <c r="T523" s="33"/>
      <c r="U523" s="33"/>
      <c r="V523" s="33"/>
      <c r="W523" s="33"/>
      <c r="X523" s="33"/>
      <c r="Y523" s="33"/>
      <c r="Z523" s="33"/>
      <c r="AA523" s="33"/>
      <c r="AB523" s="33"/>
      <c r="AC523" s="33"/>
      <c r="AD523" s="33"/>
      <c r="AE523" s="33"/>
      <c r="AF523" s="33"/>
    </row>
    <row r="524" ht="15.75" customHeight="1">
      <c r="A524" s="75" t="s">
        <v>4972</v>
      </c>
      <c r="B524" s="76">
        <v>2.0</v>
      </c>
      <c r="C524" s="31" t="s">
        <v>4981</v>
      </c>
      <c r="D524" s="31" t="s">
        <v>4982</v>
      </c>
      <c r="E524" s="78" t="s">
        <v>4983</v>
      </c>
      <c r="F524" s="162"/>
      <c r="G524" s="162"/>
      <c r="H524" s="33"/>
      <c r="I524" s="33"/>
      <c r="J524" s="33"/>
      <c r="K524" s="33"/>
      <c r="L524" s="33"/>
      <c r="M524" s="33"/>
      <c r="N524" s="33"/>
      <c r="O524" s="33"/>
      <c r="P524" s="33"/>
      <c r="Q524" s="33"/>
      <c r="R524" s="33"/>
      <c r="S524" s="33"/>
      <c r="T524" s="33"/>
      <c r="U524" s="33"/>
      <c r="V524" s="33"/>
      <c r="W524" s="33"/>
      <c r="X524" s="33"/>
      <c r="Y524" s="33"/>
      <c r="Z524" s="33"/>
      <c r="AA524" s="33"/>
      <c r="AB524" s="33"/>
      <c r="AC524" s="33"/>
      <c r="AD524" s="33"/>
      <c r="AE524" s="33"/>
      <c r="AF524" s="33"/>
    </row>
    <row r="525" ht="15.75" customHeight="1">
      <c r="A525" s="75" t="s">
        <v>4972</v>
      </c>
      <c r="B525" s="76">
        <v>3.0</v>
      </c>
      <c r="C525" s="31" t="s">
        <v>4985</v>
      </c>
      <c r="D525" s="31" t="s">
        <v>4987</v>
      </c>
      <c r="E525" s="78" t="s">
        <v>4832</v>
      </c>
      <c r="F525" s="162"/>
      <c r="G525" s="162"/>
      <c r="H525" s="33"/>
      <c r="I525" s="33"/>
      <c r="J525" s="33"/>
      <c r="K525" s="33"/>
      <c r="L525" s="33"/>
      <c r="M525" s="33"/>
      <c r="N525" s="33"/>
      <c r="O525" s="33"/>
      <c r="P525" s="33"/>
      <c r="Q525" s="33"/>
      <c r="R525" s="33"/>
      <c r="S525" s="33"/>
      <c r="T525" s="33"/>
      <c r="U525" s="33"/>
      <c r="V525" s="33"/>
      <c r="W525" s="33"/>
      <c r="X525" s="33"/>
      <c r="Y525" s="33"/>
      <c r="Z525" s="33"/>
      <c r="AA525" s="33"/>
      <c r="AB525" s="33"/>
      <c r="AC525" s="33"/>
      <c r="AD525" s="33"/>
      <c r="AE525" s="33"/>
      <c r="AF525" s="33"/>
    </row>
    <row r="526" ht="15.75" customHeight="1">
      <c r="A526" s="75" t="s">
        <v>4972</v>
      </c>
      <c r="B526" s="76">
        <v>4.0</v>
      </c>
      <c r="C526" s="31" t="s">
        <v>4999</v>
      </c>
      <c r="D526" s="31" t="s">
        <v>5001</v>
      </c>
      <c r="E526" s="78" t="s">
        <v>5004</v>
      </c>
      <c r="F526" s="162"/>
      <c r="G526" s="162"/>
      <c r="H526" s="33"/>
      <c r="I526" s="33"/>
      <c r="J526" s="33"/>
      <c r="K526" s="33"/>
      <c r="L526" s="33"/>
      <c r="M526" s="33"/>
      <c r="N526" s="33"/>
      <c r="O526" s="33"/>
      <c r="P526" s="33"/>
      <c r="Q526" s="33"/>
      <c r="R526" s="33"/>
      <c r="S526" s="33"/>
      <c r="T526" s="33"/>
      <c r="U526" s="33"/>
      <c r="V526" s="33"/>
      <c r="W526" s="33"/>
      <c r="X526" s="33"/>
      <c r="Y526" s="33"/>
      <c r="Z526" s="33"/>
      <c r="AA526" s="33"/>
      <c r="AB526" s="33"/>
      <c r="AC526" s="33"/>
      <c r="AD526" s="33"/>
      <c r="AE526" s="33"/>
      <c r="AF526" s="33"/>
    </row>
    <row r="527" ht="15.75" customHeight="1">
      <c r="A527" s="63" t="s">
        <v>4972</v>
      </c>
      <c r="B527" s="94">
        <v>5.0</v>
      </c>
      <c r="C527" s="37" t="s">
        <v>5014</v>
      </c>
      <c r="D527" s="37" t="s">
        <v>5015</v>
      </c>
      <c r="E527" s="71" t="s">
        <v>5016</v>
      </c>
      <c r="F527" s="19"/>
      <c r="G527" s="19"/>
      <c r="H527" s="19"/>
      <c r="I527" s="19"/>
      <c r="J527" s="19"/>
      <c r="K527" s="19"/>
      <c r="L527" s="19"/>
      <c r="M527" s="19"/>
      <c r="N527" s="19"/>
      <c r="O527" s="19"/>
      <c r="P527" s="19"/>
      <c r="Q527" s="19"/>
      <c r="R527" s="19"/>
      <c r="S527" s="19"/>
      <c r="T527" s="19"/>
      <c r="U527" s="19"/>
      <c r="V527" s="19"/>
      <c r="W527" s="19"/>
      <c r="X527" s="19"/>
      <c r="Y527" s="19"/>
      <c r="Z527" s="19"/>
      <c r="AA527" s="19"/>
      <c r="AB527" s="19"/>
      <c r="AC527" s="19"/>
      <c r="AD527" s="19"/>
      <c r="AE527" s="19"/>
      <c r="AF527" s="19"/>
    </row>
    <row r="528" ht="15.75" customHeight="1">
      <c r="A528" s="63"/>
      <c r="B528" s="37"/>
      <c r="C528" s="37"/>
      <c r="D528" s="37"/>
      <c r="E528" s="37"/>
      <c r="F528" s="36"/>
      <c r="G528" s="36"/>
      <c r="H528" s="19"/>
      <c r="I528" s="19"/>
      <c r="J528" s="19"/>
      <c r="K528" s="19"/>
      <c r="L528" s="19"/>
      <c r="M528" s="19"/>
      <c r="N528" s="19"/>
      <c r="O528" s="19"/>
      <c r="P528" s="19"/>
      <c r="Q528" s="19"/>
      <c r="R528" s="19"/>
      <c r="S528" s="19"/>
      <c r="T528" s="19"/>
      <c r="U528" s="19"/>
      <c r="V528" s="19"/>
      <c r="W528" s="19"/>
      <c r="X528" s="19"/>
      <c r="Y528" s="19"/>
      <c r="Z528" s="19"/>
      <c r="AA528" s="19"/>
      <c r="AB528" s="19"/>
      <c r="AC528" s="19"/>
      <c r="AD528" s="19"/>
      <c r="AE528" s="19"/>
      <c r="AF528" s="19"/>
    </row>
    <row r="529" ht="15.75" customHeight="1">
      <c r="A529" s="75" t="s">
        <v>5042</v>
      </c>
      <c r="B529" s="76">
        <v>1.0</v>
      </c>
      <c r="C529" s="31" t="s">
        <v>5043</v>
      </c>
      <c r="D529" s="31" t="s">
        <v>5044</v>
      </c>
      <c r="E529" s="31" t="s">
        <v>5046</v>
      </c>
      <c r="F529" s="29"/>
      <c r="G529" s="29"/>
      <c r="H529" s="33"/>
      <c r="I529" s="33"/>
      <c r="J529" s="33"/>
      <c r="K529" s="33"/>
      <c r="L529" s="33"/>
      <c r="M529" s="33"/>
      <c r="N529" s="33"/>
      <c r="O529" s="33"/>
      <c r="P529" s="33"/>
      <c r="Q529" s="33"/>
      <c r="R529" s="33"/>
      <c r="S529" s="33"/>
      <c r="T529" s="33"/>
      <c r="U529" s="33"/>
      <c r="V529" s="33"/>
      <c r="W529" s="33"/>
      <c r="X529" s="33"/>
      <c r="Y529" s="33"/>
      <c r="Z529" s="33"/>
      <c r="AA529" s="33"/>
      <c r="AB529" s="33"/>
      <c r="AC529" s="33"/>
      <c r="AD529" s="33"/>
      <c r="AE529" s="33"/>
      <c r="AF529" s="33"/>
    </row>
    <row r="530" ht="15.75" customHeight="1">
      <c r="A530" s="75" t="s">
        <v>5042</v>
      </c>
      <c r="B530" s="76">
        <v>2.0</v>
      </c>
      <c r="C530" s="31" t="s">
        <v>5062</v>
      </c>
      <c r="D530" s="31" t="s">
        <v>5062</v>
      </c>
      <c r="E530" s="78" t="s">
        <v>5063</v>
      </c>
      <c r="F530" s="29"/>
      <c r="G530" s="29"/>
      <c r="H530" s="33"/>
      <c r="I530" s="33"/>
      <c r="J530" s="33"/>
      <c r="K530" s="33"/>
      <c r="L530" s="33"/>
      <c r="M530" s="33"/>
      <c r="N530" s="33"/>
      <c r="O530" s="33"/>
      <c r="P530" s="33"/>
      <c r="Q530" s="33"/>
      <c r="R530" s="33"/>
      <c r="S530" s="33"/>
      <c r="T530" s="33"/>
      <c r="U530" s="33"/>
      <c r="V530" s="33"/>
      <c r="W530" s="33"/>
      <c r="X530" s="33"/>
      <c r="Y530" s="33"/>
      <c r="Z530" s="33"/>
      <c r="AA530" s="33"/>
      <c r="AB530" s="33"/>
      <c r="AC530" s="33"/>
      <c r="AD530" s="33"/>
      <c r="AE530" s="33"/>
      <c r="AF530" s="33"/>
    </row>
    <row r="531" ht="15.75" customHeight="1">
      <c r="A531" s="75" t="s">
        <v>5042</v>
      </c>
      <c r="B531" s="76">
        <v>3.0</v>
      </c>
      <c r="C531" s="31" t="s">
        <v>5079</v>
      </c>
      <c r="D531" s="31" t="s">
        <v>5079</v>
      </c>
      <c r="E531" s="31" t="s">
        <v>5080</v>
      </c>
      <c r="F531" s="29"/>
      <c r="G531" s="29"/>
      <c r="H531" s="33"/>
      <c r="I531" s="33"/>
      <c r="J531" s="33"/>
      <c r="K531" s="33"/>
      <c r="L531" s="33"/>
      <c r="M531" s="33"/>
      <c r="N531" s="33"/>
      <c r="O531" s="33"/>
      <c r="P531" s="33"/>
      <c r="Q531" s="33"/>
      <c r="R531" s="33"/>
      <c r="S531" s="33"/>
      <c r="T531" s="33"/>
      <c r="U531" s="33"/>
      <c r="V531" s="33"/>
      <c r="W531" s="33"/>
      <c r="X531" s="33"/>
      <c r="Y531" s="33"/>
      <c r="Z531" s="33"/>
      <c r="AA531" s="33"/>
      <c r="AB531" s="33"/>
      <c r="AC531" s="33"/>
      <c r="AD531" s="33"/>
      <c r="AE531" s="33"/>
      <c r="AF531" s="33"/>
    </row>
    <row r="532" ht="15.75" customHeight="1">
      <c r="A532" s="75" t="s">
        <v>5042</v>
      </c>
      <c r="B532" s="76">
        <v>4.0</v>
      </c>
      <c r="C532" s="31" t="s">
        <v>5091</v>
      </c>
      <c r="D532" s="31" t="s">
        <v>5091</v>
      </c>
      <c r="E532" s="31" t="s">
        <v>5092</v>
      </c>
      <c r="F532" s="29"/>
      <c r="G532" s="29"/>
      <c r="H532" s="33"/>
      <c r="I532" s="33"/>
      <c r="J532" s="33"/>
      <c r="K532" s="33"/>
      <c r="L532" s="33"/>
      <c r="M532" s="33"/>
      <c r="N532" s="33"/>
      <c r="O532" s="33"/>
      <c r="P532" s="33"/>
      <c r="Q532" s="33"/>
      <c r="R532" s="33"/>
      <c r="S532" s="33"/>
      <c r="T532" s="33"/>
      <c r="U532" s="33"/>
      <c r="V532" s="33"/>
      <c r="W532" s="33"/>
      <c r="X532" s="33"/>
      <c r="Y532" s="33"/>
      <c r="Z532" s="33"/>
      <c r="AA532" s="33"/>
      <c r="AB532" s="33"/>
      <c r="AC532" s="33"/>
      <c r="AD532" s="33"/>
      <c r="AE532" s="33"/>
      <c r="AF532" s="33"/>
    </row>
    <row r="533" ht="15.75" customHeight="1">
      <c r="A533" s="75" t="s">
        <v>5042</v>
      </c>
      <c r="B533" s="76">
        <v>5.0</v>
      </c>
      <c r="C533" s="31" t="s">
        <v>5103</v>
      </c>
      <c r="D533" s="31" t="s">
        <v>5103</v>
      </c>
      <c r="E533" s="78" t="s">
        <v>5106</v>
      </c>
      <c r="F533" s="29"/>
      <c r="G533" s="29"/>
      <c r="H533" s="33"/>
      <c r="I533" s="33"/>
      <c r="J533" s="33"/>
      <c r="K533" s="33"/>
      <c r="L533" s="33"/>
      <c r="M533" s="33"/>
      <c r="N533" s="33"/>
      <c r="O533" s="33"/>
      <c r="P533" s="33"/>
      <c r="Q533" s="33"/>
      <c r="R533" s="33"/>
      <c r="S533" s="33"/>
      <c r="T533" s="33"/>
      <c r="U533" s="33"/>
      <c r="V533" s="33"/>
      <c r="W533" s="33"/>
      <c r="X533" s="33"/>
      <c r="Y533" s="33"/>
      <c r="Z533" s="33"/>
      <c r="AA533" s="33"/>
      <c r="AB533" s="33"/>
      <c r="AC533" s="33"/>
      <c r="AD533" s="33"/>
      <c r="AE533" s="33"/>
      <c r="AF533" s="33"/>
    </row>
    <row r="534" ht="15.75" customHeight="1">
      <c r="A534" s="75" t="s">
        <v>5042</v>
      </c>
      <c r="B534" s="76">
        <v>6.0</v>
      </c>
      <c r="C534" s="31" t="s">
        <v>5114</v>
      </c>
      <c r="D534" s="31" t="s">
        <v>5114</v>
      </c>
      <c r="E534" s="31" t="s">
        <v>5116</v>
      </c>
      <c r="F534" s="29"/>
      <c r="G534" s="29"/>
      <c r="H534" s="33"/>
      <c r="I534" s="33"/>
      <c r="J534" s="33"/>
      <c r="K534" s="33"/>
      <c r="L534" s="33"/>
      <c r="M534" s="33"/>
      <c r="N534" s="33"/>
      <c r="O534" s="33"/>
      <c r="P534" s="33"/>
      <c r="Q534" s="33"/>
      <c r="R534" s="33"/>
      <c r="S534" s="33"/>
      <c r="T534" s="33"/>
      <c r="U534" s="33"/>
      <c r="V534" s="33"/>
      <c r="W534" s="33"/>
      <c r="X534" s="33"/>
      <c r="Y534" s="33"/>
      <c r="Z534" s="33"/>
      <c r="AA534" s="33"/>
      <c r="AB534" s="33"/>
      <c r="AC534" s="33"/>
      <c r="AD534" s="33"/>
      <c r="AE534" s="33"/>
      <c r="AF534" s="33"/>
    </row>
    <row r="535" ht="15.75" customHeight="1">
      <c r="A535" s="75" t="s">
        <v>5042</v>
      </c>
      <c r="B535" s="76">
        <v>7.0</v>
      </c>
      <c r="C535" s="31" t="s">
        <v>5123</v>
      </c>
      <c r="D535" s="31" t="s">
        <v>5123</v>
      </c>
      <c r="E535" s="78" t="s">
        <v>5126</v>
      </c>
      <c r="F535" s="29"/>
      <c r="G535" s="29"/>
      <c r="H535" s="33"/>
      <c r="I535" s="33"/>
      <c r="J535" s="33"/>
      <c r="K535" s="33"/>
      <c r="L535" s="33"/>
      <c r="M535" s="33"/>
      <c r="N535" s="33"/>
      <c r="O535" s="33"/>
      <c r="P535" s="33"/>
      <c r="Q535" s="33"/>
      <c r="R535" s="33"/>
      <c r="S535" s="33"/>
      <c r="T535" s="33"/>
      <c r="U535" s="33"/>
      <c r="V535" s="33"/>
      <c r="W535" s="33"/>
      <c r="X535" s="33"/>
      <c r="Y535" s="33"/>
      <c r="Z535" s="33"/>
      <c r="AA535" s="33"/>
      <c r="AB535" s="33"/>
      <c r="AC535" s="33"/>
      <c r="AD535" s="33"/>
      <c r="AE535" s="33"/>
      <c r="AF535" s="33"/>
    </row>
    <row r="536" ht="15.75" customHeight="1">
      <c r="A536" s="75" t="s">
        <v>5042</v>
      </c>
      <c r="B536" s="76">
        <v>8.0</v>
      </c>
      <c r="C536" s="31" t="s">
        <v>5139</v>
      </c>
      <c r="D536" s="31" t="s">
        <v>5139</v>
      </c>
      <c r="E536" s="31" t="s">
        <v>5140</v>
      </c>
      <c r="F536" s="29"/>
      <c r="G536" s="29"/>
      <c r="H536" s="33"/>
      <c r="I536" s="33"/>
      <c r="J536" s="33"/>
      <c r="K536" s="33"/>
      <c r="L536" s="33"/>
      <c r="M536" s="33"/>
      <c r="N536" s="33"/>
      <c r="O536" s="33"/>
      <c r="P536" s="33"/>
      <c r="Q536" s="33"/>
      <c r="R536" s="33"/>
      <c r="S536" s="33"/>
      <c r="T536" s="33"/>
      <c r="U536" s="33"/>
      <c r="V536" s="33"/>
      <c r="W536" s="33"/>
      <c r="X536" s="33"/>
      <c r="Y536" s="33"/>
      <c r="Z536" s="33"/>
      <c r="AA536" s="33"/>
      <c r="AB536" s="33"/>
      <c r="AC536" s="33"/>
      <c r="AD536" s="33"/>
      <c r="AE536" s="33"/>
      <c r="AF536" s="33"/>
    </row>
    <row r="537" ht="15.75" customHeight="1">
      <c r="A537" s="63" t="s">
        <v>5042</v>
      </c>
      <c r="B537" s="94">
        <v>-777.0</v>
      </c>
      <c r="C537" s="37" t="s">
        <v>417</v>
      </c>
      <c r="D537" s="37" t="s">
        <v>418</v>
      </c>
      <c r="E537" s="37" t="s">
        <v>419</v>
      </c>
      <c r="F537" s="36"/>
      <c r="G537" s="36"/>
      <c r="H537" s="19"/>
      <c r="I537" s="19"/>
      <c r="J537" s="19"/>
      <c r="K537" s="19"/>
      <c r="L537" s="19"/>
      <c r="M537" s="19"/>
      <c r="N537" s="19"/>
      <c r="O537" s="19"/>
      <c r="P537" s="19"/>
      <c r="Q537" s="19"/>
      <c r="R537" s="19"/>
      <c r="S537" s="19"/>
      <c r="T537" s="19"/>
      <c r="U537" s="19"/>
      <c r="V537" s="19"/>
      <c r="W537" s="19"/>
      <c r="X537" s="19"/>
      <c r="Y537" s="19"/>
      <c r="Z537" s="19"/>
      <c r="AA537" s="19"/>
      <c r="AB537" s="19"/>
      <c r="AC537" s="19"/>
      <c r="AD537" s="19"/>
      <c r="AE537" s="19"/>
      <c r="AF537" s="19"/>
    </row>
    <row r="538" ht="15.75" customHeight="1">
      <c r="A538" s="100"/>
      <c r="B538" s="102"/>
      <c r="C538" s="100"/>
      <c r="D538" s="100"/>
      <c r="E538" s="165"/>
      <c r="F538" s="33"/>
      <c r="G538" s="33"/>
      <c r="H538" s="33"/>
      <c r="I538" s="33"/>
      <c r="J538" s="33"/>
      <c r="K538" s="33"/>
      <c r="L538" s="33"/>
      <c r="M538" s="33"/>
      <c r="N538" s="33"/>
      <c r="O538" s="33"/>
      <c r="P538" s="33"/>
      <c r="Q538" s="33"/>
      <c r="R538" s="33"/>
      <c r="S538" s="33"/>
      <c r="T538" s="33"/>
      <c r="U538" s="33"/>
      <c r="V538" s="33"/>
      <c r="W538" s="33"/>
      <c r="X538" s="33"/>
      <c r="Y538" s="33"/>
      <c r="Z538" s="33"/>
      <c r="AA538" s="33"/>
      <c r="AB538" s="33"/>
      <c r="AC538" s="33"/>
      <c r="AD538" s="33"/>
      <c r="AE538" s="33"/>
      <c r="AF538" s="33"/>
    </row>
    <row r="539" ht="15.75" customHeight="1">
      <c r="A539" s="110" t="s">
        <v>5166</v>
      </c>
      <c r="B539" s="111">
        <v>0.0</v>
      </c>
      <c r="C539" s="116" t="s">
        <v>199</v>
      </c>
      <c r="D539" s="116" t="s">
        <v>201</v>
      </c>
      <c r="E539" s="116" t="s">
        <v>5167</v>
      </c>
      <c r="F539" s="114"/>
      <c r="G539" s="114"/>
      <c r="H539" s="44"/>
      <c r="I539" s="44"/>
      <c r="J539" s="44"/>
      <c r="K539" s="44"/>
      <c r="L539" s="44"/>
      <c r="M539" s="44"/>
      <c r="N539" s="44"/>
      <c r="O539" s="44"/>
      <c r="P539" s="44"/>
      <c r="Q539" s="44"/>
      <c r="R539" s="44"/>
      <c r="S539" s="44"/>
      <c r="T539" s="44"/>
      <c r="U539" s="44"/>
      <c r="V539" s="44"/>
      <c r="W539" s="44"/>
      <c r="X539" s="44"/>
      <c r="Y539" s="44"/>
      <c r="Z539" s="44"/>
      <c r="AA539" s="44"/>
      <c r="AB539" s="44"/>
      <c r="AC539" s="44"/>
      <c r="AD539" s="44"/>
      <c r="AE539" s="44"/>
      <c r="AF539" s="44"/>
    </row>
    <row r="540" ht="15.75" customHeight="1">
      <c r="A540" s="75" t="s">
        <v>5166</v>
      </c>
      <c r="B540" s="76">
        <v>1.0</v>
      </c>
      <c r="C540" s="31" t="s">
        <v>5177</v>
      </c>
      <c r="D540" s="31" t="s">
        <v>1081</v>
      </c>
      <c r="E540" s="31" t="s">
        <v>5182</v>
      </c>
      <c r="F540" s="29"/>
      <c r="G540" s="29"/>
      <c r="H540" s="33"/>
      <c r="I540" s="33"/>
      <c r="J540" s="33"/>
      <c r="K540" s="33"/>
      <c r="L540" s="33"/>
      <c r="M540" s="33"/>
      <c r="N540" s="33"/>
      <c r="O540" s="33"/>
      <c r="P540" s="33"/>
      <c r="Q540" s="33"/>
      <c r="R540" s="33"/>
      <c r="S540" s="33"/>
      <c r="T540" s="33"/>
      <c r="U540" s="33"/>
      <c r="V540" s="33"/>
      <c r="W540" s="33"/>
      <c r="X540" s="33"/>
      <c r="Y540" s="33"/>
      <c r="Z540" s="33"/>
      <c r="AA540" s="33"/>
      <c r="AB540" s="33"/>
      <c r="AC540" s="33"/>
      <c r="AD540" s="33"/>
      <c r="AE540" s="33"/>
      <c r="AF540" s="33"/>
    </row>
    <row r="541" ht="15.75" customHeight="1">
      <c r="A541" s="75" t="s">
        <v>5166</v>
      </c>
      <c r="B541" s="76">
        <v>2.0</v>
      </c>
      <c r="C541" s="31" t="s">
        <v>5198</v>
      </c>
      <c r="D541" s="31" t="s">
        <v>1118</v>
      </c>
      <c r="E541" s="31" t="s">
        <v>5200</v>
      </c>
      <c r="F541" s="29"/>
      <c r="G541" s="29"/>
      <c r="H541" s="33"/>
      <c r="I541" s="33"/>
      <c r="J541" s="33"/>
      <c r="K541" s="33"/>
      <c r="L541" s="33"/>
      <c r="M541" s="33"/>
      <c r="N541" s="33"/>
      <c r="O541" s="33"/>
      <c r="P541" s="33"/>
      <c r="Q541" s="33"/>
      <c r="R541" s="33"/>
      <c r="S541" s="33"/>
      <c r="T541" s="33"/>
      <c r="U541" s="33"/>
      <c r="V541" s="33"/>
      <c r="W541" s="33"/>
      <c r="X541" s="33"/>
      <c r="Y541" s="33"/>
      <c r="Z541" s="33"/>
      <c r="AA541" s="33"/>
      <c r="AB541" s="33"/>
      <c r="AC541" s="33"/>
      <c r="AD541" s="33"/>
      <c r="AE541" s="33"/>
      <c r="AF541" s="33"/>
    </row>
    <row r="542" ht="15.75" customHeight="1">
      <c r="A542" s="75" t="s">
        <v>5166</v>
      </c>
      <c r="B542" s="76">
        <v>3.0</v>
      </c>
      <c r="C542" s="31" t="s">
        <v>5209</v>
      </c>
      <c r="D542" s="31" t="s">
        <v>5214</v>
      </c>
      <c r="E542" s="78" t="s">
        <v>5215</v>
      </c>
      <c r="F542" s="29"/>
      <c r="G542" s="29"/>
      <c r="H542" s="33"/>
      <c r="I542" s="33"/>
      <c r="J542" s="33"/>
      <c r="K542" s="33"/>
      <c r="L542" s="33"/>
      <c r="M542" s="33"/>
      <c r="N542" s="33"/>
      <c r="O542" s="33"/>
      <c r="P542" s="33"/>
      <c r="Q542" s="33"/>
      <c r="R542" s="33"/>
      <c r="S542" s="33"/>
      <c r="T542" s="33"/>
      <c r="U542" s="33"/>
      <c r="V542" s="33"/>
      <c r="W542" s="33"/>
      <c r="X542" s="33"/>
      <c r="Y542" s="33"/>
      <c r="Z542" s="33"/>
      <c r="AA542" s="33"/>
      <c r="AB542" s="33"/>
      <c r="AC542" s="33"/>
      <c r="AD542" s="33"/>
      <c r="AE542" s="33"/>
      <c r="AF542" s="33"/>
    </row>
    <row r="543" ht="15.75" customHeight="1">
      <c r="A543" s="75" t="s">
        <v>5166</v>
      </c>
      <c r="B543" s="76">
        <v>4.0</v>
      </c>
      <c r="C543" s="31" t="s">
        <v>5235</v>
      </c>
      <c r="D543" s="31" t="s">
        <v>5235</v>
      </c>
      <c r="E543" s="78" t="s">
        <v>5236</v>
      </c>
      <c r="F543" s="29"/>
      <c r="G543" s="29"/>
      <c r="H543" s="33"/>
      <c r="I543" s="33"/>
      <c r="J543" s="33"/>
      <c r="K543" s="33"/>
      <c r="L543" s="33"/>
      <c r="M543" s="33"/>
      <c r="N543" s="33"/>
      <c r="O543" s="33"/>
      <c r="P543" s="33"/>
      <c r="Q543" s="33"/>
      <c r="R543" s="33"/>
      <c r="S543" s="33"/>
      <c r="T543" s="33"/>
      <c r="U543" s="33"/>
      <c r="V543" s="33"/>
      <c r="W543" s="33"/>
      <c r="X543" s="33"/>
      <c r="Y543" s="33"/>
      <c r="Z543" s="33"/>
      <c r="AA543" s="33"/>
      <c r="AB543" s="33"/>
      <c r="AC543" s="33"/>
      <c r="AD543" s="33"/>
      <c r="AE543" s="33"/>
      <c r="AF543" s="33"/>
    </row>
    <row r="544" ht="15.75" customHeight="1">
      <c r="A544" s="75" t="s">
        <v>5166</v>
      </c>
      <c r="B544" s="76">
        <v>5.0</v>
      </c>
      <c r="C544" s="31" t="s">
        <v>5259</v>
      </c>
      <c r="D544" s="31" t="s">
        <v>1072</v>
      </c>
      <c r="E544" s="31" t="s">
        <v>5261</v>
      </c>
      <c r="F544" s="29"/>
      <c r="G544" s="29"/>
      <c r="H544" s="33"/>
      <c r="I544" s="33"/>
      <c r="J544" s="33"/>
      <c r="K544" s="33"/>
      <c r="L544" s="33"/>
      <c r="M544" s="33"/>
      <c r="N544" s="33"/>
      <c r="O544" s="33"/>
      <c r="P544" s="33"/>
      <c r="Q544" s="33"/>
      <c r="R544" s="33"/>
      <c r="S544" s="33"/>
      <c r="T544" s="33"/>
      <c r="U544" s="33"/>
      <c r="V544" s="33"/>
      <c r="W544" s="33"/>
      <c r="X544" s="33"/>
      <c r="Y544" s="33"/>
      <c r="Z544" s="33"/>
      <c r="AA544" s="33"/>
      <c r="AB544" s="33"/>
      <c r="AC544" s="33"/>
      <c r="AD544" s="33"/>
      <c r="AE544" s="33"/>
      <c r="AF544" s="33"/>
    </row>
    <row r="545" ht="15.75" customHeight="1">
      <c r="A545" s="63" t="s">
        <v>5166</v>
      </c>
      <c r="B545" s="94">
        <v>-777.0</v>
      </c>
      <c r="C545" s="37" t="s">
        <v>417</v>
      </c>
      <c r="D545" s="37" t="s">
        <v>418</v>
      </c>
      <c r="E545" s="37" t="s">
        <v>419</v>
      </c>
      <c r="F545" s="36"/>
      <c r="G545" s="36"/>
      <c r="H545" s="19"/>
      <c r="I545" s="19"/>
      <c r="J545" s="19"/>
      <c r="K545" s="19"/>
      <c r="L545" s="19"/>
      <c r="M545" s="19"/>
      <c r="N545" s="19"/>
      <c r="O545" s="19"/>
      <c r="P545" s="19"/>
      <c r="Q545" s="19"/>
      <c r="R545" s="19"/>
      <c r="S545" s="19"/>
      <c r="T545" s="19"/>
      <c r="U545" s="19"/>
      <c r="V545" s="19"/>
      <c r="W545" s="19"/>
      <c r="X545" s="19"/>
      <c r="Y545" s="19"/>
      <c r="Z545" s="19"/>
      <c r="AA545" s="19"/>
      <c r="AB545" s="19"/>
      <c r="AC545" s="19"/>
      <c r="AD545" s="19"/>
      <c r="AE545" s="19"/>
      <c r="AF545" s="19"/>
    </row>
    <row r="546" ht="15.75" customHeight="1">
      <c r="A546" s="100"/>
      <c r="B546" s="102"/>
      <c r="C546" s="100"/>
      <c r="D546" s="100"/>
      <c r="E546" s="165"/>
      <c r="F546" s="33"/>
      <c r="G546" s="33"/>
      <c r="H546" s="33"/>
      <c r="I546" s="33"/>
      <c r="J546" s="33"/>
      <c r="K546" s="33"/>
      <c r="L546" s="33"/>
      <c r="M546" s="33"/>
      <c r="N546" s="33"/>
      <c r="O546" s="33"/>
      <c r="P546" s="33"/>
      <c r="Q546" s="33"/>
      <c r="R546" s="33"/>
      <c r="S546" s="33"/>
      <c r="T546" s="33"/>
      <c r="U546" s="33"/>
      <c r="V546" s="33"/>
      <c r="W546" s="33"/>
      <c r="X546" s="33"/>
      <c r="Y546" s="33"/>
      <c r="Z546" s="33"/>
      <c r="AA546" s="33"/>
      <c r="AB546" s="33"/>
      <c r="AC546" s="33"/>
      <c r="AD546" s="33"/>
      <c r="AE546" s="33"/>
      <c r="AF546" s="33"/>
    </row>
    <row r="547" ht="15.75" customHeight="1">
      <c r="A547" s="110" t="s">
        <v>5299</v>
      </c>
      <c r="B547" s="111">
        <v>1.0</v>
      </c>
      <c r="C547" s="116" t="s">
        <v>5303</v>
      </c>
      <c r="D547" s="116" t="s">
        <v>5305</v>
      </c>
      <c r="E547" s="116" t="s">
        <v>5306</v>
      </c>
      <c r="F547" s="277"/>
      <c r="G547" s="277"/>
      <c r="H547" s="44"/>
      <c r="I547" s="44"/>
      <c r="J547" s="44"/>
      <c r="K547" s="44"/>
      <c r="L547" s="44"/>
      <c r="M547" s="44"/>
      <c r="N547" s="44"/>
      <c r="O547" s="44"/>
      <c r="P547" s="44"/>
      <c r="Q547" s="44"/>
      <c r="R547" s="44"/>
      <c r="S547" s="44"/>
      <c r="T547" s="44"/>
      <c r="U547" s="44"/>
      <c r="V547" s="44"/>
      <c r="W547" s="44"/>
      <c r="X547" s="44"/>
      <c r="Y547" s="44"/>
      <c r="Z547" s="44"/>
      <c r="AA547" s="44"/>
      <c r="AB547" s="44"/>
      <c r="AC547" s="44"/>
      <c r="AD547" s="44"/>
      <c r="AE547" s="44"/>
      <c r="AF547" s="44"/>
    </row>
    <row r="548" ht="15.75" customHeight="1">
      <c r="A548" s="75" t="s">
        <v>5299</v>
      </c>
      <c r="B548" s="76">
        <v>2.0</v>
      </c>
      <c r="C548" s="31" t="s">
        <v>5326</v>
      </c>
      <c r="D548" s="31" t="s">
        <v>5327</v>
      </c>
      <c r="E548" s="31" t="s">
        <v>5328</v>
      </c>
      <c r="F548" s="88"/>
      <c r="G548" s="88"/>
      <c r="H548" s="33"/>
      <c r="I548" s="33"/>
      <c r="J548" s="33"/>
      <c r="K548" s="33"/>
      <c r="L548" s="33"/>
      <c r="M548" s="33"/>
      <c r="N548" s="33"/>
      <c r="O548" s="33"/>
      <c r="P548" s="33"/>
      <c r="Q548" s="33"/>
      <c r="R548" s="33"/>
      <c r="S548" s="33"/>
      <c r="T548" s="33"/>
      <c r="U548" s="33"/>
      <c r="V548" s="33"/>
      <c r="W548" s="33"/>
      <c r="X548" s="33"/>
      <c r="Y548" s="33"/>
      <c r="Z548" s="33"/>
      <c r="AA548" s="33"/>
      <c r="AB548" s="33"/>
      <c r="AC548" s="33"/>
      <c r="AD548" s="33"/>
      <c r="AE548" s="33"/>
      <c r="AF548" s="33"/>
    </row>
    <row r="549" ht="15.75" customHeight="1">
      <c r="A549" s="75" t="s">
        <v>5299</v>
      </c>
      <c r="B549" s="76">
        <v>3.0</v>
      </c>
      <c r="C549" s="31" t="s">
        <v>5341</v>
      </c>
      <c r="D549" s="31" t="s">
        <v>5091</v>
      </c>
      <c r="E549" s="31" t="s">
        <v>5342</v>
      </c>
      <c r="F549" s="88"/>
      <c r="G549" s="88"/>
      <c r="H549" s="33"/>
      <c r="I549" s="33"/>
      <c r="J549" s="33"/>
      <c r="K549" s="33"/>
      <c r="L549" s="33"/>
      <c r="M549" s="33"/>
      <c r="N549" s="33"/>
      <c r="O549" s="33"/>
      <c r="P549" s="33"/>
      <c r="Q549" s="33"/>
      <c r="R549" s="33"/>
      <c r="S549" s="33"/>
      <c r="T549" s="33"/>
      <c r="U549" s="33"/>
      <c r="V549" s="33"/>
      <c r="W549" s="33"/>
      <c r="X549" s="33"/>
      <c r="Y549" s="33"/>
      <c r="Z549" s="33"/>
      <c r="AA549" s="33"/>
      <c r="AB549" s="33"/>
      <c r="AC549" s="33"/>
      <c r="AD549" s="33"/>
      <c r="AE549" s="33"/>
      <c r="AF549" s="33"/>
    </row>
    <row r="550" ht="15.75" customHeight="1">
      <c r="A550" s="75" t="s">
        <v>5299</v>
      </c>
      <c r="B550" s="76">
        <v>4.0</v>
      </c>
      <c r="C550" s="31" t="s">
        <v>5360</v>
      </c>
      <c r="D550" s="31" t="s">
        <v>5362</v>
      </c>
      <c r="E550" s="78" t="s">
        <v>5364</v>
      </c>
      <c r="F550" s="88"/>
      <c r="G550" s="88"/>
      <c r="H550" s="33"/>
      <c r="I550" s="33"/>
      <c r="J550" s="33"/>
      <c r="K550" s="33"/>
      <c r="L550" s="33"/>
      <c r="M550" s="33"/>
      <c r="N550" s="33"/>
      <c r="O550" s="33"/>
      <c r="P550" s="33"/>
      <c r="Q550" s="33"/>
      <c r="R550" s="33"/>
      <c r="S550" s="33"/>
      <c r="T550" s="33"/>
      <c r="U550" s="33"/>
      <c r="V550" s="33"/>
      <c r="W550" s="33"/>
      <c r="X550" s="33"/>
      <c r="Y550" s="33"/>
      <c r="Z550" s="33"/>
      <c r="AA550" s="33"/>
      <c r="AB550" s="33"/>
      <c r="AC550" s="33"/>
      <c r="AD550" s="33"/>
      <c r="AE550" s="33"/>
      <c r="AF550" s="33"/>
    </row>
    <row r="551" ht="15.75" customHeight="1">
      <c r="A551" s="75" t="s">
        <v>5299</v>
      </c>
      <c r="B551" s="76">
        <v>5.0</v>
      </c>
      <c r="C551" s="31" t="s">
        <v>5379</v>
      </c>
      <c r="D551" s="31" t="s">
        <v>5379</v>
      </c>
      <c r="E551" s="31" t="s">
        <v>5383</v>
      </c>
      <c r="F551" s="88"/>
      <c r="G551" s="88"/>
      <c r="H551" s="33"/>
      <c r="I551" s="33"/>
      <c r="J551" s="33"/>
      <c r="K551" s="33"/>
      <c r="L551" s="33"/>
      <c r="M551" s="33"/>
      <c r="N551" s="33"/>
      <c r="O551" s="33"/>
      <c r="P551" s="33"/>
      <c r="Q551" s="33"/>
      <c r="R551" s="33"/>
      <c r="S551" s="33"/>
      <c r="T551" s="33"/>
      <c r="U551" s="33"/>
      <c r="V551" s="33"/>
      <c r="W551" s="33"/>
      <c r="X551" s="33"/>
      <c r="Y551" s="33"/>
      <c r="Z551" s="33"/>
      <c r="AA551" s="33"/>
      <c r="AB551" s="33"/>
      <c r="AC551" s="33"/>
      <c r="AD551" s="33"/>
      <c r="AE551" s="33"/>
      <c r="AF551" s="33"/>
    </row>
    <row r="552" ht="15.75" customHeight="1">
      <c r="A552" s="75" t="s">
        <v>5299</v>
      </c>
      <c r="B552" s="76">
        <v>6.0</v>
      </c>
      <c r="C552" s="31" t="s">
        <v>5399</v>
      </c>
      <c r="D552" s="31" t="s">
        <v>5399</v>
      </c>
      <c r="E552" s="78" t="s">
        <v>5402</v>
      </c>
      <c r="F552" s="88"/>
      <c r="G552" s="88"/>
      <c r="H552" s="33"/>
      <c r="I552" s="33"/>
      <c r="J552" s="33"/>
      <c r="K552" s="33"/>
      <c r="L552" s="33"/>
      <c r="M552" s="33"/>
      <c r="N552" s="33"/>
      <c r="O552" s="33"/>
      <c r="P552" s="33"/>
      <c r="Q552" s="33"/>
      <c r="R552" s="33"/>
      <c r="S552" s="33"/>
      <c r="T552" s="33"/>
      <c r="U552" s="33"/>
      <c r="V552" s="33"/>
      <c r="W552" s="33"/>
      <c r="X552" s="33"/>
      <c r="Y552" s="33"/>
      <c r="Z552" s="33"/>
      <c r="AA552" s="33"/>
      <c r="AB552" s="33"/>
      <c r="AC552" s="33"/>
      <c r="AD552" s="33"/>
      <c r="AE552" s="33"/>
      <c r="AF552" s="33"/>
    </row>
    <row r="553" ht="15.75" customHeight="1">
      <c r="A553" s="75" t="s">
        <v>5299</v>
      </c>
      <c r="B553" s="76">
        <v>7.0</v>
      </c>
      <c r="C553" s="31" t="s">
        <v>5418</v>
      </c>
      <c r="D553" s="31" t="s">
        <v>5418</v>
      </c>
      <c r="E553" s="78" t="s">
        <v>5422</v>
      </c>
      <c r="F553" s="29"/>
      <c r="G553" s="29"/>
      <c r="H553" s="33"/>
      <c r="I553" s="33"/>
      <c r="J553" s="33"/>
      <c r="K553" s="33"/>
      <c r="L553" s="33"/>
      <c r="M553" s="33"/>
      <c r="N553" s="33"/>
      <c r="O553" s="33"/>
      <c r="P553" s="33"/>
      <c r="Q553" s="33"/>
      <c r="R553" s="33"/>
      <c r="S553" s="33"/>
      <c r="T553" s="33"/>
      <c r="U553" s="33"/>
      <c r="V553" s="33"/>
      <c r="W553" s="33"/>
      <c r="X553" s="33"/>
      <c r="Y553" s="33"/>
      <c r="Z553" s="33"/>
      <c r="AA553" s="33"/>
      <c r="AB553" s="33"/>
      <c r="AC553" s="33"/>
      <c r="AD553" s="33"/>
      <c r="AE553" s="33"/>
      <c r="AF553" s="33"/>
    </row>
    <row r="554" ht="15.75" customHeight="1">
      <c r="A554" s="75" t="s">
        <v>5299</v>
      </c>
      <c r="B554" s="76">
        <v>8.0</v>
      </c>
      <c r="C554" s="31" t="s">
        <v>5442</v>
      </c>
      <c r="D554" s="31" t="s">
        <v>5442</v>
      </c>
      <c r="E554" s="31" t="s">
        <v>5444</v>
      </c>
      <c r="F554" s="29"/>
      <c r="G554" s="29"/>
      <c r="H554" s="33"/>
      <c r="I554" s="33"/>
      <c r="J554" s="33"/>
      <c r="K554" s="33"/>
      <c r="L554" s="33"/>
      <c r="M554" s="33"/>
      <c r="N554" s="33"/>
      <c r="O554" s="33"/>
      <c r="P554" s="33"/>
      <c r="Q554" s="33"/>
      <c r="R554" s="33"/>
      <c r="S554" s="33"/>
      <c r="T554" s="33"/>
      <c r="U554" s="33"/>
      <c r="V554" s="33"/>
      <c r="W554" s="33"/>
      <c r="X554" s="33"/>
      <c r="Y554" s="33"/>
      <c r="Z554" s="33"/>
      <c r="AA554" s="33"/>
      <c r="AB554" s="33"/>
      <c r="AC554" s="33"/>
      <c r="AD554" s="33"/>
      <c r="AE554" s="33"/>
      <c r="AF554" s="33"/>
    </row>
    <row r="555" ht="15.75" customHeight="1">
      <c r="A555" s="75" t="s">
        <v>5299</v>
      </c>
      <c r="B555" s="76">
        <v>9.0</v>
      </c>
      <c r="C555" s="31" t="s">
        <v>5454</v>
      </c>
      <c r="D555" s="31" t="s">
        <v>5139</v>
      </c>
      <c r="E555" s="31" t="s">
        <v>5455</v>
      </c>
      <c r="F555" s="29"/>
      <c r="G555" s="29"/>
      <c r="H555" s="33"/>
      <c r="I555" s="33"/>
      <c r="J555" s="33"/>
      <c r="K555" s="33"/>
      <c r="L555" s="33"/>
      <c r="M555" s="33"/>
      <c r="N555" s="33"/>
      <c r="O555" s="33"/>
      <c r="P555" s="33"/>
      <c r="Q555" s="33"/>
      <c r="R555" s="33"/>
      <c r="S555" s="33"/>
      <c r="T555" s="33"/>
      <c r="U555" s="33"/>
      <c r="V555" s="33"/>
      <c r="W555" s="33"/>
      <c r="X555" s="33"/>
      <c r="Y555" s="33"/>
      <c r="Z555" s="33"/>
      <c r="AA555" s="33"/>
      <c r="AB555" s="33"/>
      <c r="AC555" s="33"/>
      <c r="AD555" s="33"/>
      <c r="AE555" s="33"/>
      <c r="AF555" s="33"/>
    </row>
    <row r="556" ht="15.75" customHeight="1">
      <c r="A556" s="75" t="s">
        <v>5299</v>
      </c>
      <c r="B556" s="76">
        <v>10.0</v>
      </c>
      <c r="C556" s="31" t="s">
        <v>5467</v>
      </c>
      <c r="D556" s="31" t="s">
        <v>5468</v>
      </c>
      <c r="E556" s="31" t="s">
        <v>5470</v>
      </c>
      <c r="F556" s="29"/>
      <c r="G556" s="29"/>
      <c r="H556" s="33"/>
      <c r="I556" s="33"/>
      <c r="J556" s="33"/>
      <c r="K556" s="33"/>
      <c r="L556" s="33"/>
      <c r="M556" s="33"/>
      <c r="N556" s="33"/>
      <c r="O556" s="33"/>
      <c r="P556" s="33"/>
      <c r="Q556" s="33"/>
      <c r="R556" s="33"/>
      <c r="S556" s="33"/>
      <c r="T556" s="33"/>
      <c r="U556" s="33"/>
      <c r="V556" s="33"/>
      <c r="W556" s="33"/>
      <c r="X556" s="33"/>
      <c r="Y556" s="33"/>
      <c r="Z556" s="33"/>
      <c r="AA556" s="33"/>
      <c r="AB556" s="33"/>
      <c r="AC556" s="33"/>
      <c r="AD556" s="33"/>
      <c r="AE556" s="33"/>
      <c r="AF556" s="33"/>
    </row>
    <row r="557" ht="15.75" customHeight="1">
      <c r="A557" s="264" t="s">
        <v>5299</v>
      </c>
      <c r="B557" s="239">
        <v>11.0</v>
      </c>
      <c r="C557" s="145" t="s">
        <v>5481</v>
      </c>
      <c r="D557" s="145" t="s">
        <v>5481</v>
      </c>
      <c r="E557" s="145" t="s">
        <v>5481</v>
      </c>
      <c r="F557" s="29"/>
      <c r="G557" s="29"/>
      <c r="H557" s="33"/>
      <c r="I557" s="33"/>
      <c r="J557" s="33"/>
      <c r="K557" s="33"/>
      <c r="L557" s="33"/>
      <c r="M557" s="33"/>
      <c r="N557" s="33"/>
      <c r="O557" s="33"/>
      <c r="P557" s="33"/>
      <c r="Q557" s="33"/>
      <c r="R557" s="33"/>
      <c r="S557" s="33"/>
      <c r="T557" s="33"/>
      <c r="U557" s="33"/>
      <c r="V557" s="33"/>
      <c r="W557" s="33"/>
      <c r="X557" s="33"/>
      <c r="Y557" s="33"/>
      <c r="Z557" s="33"/>
      <c r="AA557" s="33"/>
      <c r="AB557" s="33"/>
      <c r="AC557" s="33"/>
      <c r="AD557" s="33"/>
      <c r="AE557" s="33"/>
      <c r="AF557" s="33"/>
    </row>
    <row r="558" ht="15.75" customHeight="1">
      <c r="A558" s="264" t="s">
        <v>5299</v>
      </c>
      <c r="B558" s="239">
        <v>12.0</v>
      </c>
      <c r="C558" s="145" t="s">
        <v>5492</v>
      </c>
      <c r="D558" s="145" t="s">
        <v>5492</v>
      </c>
      <c r="E558" s="145" t="s">
        <v>5492</v>
      </c>
      <c r="F558" s="29"/>
      <c r="G558" s="29"/>
      <c r="H558" s="33"/>
      <c r="I558" s="33"/>
      <c r="J558" s="33"/>
      <c r="K558" s="33"/>
      <c r="L558" s="33"/>
      <c r="M558" s="33"/>
      <c r="N558" s="33"/>
      <c r="O558" s="33"/>
      <c r="P558" s="33"/>
      <c r="Q558" s="33"/>
      <c r="R558" s="33"/>
      <c r="S558" s="33"/>
      <c r="T558" s="33"/>
      <c r="U558" s="33"/>
      <c r="V558" s="33"/>
      <c r="W558" s="33"/>
      <c r="X558" s="33"/>
      <c r="Y558" s="33"/>
      <c r="Z558" s="33"/>
      <c r="AA558" s="33"/>
      <c r="AB558" s="33"/>
      <c r="AC558" s="33"/>
      <c r="AD558" s="33"/>
      <c r="AE558" s="33"/>
      <c r="AF558" s="33"/>
    </row>
    <row r="559" ht="15.75" customHeight="1">
      <c r="A559" s="264" t="s">
        <v>5299</v>
      </c>
      <c r="B559" s="239">
        <v>13.0</v>
      </c>
      <c r="C559" s="145" t="s">
        <v>5508</v>
      </c>
      <c r="D559" s="145" t="s">
        <v>5508</v>
      </c>
      <c r="E559" s="145" t="s">
        <v>5508</v>
      </c>
      <c r="F559" s="29"/>
      <c r="G559" s="29"/>
      <c r="H559" s="33"/>
      <c r="I559" s="33"/>
      <c r="J559" s="33"/>
      <c r="K559" s="33"/>
      <c r="L559" s="33"/>
      <c r="M559" s="33"/>
      <c r="N559" s="33"/>
      <c r="O559" s="33"/>
      <c r="P559" s="33"/>
      <c r="Q559" s="33"/>
      <c r="R559" s="33"/>
      <c r="S559" s="33"/>
      <c r="T559" s="33"/>
      <c r="U559" s="33"/>
      <c r="V559" s="33"/>
      <c r="W559" s="33"/>
      <c r="X559" s="33"/>
      <c r="Y559" s="33"/>
      <c r="Z559" s="33"/>
      <c r="AA559" s="33"/>
      <c r="AB559" s="33"/>
      <c r="AC559" s="33"/>
      <c r="AD559" s="33"/>
      <c r="AE559" s="33"/>
      <c r="AF559" s="33"/>
    </row>
    <row r="560" ht="15.75" customHeight="1">
      <c r="A560" s="63" t="s">
        <v>5299</v>
      </c>
      <c r="B560" s="94">
        <v>14.0</v>
      </c>
      <c r="C560" s="37" t="s">
        <v>5528</v>
      </c>
      <c r="D560" s="37" t="s">
        <v>5531</v>
      </c>
      <c r="E560" s="31" t="s">
        <v>5533</v>
      </c>
      <c r="F560" s="36"/>
      <c r="G560" s="36"/>
      <c r="H560" s="19"/>
      <c r="I560" s="19"/>
      <c r="J560" s="19"/>
      <c r="K560" s="19"/>
      <c r="L560" s="19"/>
      <c r="M560" s="19"/>
      <c r="N560" s="19"/>
      <c r="O560" s="19"/>
      <c r="P560" s="19"/>
      <c r="Q560" s="19"/>
      <c r="R560" s="19"/>
      <c r="S560" s="19"/>
      <c r="T560" s="19"/>
      <c r="U560" s="19"/>
      <c r="V560" s="19"/>
      <c r="W560" s="19"/>
      <c r="X560" s="19"/>
      <c r="Y560" s="19"/>
      <c r="Z560" s="19"/>
      <c r="AA560" s="19"/>
      <c r="AB560" s="19"/>
      <c r="AC560" s="19"/>
      <c r="AD560" s="19"/>
      <c r="AE560" s="19"/>
      <c r="AF560" s="19"/>
    </row>
    <row r="561" ht="15.75" customHeight="1">
      <c r="A561" s="63" t="s">
        <v>5299</v>
      </c>
      <c r="B561" s="94">
        <v>-777.0</v>
      </c>
      <c r="C561" s="37" t="s">
        <v>417</v>
      </c>
      <c r="D561" s="37" t="s">
        <v>418</v>
      </c>
      <c r="E561" s="37" t="s">
        <v>419</v>
      </c>
      <c r="F561" s="36"/>
      <c r="G561" s="36"/>
      <c r="H561" s="19"/>
      <c r="I561" s="19"/>
      <c r="J561" s="19"/>
      <c r="K561" s="19"/>
      <c r="L561" s="19"/>
      <c r="M561" s="19"/>
      <c r="N561" s="19"/>
      <c r="O561" s="19"/>
      <c r="P561" s="19"/>
      <c r="Q561" s="19"/>
      <c r="R561" s="19"/>
      <c r="S561" s="19"/>
      <c r="T561" s="19"/>
      <c r="U561" s="19"/>
      <c r="V561" s="19"/>
      <c r="W561" s="19"/>
      <c r="X561" s="19"/>
      <c r="Y561" s="19"/>
      <c r="Z561" s="19"/>
      <c r="AA561" s="19"/>
      <c r="AB561" s="19"/>
      <c r="AC561" s="19"/>
      <c r="AD561" s="19"/>
      <c r="AE561" s="19"/>
      <c r="AF561" s="19"/>
    </row>
    <row r="562" ht="15.75" customHeight="1">
      <c r="A562" s="100"/>
      <c r="B562" s="102"/>
      <c r="C562" s="100"/>
      <c r="D562" s="100"/>
      <c r="E562" s="165"/>
      <c r="F562" s="33"/>
      <c r="G562" s="33"/>
      <c r="H562" s="33"/>
      <c r="I562" s="33"/>
      <c r="J562" s="33"/>
      <c r="K562" s="33"/>
      <c r="L562" s="33"/>
      <c r="M562" s="33"/>
      <c r="N562" s="33"/>
      <c r="O562" s="33"/>
      <c r="P562" s="33"/>
      <c r="Q562" s="33"/>
      <c r="R562" s="33"/>
      <c r="S562" s="33"/>
      <c r="T562" s="33"/>
      <c r="U562" s="33"/>
      <c r="V562" s="33"/>
      <c r="W562" s="33"/>
      <c r="X562" s="33"/>
      <c r="Y562" s="33"/>
      <c r="Z562" s="33"/>
      <c r="AA562" s="33"/>
      <c r="AB562" s="33"/>
      <c r="AC562" s="33"/>
      <c r="AD562" s="33"/>
      <c r="AE562" s="33"/>
      <c r="AF562" s="33"/>
    </row>
    <row r="563" ht="15.75" customHeight="1">
      <c r="A563" s="184" t="s">
        <v>5570</v>
      </c>
      <c r="B563" s="111">
        <v>1.0</v>
      </c>
      <c r="C563" s="116" t="s">
        <v>1833</v>
      </c>
      <c r="D563" s="116" t="s">
        <v>1834</v>
      </c>
      <c r="E563" s="168" t="s">
        <v>1906</v>
      </c>
      <c r="F563" s="187"/>
      <c r="G563" s="187"/>
      <c r="H563" s="187"/>
      <c r="I563" s="187"/>
      <c r="J563" s="187"/>
      <c r="K563" s="187"/>
      <c r="L563" s="187"/>
      <c r="M563" s="187"/>
      <c r="N563" s="187"/>
      <c r="O563" s="187"/>
      <c r="P563" s="187"/>
      <c r="Q563" s="187"/>
      <c r="R563" s="187"/>
      <c r="S563" s="187"/>
      <c r="T563" s="187"/>
      <c r="U563" s="187"/>
      <c r="V563" s="187"/>
      <c r="W563" s="187"/>
      <c r="X563" s="187"/>
      <c r="Y563" s="187"/>
      <c r="Z563" s="187"/>
      <c r="AA563" s="187"/>
      <c r="AB563" s="187"/>
      <c r="AC563" s="187"/>
      <c r="AD563" s="187"/>
      <c r="AE563" s="187"/>
      <c r="AF563" s="187"/>
    </row>
    <row r="564" ht="15.75" customHeight="1">
      <c r="A564" s="63" t="s">
        <v>5570</v>
      </c>
      <c r="B564" s="76">
        <v>2.0</v>
      </c>
      <c r="C564" s="31" t="s">
        <v>1842</v>
      </c>
      <c r="D564" s="31" t="s">
        <v>1845</v>
      </c>
      <c r="E564" s="78" t="s">
        <v>1915</v>
      </c>
      <c r="F564" s="33"/>
      <c r="G564" s="36"/>
      <c r="H564" s="19"/>
      <c r="I564" s="19"/>
      <c r="J564" s="19"/>
      <c r="K564" s="19"/>
      <c r="L564" s="19"/>
      <c r="M564" s="19"/>
      <c r="N564" s="19"/>
      <c r="O564" s="19"/>
      <c r="P564" s="19"/>
      <c r="Q564" s="19"/>
      <c r="R564" s="19"/>
      <c r="S564" s="19"/>
      <c r="T564" s="19"/>
      <c r="U564" s="19"/>
      <c r="V564" s="19"/>
      <c r="W564" s="19"/>
      <c r="X564" s="19"/>
      <c r="Y564" s="19"/>
      <c r="Z564" s="19"/>
      <c r="AA564" s="19"/>
      <c r="AB564" s="19"/>
      <c r="AC564" s="19"/>
      <c r="AD564" s="19"/>
      <c r="AE564" s="19"/>
      <c r="AF564" s="19"/>
    </row>
    <row r="565" ht="15.75" customHeight="1">
      <c r="A565" s="63" t="s">
        <v>5570</v>
      </c>
      <c r="B565" s="76">
        <v>3.0</v>
      </c>
      <c r="C565" s="31" t="s">
        <v>1853</v>
      </c>
      <c r="D565" s="31" t="s">
        <v>1854</v>
      </c>
      <c r="E565" s="78" t="s">
        <v>1920</v>
      </c>
      <c r="F565" s="33"/>
      <c r="G565" s="88"/>
      <c r="H565" s="33"/>
      <c r="I565" s="33"/>
      <c r="J565" s="33"/>
      <c r="K565" s="33"/>
      <c r="L565" s="33"/>
      <c r="M565" s="33"/>
      <c r="N565" s="33"/>
      <c r="O565" s="33"/>
      <c r="P565" s="33"/>
      <c r="Q565" s="33"/>
      <c r="R565" s="33"/>
      <c r="S565" s="33"/>
      <c r="T565" s="33"/>
      <c r="U565" s="33"/>
      <c r="V565" s="33"/>
      <c r="W565" s="33"/>
      <c r="X565" s="33"/>
      <c r="Y565" s="33"/>
      <c r="Z565" s="33"/>
      <c r="AA565" s="33"/>
      <c r="AB565" s="33"/>
      <c r="AC565" s="33"/>
      <c r="AD565" s="33"/>
      <c r="AE565" s="33"/>
      <c r="AF565" s="33"/>
    </row>
    <row r="566" ht="15.75" customHeight="1">
      <c r="A566" s="63" t="s">
        <v>5570</v>
      </c>
      <c r="B566" s="76">
        <v>4.0</v>
      </c>
      <c r="C566" s="37" t="s">
        <v>1858</v>
      </c>
      <c r="D566" s="37" t="s">
        <v>1860</v>
      </c>
      <c r="E566" s="71" t="s">
        <v>5620</v>
      </c>
      <c r="F566" s="33"/>
      <c r="G566" s="88"/>
      <c r="H566" s="33"/>
      <c r="I566" s="33"/>
      <c r="J566" s="33"/>
      <c r="K566" s="33"/>
      <c r="L566" s="33"/>
      <c r="M566" s="33"/>
      <c r="N566" s="33"/>
      <c r="O566" s="33"/>
      <c r="P566" s="33"/>
      <c r="Q566" s="33"/>
      <c r="R566" s="33"/>
      <c r="S566" s="33"/>
      <c r="T566" s="33"/>
      <c r="U566" s="33"/>
      <c r="V566" s="33"/>
      <c r="W566" s="33"/>
      <c r="X566" s="33"/>
      <c r="Y566" s="33"/>
      <c r="Z566" s="33"/>
      <c r="AA566" s="33"/>
      <c r="AB566" s="33"/>
      <c r="AC566" s="33"/>
      <c r="AD566" s="33"/>
      <c r="AE566" s="33"/>
      <c r="AF566" s="33"/>
    </row>
    <row r="567" ht="15.75" customHeight="1">
      <c r="A567" s="63" t="s">
        <v>5570</v>
      </c>
      <c r="B567" s="76">
        <v>5.0</v>
      </c>
      <c r="C567" s="224" t="s">
        <v>1868</v>
      </c>
      <c r="D567" s="115" t="s">
        <v>1869</v>
      </c>
      <c r="E567" s="71" t="s">
        <v>1871</v>
      </c>
      <c r="F567" s="33"/>
      <c r="G567" s="88"/>
      <c r="H567" s="33"/>
      <c r="I567" s="33"/>
      <c r="J567" s="33"/>
      <c r="K567" s="33"/>
      <c r="L567" s="33"/>
      <c r="M567" s="33"/>
      <c r="N567" s="33"/>
      <c r="O567" s="33"/>
      <c r="P567" s="33"/>
      <c r="Q567" s="33"/>
      <c r="R567" s="33"/>
      <c r="S567" s="33"/>
      <c r="T567" s="33"/>
      <c r="U567" s="33"/>
      <c r="V567" s="33"/>
      <c r="W567" s="33"/>
      <c r="X567" s="33"/>
      <c r="Y567" s="33"/>
      <c r="Z567" s="33"/>
      <c r="AA567" s="33"/>
      <c r="AB567" s="33"/>
      <c r="AC567" s="33"/>
      <c r="AD567" s="33"/>
      <c r="AE567" s="33"/>
      <c r="AF567" s="33"/>
    </row>
    <row r="568" ht="15.75" customHeight="1">
      <c r="A568" s="63" t="s">
        <v>5570</v>
      </c>
      <c r="B568" s="76">
        <v>6.0</v>
      </c>
      <c r="C568" s="225" t="s">
        <v>1876</v>
      </c>
      <c r="D568" s="100" t="s">
        <v>1878</v>
      </c>
      <c r="E568" s="165" t="s">
        <v>1878</v>
      </c>
      <c r="F568" s="33"/>
      <c r="G568" s="33"/>
      <c r="H568" s="33"/>
      <c r="I568" s="33"/>
      <c r="J568" s="33"/>
      <c r="K568" s="33"/>
      <c r="L568" s="33"/>
      <c r="M568" s="33"/>
      <c r="N568" s="33"/>
      <c r="O568" s="33"/>
      <c r="P568" s="33"/>
      <c r="Q568" s="33"/>
      <c r="R568" s="33"/>
      <c r="S568" s="33"/>
      <c r="T568" s="33"/>
      <c r="U568" s="33"/>
      <c r="V568" s="33"/>
      <c r="W568" s="33"/>
      <c r="X568" s="33"/>
      <c r="Y568" s="33"/>
      <c r="Z568" s="33"/>
      <c r="AA568" s="33"/>
      <c r="AB568" s="33"/>
      <c r="AC568" s="33"/>
      <c r="AD568" s="33"/>
      <c r="AE568" s="33"/>
      <c r="AF568" s="33"/>
    </row>
    <row r="569" ht="15.75" customHeight="1">
      <c r="A569" s="63" t="s">
        <v>5570</v>
      </c>
      <c r="B569" s="94">
        <v>-777.0</v>
      </c>
      <c r="C569" s="37" t="s">
        <v>1887</v>
      </c>
      <c r="D569" s="37" t="s">
        <v>418</v>
      </c>
      <c r="E569" s="71" t="s">
        <v>1888</v>
      </c>
      <c r="F569" s="19"/>
      <c r="G569" s="36"/>
      <c r="H569" s="19"/>
      <c r="I569" s="19"/>
      <c r="J569" s="19"/>
      <c r="K569" s="19"/>
      <c r="L569" s="19"/>
      <c r="M569" s="19"/>
      <c r="N569" s="19"/>
      <c r="O569" s="19"/>
      <c r="P569" s="19"/>
      <c r="Q569" s="19"/>
      <c r="R569" s="19"/>
      <c r="S569" s="19"/>
      <c r="T569" s="19"/>
      <c r="U569" s="19"/>
      <c r="V569" s="19"/>
      <c r="W569" s="19"/>
      <c r="X569" s="19"/>
      <c r="Y569" s="19"/>
      <c r="Z569" s="19"/>
      <c r="AA569" s="19"/>
      <c r="AB569" s="19"/>
      <c r="AC569" s="19"/>
      <c r="AD569" s="19"/>
      <c r="AE569" s="19"/>
      <c r="AF569" s="19"/>
    </row>
    <row r="570" ht="15.75" customHeight="1">
      <c r="A570" s="100"/>
      <c r="B570" s="102"/>
      <c r="C570" s="100"/>
      <c r="D570" s="100"/>
      <c r="E570" s="165"/>
      <c r="F570" s="33"/>
      <c r="G570" s="33"/>
      <c r="H570" s="33"/>
      <c r="I570" s="33"/>
      <c r="J570" s="33"/>
      <c r="K570" s="33"/>
      <c r="L570" s="33"/>
      <c r="M570" s="33"/>
      <c r="N570" s="33"/>
      <c r="O570" s="33"/>
      <c r="P570" s="33"/>
      <c r="Q570" s="33"/>
      <c r="R570" s="33"/>
      <c r="S570" s="33"/>
      <c r="T570" s="33"/>
      <c r="U570" s="33"/>
      <c r="V570" s="33"/>
      <c r="W570" s="33"/>
      <c r="X570" s="33"/>
      <c r="Y570" s="33"/>
      <c r="Z570" s="33"/>
      <c r="AA570" s="33"/>
      <c r="AB570" s="33"/>
      <c r="AC570" s="33"/>
      <c r="AD570" s="33"/>
      <c r="AE570" s="33"/>
      <c r="AF570" s="33"/>
    </row>
    <row r="571" ht="15.75" customHeight="1">
      <c r="A571" s="110" t="s">
        <v>5685</v>
      </c>
      <c r="B571" s="111">
        <v>0.0</v>
      </c>
      <c r="C571" s="116" t="s">
        <v>5686</v>
      </c>
      <c r="D571" s="116" t="s">
        <v>5688</v>
      </c>
      <c r="E571" s="116" t="s">
        <v>5691</v>
      </c>
      <c r="F571" s="114"/>
      <c r="G571" s="114"/>
      <c r="H571" s="44"/>
      <c r="I571" s="44"/>
      <c r="J571" s="44"/>
      <c r="K571" s="44"/>
      <c r="L571" s="44"/>
      <c r="M571" s="44"/>
      <c r="N571" s="44"/>
      <c r="O571" s="44"/>
      <c r="P571" s="44"/>
      <c r="Q571" s="44"/>
      <c r="R571" s="44"/>
      <c r="S571" s="44"/>
      <c r="T571" s="44"/>
      <c r="U571" s="44"/>
      <c r="V571" s="44"/>
      <c r="W571" s="44"/>
      <c r="X571" s="44"/>
      <c r="Y571" s="44"/>
      <c r="Z571" s="44"/>
      <c r="AA571" s="44"/>
      <c r="AB571" s="44"/>
      <c r="AC571" s="44"/>
      <c r="AD571" s="44"/>
      <c r="AE571" s="44"/>
      <c r="AF571" s="44"/>
    </row>
    <row r="572" ht="15.75" customHeight="1">
      <c r="A572" s="75" t="s">
        <v>5685</v>
      </c>
      <c r="B572" s="76">
        <v>1.0</v>
      </c>
      <c r="C572" s="31" t="s">
        <v>5706</v>
      </c>
      <c r="D572" s="31" t="s">
        <v>5707</v>
      </c>
      <c r="E572" s="78" t="s">
        <v>5710</v>
      </c>
      <c r="F572" s="29"/>
      <c r="G572" s="29"/>
      <c r="H572" s="33"/>
      <c r="I572" s="33"/>
      <c r="J572" s="33"/>
      <c r="K572" s="33"/>
      <c r="L572" s="33"/>
      <c r="M572" s="33"/>
      <c r="N572" s="33"/>
      <c r="O572" s="33"/>
      <c r="P572" s="33"/>
      <c r="Q572" s="33"/>
      <c r="R572" s="33"/>
      <c r="S572" s="33"/>
      <c r="T572" s="33"/>
      <c r="U572" s="33"/>
      <c r="V572" s="33"/>
      <c r="W572" s="33"/>
      <c r="X572" s="33"/>
      <c r="Y572" s="33"/>
      <c r="Z572" s="33"/>
      <c r="AA572" s="33"/>
      <c r="AB572" s="33"/>
      <c r="AC572" s="33"/>
      <c r="AD572" s="33"/>
      <c r="AE572" s="33"/>
      <c r="AF572" s="33"/>
    </row>
    <row r="573" ht="15.75" customHeight="1">
      <c r="A573" s="75" t="s">
        <v>5685</v>
      </c>
      <c r="B573" s="76">
        <v>2.0</v>
      </c>
      <c r="C573" s="31" t="s">
        <v>5721</v>
      </c>
      <c r="D573" s="31" t="s">
        <v>5726</v>
      </c>
      <c r="E573" s="78" t="s">
        <v>5727</v>
      </c>
      <c r="F573" s="29"/>
      <c r="G573" s="29"/>
      <c r="H573" s="33"/>
      <c r="I573" s="33"/>
      <c r="J573" s="33"/>
      <c r="K573" s="33"/>
      <c r="L573" s="33"/>
      <c r="M573" s="33"/>
      <c r="N573" s="33"/>
      <c r="O573" s="33"/>
      <c r="P573" s="33"/>
      <c r="Q573" s="33"/>
      <c r="R573" s="33"/>
      <c r="S573" s="33"/>
      <c r="T573" s="33"/>
      <c r="U573" s="33"/>
      <c r="V573" s="33"/>
      <c r="W573" s="33"/>
      <c r="X573" s="33"/>
      <c r="Y573" s="33"/>
      <c r="Z573" s="33"/>
      <c r="AA573" s="33"/>
      <c r="AB573" s="33"/>
      <c r="AC573" s="33"/>
      <c r="AD573" s="33"/>
      <c r="AE573" s="33"/>
      <c r="AF573" s="33"/>
    </row>
    <row r="574" ht="15.75" customHeight="1">
      <c r="A574" s="75" t="s">
        <v>5685</v>
      </c>
      <c r="B574" s="76">
        <v>3.0</v>
      </c>
      <c r="C574" s="31" t="s">
        <v>5738</v>
      </c>
      <c r="D574" s="31" t="s">
        <v>5740</v>
      </c>
      <c r="E574" s="78" t="s">
        <v>5742</v>
      </c>
      <c r="F574" s="162"/>
      <c r="G574" s="162"/>
      <c r="H574" s="33"/>
      <c r="I574" s="33"/>
      <c r="J574" s="33"/>
      <c r="K574" s="33"/>
      <c r="L574" s="33"/>
      <c r="M574" s="33"/>
      <c r="N574" s="33"/>
      <c r="O574" s="33"/>
      <c r="P574" s="33"/>
      <c r="Q574" s="33"/>
      <c r="R574" s="33"/>
      <c r="S574" s="33"/>
      <c r="T574" s="33"/>
      <c r="U574" s="33"/>
      <c r="V574" s="33"/>
      <c r="W574" s="33"/>
      <c r="X574" s="33"/>
      <c r="Y574" s="33"/>
      <c r="Z574" s="33"/>
      <c r="AA574" s="33"/>
      <c r="AB574" s="33"/>
      <c r="AC574" s="33"/>
      <c r="AD574" s="33"/>
      <c r="AE574" s="33"/>
      <c r="AF574" s="33"/>
    </row>
    <row r="575" ht="15.75" customHeight="1">
      <c r="A575" s="75" t="s">
        <v>5685</v>
      </c>
      <c r="B575" s="76">
        <v>4.0</v>
      </c>
      <c r="C575" s="31" t="s">
        <v>5755</v>
      </c>
      <c r="D575" s="31" t="s">
        <v>5757</v>
      </c>
      <c r="E575" s="78" t="s">
        <v>5758</v>
      </c>
      <c r="F575" s="29"/>
      <c r="G575" s="29"/>
      <c r="H575" s="33"/>
      <c r="I575" s="33"/>
      <c r="J575" s="33"/>
      <c r="K575" s="33"/>
      <c r="L575" s="33"/>
      <c r="M575" s="33"/>
      <c r="N575" s="33"/>
      <c r="O575" s="33"/>
      <c r="P575" s="33"/>
      <c r="Q575" s="33"/>
      <c r="R575" s="33"/>
      <c r="S575" s="33"/>
      <c r="T575" s="33"/>
      <c r="U575" s="33"/>
      <c r="V575" s="33"/>
      <c r="W575" s="33"/>
      <c r="X575" s="33"/>
      <c r="Y575" s="33"/>
      <c r="Z575" s="33"/>
      <c r="AA575" s="33"/>
      <c r="AB575" s="33"/>
      <c r="AC575" s="33"/>
      <c r="AD575" s="33"/>
      <c r="AE575" s="33"/>
      <c r="AF575" s="33"/>
    </row>
    <row r="576" ht="15.75" customHeight="1">
      <c r="A576" s="75" t="s">
        <v>5685</v>
      </c>
      <c r="B576" s="76">
        <v>5.0</v>
      </c>
      <c r="C576" s="31" t="s">
        <v>5774</v>
      </c>
      <c r="D576" s="31" t="s">
        <v>5778</v>
      </c>
      <c r="E576" s="78" t="s">
        <v>5781</v>
      </c>
      <c r="F576" s="29"/>
      <c r="G576" s="29"/>
      <c r="H576" s="33"/>
      <c r="I576" s="33"/>
      <c r="J576" s="33"/>
      <c r="K576" s="33"/>
      <c r="L576" s="33"/>
      <c r="M576" s="33"/>
      <c r="N576" s="33"/>
      <c r="O576" s="33"/>
      <c r="P576" s="33"/>
      <c r="Q576" s="33"/>
      <c r="R576" s="33"/>
      <c r="S576" s="33"/>
      <c r="T576" s="33"/>
      <c r="U576" s="33"/>
      <c r="V576" s="33"/>
      <c r="W576" s="33"/>
      <c r="X576" s="33"/>
      <c r="Y576" s="33"/>
      <c r="Z576" s="33"/>
      <c r="AA576" s="33"/>
      <c r="AB576" s="33"/>
      <c r="AC576" s="33"/>
      <c r="AD576" s="33"/>
      <c r="AE576" s="33"/>
      <c r="AF576" s="33"/>
    </row>
    <row r="577" ht="15.75" customHeight="1">
      <c r="A577" s="75" t="s">
        <v>5685</v>
      </c>
      <c r="B577" s="76">
        <v>6.0</v>
      </c>
      <c r="C577" s="31" t="s">
        <v>5797</v>
      </c>
      <c r="D577" s="31" t="s">
        <v>5800</v>
      </c>
      <c r="E577" s="78" t="s">
        <v>5802</v>
      </c>
      <c r="F577" s="29"/>
      <c r="G577" s="29"/>
      <c r="H577" s="33"/>
      <c r="I577" s="33"/>
      <c r="J577" s="33"/>
      <c r="K577" s="33"/>
      <c r="L577" s="33"/>
      <c r="M577" s="33"/>
      <c r="N577" s="33"/>
      <c r="O577" s="33"/>
      <c r="P577" s="33"/>
      <c r="Q577" s="33"/>
      <c r="R577" s="33"/>
      <c r="S577" s="33"/>
      <c r="T577" s="33"/>
      <c r="U577" s="33"/>
      <c r="V577" s="33"/>
      <c r="W577" s="33"/>
      <c r="X577" s="33"/>
      <c r="Y577" s="33"/>
      <c r="Z577" s="33"/>
      <c r="AA577" s="33"/>
      <c r="AB577" s="33"/>
      <c r="AC577" s="33"/>
      <c r="AD577" s="33"/>
      <c r="AE577" s="33"/>
      <c r="AF577" s="33"/>
    </row>
    <row r="578" ht="15.75" customHeight="1">
      <c r="A578" s="75" t="s">
        <v>5685</v>
      </c>
      <c r="B578" s="76">
        <v>7.0</v>
      </c>
      <c r="C578" s="31" t="s">
        <v>5814</v>
      </c>
      <c r="D578" s="31" t="s">
        <v>5816</v>
      </c>
      <c r="E578" s="78" t="s">
        <v>5818</v>
      </c>
      <c r="F578" s="29"/>
      <c r="G578" s="29"/>
      <c r="H578" s="33"/>
      <c r="I578" s="33"/>
      <c r="J578" s="33"/>
      <c r="K578" s="33"/>
      <c r="L578" s="33"/>
      <c r="M578" s="33"/>
      <c r="N578" s="33"/>
      <c r="O578" s="33"/>
      <c r="P578" s="33"/>
      <c r="Q578" s="33"/>
      <c r="R578" s="33"/>
      <c r="S578" s="33"/>
      <c r="T578" s="33"/>
      <c r="U578" s="33"/>
      <c r="V578" s="33"/>
      <c r="W578" s="33"/>
      <c r="X578" s="33"/>
      <c r="Y578" s="33"/>
      <c r="Z578" s="33"/>
      <c r="AA578" s="33"/>
      <c r="AB578" s="33"/>
      <c r="AC578" s="33"/>
      <c r="AD578" s="33"/>
      <c r="AE578" s="33"/>
      <c r="AF578" s="33"/>
    </row>
    <row r="579" ht="15.75" customHeight="1">
      <c r="A579" s="63" t="s">
        <v>5685</v>
      </c>
      <c r="B579" s="94">
        <v>-777.0</v>
      </c>
      <c r="C579" s="37" t="s">
        <v>417</v>
      </c>
      <c r="D579" s="37" t="s">
        <v>418</v>
      </c>
      <c r="E579" s="71" t="s">
        <v>1888</v>
      </c>
      <c r="F579" s="36"/>
      <c r="G579" s="36"/>
      <c r="H579" s="19"/>
      <c r="I579" s="19"/>
      <c r="J579" s="19"/>
      <c r="K579" s="19"/>
      <c r="L579" s="19"/>
      <c r="M579" s="19"/>
      <c r="N579" s="19"/>
      <c r="O579" s="19"/>
      <c r="P579" s="19"/>
      <c r="Q579" s="19"/>
      <c r="R579" s="19"/>
      <c r="S579" s="19"/>
      <c r="T579" s="19"/>
      <c r="U579" s="19"/>
      <c r="V579" s="19"/>
      <c r="W579" s="19"/>
      <c r="X579" s="19"/>
      <c r="Y579" s="19"/>
      <c r="Z579" s="19"/>
      <c r="AA579" s="19"/>
      <c r="AB579" s="19"/>
      <c r="AC579" s="19"/>
      <c r="AD579" s="19"/>
      <c r="AE579" s="19"/>
      <c r="AF579" s="19"/>
    </row>
    <row r="580" ht="15.75" customHeight="1">
      <c r="A580" s="100"/>
      <c r="B580" s="102"/>
      <c r="C580" s="100"/>
      <c r="D580" s="100"/>
      <c r="E580" s="165"/>
      <c r="F580" s="33"/>
      <c r="G580" s="33"/>
      <c r="H580" s="33"/>
      <c r="I580" s="33"/>
      <c r="J580" s="33"/>
      <c r="K580" s="33"/>
      <c r="L580" s="33"/>
      <c r="M580" s="33"/>
      <c r="N580" s="33"/>
      <c r="O580" s="33"/>
      <c r="P580" s="33"/>
      <c r="Q580" s="33"/>
      <c r="R580" s="33"/>
      <c r="S580" s="33"/>
      <c r="T580" s="33"/>
      <c r="U580" s="33"/>
      <c r="V580" s="33"/>
      <c r="W580" s="33"/>
      <c r="X580" s="33"/>
      <c r="Y580" s="33"/>
      <c r="Z580" s="33"/>
      <c r="AA580" s="33"/>
      <c r="AB580" s="33"/>
      <c r="AC580" s="33"/>
      <c r="AD580" s="33"/>
      <c r="AE580" s="33"/>
      <c r="AF580" s="33"/>
    </row>
    <row r="581" ht="15.75" customHeight="1">
      <c r="A581" s="110" t="s">
        <v>5882</v>
      </c>
      <c r="B581" s="111">
        <v>1.0</v>
      </c>
      <c r="C581" s="116" t="s">
        <v>5887</v>
      </c>
      <c r="D581" s="230" t="s">
        <v>5889</v>
      </c>
      <c r="E581" s="230" t="s">
        <v>5892</v>
      </c>
      <c r="F581" s="44"/>
      <c r="G581" s="44"/>
      <c r="H581" s="44"/>
      <c r="I581" s="44"/>
      <c r="J581" s="44"/>
      <c r="K581" s="44"/>
      <c r="L581" s="44"/>
      <c r="M581" s="44"/>
      <c r="N581" s="44"/>
      <c r="O581" s="44"/>
      <c r="P581" s="44"/>
      <c r="Q581" s="44"/>
      <c r="R581" s="44"/>
      <c r="S581" s="44"/>
      <c r="T581" s="44"/>
      <c r="U581" s="44"/>
      <c r="V581" s="44"/>
      <c r="W581" s="44"/>
      <c r="X581" s="44"/>
      <c r="Y581" s="44"/>
      <c r="Z581" s="44"/>
      <c r="AA581" s="44"/>
      <c r="AB581" s="44"/>
      <c r="AC581" s="44"/>
      <c r="AD581" s="44"/>
      <c r="AE581" s="44"/>
      <c r="AF581" s="44"/>
    </row>
    <row r="582" ht="15.75" customHeight="1">
      <c r="A582" s="75" t="s">
        <v>5882</v>
      </c>
      <c r="B582" s="76">
        <v>2.0</v>
      </c>
      <c r="C582" s="31" t="s">
        <v>1190</v>
      </c>
      <c r="D582" s="100" t="s">
        <v>5909</v>
      </c>
      <c r="E582" s="100" t="s">
        <v>5910</v>
      </c>
      <c r="F582" s="33"/>
      <c r="G582" s="33"/>
      <c r="H582" s="33"/>
      <c r="I582" s="33"/>
      <c r="J582" s="33"/>
      <c r="K582" s="33"/>
      <c r="L582" s="33"/>
      <c r="M582" s="33"/>
      <c r="N582" s="33"/>
      <c r="O582" s="33"/>
      <c r="P582" s="33"/>
      <c r="Q582" s="33"/>
      <c r="R582" s="33"/>
      <c r="S582" s="33"/>
      <c r="T582" s="33"/>
      <c r="U582" s="33"/>
      <c r="V582" s="33"/>
      <c r="W582" s="33"/>
      <c r="X582" s="33"/>
      <c r="Y582" s="33"/>
      <c r="Z582" s="33"/>
      <c r="AA582" s="33"/>
      <c r="AB582" s="33"/>
      <c r="AC582" s="33"/>
      <c r="AD582" s="33"/>
      <c r="AE582" s="33"/>
      <c r="AF582" s="33"/>
    </row>
    <row r="583" ht="15.75" customHeight="1">
      <c r="A583" s="63" t="s">
        <v>5882</v>
      </c>
      <c r="B583" s="94">
        <v>3.0</v>
      </c>
      <c r="C583" s="37" t="s">
        <v>5929</v>
      </c>
      <c r="D583" s="95" t="s">
        <v>5933</v>
      </c>
      <c r="E583" s="95" t="s">
        <v>5935</v>
      </c>
      <c r="F583" s="19"/>
      <c r="G583" s="19"/>
      <c r="H583" s="19"/>
      <c r="I583" s="19"/>
      <c r="J583" s="19"/>
      <c r="K583" s="19"/>
      <c r="L583" s="19"/>
      <c r="M583" s="19"/>
      <c r="N583" s="19"/>
      <c r="O583" s="19"/>
      <c r="P583" s="19"/>
      <c r="Q583" s="19"/>
      <c r="R583" s="19"/>
      <c r="S583" s="19"/>
      <c r="T583" s="19"/>
      <c r="U583" s="19"/>
      <c r="V583" s="19"/>
      <c r="W583" s="19"/>
      <c r="X583" s="19"/>
      <c r="Y583" s="19"/>
      <c r="Z583" s="19"/>
      <c r="AA583" s="19"/>
      <c r="AB583" s="19"/>
      <c r="AC583" s="19"/>
      <c r="AD583" s="19"/>
      <c r="AE583" s="19"/>
      <c r="AF583" s="19"/>
    </row>
    <row r="584" ht="15.75" customHeight="1">
      <c r="A584" s="100"/>
      <c r="B584" s="102"/>
      <c r="C584" s="100"/>
      <c r="D584" s="100"/>
      <c r="E584" s="165"/>
      <c r="F584" s="33"/>
      <c r="G584" s="33"/>
      <c r="H584" s="33"/>
      <c r="I584" s="33"/>
      <c r="J584" s="33"/>
      <c r="K584" s="33"/>
      <c r="L584" s="33"/>
      <c r="M584" s="33"/>
      <c r="N584" s="33"/>
      <c r="O584" s="33"/>
      <c r="P584" s="33"/>
      <c r="Q584" s="33"/>
      <c r="R584" s="33"/>
      <c r="S584" s="33"/>
      <c r="T584" s="33"/>
      <c r="U584" s="33"/>
      <c r="V584" s="33"/>
      <c r="W584" s="33"/>
      <c r="X584" s="33"/>
      <c r="Y584" s="33"/>
      <c r="Z584" s="33"/>
      <c r="AA584" s="33"/>
      <c r="AB584" s="33"/>
      <c r="AC584" s="33"/>
      <c r="AD584" s="33"/>
      <c r="AE584" s="33"/>
      <c r="AF584" s="33"/>
    </row>
    <row r="585" ht="15.75" customHeight="1">
      <c r="A585" s="110" t="s">
        <v>5972</v>
      </c>
      <c r="B585" s="111">
        <v>1.0</v>
      </c>
      <c r="C585" s="116" t="s">
        <v>373</v>
      </c>
      <c r="D585" s="290" t="s">
        <v>5976</v>
      </c>
      <c r="E585" s="262" t="s">
        <v>5977</v>
      </c>
      <c r="F585" s="44"/>
      <c r="G585" s="45">
        <v>1.0</v>
      </c>
      <c r="H585" s="45"/>
      <c r="I585" s="44"/>
      <c r="J585" s="44"/>
      <c r="K585" s="44"/>
      <c r="L585" s="44"/>
      <c r="M585" s="44"/>
      <c r="N585" s="44"/>
      <c r="O585" s="44"/>
      <c r="P585" s="44"/>
      <c r="Q585" s="44"/>
      <c r="R585" s="44"/>
      <c r="S585" s="44"/>
      <c r="T585" s="44"/>
      <c r="U585" s="44"/>
      <c r="V585" s="44"/>
      <c r="W585" s="44"/>
      <c r="X585" s="44"/>
      <c r="Y585" s="44"/>
      <c r="Z585" s="44"/>
      <c r="AA585" s="44"/>
      <c r="AB585" s="44"/>
      <c r="AC585" s="44"/>
      <c r="AD585" s="44"/>
      <c r="AE585" s="44"/>
      <c r="AF585" s="44"/>
    </row>
    <row r="586" ht="15.75" customHeight="1">
      <c r="A586" s="75" t="s">
        <v>5972</v>
      </c>
      <c r="B586" s="76">
        <v>2.0</v>
      </c>
      <c r="C586" s="31" t="s">
        <v>380</v>
      </c>
      <c r="D586" s="100" t="s">
        <v>381</v>
      </c>
      <c r="E586" s="100" t="s">
        <v>382</v>
      </c>
      <c r="F586" s="33"/>
      <c r="G586" s="52">
        <v>1.0</v>
      </c>
      <c r="H586" s="52"/>
      <c r="I586" s="33"/>
      <c r="J586" s="33"/>
      <c r="K586" s="33"/>
      <c r="L586" s="33"/>
      <c r="M586" s="33"/>
      <c r="N586" s="33"/>
      <c r="O586" s="33"/>
      <c r="P586" s="33"/>
      <c r="Q586" s="33"/>
      <c r="R586" s="33"/>
      <c r="S586" s="33"/>
      <c r="T586" s="33"/>
      <c r="U586" s="33"/>
      <c r="V586" s="33"/>
      <c r="W586" s="33"/>
      <c r="X586" s="33"/>
      <c r="Y586" s="33"/>
      <c r="Z586" s="33"/>
      <c r="AA586" s="33"/>
      <c r="AB586" s="33"/>
      <c r="AC586" s="33"/>
      <c r="AD586" s="33"/>
      <c r="AE586" s="33"/>
      <c r="AF586" s="33"/>
    </row>
    <row r="587" ht="15.75" customHeight="1">
      <c r="A587" s="75" t="s">
        <v>5972</v>
      </c>
      <c r="B587" s="76">
        <v>3.0</v>
      </c>
      <c r="C587" s="31" t="s">
        <v>386</v>
      </c>
      <c r="D587" s="100" t="s">
        <v>386</v>
      </c>
      <c r="E587" s="100" t="s">
        <v>6002</v>
      </c>
      <c r="F587" s="33"/>
      <c r="G587" s="52">
        <v>1.0</v>
      </c>
      <c r="H587" s="52"/>
      <c r="I587" s="33"/>
      <c r="J587" s="33"/>
      <c r="K587" s="33"/>
      <c r="L587" s="33"/>
      <c r="M587" s="33"/>
      <c r="N587" s="33"/>
      <c r="O587" s="33"/>
      <c r="P587" s="33"/>
      <c r="Q587" s="33"/>
      <c r="R587" s="33"/>
      <c r="S587" s="33"/>
      <c r="T587" s="33"/>
      <c r="U587" s="33"/>
      <c r="V587" s="33"/>
      <c r="W587" s="33"/>
      <c r="X587" s="33"/>
      <c r="Y587" s="33"/>
      <c r="Z587" s="33"/>
      <c r="AA587" s="33"/>
      <c r="AB587" s="33"/>
      <c r="AC587" s="33"/>
      <c r="AD587" s="33"/>
      <c r="AE587" s="33"/>
      <c r="AF587" s="33"/>
    </row>
    <row r="588" ht="15.75" customHeight="1">
      <c r="A588" s="75" t="s">
        <v>5972</v>
      </c>
      <c r="B588" s="76">
        <v>4.0</v>
      </c>
      <c r="C588" s="31" t="s">
        <v>390</v>
      </c>
      <c r="D588" s="100" t="s">
        <v>6009</v>
      </c>
      <c r="E588" s="165" t="s">
        <v>6010</v>
      </c>
      <c r="F588" s="33"/>
      <c r="G588" s="52">
        <v>1.0</v>
      </c>
      <c r="H588" s="52"/>
      <c r="I588" s="33"/>
      <c r="J588" s="33"/>
      <c r="K588" s="33"/>
      <c r="L588" s="33"/>
      <c r="M588" s="33"/>
      <c r="N588" s="33"/>
      <c r="O588" s="33"/>
      <c r="P588" s="33"/>
      <c r="Q588" s="33"/>
      <c r="R588" s="33"/>
      <c r="S588" s="33"/>
      <c r="T588" s="33"/>
      <c r="U588" s="33"/>
      <c r="V588" s="33"/>
      <c r="W588" s="33"/>
      <c r="X588" s="33"/>
      <c r="Y588" s="33"/>
      <c r="Z588" s="33"/>
      <c r="AA588" s="33"/>
      <c r="AB588" s="33"/>
      <c r="AC588" s="33"/>
      <c r="AD588" s="33"/>
      <c r="AE588" s="33"/>
      <c r="AF588" s="33"/>
    </row>
    <row r="589" ht="15.75" customHeight="1">
      <c r="A589" s="75" t="s">
        <v>5972</v>
      </c>
      <c r="B589" s="76">
        <v>5.0</v>
      </c>
      <c r="C589" s="31" t="s">
        <v>395</v>
      </c>
      <c r="D589" s="100" t="s">
        <v>6017</v>
      </c>
      <c r="E589" s="165" t="s">
        <v>6019</v>
      </c>
      <c r="F589" s="33"/>
      <c r="G589" s="52">
        <v>1.0</v>
      </c>
      <c r="H589" s="52"/>
      <c r="I589" s="33"/>
      <c r="J589" s="33"/>
      <c r="K589" s="33"/>
      <c r="L589" s="33"/>
      <c r="M589" s="33"/>
      <c r="N589" s="33"/>
      <c r="O589" s="33"/>
      <c r="P589" s="33"/>
      <c r="Q589" s="33"/>
      <c r="R589" s="33"/>
      <c r="S589" s="33"/>
      <c r="T589" s="33"/>
      <c r="U589" s="33"/>
      <c r="V589" s="33"/>
      <c r="W589" s="33"/>
      <c r="X589" s="33"/>
      <c r="Y589" s="33"/>
      <c r="Z589" s="33"/>
      <c r="AA589" s="33"/>
      <c r="AB589" s="33"/>
      <c r="AC589" s="33"/>
      <c r="AD589" s="33"/>
      <c r="AE589" s="33"/>
      <c r="AF589" s="33"/>
    </row>
    <row r="590" ht="15.75" customHeight="1">
      <c r="A590" s="75" t="s">
        <v>5972</v>
      </c>
      <c r="B590" s="76">
        <v>6.0</v>
      </c>
      <c r="C590" s="31" t="s">
        <v>400</v>
      </c>
      <c r="D590" s="100" t="s">
        <v>6024</v>
      </c>
      <c r="E590" s="100" t="s">
        <v>402</v>
      </c>
      <c r="F590" s="33"/>
      <c r="G590" s="52">
        <v>1.0</v>
      </c>
      <c r="H590" s="52"/>
      <c r="I590" s="33"/>
      <c r="J590" s="33"/>
      <c r="K590" s="33"/>
      <c r="L590" s="33"/>
      <c r="M590" s="33"/>
      <c r="N590" s="33"/>
      <c r="O590" s="33"/>
      <c r="P590" s="33"/>
      <c r="Q590" s="33"/>
      <c r="R590" s="33"/>
      <c r="S590" s="33"/>
      <c r="T590" s="33"/>
      <c r="U590" s="33"/>
      <c r="V590" s="33"/>
      <c r="W590" s="33"/>
      <c r="X590" s="33"/>
      <c r="Y590" s="33"/>
      <c r="Z590" s="33"/>
      <c r="AA590" s="33"/>
      <c r="AB590" s="33"/>
      <c r="AC590" s="33"/>
      <c r="AD590" s="33"/>
      <c r="AE590" s="33"/>
      <c r="AF590" s="33"/>
    </row>
    <row r="591" ht="15.75" customHeight="1">
      <c r="A591" s="75" t="s">
        <v>5972</v>
      </c>
      <c r="B591" s="76">
        <v>7.0</v>
      </c>
      <c r="C591" s="31" t="s">
        <v>407</v>
      </c>
      <c r="D591" s="100" t="s">
        <v>408</v>
      </c>
      <c r="E591" s="100" t="s">
        <v>409</v>
      </c>
      <c r="F591" s="33"/>
      <c r="G591" s="33"/>
      <c r="H591" s="52"/>
      <c r="I591" s="33"/>
      <c r="J591" s="33"/>
      <c r="K591" s="33"/>
      <c r="L591" s="33"/>
      <c r="M591" s="33"/>
      <c r="N591" s="33"/>
      <c r="O591" s="33"/>
      <c r="P591" s="33"/>
      <c r="Q591" s="33"/>
      <c r="R591" s="33"/>
      <c r="S591" s="33"/>
      <c r="T591" s="33"/>
      <c r="U591" s="33"/>
      <c r="V591" s="33"/>
      <c r="W591" s="33"/>
      <c r="X591" s="33"/>
      <c r="Y591" s="33"/>
      <c r="Z591" s="33"/>
      <c r="AA591" s="33"/>
      <c r="AB591" s="33"/>
      <c r="AC591" s="33"/>
      <c r="AD591" s="33"/>
      <c r="AE591" s="33"/>
      <c r="AF591" s="33"/>
    </row>
    <row r="592" ht="15.75" customHeight="1">
      <c r="A592" s="63" t="s">
        <v>5972</v>
      </c>
      <c r="B592" s="94">
        <v>8.0</v>
      </c>
      <c r="C592" s="37" t="s">
        <v>411</v>
      </c>
      <c r="D592" s="95" t="s">
        <v>6041</v>
      </c>
      <c r="E592" s="95" t="s">
        <v>413</v>
      </c>
      <c r="F592" s="19"/>
      <c r="G592" s="19"/>
      <c r="H592" s="292"/>
      <c r="I592" s="19"/>
      <c r="J592" s="19"/>
      <c r="K592" s="19"/>
      <c r="L592" s="19"/>
      <c r="M592" s="19"/>
      <c r="N592" s="19"/>
      <c r="O592" s="19"/>
      <c r="P592" s="19"/>
      <c r="Q592" s="19"/>
      <c r="R592" s="19"/>
      <c r="S592" s="19"/>
      <c r="T592" s="19"/>
      <c r="U592" s="19"/>
      <c r="V592" s="19"/>
      <c r="W592" s="19"/>
      <c r="X592" s="19"/>
      <c r="Y592" s="19"/>
      <c r="Z592" s="19"/>
      <c r="AA592" s="19"/>
      <c r="AB592" s="19"/>
      <c r="AC592" s="19"/>
      <c r="AD592" s="19"/>
      <c r="AE592" s="19"/>
      <c r="AF592" s="19"/>
    </row>
    <row r="593" ht="15.75" customHeight="1">
      <c r="A593" s="63"/>
      <c r="B593" s="37"/>
      <c r="C593" s="37"/>
      <c r="D593" s="37"/>
      <c r="E593" s="37"/>
      <c r="F593" s="19"/>
      <c r="G593" s="19"/>
      <c r="H593" s="19"/>
      <c r="I593" s="19"/>
      <c r="J593" s="19"/>
      <c r="K593" s="19"/>
      <c r="L593" s="19"/>
      <c r="M593" s="19"/>
      <c r="N593" s="19"/>
      <c r="O593" s="19"/>
      <c r="P593" s="19"/>
      <c r="Q593" s="19"/>
      <c r="R593" s="19"/>
      <c r="S593" s="19"/>
      <c r="T593" s="19"/>
      <c r="U593" s="19"/>
      <c r="V593" s="19"/>
      <c r="W593" s="19"/>
      <c r="X593" s="19"/>
      <c r="Y593" s="19"/>
      <c r="Z593" s="19"/>
      <c r="AA593" s="19"/>
      <c r="AB593" s="19"/>
      <c r="AC593" s="19"/>
      <c r="AD593" s="19"/>
      <c r="AE593" s="19"/>
      <c r="AF593" s="19"/>
    </row>
    <row r="594" ht="15.75" customHeight="1">
      <c r="A594" s="75" t="s">
        <v>6062</v>
      </c>
      <c r="B594" s="76">
        <v>1.0</v>
      </c>
      <c r="C594" s="31" t="s">
        <v>366</v>
      </c>
      <c r="D594" s="142" t="s">
        <v>367</v>
      </c>
      <c r="E594" s="100" t="s">
        <v>370</v>
      </c>
      <c r="F594" s="33"/>
      <c r="G594" s="33"/>
      <c r="H594" s="33"/>
      <c r="I594" s="33"/>
      <c r="J594" s="33"/>
      <c r="K594" s="33"/>
      <c r="L594" s="33"/>
      <c r="M594" s="33"/>
      <c r="N594" s="33"/>
      <c r="O594" s="33"/>
      <c r="P594" s="33"/>
      <c r="Q594" s="33"/>
      <c r="R594" s="33"/>
      <c r="S594" s="33"/>
      <c r="T594" s="33"/>
      <c r="U594" s="33"/>
      <c r="V594" s="33"/>
      <c r="W594" s="33"/>
      <c r="X594" s="33"/>
      <c r="Y594" s="33"/>
      <c r="Z594" s="33"/>
      <c r="AA594" s="33"/>
      <c r="AB594" s="33"/>
      <c r="AC594" s="33"/>
      <c r="AD594" s="33"/>
      <c r="AE594" s="33"/>
      <c r="AF594" s="33"/>
    </row>
    <row r="595" ht="15.75" customHeight="1">
      <c r="A595" s="75" t="s">
        <v>6062</v>
      </c>
      <c r="B595" s="76">
        <v>2.0</v>
      </c>
      <c r="C595" s="31" t="s">
        <v>6073</v>
      </c>
      <c r="D595" s="142" t="s">
        <v>6074</v>
      </c>
      <c r="E595" s="100" t="s">
        <v>6075</v>
      </c>
      <c r="F595" s="33"/>
      <c r="G595" s="33"/>
      <c r="H595" s="33"/>
      <c r="I595" s="33"/>
      <c r="J595" s="33"/>
      <c r="K595" s="33"/>
      <c r="L595" s="33"/>
      <c r="M595" s="33"/>
      <c r="N595" s="33"/>
      <c r="O595" s="33"/>
      <c r="P595" s="33"/>
      <c r="Q595" s="33"/>
      <c r="R595" s="33"/>
      <c r="S595" s="33"/>
      <c r="T595" s="33"/>
      <c r="U595" s="33"/>
      <c r="V595" s="33"/>
      <c r="W595" s="33"/>
      <c r="X595" s="33"/>
      <c r="Y595" s="33"/>
      <c r="Z595" s="33"/>
      <c r="AA595" s="33"/>
      <c r="AB595" s="33"/>
      <c r="AC595" s="33"/>
      <c r="AD595" s="33"/>
      <c r="AE595" s="33"/>
      <c r="AF595" s="33"/>
    </row>
    <row r="596" ht="15.75" customHeight="1">
      <c r="A596" s="75" t="s">
        <v>6062</v>
      </c>
      <c r="B596" s="76">
        <v>3.0</v>
      </c>
      <c r="C596" s="31" t="s">
        <v>6086</v>
      </c>
      <c r="D596" s="142" t="s">
        <v>239</v>
      </c>
      <c r="E596" s="100" t="s">
        <v>6088</v>
      </c>
      <c r="F596" s="33"/>
      <c r="G596" s="33"/>
      <c r="H596" s="33"/>
      <c r="I596" s="33"/>
      <c r="J596" s="33"/>
      <c r="K596" s="33"/>
      <c r="L596" s="33"/>
      <c r="M596" s="33"/>
      <c r="N596" s="33"/>
      <c r="O596" s="33"/>
      <c r="P596" s="33"/>
      <c r="Q596" s="33"/>
      <c r="R596" s="33"/>
      <c r="S596" s="33"/>
      <c r="T596" s="33"/>
      <c r="U596" s="33"/>
      <c r="V596" s="33"/>
      <c r="W596" s="33"/>
      <c r="X596" s="33"/>
      <c r="Y596" s="33"/>
      <c r="Z596" s="33"/>
      <c r="AA596" s="33"/>
      <c r="AB596" s="33"/>
      <c r="AC596" s="33"/>
      <c r="AD596" s="33"/>
      <c r="AE596" s="33"/>
      <c r="AF596" s="33"/>
    </row>
    <row r="597" ht="15.75" customHeight="1">
      <c r="A597" s="75" t="s">
        <v>6062</v>
      </c>
      <c r="B597" s="76">
        <v>4.0</v>
      </c>
      <c r="C597" s="31" t="s">
        <v>6096</v>
      </c>
      <c r="D597" s="142" t="s">
        <v>6097</v>
      </c>
      <c r="E597" s="100" t="s">
        <v>279</v>
      </c>
      <c r="F597" s="33"/>
      <c r="G597" s="33"/>
      <c r="H597" s="33"/>
      <c r="I597" s="33"/>
      <c r="J597" s="33"/>
      <c r="K597" s="33"/>
      <c r="L597" s="33"/>
      <c r="M597" s="33"/>
      <c r="N597" s="33"/>
      <c r="O597" s="33"/>
      <c r="P597" s="33"/>
      <c r="Q597" s="33"/>
      <c r="R597" s="33"/>
      <c r="S597" s="33"/>
      <c r="T597" s="33"/>
      <c r="U597" s="33"/>
      <c r="V597" s="33"/>
      <c r="W597" s="33"/>
      <c r="X597" s="33"/>
      <c r="Y597" s="33"/>
      <c r="Z597" s="33"/>
      <c r="AA597" s="33"/>
      <c r="AB597" s="33"/>
      <c r="AC597" s="33"/>
      <c r="AD597" s="33"/>
      <c r="AE597" s="33"/>
      <c r="AF597" s="33"/>
    </row>
    <row r="598" ht="15.75" customHeight="1">
      <c r="A598" s="75" t="s">
        <v>6062</v>
      </c>
      <c r="B598" s="76">
        <v>5.0</v>
      </c>
      <c r="C598" s="31" t="s">
        <v>6102</v>
      </c>
      <c r="D598" s="142" t="s">
        <v>6103</v>
      </c>
      <c r="E598" s="100" t="s">
        <v>279</v>
      </c>
      <c r="F598" s="33"/>
      <c r="G598" s="33"/>
      <c r="H598" s="33"/>
      <c r="I598" s="33"/>
      <c r="J598" s="33"/>
      <c r="K598" s="33"/>
      <c r="L598" s="33"/>
      <c r="M598" s="33"/>
      <c r="N598" s="33"/>
      <c r="O598" s="33"/>
      <c r="P598" s="33"/>
      <c r="Q598" s="33"/>
      <c r="R598" s="33"/>
      <c r="S598" s="33"/>
      <c r="T598" s="33"/>
      <c r="U598" s="33"/>
      <c r="V598" s="33"/>
      <c r="W598" s="33"/>
      <c r="X598" s="33"/>
      <c r="Y598" s="33"/>
      <c r="Z598" s="33"/>
      <c r="AA598" s="33"/>
      <c r="AB598" s="33"/>
      <c r="AC598" s="33"/>
      <c r="AD598" s="33"/>
      <c r="AE598" s="33"/>
      <c r="AF598" s="33"/>
    </row>
    <row r="599" ht="15.75" customHeight="1">
      <c r="A599" s="75" t="s">
        <v>6062</v>
      </c>
      <c r="B599" s="76">
        <v>6.0</v>
      </c>
      <c r="C599" s="31" t="s">
        <v>6114</v>
      </c>
      <c r="D599" s="142" t="s">
        <v>6115</v>
      </c>
      <c r="E599" s="100" t="s">
        <v>6116</v>
      </c>
      <c r="F599" s="33"/>
      <c r="G599" s="33"/>
      <c r="H599" s="33"/>
      <c r="I599" s="33"/>
      <c r="J599" s="33"/>
      <c r="K599" s="33"/>
      <c r="L599" s="33"/>
      <c r="M599" s="33"/>
      <c r="N599" s="33"/>
      <c r="O599" s="33"/>
      <c r="P599" s="33"/>
      <c r="Q599" s="33"/>
      <c r="R599" s="33"/>
      <c r="S599" s="33"/>
      <c r="T599" s="33"/>
      <c r="U599" s="33"/>
      <c r="V599" s="33"/>
      <c r="W599" s="33"/>
      <c r="X599" s="33"/>
      <c r="Y599" s="33"/>
      <c r="Z599" s="33"/>
      <c r="AA599" s="33"/>
      <c r="AB599" s="33"/>
      <c r="AC599" s="33"/>
      <c r="AD599" s="33"/>
      <c r="AE599" s="33"/>
      <c r="AF599" s="33"/>
    </row>
    <row r="600" ht="15.75" customHeight="1">
      <c r="A600" s="63" t="s">
        <v>6062</v>
      </c>
      <c r="B600" s="94">
        <v>7.0</v>
      </c>
      <c r="C600" s="37" t="s">
        <v>6128</v>
      </c>
      <c r="D600" s="296" t="s">
        <v>6129</v>
      </c>
      <c r="E600" s="95" t="s">
        <v>6132</v>
      </c>
      <c r="F600" s="19"/>
      <c r="G600" s="19"/>
      <c r="H600" s="19"/>
      <c r="I600" s="19"/>
      <c r="J600" s="19"/>
      <c r="K600" s="19"/>
      <c r="L600" s="19"/>
      <c r="M600" s="19"/>
      <c r="N600" s="19"/>
      <c r="O600" s="19"/>
      <c r="P600" s="19"/>
      <c r="Q600" s="19"/>
      <c r="R600" s="19"/>
      <c r="S600" s="19"/>
      <c r="T600" s="19"/>
      <c r="U600" s="19"/>
      <c r="V600" s="19"/>
      <c r="W600" s="19"/>
      <c r="X600" s="19"/>
      <c r="Y600" s="19"/>
      <c r="Z600" s="19"/>
      <c r="AA600" s="19"/>
      <c r="AB600" s="19"/>
      <c r="AC600" s="19"/>
      <c r="AD600" s="19"/>
      <c r="AE600" s="19"/>
      <c r="AF600" s="19"/>
    </row>
    <row r="601" ht="15.75" customHeight="1">
      <c r="A601" s="63"/>
      <c r="B601" s="37"/>
      <c r="C601" s="37"/>
      <c r="D601" s="37"/>
      <c r="E601" s="37"/>
      <c r="F601" s="19"/>
      <c r="G601" s="19"/>
      <c r="H601" s="19"/>
      <c r="I601" s="19"/>
      <c r="J601" s="19"/>
      <c r="K601" s="19"/>
      <c r="L601" s="19"/>
      <c r="M601" s="19"/>
      <c r="N601" s="19"/>
      <c r="O601" s="19"/>
      <c r="P601" s="19"/>
      <c r="Q601" s="19"/>
      <c r="R601" s="19"/>
      <c r="S601" s="19"/>
      <c r="T601" s="19"/>
      <c r="U601" s="19"/>
      <c r="V601" s="19"/>
      <c r="W601" s="19"/>
      <c r="X601" s="19"/>
      <c r="Y601" s="19"/>
      <c r="Z601" s="19"/>
      <c r="AA601" s="19"/>
      <c r="AB601" s="19"/>
      <c r="AC601" s="19"/>
      <c r="AD601" s="19"/>
      <c r="AE601" s="19"/>
      <c r="AF601" s="19"/>
    </row>
    <row r="602" ht="15.75" customHeight="1">
      <c r="A602" s="110" t="s">
        <v>6146</v>
      </c>
      <c r="B602" s="111">
        <v>1.0</v>
      </c>
      <c r="C602" s="116" t="s">
        <v>3690</v>
      </c>
      <c r="D602" s="230" t="s">
        <v>3692</v>
      </c>
      <c r="E602" s="230" t="s">
        <v>3693</v>
      </c>
      <c r="F602" s="44"/>
      <c r="G602" s="44"/>
      <c r="H602" s="44"/>
      <c r="I602" s="44"/>
      <c r="J602" s="44"/>
      <c r="K602" s="44"/>
      <c r="L602" s="44"/>
      <c r="M602" s="44"/>
      <c r="N602" s="44"/>
      <c r="O602" s="44"/>
      <c r="P602" s="44"/>
      <c r="Q602" s="44"/>
      <c r="R602" s="44"/>
      <c r="S602" s="44"/>
      <c r="T602" s="44"/>
      <c r="U602" s="44"/>
      <c r="V602" s="44"/>
      <c r="W602" s="44"/>
      <c r="X602" s="44"/>
      <c r="Y602" s="44"/>
      <c r="Z602" s="44"/>
      <c r="AA602" s="44"/>
      <c r="AB602" s="44"/>
      <c r="AC602" s="44"/>
      <c r="AD602" s="44"/>
      <c r="AE602" s="44"/>
      <c r="AF602" s="44"/>
    </row>
    <row r="603" ht="15.75" customHeight="1">
      <c r="A603" s="75" t="s">
        <v>6146</v>
      </c>
      <c r="B603" s="76">
        <v>2.0</v>
      </c>
      <c r="C603" s="31" t="s">
        <v>6158</v>
      </c>
      <c r="D603" s="100" t="s">
        <v>6158</v>
      </c>
      <c r="E603" s="100" t="s">
        <v>6159</v>
      </c>
      <c r="F603" s="33"/>
      <c r="G603" s="33"/>
      <c r="H603" s="33"/>
      <c r="I603" s="33"/>
      <c r="J603" s="33"/>
      <c r="K603" s="33"/>
      <c r="L603" s="33"/>
      <c r="M603" s="33"/>
      <c r="N603" s="33"/>
      <c r="O603" s="33"/>
      <c r="P603" s="33"/>
      <c r="Q603" s="33"/>
      <c r="R603" s="33"/>
      <c r="S603" s="33"/>
      <c r="T603" s="33"/>
      <c r="U603" s="33"/>
      <c r="V603" s="33"/>
      <c r="W603" s="33"/>
      <c r="X603" s="33"/>
      <c r="Y603" s="33"/>
      <c r="Z603" s="33"/>
      <c r="AA603" s="33"/>
      <c r="AB603" s="33"/>
      <c r="AC603" s="33"/>
      <c r="AD603" s="33"/>
      <c r="AE603" s="33"/>
      <c r="AF603" s="33"/>
    </row>
    <row r="604" ht="15.75" customHeight="1">
      <c r="A604" s="75" t="s">
        <v>6146</v>
      </c>
      <c r="B604" s="76">
        <v>3.0</v>
      </c>
      <c r="C604" s="31" t="s">
        <v>6174</v>
      </c>
      <c r="D604" s="100" t="s">
        <v>6176</v>
      </c>
      <c r="E604" s="100" t="s">
        <v>6177</v>
      </c>
      <c r="F604" s="33"/>
      <c r="G604" s="33"/>
      <c r="H604" s="33"/>
      <c r="I604" s="33"/>
      <c r="J604" s="33"/>
      <c r="K604" s="33"/>
      <c r="L604" s="33"/>
      <c r="M604" s="33"/>
      <c r="N604" s="33"/>
      <c r="O604" s="33"/>
      <c r="P604" s="33"/>
      <c r="Q604" s="33"/>
      <c r="R604" s="33"/>
      <c r="S604" s="33"/>
      <c r="T604" s="33"/>
      <c r="U604" s="33"/>
      <c r="V604" s="33"/>
      <c r="W604" s="33"/>
      <c r="X604" s="33"/>
      <c r="Y604" s="33"/>
      <c r="Z604" s="33"/>
      <c r="AA604" s="33"/>
      <c r="AB604" s="33"/>
      <c r="AC604" s="33"/>
      <c r="AD604" s="33"/>
      <c r="AE604" s="33"/>
      <c r="AF604" s="33"/>
    </row>
    <row r="605" ht="15.75" customHeight="1">
      <c r="A605" s="75" t="s">
        <v>6146</v>
      </c>
      <c r="B605" s="76">
        <v>4.0</v>
      </c>
      <c r="C605" s="31" t="s">
        <v>6191</v>
      </c>
      <c r="D605" s="100" t="s">
        <v>6193</v>
      </c>
      <c r="E605" s="100" t="s">
        <v>6194</v>
      </c>
      <c r="F605" s="33"/>
      <c r="G605" s="33"/>
      <c r="H605" s="33"/>
      <c r="I605" s="33"/>
      <c r="J605" s="33"/>
      <c r="K605" s="33"/>
      <c r="L605" s="33"/>
      <c r="M605" s="33"/>
      <c r="N605" s="33"/>
      <c r="O605" s="33"/>
      <c r="P605" s="33"/>
      <c r="Q605" s="33"/>
      <c r="R605" s="33"/>
      <c r="S605" s="33"/>
      <c r="T605" s="33"/>
      <c r="U605" s="33"/>
      <c r="V605" s="33"/>
      <c r="W605" s="33"/>
      <c r="X605" s="33"/>
      <c r="Y605" s="33"/>
      <c r="Z605" s="33"/>
      <c r="AA605" s="33"/>
      <c r="AB605" s="33"/>
      <c r="AC605" s="33"/>
      <c r="AD605" s="33"/>
      <c r="AE605" s="33"/>
      <c r="AF605" s="33"/>
    </row>
    <row r="606" ht="15.75" customHeight="1">
      <c r="A606" s="75" t="s">
        <v>6146</v>
      </c>
      <c r="B606" s="76">
        <v>5.0</v>
      </c>
      <c r="C606" s="31" t="s">
        <v>6206</v>
      </c>
      <c r="D606" s="100" t="s">
        <v>6207</v>
      </c>
      <c r="E606" s="100" t="s">
        <v>6208</v>
      </c>
      <c r="F606" s="33"/>
      <c r="G606" s="33"/>
      <c r="H606" s="33"/>
      <c r="I606" s="33"/>
      <c r="J606" s="33"/>
      <c r="K606" s="33"/>
      <c r="L606" s="33"/>
      <c r="M606" s="33"/>
      <c r="N606" s="33"/>
      <c r="O606" s="33"/>
      <c r="P606" s="33"/>
      <c r="Q606" s="33"/>
      <c r="R606" s="33"/>
      <c r="S606" s="33"/>
      <c r="T606" s="33"/>
      <c r="U606" s="33"/>
      <c r="V606" s="33"/>
      <c r="W606" s="33"/>
      <c r="X606" s="33"/>
      <c r="Y606" s="33"/>
      <c r="Z606" s="33"/>
      <c r="AA606" s="33"/>
      <c r="AB606" s="33"/>
      <c r="AC606" s="33"/>
      <c r="AD606" s="33"/>
      <c r="AE606" s="33"/>
      <c r="AF606" s="33"/>
    </row>
    <row r="607" ht="15.75" customHeight="1">
      <c r="A607" s="75" t="s">
        <v>6146</v>
      </c>
      <c r="B607" s="76">
        <v>6.0</v>
      </c>
      <c r="C607" s="31" t="s">
        <v>6219</v>
      </c>
      <c r="D607" s="100" t="s">
        <v>6220</v>
      </c>
      <c r="E607" s="100" t="s">
        <v>6221</v>
      </c>
      <c r="F607" s="33"/>
      <c r="G607" s="33"/>
      <c r="H607" s="33"/>
      <c r="I607" s="33"/>
      <c r="J607" s="33"/>
      <c r="K607" s="33"/>
      <c r="L607" s="33"/>
      <c r="M607" s="33"/>
      <c r="N607" s="33"/>
      <c r="O607" s="33"/>
      <c r="P607" s="33"/>
      <c r="Q607" s="33"/>
      <c r="R607" s="33"/>
      <c r="S607" s="33"/>
      <c r="T607" s="33"/>
      <c r="U607" s="33"/>
      <c r="V607" s="33"/>
      <c r="W607" s="33"/>
      <c r="X607" s="33"/>
      <c r="Y607" s="33"/>
      <c r="Z607" s="33"/>
      <c r="AA607" s="33"/>
      <c r="AB607" s="33"/>
      <c r="AC607" s="33"/>
      <c r="AD607" s="33"/>
      <c r="AE607" s="33"/>
      <c r="AF607" s="33"/>
    </row>
    <row r="608" ht="15.75" customHeight="1">
      <c r="A608" s="75" t="s">
        <v>6146</v>
      </c>
      <c r="B608" s="76">
        <v>7.0</v>
      </c>
      <c r="C608" s="31" t="s">
        <v>6234</v>
      </c>
      <c r="D608" s="100" t="s">
        <v>6235</v>
      </c>
      <c r="E608" s="100" t="s">
        <v>6236</v>
      </c>
      <c r="F608" s="33"/>
      <c r="G608" s="33"/>
      <c r="H608" s="33"/>
      <c r="I608" s="33"/>
      <c r="J608" s="33"/>
      <c r="K608" s="33"/>
      <c r="L608" s="33"/>
      <c r="M608" s="33"/>
      <c r="N608" s="33"/>
      <c r="O608" s="33"/>
      <c r="P608" s="33"/>
      <c r="Q608" s="33"/>
      <c r="R608" s="33"/>
      <c r="S608" s="33"/>
      <c r="T608" s="33"/>
      <c r="U608" s="33"/>
      <c r="V608" s="33"/>
      <c r="W608" s="33"/>
      <c r="X608" s="33"/>
      <c r="Y608" s="33"/>
      <c r="Z608" s="33"/>
      <c r="AA608" s="33"/>
      <c r="AB608" s="33"/>
      <c r="AC608" s="33"/>
      <c r="AD608" s="33"/>
      <c r="AE608" s="33"/>
      <c r="AF608" s="33"/>
    </row>
    <row r="609" ht="15.75" customHeight="1">
      <c r="A609" s="75" t="s">
        <v>6146</v>
      </c>
      <c r="B609" s="76">
        <v>8.0</v>
      </c>
      <c r="C609" s="31" t="s">
        <v>6247</v>
      </c>
      <c r="D609" s="100" t="s">
        <v>6248</v>
      </c>
      <c r="E609" s="100" t="s">
        <v>6249</v>
      </c>
      <c r="F609" s="33"/>
      <c r="G609" s="33"/>
      <c r="H609" s="33"/>
      <c r="I609" s="33"/>
      <c r="J609" s="33"/>
      <c r="K609" s="33"/>
      <c r="L609" s="33"/>
      <c r="M609" s="33"/>
      <c r="N609" s="33"/>
      <c r="O609" s="33"/>
      <c r="P609" s="33"/>
      <c r="Q609" s="33"/>
      <c r="R609" s="33"/>
      <c r="S609" s="33"/>
      <c r="T609" s="33"/>
      <c r="U609" s="33"/>
      <c r="V609" s="33"/>
      <c r="W609" s="33"/>
      <c r="X609" s="33"/>
      <c r="Y609" s="33"/>
      <c r="Z609" s="33"/>
      <c r="AA609" s="33"/>
      <c r="AB609" s="33"/>
      <c r="AC609" s="33"/>
      <c r="AD609" s="33"/>
      <c r="AE609" s="33"/>
      <c r="AF609" s="33"/>
    </row>
    <row r="610" ht="15.75" customHeight="1">
      <c r="A610" s="75" t="s">
        <v>6146</v>
      </c>
      <c r="B610" s="76">
        <v>9.0</v>
      </c>
      <c r="C610" s="31" t="s">
        <v>6256</v>
      </c>
      <c r="D610" s="100" t="s">
        <v>1722</v>
      </c>
      <c r="E610" s="100" t="s">
        <v>1723</v>
      </c>
      <c r="F610" s="33"/>
      <c r="G610" s="33"/>
      <c r="H610" s="33"/>
      <c r="I610" s="33"/>
      <c r="J610" s="33"/>
      <c r="K610" s="33"/>
      <c r="L610" s="33"/>
      <c r="M610" s="33"/>
      <c r="N610" s="33"/>
      <c r="O610" s="33"/>
      <c r="P610" s="33"/>
      <c r="Q610" s="33"/>
      <c r="R610" s="33"/>
      <c r="S610" s="33"/>
      <c r="T610" s="33"/>
      <c r="U610" s="33"/>
      <c r="V610" s="33"/>
      <c r="W610" s="33"/>
      <c r="X610" s="33"/>
      <c r="Y610" s="33"/>
      <c r="Z610" s="33"/>
      <c r="AA610" s="33"/>
      <c r="AB610" s="33"/>
      <c r="AC610" s="33"/>
      <c r="AD610" s="33"/>
      <c r="AE610" s="33"/>
      <c r="AF610" s="33"/>
    </row>
    <row r="611" ht="15.75" customHeight="1">
      <c r="A611" s="75" t="s">
        <v>6146</v>
      </c>
      <c r="B611" s="76">
        <v>10.0</v>
      </c>
      <c r="C611" s="31" t="s">
        <v>6268</v>
      </c>
      <c r="D611" s="100" t="s">
        <v>6269</v>
      </c>
      <c r="E611" s="100" t="s">
        <v>6270</v>
      </c>
      <c r="F611" s="33"/>
      <c r="G611" s="33"/>
      <c r="H611" s="33"/>
      <c r="I611" s="33"/>
      <c r="J611" s="33"/>
      <c r="K611" s="33"/>
      <c r="L611" s="33"/>
      <c r="M611" s="33"/>
      <c r="N611" s="33"/>
      <c r="O611" s="33"/>
      <c r="P611" s="33"/>
      <c r="Q611" s="33"/>
      <c r="R611" s="33"/>
      <c r="S611" s="33"/>
      <c r="T611" s="33"/>
      <c r="U611" s="33"/>
      <c r="V611" s="33"/>
      <c r="W611" s="33"/>
      <c r="X611" s="33"/>
      <c r="Y611" s="33"/>
      <c r="Z611" s="33"/>
      <c r="AA611" s="33"/>
      <c r="AB611" s="33"/>
      <c r="AC611" s="33"/>
      <c r="AD611" s="33"/>
      <c r="AE611" s="33"/>
      <c r="AF611" s="33"/>
    </row>
    <row r="612" ht="15.75" customHeight="1">
      <c r="A612" s="75" t="s">
        <v>6146</v>
      </c>
      <c r="B612" s="76">
        <v>11.0</v>
      </c>
      <c r="C612" s="31" t="s">
        <v>6286</v>
      </c>
      <c r="D612" s="100" t="s">
        <v>6287</v>
      </c>
      <c r="E612" s="100" t="s">
        <v>6288</v>
      </c>
      <c r="F612" s="33"/>
      <c r="G612" s="33"/>
      <c r="H612" s="33"/>
      <c r="I612" s="33"/>
      <c r="J612" s="33"/>
      <c r="K612" s="33"/>
      <c r="L612" s="33"/>
      <c r="M612" s="33"/>
      <c r="N612" s="33"/>
      <c r="O612" s="33"/>
      <c r="P612" s="33"/>
      <c r="Q612" s="33"/>
      <c r="R612" s="33"/>
      <c r="S612" s="33"/>
      <c r="T612" s="33"/>
      <c r="U612" s="33"/>
      <c r="V612" s="33"/>
      <c r="W612" s="33"/>
      <c r="X612" s="33"/>
      <c r="Y612" s="33"/>
      <c r="Z612" s="33"/>
      <c r="AA612" s="33"/>
      <c r="AB612" s="33"/>
      <c r="AC612" s="33"/>
      <c r="AD612" s="33"/>
      <c r="AE612" s="33"/>
      <c r="AF612" s="33"/>
    </row>
    <row r="613" ht="15.75" customHeight="1">
      <c r="A613" s="75" t="s">
        <v>6146</v>
      </c>
      <c r="B613" s="76">
        <v>12.0</v>
      </c>
      <c r="C613" s="31" t="s">
        <v>6303</v>
      </c>
      <c r="D613" s="100" t="s">
        <v>6306</v>
      </c>
      <c r="E613" s="100" t="s">
        <v>6308</v>
      </c>
      <c r="F613" s="33"/>
      <c r="G613" s="33"/>
      <c r="H613" s="33"/>
      <c r="I613" s="33"/>
      <c r="J613" s="33"/>
      <c r="K613" s="33"/>
      <c r="L613" s="33"/>
      <c r="M613" s="33"/>
      <c r="N613" s="33"/>
      <c r="O613" s="33"/>
      <c r="P613" s="33"/>
      <c r="Q613" s="33"/>
      <c r="R613" s="33"/>
      <c r="S613" s="33"/>
      <c r="T613" s="33"/>
      <c r="U613" s="33"/>
      <c r="V613" s="33"/>
      <c r="W613" s="33"/>
      <c r="X613" s="33"/>
      <c r="Y613" s="33"/>
      <c r="Z613" s="33"/>
      <c r="AA613" s="33"/>
      <c r="AB613" s="33"/>
      <c r="AC613" s="33"/>
      <c r="AD613" s="33"/>
      <c r="AE613" s="33"/>
      <c r="AF613" s="33"/>
    </row>
    <row r="614" ht="15.75" customHeight="1">
      <c r="A614" s="75" t="s">
        <v>6146</v>
      </c>
      <c r="B614" s="76">
        <v>13.0</v>
      </c>
      <c r="C614" s="31" t="s">
        <v>6328</v>
      </c>
      <c r="D614" s="100" t="s">
        <v>6329</v>
      </c>
      <c r="E614" s="100" t="s">
        <v>6330</v>
      </c>
      <c r="F614" s="33"/>
      <c r="G614" s="33"/>
      <c r="H614" s="33"/>
      <c r="I614" s="33"/>
      <c r="J614" s="33"/>
      <c r="K614" s="33"/>
      <c r="L614" s="33"/>
      <c r="M614" s="33"/>
      <c r="N614" s="33"/>
      <c r="O614" s="33"/>
      <c r="P614" s="33"/>
      <c r="Q614" s="33"/>
      <c r="R614" s="33"/>
      <c r="S614" s="33"/>
      <c r="T614" s="33"/>
      <c r="U614" s="33"/>
      <c r="V614" s="33"/>
      <c r="W614" s="33"/>
      <c r="X614" s="33"/>
      <c r="Y614" s="33"/>
      <c r="Z614" s="33"/>
      <c r="AA614" s="33"/>
      <c r="AB614" s="33"/>
      <c r="AC614" s="33"/>
      <c r="AD614" s="33"/>
      <c r="AE614" s="33"/>
      <c r="AF614" s="33"/>
    </row>
    <row r="615" ht="15.75" customHeight="1">
      <c r="A615" s="75" t="s">
        <v>6146</v>
      </c>
      <c r="B615" s="76">
        <v>14.0</v>
      </c>
      <c r="C615" s="31" t="s">
        <v>6350</v>
      </c>
      <c r="D615" s="100" t="s">
        <v>6353</v>
      </c>
      <c r="E615" s="100" t="s">
        <v>6355</v>
      </c>
      <c r="F615" s="33"/>
      <c r="G615" s="33"/>
      <c r="H615" s="33"/>
      <c r="I615" s="33"/>
      <c r="J615" s="33"/>
      <c r="K615" s="33"/>
      <c r="L615" s="33"/>
      <c r="M615" s="33"/>
      <c r="N615" s="33"/>
      <c r="O615" s="33"/>
      <c r="P615" s="33"/>
      <c r="Q615" s="33"/>
      <c r="R615" s="33"/>
      <c r="S615" s="33"/>
      <c r="T615" s="33"/>
      <c r="U615" s="33"/>
      <c r="V615" s="33"/>
      <c r="W615" s="33"/>
      <c r="X615" s="33"/>
      <c r="Y615" s="33"/>
      <c r="Z615" s="33"/>
      <c r="AA615" s="33"/>
      <c r="AB615" s="33"/>
      <c r="AC615" s="33"/>
      <c r="AD615" s="33"/>
      <c r="AE615" s="33"/>
      <c r="AF615" s="33"/>
    </row>
    <row r="616" ht="15.75" customHeight="1">
      <c r="A616" s="63" t="s">
        <v>6146</v>
      </c>
      <c r="B616" s="94">
        <v>-777.0</v>
      </c>
      <c r="C616" s="37" t="s">
        <v>6365</v>
      </c>
      <c r="D616" s="95" t="s">
        <v>6368</v>
      </c>
      <c r="E616" s="95" t="s">
        <v>419</v>
      </c>
      <c r="F616" s="19"/>
      <c r="G616" s="19"/>
      <c r="H616" s="19"/>
      <c r="I616" s="19"/>
      <c r="J616" s="19"/>
      <c r="K616" s="19"/>
      <c r="L616" s="19"/>
      <c r="M616" s="19"/>
      <c r="N616" s="19"/>
      <c r="O616" s="19"/>
      <c r="P616" s="19"/>
      <c r="Q616" s="19"/>
      <c r="R616" s="19"/>
      <c r="S616" s="19"/>
      <c r="T616" s="19"/>
      <c r="U616" s="19"/>
      <c r="V616" s="19"/>
      <c r="W616" s="19"/>
      <c r="X616" s="19"/>
      <c r="Y616" s="19"/>
      <c r="Z616" s="19"/>
      <c r="AA616" s="19"/>
      <c r="AB616" s="19"/>
      <c r="AC616" s="19"/>
      <c r="AD616" s="19"/>
      <c r="AE616" s="19"/>
      <c r="AF616" s="19"/>
    </row>
    <row r="617" ht="15.75" customHeight="1">
      <c r="A617" s="100"/>
      <c r="B617" s="102"/>
      <c r="C617" s="31"/>
      <c r="D617" s="100"/>
      <c r="E617" s="165"/>
      <c r="F617" s="33"/>
      <c r="G617" s="33"/>
      <c r="H617" s="33"/>
      <c r="I617" s="33"/>
      <c r="J617" s="33"/>
      <c r="K617" s="33"/>
      <c r="L617" s="33"/>
      <c r="M617" s="33"/>
      <c r="N617" s="33"/>
      <c r="O617" s="33"/>
      <c r="P617" s="33"/>
      <c r="Q617" s="33"/>
      <c r="R617" s="33"/>
      <c r="S617" s="33"/>
      <c r="T617" s="33"/>
      <c r="U617" s="33"/>
      <c r="V617" s="33"/>
      <c r="W617" s="33"/>
      <c r="X617" s="33"/>
      <c r="Y617" s="33"/>
      <c r="Z617" s="33"/>
      <c r="AA617" s="33"/>
      <c r="AB617" s="33"/>
      <c r="AC617" s="33"/>
      <c r="AD617" s="33"/>
      <c r="AE617" s="33"/>
      <c r="AF617" s="33"/>
    </row>
    <row r="618" ht="15.75" customHeight="1">
      <c r="A618" s="52" t="s">
        <v>6394</v>
      </c>
      <c r="B618" s="89">
        <v>0.0</v>
      </c>
      <c r="C618" s="297" t="s">
        <v>199</v>
      </c>
      <c r="D618" s="297" t="s">
        <v>201</v>
      </c>
      <c r="E618" s="297" t="s">
        <v>5167</v>
      </c>
      <c r="F618" s="33"/>
      <c r="G618" s="33"/>
      <c r="H618" s="33"/>
      <c r="I618" s="33"/>
      <c r="J618" s="33"/>
      <c r="K618" s="33"/>
      <c r="L618" s="33"/>
      <c r="M618" s="33"/>
      <c r="N618" s="33"/>
      <c r="O618" s="33"/>
      <c r="P618" s="33"/>
      <c r="Q618" s="33"/>
      <c r="R618" s="33"/>
      <c r="S618" s="33"/>
      <c r="T618" s="33"/>
      <c r="U618" s="33"/>
      <c r="V618" s="33"/>
      <c r="W618" s="33"/>
      <c r="X618" s="33"/>
      <c r="Y618" s="33"/>
      <c r="Z618" s="33"/>
      <c r="AA618" s="33"/>
      <c r="AB618" s="33"/>
      <c r="AC618" s="33"/>
      <c r="AD618" s="33"/>
      <c r="AE618" s="33"/>
      <c r="AF618" s="33"/>
    </row>
    <row r="619" ht="15.75" customHeight="1">
      <c r="A619" s="52" t="s">
        <v>6394</v>
      </c>
      <c r="B619" s="89">
        <v>1.0</v>
      </c>
      <c r="C619" s="297" t="s">
        <v>6410</v>
      </c>
      <c r="D619" s="297" t="s">
        <v>6412</v>
      </c>
      <c r="E619" s="297" t="s">
        <v>6413</v>
      </c>
      <c r="F619" s="33"/>
      <c r="G619" s="33"/>
      <c r="H619" s="33"/>
      <c r="I619" s="33"/>
      <c r="J619" s="33"/>
      <c r="K619" s="33"/>
      <c r="L619" s="33"/>
      <c r="M619" s="33"/>
      <c r="N619" s="33"/>
      <c r="O619" s="33"/>
      <c r="P619" s="33"/>
      <c r="Q619" s="33"/>
      <c r="R619" s="33"/>
      <c r="S619" s="33"/>
      <c r="T619" s="33"/>
      <c r="U619" s="33"/>
      <c r="V619" s="33"/>
      <c r="W619" s="33"/>
      <c r="X619" s="33"/>
      <c r="Y619" s="33"/>
      <c r="Z619" s="33"/>
      <c r="AA619" s="33"/>
      <c r="AB619" s="33"/>
      <c r="AC619" s="33"/>
      <c r="AD619" s="33"/>
      <c r="AE619" s="33"/>
      <c r="AF619" s="33"/>
    </row>
    <row r="620" ht="15.75" customHeight="1">
      <c r="A620" s="52" t="s">
        <v>6394</v>
      </c>
      <c r="B620" s="89">
        <v>2.0</v>
      </c>
      <c r="C620" s="297" t="s">
        <v>6421</v>
      </c>
      <c r="D620" s="297" t="s">
        <v>6422</v>
      </c>
      <c r="E620" s="297" t="s">
        <v>6423</v>
      </c>
      <c r="F620" s="33"/>
      <c r="G620" s="33"/>
      <c r="H620" s="33"/>
      <c r="I620" s="33"/>
      <c r="J620" s="33"/>
      <c r="K620" s="33"/>
      <c r="L620" s="33"/>
      <c r="M620" s="33"/>
      <c r="N620" s="33"/>
      <c r="O620" s="33"/>
      <c r="P620" s="33"/>
      <c r="Q620" s="33"/>
      <c r="R620" s="33"/>
      <c r="S620" s="33"/>
      <c r="T620" s="33"/>
      <c r="U620" s="33"/>
      <c r="V620" s="33"/>
      <c r="W620" s="33"/>
      <c r="X620" s="33"/>
      <c r="Y620" s="33"/>
      <c r="Z620" s="33"/>
      <c r="AA620" s="33"/>
      <c r="AB620" s="33"/>
      <c r="AC620" s="33"/>
      <c r="AD620" s="33"/>
      <c r="AE620" s="33"/>
      <c r="AF620" s="33"/>
    </row>
    <row r="621" ht="15.75" customHeight="1">
      <c r="A621" s="52" t="s">
        <v>6394</v>
      </c>
      <c r="B621" s="89">
        <v>3.0</v>
      </c>
      <c r="C621" s="297" t="s">
        <v>6432</v>
      </c>
      <c r="D621" s="297" t="s">
        <v>6433</v>
      </c>
      <c r="E621" s="297" t="s">
        <v>6434</v>
      </c>
      <c r="F621" s="33"/>
      <c r="G621" s="33"/>
      <c r="H621" s="33"/>
      <c r="I621" s="33"/>
      <c r="J621" s="33"/>
      <c r="K621" s="33"/>
      <c r="L621" s="33"/>
      <c r="M621" s="33"/>
      <c r="N621" s="33"/>
      <c r="O621" s="33"/>
      <c r="P621" s="33"/>
      <c r="Q621" s="33"/>
      <c r="R621" s="33"/>
      <c r="S621" s="33"/>
      <c r="T621" s="33"/>
      <c r="U621" s="33"/>
      <c r="V621" s="33"/>
      <c r="W621" s="33"/>
      <c r="X621" s="33"/>
      <c r="Y621" s="33"/>
      <c r="Z621" s="33"/>
      <c r="AA621" s="33"/>
      <c r="AB621" s="33"/>
      <c r="AC621" s="33"/>
      <c r="AD621" s="33"/>
      <c r="AE621" s="33"/>
      <c r="AF621" s="33"/>
    </row>
    <row r="622" ht="15.75" customHeight="1">
      <c r="A622" s="52" t="s">
        <v>6394</v>
      </c>
      <c r="B622" s="89">
        <v>4.0</v>
      </c>
      <c r="C622" s="297" t="s">
        <v>6443</v>
      </c>
      <c r="D622" s="297" t="s">
        <v>6444</v>
      </c>
      <c r="E622" s="297" t="s">
        <v>6446</v>
      </c>
      <c r="F622" s="33"/>
      <c r="G622" s="33"/>
      <c r="H622" s="33"/>
      <c r="I622" s="33"/>
      <c r="J622" s="33"/>
      <c r="K622" s="33"/>
      <c r="L622" s="33"/>
      <c r="M622" s="33"/>
      <c r="N622" s="33"/>
      <c r="O622" s="33"/>
      <c r="P622" s="33"/>
      <c r="Q622" s="33"/>
      <c r="R622" s="33"/>
      <c r="S622" s="33"/>
      <c r="T622" s="33"/>
      <c r="U622" s="33"/>
      <c r="V622" s="33"/>
      <c r="W622" s="33"/>
      <c r="X622" s="33"/>
      <c r="Y622" s="33"/>
      <c r="Z622" s="33"/>
      <c r="AA622" s="33"/>
      <c r="AB622" s="33"/>
      <c r="AC622" s="33"/>
      <c r="AD622" s="33"/>
      <c r="AE622" s="33"/>
      <c r="AF622" s="33"/>
    </row>
    <row r="623" ht="15.75" customHeight="1">
      <c r="A623" s="52" t="s">
        <v>6394</v>
      </c>
      <c r="B623" s="89">
        <v>5.0</v>
      </c>
      <c r="C623" s="297" t="s">
        <v>6454</v>
      </c>
      <c r="D623" s="297" t="s">
        <v>6455</v>
      </c>
      <c r="E623" s="297" t="s">
        <v>6456</v>
      </c>
      <c r="F623" s="33"/>
      <c r="G623" s="33"/>
      <c r="H623" s="33"/>
      <c r="I623" s="33"/>
      <c r="J623" s="33"/>
      <c r="K623" s="33"/>
      <c r="L623" s="33"/>
      <c r="M623" s="33"/>
      <c r="N623" s="33"/>
      <c r="O623" s="33"/>
      <c r="P623" s="33"/>
      <c r="Q623" s="33"/>
      <c r="R623" s="33"/>
      <c r="S623" s="33"/>
      <c r="T623" s="33"/>
      <c r="U623" s="33"/>
      <c r="V623" s="33"/>
      <c r="W623" s="33"/>
      <c r="X623" s="33"/>
      <c r="Y623" s="33"/>
      <c r="Z623" s="33"/>
      <c r="AA623" s="33"/>
      <c r="AB623" s="33"/>
      <c r="AC623" s="33"/>
      <c r="AD623" s="33"/>
      <c r="AE623" s="33"/>
      <c r="AF623" s="33"/>
    </row>
    <row r="624" ht="15.75" customHeight="1">
      <c r="A624" s="52" t="s">
        <v>6394</v>
      </c>
      <c r="B624" s="89">
        <v>6.0</v>
      </c>
      <c r="C624" s="297" t="s">
        <v>6460</v>
      </c>
      <c r="D624" s="297" t="s">
        <v>6461</v>
      </c>
      <c r="E624" s="297" t="s">
        <v>6462</v>
      </c>
      <c r="F624" s="33"/>
      <c r="G624" s="33"/>
      <c r="H624" s="33"/>
      <c r="I624" s="33"/>
      <c r="J624" s="33"/>
      <c r="K624" s="33"/>
      <c r="L624" s="33"/>
      <c r="M624" s="33"/>
      <c r="N624" s="33"/>
      <c r="O624" s="33"/>
      <c r="P624" s="33"/>
      <c r="Q624" s="33"/>
      <c r="R624" s="33"/>
      <c r="S624" s="33"/>
      <c r="T624" s="33"/>
      <c r="U624" s="33"/>
      <c r="V624" s="33"/>
      <c r="W624" s="33"/>
      <c r="X624" s="33"/>
      <c r="Y624" s="33"/>
      <c r="Z624" s="33"/>
      <c r="AA624" s="33"/>
      <c r="AB624" s="33"/>
      <c r="AC624" s="33"/>
      <c r="AD624" s="33"/>
      <c r="AE624" s="33"/>
      <c r="AF624" s="33"/>
    </row>
    <row r="625" ht="15.75" customHeight="1">
      <c r="A625" s="52" t="s">
        <v>6394</v>
      </c>
      <c r="B625" s="89">
        <v>-999.0</v>
      </c>
      <c r="C625" s="297" t="s">
        <v>115</v>
      </c>
      <c r="D625" s="297" t="s">
        <v>117</v>
      </c>
      <c r="E625" s="297" t="s">
        <v>118</v>
      </c>
      <c r="F625" s="33"/>
      <c r="G625" s="33"/>
      <c r="H625" s="33"/>
      <c r="I625" s="33"/>
      <c r="J625" s="33"/>
      <c r="K625" s="33"/>
      <c r="L625" s="33"/>
      <c r="M625" s="33"/>
      <c r="N625" s="33"/>
      <c r="O625" s="33"/>
      <c r="P625" s="33"/>
      <c r="Q625" s="33"/>
      <c r="R625" s="33"/>
      <c r="S625" s="33"/>
      <c r="T625" s="33"/>
      <c r="U625" s="33"/>
      <c r="V625" s="33"/>
      <c r="W625" s="33"/>
      <c r="X625" s="33"/>
      <c r="Y625" s="33"/>
      <c r="Z625" s="33"/>
      <c r="AA625" s="33"/>
      <c r="AB625" s="33"/>
      <c r="AC625" s="33"/>
      <c r="AD625" s="33"/>
      <c r="AE625" s="33"/>
      <c r="AF625" s="33"/>
    </row>
    <row r="626" ht="15.75" customHeight="1">
      <c r="A626" s="100"/>
      <c r="B626" s="102"/>
      <c r="C626" s="31"/>
      <c r="D626" s="100"/>
      <c r="E626" s="165"/>
      <c r="F626" s="33"/>
      <c r="G626" s="33"/>
      <c r="H626" s="33"/>
      <c r="I626" s="33"/>
      <c r="J626" s="33"/>
      <c r="K626" s="33"/>
      <c r="L626" s="33"/>
      <c r="M626" s="33"/>
      <c r="N626" s="33"/>
      <c r="O626" s="33"/>
      <c r="P626" s="33"/>
      <c r="Q626" s="33"/>
      <c r="R626" s="33"/>
      <c r="S626" s="33"/>
      <c r="T626" s="33"/>
      <c r="U626" s="33"/>
      <c r="V626" s="33"/>
      <c r="W626" s="33"/>
      <c r="X626" s="33"/>
      <c r="Y626" s="33"/>
      <c r="Z626" s="33"/>
      <c r="AA626" s="33"/>
      <c r="AB626" s="33"/>
      <c r="AC626" s="33"/>
      <c r="AD626" s="33"/>
      <c r="AE626" s="33"/>
      <c r="AF626" s="33"/>
    </row>
    <row r="627" ht="15.75" customHeight="1">
      <c r="A627" s="52" t="s">
        <v>6486</v>
      </c>
      <c r="B627" s="89">
        <v>0.0</v>
      </c>
      <c r="C627" s="297" t="s">
        <v>6488</v>
      </c>
      <c r="D627" s="297" t="s">
        <v>6490</v>
      </c>
      <c r="E627" s="297" t="s">
        <v>6491</v>
      </c>
      <c r="F627" s="33"/>
      <c r="G627" s="33"/>
      <c r="H627" s="33"/>
      <c r="I627" s="33"/>
      <c r="J627" s="33"/>
      <c r="K627" s="33"/>
      <c r="L627" s="33"/>
      <c r="M627" s="33"/>
      <c r="N627" s="33"/>
      <c r="O627" s="33"/>
      <c r="P627" s="33"/>
      <c r="Q627" s="33"/>
      <c r="R627" s="33"/>
      <c r="S627" s="33"/>
      <c r="T627" s="33"/>
      <c r="U627" s="33"/>
      <c r="V627" s="33"/>
      <c r="W627" s="33"/>
      <c r="X627" s="33"/>
      <c r="Y627" s="33"/>
      <c r="Z627" s="33"/>
      <c r="AA627" s="33"/>
      <c r="AB627" s="33"/>
      <c r="AC627" s="33"/>
      <c r="AD627" s="33"/>
      <c r="AE627" s="33"/>
      <c r="AF627" s="33"/>
    </row>
    <row r="628" ht="15.75" customHeight="1">
      <c r="A628" s="52" t="s">
        <v>6486</v>
      </c>
      <c r="B628" s="89">
        <v>1.0</v>
      </c>
      <c r="C628" s="297" t="s">
        <v>6500</v>
      </c>
      <c r="D628" s="297" t="s">
        <v>6501</v>
      </c>
      <c r="E628" s="297" t="s">
        <v>6502</v>
      </c>
      <c r="F628" s="33"/>
      <c r="G628" s="33"/>
      <c r="H628" s="33"/>
      <c r="I628" s="33"/>
      <c r="J628" s="33"/>
      <c r="K628" s="33"/>
      <c r="L628" s="33"/>
      <c r="M628" s="33"/>
      <c r="N628" s="33"/>
      <c r="O628" s="33"/>
      <c r="P628" s="33"/>
      <c r="Q628" s="33"/>
      <c r="R628" s="33"/>
      <c r="S628" s="33"/>
      <c r="T628" s="33"/>
      <c r="U628" s="33"/>
      <c r="V628" s="33"/>
      <c r="W628" s="33"/>
      <c r="X628" s="33"/>
      <c r="Y628" s="33"/>
      <c r="Z628" s="33"/>
      <c r="AA628" s="33"/>
      <c r="AB628" s="33"/>
      <c r="AC628" s="33"/>
      <c r="AD628" s="33"/>
      <c r="AE628" s="33"/>
      <c r="AF628" s="33"/>
    </row>
    <row r="629" ht="15.75" customHeight="1">
      <c r="A629" s="52" t="s">
        <v>6486</v>
      </c>
      <c r="B629" s="89">
        <v>2.0</v>
      </c>
      <c r="C629" s="297" t="s">
        <v>6514</v>
      </c>
      <c r="D629" s="297" t="s">
        <v>6515</v>
      </c>
      <c r="E629" s="297" t="s">
        <v>6517</v>
      </c>
      <c r="F629" s="33"/>
      <c r="G629" s="33"/>
      <c r="H629" s="33"/>
      <c r="I629" s="33"/>
      <c r="J629" s="33"/>
      <c r="K629" s="33"/>
      <c r="L629" s="33"/>
      <c r="M629" s="33"/>
      <c r="N629" s="33"/>
      <c r="O629" s="33"/>
      <c r="P629" s="33"/>
      <c r="Q629" s="33"/>
      <c r="R629" s="33"/>
      <c r="S629" s="33"/>
      <c r="T629" s="33"/>
      <c r="U629" s="33"/>
      <c r="V629" s="33"/>
      <c r="W629" s="33"/>
      <c r="X629" s="33"/>
      <c r="Y629" s="33"/>
      <c r="Z629" s="33"/>
      <c r="AA629" s="33"/>
      <c r="AB629" s="33"/>
      <c r="AC629" s="33"/>
      <c r="AD629" s="33"/>
      <c r="AE629" s="33"/>
      <c r="AF629" s="33"/>
    </row>
    <row r="630" ht="15.75" customHeight="1">
      <c r="A630" s="52" t="s">
        <v>6486</v>
      </c>
      <c r="B630" s="89">
        <v>3.0</v>
      </c>
      <c r="C630" s="297" t="s">
        <v>6525</v>
      </c>
      <c r="D630" s="297" t="s">
        <v>6526</v>
      </c>
      <c r="E630" s="297" t="s">
        <v>6528</v>
      </c>
      <c r="F630" s="33"/>
      <c r="G630" s="33"/>
      <c r="H630" s="33"/>
      <c r="I630" s="33"/>
      <c r="J630" s="33"/>
      <c r="K630" s="33"/>
      <c r="L630" s="33"/>
      <c r="M630" s="33"/>
      <c r="N630" s="33"/>
      <c r="O630" s="33"/>
      <c r="P630" s="33"/>
      <c r="Q630" s="33"/>
      <c r="R630" s="33"/>
      <c r="S630" s="33"/>
      <c r="T630" s="33"/>
      <c r="U630" s="33"/>
      <c r="V630" s="33"/>
      <c r="W630" s="33"/>
      <c r="X630" s="33"/>
      <c r="Y630" s="33"/>
      <c r="Z630" s="33"/>
      <c r="AA630" s="33"/>
      <c r="AB630" s="33"/>
      <c r="AC630" s="33"/>
      <c r="AD630" s="33"/>
      <c r="AE630" s="33"/>
      <c r="AF630" s="33"/>
    </row>
    <row r="631" ht="15.75" customHeight="1">
      <c r="A631" s="52" t="s">
        <v>6486</v>
      </c>
      <c r="B631" s="89">
        <v>4.0</v>
      </c>
      <c r="C631" s="297" t="s">
        <v>6534</v>
      </c>
      <c r="D631" s="297" t="s">
        <v>6536</v>
      </c>
      <c r="E631" s="297" t="s">
        <v>6537</v>
      </c>
      <c r="F631" s="33"/>
      <c r="G631" s="33"/>
      <c r="H631" s="33"/>
      <c r="I631" s="33"/>
      <c r="J631" s="33"/>
      <c r="K631" s="33"/>
      <c r="L631" s="33"/>
      <c r="M631" s="33"/>
      <c r="N631" s="33"/>
      <c r="O631" s="33"/>
      <c r="P631" s="33"/>
      <c r="Q631" s="33"/>
      <c r="R631" s="33"/>
      <c r="S631" s="33"/>
      <c r="T631" s="33"/>
      <c r="U631" s="33"/>
      <c r="V631" s="33"/>
      <c r="W631" s="33"/>
      <c r="X631" s="33"/>
      <c r="Y631" s="33"/>
      <c r="Z631" s="33"/>
      <c r="AA631" s="33"/>
      <c r="AB631" s="33"/>
      <c r="AC631" s="33"/>
      <c r="AD631" s="33"/>
      <c r="AE631" s="33"/>
      <c r="AF631" s="33"/>
    </row>
    <row r="632" ht="15.75" customHeight="1">
      <c r="A632" s="52" t="s">
        <v>6486</v>
      </c>
      <c r="B632" s="89">
        <v>5.0</v>
      </c>
      <c r="C632" s="297" t="s">
        <v>6543</v>
      </c>
      <c r="D632" s="297" t="s">
        <v>6545</v>
      </c>
      <c r="E632" s="297" t="s">
        <v>6547</v>
      </c>
      <c r="F632" s="33"/>
      <c r="G632" s="33"/>
      <c r="H632" s="33"/>
      <c r="I632" s="33"/>
      <c r="J632" s="33"/>
      <c r="K632" s="33"/>
      <c r="L632" s="33"/>
      <c r="M632" s="33"/>
      <c r="N632" s="33"/>
      <c r="O632" s="33"/>
      <c r="P632" s="33"/>
      <c r="Q632" s="33"/>
      <c r="R632" s="33"/>
      <c r="S632" s="33"/>
      <c r="T632" s="33"/>
      <c r="U632" s="33"/>
      <c r="V632" s="33"/>
      <c r="W632" s="33"/>
      <c r="X632" s="33"/>
      <c r="Y632" s="33"/>
      <c r="Z632" s="33"/>
      <c r="AA632" s="33"/>
      <c r="AB632" s="33"/>
      <c r="AC632" s="33"/>
      <c r="AD632" s="33"/>
      <c r="AE632" s="33"/>
      <c r="AF632" s="33"/>
    </row>
    <row r="633" ht="15.75" customHeight="1">
      <c r="A633" s="52" t="s">
        <v>6486</v>
      </c>
      <c r="B633" s="89">
        <v>6.0</v>
      </c>
      <c r="C633" s="297" t="s">
        <v>6553</v>
      </c>
      <c r="D633" s="297" t="s">
        <v>6554</v>
      </c>
      <c r="E633" s="297" t="s">
        <v>6555</v>
      </c>
      <c r="F633" s="33"/>
      <c r="G633" s="33"/>
      <c r="H633" s="33"/>
      <c r="I633" s="33"/>
      <c r="J633" s="33"/>
      <c r="K633" s="33"/>
      <c r="L633" s="33"/>
      <c r="M633" s="33"/>
      <c r="N633" s="33"/>
      <c r="O633" s="33"/>
      <c r="P633" s="33"/>
      <c r="Q633" s="33"/>
      <c r="R633" s="33"/>
      <c r="S633" s="33"/>
      <c r="T633" s="33"/>
      <c r="U633" s="33"/>
      <c r="V633" s="33"/>
      <c r="W633" s="33"/>
      <c r="X633" s="33"/>
      <c r="Y633" s="33"/>
      <c r="Z633" s="33"/>
      <c r="AA633" s="33"/>
      <c r="AB633" s="33"/>
      <c r="AC633" s="33"/>
      <c r="AD633" s="33"/>
      <c r="AE633" s="33"/>
      <c r="AF633" s="33"/>
    </row>
    <row r="634" ht="15.75" customHeight="1">
      <c r="A634" s="52" t="s">
        <v>6486</v>
      </c>
      <c r="B634" s="89">
        <v>7.0</v>
      </c>
      <c r="C634" s="297" t="s">
        <v>6564</v>
      </c>
      <c r="D634" s="297" t="s">
        <v>6565</v>
      </c>
      <c r="E634" s="297" t="s">
        <v>6567</v>
      </c>
      <c r="F634" s="33"/>
      <c r="G634" s="33"/>
      <c r="H634" s="33"/>
      <c r="I634" s="33"/>
      <c r="J634" s="33"/>
      <c r="K634" s="33"/>
      <c r="L634" s="33"/>
      <c r="M634" s="33"/>
      <c r="N634" s="33"/>
      <c r="O634" s="33"/>
      <c r="P634" s="33"/>
      <c r="Q634" s="33"/>
      <c r="R634" s="33"/>
      <c r="S634" s="33"/>
      <c r="T634" s="33"/>
      <c r="U634" s="33"/>
      <c r="V634" s="33"/>
      <c r="W634" s="33"/>
      <c r="X634" s="33"/>
      <c r="Y634" s="33"/>
      <c r="Z634" s="33"/>
      <c r="AA634" s="33"/>
      <c r="AB634" s="33"/>
      <c r="AC634" s="33"/>
      <c r="AD634" s="33"/>
      <c r="AE634" s="33"/>
      <c r="AF634" s="33"/>
    </row>
    <row r="635" ht="15.75" customHeight="1">
      <c r="A635" s="52" t="s">
        <v>6486</v>
      </c>
      <c r="B635" s="89">
        <v>8.0</v>
      </c>
      <c r="C635" s="297" t="s">
        <v>6580</v>
      </c>
      <c r="D635" s="297" t="s">
        <v>6582</v>
      </c>
      <c r="E635" s="297" t="s">
        <v>6584</v>
      </c>
      <c r="F635" s="33"/>
      <c r="G635" s="33"/>
      <c r="H635" s="33"/>
      <c r="I635" s="33"/>
      <c r="J635" s="33"/>
      <c r="K635" s="33"/>
      <c r="L635" s="33"/>
      <c r="M635" s="33"/>
      <c r="N635" s="33"/>
      <c r="O635" s="33"/>
      <c r="P635" s="33"/>
      <c r="Q635" s="33"/>
      <c r="R635" s="33"/>
      <c r="S635" s="33"/>
      <c r="T635" s="33"/>
      <c r="U635" s="33"/>
      <c r="V635" s="33"/>
      <c r="W635" s="33"/>
      <c r="X635" s="33"/>
      <c r="Y635" s="33"/>
      <c r="Z635" s="33"/>
      <c r="AA635" s="33"/>
      <c r="AB635" s="33"/>
      <c r="AC635" s="33"/>
      <c r="AD635" s="33"/>
      <c r="AE635" s="33"/>
      <c r="AF635" s="33"/>
    </row>
    <row r="636" ht="15.75" customHeight="1">
      <c r="A636" s="52" t="s">
        <v>6486</v>
      </c>
      <c r="B636" s="89">
        <v>9.0</v>
      </c>
      <c r="C636" s="297" t="s">
        <v>6593</v>
      </c>
      <c r="D636" s="297" t="s">
        <v>6594</v>
      </c>
      <c r="E636" s="297" t="s">
        <v>6595</v>
      </c>
      <c r="F636" s="33"/>
      <c r="G636" s="33"/>
      <c r="H636" s="33"/>
      <c r="I636" s="33"/>
      <c r="J636" s="33"/>
      <c r="K636" s="33"/>
      <c r="L636" s="33"/>
      <c r="M636" s="33"/>
      <c r="N636" s="33"/>
      <c r="O636" s="33"/>
      <c r="P636" s="33"/>
      <c r="Q636" s="33"/>
      <c r="R636" s="33"/>
      <c r="S636" s="33"/>
      <c r="T636" s="33"/>
      <c r="U636" s="33"/>
      <c r="V636" s="33"/>
      <c r="W636" s="33"/>
      <c r="X636" s="33"/>
      <c r="Y636" s="33"/>
      <c r="Z636" s="33"/>
      <c r="AA636" s="33"/>
      <c r="AB636" s="33"/>
      <c r="AC636" s="33"/>
      <c r="AD636" s="33"/>
      <c r="AE636" s="33"/>
      <c r="AF636" s="33"/>
    </row>
    <row r="637" ht="15.75" customHeight="1">
      <c r="A637" s="52" t="s">
        <v>6486</v>
      </c>
      <c r="B637" s="89">
        <v>10.0</v>
      </c>
      <c r="C637" s="297" t="s">
        <v>6606</v>
      </c>
      <c r="D637" s="297" t="s">
        <v>6608</v>
      </c>
      <c r="E637" s="297" t="s">
        <v>6609</v>
      </c>
      <c r="F637" s="33"/>
      <c r="G637" s="33"/>
      <c r="H637" s="33"/>
      <c r="I637" s="33"/>
      <c r="J637" s="33"/>
      <c r="K637" s="33"/>
      <c r="L637" s="33"/>
      <c r="M637" s="33"/>
      <c r="N637" s="33"/>
      <c r="O637" s="33"/>
      <c r="P637" s="33"/>
      <c r="Q637" s="33"/>
      <c r="R637" s="33"/>
      <c r="S637" s="33"/>
      <c r="T637" s="33"/>
      <c r="U637" s="33"/>
      <c r="V637" s="33"/>
      <c r="W637" s="33"/>
      <c r="X637" s="33"/>
      <c r="Y637" s="33"/>
      <c r="Z637" s="33"/>
      <c r="AA637" s="33"/>
      <c r="AB637" s="33"/>
      <c r="AC637" s="33"/>
      <c r="AD637" s="33"/>
      <c r="AE637" s="33"/>
      <c r="AF637" s="33"/>
    </row>
    <row r="638" ht="15.75" customHeight="1">
      <c r="A638" s="52" t="s">
        <v>6486</v>
      </c>
      <c r="B638" s="89">
        <v>-999.0</v>
      </c>
      <c r="C638" s="297" t="s">
        <v>115</v>
      </c>
      <c r="D638" s="297" t="s">
        <v>117</v>
      </c>
      <c r="E638" s="297" t="s">
        <v>118</v>
      </c>
      <c r="F638" s="33"/>
      <c r="G638" s="33"/>
      <c r="H638" s="33"/>
      <c r="I638" s="33"/>
      <c r="J638" s="33"/>
      <c r="K638" s="33"/>
      <c r="L638" s="33"/>
      <c r="M638" s="33"/>
      <c r="N638" s="33"/>
      <c r="O638" s="33"/>
      <c r="P638" s="33"/>
      <c r="Q638" s="33"/>
      <c r="R638" s="33"/>
      <c r="S638" s="33"/>
      <c r="T638" s="33"/>
      <c r="U638" s="33"/>
      <c r="V638" s="33"/>
      <c r="W638" s="33"/>
      <c r="X638" s="33"/>
      <c r="Y638" s="33"/>
      <c r="Z638" s="33"/>
      <c r="AA638" s="33"/>
      <c r="AB638" s="33"/>
      <c r="AC638" s="33"/>
      <c r="AD638" s="33"/>
      <c r="AE638" s="33"/>
      <c r="AF638" s="33"/>
    </row>
    <row r="639" ht="15.75" customHeight="1">
      <c r="A639" s="100"/>
      <c r="B639" s="102"/>
      <c r="C639" s="100"/>
      <c r="D639" s="100"/>
      <c r="E639" s="165"/>
      <c r="F639" s="33"/>
      <c r="G639" s="33"/>
      <c r="H639" s="33"/>
      <c r="I639" s="33"/>
      <c r="J639" s="33"/>
      <c r="K639" s="33"/>
      <c r="L639" s="33"/>
      <c r="M639" s="33"/>
      <c r="N639" s="33"/>
      <c r="O639" s="33"/>
      <c r="P639" s="33"/>
      <c r="Q639" s="33"/>
      <c r="R639" s="33"/>
      <c r="S639" s="33"/>
      <c r="T639" s="33"/>
      <c r="U639" s="33"/>
      <c r="V639" s="33"/>
      <c r="W639" s="33"/>
      <c r="X639" s="33"/>
      <c r="Y639" s="33"/>
      <c r="Z639" s="33"/>
      <c r="AA639" s="33"/>
      <c r="AB639" s="33"/>
      <c r="AC639" s="33"/>
      <c r="AD639" s="33"/>
      <c r="AE639" s="33"/>
      <c r="AF639" s="33"/>
    </row>
    <row r="640" ht="15.75" customHeight="1">
      <c r="A640" s="110" t="s">
        <v>6619</v>
      </c>
      <c r="B640" s="111">
        <v>1.0</v>
      </c>
      <c r="C640" s="116" t="s">
        <v>6620</v>
      </c>
      <c r="D640" s="116" t="s">
        <v>6621</v>
      </c>
      <c r="E640" s="116" t="s">
        <v>6625</v>
      </c>
      <c r="F640" s="44"/>
      <c r="G640" s="44"/>
      <c r="H640" s="44"/>
      <c r="I640" s="44"/>
      <c r="J640" s="44"/>
      <c r="K640" s="44"/>
      <c r="L640" s="44"/>
      <c r="M640" s="44"/>
      <c r="N640" s="44"/>
      <c r="O640" s="44"/>
      <c r="P640" s="44"/>
      <c r="Q640" s="44"/>
      <c r="R640" s="44"/>
      <c r="S640" s="44"/>
      <c r="T640" s="44"/>
      <c r="U640" s="44"/>
      <c r="V640" s="44"/>
      <c r="W640" s="44"/>
      <c r="X640" s="44"/>
      <c r="Y640" s="44"/>
      <c r="Z640" s="44"/>
      <c r="AA640" s="44"/>
      <c r="AB640" s="44"/>
      <c r="AC640" s="44"/>
      <c r="AD640" s="44"/>
      <c r="AE640" s="44"/>
      <c r="AF640" s="44"/>
    </row>
    <row r="641" ht="15.75" customHeight="1">
      <c r="A641" s="75" t="s">
        <v>6619</v>
      </c>
      <c r="B641" s="76">
        <v>2.0</v>
      </c>
      <c r="C641" s="31" t="s">
        <v>6635</v>
      </c>
      <c r="D641" s="31" t="s">
        <v>6636</v>
      </c>
      <c r="E641" s="78" t="s">
        <v>6637</v>
      </c>
      <c r="F641" s="33"/>
      <c r="G641" s="33"/>
      <c r="H641" s="33"/>
      <c r="I641" s="33"/>
      <c r="J641" s="33"/>
      <c r="K641" s="33"/>
      <c r="L641" s="33"/>
      <c r="M641" s="33"/>
      <c r="N641" s="33"/>
      <c r="O641" s="33"/>
      <c r="P641" s="33"/>
      <c r="Q641" s="33"/>
      <c r="R641" s="33"/>
      <c r="S641" s="33"/>
      <c r="T641" s="33"/>
      <c r="U641" s="33"/>
      <c r="V641" s="33"/>
      <c r="W641" s="33"/>
      <c r="X641" s="33"/>
      <c r="Y641" s="33"/>
      <c r="Z641" s="33"/>
      <c r="AA641" s="33"/>
      <c r="AB641" s="33"/>
      <c r="AC641" s="33"/>
      <c r="AD641" s="33"/>
      <c r="AE641" s="33"/>
      <c r="AF641" s="33"/>
    </row>
    <row r="642" ht="15.75" customHeight="1">
      <c r="A642" s="75" t="s">
        <v>6619</v>
      </c>
      <c r="B642" s="76">
        <v>3.0</v>
      </c>
      <c r="C642" s="31" t="s">
        <v>6645</v>
      </c>
      <c r="D642" s="31" t="s">
        <v>6646</v>
      </c>
      <c r="E642" s="78" t="s">
        <v>6648</v>
      </c>
      <c r="F642" s="33"/>
      <c r="G642" s="33"/>
      <c r="H642" s="33"/>
      <c r="I642" s="33"/>
      <c r="J642" s="33"/>
      <c r="K642" s="33"/>
      <c r="L642" s="33"/>
      <c r="M642" s="33"/>
      <c r="N642" s="33"/>
      <c r="O642" s="33"/>
      <c r="P642" s="33"/>
      <c r="Q642" s="33"/>
      <c r="R642" s="33"/>
      <c r="S642" s="33"/>
      <c r="T642" s="33"/>
      <c r="U642" s="33"/>
      <c r="V642" s="33"/>
      <c r="W642" s="33"/>
      <c r="X642" s="33"/>
      <c r="Y642" s="33"/>
      <c r="Z642" s="33"/>
      <c r="AA642" s="33"/>
      <c r="AB642" s="33"/>
      <c r="AC642" s="33"/>
      <c r="AD642" s="33"/>
      <c r="AE642" s="33"/>
      <c r="AF642" s="33"/>
    </row>
    <row r="643" ht="15.75" customHeight="1">
      <c r="A643" s="75" t="s">
        <v>6619</v>
      </c>
      <c r="B643" s="76">
        <v>4.0</v>
      </c>
      <c r="C643" s="31" t="s">
        <v>6654</v>
      </c>
      <c r="D643" s="31" t="s">
        <v>6655</v>
      </c>
      <c r="E643" s="78" t="s">
        <v>6657</v>
      </c>
      <c r="F643" s="33"/>
      <c r="G643" s="33"/>
      <c r="H643" s="33"/>
      <c r="I643" s="33"/>
      <c r="J643" s="33"/>
      <c r="K643" s="33"/>
      <c r="L643" s="33"/>
      <c r="M643" s="33"/>
      <c r="N643" s="33"/>
      <c r="O643" s="33"/>
      <c r="P643" s="33"/>
      <c r="Q643" s="33"/>
      <c r="R643" s="33"/>
      <c r="S643" s="33"/>
      <c r="T643" s="33"/>
      <c r="U643" s="33"/>
      <c r="V643" s="33"/>
      <c r="W643" s="33"/>
      <c r="X643" s="33"/>
      <c r="Y643" s="33"/>
      <c r="Z643" s="33"/>
      <c r="AA643" s="33"/>
      <c r="AB643" s="33"/>
      <c r="AC643" s="33"/>
      <c r="AD643" s="33"/>
      <c r="AE643" s="33"/>
      <c r="AF643" s="33"/>
    </row>
    <row r="644" ht="15.75" customHeight="1">
      <c r="A644" s="75" t="s">
        <v>6619</v>
      </c>
      <c r="B644" s="76">
        <v>5.0</v>
      </c>
      <c r="C644" s="31" t="s">
        <v>6670</v>
      </c>
      <c r="D644" s="31" t="s">
        <v>6673</v>
      </c>
      <c r="E644" s="31" t="s">
        <v>6674</v>
      </c>
      <c r="F644" s="33"/>
      <c r="G644" s="33"/>
      <c r="H644" s="33"/>
      <c r="I644" s="33"/>
      <c r="J644" s="33"/>
      <c r="K644" s="33"/>
      <c r="L644" s="33"/>
      <c r="M644" s="33"/>
      <c r="N644" s="33"/>
      <c r="O644" s="33"/>
      <c r="P644" s="33"/>
      <c r="Q644" s="33"/>
      <c r="R644" s="33"/>
      <c r="S644" s="33"/>
      <c r="T644" s="33"/>
      <c r="U644" s="33"/>
      <c r="V644" s="33"/>
      <c r="W644" s="33"/>
      <c r="X644" s="33"/>
      <c r="Y644" s="33"/>
      <c r="Z644" s="33"/>
      <c r="AA644" s="33"/>
      <c r="AB644" s="33"/>
      <c r="AC644" s="33"/>
      <c r="AD644" s="33"/>
      <c r="AE644" s="33"/>
      <c r="AF644" s="33"/>
    </row>
    <row r="645" ht="15.75" customHeight="1">
      <c r="A645" s="75" t="s">
        <v>6619</v>
      </c>
      <c r="B645" s="76">
        <v>6.0</v>
      </c>
      <c r="C645" s="31" t="s">
        <v>6686</v>
      </c>
      <c r="D645" s="31" t="s">
        <v>6689</v>
      </c>
      <c r="E645" s="78" t="s">
        <v>6691</v>
      </c>
      <c r="F645" s="33"/>
      <c r="G645" s="33"/>
      <c r="H645" s="33"/>
      <c r="I645" s="33"/>
      <c r="J645" s="33"/>
      <c r="K645" s="33"/>
      <c r="L645" s="33"/>
      <c r="M645" s="33"/>
      <c r="N645" s="33"/>
      <c r="O645" s="33"/>
      <c r="P645" s="33"/>
      <c r="Q645" s="33"/>
      <c r="R645" s="33"/>
      <c r="S645" s="33"/>
      <c r="T645" s="33"/>
      <c r="U645" s="33"/>
      <c r="V645" s="33"/>
      <c r="W645" s="33"/>
      <c r="X645" s="33"/>
      <c r="Y645" s="33"/>
      <c r="Z645" s="33"/>
      <c r="AA645" s="33"/>
      <c r="AB645" s="33"/>
      <c r="AC645" s="33"/>
      <c r="AD645" s="33"/>
      <c r="AE645" s="33"/>
      <c r="AF645" s="33"/>
    </row>
    <row r="646" ht="15.75" customHeight="1">
      <c r="A646" s="75" t="s">
        <v>6619</v>
      </c>
      <c r="B646" s="76">
        <v>7.0</v>
      </c>
      <c r="C646" s="31" t="s">
        <v>6702</v>
      </c>
      <c r="D646" s="31" t="s">
        <v>6703</v>
      </c>
      <c r="E646" s="78" t="s">
        <v>6704</v>
      </c>
      <c r="F646" s="33"/>
      <c r="G646" s="33"/>
      <c r="H646" s="33"/>
      <c r="I646" s="33"/>
      <c r="J646" s="33"/>
      <c r="K646" s="33"/>
      <c r="L646" s="33"/>
      <c r="M646" s="33"/>
      <c r="N646" s="33"/>
      <c r="O646" s="33"/>
      <c r="P646" s="33"/>
      <c r="Q646" s="33"/>
      <c r="R646" s="33"/>
      <c r="S646" s="33"/>
      <c r="T646" s="33"/>
      <c r="U646" s="33"/>
      <c r="V646" s="33"/>
      <c r="W646" s="33"/>
      <c r="X646" s="33"/>
      <c r="Y646" s="33"/>
      <c r="Z646" s="33"/>
      <c r="AA646" s="33"/>
      <c r="AB646" s="33"/>
      <c r="AC646" s="33"/>
      <c r="AD646" s="33"/>
      <c r="AE646" s="33"/>
      <c r="AF646" s="33"/>
    </row>
    <row r="647" ht="15.75" customHeight="1">
      <c r="A647" s="75" t="s">
        <v>6619</v>
      </c>
      <c r="B647" s="76">
        <v>-777.0</v>
      </c>
      <c r="C647" s="31" t="s">
        <v>417</v>
      </c>
      <c r="D647" s="31" t="s">
        <v>418</v>
      </c>
      <c r="E647" s="31" t="s">
        <v>419</v>
      </c>
      <c r="F647" s="33"/>
      <c r="G647" s="33"/>
      <c r="H647" s="33"/>
      <c r="I647" s="33"/>
      <c r="J647" s="33"/>
      <c r="K647" s="33"/>
      <c r="L647" s="33"/>
      <c r="M647" s="33"/>
      <c r="N647" s="33"/>
      <c r="O647" s="33"/>
      <c r="P647" s="33"/>
      <c r="Q647" s="33"/>
      <c r="R647" s="33"/>
      <c r="S647" s="33"/>
      <c r="T647" s="33"/>
      <c r="U647" s="33"/>
      <c r="V647" s="33"/>
      <c r="W647" s="33"/>
      <c r="X647" s="33"/>
      <c r="Y647" s="33"/>
      <c r="Z647" s="33"/>
      <c r="AA647" s="33"/>
      <c r="AB647" s="33"/>
      <c r="AC647" s="33"/>
      <c r="AD647" s="33"/>
      <c r="AE647" s="33"/>
      <c r="AF647" s="33"/>
    </row>
    <row r="648" ht="15.75" customHeight="1">
      <c r="A648" s="63" t="s">
        <v>6619</v>
      </c>
      <c r="B648" s="94">
        <v>-999.0</v>
      </c>
      <c r="C648" s="37" t="s">
        <v>115</v>
      </c>
      <c r="D648" s="37" t="s">
        <v>6727</v>
      </c>
      <c r="E648" s="37" t="s">
        <v>118</v>
      </c>
      <c r="F648" s="19"/>
      <c r="G648" s="19"/>
      <c r="H648" s="19"/>
      <c r="I648" s="19"/>
      <c r="J648" s="19"/>
      <c r="K648" s="19"/>
      <c r="L648" s="19"/>
      <c r="M648" s="19"/>
      <c r="N648" s="19"/>
      <c r="O648" s="19"/>
      <c r="P648" s="19"/>
      <c r="Q648" s="19"/>
      <c r="R648" s="19"/>
      <c r="S648" s="19"/>
      <c r="T648" s="19"/>
      <c r="U648" s="19"/>
      <c r="V648" s="19"/>
      <c r="W648" s="19"/>
      <c r="X648" s="19"/>
      <c r="Y648" s="19"/>
      <c r="Z648" s="19"/>
      <c r="AA648" s="19"/>
      <c r="AB648" s="19"/>
      <c r="AC648" s="19"/>
      <c r="AD648" s="19"/>
      <c r="AE648" s="19"/>
      <c r="AF648" s="19"/>
    </row>
    <row r="649" ht="15.75" customHeight="1">
      <c r="A649" s="100"/>
      <c r="B649" s="102"/>
      <c r="C649" s="100"/>
      <c r="D649" s="100"/>
      <c r="E649" s="165"/>
      <c r="F649" s="33"/>
      <c r="G649" s="33"/>
      <c r="H649" s="33"/>
      <c r="I649" s="33"/>
      <c r="J649" s="33"/>
      <c r="K649" s="33"/>
      <c r="L649" s="33"/>
      <c r="M649" s="33"/>
      <c r="N649" s="33"/>
      <c r="O649" s="33"/>
      <c r="P649" s="33"/>
      <c r="Q649" s="33"/>
      <c r="R649" s="33"/>
      <c r="S649" s="33"/>
      <c r="T649" s="33"/>
      <c r="U649" s="33"/>
      <c r="V649" s="33"/>
      <c r="W649" s="33"/>
      <c r="X649" s="33"/>
      <c r="Y649" s="33"/>
      <c r="Z649" s="33"/>
      <c r="AA649" s="33"/>
      <c r="AB649" s="33"/>
      <c r="AC649" s="33"/>
      <c r="AD649" s="33"/>
      <c r="AE649" s="33"/>
      <c r="AF649" s="33"/>
    </row>
    <row r="650" ht="15.75" customHeight="1">
      <c r="A650" s="105" t="s">
        <v>6750</v>
      </c>
      <c r="B650" s="89">
        <v>1.0</v>
      </c>
      <c r="C650" s="297" t="s">
        <v>3690</v>
      </c>
      <c r="D650" s="297" t="s">
        <v>3692</v>
      </c>
      <c r="E650" s="297" t="s">
        <v>3693</v>
      </c>
      <c r="F650" s="33"/>
      <c r="G650" s="33"/>
      <c r="H650" s="33"/>
      <c r="I650" s="33"/>
      <c r="J650" s="33"/>
      <c r="K650" s="33"/>
      <c r="L650" s="33"/>
      <c r="M650" s="33"/>
      <c r="N650" s="33"/>
      <c r="O650" s="33"/>
      <c r="P650" s="33"/>
      <c r="Q650" s="33"/>
      <c r="R650" s="33"/>
      <c r="S650" s="33"/>
      <c r="T650" s="33"/>
      <c r="U650" s="33"/>
      <c r="V650" s="33"/>
      <c r="W650" s="33"/>
      <c r="X650" s="33"/>
      <c r="Y650" s="33"/>
      <c r="Z650" s="33"/>
      <c r="AA650" s="33"/>
      <c r="AB650" s="33"/>
      <c r="AC650" s="33"/>
      <c r="AD650" s="33"/>
      <c r="AE650" s="33"/>
      <c r="AF650" s="33"/>
    </row>
    <row r="651" ht="15.75" customHeight="1">
      <c r="A651" s="105" t="s">
        <v>6750</v>
      </c>
      <c r="B651" s="89">
        <v>2.0</v>
      </c>
      <c r="C651" s="297" t="s">
        <v>6767</v>
      </c>
      <c r="D651" s="297" t="s">
        <v>6768</v>
      </c>
      <c r="E651" s="297" t="s">
        <v>6769</v>
      </c>
      <c r="F651" s="33"/>
      <c r="G651" s="33"/>
      <c r="H651" s="33"/>
      <c r="I651" s="33"/>
      <c r="J651" s="33"/>
      <c r="K651" s="33"/>
      <c r="L651" s="33"/>
      <c r="M651" s="33"/>
      <c r="N651" s="33"/>
      <c r="O651" s="33"/>
      <c r="P651" s="33"/>
      <c r="Q651" s="33"/>
      <c r="R651" s="33"/>
      <c r="S651" s="33"/>
      <c r="T651" s="33"/>
      <c r="U651" s="33"/>
      <c r="V651" s="33"/>
      <c r="W651" s="33"/>
      <c r="X651" s="33"/>
      <c r="Y651" s="33"/>
      <c r="Z651" s="33"/>
      <c r="AA651" s="33"/>
      <c r="AB651" s="33"/>
      <c r="AC651" s="33"/>
      <c r="AD651" s="33"/>
      <c r="AE651" s="33"/>
      <c r="AF651" s="33"/>
    </row>
    <row r="652" ht="15.75" customHeight="1">
      <c r="A652" s="105" t="s">
        <v>6750</v>
      </c>
      <c r="B652" s="89">
        <v>3.0</v>
      </c>
      <c r="C652" s="297" t="s">
        <v>6779</v>
      </c>
      <c r="D652" s="297" t="s">
        <v>6781</v>
      </c>
      <c r="E652" s="297" t="s">
        <v>6783</v>
      </c>
      <c r="F652" s="33"/>
      <c r="G652" s="33"/>
      <c r="H652" s="33"/>
      <c r="I652" s="33"/>
      <c r="J652" s="33"/>
      <c r="K652" s="33"/>
      <c r="L652" s="33"/>
      <c r="M652" s="33"/>
      <c r="N652" s="33"/>
      <c r="O652" s="33"/>
      <c r="P652" s="33"/>
      <c r="Q652" s="33"/>
      <c r="R652" s="33"/>
      <c r="S652" s="33"/>
      <c r="T652" s="33"/>
      <c r="U652" s="33"/>
      <c r="V652" s="33"/>
      <c r="W652" s="33"/>
      <c r="X652" s="33"/>
      <c r="Y652" s="33"/>
      <c r="Z652" s="33"/>
      <c r="AA652" s="33"/>
      <c r="AB652" s="33"/>
      <c r="AC652" s="33"/>
      <c r="AD652" s="33"/>
      <c r="AE652" s="33"/>
      <c r="AF652" s="33"/>
    </row>
    <row r="653" ht="15.75" customHeight="1">
      <c r="A653" s="105" t="s">
        <v>6750</v>
      </c>
      <c r="B653" s="89">
        <v>4.0</v>
      </c>
      <c r="C653" s="297" t="s">
        <v>6328</v>
      </c>
      <c r="D653" s="297" t="s">
        <v>6329</v>
      </c>
      <c r="E653" s="297" t="s">
        <v>6800</v>
      </c>
      <c r="F653" s="33"/>
      <c r="G653" s="33"/>
      <c r="H653" s="33"/>
      <c r="I653" s="33"/>
      <c r="J653" s="33"/>
      <c r="K653" s="33"/>
      <c r="L653" s="33"/>
      <c r="M653" s="33"/>
      <c r="N653" s="33"/>
      <c r="O653" s="33"/>
      <c r="P653" s="33"/>
      <c r="Q653" s="33"/>
      <c r="R653" s="33"/>
      <c r="S653" s="33"/>
      <c r="T653" s="33"/>
      <c r="U653" s="33"/>
      <c r="V653" s="33"/>
      <c r="W653" s="33"/>
      <c r="X653" s="33"/>
      <c r="Y653" s="33"/>
      <c r="Z653" s="33"/>
      <c r="AA653" s="33"/>
      <c r="AB653" s="33"/>
      <c r="AC653" s="33"/>
      <c r="AD653" s="33"/>
      <c r="AE653" s="33"/>
      <c r="AF653" s="33"/>
    </row>
    <row r="654" ht="15.75" customHeight="1">
      <c r="A654" s="105" t="s">
        <v>6750</v>
      </c>
      <c r="B654" s="89">
        <v>5.0</v>
      </c>
      <c r="C654" s="297" t="s">
        <v>6813</v>
      </c>
      <c r="D654" s="297" t="s">
        <v>6816</v>
      </c>
      <c r="E654" s="297" t="s">
        <v>6817</v>
      </c>
      <c r="F654" s="33"/>
      <c r="G654" s="33"/>
      <c r="H654" s="33"/>
      <c r="I654" s="33"/>
      <c r="J654" s="33"/>
      <c r="K654" s="33"/>
      <c r="L654" s="33"/>
      <c r="M654" s="33"/>
      <c r="N654" s="33"/>
      <c r="O654" s="33"/>
      <c r="P654" s="33"/>
      <c r="Q654" s="33"/>
      <c r="R654" s="33"/>
      <c r="S654" s="33"/>
      <c r="T654" s="33"/>
      <c r="U654" s="33"/>
      <c r="V654" s="33"/>
      <c r="W654" s="33"/>
      <c r="X654" s="33"/>
      <c r="Y654" s="33"/>
      <c r="Z654" s="33"/>
      <c r="AA654" s="33"/>
      <c r="AB654" s="33"/>
      <c r="AC654" s="33"/>
      <c r="AD654" s="33"/>
      <c r="AE654" s="33"/>
      <c r="AF654" s="33"/>
    </row>
    <row r="655" ht="15.75" customHeight="1">
      <c r="A655" s="105" t="s">
        <v>6750</v>
      </c>
      <c r="B655" s="89">
        <v>6.0</v>
      </c>
      <c r="C655" s="297" t="s">
        <v>6822</v>
      </c>
      <c r="D655" s="297" t="s">
        <v>6823</v>
      </c>
      <c r="E655" s="297" t="s">
        <v>6824</v>
      </c>
      <c r="F655" s="33"/>
      <c r="G655" s="33"/>
      <c r="H655" s="33"/>
      <c r="I655" s="33"/>
      <c r="J655" s="33"/>
      <c r="K655" s="33"/>
      <c r="L655" s="33"/>
      <c r="M655" s="33"/>
      <c r="N655" s="33"/>
      <c r="O655" s="33"/>
      <c r="P655" s="33"/>
      <c r="Q655" s="33"/>
      <c r="R655" s="33"/>
      <c r="S655" s="33"/>
      <c r="T655" s="33"/>
      <c r="U655" s="33"/>
      <c r="V655" s="33"/>
      <c r="W655" s="33"/>
      <c r="X655" s="33"/>
      <c r="Y655" s="33"/>
      <c r="Z655" s="33"/>
      <c r="AA655" s="33"/>
      <c r="AB655" s="33"/>
      <c r="AC655" s="33"/>
      <c r="AD655" s="33"/>
      <c r="AE655" s="33"/>
      <c r="AF655" s="33"/>
    </row>
    <row r="656" ht="15.75" customHeight="1">
      <c r="A656" s="105" t="s">
        <v>6750</v>
      </c>
      <c r="B656" s="89">
        <v>7.0</v>
      </c>
      <c r="C656" s="300" t="s">
        <v>6826</v>
      </c>
      <c r="D656" s="297" t="s">
        <v>6827</v>
      </c>
      <c r="E656" s="297" t="s">
        <v>6828</v>
      </c>
      <c r="F656" s="33"/>
      <c r="G656" s="33"/>
      <c r="H656" s="33"/>
      <c r="I656" s="33"/>
      <c r="J656" s="33"/>
      <c r="K656" s="33"/>
      <c r="L656" s="33"/>
      <c r="M656" s="33"/>
      <c r="N656" s="33"/>
      <c r="O656" s="33"/>
      <c r="P656" s="33"/>
      <c r="Q656" s="33"/>
      <c r="R656" s="33"/>
      <c r="S656" s="33"/>
      <c r="T656" s="33"/>
      <c r="U656" s="33"/>
      <c r="V656" s="33"/>
      <c r="W656" s="33"/>
      <c r="X656" s="33"/>
      <c r="Y656" s="33"/>
      <c r="Z656" s="33"/>
      <c r="AA656" s="33"/>
      <c r="AB656" s="33"/>
      <c r="AC656" s="33"/>
      <c r="AD656" s="33"/>
      <c r="AE656" s="33"/>
      <c r="AF656" s="33"/>
    </row>
    <row r="657" ht="15.75" customHeight="1">
      <c r="A657" s="105" t="s">
        <v>6750</v>
      </c>
      <c r="B657" s="89">
        <v>8.0</v>
      </c>
      <c r="C657" s="297" t="s">
        <v>6841</v>
      </c>
      <c r="D657" s="297" t="s">
        <v>6842</v>
      </c>
      <c r="E657" s="297" t="s">
        <v>6843</v>
      </c>
      <c r="F657" s="33"/>
      <c r="G657" s="33"/>
      <c r="H657" s="33"/>
      <c r="I657" s="33"/>
      <c r="J657" s="33"/>
      <c r="K657" s="33"/>
      <c r="L657" s="33"/>
      <c r="M657" s="33"/>
      <c r="N657" s="33"/>
      <c r="O657" s="33"/>
      <c r="P657" s="33"/>
      <c r="Q657" s="33"/>
      <c r="R657" s="33"/>
      <c r="S657" s="33"/>
      <c r="T657" s="33"/>
      <c r="U657" s="33"/>
      <c r="V657" s="33"/>
      <c r="W657" s="33"/>
      <c r="X657" s="33"/>
      <c r="Y657" s="33"/>
      <c r="Z657" s="33"/>
      <c r="AA657" s="33"/>
      <c r="AB657" s="33"/>
      <c r="AC657" s="33"/>
      <c r="AD657" s="33"/>
      <c r="AE657" s="33"/>
      <c r="AF657" s="33"/>
    </row>
    <row r="658" ht="15.75" customHeight="1">
      <c r="A658" s="105" t="s">
        <v>6750</v>
      </c>
      <c r="B658" s="89">
        <v>9.0</v>
      </c>
      <c r="C658" s="297" t="s">
        <v>6856</v>
      </c>
      <c r="D658" s="297" t="s">
        <v>6860</v>
      </c>
      <c r="E658" s="297" t="s">
        <v>6861</v>
      </c>
      <c r="F658" s="33"/>
      <c r="G658" s="33"/>
      <c r="H658" s="33"/>
      <c r="I658" s="33"/>
      <c r="J658" s="33"/>
      <c r="K658" s="33"/>
      <c r="L658" s="33"/>
      <c r="M658" s="33"/>
      <c r="N658" s="33"/>
      <c r="O658" s="33"/>
      <c r="P658" s="33"/>
      <c r="Q658" s="33"/>
      <c r="R658" s="33"/>
      <c r="S658" s="33"/>
      <c r="T658" s="33"/>
      <c r="U658" s="33"/>
      <c r="V658" s="33"/>
      <c r="W658" s="33"/>
      <c r="X658" s="33"/>
      <c r="Y658" s="33"/>
      <c r="Z658" s="33"/>
      <c r="AA658" s="33"/>
      <c r="AB658" s="33"/>
      <c r="AC658" s="33"/>
      <c r="AD658" s="33"/>
      <c r="AE658" s="33"/>
      <c r="AF658" s="33"/>
    </row>
    <row r="659" ht="15.75" customHeight="1">
      <c r="A659" s="105" t="s">
        <v>6750</v>
      </c>
      <c r="B659" s="89">
        <v>10.0</v>
      </c>
      <c r="C659" s="297" t="s">
        <v>2053</v>
      </c>
      <c r="D659" s="297" t="s">
        <v>2054</v>
      </c>
      <c r="E659" s="297" t="s">
        <v>2055</v>
      </c>
      <c r="F659" s="33"/>
      <c r="G659" s="33"/>
      <c r="H659" s="33"/>
      <c r="I659" s="33"/>
      <c r="J659" s="33"/>
      <c r="K659" s="33"/>
      <c r="L659" s="33"/>
      <c r="M659" s="33"/>
      <c r="N659" s="33"/>
      <c r="O659" s="33"/>
      <c r="P659" s="33"/>
      <c r="Q659" s="33"/>
      <c r="R659" s="33"/>
      <c r="S659" s="33"/>
      <c r="T659" s="33"/>
      <c r="U659" s="33"/>
      <c r="V659" s="33"/>
      <c r="W659" s="33"/>
      <c r="X659" s="33"/>
      <c r="Y659" s="33"/>
      <c r="Z659" s="33"/>
      <c r="AA659" s="33"/>
      <c r="AB659" s="33"/>
      <c r="AC659" s="33"/>
      <c r="AD659" s="33"/>
      <c r="AE659" s="33"/>
      <c r="AF659" s="33"/>
    </row>
    <row r="660" ht="15.75" customHeight="1">
      <c r="A660" s="105" t="s">
        <v>6750</v>
      </c>
      <c r="B660" s="89">
        <v>-777.0</v>
      </c>
      <c r="C660" s="297" t="s">
        <v>417</v>
      </c>
      <c r="D660" s="297" t="s">
        <v>418</v>
      </c>
      <c r="E660" s="297" t="s">
        <v>6881</v>
      </c>
      <c r="F660" s="33"/>
      <c r="G660" s="33"/>
      <c r="H660" s="33"/>
      <c r="I660" s="33"/>
      <c r="J660" s="33"/>
      <c r="K660" s="33"/>
      <c r="L660" s="33"/>
      <c r="M660" s="33"/>
      <c r="N660" s="33"/>
      <c r="O660" s="33"/>
      <c r="P660" s="33"/>
      <c r="Q660" s="33"/>
      <c r="R660" s="33"/>
      <c r="S660" s="33"/>
      <c r="T660" s="33"/>
      <c r="U660" s="33"/>
      <c r="V660" s="33"/>
      <c r="W660" s="33"/>
      <c r="X660" s="33"/>
      <c r="Y660" s="33"/>
      <c r="Z660" s="33"/>
      <c r="AA660" s="33"/>
      <c r="AB660" s="33"/>
      <c r="AC660" s="33"/>
      <c r="AD660" s="33"/>
      <c r="AE660" s="33"/>
      <c r="AF660" s="33"/>
    </row>
    <row r="661" ht="15.75" customHeight="1">
      <c r="A661" s="105" t="s">
        <v>6750</v>
      </c>
      <c r="B661" s="89">
        <v>-999.0</v>
      </c>
      <c r="C661" s="297" t="s">
        <v>115</v>
      </c>
      <c r="D661" s="297" t="s">
        <v>117</v>
      </c>
      <c r="E661" s="297" t="s">
        <v>118</v>
      </c>
      <c r="F661" s="33"/>
      <c r="G661" s="33"/>
      <c r="H661" s="33"/>
      <c r="I661" s="33"/>
      <c r="J661" s="33"/>
      <c r="K661" s="33"/>
      <c r="L661" s="33"/>
      <c r="M661" s="33"/>
      <c r="N661" s="33"/>
      <c r="O661" s="33"/>
      <c r="P661" s="33"/>
      <c r="Q661" s="33"/>
      <c r="R661" s="33"/>
      <c r="S661" s="33"/>
      <c r="T661" s="33"/>
      <c r="U661" s="33"/>
      <c r="V661" s="33"/>
      <c r="W661" s="33"/>
      <c r="X661" s="33"/>
      <c r="Y661" s="33"/>
      <c r="Z661" s="33"/>
      <c r="AA661" s="33"/>
      <c r="AB661" s="33"/>
      <c r="AC661" s="33"/>
      <c r="AD661" s="33"/>
      <c r="AE661" s="33"/>
      <c r="AF661" s="33"/>
    </row>
    <row r="662" ht="15.75" customHeight="1">
      <c r="A662" s="100"/>
      <c r="B662" s="102"/>
      <c r="C662" s="100"/>
      <c r="D662" s="100"/>
      <c r="E662" s="165"/>
      <c r="F662" s="33"/>
      <c r="G662" s="33"/>
      <c r="H662" s="33"/>
      <c r="I662" s="33"/>
      <c r="J662" s="33"/>
      <c r="K662" s="33"/>
      <c r="L662" s="33"/>
      <c r="M662" s="33"/>
      <c r="N662" s="33"/>
      <c r="O662" s="33"/>
      <c r="P662" s="33"/>
      <c r="Q662" s="33"/>
      <c r="R662" s="33"/>
      <c r="S662" s="33"/>
      <c r="T662" s="33"/>
      <c r="U662" s="33"/>
      <c r="V662" s="33"/>
      <c r="W662" s="33"/>
      <c r="X662" s="33"/>
      <c r="Y662" s="33"/>
      <c r="Z662" s="33"/>
      <c r="AA662" s="33"/>
      <c r="AB662" s="33"/>
      <c r="AC662" s="33"/>
      <c r="AD662" s="33"/>
      <c r="AE662" s="33"/>
      <c r="AF662" s="33"/>
    </row>
    <row r="663" ht="15.75" customHeight="1">
      <c r="A663" s="110" t="s">
        <v>6914</v>
      </c>
      <c r="B663" s="111">
        <v>1.0</v>
      </c>
      <c r="C663" s="116" t="s">
        <v>6917</v>
      </c>
      <c r="D663" s="116" t="s">
        <v>6917</v>
      </c>
      <c r="E663" s="168" t="s">
        <v>6917</v>
      </c>
      <c r="F663" s="114"/>
      <c r="G663" s="301">
        <v>1.0</v>
      </c>
      <c r="H663" s="44"/>
      <c r="I663" s="44"/>
      <c r="J663" s="44"/>
      <c r="K663" s="44"/>
      <c r="L663" s="44"/>
      <c r="M663" s="44"/>
      <c r="N663" s="44"/>
      <c r="O663" s="44"/>
      <c r="P663" s="44"/>
      <c r="Q663" s="44"/>
      <c r="R663" s="44"/>
      <c r="S663" s="44"/>
      <c r="T663" s="44"/>
      <c r="U663" s="44"/>
      <c r="V663" s="44"/>
      <c r="W663" s="44"/>
      <c r="X663" s="44"/>
      <c r="Y663" s="44"/>
      <c r="Z663" s="44"/>
      <c r="AA663" s="44"/>
      <c r="AB663" s="44"/>
      <c r="AC663" s="44"/>
      <c r="AD663" s="44"/>
      <c r="AE663" s="44"/>
      <c r="AF663" s="44"/>
    </row>
    <row r="664" ht="15.75" customHeight="1">
      <c r="A664" s="75" t="s">
        <v>6914</v>
      </c>
      <c r="B664" s="76">
        <v>2.0</v>
      </c>
      <c r="C664" s="31" t="s">
        <v>6934</v>
      </c>
      <c r="D664" s="31" t="s">
        <v>6934</v>
      </c>
      <c r="E664" s="78" t="s">
        <v>6934</v>
      </c>
      <c r="F664" s="29"/>
      <c r="G664" s="25">
        <v>2.0</v>
      </c>
      <c r="H664" s="33"/>
      <c r="I664" s="33"/>
      <c r="J664" s="33"/>
      <c r="K664" s="33"/>
      <c r="L664" s="33"/>
      <c r="M664" s="33"/>
      <c r="N664" s="33"/>
      <c r="O664" s="33"/>
      <c r="P664" s="33"/>
      <c r="Q664" s="33"/>
      <c r="R664" s="33"/>
      <c r="S664" s="33"/>
      <c r="T664" s="33"/>
      <c r="U664" s="33"/>
      <c r="V664" s="33"/>
      <c r="W664" s="33"/>
      <c r="X664" s="33"/>
      <c r="Y664" s="33"/>
      <c r="Z664" s="33"/>
      <c r="AA664" s="33"/>
      <c r="AB664" s="33"/>
      <c r="AC664" s="33"/>
      <c r="AD664" s="33"/>
      <c r="AE664" s="33"/>
      <c r="AF664" s="33"/>
    </row>
    <row r="665" ht="15.75" customHeight="1">
      <c r="A665" s="75" t="s">
        <v>6914</v>
      </c>
      <c r="B665" s="76">
        <v>3.0</v>
      </c>
      <c r="C665" s="31" t="s">
        <v>6948</v>
      </c>
      <c r="D665" s="31" t="s">
        <v>6948</v>
      </c>
      <c r="E665" s="78" t="s">
        <v>6948</v>
      </c>
      <c r="F665" s="29"/>
      <c r="G665" s="25">
        <v>3.0</v>
      </c>
      <c r="H665" s="33"/>
      <c r="I665" s="33"/>
      <c r="J665" s="33"/>
      <c r="K665" s="33"/>
      <c r="L665" s="33"/>
      <c r="M665" s="33"/>
      <c r="N665" s="33"/>
      <c r="O665" s="33"/>
      <c r="P665" s="33"/>
      <c r="Q665" s="33"/>
      <c r="R665" s="33"/>
      <c r="S665" s="33"/>
      <c r="T665" s="33"/>
      <c r="U665" s="33"/>
      <c r="V665" s="33"/>
      <c r="W665" s="33"/>
      <c r="X665" s="33"/>
      <c r="Y665" s="33"/>
      <c r="Z665" s="33"/>
      <c r="AA665" s="33"/>
      <c r="AB665" s="33"/>
      <c r="AC665" s="33"/>
      <c r="AD665" s="33"/>
      <c r="AE665" s="33"/>
      <c r="AF665" s="33"/>
    </row>
    <row r="666" ht="15.75" customHeight="1">
      <c r="A666" s="75" t="s">
        <v>6914</v>
      </c>
      <c r="B666" s="76">
        <v>4.0</v>
      </c>
      <c r="C666" s="31" t="s">
        <v>6953</v>
      </c>
      <c r="D666" s="31" t="s">
        <v>6953</v>
      </c>
      <c r="E666" s="78" t="s">
        <v>6953</v>
      </c>
      <c r="F666" s="29"/>
      <c r="G666" s="25">
        <v>4.0</v>
      </c>
      <c r="H666" s="33"/>
      <c r="I666" s="33"/>
      <c r="J666" s="33"/>
      <c r="K666" s="33"/>
      <c r="L666" s="33"/>
      <c r="M666" s="33"/>
      <c r="N666" s="33"/>
      <c r="O666" s="33"/>
      <c r="P666" s="33"/>
      <c r="Q666" s="33"/>
      <c r="R666" s="33"/>
      <c r="S666" s="33"/>
      <c r="T666" s="33"/>
      <c r="U666" s="33"/>
      <c r="V666" s="33"/>
      <c r="W666" s="33"/>
      <c r="X666" s="33"/>
      <c r="Y666" s="33"/>
      <c r="Z666" s="33"/>
      <c r="AA666" s="33"/>
      <c r="AB666" s="33"/>
      <c r="AC666" s="33"/>
      <c r="AD666" s="33"/>
      <c r="AE666" s="33"/>
      <c r="AF666" s="33"/>
    </row>
    <row r="667" ht="15.75" customHeight="1">
      <c r="A667" s="63" t="s">
        <v>6914</v>
      </c>
      <c r="B667" s="94">
        <v>5.0</v>
      </c>
      <c r="C667" s="37" t="s">
        <v>6956</v>
      </c>
      <c r="D667" s="37" t="s">
        <v>6956</v>
      </c>
      <c r="E667" s="71" t="s">
        <v>6956</v>
      </c>
      <c r="F667" s="36"/>
      <c r="G667" s="35">
        <v>5.0</v>
      </c>
      <c r="H667" s="19"/>
      <c r="I667" s="19"/>
      <c r="J667" s="19"/>
      <c r="K667" s="19"/>
      <c r="L667" s="19"/>
      <c r="M667" s="19"/>
      <c r="N667" s="19"/>
      <c r="O667" s="19"/>
      <c r="P667" s="19"/>
      <c r="Q667" s="19"/>
      <c r="R667" s="19"/>
      <c r="S667" s="19"/>
      <c r="T667" s="19"/>
      <c r="U667" s="19"/>
      <c r="V667" s="19"/>
      <c r="W667" s="19"/>
      <c r="X667" s="19"/>
      <c r="Y667" s="19"/>
      <c r="Z667" s="19"/>
      <c r="AA667" s="19"/>
      <c r="AB667" s="19"/>
      <c r="AC667" s="19"/>
      <c r="AD667" s="19"/>
      <c r="AE667" s="19"/>
      <c r="AF667" s="19"/>
    </row>
    <row r="668" ht="15.75" customHeight="1">
      <c r="A668" s="63" t="s">
        <v>6914</v>
      </c>
      <c r="B668" s="89">
        <v>-777.0</v>
      </c>
      <c r="C668" s="52" t="s">
        <v>417</v>
      </c>
      <c r="D668" s="31" t="s">
        <v>418</v>
      </c>
      <c r="E668" s="31" t="s">
        <v>419</v>
      </c>
      <c r="F668" s="33"/>
      <c r="G668" s="52">
        <v>0.0</v>
      </c>
      <c r="H668" s="52"/>
      <c r="I668" s="33"/>
      <c r="J668" s="33"/>
      <c r="K668" s="33"/>
      <c r="L668" s="33"/>
      <c r="M668" s="33"/>
      <c r="N668" s="33"/>
      <c r="O668" s="33"/>
      <c r="P668" s="33"/>
      <c r="Q668" s="33"/>
      <c r="R668" s="33"/>
      <c r="S668" s="33"/>
      <c r="T668" s="33"/>
      <c r="U668" s="33"/>
      <c r="V668" s="33"/>
      <c r="W668" s="33"/>
      <c r="X668" s="33"/>
      <c r="Y668" s="33"/>
      <c r="Z668" s="33"/>
      <c r="AA668" s="33"/>
      <c r="AB668" s="33"/>
      <c r="AC668" s="33"/>
      <c r="AD668" s="33"/>
      <c r="AE668" s="33"/>
      <c r="AF668" s="33"/>
    </row>
    <row r="669" ht="15.75" customHeight="1">
      <c r="A669" s="100"/>
      <c r="B669" s="102"/>
      <c r="C669" s="100"/>
      <c r="D669" s="100"/>
      <c r="E669" s="165"/>
      <c r="F669" s="33"/>
      <c r="G669" s="33"/>
      <c r="H669" s="33"/>
      <c r="I669" s="33"/>
      <c r="J669" s="33"/>
      <c r="K669" s="33"/>
      <c r="L669" s="33"/>
      <c r="M669" s="33"/>
      <c r="N669" s="33"/>
      <c r="O669" s="33"/>
      <c r="P669" s="33"/>
      <c r="Q669" s="33"/>
      <c r="R669" s="33"/>
      <c r="S669" s="33"/>
      <c r="T669" s="33"/>
      <c r="U669" s="33"/>
      <c r="V669" s="33"/>
      <c r="W669" s="33"/>
      <c r="X669" s="33"/>
      <c r="Y669" s="33"/>
      <c r="Z669" s="33"/>
      <c r="AA669" s="33"/>
      <c r="AB669" s="33"/>
      <c r="AC669" s="33"/>
      <c r="AD669" s="33"/>
      <c r="AE669" s="33"/>
      <c r="AF669" s="33"/>
    </row>
    <row r="670" ht="15.75" customHeight="1">
      <c r="A670" s="110" t="s">
        <v>6985</v>
      </c>
      <c r="B670" s="111">
        <v>1.0</v>
      </c>
      <c r="C670" s="116" t="s">
        <v>6989</v>
      </c>
      <c r="D670" s="230" t="s">
        <v>6991</v>
      </c>
      <c r="E670" s="262" t="s">
        <v>6994</v>
      </c>
      <c r="F670" s="44"/>
      <c r="G670" s="44"/>
      <c r="H670" s="44"/>
      <c r="I670" s="44"/>
      <c r="J670" s="44"/>
      <c r="K670" s="44"/>
      <c r="L670" s="44"/>
      <c r="M670" s="44"/>
      <c r="N670" s="44"/>
      <c r="O670" s="44"/>
      <c r="P670" s="44"/>
      <c r="Q670" s="44"/>
      <c r="R670" s="44"/>
      <c r="S670" s="44"/>
      <c r="T670" s="44"/>
      <c r="U670" s="44"/>
      <c r="V670" s="44"/>
      <c r="W670" s="44"/>
      <c r="X670" s="44"/>
      <c r="Y670" s="44"/>
      <c r="Z670" s="44"/>
      <c r="AA670" s="44"/>
      <c r="AB670" s="44"/>
      <c r="AC670" s="44"/>
      <c r="AD670" s="44"/>
      <c r="AE670" s="44"/>
      <c r="AF670" s="44"/>
    </row>
    <row r="671" ht="15.75" customHeight="1">
      <c r="A671" s="75" t="s">
        <v>6985</v>
      </c>
      <c r="B671" s="76">
        <v>2.0</v>
      </c>
      <c r="C671" s="31" t="s">
        <v>7006</v>
      </c>
      <c r="D671" s="100" t="s">
        <v>7008</v>
      </c>
      <c r="E671" s="100" t="s">
        <v>7010</v>
      </c>
      <c r="F671" s="33"/>
      <c r="G671" s="33"/>
      <c r="H671" s="33"/>
      <c r="I671" s="33"/>
      <c r="J671" s="33"/>
      <c r="K671" s="33"/>
      <c r="L671" s="33"/>
      <c r="M671" s="33"/>
      <c r="N671" s="33"/>
      <c r="O671" s="33"/>
      <c r="P671" s="33"/>
      <c r="Q671" s="33"/>
      <c r="R671" s="33"/>
      <c r="S671" s="33"/>
      <c r="T671" s="33"/>
      <c r="U671" s="33"/>
      <c r="V671" s="33"/>
      <c r="W671" s="33"/>
      <c r="X671" s="33"/>
      <c r="Y671" s="33"/>
      <c r="Z671" s="33"/>
      <c r="AA671" s="33"/>
      <c r="AB671" s="33"/>
      <c r="AC671" s="33"/>
      <c r="AD671" s="33"/>
      <c r="AE671" s="33"/>
      <c r="AF671" s="33"/>
    </row>
    <row r="672" ht="15.75" customHeight="1">
      <c r="A672" s="75" t="s">
        <v>6985</v>
      </c>
      <c r="B672" s="76">
        <v>3.0</v>
      </c>
      <c r="C672" s="31" t="s">
        <v>7021</v>
      </c>
      <c r="D672" s="100" t="s">
        <v>7022</v>
      </c>
      <c r="E672" s="100" t="s">
        <v>7023</v>
      </c>
      <c r="F672" s="33"/>
      <c r="G672" s="33"/>
      <c r="H672" s="33"/>
      <c r="I672" s="33"/>
      <c r="J672" s="33"/>
      <c r="K672" s="33"/>
      <c r="L672" s="33"/>
      <c r="M672" s="33"/>
      <c r="N672" s="33"/>
      <c r="O672" s="33"/>
      <c r="P672" s="33"/>
      <c r="Q672" s="33"/>
      <c r="R672" s="33"/>
      <c r="S672" s="33"/>
      <c r="T672" s="33"/>
      <c r="U672" s="33"/>
      <c r="V672" s="33"/>
      <c r="W672" s="33"/>
      <c r="X672" s="33"/>
      <c r="Y672" s="33"/>
      <c r="Z672" s="33"/>
      <c r="AA672" s="33"/>
      <c r="AB672" s="33"/>
      <c r="AC672" s="33"/>
      <c r="AD672" s="33"/>
      <c r="AE672" s="33"/>
      <c r="AF672" s="33"/>
    </row>
    <row r="673" ht="15.75" customHeight="1">
      <c r="A673" s="75" t="s">
        <v>6985</v>
      </c>
      <c r="B673" s="76">
        <v>4.0</v>
      </c>
      <c r="C673" s="31" t="s">
        <v>7034</v>
      </c>
      <c r="D673" s="100" t="s">
        <v>7034</v>
      </c>
      <c r="E673" s="100" t="s">
        <v>7034</v>
      </c>
      <c r="F673" s="33"/>
      <c r="G673" s="33"/>
      <c r="H673" s="33"/>
      <c r="I673" s="33"/>
      <c r="J673" s="33"/>
      <c r="K673" s="33"/>
      <c r="L673" s="33"/>
      <c r="M673" s="33"/>
      <c r="N673" s="33"/>
      <c r="O673" s="33"/>
      <c r="P673" s="33"/>
      <c r="Q673" s="33"/>
      <c r="R673" s="33"/>
      <c r="S673" s="33"/>
      <c r="T673" s="33"/>
      <c r="U673" s="33"/>
      <c r="V673" s="33"/>
      <c r="W673" s="33"/>
      <c r="X673" s="33"/>
      <c r="Y673" s="33"/>
      <c r="Z673" s="33"/>
      <c r="AA673" s="33"/>
      <c r="AB673" s="33"/>
      <c r="AC673" s="33"/>
      <c r="AD673" s="33"/>
      <c r="AE673" s="33"/>
      <c r="AF673" s="33"/>
    </row>
    <row r="674" ht="15.75" customHeight="1">
      <c r="A674" s="75" t="s">
        <v>6985</v>
      </c>
      <c r="B674" s="76">
        <v>5.0</v>
      </c>
      <c r="C674" s="31" t="s">
        <v>7047</v>
      </c>
      <c r="D674" s="100" t="s">
        <v>7048</v>
      </c>
      <c r="E674" s="100" t="s">
        <v>7049</v>
      </c>
      <c r="F674" s="33"/>
      <c r="G674" s="33"/>
      <c r="H674" s="33"/>
      <c r="I674" s="33"/>
      <c r="J674" s="33"/>
      <c r="K674" s="33"/>
      <c r="L674" s="33"/>
      <c r="M674" s="33"/>
      <c r="N674" s="33"/>
      <c r="O674" s="33"/>
      <c r="P674" s="33"/>
      <c r="Q674" s="33"/>
      <c r="R674" s="33"/>
      <c r="S674" s="33"/>
      <c r="T674" s="33"/>
      <c r="U674" s="33"/>
      <c r="V674" s="33"/>
      <c r="W674" s="33"/>
      <c r="X674" s="33"/>
      <c r="Y674" s="33"/>
      <c r="Z674" s="33"/>
      <c r="AA674" s="33"/>
      <c r="AB674" s="33"/>
      <c r="AC674" s="33"/>
      <c r="AD674" s="33"/>
      <c r="AE674" s="33"/>
      <c r="AF674" s="33"/>
    </row>
    <row r="675" ht="15.75" customHeight="1">
      <c r="A675" s="63" t="s">
        <v>6985</v>
      </c>
      <c r="B675" s="94">
        <v>6.0</v>
      </c>
      <c r="C675" s="37" t="s">
        <v>7059</v>
      </c>
      <c r="D675" s="95" t="s">
        <v>7061</v>
      </c>
      <c r="E675" s="71" t="s">
        <v>7063</v>
      </c>
      <c r="F675" s="19"/>
      <c r="G675" s="19"/>
      <c r="H675" s="19"/>
      <c r="I675" s="19"/>
      <c r="J675" s="19"/>
      <c r="K675" s="19"/>
      <c r="L675" s="19"/>
      <c r="M675" s="19"/>
      <c r="N675" s="19"/>
      <c r="O675" s="19"/>
      <c r="P675" s="19"/>
      <c r="Q675" s="19"/>
      <c r="R675" s="19"/>
      <c r="S675" s="19"/>
      <c r="T675" s="19"/>
      <c r="U675" s="19"/>
      <c r="V675" s="19"/>
      <c r="W675" s="19"/>
      <c r="X675" s="19"/>
      <c r="Y675" s="19"/>
      <c r="Z675" s="19"/>
      <c r="AA675" s="19"/>
      <c r="AB675" s="19"/>
      <c r="AC675" s="19"/>
      <c r="AD675" s="19"/>
      <c r="AE675" s="19"/>
      <c r="AF675" s="19"/>
    </row>
    <row r="676" ht="15.75" customHeight="1">
      <c r="A676" s="100"/>
      <c r="B676" s="102"/>
      <c r="C676" s="100"/>
      <c r="D676" s="100"/>
      <c r="E676" s="165"/>
      <c r="F676" s="33"/>
      <c r="G676" s="33"/>
      <c r="H676" s="33"/>
      <c r="I676" s="33"/>
      <c r="J676" s="33"/>
      <c r="K676" s="33"/>
      <c r="L676" s="33"/>
      <c r="M676" s="33"/>
      <c r="N676" s="33"/>
      <c r="O676" s="33"/>
      <c r="P676" s="33"/>
      <c r="Q676" s="33"/>
      <c r="R676" s="33"/>
      <c r="S676" s="33"/>
      <c r="T676" s="33"/>
      <c r="U676" s="33"/>
      <c r="V676" s="33"/>
      <c r="W676" s="33"/>
      <c r="X676" s="33"/>
      <c r="Y676" s="33"/>
      <c r="Z676" s="33"/>
      <c r="AA676" s="33"/>
      <c r="AB676" s="33"/>
      <c r="AC676" s="33"/>
      <c r="AD676" s="33"/>
      <c r="AE676" s="33"/>
      <c r="AF676" s="33"/>
    </row>
    <row r="677" ht="15.75" customHeight="1">
      <c r="A677" s="52" t="s">
        <v>7084</v>
      </c>
      <c r="B677" s="89">
        <v>1.0</v>
      </c>
      <c r="C677" s="297" t="s">
        <v>7087</v>
      </c>
      <c r="D677" s="297" t="s">
        <v>7089</v>
      </c>
      <c r="E677" s="297" t="s">
        <v>7090</v>
      </c>
      <c r="F677" s="33"/>
      <c r="G677" s="33"/>
      <c r="H677" s="33"/>
      <c r="I677" s="33"/>
      <c r="J677" s="33"/>
      <c r="K677" s="33"/>
      <c r="L677" s="33"/>
      <c r="M677" s="33"/>
      <c r="N677" s="33"/>
      <c r="O677" s="33"/>
      <c r="P677" s="33"/>
      <c r="Q677" s="33"/>
      <c r="R677" s="33"/>
      <c r="S677" s="33"/>
      <c r="T677" s="33"/>
      <c r="U677" s="33"/>
      <c r="V677" s="33"/>
      <c r="W677" s="33"/>
      <c r="X677" s="33"/>
      <c r="Y677" s="33"/>
      <c r="Z677" s="33"/>
      <c r="AA677" s="33"/>
      <c r="AB677" s="33"/>
      <c r="AC677" s="33"/>
      <c r="AD677" s="33"/>
      <c r="AE677" s="33"/>
      <c r="AF677" s="33"/>
    </row>
    <row r="678" ht="15.75" customHeight="1">
      <c r="A678" s="52" t="s">
        <v>7084</v>
      </c>
      <c r="B678" s="89">
        <v>2.0</v>
      </c>
      <c r="C678" s="297" t="s">
        <v>7099</v>
      </c>
      <c r="D678" s="297" t="s">
        <v>7100</v>
      </c>
      <c r="E678" s="297" t="s">
        <v>7102</v>
      </c>
      <c r="F678" s="33"/>
      <c r="G678" s="33"/>
      <c r="H678" s="33"/>
      <c r="I678" s="33"/>
      <c r="J678" s="33"/>
      <c r="K678" s="33"/>
      <c r="L678" s="33"/>
      <c r="M678" s="33"/>
      <c r="N678" s="33"/>
      <c r="O678" s="33"/>
      <c r="P678" s="33"/>
      <c r="Q678" s="33"/>
      <c r="R678" s="33"/>
      <c r="S678" s="33"/>
      <c r="T678" s="33"/>
      <c r="U678" s="33"/>
      <c r="V678" s="33"/>
      <c r="W678" s="33"/>
      <c r="X678" s="33"/>
      <c r="Y678" s="33"/>
      <c r="Z678" s="33"/>
      <c r="AA678" s="33"/>
      <c r="AB678" s="33"/>
      <c r="AC678" s="33"/>
      <c r="AD678" s="33"/>
      <c r="AE678" s="33"/>
      <c r="AF678" s="33"/>
    </row>
    <row r="679" ht="15.75" customHeight="1">
      <c r="A679" s="52" t="s">
        <v>7084</v>
      </c>
      <c r="B679" s="89">
        <v>3.0</v>
      </c>
      <c r="C679" s="297" t="s">
        <v>7109</v>
      </c>
      <c r="D679" s="297" t="s">
        <v>7111</v>
      </c>
      <c r="E679" s="297" t="s">
        <v>7113</v>
      </c>
      <c r="F679" s="33"/>
      <c r="G679" s="33"/>
      <c r="H679" s="33"/>
      <c r="I679" s="33"/>
      <c r="J679" s="33"/>
      <c r="K679" s="33"/>
      <c r="L679" s="33"/>
      <c r="M679" s="33"/>
      <c r="N679" s="33"/>
      <c r="O679" s="33"/>
      <c r="P679" s="33"/>
      <c r="Q679" s="33"/>
      <c r="R679" s="33"/>
      <c r="S679" s="33"/>
      <c r="T679" s="33"/>
      <c r="U679" s="33"/>
      <c r="V679" s="33"/>
      <c r="W679" s="33"/>
      <c r="X679" s="33"/>
      <c r="Y679" s="33"/>
      <c r="Z679" s="33"/>
      <c r="AA679" s="33"/>
      <c r="AB679" s="33"/>
      <c r="AC679" s="33"/>
      <c r="AD679" s="33"/>
      <c r="AE679" s="33"/>
      <c r="AF679" s="33"/>
    </row>
    <row r="680" ht="15.75" customHeight="1">
      <c r="A680" s="52" t="s">
        <v>7084</v>
      </c>
      <c r="B680" s="89">
        <v>-777.0</v>
      </c>
      <c r="C680" s="31" t="s">
        <v>417</v>
      </c>
      <c r="D680" s="31" t="s">
        <v>418</v>
      </c>
      <c r="E680" s="31" t="s">
        <v>419</v>
      </c>
      <c r="F680" s="33"/>
      <c r="G680" s="33"/>
      <c r="H680" s="33"/>
      <c r="I680" s="33"/>
      <c r="J680" s="33"/>
      <c r="K680" s="33"/>
      <c r="L680" s="33"/>
      <c r="M680" s="33"/>
      <c r="N680" s="33"/>
      <c r="O680" s="33"/>
      <c r="P680" s="33"/>
      <c r="Q680" s="33"/>
      <c r="R680" s="33"/>
      <c r="S680" s="33"/>
      <c r="T680" s="33"/>
      <c r="U680" s="33"/>
      <c r="V680" s="33"/>
      <c r="W680" s="33"/>
      <c r="X680" s="33"/>
      <c r="Y680" s="33"/>
      <c r="Z680" s="33"/>
      <c r="AA680" s="33"/>
      <c r="AB680" s="33"/>
      <c r="AC680" s="33"/>
      <c r="AD680" s="33"/>
      <c r="AE680" s="33"/>
      <c r="AF680" s="33"/>
    </row>
    <row r="681" ht="15.75" customHeight="1">
      <c r="A681" s="100"/>
      <c r="B681" s="89"/>
      <c r="C681" s="100"/>
      <c r="D681" s="100"/>
      <c r="E681" s="165"/>
      <c r="F681" s="33"/>
      <c r="G681" s="33"/>
      <c r="H681" s="33"/>
      <c r="I681" s="33"/>
      <c r="J681" s="33"/>
      <c r="K681" s="33"/>
      <c r="L681" s="33"/>
      <c r="M681" s="33"/>
      <c r="N681" s="33"/>
      <c r="O681" s="33"/>
      <c r="P681" s="33"/>
      <c r="Q681" s="33"/>
      <c r="R681" s="33"/>
      <c r="S681" s="33"/>
      <c r="T681" s="33"/>
      <c r="U681" s="33"/>
      <c r="V681" s="33"/>
      <c r="W681" s="33"/>
      <c r="X681" s="33"/>
      <c r="Y681" s="33"/>
      <c r="Z681" s="33"/>
      <c r="AA681" s="33"/>
      <c r="AB681" s="33"/>
      <c r="AC681" s="33"/>
      <c r="AD681" s="33"/>
      <c r="AE681" s="33"/>
      <c r="AF681" s="33"/>
    </row>
    <row r="682" ht="15.75" customHeight="1">
      <c r="A682" s="52" t="s">
        <v>7129</v>
      </c>
      <c r="B682" s="52">
        <v>1.0</v>
      </c>
      <c r="C682" s="52" t="s">
        <v>260</v>
      </c>
      <c r="D682" s="31" t="s">
        <v>261</v>
      </c>
      <c r="E682" s="31" t="s">
        <v>262</v>
      </c>
      <c r="F682" s="33"/>
      <c r="G682" s="33"/>
      <c r="H682" s="33"/>
      <c r="I682" s="33"/>
      <c r="J682" s="33"/>
      <c r="K682" s="33"/>
      <c r="L682" s="33"/>
      <c r="M682" s="33"/>
      <c r="N682" s="33"/>
      <c r="O682" s="33"/>
      <c r="P682" s="33"/>
      <c r="Q682" s="33"/>
      <c r="R682" s="33"/>
      <c r="S682" s="33"/>
      <c r="T682" s="33"/>
      <c r="U682" s="33"/>
      <c r="V682" s="33"/>
      <c r="W682" s="33"/>
      <c r="X682" s="33"/>
      <c r="Y682" s="33"/>
      <c r="Z682" s="33"/>
      <c r="AA682" s="33"/>
      <c r="AB682" s="33"/>
      <c r="AC682" s="33"/>
      <c r="AD682" s="33"/>
      <c r="AE682" s="33"/>
      <c r="AF682" s="33"/>
    </row>
    <row r="683" ht="15.75" customHeight="1">
      <c r="A683" s="52" t="s">
        <v>7129</v>
      </c>
      <c r="B683" s="52">
        <v>2.0</v>
      </c>
      <c r="C683" s="52" t="s">
        <v>249</v>
      </c>
      <c r="D683" s="31" t="s">
        <v>250</v>
      </c>
      <c r="E683" s="31" t="s">
        <v>251</v>
      </c>
      <c r="F683" s="33"/>
      <c r="G683" s="33"/>
      <c r="H683" s="33"/>
      <c r="I683" s="33"/>
      <c r="J683" s="33"/>
      <c r="K683" s="33"/>
      <c r="L683" s="33"/>
      <c r="M683" s="33"/>
      <c r="N683" s="33"/>
      <c r="O683" s="33"/>
      <c r="P683" s="33"/>
      <c r="Q683" s="33"/>
      <c r="R683" s="33"/>
      <c r="S683" s="33"/>
      <c r="T683" s="33"/>
      <c r="U683" s="33"/>
      <c r="V683" s="33"/>
      <c r="W683" s="33"/>
      <c r="X683" s="33"/>
      <c r="Y683" s="33"/>
      <c r="Z683" s="33"/>
      <c r="AA683" s="33"/>
      <c r="AB683" s="33"/>
      <c r="AC683" s="33"/>
      <c r="AD683" s="33"/>
      <c r="AE683" s="33"/>
      <c r="AF683" s="33"/>
    </row>
    <row r="684" ht="15.75" customHeight="1">
      <c r="A684" s="52" t="s">
        <v>7129</v>
      </c>
      <c r="B684" s="52">
        <v>3.0</v>
      </c>
      <c r="C684" s="52" t="s">
        <v>254</v>
      </c>
      <c r="D684" s="31" t="s">
        <v>255</v>
      </c>
      <c r="E684" s="31" t="s">
        <v>256</v>
      </c>
      <c r="F684" s="33"/>
      <c r="G684" s="33"/>
      <c r="H684" s="33"/>
      <c r="I684" s="33"/>
      <c r="J684" s="33"/>
      <c r="K684" s="33"/>
      <c r="L684" s="33"/>
      <c r="M684" s="33"/>
      <c r="N684" s="33"/>
      <c r="O684" s="33"/>
      <c r="P684" s="33"/>
      <c r="Q684" s="33"/>
      <c r="R684" s="33"/>
      <c r="S684" s="33"/>
      <c r="T684" s="33"/>
      <c r="U684" s="33"/>
      <c r="V684" s="33"/>
      <c r="W684" s="33"/>
      <c r="X684" s="33"/>
      <c r="Y684" s="33"/>
      <c r="Z684" s="33"/>
      <c r="AA684" s="33"/>
      <c r="AB684" s="33"/>
      <c r="AC684" s="33"/>
      <c r="AD684" s="33"/>
      <c r="AE684" s="33"/>
      <c r="AF684" s="33"/>
    </row>
    <row r="685" ht="15.75" customHeight="1">
      <c r="A685" s="52" t="s">
        <v>7129</v>
      </c>
      <c r="B685" s="52">
        <v>4.0</v>
      </c>
      <c r="C685" s="52" t="s">
        <v>267</v>
      </c>
      <c r="D685" s="31" t="s">
        <v>268</v>
      </c>
      <c r="E685" s="31" t="s">
        <v>269</v>
      </c>
      <c r="F685" s="33"/>
      <c r="G685" s="33"/>
      <c r="H685" s="33"/>
      <c r="I685" s="33"/>
      <c r="J685" s="33"/>
      <c r="K685" s="33"/>
      <c r="L685" s="33"/>
      <c r="M685" s="33"/>
      <c r="N685" s="33"/>
      <c r="O685" s="33"/>
      <c r="P685" s="33"/>
      <c r="Q685" s="33"/>
      <c r="R685" s="33"/>
      <c r="S685" s="33"/>
      <c r="T685" s="33"/>
      <c r="U685" s="33"/>
      <c r="V685" s="33"/>
      <c r="W685" s="33"/>
      <c r="X685" s="33"/>
      <c r="Y685" s="33"/>
      <c r="Z685" s="33"/>
      <c r="AA685" s="33"/>
      <c r="AB685" s="33"/>
      <c r="AC685" s="33"/>
      <c r="AD685" s="33"/>
      <c r="AE685" s="33"/>
      <c r="AF685" s="33"/>
    </row>
    <row r="686" ht="15.75" customHeight="1">
      <c r="A686" s="52" t="s">
        <v>7129</v>
      </c>
      <c r="B686" s="52">
        <v>5.0</v>
      </c>
      <c r="C686" s="297" t="s">
        <v>7148</v>
      </c>
      <c r="D686" s="297" t="s">
        <v>7149</v>
      </c>
      <c r="E686" s="297" t="s">
        <v>7150</v>
      </c>
      <c r="F686" s="33"/>
      <c r="G686" s="33"/>
      <c r="H686" s="33"/>
      <c r="I686" s="33"/>
      <c r="J686" s="33"/>
      <c r="K686" s="33"/>
      <c r="L686" s="33"/>
      <c r="M686" s="33"/>
      <c r="N686" s="33"/>
      <c r="O686" s="33"/>
      <c r="P686" s="33"/>
      <c r="Q686" s="33"/>
      <c r="R686" s="33"/>
      <c r="S686" s="33"/>
      <c r="T686" s="33"/>
      <c r="U686" s="33"/>
      <c r="V686" s="33"/>
      <c r="W686" s="33"/>
      <c r="X686" s="33"/>
      <c r="Y686" s="33"/>
      <c r="Z686" s="33"/>
      <c r="AA686" s="33"/>
      <c r="AB686" s="33"/>
      <c r="AC686" s="33"/>
      <c r="AD686" s="33"/>
      <c r="AE686" s="33"/>
      <c r="AF686" s="33"/>
    </row>
    <row r="687" ht="15.75" customHeight="1">
      <c r="A687" s="52"/>
      <c r="B687" s="52"/>
      <c r="C687" s="304"/>
      <c r="D687" s="304"/>
      <c r="E687" s="304"/>
      <c r="F687" s="33"/>
      <c r="G687" s="33"/>
      <c r="H687" s="33"/>
      <c r="I687" s="33"/>
      <c r="J687" s="33"/>
      <c r="K687" s="33"/>
      <c r="L687" s="33"/>
      <c r="M687" s="33"/>
      <c r="N687" s="33"/>
      <c r="O687" s="33"/>
      <c r="P687" s="33"/>
      <c r="Q687" s="33"/>
      <c r="R687" s="33"/>
      <c r="S687" s="33"/>
      <c r="T687" s="33"/>
      <c r="U687" s="33"/>
      <c r="V687" s="33"/>
      <c r="W687" s="33"/>
      <c r="X687" s="33"/>
      <c r="Y687" s="33"/>
      <c r="Z687" s="33"/>
      <c r="AA687" s="33"/>
      <c r="AB687" s="33"/>
      <c r="AC687" s="33"/>
      <c r="AD687" s="33"/>
      <c r="AE687" s="33"/>
      <c r="AF687" s="33"/>
    </row>
    <row r="688" ht="15.75" customHeight="1">
      <c r="A688" s="52" t="s">
        <v>7172</v>
      </c>
      <c r="B688" s="52">
        <v>1.0</v>
      </c>
      <c r="C688" s="297" t="s">
        <v>7173</v>
      </c>
      <c r="D688" s="297" t="s">
        <v>7174</v>
      </c>
      <c r="E688" s="297" t="s">
        <v>7175</v>
      </c>
      <c r="F688" s="33"/>
      <c r="G688" s="33"/>
      <c r="H688" s="33"/>
      <c r="I688" s="33"/>
      <c r="J688" s="33"/>
      <c r="K688" s="33"/>
      <c r="L688" s="33"/>
      <c r="M688" s="33"/>
      <c r="N688" s="33"/>
      <c r="O688" s="33"/>
      <c r="P688" s="33"/>
      <c r="Q688" s="33"/>
      <c r="R688" s="33"/>
      <c r="S688" s="33"/>
      <c r="T688" s="33"/>
      <c r="U688" s="33"/>
      <c r="V688" s="33"/>
      <c r="W688" s="33"/>
      <c r="X688" s="33"/>
      <c r="Y688" s="33"/>
      <c r="Z688" s="33"/>
      <c r="AA688" s="33"/>
      <c r="AB688" s="33"/>
      <c r="AC688" s="33"/>
      <c r="AD688" s="33"/>
      <c r="AE688" s="33"/>
      <c r="AF688" s="33"/>
    </row>
    <row r="689" ht="15.75" customHeight="1">
      <c r="A689" s="52" t="s">
        <v>7172</v>
      </c>
      <c r="B689" s="52">
        <v>2.0</v>
      </c>
      <c r="C689" s="297" t="s">
        <v>7183</v>
      </c>
      <c r="D689" s="297" t="s">
        <v>7183</v>
      </c>
      <c r="E689" s="297" t="s">
        <v>7185</v>
      </c>
      <c r="F689" s="33"/>
      <c r="G689" s="33"/>
      <c r="H689" s="33"/>
      <c r="I689" s="33"/>
      <c r="J689" s="33"/>
      <c r="K689" s="33"/>
      <c r="L689" s="33"/>
      <c r="M689" s="33"/>
      <c r="N689" s="33"/>
      <c r="O689" s="33"/>
      <c r="P689" s="33"/>
      <c r="Q689" s="33"/>
      <c r="R689" s="33"/>
      <c r="S689" s="33"/>
      <c r="T689" s="33"/>
      <c r="U689" s="33"/>
      <c r="V689" s="33"/>
      <c r="W689" s="33"/>
      <c r="X689" s="33"/>
      <c r="Y689" s="33"/>
      <c r="Z689" s="33"/>
      <c r="AA689" s="33"/>
      <c r="AB689" s="33"/>
      <c r="AC689" s="33"/>
      <c r="AD689" s="33"/>
      <c r="AE689" s="33"/>
      <c r="AF689" s="33"/>
    </row>
    <row r="690" ht="15.75" customHeight="1">
      <c r="A690" s="52" t="s">
        <v>7172</v>
      </c>
      <c r="B690" s="52">
        <v>3.0</v>
      </c>
      <c r="C690" s="297" t="s">
        <v>7194</v>
      </c>
      <c r="D690" s="297" t="s">
        <v>7195</v>
      </c>
      <c r="E690" s="297" t="s">
        <v>7196</v>
      </c>
      <c r="F690" s="33"/>
      <c r="G690" s="33"/>
      <c r="H690" s="33"/>
      <c r="I690" s="33"/>
      <c r="J690" s="33"/>
      <c r="K690" s="33"/>
      <c r="L690" s="33"/>
      <c r="M690" s="33"/>
      <c r="N690" s="33"/>
      <c r="O690" s="33"/>
      <c r="P690" s="33"/>
      <c r="Q690" s="33"/>
      <c r="R690" s="33"/>
      <c r="S690" s="33"/>
      <c r="T690" s="33"/>
      <c r="U690" s="33"/>
      <c r="V690" s="33"/>
      <c r="W690" s="33"/>
      <c r="X690" s="33"/>
      <c r="Y690" s="33"/>
      <c r="Z690" s="33"/>
      <c r="AA690" s="33"/>
      <c r="AB690" s="33"/>
      <c r="AC690" s="33"/>
      <c r="AD690" s="33"/>
      <c r="AE690" s="33"/>
      <c r="AF690" s="33"/>
    </row>
    <row r="691" ht="15.75" customHeight="1">
      <c r="A691" s="52" t="s">
        <v>7172</v>
      </c>
      <c r="B691" s="52">
        <v>4.0</v>
      </c>
      <c r="C691" s="297" t="s">
        <v>7212</v>
      </c>
      <c r="D691" s="297" t="s">
        <v>7213</v>
      </c>
      <c r="E691" s="297" t="s">
        <v>7214</v>
      </c>
      <c r="F691" s="33"/>
      <c r="G691" s="33"/>
      <c r="H691" s="33"/>
      <c r="I691" s="33"/>
      <c r="J691" s="33"/>
      <c r="K691" s="33"/>
      <c r="L691" s="33"/>
      <c r="M691" s="33"/>
      <c r="N691" s="33"/>
      <c r="O691" s="33"/>
      <c r="P691" s="33"/>
      <c r="Q691" s="33"/>
      <c r="R691" s="33"/>
      <c r="S691" s="33"/>
      <c r="T691" s="33"/>
      <c r="U691" s="33"/>
      <c r="V691" s="33"/>
      <c r="W691" s="33"/>
      <c r="X691" s="33"/>
      <c r="Y691" s="33"/>
      <c r="Z691" s="33"/>
      <c r="AA691" s="33"/>
      <c r="AB691" s="33"/>
      <c r="AC691" s="33"/>
      <c r="AD691" s="33"/>
      <c r="AE691" s="33"/>
      <c r="AF691" s="33"/>
    </row>
    <row r="692" ht="15.75" customHeight="1">
      <c r="A692" s="52" t="s">
        <v>7172</v>
      </c>
      <c r="B692" s="52">
        <v>-777.0</v>
      </c>
      <c r="C692" s="297" t="s">
        <v>417</v>
      </c>
      <c r="D692" s="297" t="s">
        <v>418</v>
      </c>
      <c r="E692" s="297" t="s">
        <v>419</v>
      </c>
      <c r="F692" s="33"/>
      <c r="G692" s="33"/>
      <c r="H692" s="33"/>
      <c r="I692" s="33"/>
      <c r="J692" s="33"/>
      <c r="K692" s="33"/>
      <c r="L692" s="33"/>
      <c r="M692" s="33"/>
      <c r="N692" s="33"/>
      <c r="O692" s="33"/>
      <c r="P692" s="33"/>
      <c r="Q692" s="33"/>
      <c r="R692" s="33"/>
      <c r="S692" s="33"/>
      <c r="T692" s="33"/>
      <c r="U692" s="33"/>
      <c r="V692" s="33"/>
      <c r="W692" s="33"/>
      <c r="X692" s="33"/>
      <c r="Y692" s="33"/>
      <c r="Z692" s="33"/>
      <c r="AA692" s="33"/>
      <c r="AB692" s="33"/>
      <c r="AC692" s="33"/>
      <c r="AD692" s="33"/>
      <c r="AE692" s="33"/>
      <c r="AF692" s="33"/>
    </row>
    <row r="693" ht="15.75" customHeight="1">
      <c r="A693" s="52"/>
      <c r="B693" s="52"/>
      <c r="C693" s="52"/>
      <c r="D693" s="145"/>
      <c r="E693" s="145"/>
      <c r="F693" s="33"/>
      <c r="G693" s="33"/>
      <c r="H693" s="33"/>
      <c r="I693" s="33"/>
      <c r="J693" s="33"/>
      <c r="K693" s="33"/>
      <c r="L693" s="33"/>
      <c r="M693" s="33"/>
      <c r="N693" s="33"/>
      <c r="O693" s="33"/>
      <c r="P693" s="33"/>
      <c r="Q693" s="33"/>
      <c r="R693" s="33"/>
      <c r="S693" s="33"/>
      <c r="T693" s="33"/>
      <c r="U693" s="33"/>
      <c r="V693" s="33"/>
      <c r="W693" s="33"/>
      <c r="X693" s="33"/>
      <c r="Y693" s="33"/>
      <c r="Z693" s="33"/>
      <c r="AA693" s="33"/>
      <c r="AB693" s="33"/>
      <c r="AC693" s="33"/>
      <c r="AD693" s="33"/>
      <c r="AE693" s="33"/>
      <c r="AF693" s="33"/>
    </row>
    <row r="694" ht="15.75" customHeight="1">
      <c r="A694" s="52" t="s">
        <v>7237</v>
      </c>
      <c r="B694" s="52">
        <v>1.0</v>
      </c>
      <c r="C694" s="297" t="s">
        <v>7239</v>
      </c>
      <c r="D694" s="297" t="s">
        <v>7240</v>
      </c>
      <c r="E694" s="297" t="s">
        <v>7241</v>
      </c>
      <c r="F694" s="33"/>
      <c r="G694" s="33"/>
      <c r="H694" s="33"/>
      <c r="I694" s="33"/>
      <c r="J694" s="33"/>
      <c r="K694" s="33"/>
      <c r="L694" s="33"/>
      <c r="M694" s="33"/>
      <c r="N694" s="33"/>
      <c r="O694" s="33"/>
      <c r="P694" s="33"/>
      <c r="Q694" s="33"/>
      <c r="R694" s="33"/>
      <c r="S694" s="33"/>
      <c r="T694" s="33"/>
      <c r="U694" s="33"/>
      <c r="V694" s="33"/>
      <c r="W694" s="33"/>
      <c r="X694" s="33"/>
      <c r="Y694" s="33"/>
      <c r="Z694" s="33"/>
      <c r="AA694" s="33"/>
      <c r="AB694" s="33"/>
      <c r="AC694" s="33"/>
      <c r="AD694" s="33"/>
      <c r="AE694" s="33"/>
      <c r="AF694" s="33"/>
    </row>
    <row r="695" ht="15.75" customHeight="1">
      <c r="A695" s="52" t="s">
        <v>7237</v>
      </c>
      <c r="B695" s="52">
        <v>2.0</v>
      </c>
      <c r="C695" s="297" t="s">
        <v>7251</v>
      </c>
      <c r="D695" s="297" t="s">
        <v>7253</v>
      </c>
      <c r="E695" s="297" t="s">
        <v>7255</v>
      </c>
      <c r="F695" s="33"/>
      <c r="G695" s="33"/>
      <c r="H695" s="33"/>
      <c r="I695" s="33"/>
      <c r="J695" s="33"/>
      <c r="K695" s="33"/>
      <c r="L695" s="33"/>
      <c r="M695" s="33"/>
      <c r="N695" s="33"/>
      <c r="O695" s="33"/>
      <c r="P695" s="33"/>
      <c r="Q695" s="33"/>
      <c r="R695" s="33"/>
      <c r="S695" s="33"/>
      <c r="T695" s="33"/>
      <c r="U695" s="33"/>
      <c r="V695" s="33"/>
      <c r="W695" s="33"/>
      <c r="X695" s="33"/>
      <c r="Y695" s="33"/>
      <c r="Z695" s="33"/>
      <c r="AA695" s="33"/>
      <c r="AB695" s="33"/>
      <c r="AC695" s="33"/>
      <c r="AD695" s="33"/>
      <c r="AE695" s="33"/>
      <c r="AF695" s="33"/>
    </row>
    <row r="696" ht="15.75" customHeight="1">
      <c r="A696" s="52" t="s">
        <v>7237</v>
      </c>
      <c r="B696" s="52">
        <v>3.0</v>
      </c>
      <c r="C696" s="297" t="s">
        <v>7265</v>
      </c>
      <c r="D696" s="297" t="s">
        <v>7266</v>
      </c>
      <c r="E696" s="297" t="s">
        <v>7267</v>
      </c>
      <c r="F696" s="33"/>
      <c r="G696" s="33"/>
      <c r="H696" s="33"/>
      <c r="I696" s="33"/>
      <c r="J696" s="33"/>
      <c r="K696" s="33"/>
      <c r="L696" s="33"/>
      <c r="M696" s="33"/>
      <c r="N696" s="33"/>
      <c r="O696" s="33"/>
      <c r="P696" s="33"/>
      <c r="Q696" s="33"/>
      <c r="R696" s="33"/>
      <c r="S696" s="33"/>
      <c r="T696" s="33"/>
      <c r="U696" s="33"/>
      <c r="V696" s="33"/>
      <c r="W696" s="33"/>
      <c r="X696" s="33"/>
      <c r="Y696" s="33"/>
      <c r="Z696" s="33"/>
      <c r="AA696" s="33"/>
      <c r="AB696" s="33"/>
      <c r="AC696" s="33"/>
      <c r="AD696" s="33"/>
      <c r="AE696" s="33"/>
      <c r="AF696" s="33"/>
    </row>
    <row r="697" ht="15.75" customHeight="1">
      <c r="A697" s="52" t="s">
        <v>7237</v>
      </c>
      <c r="B697" s="52">
        <v>4.0</v>
      </c>
      <c r="C697" s="297" t="s">
        <v>7277</v>
      </c>
      <c r="D697" s="297" t="s">
        <v>7279</v>
      </c>
      <c r="E697" s="297" t="s">
        <v>7281</v>
      </c>
      <c r="F697" s="33"/>
      <c r="G697" s="33"/>
      <c r="H697" s="33"/>
      <c r="I697" s="33"/>
      <c r="J697" s="33"/>
      <c r="K697" s="33"/>
      <c r="L697" s="33"/>
      <c r="M697" s="33"/>
      <c r="N697" s="33"/>
      <c r="O697" s="33"/>
      <c r="P697" s="33"/>
      <c r="Q697" s="33"/>
      <c r="R697" s="33"/>
      <c r="S697" s="33"/>
      <c r="T697" s="33"/>
      <c r="U697" s="33"/>
      <c r="V697" s="33"/>
      <c r="W697" s="33"/>
      <c r="X697" s="33"/>
      <c r="Y697" s="33"/>
      <c r="Z697" s="33"/>
      <c r="AA697" s="33"/>
      <c r="AB697" s="33"/>
      <c r="AC697" s="33"/>
      <c r="AD697" s="33"/>
      <c r="AE697" s="33"/>
      <c r="AF697" s="33"/>
    </row>
    <row r="698" ht="15.75" customHeight="1">
      <c r="A698" s="52" t="s">
        <v>7237</v>
      </c>
      <c r="B698" s="52">
        <v>-777.0</v>
      </c>
      <c r="C698" s="297" t="s">
        <v>417</v>
      </c>
      <c r="D698" s="297" t="s">
        <v>418</v>
      </c>
      <c r="E698" s="297" t="s">
        <v>419</v>
      </c>
      <c r="F698" s="33"/>
      <c r="G698" s="33"/>
      <c r="H698" s="33"/>
      <c r="I698" s="33"/>
      <c r="J698" s="33"/>
      <c r="K698" s="33"/>
      <c r="L698" s="33"/>
      <c r="M698" s="33"/>
      <c r="N698" s="33"/>
      <c r="O698" s="33"/>
      <c r="P698" s="33"/>
      <c r="Q698" s="33"/>
      <c r="R698" s="33"/>
      <c r="S698" s="33"/>
      <c r="T698" s="33"/>
      <c r="U698" s="33"/>
      <c r="V698" s="33"/>
      <c r="W698" s="33"/>
      <c r="X698" s="33"/>
      <c r="Y698" s="33"/>
      <c r="Z698" s="33"/>
      <c r="AA698" s="33"/>
      <c r="AB698" s="33"/>
      <c r="AC698" s="33"/>
      <c r="AD698" s="33"/>
      <c r="AE698" s="33"/>
      <c r="AF698" s="33"/>
    </row>
    <row r="699" ht="15.75" customHeight="1">
      <c r="A699" s="52"/>
      <c r="B699" s="52"/>
      <c r="C699" s="52"/>
      <c r="D699" s="100"/>
      <c r="E699" s="165"/>
      <c r="F699" s="33"/>
      <c r="G699" s="33"/>
      <c r="H699" s="33"/>
      <c r="I699" s="33"/>
      <c r="J699" s="33"/>
      <c r="K699" s="33"/>
      <c r="L699" s="33"/>
      <c r="M699" s="33"/>
      <c r="N699" s="33"/>
      <c r="O699" s="33"/>
      <c r="P699" s="33"/>
      <c r="Q699" s="33"/>
      <c r="R699" s="33"/>
      <c r="S699" s="33"/>
      <c r="T699" s="33"/>
      <c r="U699" s="33"/>
      <c r="V699" s="33"/>
      <c r="W699" s="33"/>
      <c r="X699" s="33"/>
      <c r="Y699" s="33"/>
      <c r="Z699" s="33"/>
      <c r="AA699" s="33"/>
      <c r="AB699" s="33"/>
      <c r="AC699" s="33"/>
      <c r="AD699" s="33"/>
      <c r="AE699" s="33"/>
      <c r="AF699" s="33"/>
    </row>
    <row r="700" ht="15.75" customHeight="1">
      <c r="A700" s="52" t="s">
        <v>7306</v>
      </c>
      <c r="B700" s="52">
        <v>1.0</v>
      </c>
      <c r="C700" s="297" t="s">
        <v>7307</v>
      </c>
      <c r="D700" s="297" t="s">
        <v>7308</v>
      </c>
      <c r="E700" s="297" t="s">
        <v>7309</v>
      </c>
      <c r="F700" s="33"/>
      <c r="G700" s="33"/>
      <c r="H700" s="33"/>
      <c r="I700" s="33"/>
      <c r="J700" s="33"/>
      <c r="K700" s="33"/>
      <c r="L700" s="33"/>
      <c r="M700" s="33"/>
      <c r="N700" s="33"/>
      <c r="O700" s="33"/>
      <c r="P700" s="33"/>
      <c r="Q700" s="33"/>
      <c r="R700" s="33"/>
      <c r="S700" s="33"/>
      <c r="T700" s="33"/>
      <c r="U700" s="33"/>
      <c r="V700" s="33"/>
      <c r="W700" s="33"/>
      <c r="X700" s="33"/>
      <c r="Y700" s="33"/>
      <c r="Z700" s="33"/>
      <c r="AA700" s="33"/>
      <c r="AB700" s="33"/>
      <c r="AC700" s="33"/>
      <c r="AD700" s="33"/>
      <c r="AE700" s="33"/>
      <c r="AF700" s="33"/>
    </row>
    <row r="701" ht="15.75" customHeight="1">
      <c r="A701" s="52" t="s">
        <v>7306</v>
      </c>
      <c r="B701" s="52">
        <v>2.0</v>
      </c>
      <c r="C701" s="297" t="s">
        <v>7323</v>
      </c>
      <c r="D701" s="297" t="s">
        <v>7325</v>
      </c>
      <c r="E701" s="297" t="s">
        <v>7326</v>
      </c>
      <c r="F701" s="33"/>
      <c r="G701" s="33"/>
      <c r="H701" s="33"/>
      <c r="I701" s="33"/>
      <c r="J701" s="33"/>
      <c r="K701" s="33"/>
      <c r="L701" s="33"/>
      <c r="M701" s="33"/>
      <c r="N701" s="33"/>
      <c r="O701" s="33"/>
      <c r="P701" s="33"/>
      <c r="Q701" s="33"/>
      <c r="R701" s="33"/>
      <c r="S701" s="33"/>
      <c r="T701" s="33"/>
      <c r="U701" s="33"/>
      <c r="V701" s="33"/>
      <c r="W701" s="33"/>
      <c r="X701" s="33"/>
      <c r="Y701" s="33"/>
      <c r="Z701" s="33"/>
      <c r="AA701" s="33"/>
      <c r="AB701" s="33"/>
      <c r="AC701" s="33"/>
      <c r="AD701" s="33"/>
      <c r="AE701" s="33"/>
      <c r="AF701" s="33"/>
    </row>
    <row r="702" ht="15.75" customHeight="1">
      <c r="A702" s="52" t="s">
        <v>7306</v>
      </c>
      <c r="B702" s="52">
        <v>3.0</v>
      </c>
      <c r="C702" s="297" t="s">
        <v>7342</v>
      </c>
      <c r="D702" s="297" t="s">
        <v>7343</v>
      </c>
      <c r="E702" s="297" t="s">
        <v>7344</v>
      </c>
      <c r="F702" s="33"/>
      <c r="G702" s="33"/>
      <c r="H702" s="33"/>
      <c r="I702" s="33"/>
      <c r="J702" s="33"/>
      <c r="K702" s="33"/>
      <c r="L702" s="33"/>
      <c r="M702" s="33"/>
      <c r="N702" s="33"/>
      <c r="O702" s="33"/>
      <c r="P702" s="33"/>
      <c r="Q702" s="33"/>
      <c r="R702" s="33"/>
      <c r="S702" s="33"/>
      <c r="T702" s="33"/>
      <c r="U702" s="33"/>
      <c r="V702" s="33"/>
      <c r="W702" s="33"/>
      <c r="X702" s="33"/>
      <c r="Y702" s="33"/>
      <c r="Z702" s="33"/>
      <c r="AA702" s="33"/>
      <c r="AB702" s="33"/>
      <c r="AC702" s="33"/>
      <c r="AD702" s="33"/>
      <c r="AE702" s="33"/>
      <c r="AF702" s="33"/>
    </row>
    <row r="703" ht="15.75" customHeight="1">
      <c r="A703" s="52"/>
      <c r="B703" s="52"/>
      <c r="C703" s="52"/>
      <c r="D703" s="100"/>
      <c r="E703" s="165"/>
      <c r="F703" s="33"/>
      <c r="G703" s="33"/>
      <c r="H703" s="33"/>
      <c r="I703" s="33"/>
      <c r="J703" s="33"/>
      <c r="K703" s="33"/>
      <c r="L703" s="33"/>
      <c r="M703" s="33"/>
      <c r="N703" s="33"/>
      <c r="O703" s="33"/>
      <c r="P703" s="33"/>
      <c r="Q703" s="33"/>
      <c r="R703" s="33"/>
      <c r="S703" s="33"/>
      <c r="T703" s="33"/>
      <c r="U703" s="33"/>
      <c r="V703" s="33"/>
      <c r="W703" s="33"/>
      <c r="X703" s="33"/>
      <c r="Y703" s="33"/>
      <c r="Z703" s="33"/>
      <c r="AA703" s="33"/>
      <c r="AB703" s="33"/>
      <c r="AC703" s="33"/>
      <c r="AD703" s="33"/>
      <c r="AE703" s="33"/>
      <c r="AF703" s="33"/>
    </row>
    <row r="704" ht="15.75" customHeight="1">
      <c r="A704" s="52" t="s">
        <v>7371</v>
      </c>
      <c r="B704" s="52">
        <v>1.0</v>
      </c>
      <c r="C704" s="297" t="s">
        <v>7373</v>
      </c>
      <c r="D704" s="297" t="s">
        <v>7375</v>
      </c>
      <c r="E704" s="297" t="s">
        <v>7377</v>
      </c>
      <c r="F704" s="33"/>
      <c r="G704" s="33"/>
      <c r="H704" s="33"/>
      <c r="I704" s="33"/>
      <c r="J704" s="33"/>
      <c r="K704" s="33"/>
      <c r="L704" s="33"/>
      <c r="M704" s="33"/>
      <c r="N704" s="33"/>
      <c r="O704" s="33"/>
      <c r="P704" s="33"/>
      <c r="Q704" s="33"/>
      <c r="R704" s="33"/>
      <c r="S704" s="33"/>
      <c r="T704" s="33"/>
      <c r="U704" s="33"/>
      <c r="V704" s="33"/>
      <c r="W704" s="33"/>
      <c r="X704" s="33"/>
      <c r="Y704" s="33"/>
      <c r="Z704" s="33"/>
      <c r="AA704" s="33"/>
      <c r="AB704" s="33"/>
      <c r="AC704" s="33"/>
      <c r="AD704" s="33"/>
      <c r="AE704" s="33"/>
      <c r="AF704" s="33"/>
    </row>
    <row r="705" ht="15.75" customHeight="1">
      <c r="A705" s="52" t="s">
        <v>7371</v>
      </c>
      <c r="B705" s="52">
        <v>2.0</v>
      </c>
      <c r="C705" s="297" t="s">
        <v>7383</v>
      </c>
      <c r="D705" s="297" t="s">
        <v>7384</v>
      </c>
      <c r="E705" s="297" t="s">
        <v>7386</v>
      </c>
      <c r="F705" s="33"/>
      <c r="G705" s="33"/>
      <c r="H705" s="33"/>
      <c r="I705" s="33"/>
      <c r="J705" s="33"/>
      <c r="K705" s="33"/>
      <c r="L705" s="33"/>
      <c r="M705" s="33"/>
      <c r="N705" s="33"/>
      <c r="O705" s="33"/>
      <c r="P705" s="33"/>
      <c r="Q705" s="33"/>
      <c r="R705" s="33"/>
      <c r="S705" s="33"/>
      <c r="T705" s="33"/>
      <c r="U705" s="33"/>
      <c r="V705" s="33"/>
      <c r="W705" s="33"/>
      <c r="X705" s="33"/>
      <c r="Y705" s="33"/>
      <c r="Z705" s="33"/>
      <c r="AA705" s="33"/>
      <c r="AB705" s="33"/>
      <c r="AC705" s="33"/>
      <c r="AD705" s="33"/>
      <c r="AE705" s="33"/>
      <c r="AF705" s="33"/>
    </row>
    <row r="706" ht="15.75" customHeight="1">
      <c r="A706" s="52" t="s">
        <v>7371</v>
      </c>
      <c r="B706" s="52">
        <v>3.0</v>
      </c>
      <c r="C706" s="297" t="s">
        <v>7393</v>
      </c>
      <c r="D706" s="297" t="s">
        <v>7394</v>
      </c>
      <c r="E706" s="297" t="s">
        <v>7396</v>
      </c>
      <c r="F706" s="33"/>
      <c r="G706" s="33"/>
      <c r="H706" s="33"/>
      <c r="I706" s="33"/>
      <c r="J706" s="33"/>
      <c r="K706" s="33"/>
      <c r="L706" s="33"/>
      <c r="M706" s="33"/>
      <c r="N706" s="33"/>
      <c r="O706" s="33"/>
      <c r="P706" s="33"/>
      <c r="Q706" s="33"/>
      <c r="R706" s="33"/>
      <c r="S706" s="33"/>
      <c r="T706" s="33"/>
      <c r="U706" s="33"/>
      <c r="V706" s="33"/>
      <c r="W706" s="33"/>
      <c r="X706" s="33"/>
      <c r="Y706" s="33"/>
      <c r="Z706" s="33"/>
      <c r="AA706" s="33"/>
      <c r="AB706" s="33"/>
      <c r="AC706" s="33"/>
      <c r="AD706" s="33"/>
      <c r="AE706" s="33"/>
      <c r="AF706" s="33"/>
    </row>
    <row r="707" ht="15.75" customHeight="1">
      <c r="A707" s="52" t="s">
        <v>7371</v>
      </c>
      <c r="B707" s="52">
        <v>4.0</v>
      </c>
      <c r="C707" s="297" t="s">
        <v>7405</v>
      </c>
      <c r="D707" s="297" t="s">
        <v>7408</v>
      </c>
      <c r="E707" s="297" t="s">
        <v>7409</v>
      </c>
      <c r="F707" s="33"/>
      <c r="G707" s="33"/>
      <c r="H707" s="33"/>
      <c r="I707" s="33"/>
      <c r="J707" s="33"/>
      <c r="K707" s="33"/>
      <c r="L707" s="33"/>
      <c r="M707" s="33"/>
      <c r="N707" s="33"/>
      <c r="O707" s="33"/>
      <c r="P707" s="33"/>
      <c r="Q707" s="33"/>
      <c r="R707" s="33"/>
      <c r="S707" s="33"/>
      <c r="T707" s="33"/>
      <c r="U707" s="33"/>
      <c r="V707" s="33"/>
      <c r="W707" s="33"/>
      <c r="X707" s="33"/>
      <c r="Y707" s="33"/>
      <c r="Z707" s="33"/>
      <c r="AA707" s="33"/>
      <c r="AB707" s="33"/>
      <c r="AC707" s="33"/>
      <c r="AD707" s="33"/>
      <c r="AE707" s="33"/>
      <c r="AF707" s="33"/>
    </row>
    <row r="708" ht="15.75" customHeight="1">
      <c r="A708" s="52" t="s">
        <v>7371</v>
      </c>
      <c r="B708" s="52">
        <v>-777.0</v>
      </c>
      <c r="C708" s="297" t="s">
        <v>417</v>
      </c>
      <c r="D708" s="297" t="s">
        <v>418</v>
      </c>
      <c r="E708" s="297" t="s">
        <v>7422</v>
      </c>
      <c r="F708" s="33"/>
      <c r="G708" s="33"/>
      <c r="H708" s="33"/>
      <c r="I708" s="33"/>
      <c r="J708" s="33"/>
      <c r="K708" s="33"/>
      <c r="L708" s="33"/>
      <c r="M708" s="33"/>
      <c r="N708" s="33"/>
      <c r="O708" s="33"/>
      <c r="P708" s="33"/>
      <c r="Q708" s="33"/>
      <c r="R708" s="33"/>
      <c r="S708" s="33"/>
      <c r="T708" s="33"/>
      <c r="U708" s="33"/>
      <c r="V708" s="33"/>
      <c r="W708" s="33"/>
      <c r="X708" s="33"/>
      <c r="Y708" s="33"/>
      <c r="Z708" s="33"/>
      <c r="AA708" s="33"/>
      <c r="AB708" s="33"/>
      <c r="AC708" s="33"/>
      <c r="AD708" s="33"/>
      <c r="AE708" s="33"/>
      <c r="AF708" s="33"/>
    </row>
    <row r="709" ht="15.75" customHeight="1">
      <c r="A709" s="52"/>
      <c r="B709" s="52"/>
      <c r="C709" s="52"/>
      <c r="D709" s="100"/>
      <c r="E709" s="165"/>
      <c r="F709" s="33"/>
      <c r="G709" s="33"/>
      <c r="H709" s="33"/>
      <c r="I709" s="33"/>
      <c r="J709" s="33"/>
      <c r="K709" s="33"/>
      <c r="L709" s="33"/>
      <c r="M709" s="33"/>
      <c r="N709" s="33"/>
      <c r="O709" s="33"/>
      <c r="P709" s="33"/>
      <c r="Q709" s="33"/>
      <c r="R709" s="33"/>
      <c r="S709" s="33"/>
      <c r="T709" s="33"/>
      <c r="U709" s="33"/>
      <c r="V709" s="33"/>
      <c r="W709" s="33"/>
      <c r="X709" s="33"/>
      <c r="Y709" s="33"/>
      <c r="Z709" s="33"/>
      <c r="AA709" s="33"/>
      <c r="AB709" s="33"/>
      <c r="AC709" s="33"/>
      <c r="AD709" s="33"/>
      <c r="AE709" s="33"/>
      <c r="AF709" s="33"/>
    </row>
    <row r="710" ht="15.75" customHeight="1">
      <c r="A710" s="52" t="s">
        <v>7442</v>
      </c>
      <c r="B710" s="52">
        <v>1.0</v>
      </c>
      <c r="C710" s="297" t="s">
        <v>7444</v>
      </c>
      <c r="D710" s="297" t="s">
        <v>7445</v>
      </c>
      <c r="E710" s="297" t="s">
        <v>7446</v>
      </c>
      <c r="F710" s="33"/>
      <c r="G710" s="33"/>
      <c r="H710" s="33"/>
      <c r="I710" s="33"/>
      <c r="J710" s="33"/>
      <c r="K710" s="33"/>
      <c r="L710" s="33"/>
      <c r="M710" s="33"/>
      <c r="N710" s="33"/>
      <c r="O710" s="33"/>
      <c r="P710" s="33"/>
      <c r="Q710" s="33"/>
      <c r="R710" s="33"/>
      <c r="S710" s="33"/>
      <c r="T710" s="33"/>
      <c r="U710" s="33"/>
      <c r="V710" s="33"/>
      <c r="W710" s="33"/>
      <c r="X710" s="33"/>
      <c r="Y710" s="33"/>
      <c r="Z710" s="33"/>
      <c r="AA710" s="33"/>
      <c r="AB710" s="33"/>
      <c r="AC710" s="33"/>
      <c r="AD710" s="33"/>
      <c r="AE710" s="33"/>
      <c r="AF710" s="33"/>
    </row>
    <row r="711" ht="15.75" customHeight="1">
      <c r="A711" s="52" t="s">
        <v>7442</v>
      </c>
      <c r="B711" s="52">
        <v>2.0</v>
      </c>
      <c r="C711" s="297" t="s">
        <v>7460</v>
      </c>
      <c r="D711" s="297" t="s">
        <v>7463</v>
      </c>
      <c r="E711" s="297" t="s">
        <v>7465</v>
      </c>
      <c r="F711" s="33"/>
      <c r="G711" s="33"/>
      <c r="H711" s="33"/>
      <c r="I711" s="33"/>
      <c r="J711" s="33"/>
      <c r="K711" s="33"/>
      <c r="L711" s="33"/>
      <c r="M711" s="33"/>
      <c r="N711" s="33"/>
      <c r="O711" s="33"/>
      <c r="P711" s="33"/>
      <c r="Q711" s="33"/>
      <c r="R711" s="33"/>
      <c r="S711" s="33"/>
      <c r="T711" s="33"/>
      <c r="U711" s="33"/>
      <c r="V711" s="33"/>
      <c r="W711" s="33"/>
      <c r="X711" s="33"/>
      <c r="Y711" s="33"/>
      <c r="Z711" s="33"/>
      <c r="AA711" s="33"/>
      <c r="AB711" s="33"/>
      <c r="AC711" s="33"/>
      <c r="AD711" s="33"/>
      <c r="AE711" s="33"/>
      <c r="AF711" s="33"/>
    </row>
    <row r="712" ht="15.75" customHeight="1">
      <c r="A712" s="52" t="s">
        <v>7442</v>
      </c>
      <c r="B712" s="52">
        <v>3.0</v>
      </c>
      <c r="C712" s="297" t="s">
        <v>7475</v>
      </c>
      <c r="D712" s="297" t="s">
        <v>7478</v>
      </c>
      <c r="E712" s="297" t="s">
        <v>7479</v>
      </c>
      <c r="F712" s="33"/>
      <c r="G712" s="33"/>
      <c r="H712" s="33"/>
      <c r="I712" s="33"/>
      <c r="J712" s="33"/>
      <c r="K712" s="33"/>
      <c r="L712" s="33"/>
      <c r="M712" s="33"/>
      <c r="N712" s="33"/>
      <c r="O712" s="33"/>
      <c r="P712" s="33"/>
      <c r="Q712" s="33"/>
      <c r="R712" s="33"/>
      <c r="S712" s="33"/>
      <c r="T712" s="33"/>
      <c r="U712" s="33"/>
      <c r="V712" s="33"/>
      <c r="W712" s="33"/>
      <c r="X712" s="33"/>
      <c r="Y712" s="33"/>
      <c r="Z712" s="33"/>
      <c r="AA712" s="33"/>
      <c r="AB712" s="33"/>
      <c r="AC712" s="33"/>
      <c r="AD712" s="33"/>
      <c r="AE712" s="33"/>
      <c r="AF712" s="33"/>
    </row>
    <row r="713" ht="15.75" customHeight="1">
      <c r="A713" s="52" t="s">
        <v>7442</v>
      </c>
      <c r="B713" s="52">
        <v>4.0</v>
      </c>
      <c r="C713" s="297" t="s">
        <v>7491</v>
      </c>
      <c r="D713" s="297" t="s">
        <v>7492</v>
      </c>
      <c r="E713" s="297" t="s">
        <v>7493</v>
      </c>
      <c r="F713" s="33"/>
      <c r="G713" s="33"/>
      <c r="H713" s="33"/>
      <c r="I713" s="33"/>
      <c r="J713" s="33"/>
      <c r="K713" s="33"/>
      <c r="L713" s="33"/>
      <c r="M713" s="33"/>
      <c r="N713" s="33"/>
      <c r="O713" s="33"/>
      <c r="P713" s="33"/>
      <c r="Q713" s="33"/>
      <c r="R713" s="33"/>
      <c r="S713" s="33"/>
      <c r="T713" s="33"/>
      <c r="U713" s="33"/>
      <c r="V713" s="33"/>
      <c r="W713" s="33"/>
      <c r="X713" s="33"/>
      <c r="Y713" s="33"/>
      <c r="Z713" s="33"/>
      <c r="AA713" s="33"/>
      <c r="AB713" s="33"/>
      <c r="AC713" s="33"/>
      <c r="AD713" s="33"/>
      <c r="AE713" s="33"/>
      <c r="AF713" s="33"/>
    </row>
    <row r="714" ht="15.75" customHeight="1">
      <c r="A714" s="52" t="s">
        <v>7442</v>
      </c>
      <c r="B714" s="52">
        <v>-777.0</v>
      </c>
      <c r="C714" s="297" t="s">
        <v>417</v>
      </c>
      <c r="D714" s="297" t="s">
        <v>418</v>
      </c>
      <c r="E714" s="297" t="s">
        <v>419</v>
      </c>
      <c r="F714" s="33"/>
      <c r="G714" s="33"/>
      <c r="H714" s="33"/>
      <c r="I714" s="33"/>
      <c r="J714" s="33"/>
      <c r="K714" s="33"/>
      <c r="L714" s="33"/>
      <c r="M714" s="33"/>
      <c r="N714" s="33"/>
      <c r="O714" s="33"/>
      <c r="P714" s="33"/>
      <c r="Q714" s="33"/>
      <c r="R714" s="33"/>
      <c r="S714" s="33"/>
      <c r="T714" s="33"/>
      <c r="U714" s="33"/>
      <c r="V714" s="33"/>
      <c r="W714" s="33"/>
      <c r="X714" s="33"/>
      <c r="Y714" s="33"/>
      <c r="Z714" s="33"/>
      <c r="AA714" s="33"/>
      <c r="AB714" s="33"/>
      <c r="AC714" s="33"/>
      <c r="AD714" s="33"/>
      <c r="AE714" s="33"/>
      <c r="AF714" s="33"/>
    </row>
    <row r="715" ht="15.75" customHeight="1">
      <c r="A715" s="52"/>
      <c r="B715" s="52"/>
      <c r="C715" s="52"/>
      <c r="D715" s="100"/>
      <c r="E715" s="165"/>
      <c r="F715" s="33"/>
      <c r="G715" s="33"/>
      <c r="H715" s="33"/>
      <c r="I715" s="33"/>
      <c r="J715" s="33"/>
      <c r="K715" s="33"/>
      <c r="L715" s="33"/>
      <c r="M715" s="33"/>
      <c r="N715" s="33"/>
      <c r="O715" s="33"/>
      <c r="P715" s="33"/>
      <c r="Q715" s="33"/>
      <c r="R715" s="33"/>
      <c r="S715" s="33"/>
      <c r="T715" s="33"/>
      <c r="U715" s="33"/>
      <c r="V715" s="33"/>
      <c r="W715" s="33"/>
      <c r="X715" s="33"/>
      <c r="Y715" s="33"/>
      <c r="Z715" s="33"/>
      <c r="AA715" s="33"/>
      <c r="AB715" s="33"/>
      <c r="AC715" s="33"/>
      <c r="AD715" s="33"/>
      <c r="AE715" s="33"/>
      <c r="AF715" s="33"/>
    </row>
    <row r="716" ht="15.75" customHeight="1">
      <c r="A716" s="52" t="s">
        <v>7531</v>
      </c>
      <c r="B716" s="52">
        <v>1.0</v>
      </c>
      <c r="C716" s="297" t="s">
        <v>7534</v>
      </c>
      <c r="D716" s="297" t="s">
        <v>7536</v>
      </c>
      <c r="E716" s="297" t="s">
        <v>7538</v>
      </c>
      <c r="F716" s="33"/>
      <c r="G716" s="33"/>
      <c r="H716" s="33"/>
      <c r="I716" s="33"/>
      <c r="J716" s="33"/>
      <c r="K716" s="33"/>
      <c r="L716" s="33"/>
      <c r="M716" s="33"/>
      <c r="N716" s="33"/>
      <c r="O716" s="33"/>
      <c r="P716" s="33"/>
      <c r="Q716" s="33"/>
      <c r="R716" s="33"/>
      <c r="S716" s="33"/>
      <c r="T716" s="33"/>
      <c r="U716" s="33"/>
      <c r="V716" s="33"/>
      <c r="W716" s="33"/>
      <c r="X716" s="33"/>
      <c r="Y716" s="33"/>
      <c r="Z716" s="33"/>
      <c r="AA716" s="33"/>
      <c r="AB716" s="33"/>
      <c r="AC716" s="33"/>
      <c r="AD716" s="33"/>
      <c r="AE716" s="33"/>
      <c r="AF716" s="33"/>
    </row>
    <row r="717" ht="15.75" customHeight="1">
      <c r="A717" s="52" t="s">
        <v>7531</v>
      </c>
      <c r="B717" s="52">
        <v>2.0</v>
      </c>
      <c r="C717" s="297" t="s">
        <v>7550</v>
      </c>
      <c r="D717" s="297" t="s">
        <v>7552</v>
      </c>
      <c r="E717" s="297" t="s">
        <v>7553</v>
      </c>
      <c r="F717" s="33"/>
      <c r="G717" s="33"/>
      <c r="H717" s="33"/>
      <c r="I717" s="33"/>
      <c r="J717" s="33"/>
      <c r="K717" s="33"/>
      <c r="L717" s="33"/>
      <c r="M717" s="33"/>
      <c r="N717" s="33"/>
      <c r="O717" s="33"/>
      <c r="P717" s="33"/>
      <c r="Q717" s="33"/>
      <c r="R717" s="33"/>
      <c r="S717" s="33"/>
      <c r="T717" s="33"/>
      <c r="U717" s="33"/>
      <c r="V717" s="33"/>
      <c r="W717" s="33"/>
      <c r="X717" s="33"/>
      <c r="Y717" s="33"/>
      <c r="Z717" s="33"/>
      <c r="AA717" s="33"/>
      <c r="AB717" s="33"/>
      <c r="AC717" s="33"/>
      <c r="AD717" s="33"/>
      <c r="AE717" s="33"/>
      <c r="AF717" s="33"/>
    </row>
    <row r="718" ht="15.75" customHeight="1">
      <c r="A718" s="52" t="s">
        <v>7531</v>
      </c>
      <c r="B718" s="89">
        <v>3.0</v>
      </c>
      <c r="C718" s="297" t="s">
        <v>7569</v>
      </c>
      <c r="D718" s="297" t="s">
        <v>7571</v>
      </c>
      <c r="E718" s="297" t="s">
        <v>7574</v>
      </c>
      <c r="F718" s="33"/>
      <c r="G718" s="33"/>
      <c r="H718" s="33"/>
      <c r="I718" s="33"/>
      <c r="J718" s="33"/>
      <c r="K718" s="33"/>
      <c r="L718" s="33"/>
      <c r="M718" s="33"/>
      <c r="N718" s="33"/>
      <c r="O718" s="33"/>
      <c r="P718" s="33"/>
      <c r="Q718" s="33"/>
      <c r="R718" s="33"/>
      <c r="S718" s="33"/>
      <c r="T718" s="33"/>
      <c r="U718" s="33"/>
      <c r="V718" s="33"/>
      <c r="W718" s="33"/>
      <c r="X718" s="33"/>
      <c r="Y718" s="33"/>
      <c r="Z718" s="33"/>
      <c r="AA718" s="33"/>
      <c r="AB718" s="33"/>
      <c r="AC718" s="33"/>
      <c r="AD718" s="33"/>
      <c r="AE718" s="33"/>
      <c r="AF718" s="33"/>
    </row>
    <row r="719" ht="15.75" customHeight="1">
      <c r="A719" s="52" t="s">
        <v>7531</v>
      </c>
      <c r="B719" s="89">
        <v>4.0</v>
      </c>
      <c r="C719" s="297" t="s">
        <v>7583</v>
      </c>
      <c r="D719" s="297" t="s">
        <v>7586</v>
      </c>
      <c r="E719" s="297" t="s">
        <v>7587</v>
      </c>
      <c r="F719" s="33"/>
      <c r="G719" s="33"/>
      <c r="H719" s="33"/>
      <c r="I719" s="33"/>
      <c r="J719" s="33"/>
      <c r="K719" s="33"/>
      <c r="L719" s="33"/>
      <c r="M719" s="33"/>
      <c r="N719" s="33"/>
      <c r="O719" s="33"/>
      <c r="P719" s="33"/>
      <c r="Q719" s="33"/>
      <c r="R719" s="33"/>
      <c r="S719" s="33"/>
      <c r="T719" s="33"/>
      <c r="U719" s="33"/>
      <c r="V719" s="33"/>
      <c r="W719" s="33"/>
      <c r="X719" s="33"/>
      <c r="Y719" s="33"/>
      <c r="Z719" s="33"/>
      <c r="AA719" s="33"/>
      <c r="AB719" s="33"/>
      <c r="AC719" s="33"/>
      <c r="AD719" s="33"/>
      <c r="AE719" s="33"/>
      <c r="AF719" s="33"/>
    </row>
    <row r="720" ht="15.75" customHeight="1">
      <c r="A720" s="52" t="s">
        <v>7531</v>
      </c>
      <c r="B720" s="89">
        <v>5.0</v>
      </c>
      <c r="C720" s="297" t="s">
        <v>7593</v>
      </c>
      <c r="D720" s="297" t="s">
        <v>7594</v>
      </c>
      <c r="E720" s="297" t="s">
        <v>7595</v>
      </c>
      <c r="F720" s="33"/>
      <c r="G720" s="33"/>
      <c r="H720" s="33"/>
      <c r="I720" s="33"/>
      <c r="J720" s="33"/>
      <c r="K720" s="33"/>
      <c r="L720" s="33"/>
      <c r="M720" s="33"/>
      <c r="N720" s="33"/>
      <c r="O720" s="33"/>
      <c r="P720" s="33"/>
      <c r="Q720" s="33"/>
      <c r="R720" s="33"/>
      <c r="S720" s="33"/>
      <c r="T720" s="33"/>
      <c r="U720" s="33"/>
      <c r="V720" s="33"/>
      <c r="W720" s="33"/>
      <c r="X720" s="33"/>
      <c r="Y720" s="33"/>
      <c r="Z720" s="33"/>
      <c r="AA720" s="33"/>
      <c r="AB720" s="33"/>
      <c r="AC720" s="33"/>
      <c r="AD720" s="33"/>
      <c r="AE720" s="33"/>
      <c r="AF720" s="33"/>
    </row>
    <row r="721" ht="15.75" customHeight="1">
      <c r="A721" s="52" t="s">
        <v>7531</v>
      </c>
      <c r="B721" s="89">
        <v>6.0</v>
      </c>
      <c r="C721" s="297" t="s">
        <v>7603</v>
      </c>
      <c r="D721" s="297" t="s">
        <v>7604</v>
      </c>
      <c r="E721" s="297" t="s">
        <v>7605</v>
      </c>
      <c r="F721" s="33"/>
      <c r="G721" s="33"/>
      <c r="H721" s="33"/>
      <c r="I721" s="33"/>
      <c r="J721" s="33"/>
      <c r="K721" s="33"/>
      <c r="L721" s="33"/>
      <c r="M721" s="33"/>
      <c r="N721" s="33"/>
      <c r="O721" s="33"/>
      <c r="P721" s="33"/>
      <c r="Q721" s="33"/>
      <c r="R721" s="33"/>
      <c r="S721" s="33"/>
      <c r="T721" s="33"/>
      <c r="U721" s="33"/>
      <c r="V721" s="33"/>
      <c r="W721" s="33"/>
      <c r="X721" s="33"/>
      <c r="Y721" s="33"/>
      <c r="Z721" s="33"/>
      <c r="AA721" s="33"/>
      <c r="AB721" s="33"/>
      <c r="AC721" s="33"/>
      <c r="AD721" s="33"/>
      <c r="AE721" s="33"/>
      <c r="AF721" s="33"/>
    </row>
    <row r="722" ht="15.75" customHeight="1">
      <c r="A722" s="52" t="s">
        <v>7531</v>
      </c>
      <c r="B722" s="89">
        <v>-777.0</v>
      </c>
      <c r="C722" s="297" t="s">
        <v>417</v>
      </c>
      <c r="D722" s="297" t="s">
        <v>418</v>
      </c>
      <c r="E722" s="297" t="s">
        <v>1815</v>
      </c>
      <c r="F722" s="33"/>
      <c r="G722" s="33"/>
      <c r="H722" s="33"/>
      <c r="I722" s="33"/>
      <c r="J722" s="33"/>
      <c r="K722" s="33"/>
      <c r="L722" s="33"/>
      <c r="M722" s="33"/>
      <c r="N722" s="33"/>
      <c r="O722" s="33"/>
      <c r="P722" s="33"/>
      <c r="Q722" s="33"/>
      <c r="R722" s="33"/>
      <c r="S722" s="33"/>
      <c r="T722" s="33"/>
      <c r="U722" s="33"/>
      <c r="V722" s="33"/>
      <c r="W722" s="33"/>
      <c r="X722" s="33"/>
      <c r="Y722" s="33"/>
      <c r="Z722" s="33"/>
      <c r="AA722" s="33"/>
      <c r="AB722" s="33"/>
      <c r="AC722" s="33"/>
      <c r="AD722" s="33"/>
      <c r="AE722" s="33"/>
      <c r="AF722" s="33"/>
    </row>
    <row r="723" ht="15.75" customHeight="1">
      <c r="A723" s="100"/>
      <c r="B723" s="102"/>
      <c r="C723" s="100"/>
      <c r="D723" s="100"/>
      <c r="E723" s="165"/>
      <c r="F723" s="33"/>
      <c r="G723" s="33"/>
      <c r="H723" s="33"/>
      <c r="I723" s="33"/>
      <c r="J723" s="33"/>
      <c r="K723" s="33"/>
      <c r="L723" s="33"/>
      <c r="M723" s="33"/>
      <c r="N723" s="33"/>
      <c r="O723" s="33"/>
      <c r="P723" s="33"/>
      <c r="Q723" s="33"/>
      <c r="R723" s="33"/>
      <c r="S723" s="33"/>
      <c r="T723" s="33"/>
      <c r="U723" s="33"/>
      <c r="V723" s="33"/>
      <c r="W723" s="33"/>
      <c r="X723" s="33"/>
      <c r="Y723" s="33"/>
      <c r="Z723" s="33"/>
      <c r="AA723" s="33"/>
      <c r="AB723" s="33"/>
      <c r="AC723" s="33"/>
      <c r="AD723" s="33"/>
      <c r="AE723" s="33"/>
      <c r="AF723" s="33"/>
    </row>
    <row r="724" ht="15.75" customHeight="1">
      <c r="A724" s="52" t="s">
        <v>7617</v>
      </c>
      <c r="B724" s="52">
        <v>0.0</v>
      </c>
      <c r="C724" s="297" t="s">
        <v>7618</v>
      </c>
      <c r="D724" s="297" t="s">
        <v>7621</v>
      </c>
      <c r="E724" s="297" t="s">
        <v>7624</v>
      </c>
      <c r="F724" s="33"/>
      <c r="G724" s="33"/>
      <c r="H724" s="33"/>
      <c r="I724" s="33"/>
      <c r="J724" s="33"/>
      <c r="K724" s="33"/>
      <c r="L724" s="33"/>
      <c r="M724" s="33"/>
      <c r="N724" s="33"/>
      <c r="O724" s="33"/>
      <c r="P724" s="33"/>
      <c r="Q724" s="33"/>
      <c r="R724" s="33"/>
      <c r="S724" s="33"/>
      <c r="T724" s="33"/>
      <c r="U724" s="33"/>
      <c r="V724" s="33"/>
      <c r="W724" s="33"/>
      <c r="X724" s="33"/>
      <c r="Y724" s="33"/>
      <c r="Z724" s="33"/>
      <c r="AA724" s="33"/>
      <c r="AB724" s="33"/>
      <c r="AC724" s="33"/>
      <c r="AD724" s="33"/>
      <c r="AE724" s="33"/>
      <c r="AF724" s="33"/>
    </row>
    <row r="725" ht="15.75" customHeight="1">
      <c r="A725" s="52" t="s">
        <v>7617</v>
      </c>
      <c r="B725" s="52">
        <v>1.0</v>
      </c>
      <c r="C725" s="297" t="s">
        <v>7148</v>
      </c>
      <c r="D725" s="297" t="s">
        <v>7149</v>
      </c>
      <c r="E725" s="297" t="s">
        <v>7633</v>
      </c>
      <c r="F725" s="33"/>
      <c r="G725" s="33"/>
      <c r="H725" s="33"/>
      <c r="I725" s="33"/>
      <c r="J725" s="33"/>
      <c r="K725" s="33"/>
      <c r="L725" s="33"/>
      <c r="M725" s="33"/>
      <c r="N725" s="33"/>
      <c r="O725" s="33"/>
      <c r="P725" s="33"/>
      <c r="Q725" s="33"/>
      <c r="R725" s="33"/>
      <c r="S725" s="33"/>
      <c r="T725" s="33"/>
      <c r="U725" s="33"/>
      <c r="V725" s="33"/>
      <c r="W725" s="33"/>
      <c r="X725" s="33"/>
      <c r="Y725" s="33"/>
      <c r="Z725" s="33"/>
      <c r="AA725" s="33"/>
      <c r="AB725" s="33"/>
      <c r="AC725" s="33"/>
      <c r="AD725" s="33"/>
      <c r="AE725" s="33"/>
      <c r="AF725" s="33"/>
    </row>
    <row r="726" ht="15.75" customHeight="1">
      <c r="A726" s="52" t="s">
        <v>7617</v>
      </c>
      <c r="B726" s="52">
        <v>2.0</v>
      </c>
      <c r="C726" s="297" t="s">
        <v>7635</v>
      </c>
      <c r="D726" s="297" t="s">
        <v>7636</v>
      </c>
      <c r="E726" s="297" t="s">
        <v>7637</v>
      </c>
      <c r="F726" s="33"/>
      <c r="G726" s="33"/>
      <c r="H726" s="33"/>
      <c r="I726" s="33"/>
      <c r="J726" s="33"/>
      <c r="K726" s="33"/>
      <c r="L726" s="33"/>
      <c r="M726" s="33"/>
      <c r="N726" s="33"/>
      <c r="O726" s="33"/>
      <c r="P726" s="33"/>
      <c r="Q726" s="33"/>
      <c r="R726" s="33"/>
      <c r="S726" s="33"/>
      <c r="T726" s="33"/>
      <c r="U726" s="33"/>
      <c r="V726" s="33"/>
      <c r="W726" s="33"/>
      <c r="X726" s="33"/>
      <c r="Y726" s="33"/>
      <c r="Z726" s="33"/>
      <c r="AA726" s="33"/>
      <c r="AB726" s="33"/>
      <c r="AC726" s="33"/>
      <c r="AD726" s="33"/>
      <c r="AE726" s="33"/>
      <c r="AF726" s="33"/>
    </row>
    <row r="727" ht="15.75" customHeight="1">
      <c r="A727" s="52" t="s">
        <v>7617</v>
      </c>
      <c r="B727" s="52">
        <v>3.0</v>
      </c>
      <c r="C727" s="297" t="s">
        <v>7649</v>
      </c>
      <c r="D727" s="297" t="s">
        <v>7650</v>
      </c>
      <c r="E727" s="297" t="s">
        <v>7652</v>
      </c>
      <c r="F727" s="33"/>
      <c r="G727" s="33"/>
      <c r="H727" s="33"/>
      <c r="I727" s="33"/>
      <c r="J727" s="33"/>
      <c r="K727" s="33"/>
      <c r="L727" s="33"/>
      <c r="M727" s="33"/>
      <c r="N727" s="33"/>
      <c r="O727" s="33"/>
      <c r="P727" s="33"/>
      <c r="Q727" s="33"/>
      <c r="R727" s="33"/>
      <c r="S727" s="33"/>
      <c r="T727" s="33"/>
      <c r="U727" s="33"/>
      <c r="V727" s="33"/>
      <c r="W727" s="33"/>
      <c r="X727" s="33"/>
      <c r="Y727" s="33"/>
      <c r="Z727" s="33"/>
      <c r="AA727" s="33"/>
      <c r="AB727" s="33"/>
      <c r="AC727" s="33"/>
      <c r="AD727" s="33"/>
      <c r="AE727" s="33"/>
      <c r="AF727" s="33"/>
    </row>
    <row r="728" ht="15.75" customHeight="1">
      <c r="A728" s="52" t="s">
        <v>7617</v>
      </c>
      <c r="B728" s="52">
        <v>4.0</v>
      </c>
      <c r="C728" s="297" t="s">
        <v>7173</v>
      </c>
      <c r="D728" s="297" t="s">
        <v>7174</v>
      </c>
      <c r="E728" s="297" t="s">
        <v>7669</v>
      </c>
      <c r="F728" s="33"/>
      <c r="G728" s="33"/>
      <c r="H728" s="33"/>
      <c r="I728" s="33"/>
      <c r="J728" s="33"/>
      <c r="K728" s="33"/>
      <c r="L728" s="33"/>
      <c r="M728" s="33"/>
      <c r="N728" s="33"/>
      <c r="O728" s="33"/>
      <c r="P728" s="33"/>
      <c r="Q728" s="33"/>
      <c r="R728" s="33"/>
      <c r="S728" s="33"/>
      <c r="T728" s="33"/>
      <c r="U728" s="33"/>
      <c r="V728" s="33"/>
      <c r="W728" s="33"/>
      <c r="X728" s="33"/>
      <c r="Y728" s="33"/>
      <c r="Z728" s="33"/>
      <c r="AA728" s="33"/>
      <c r="AB728" s="33"/>
      <c r="AC728" s="33"/>
      <c r="AD728" s="33"/>
      <c r="AE728" s="33"/>
      <c r="AF728" s="33"/>
    </row>
    <row r="729" ht="15.75" customHeight="1">
      <c r="A729" s="52" t="s">
        <v>7617</v>
      </c>
      <c r="B729" s="52">
        <v>5.0</v>
      </c>
      <c r="C729" s="297" t="s">
        <v>7681</v>
      </c>
      <c r="D729" s="297" t="s">
        <v>7684</v>
      </c>
      <c r="E729" s="297" t="s">
        <v>7686</v>
      </c>
      <c r="F729" s="33"/>
      <c r="G729" s="33"/>
      <c r="H729" s="33"/>
      <c r="I729" s="33"/>
      <c r="J729" s="33"/>
      <c r="K729" s="33"/>
      <c r="L729" s="33"/>
      <c r="M729" s="33"/>
      <c r="N729" s="33"/>
      <c r="O729" s="33"/>
      <c r="P729" s="33"/>
      <c r="Q729" s="33"/>
      <c r="R729" s="33"/>
      <c r="S729" s="33"/>
      <c r="T729" s="33"/>
      <c r="U729" s="33"/>
      <c r="V729" s="33"/>
      <c r="W729" s="33"/>
      <c r="X729" s="33"/>
      <c r="Y729" s="33"/>
      <c r="Z729" s="33"/>
      <c r="AA729" s="33"/>
      <c r="AB729" s="33"/>
      <c r="AC729" s="33"/>
      <c r="AD729" s="33"/>
      <c r="AE729" s="33"/>
      <c r="AF729" s="33"/>
    </row>
    <row r="730" ht="15.75" customHeight="1">
      <c r="A730" s="52" t="s">
        <v>7617</v>
      </c>
      <c r="B730" s="52">
        <v>-777.0</v>
      </c>
      <c r="C730" s="297" t="s">
        <v>417</v>
      </c>
      <c r="D730" s="297" t="s">
        <v>418</v>
      </c>
      <c r="E730" s="297" t="s">
        <v>419</v>
      </c>
      <c r="F730" s="33"/>
      <c r="G730" s="33"/>
      <c r="H730" s="33"/>
      <c r="I730" s="33"/>
      <c r="J730" s="33"/>
      <c r="K730" s="33"/>
      <c r="L730" s="33"/>
      <c r="M730" s="33"/>
      <c r="N730" s="33"/>
      <c r="O730" s="33"/>
      <c r="P730" s="33"/>
      <c r="Q730" s="33"/>
      <c r="R730" s="33"/>
      <c r="S730" s="33"/>
      <c r="T730" s="33"/>
      <c r="U730" s="33"/>
      <c r="V730" s="33"/>
      <c r="W730" s="33"/>
      <c r="X730" s="33"/>
      <c r="Y730" s="33"/>
      <c r="Z730" s="33"/>
      <c r="AA730" s="33"/>
      <c r="AB730" s="33"/>
      <c r="AC730" s="33"/>
      <c r="AD730" s="33"/>
      <c r="AE730" s="33"/>
      <c r="AF730" s="33"/>
    </row>
    <row r="731" ht="15.75" customHeight="1">
      <c r="A731" s="100"/>
      <c r="B731" s="102"/>
      <c r="C731" s="100"/>
      <c r="D731" s="100"/>
      <c r="E731" s="165"/>
      <c r="F731" s="33"/>
      <c r="G731" s="33"/>
      <c r="H731" s="33"/>
      <c r="I731" s="33"/>
      <c r="J731" s="33"/>
      <c r="K731" s="33"/>
      <c r="L731" s="33"/>
      <c r="M731" s="33"/>
      <c r="N731" s="33"/>
      <c r="O731" s="33"/>
      <c r="P731" s="33"/>
      <c r="Q731" s="33"/>
      <c r="R731" s="33"/>
      <c r="S731" s="33"/>
      <c r="T731" s="33"/>
      <c r="U731" s="33"/>
      <c r="V731" s="33"/>
      <c r="W731" s="33"/>
      <c r="X731" s="33"/>
      <c r="Y731" s="33"/>
      <c r="Z731" s="33"/>
      <c r="AA731" s="33"/>
      <c r="AB731" s="33"/>
      <c r="AC731" s="33"/>
      <c r="AD731" s="33"/>
      <c r="AE731" s="33"/>
      <c r="AF731" s="33"/>
    </row>
    <row r="732" ht="15.75" customHeight="1">
      <c r="A732" s="52" t="s">
        <v>7736</v>
      </c>
      <c r="B732" s="52">
        <v>1.0</v>
      </c>
      <c r="C732" s="297" t="s">
        <v>7737</v>
      </c>
      <c r="D732" s="297" t="s">
        <v>7739</v>
      </c>
      <c r="E732" s="297" t="s">
        <v>7742</v>
      </c>
      <c r="F732" s="33"/>
      <c r="G732" s="33"/>
      <c r="H732" s="33"/>
      <c r="I732" s="33"/>
      <c r="J732" s="33"/>
      <c r="K732" s="33"/>
      <c r="L732" s="33"/>
      <c r="M732" s="33"/>
      <c r="N732" s="33"/>
      <c r="O732" s="33"/>
      <c r="P732" s="33"/>
      <c r="Q732" s="33"/>
      <c r="R732" s="33"/>
      <c r="S732" s="33"/>
      <c r="T732" s="33"/>
      <c r="U732" s="33"/>
      <c r="V732" s="33"/>
      <c r="W732" s="33"/>
      <c r="X732" s="33"/>
      <c r="Y732" s="33"/>
      <c r="Z732" s="33"/>
      <c r="AA732" s="33"/>
      <c r="AB732" s="33"/>
      <c r="AC732" s="33"/>
      <c r="AD732" s="33"/>
      <c r="AE732" s="33"/>
      <c r="AF732" s="33"/>
    </row>
    <row r="733" ht="15.75" customHeight="1">
      <c r="A733" s="52" t="s">
        <v>7736</v>
      </c>
      <c r="B733" s="52">
        <v>2.0</v>
      </c>
      <c r="C733" s="297" t="s">
        <v>7753</v>
      </c>
      <c r="D733" s="297" t="s">
        <v>7755</v>
      </c>
      <c r="E733" s="297" t="s">
        <v>7756</v>
      </c>
      <c r="F733" s="33"/>
      <c r="G733" s="33"/>
      <c r="H733" s="33"/>
      <c r="I733" s="33"/>
      <c r="J733" s="33"/>
      <c r="K733" s="33"/>
      <c r="L733" s="33"/>
      <c r="M733" s="33"/>
      <c r="N733" s="33"/>
      <c r="O733" s="33"/>
      <c r="P733" s="33"/>
      <c r="Q733" s="33"/>
      <c r="R733" s="33"/>
      <c r="S733" s="33"/>
      <c r="T733" s="33"/>
      <c r="U733" s="33"/>
      <c r="V733" s="33"/>
      <c r="W733" s="33"/>
      <c r="X733" s="33"/>
      <c r="Y733" s="33"/>
      <c r="Z733" s="33"/>
      <c r="AA733" s="33"/>
      <c r="AB733" s="33"/>
      <c r="AC733" s="33"/>
      <c r="AD733" s="33"/>
      <c r="AE733" s="33"/>
      <c r="AF733" s="33"/>
    </row>
    <row r="734" ht="15.75" customHeight="1">
      <c r="A734" s="52" t="s">
        <v>7736</v>
      </c>
      <c r="B734" s="52">
        <v>3.0</v>
      </c>
      <c r="C734" s="297" t="s">
        <v>7765</v>
      </c>
      <c r="D734" s="297" t="s">
        <v>7766</v>
      </c>
      <c r="E734" s="297" t="s">
        <v>7767</v>
      </c>
      <c r="F734" s="33"/>
      <c r="G734" s="33"/>
      <c r="H734" s="33"/>
      <c r="I734" s="33"/>
      <c r="J734" s="33"/>
      <c r="K734" s="33"/>
      <c r="L734" s="33"/>
      <c r="M734" s="33"/>
      <c r="N734" s="33"/>
      <c r="O734" s="33"/>
      <c r="P734" s="33"/>
      <c r="Q734" s="33"/>
      <c r="R734" s="33"/>
      <c r="S734" s="33"/>
      <c r="T734" s="33"/>
      <c r="U734" s="33"/>
      <c r="V734" s="33"/>
      <c r="W734" s="33"/>
      <c r="X734" s="33"/>
      <c r="Y734" s="33"/>
      <c r="Z734" s="33"/>
      <c r="AA734" s="33"/>
      <c r="AB734" s="33"/>
      <c r="AC734" s="33"/>
      <c r="AD734" s="33"/>
      <c r="AE734" s="33"/>
      <c r="AF734" s="33"/>
    </row>
    <row r="735" ht="15.75" customHeight="1">
      <c r="A735" s="52" t="s">
        <v>7736</v>
      </c>
      <c r="B735" s="52">
        <v>4.0</v>
      </c>
      <c r="C735" s="297" t="s">
        <v>7787</v>
      </c>
      <c r="D735" s="297" t="s">
        <v>7788</v>
      </c>
      <c r="E735" s="297" t="s">
        <v>7791</v>
      </c>
      <c r="F735" s="33"/>
      <c r="G735" s="33"/>
      <c r="H735" s="33"/>
      <c r="I735" s="33"/>
      <c r="J735" s="33"/>
      <c r="K735" s="33"/>
      <c r="L735" s="33"/>
      <c r="M735" s="33"/>
      <c r="N735" s="33"/>
      <c r="O735" s="33"/>
      <c r="P735" s="33"/>
      <c r="Q735" s="33"/>
      <c r="R735" s="33"/>
      <c r="S735" s="33"/>
      <c r="T735" s="33"/>
      <c r="U735" s="33"/>
      <c r="V735" s="33"/>
      <c r="W735" s="33"/>
      <c r="X735" s="33"/>
      <c r="Y735" s="33"/>
      <c r="Z735" s="33"/>
      <c r="AA735" s="33"/>
      <c r="AB735" s="33"/>
      <c r="AC735" s="33"/>
      <c r="AD735" s="33"/>
      <c r="AE735" s="33"/>
      <c r="AF735" s="33"/>
    </row>
    <row r="736" ht="15.75" customHeight="1">
      <c r="A736" s="52" t="s">
        <v>7736</v>
      </c>
      <c r="B736" s="52">
        <v>-777.0</v>
      </c>
      <c r="C736" s="297" t="s">
        <v>417</v>
      </c>
      <c r="D736" s="297" t="s">
        <v>418</v>
      </c>
      <c r="E736" s="297" t="s">
        <v>419</v>
      </c>
      <c r="F736" s="33"/>
      <c r="G736" s="33"/>
      <c r="H736" s="33"/>
      <c r="I736" s="33"/>
      <c r="J736" s="33"/>
      <c r="K736" s="33"/>
      <c r="L736" s="33"/>
      <c r="M736" s="33"/>
      <c r="N736" s="33"/>
      <c r="O736" s="33"/>
      <c r="P736" s="33"/>
      <c r="Q736" s="33"/>
      <c r="R736" s="33"/>
      <c r="S736" s="33"/>
      <c r="T736" s="33"/>
      <c r="U736" s="33"/>
      <c r="V736" s="33"/>
      <c r="W736" s="33"/>
      <c r="X736" s="33"/>
      <c r="Y736" s="33"/>
      <c r="Z736" s="33"/>
      <c r="AA736" s="33"/>
      <c r="AB736" s="33"/>
      <c r="AC736" s="33"/>
      <c r="AD736" s="33"/>
      <c r="AE736" s="33"/>
      <c r="AF736" s="33"/>
    </row>
    <row r="737" ht="15.75" customHeight="1">
      <c r="A737" s="52"/>
      <c r="B737" s="52"/>
      <c r="C737" s="52"/>
      <c r="D737" s="52"/>
      <c r="E737" s="52"/>
      <c r="F737" s="33"/>
      <c r="G737" s="33"/>
      <c r="H737" s="33"/>
      <c r="I737" s="33"/>
      <c r="J737" s="33"/>
      <c r="K737" s="33"/>
      <c r="L737" s="33"/>
      <c r="M737" s="33"/>
      <c r="N737" s="33"/>
      <c r="O737" s="33"/>
      <c r="P737" s="33"/>
      <c r="Q737" s="33"/>
      <c r="R737" s="33"/>
      <c r="S737" s="33"/>
      <c r="T737" s="33"/>
      <c r="U737" s="33"/>
      <c r="V737" s="33"/>
      <c r="W737" s="33"/>
      <c r="X737" s="33"/>
      <c r="Y737" s="33"/>
      <c r="Z737" s="33"/>
      <c r="AA737" s="33"/>
      <c r="AB737" s="33"/>
      <c r="AC737" s="33"/>
      <c r="AD737" s="33"/>
      <c r="AE737" s="33"/>
      <c r="AF737" s="33"/>
    </row>
    <row r="738" ht="15.75" customHeight="1">
      <c r="A738" s="52" t="s">
        <v>7799</v>
      </c>
      <c r="B738" s="52">
        <v>1.0</v>
      </c>
      <c r="C738" s="297" t="s">
        <v>7800</v>
      </c>
      <c r="D738" s="297" t="s">
        <v>7801</v>
      </c>
      <c r="E738" s="297" t="s">
        <v>7802</v>
      </c>
      <c r="F738" s="33"/>
      <c r="G738" s="33"/>
      <c r="H738" s="33"/>
      <c r="I738" s="33"/>
      <c r="J738" s="33"/>
      <c r="K738" s="33"/>
      <c r="L738" s="33"/>
      <c r="M738" s="33"/>
      <c r="N738" s="33"/>
      <c r="O738" s="33"/>
      <c r="P738" s="33"/>
      <c r="Q738" s="33"/>
      <c r="R738" s="33"/>
      <c r="S738" s="33"/>
      <c r="T738" s="33"/>
      <c r="U738" s="33"/>
      <c r="V738" s="33"/>
      <c r="W738" s="33"/>
      <c r="X738" s="33"/>
      <c r="Y738" s="33"/>
      <c r="Z738" s="33"/>
      <c r="AA738" s="33"/>
      <c r="AB738" s="33"/>
      <c r="AC738" s="33"/>
      <c r="AD738" s="33"/>
      <c r="AE738" s="33"/>
      <c r="AF738" s="33"/>
    </row>
    <row r="739" ht="15.75" customHeight="1">
      <c r="A739" s="52" t="s">
        <v>7799</v>
      </c>
      <c r="B739" s="52">
        <v>2.0</v>
      </c>
      <c r="C739" s="297" t="s">
        <v>7804</v>
      </c>
      <c r="D739" s="297" t="s">
        <v>7805</v>
      </c>
      <c r="E739" s="297" t="s">
        <v>7806</v>
      </c>
      <c r="F739" s="33"/>
      <c r="G739" s="33"/>
      <c r="H739" s="33"/>
      <c r="I739" s="33"/>
      <c r="J739" s="33"/>
      <c r="K739" s="33"/>
      <c r="L739" s="33"/>
      <c r="M739" s="33"/>
      <c r="N739" s="33"/>
      <c r="O739" s="33"/>
      <c r="P739" s="33"/>
      <c r="Q739" s="33"/>
      <c r="R739" s="33"/>
      <c r="S739" s="33"/>
      <c r="T739" s="33"/>
      <c r="U739" s="33"/>
      <c r="V739" s="33"/>
      <c r="W739" s="33"/>
      <c r="X739" s="33"/>
      <c r="Y739" s="33"/>
      <c r="Z739" s="33"/>
      <c r="AA739" s="33"/>
      <c r="AB739" s="33"/>
      <c r="AC739" s="33"/>
      <c r="AD739" s="33"/>
      <c r="AE739" s="33"/>
      <c r="AF739" s="33"/>
    </row>
    <row r="740" ht="15.75" customHeight="1">
      <c r="A740" s="52" t="s">
        <v>7799</v>
      </c>
      <c r="B740" s="52">
        <v>3.0</v>
      </c>
      <c r="C740" s="297" t="s">
        <v>7808</v>
      </c>
      <c r="D740" s="297" t="s">
        <v>7809</v>
      </c>
      <c r="E740" s="297" t="s">
        <v>7810</v>
      </c>
      <c r="F740" s="33"/>
      <c r="G740" s="33"/>
      <c r="H740" s="33"/>
      <c r="I740" s="33"/>
      <c r="J740" s="33"/>
      <c r="K740" s="33"/>
      <c r="L740" s="33"/>
      <c r="M740" s="33"/>
      <c r="N740" s="33"/>
      <c r="O740" s="33"/>
      <c r="P740" s="33"/>
      <c r="Q740" s="33"/>
      <c r="R740" s="33"/>
      <c r="S740" s="33"/>
      <c r="T740" s="33"/>
      <c r="U740" s="33"/>
      <c r="V740" s="33"/>
      <c r="W740" s="33"/>
      <c r="X740" s="33"/>
      <c r="Y740" s="33"/>
      <c r="Z740" s="33"/>
      <c r="AA740" s="33"/>
      <c r="AB740" s="33"/>
      <c r="AC740" s="33"/>
      <c r="AD740" s="33"/>
      <c r="AE740" s="33"/>
      <c r="AF740" s="33"/>
    </row>
    <row r="741" ht="15.75" customHeight="1">
      <c r="A741" s="52" t="s">
        <v>7799</v>
      </c>
      <c r="B741" s="52">
        <v>4.0</v>
      </c>
      <c r="C741" s="297" t="s">
        <v>7816</v>
      </c>
      <c r="D741" s="297" t="s">
        <v>7817</v>
      </c>
      <c r="E741" s="297" t="s">
        <v>7818</v>
      </c>
      <c r="F741" s="33"/>
      <c r="G741" s="33"/>
      <c r="H741" s="33"/>
      <c r="I741" s="33"/>
      <c r="J741" s="33"/>
      <c r="K741" s="33"/>
      <c r="L741" s="33"/>
      <c r="M741" s="33"/>
      <c r="N741" s="33"/>
      <c r="O741" s="33"/>
      <c r="P741" s="33"/>
      <c r="Q741" s="33"/>
      <c r="R741" s="33"/>
      <c r="S741" s="33"/>
      <c r="T741" s="33"/>
      <c r="U741" s="33"/>
      <c r="V741" s="33"/>
      <c r="W741" s="33"/>
      <c r="X741" s="33"/>
      <c r="Y741" s="33"/>
      <c r="Z741" s="33"/>
      <c r="AA741" s="33"/>
      <c r="AB741" s="33"/>
      <c r="AC741" s="33"/>
      <c r="AD741" s="33"/>
      <c r="AE741" s="33"/>
      <c r="AF741" s="33"/>
    </row>
    <row r="742" ht="15.75" customHeight="1">
      <c r="A742" s="52" t="s">
        <v>7799</v>
      </c>
      <c r="B742" s="52">
        <v>5.0</v>
      </c>
      <c r="C742" s="297" t="s">
        <v>7824</v>
      </c>
      <c r="D742" s="297" t="s">
        <v>7826</v>
      </c>
      <c r="E742" s="297" t="s">
        <v>7827</v>
      </c>
      <c r="F742" s="33"/>
      <c r="G742" s="33"/>
      <c r="H742" s="33"/>
      <c r="I742" s="33"/>
      <c r="J742" s="33"/>
      <c r="K742" s="33"/>
      <c r="L742" s="33"/>
      <c r="M742" s="33"/>
      <c r="N742" s="33"/>
      <c r="O742" s="33"/>
      <c r="P742" s="33"/>
      <c r="Q742" s="33"/>
      <c r="R742" s="33"/>
      <c r="S742" s="33"/>
      <c r="T742" s="33"/>
      <c r="U742" s="33"/>
      <c r="V742" s="33"/>
      <c r="W742" s="33"/>
      <c r="X742" s="33"/>
      <c r="Y742" s="33"/>
      <c r="Z742" s="33"/>
      <c r="AA742" s="33"/>
      <c r="AB742" s="33"/>
      <c r="AC742" s="33"/>
      <c r="AD742" s="33"/>
      <c r="AE742" s="33"/>
      <c r="AF742" s="33"/>
    </row>
    <row r="743" ht="15.75" customHeight="1">
      <c r="A743" s="52" t="s">
        <v>7799</v>
      </c>
      <c r="B743" s="52">
        <v>-777.0</v>
      </c>
      <c r="C743" s="297" t="s">
        <v>417</v>
      </c>
      <c r="D743" s="297" t="s">
        <v>418</v>
      </c>
      <c r="E743" s="297" t="s">
        <v>419</v>
      </c>
      <c r="F743" s="33"/>
      <c r="G743" s="33"/>
      <c r="H743" s="33"/>
      <c r="I743" s="33"/>
      <c r="J743" s="33"/>
      <c r="K743" s="33"/>
      <c r="L743" s="33"/>
      <c r="M743" s="33"/>
      <c r="N743" s="33"/>
      <c r="O743" s="33"/>
      <c r="P743" s="33"/>
      <c r="Q743" s="33"/>
      <c r="R743" s="33"/>
      <c r="S743" s="33"/>
      <c r="T743" s="33"/>
      <c r="U743" s="33"/>
      <c r="V743" s="33"/>
      <c r="W743" s="33"/>
      <c r="X743" s="33"/>
      <c r="Y743" s="33"/>
      <c r="Z743" s="33"/>
      <c r="AA743" s="33"/>
      <c r="AB743" s="33"/>
      <c r="AC743" s="33"/>
      <c r="AD743" s="33"/>
      <c r="AE743" s="33"/>
      <c r="AF743" s="33"/>
    </row>
    <row r="744" ht="15.75" customHeight="1">
      <c r="A744" s="100"/>
      <c r="B744" s="102"/>
      <c r="C744" s="100"/>
      <c r="D744" s="100"/>
      <c r="E744" s="165"/>
      <c r="F744" s="33"/>
      <c r="G744" s="33"/>
      <c r="H744" s="33"/>
      <c r="I744" s="33"/>
      <c r="J744" s="33"/>
      <c r="K744" s="33"/>
      <c r="L744" s="33"/>
      <c r="M744" s="33"/>
      <c r="N744" s="33"/>
      <c r="O744" s="33"/>
      <c r="P744" s="33"/>
      <c r="Q744" s="33"/>
      <c r="R744" s="33"/>
      <c r="S744" s="33"/>
      <c r="T744" s="33"/>
      <c r="U744" s="33"/>
      <c r="V744" s="33"/>
      <c r="W744" s="33"/>
      <c r="X744" s="33"/>
      <c r="Y744" s="33"/>
      <c r="Z744" s="33"/>
      <c r="AA744" s="33"/>
      <c r="AB744" s="33"/>
      <c r="AC744" s="33"/>
      <c r="AD744" s="33"/>
      <c r="AE744" s="33"/>
      <c r="AF744" s="33"/>
    </row>
    <row r="745" ht="15.75" customHeight="1">
      <c r="A745" s="308" t="s">
        <v>7856</v>
      </c>
      <c r="B745" s="89">
        <v>1.0</v>
      </c>
      <c r="C745" s="52" t="s">
        <v>7860</v>
      </c>
      <c r="D745" s="52" t="s">
        <v>7861</v>
      </c>
      <c r="E745" s="52" t="s">
        <v>7863</v>
      </c>
      <c r="F745" s="105"/>
      <c r="G745" s="89">
        <v>1.0</v>
      </c>
      <c r="H745" s="33"/>
      <c r="I745" s="33"/>
      <c r="J745" s="33"/>
      <c r="K745" s="33"/>
      <c r="L745" s="33"/>
      <c r="M745" s="33"/>
      <c r="N745" s="33"/>
      <c r="O745" s="33"/>
      <c r="P745" s="33"/>
      <c r="Q745" s="33"/>
      <c r="R745" s="33"/>
      <c r="S745" s="33"/>
      <c r="T745" s="33"/>
      <c r="U745" s="33"/>
      <c r="V745" s="33"/>
      <c r="W745" s="33"/>
      <c r="X745" s="33"/>
      <c r="Y745" s="33"/>
      <c r="Z745" s="33"/>
      <c r="AA745" s="33"/>
      <c r="AB745" s="33"/>
      <c r="AC745" s="33"/>
      <c r="AD745" s="33"/>
      <c r="AE745" s="33"/>
      <c r="AF745" s="33"/>
    </row>
    <row r="746" ht="15.75" customHeight="1">
      <c r="A746" s="308" t="s">
        <v>7856</v>
      </c>
      <c r="B746" s="89">
        <v>2.0</v>
      </c>
      <c r="C746" s="52" t="s">
        <v>7873</v>
      </c>
      <c r="D746" s="52" t="s">
        <v>7874</v>
      </c>
      <c r="E746" s="52" t="s">
        <v>7875</v>
      </c>
      <c r="F746" s="33"/>
      <c r="G746" s="89">
        <v>2.0</v>
      </c>
      <c r="H746" s="33"/>
      <c r="I746" s="33"/>
      <c r="J746" s="33"/>
      <c r="K746" s="33"/>
      <c r="L746" s="33"/>
      <c r="M746" s="33"/>
      <c r="N746" s="33"/>
      <c r="O746" s="33"/>
      <c r="P746" s="33"/>
      <c r="Q746" s="33"/>
      <c r="R746" s="33"/>
      <c r="S746" s="33"/>
      <c r="T746" s="33"/>
      <c r="U746" s="33"/>
      <c r="V746" s="33"/>
      <c r="W746" s="33"/>
      <c r="X746" s="33"/>
      <c r="Y746" s="33"/>
      <c r="Z746" s="33"/>
      <c r="AA746" s="33"/>
      <c r="AB746" s="33"/>
      <c r="AC746" s="33"/>
      <c r="AD746" s="33"/>
      <c r="AE746" s="33"/>
      <c r="AF746" s="33"/>
    </row>
    <row r="747" ht="15.75" customHeight="1">
      <c r="A747" s="308" t="s">
        <v>7856</v>
      </c>
      <c r="B747" s="89">
        <v>3.0</v>
      </c>
      <c r="C747" s="52" t="s">
        <v>7881</v>
      </c>
      <c r="D747" s="52" t="s">
        <v>7882</v>
      </c>
      <c r="E747" s="52" t="s">
        <v>7883</v>
      </c>
      <c r="F747" s="33"/>
      <c r="G747" s="89">
        <v>3.0</v>
      </c>
      <c r="H747" s="33"/>
      <c r="I747" s="33"/>
      <c r="J747" s="33"/>
      <c r="K747" s="33"/>
      <c r="L747" s="33"/>
      <c r="M747" s="33"/>
      <c r="N747" s="33"/>
      <c r="O747" s="33"/>
      <c r="P747" s="33"/>
      <c r="Q747" s="33"/>
      <c r="R747" s="33"/>
      <c r="S747" s="33"/>
      <c r="T747" s="33"/>
      <c r="U747" s="33"/>
      <c r="V747" s="33"/>
      <c r="W747" s="33"/>
      <c r="X747" s="33"/>
      <c r="Y747" s="33"/>
      <c r="Z747" s="33"/>
      <c r="AA747" s="33"/>
      <c r="AB747" s="33"/>
      <c r="AC747" s="33"/>
      <c r="AD747" s="33"/>
      <c r="AE747" s="33"/>
      <c r="AF747" s="33"/>
    </row>
    <row r="748" ht="15.75" customHeight="1">
      <c r="A748" s="308" t="s">
        <v>7856</v>
      </c>
      <c r="B748" s="89">
        <v>4.0</v>
      </c>
      <c r="C748" s="52" t="s">
        <v>7886</v>
      </c>
      <c r="D748" s="52" t="s">
        <v>7887</v>
      </c>
      <c r="E748" s="52" t="s">
        <v>7888</v>
      </c>
      <c r="F748" s="33"/>
      <c r="G748" s="89">
        <v>4.0</v>
      </c>
      <c r="H748" s="33"/>
      <c r="I748" s="33"/>
      <c r="J748" s="33"/>
      <c r="K748" s="33"/>
      <c r="L748" s="33"/>
      <c r="M748" s="33"/>
      <c r="N748" s="33"/>
      <c r="O748" s="33"/>
      <c r="P748" s="33"/>
      <c r="Q748" s="33"/>
      <c r="R748" s="33"/>
      <c r="S748" s="33"/>
      <c r="T748" s="33"/>
      <c r="U748" s="33"/>
      <c r="V748" s="33"/>
      <c r="W748" s="33"/>
      <c r="X748" s="33"/>
      <c r="Y748" s="33"/>
      <c r="Z748" s="33"/>
      <c r="AA748" s="33"/>
      <c r="AB748" s="33"/>
      <c r="AC748" s="33"/>
      <c r="AD748" s="33"/>
      <c r="AE748" s="33"/>
      <c r="AF748" s="33"/>
    </row>
    <row r="749" ht="15.75" customHeight="1">
      <c r="A749" s="308" t="s">
        <v>7856</v>
      </c>
      <c r="B749" s="89">
        <v>5.0</v>
      </c>
      <c r="C749" s="52" t="s">
        <v>7899</v>
      </c>
      <c r="D749" s="52" t="s">
        <v>7901</v>
      </c>
      <c r="E749" s="52" t="s">
        <v>7902</v>
      </c>
      <c r="F749" s="33"/>
      <c r="G749" s="89">
        <v>5.0</v>
      </c>
      <c r="H749" s="33"/>
      <c r="I749" s="33"/>
      <c r="J749" s="33"/>
      <c r="K749" s="33"/>
      <c r="L749" s="33"/>
      <c r="M749" s="33"/>
      <c r="N749" s="33"/>
      <c r="O749" s="33"/>
      <c r="P749" s="33"/>
      <c r="Q749" s="33"/>
      <c r="R749" s="33"/>
      <c r="S749" s="33"/>
      <c r="T749" s="33"/>
      <c r="U749" s="33"/>
      <c r="V749" s="33"/>
      <c r="W749" s="33"/>
      <c r="X749" s="33"/>
      <c r="Y749" s="33"/>
      <c r="Z749" s="33"/>
      <c r="AA749" s="33"/>
      <c r="AB749" s="33"/>
      <c r="AC749" s="33"/>
      <c r="AD749" s="33"/>
      <c r="AE749" s="33"/>
      <c r="AF749" s="33"/>
    </row>
    <row r="750" ht="15.75" customHeight="1">
      <c r="A750" s="308" t="s">
        <v>7856</v>
      </c>
      <c r="B750" s="89">
        <v>6.0</v>
      </c>
      <c r="C750" s="52" t="s">
        <v>7907</v>
      </c>
      <c r="D750" s="52" t="s">
        <v>7908</v>
      </c>
      <c r="E750" s="52" t="s">
        <v>7909</v>
      </c>
      <c r="F750" s="33"/>
      <c r="G750" s="89">
        <v>6.0</v>
      </c>
      <c r="H750" s="33"/>
      <c r="I750" s="33"/>
      <c r="J750" s="33"/>
      <c r="K750" s="33"/>
      <c r="L750" s="33"/>
      <c r="M750" s="33"/>
      <c r="N750" s="33"/>
      <c r="O750" s="33"/>
      <c r="P750" s="33"/>
      <c r="Q750" s="33"/>
      <c r="R750" s="33"/>
      <c r="S750" s="33"/>
      <c r="T750" s="33"/>
      <c r="U750" s="33"/>
      <c r="V750" s="33"/>
      <c r="W750" s="33"/>
      <c r="X750" s="33"/>
      <c r="Y750" s="33"/>
      <c r="Z750" s="33"/>
      <c r="AA750" s="33"/>
      <c r="AB750" s="33"/>
      <c r="AC750" s="33"/>
      <c r="AD750" s="33"/>
      <c r="AE750" s="33"/>
      <c r="AF750" s="33"/>
    </row>
    <row r="751" ht="15.75" customHeight="1">
      <c r="A751" s="308" t="s">
        <v>7856</v>
      </c>
      <c r="B751" s="89">
        <v>7.0</v>
      </c>
      <c r="C751" s="52" t="s">
        <v>7915</v>
      </c>
      <c r="D751" s="52" t="s">
        <v>7916</v>
      </c>
      <c r="E751" s="52" t="s">
        <v>7917</v>
      </c>
      <c r="F751" s="33"/>
      <c r="G751" s="89">
        <v>7.0</v>
      </c>
      <c r="H751" s="33"/>
      <c r="I751" s="33"/>
      <c r="J751" s="33"/>
      <c r="K751" s="33"/>
      <c r="L751" s="33"/>
      <c r="M751" s="33"/>
      <c r="N751" s="33"/>
      <c r="O751" s="33"/>
      <c r="P751" s="33"/>
      <c r="Q751" s="33"/>
      <c r="R751" s="33"/>
      <c r="S751" s="33"/>
      <c r="T751" s="33"/>
      <c r="U751" s="33"/>
      <c r="V751" s="33"/>
      <c r="W751" s="33"/>
      <c r="X751" s="33"/>
      <c r="Y751" s="33"/>
      <c r="Z751" s="33"/>
      <c r="AA751" s="33"/>
      <c r="AB751" s="33"/>
      <c r="AC751" s="33"/>
      <c r="AD751" s="33"/>
      <c r="AE751" s="33"/>
      <c r="AF751" s="33"/>
    </row>
    <row r="752" ht="15.75" customHeight="1">
      <c r="A752" s="308" t="s">
        <v>7856</v>
      </c>
      <c r="B752" s="89">
        <v>8.0</v>
      </c>
      <c r="C752" s="52" t="s">
        <v>7930</v>
      </c>
      <c r="D752" s="52" t="s">
        <v>7932</v>
      </c>
      <c r="E752" s="52" t="s">
        <v>7935</v>
      </c>
      <c r="F752" s="33"/>
      <c r="G752" s="89">
        <v>8.0</v>
      </c>
      <c r="H752" s="33"/>
      <c r="I752" s="33"/>
      <c r="J752" s="33"/>
      <c r="K752" s="33"/>
      <c r="L752" s="33"/>
      <c r="M752" s="33"/>
      <c r="N752" s="33"/>
      <c r="O752" s="33"/>
      <c r="P752" s="33"/>
      <c r="Q752" s="33"/>
      <c r="R752" s="33"/>
      <c r="S752" s="33"/>
      <c r="T752" s="33"/>
      <c r="U752" s="33"/>
      <c r="V752" s="33"/>
      <c r="W752" s="33"/>
      <c r="X752" s="33"/>
      <c r="Y752" s="33"/>
      <c r="Z752" s="33"/>
      <c r="AA752" s="33"/>
      <c r="AB752" s="33"/>
      <c r="AC752" s="33"/>
      <c r="AD752" s="33"/>
      <c r="AE752" s="33"/>
      <c r="AF752" s="33"/>
    </row>
    <row r="753" ht="15.75" customHeight="1">
      <c r="A753" s="308" t="s">
        <v>7856</v>
      </c>
      <c r="B753" s="89">
        <v>9.0</v>
      </c>
      <c r="C753" s="52" t="s">
        <v>7940</v>
      </c>
      <c r="D753" s="52" t="s">
        <v>7941</v>
      </c>
      <c r="E753" s="52" t="s">
        <v>7942</v>
      </c>
      <c r="F753" s="33"/>
      <c r="G753" s="89">
        <v>9.0</v>
      </c>
      <c r="H753" s="33"/>
      <c r="I753" s="33"/>
      <c r="J753" s="33"/>
      <c r="K753" s="33"/>
      <c r="L753" s="33"/>
      <c r="M753" s="33"/>
      <c r="N753" s="33"/>
      <c r="O753" s="33"/>
      <c r="P753" s="33"/>
      <c r="Q753" s="33"/>
      <c r="R753" s="33"/>
      <c r="S753" s="33"/>
      <c r="T753" s="33"/>
      <c r="U753" s="33"/>
      <c r="V753" s="33"/>
      <c r="W753" s="33"/>
      <c r="X753" s="33"/>
      <c r="Y753" s="33"/>
      <c r="Z753" s="33"/>
      <c r="AA753" s="33"/>
      <c r="AB753" s="33"/>
      <c r="AC753" s="33"/>
      <c r="AD753" s="33"/>
      <c r="AE753" s="33"/>
      <c r="AF753" s="33"/>
    </row>
    <row r="754" ht="15.75" customHeight="1">
      <c r="A754" s="308" t="s">
        <v>7856</v>
      </c>
      <c r="B754" s="89">
        <v>10.0</v>
      </c>
      <c r="C754" s="52" t="s">
        <v>7944</v>
      </c>
      <c r="D754" s="52" t="s">
        <v>7945</v>
      </c>
      <c r="E754" s="52" t="s">
        <v>7946</v>
      </c>
      <c r="F754" s="33"/>
      <c r="G754" s="89">
        <v>10.0</v>
      </c>
      <c r="H754" s="33"/>
      <c r="I754" s="33"/>
      <c r="J754" s="33"/>
      <c r="K754" s="33"/>
      <c r="L754" s="33"/>
      <c r="M754" s="33"/>
      <c r="N754" s="33"/>
      <c r="O754" s="33"/>
      <c r="P754" s="33"/>
      <c r="Q754" s="33"/>
      <c r="R754" s="33"/>
      <c r="S754" s="33"/>
      <c r="T754" s="33"/>
      <c r="U754" s="33"/>
      <c r="V754" s="33"/>
      <c r="W754" s="33"/>
      <c r="X754" s="33"/>
      <c r="Y754" s="33"/>
      <c r="Z754" s="33"/>
      <c r="AA754" s="33"/>
      <c r="AB754" s="33"/>
      <c r="AC754" s="33"/>
      <c r="AD754" s="33"/>
      <c r="AE754" s="33"/>
      <c r="AF754" s="33"/>
    </row>
    <row r="755" ht="15.75" customHeight="1">
      <c r="A755" s="308" t="s">
        <v>7856</v>
      </c>
      <c r="B755" s="89">
        <v>11.0</v>
      </c>
      <c r="C755" s="52" t="s">
        <v>7951</v>
      </c>
      <c r="D755" s="52" t="s">
        <v>7953</v>
      </c>
      <c r="E755" s="52" t="s">
        <v>7954</v>
      </c>
      <c r="F755" s="33"/>
      <c r="G755" s="89">
        <v>11.0</v>
      </c>
      <c r="H755" s="33"/>
      <c r="I755" s="33"/>
      <c r="J755" s="33"/>
      <c r="K755" s="33"/>
      <c r="L755" s="33"/>
      <c r="M755" s="33"/>
      <c r="N755" s="33"/>
      <c r="O755" s="33"/>
      <c r="P755" s="33"/>
      <c r="Q755" s="33"/>
      <c r="R755" s="33"/>
      <c r="S755" s="33"/>
      <c r="T755" s="33"/>
      <c r="U755" s="33"/>
      <c r="V755" s="33"/>
      <c r="W755" s="33"/>
      <c r="X755" s="33"/>
      <c r="Y755" s="33"/>
      <c r="Z755" s="33"/>
      <c r="AA755" s="33"/>
      <c r="AB755" s="33"/>
      <c r="AC755" s="33"/>
      <c r="AD755" s="33"/>
      <c r="AE755" s="33"/>
      <c r="AF755" s="33"/>
    </row>
    <row r="756" ht="15.75" customHeight="1">
      <c r="A756" s="308" t="s">
        <v>7856</v>
      </c>
      <c r="B756" s="89">
        <v>12.0</v>
      </c>
      <c r="C756" s="52" t="s">
        <v>7955</v>
      </c>
      <c r="D756" s="52" t="s">
        <v>7956</v>
      </c>
      <c r="E756" s="52" t="s">
        <v>7957</v>
      </c>
      <c r="F756" s="33"/>
      <c r="G756" s="89">
        <v>12.0</v>
      </c>
      <c r="H756" s="33"/>
      <c r="I756" s="33"/>
      <c r="J756" s="33"/>
      <c r="K756" s="33"/>
      <c r="L756" s="33"/>
      <c r="M756" s="33"/>
      <c r="N756" s="33"/>
      <c r="O756" s="33"/>
      <c r="P756" s="33"/>
      <c r="Q756" s="33"/>
      <c r="R756" s="33"/>
      <c r="S756" s="33"/>
      <c r="T756" s="33"/>
      <c r="U756" s="33"/>
      <c r="V756" s="33"/>
      <c r="W756" s="33"/>
      <c r="X756" s="33"/>
      <c r="Y756" s="33"/>
      <c r="Z756" s="33"/>
      <c r="AA756" s="33"/>
      <c r="AB756" s="33"/>
      <c r="AC756" s="33"/>
      <c r="AD756" s="33"/>
      <c r="AE756" s="33"/>
      <c r="AF756" s="33"/>
    </row>
    <row r="757" ht="15.75" customHeight="1">
      <c r="A757" s="308" t="s">
        <v>7856</v>
      </c>
      <c r="B757" s="89">
        <v>13.0</v>
      </c>
      <c r="C757" s="52" t="s">
        <v>7966</v>
      </c>
      <c r="D757" s="52" t="s">
        <v>7967</v>
      </c>
      <c r="E757" s="52" t="s">
        <v>7968</v>
      </c>
      <c r="F757" s="33"/>
      <c r="G757" s="89">
        <v>13.0</v>
      </c>
      <c r="H757" s="33"/>
      <c r="I757" s="33"/>
      <c r="J757" s="33"/>
      <c r="K757" s="33"/>
      <c r="L757" s="33"/>
      <c r="M757" s="33"/>
      <c r="N757" s="33"/>
      <c r="O757" s="33"/>
      <c r="P757" s="33"/>
      <c r="Q757" s="33"/>
      <c r="R757" s="33"/>
      <c r="S757" s="33"/>
      <c r="T757" s="33"/>
      <c r="U757" s="33"/>
      <c r="V757" s="33"/>
      <c r="W757" s="33"/>
      <c r="X757" s="33"/>
      <c r="Y757" s="33"/>
      <c r="Z757" s="33"/>
      <c r="AA757" s="33"/>
      <c r="AB757" s="33"/>
      <c r="AC757" s="33"/>
      <c r="AD757" s="33"/>
      <c r="AE757" s="33"/>
      <c r="AF757" s="33"/>
    </row>
    <row r="758" ht="15.75" customHeight="1">
      <c r="A758" s="308" t="s">
        <v>7856</v>
      </c>
      <c r="B758" s="89">
        <v>14.0</v>
      </c>
      <c r="C758" s="52" t="s">
        <v>7973</v>
      </c>
      <c r="D758" s="52" t="s">
        <v>7974</v>
      </c>
      <c r="E758" s="52" t="s">
        <v>7975</v>
      </c>
      <c r="F758" s="33"/>
      <c r="G758" s="89">
        <v>14.0</v>
      </c>
      <c r="H758" s="33"/>
      <c r="I758" s="33"/>
      <c r="J758" s="33"/>
      <c r="K758" s="33"/>
      <c r="L758" s="33"/>
      <c r="M758" s="33"/>
      <c r="N758" s="33"/>
      <c r="O758" s="33"/>
      <c r="P758" s="33"/>
      <c r="Q758" s="33"/>
      <c r="R758" s="33"/>
      <c r="S758" s="33"/>
      <c r="T758" s="33"/>
      <c r="U758" s="33"/>
      <c r="V758" s="33"/>
      <c r="W758" s="33"/>
      <c r="X758" s="33"/>
      <c r="Y758" s="33"/>
      <c r="Z758" s="33"/>
      <c r="AA758" s="33"/>
      <c r="AB758" s="33"/>
      <c r="AC758" s="33"/>
      <c r="AD758" s="33"/>
      <c r="AE758" s="33"/>
      <c r="AF758" s="33"/>
    </row>
    <row r="759" ht="15.75" customHeight="1">
      <c r="A759" s="308" t="s">
        <v>7856</v>
      </c>
      <c r="B759" s="89">
        <v>15.0</v>
      </c>
      <c r="C759" s="52" t="s">
        <v>7982</v>
      </c>
      <c r="D759" s="52" t="s">
        <v>7983</v>
      </c>
      <c r="E759" s="52" t="s">
        <v>7984</v>
      </c>
      <c r="F759" s="33"/>
      <c r="G759" s="89">
        <v>15.0</v>
      </c>
      <c r="H759" s="33"/>
      <c r="I759" s="33"/>
      <c r="J759" s="33"/>
      <c r="K759" s="33"/>
      <c r="L759" s="33"/>
      <c r="M759" s="33"/>
      <c r="N759" s="33"/>
      <c r="O759" s="33"/>
      <c r="P759" s="33"/>
      <c r="Q759" s="33"/>
      <c r="R759" s="33"/>
      <c r="S759" s="33"/>
      <c r="T759" s="33"/>
      <c r="U759" s="33"/>
      <c r="V759" s="33"/>
      <c r="W759" s="33"/>
      <c r="X759" s="33"/>
      <c r="Y759" s="33"/>
      <c r="Z759" s="33"/>
      <c r="AA759" s="33"/>
      <c r="AB759" s="33"/>
      <c r="AC759" s="33"/>
      <c r="AD759" s="33"/>
      <c r="AE759" s="33"/>
      <c r="AF759" s="33"/>
    </row>
    <row r="760" ht="15.75" customHeight="1">
      <c r="A760" s="308" t="s">
        <v>7856</v>
      </c>
      <c r="B760" s="89">
        <v>16.0</v>
      </c>
      <c r="C760" s="52" t="s">
        <v>7989</v>
      </c>
      <c r="D760" s="52" t="s">
        <v>7991</v>
      </c>
      <c r="E760" s="52" t="s">
        <v>7992</v>
      </c>
      <c r="F760" s="33"/>
      <c r="G760" s="89">
        <v>16.0</v>
      </c>
      <c r="H760" s="33"/>
      <c r="I760" s="33"/>
      <c r="J760" s="33"/>
      <c r="K760" s="33"/>
      <c r="L760" s="33"/>
      <c r="M760" s="33"/>
      <c r="N760" s="33"/>
      <c r="O760" s="33"/>
      <c r="P760" s="33"/>
      <c r="Q760" s="33"/>
      <c r="R760" s="33"/>
      <c r="S760" s="33"/>
      <c r="T760" s="33"/>
      <c r="U760" s="33"/>
      <c r="V760" s="33"/>
      <c r="W760" s="33"/>
      <c r="X760" s="33"/>
      <c r="Y760" s="33"/>
      <c r="Z760" s="33"/>
      <c r="AA760" s="33"/>
      <c r="AB760" s="33"/>
      <c r="AC760" s="33"/>
      <c r="AD760" s="33"/>
      <c r="AE760" s="33"/>
      <c r="AF760" s="33"/>
    </row>
    <row r="761" ht="15.75" customHeight="1">
      <c r="A761" s="308" t="s">
        <v>7856</v>
      </c>
      <c r="B761" s="89">
        <v>17.0</v>
      </c>
      <c r="C761" s="52" t="s">
        <v>7996</v>
      </c>
      <c r="D761" s="52" t="s">
        <v>7997</v>
      </c>
      <c r="E761" s="52" t="s">
        <v>7998</v>
      </c>
      <c r="F761" s="33"/>
      <c r="G761" s="89">
        <v>17.0</v>
      </c>
      <c r="H761" s="33"/>
      <c r="I761" s="33"/>
      <c r="J761" s="33"/>
      <c r="K761" s="33"/>
      <c r="L761" s="33"/>
      <c r="M761" s="33"/>
      <c r="N761" s="33"/>
      <c r="O761" s="33"/>
      <c r="P761" s="33"/>
      <c r="Q761" s="33"/>
      <c r="R761" s="33"/>
      <c r="S761" s="33"/>
      <c r="T761" s="33"/>
      <c r="U761" s="33"/>
      <c r="V761" s="33"/>
      <c r="W761" s="33"/>
      <c r="X761" s="33"/>
      <c r="Y761" s="33"/>
      <c r="Z761" s="33"/>
      <c r="AA761" s="33"/>
      <c r="AB761" s="33"/>
      <c r="AC761" s="33"/>
      <c r="AD761" s="33"/>
      <c r="AE761" s="33"/>
      <c r="AF761" s="33"/>
    </row>
    <row r="762" ht="15.75" customHeight="1">
      <c r="A762" s="308" t="s">
        <v>7856</v>
      </c>
      <c r="B762" s="89">
        <v>18.0</v>
      </c>
      <c r="C762" s="52" t="s">
        <v>8009</v>
      </c>
      <c r="D762" s="52" t="s">
        <v>8010</v>
      </c>
      <c r="E762" s="52" t="s">
        <v>8011</v>
      </c>
      <c r="F762" s="33"/>
      <c r="G762" s="89">
        <v>18.0</v>
      </c>
      <c r="H762" s="33"/>
      <c r="I762" s="33"/>
      <c r="J762" s="33"/>
      <c r="K762" s="33"/>
      <c r="L762" s="33"/>
      <c r="M762" s="33"/>
      <c r="N762" s="33"/>
      <c r="O762" s="33"/>
      <c r="P762" s="33"/>
      <c r="Q762" s="33"/>
      <c r="R762" s="33"/>
      <c r="S762" s="33"/>
      <c r="T762" s="33"/>
      <c r="U762" s="33"/>
      <c r="V762" s="33"/>
      <c r="W762" s="33"/>
      <c r="X762" s="33"/>
      <c r="Y762" s="33"/>
      <c r="Z762" s="33"/>
      <c r="AA762" s="33"/>
      <c r="AB762" s="33"/>
      <c r="AC762" s="33"/>
      <c r="AD762" s="33"/>
      <c r="AE762" s="33"/>
      <c r="AF762" s="33"/>
    </row>
    <row r="763" ht="15.75" customHeight="1">
      <c r="A763" s="308" t="s">
        <v>7856</v>
      </c>
      <c r="B763" s="89">
        <v>19.0</v>
      </c>
      <c r="C763" s="52" t="s">
        <v>8017</v>
      </c>
      <c r="D763" s="52" t="s">
        <v>8018</v>
      </c>
      <c r="E763" s="52" t="s">
        <v>8019</v>
      </c>
      <c r="F763" s="33"/>
      <c r="G763" s="89">
        <v>19.0</v>
      </c>
      <c r="H763" s="33"/>
      <c r="I763" s="33"/>
      <c r="J763" s="33"/>
      <c r="K763" s="33"/>
      <c r="L763" s="33"/>
      <c r="M763" s="33"/>
      <c r="N763" s="33"/>
      <c r="O763" s="33"/>
      <c r="P763" s="33"/>
      <c r="Q763" s="33"/>
      <c r="R763" s="33"/>
      <c r="S763" s="33"/>
      <c r="T763" s="33"/>
      <c r="U763" s="33"/>
      <c r="V763" s="33"/>
      <c r="W763" s="33"/>
      <c r="X763" s="33"/>
      <c r="Y763" s="33"/>
      <c r="Z763" s="33"/>
      <c r="AA763" s="33"/>
      <c r="AB763" s="33"/>
      <c r="AC763" s="33"/>
      <c r="AD763" s="33"/>
      <c r="AE763" s="33"/>
      <c r="AF763" s="33"/>
    </row>
    <row r="764" ht="15.75" customHeight="1">
      <c r="A764" s="308" t="s">
        <v>7856</v>
      </c>
      <c r="B764" s="89">
        <v>20.0</v>
      </c>
      <c r="C764" s="52" t="s">
        <v>8029</v>
      </c>
      <c r="D764" s="52" t="s">
        <v>8030</v>
      </c>
      <c r="E764" s="52" t="s">
        <v>8031</v>
      </c>
      <c r="F764" s="33"/>
      <c r="G764" s="89">
        <v>20.0</v>
      </c>
      <c r="H764" s="33"/>
      <c r="I764" s="33"/>
      <c r="J764" s="33"/>
      <c r="K764" s="33"/>
      <c r="L764" s="33"/>
      <c r="M764" s="33"/>
      <c r="N764" s="33"/>
      <c r="O764" s="33"/>
      <c r="P764" s="33"/>
      <c r="Q764" s="33"/>
      <c r="R764" s="33"/>
      <c r="S764" s="33"/>
      <c r="T764" s="33"/>
      <c r="U764" s="33"/>
      <c r="V764" s="33"/>
      <c r="W764" s="33"/>
      <c r="X764" s="33"/>
      <c r="Y764" s="33"/>
      <c r="Z764" s="33"/>
      <c r="AA764" s="33"/>
      <c r="AB764" s="33"/>
      <c r="AC764" s="33"/>
      <c r="AD764" s="33"/>
      <c r="AE764" s="33"/>
      <c r="AF764" s="33"/>
    </row>
    <row r="765" ht="15.75" customHeight="1">
      <c r="A765" s="308" t="s">
        <v>7856</v>
      </c>
      <c r="B765" s="89">
        <v>-777.0</v>
      </c>
      <c r="C765" s="308" t="s">
        <v>8036</v>
      </c>
      <c r="D765" s="308" t="s">
        <v>8037</v>
      </c>
      <c r="E765" s="308" t="s">
        <v>8038</v>
      </c>
      <c r="F765" s="33"/>
      <c r="G765" s="52">
        <v>-777.0</v>
      </c>
      <c r="H765" s="33"/>
      <c r="I765" s="33"/>
      <c r="J765" s="309"/>
      <c r="K765" s="33"/>
      <c r="L765" s="33"/>
      <c r="M765" s="33"/>
      <c r="N765" s="33"/>
      <c r="O765" s="33"/>
      <c r="P765" s="33"/>
      <c r="Q765" s="33"/>
      <c r="R765" s="33"/>
      <c r="S765" s="33"/>
      <c r="T765" s="33"/>
      <c r="U765" s="33"/>
      <c r="V765" s="33"/>
      <c r="W765" s="33"/>
      <c r="X765" s="33"/>
      <c r="Y765" s="33"/>
      <c r="Z765" s="33"/>
      <c r="AA765" s="33"/>
      <c r="AB765" s="33"/>
      <c r="AC765" s="33"/>
      <c r="AD765" s="33"/>
      <c r="AE765" s="33"/>
      <c r="AF765" s="33"/>
    </row>
    <row r="766" ht="15.75" customHeight="1">
      <c r="A766" s="100"/>
      <c r="B766" s="102"/>
      <c r="C766" s="100"/>
      <c r="D766" s="100"/>
      <c r="E766" s="165"/>
      <c r="F766" s="33"/>
      <c r="G766" s="33"/>
      <c r="H766" s="33"/>
      <c r="I766" s="33"/>
      <c r="J766" s="310"/>
      <c r="K766" s="33"/>
      <c r="L766" s="33"/>
      <c r="M766" s="33"/>
      <c r="N766" s="33"/>
      <c r="O766" s="33"/>
      <c r="P766" s="33"/>
      <c r="Q766" s="33"/>
      <c r="R766" s="33"/>
      <c r="S766" s="33"/>
      <c r="T766" s="33"/>
      <c r="U766" s="33"/>
      <c r="V766" s="33"/>
      <c r="W766" s="33"/>
      <c r="X766" s="33"/>
      <c r="Y766" s="33"/>
      <c r="Z766" s="33"/>
      <c r="AA766" s="33"/>
      <c r="AB766" s="33"/>
      <c r="AC766" s="33"/>
      <c r="AD766" s="33"/>
      <c r="AE766" s="33"/>
      <c r="AF766" s="33"/>
    </row>
    <row r="767" ht="15.75" customHeight="1">
      <c r="A767" s="105" t="s">
        <v>8056</v>
      </c>
      <c r="B767" s="89">
        <v>1.0</v>
      </c>
      <c r="C767" s="52" t="s">
        <v>8057</v>
      </c>
      <c r="D767" s="52" t="s">
        <v>8059</v>
      </c>
      <c r="E767" s="52" t="s">
        <v>8062</v>
      </c>
      <c r="F767" s="33"/>
      <c r="G767" s="89">
        <v>1.0</v>
      </c>
      <c r="H767" s="33"/>
      <c r="I767" s="33"/>
      <c r="J767" s="33"/>
      <c r="K767" s="33"/>
      <c r="L767" s="33"/>
      <c r="M767" s="33"/>
      <c r="N767" s="33"/>
      <c r="O767" s="33"/>
      <c r="P767" s="33"/>
      <c r="Q767" s="33"/>
      <c r="R767" s="33"/>
      <c r="S767" s="33"/>
      <c r="T767" s="33"/>
      <c r="U767" s="33"/>
      <c r="V767" s="33"/>
      <c r="W767" s="33"/>
      <c r="X767" s="33"/>
      <c r="Y767" s="33"/>
      <c r="Z767" s="33"/>
      <c r="AA767" s="33"/>
      <c r="AB767" s="33"/>
      <c r="AC767" s="33"/>
      <c r="AD767" s="33"/>
      <c r="AE767" s="33"/>
      <c r="AF767" s="33"/>
    </row>
    <row r="768" ht="15.75" customHeight="1">
      <c r="A768" s="105" t="s">
        <v>8056</v>
      </c>
      <c r="B768" s="89">
        <v>2.0</v>
      </c>
      <c r="C768" s="52" t="s">
        <v>8075</v>
      </c>
      <c r="D768" s="52" t="s">
        <v>8076</v>
      </c>
      <c r="E768" s="52" t="s">
        <v>8077</v>
      </c>
      <c r="F768" s="33"/>
      <c r="G768" s="89">
        <v>2.0</v>
      </c>
      <c r="H768" s="33"/>
      <c r="I768" s="33"/>
      <c r="J768" s="33"/>
      <c r="K768" s="33"/>
      <c r="L768" s="33"/>
      <c r="M768" s="33"/>
      <c r="N768" s="33"/>
      <c r="O768" s="33"/>
      <c r="P768" s="33"/>
      <c r="Q768" s="33"/>
      <c r="R768" s="33"/>
      <c r="S768" s="33"/>
      <c r="T768" s="33"/>
      <c r="U768" s="33"/>
      <c r="V768" s="33"/>
      <c r="W768" s="33"/>
      <c r="X768" s="33"/>
      <c r="Y768" s="33"/>
      <c r="Z768" s="33"/>
      <c r="AA768" s="33"/>
      <c r="AB768" s="33"/>
      <c r="AC768" s="33"/>
      <c r="AD768" s="33"/>
      <c r="AE768" s="33"/>
      <c r="AF768" s="33"/>
    </row>
    <row r="769" ht="15.75" customHeight="1">
      <c r="A769" s="105" t="s">
        <v>8056</v>
      </c>
      <c r="B769" s="89">
        <v>3.0</v>
      </c>
      <c r="C769" s="52" t="s">
        <v>8170</v>
      </c>
      <c r="D769" s="52" t="s">
        <v>8174</v>
      </c>
      <c r="E769" s="52" t="s">
        <v>8175</v>
      </c>
      <c r="F769" s="33"/>
      <c r="G769" s="89">
        <v>3.0</v>
      </c>
      <c r="H769" s="33"/>
      <c r="I769" s="33"/>
      <c r="J769" s="33"/>
      <c r="K769" s="33"/>
      <c r="L769" s="33"/>
      <c r="M769" s="33"/>
      <c r="N769" s="33"/>
      <c r="O769" s="33"/>
      <c r="P769" s="33"/>
      <c r="Q769" s="33"/>
      <c r="R769" s="33"/>
      <c r="S769" s="33"/>
      <c r="T769" s="33"/>
      <c r="U769" s="33"/>
      <c r="V769" s="33"/>
      <c r="W769" s="33"/>
      <c r="X769" s="33"/>
      <c r="Y769" s="33"/>
      <c r="Z769" s="33"/>
      <c r="AA769" s="33"/>
      <c r="AB769" s="33"/>
      <c r="AC769" s="33"/>
      <c r="AD769" s="33"/>
      <c r="AE769" s="33"/>
      <c r="AF769" s="33"/>
    </row>
    <row r="770" ht="15.75" customHeight="1">
      <c r="A770" s="105" t="s">
        <v>8056</v>
      </c>
      <c r="B770" s="89">
        <v>4.0</v>
      </c>
      <c r="C770" s="52" t="s">
        <v>8191</v>
      </c>
      <c r="D770" s="52" t="s">
        <v>8192</v>
      </c>
      <c r="E770" s="52" t="s">
        <v>8193</v>
      </c>
      <c r="F770" s="33"/>
      <c r="G770" s="89">
        <v>4.0</v>
      </c>
      <c r="H770" s="33"/>
      <c r="I770" s="33"/>
      <c r="J770" s="33"/>
      <c r="K770" s="33"/>
      <c r="L770" s="33"/>
      <c r="M770" s="33"/>
      <c r="N770" s="33"/>
      <c r="O770" s="33"/>
      <c r="P770" s="33"/>
      <c r="Q770" s="33"/>
      <c r="R770" s="33"/>
      <c r="S770" s="33"/>
      <c r="T770" s="33"/>
      <c r="U770" s="33"/>
      <c r="V770" s="33"/>
      <c r="W770" s="33"/>
      <c r="X770" s="33"/>
      <c r="Y770" s="33"/>
      <c r="Z770" s="33"/>
      <c r="AA770" s="33"/>
      <c r="AB770" s="33"/>
      <c r="AC770" s="33"/>
      <c r="AD770" s="33"/>
      <c r="AE770" s="33"/>
      <c r="AF770" s="33"/>
    </row>
    <row r="771" ht="15.75" customHeight="1">
      <c r="A771" s="105" t="s">
        <v>8056</v>
      </c>
      <c r="B771" s="89">
        <v>5.0</v>
      </c>
      <c r="C771" s="52" t="s">
        <v>8201</v>
      </c>
      <c r="D771" s="52" t="s">
        <v>8202</v>
      </c>
      <c r="E771" s="52" t="s">
        <v>8203</v>
      </c>
      <c r="F771" s="33"/>
      <c r="G771" s="89">
        <v>5.0</v>
      </c>
      <c r="H771" s="33"/>
      <c r="I771" s="33"/>
      <c r="J771" s="33"/>
      <c r="K771" s="33"/>
      <c r="L771" s="33"/>
      <c r="M771" s="33"/>
      <c r="N771" s="33"/>
      <c r="O771" s="33"/>
      <c r="P771" s="33"/>
      <c r="Q771" s="33"/>
      <c r="R771" s="33"/>
      <c r="S771" s="33"/>
      <c r="T771" s="33"/>
      <c r="U771" s="33"/>
      <c r="V771" s="33"/>
      <c r="W771" s="33"/>
      <c r="X771" s="33"/>
      <c r="Y771" s="33"/>
      <c r="Z771" s="33"/>
      <c r="AA771" s="33"/>
      <c r="AB771" s="33"/>
      <c r="AC771" s="33"/>
      <c r="AD771" s="33"/>
      <c r="AE771" s="33"/>
      <c r="AF771" s="33"/>
    </row>
    <row r="772" ht="15.75" customHeight="1">
      <c r="A772" s="105" t="s">
        <v>8056</v>
      </c>
      <c r="B772" s="89">
        <v>6.0</v>
      </c>
      <c r="C772" s="52" t="s">
        <v>8213</v>
      </c>
      <c r="D772" s="52" t="s">
        <v>8214</v>
      </c>
      <c r="E772" s="52" t="s">
        <v>8215</v>
      </c>
      <c r="F772" s="33"/>
      <c r="G772" s="89">
        <v>6.0</v>
      </c>
      <c r="H772" s="33"/>
      <c r="I772" s="33"/>
      <c r="J772" s="33"/>
      <c r="K772" s="33"/>
      <c r="L772" s="33"/>
      <c r="M772" s="33"/>
      <c r="N772" s="33"/>
      <c r="O772" s="33"/>
      <c r="P772" s="33"/>
      <c r="Q772" s="33"/>
      <c r="R772" s="33"/>
      <c r="S772" s="33"/>
      <c r="T772" s="33"/>
      <c r="U772" s="33"/>
      <c r="V772" s="33"/>
      <c r="W772" s="33"/>
      <c r="X772" s="33"/>
      <c r="Y772" s="33"/>
      <c r="Z772" s="33"/>
      <c r="AA772" s="33"/>
      <c r="AB772" s="33"/>
      <c r="AC772" s="33"/>
      <c r="AD772" s="33"/>
      <c r="AE772" s="33"/>
      <c r="AF772" s="33"/>
    </row>
    <row r="773" ht="15.75" customHeight="1">
      <c r="A773" s="105" t="s">
        <v>8056</v>
      </c>
      <c r="B773" s="89">
        <v>7.0</v>
      </c>
      <c r="C773" s="52" t="s">
        <v>8222</v>
      </c>
      <c r="D773" s="52" t="s">
        <v>8224</v>
      </c>
      <c r="E773" s="52" t="s">
        <v>8226</v>
      </c>
      <c r="F773" s="33"/>
      <c r="G773" s="89">
        <v>7.0</v>
      </c>
      <c r="H773" s="33"/>
      <c r="I773" s="33"/>
      <c r="J773" s="33"/>
      <c r="K773" s="33"/>
      <c r="L773" s="33"/>
      <c r="M773" s="33"/>
      <c r="N773" s="33"/>
      <c r="O773" s="33"/>
      <c r="P773" s="33"/>
      <c r="Q773" s="33"/>
      <c r="R773" s="33"/>
      <c r="S773" s="33"/>
      <c r="T773" s="33"/>
      <c r="U773" s="33"/>
      <c r="V773" s="33"/>
      <c r="W773" s="33"/>
      <c r="X773" s="33"/>
      <c r="Y773" s="33"/>
      <c r="Z773" s="33"/>
      <c r="AA773" s="33"/>
      <c r="AB773" s="33"/>
      <c r="AC773" s="33"/>
      <c r="AD773" s="33"/>
      <c r="AE773" s="33"/>
      <c r="AF773" s="33"/>
    </row>
    <row r="774" ht="15.75" customHeight="1">
      <c r="A774" s="105" t="s">
        <v>8056</v>
      </c>
      <c r="B774" s="89">
        <v>8.0</v>
      </c>
      <c r="C774" s="52" t="s">
        <v>8241</v>
      </c>
      <c r="D774" s="52" t="s">
        <v>8243</v>
      </c>
      <c r="E774" s="52" t="s">
        <v>8245</v>
      </c>
      <c r="F774" s="33"/>
      <c r="G774" s="89">
        <v>8.0</v>
      </c>
      <c r="H774" s="33"/>
      <c r="I774" s="33"/>
      <c r="J774" s="33"/>
      <c r="K774" s="33"/>
      <c r="L774" s="33"/>
      <c r="M774" s="33"/>
      <c r="N774" s="33"/>
      <c r="O774" s="33"/>
      <c r="P774" s="33"/>
      <c r="Q774" s="33"/>
      <c r="R774" s="33"/>
      <c r="S774" s="33"/>
      <c r="T774" s="33"/>
      <c r="U774" s="33"/>
      <c r="V774" s="33"/>
      <c r="W774" s="33"/>
      <c r="X774" s="33"/>
      <c r="Y774" s="33"/>
      <c r="Z774" s="33"/>
      <c r="AA774" s="33"/>
      <c r="AB774" s="33"/>
      <c r="AC774" s="33"/>
      <c r="AD774" s="33"/>
      <c r="AE774" s="33"/>
      <c r="AF774" s="33"/>
    </row>
    <row r="775" ht="15.75" customHeight="1">
      <c r="A775" s="105" t="s">
        <v>8056</v>
      </c>
      <c r="B775" s="89">
        <v>9.0</v>
      </c>
      <c r="C775" s="52" t="s">
        <v>8255</v>
      </c>
      <c r="D775" s="52" t="s">
        <v>8256</v>
      </c>
      <c r="E775" s="52" t="s">
        <v>8257</v>
      </c>
      <c r="F775" s="33"/>
      <c r="G775" s="89">
        <v>9.0</v>
      </c>
      <c r="H775" s="33"/>
      <c r="I775" s="33"/>
      <c r="J775" s="33"/>
      <c r="K775" s="33"/>
      <c r="L775" s="33"/>
      <c r="M775" s="33"/>
      <c r="N775" s="33"/>
      <c r="O775" s="33"/>
      <c r="P775" s="33"/>
      <c r="Q775" s="33"/>
      <c r="R775" s="33"/>
      <c r="S775" s="33"/>
      <c r="T775" s="33"/>
      <c r="U775" s="33"/>
      <c r="V775" s="33"/>
      <c r="W775" s="33"/>
      <c r="X775" s="33"/>
      <c r="Y775" s="33"/>
      <c r="Z775" s="33"/>
      <c r="AA775" s="33"/>
      <c r="AB775" s="33"/>
      <c r="AC775" s="33"/>
      <c r="AD775" s="33"/>
      <c r="AE775" s="33"/>
      <c r="AF775" s="33"/>
    </row>
    <row r="776" ht="15.75" customHeight="1">
      <c r="A776" s="105" t="s">
        <v>8056</v>
      </c>
      <c r="B776" s="89">
        <v>10.0</v>
      </c>
      <c r="C776" s="52" t="s">
        <v>8268</v>
      </c>
      <c r="D776" s="52" t="s">
        <v>8269</v>
      </c>
      <c r="E776" s="52" t="s">
        <v>8270</v>
      </c>
      <c r="F776" s="33"/>
      <c r="G776" s="89">
        <v>10.0</v>
      </c>
      <c r="H776" s="33"/>
      <c r="I776" s="33"/>
      <c r="J776" s="33"/>
      <c r="K776" s="33"/>
      <c r="L776" s="33"/>
      <c r="M776" s="33"/>
      <c r="N776" s="33"/>
      <c r="O776" s="33"/>
      <c r="P776" s="33"/>
      <c r="Q776" s="33"/>
      <c r="R776" s="33"/>
      <c r="S776" s="33"/>
      <c r="T776" s="33"/>
      <c r="U776" s="33"/>
      <c r="V776" s="33"/>
      <c r="W776" s="33"/>
      <c r="X776" s="33"/>
      <c r="Y776" s="33"/>
      <c r="Z776" s="33"/>
      <c r="AA776" s="33"/>
      <c r="AB776" s="33"/>
      <c r="AC776" s="33"/>
      <c r="AD776" s="33"/>
      <c r="AE776" s="33"/>
      <c r="AF776" s="33"/>
    </row>
    <row r="777" ht="15.75" customHeight="1">
      <c r="A777" s="105" t="s">
        <v>8056</v>
      </c>
      <c r="B777" s="89">
        <v>11.0</v>
      </c>
      <c r="C777" s="52" t="s">
        <v>8286</v>
      </c>
      <c r="D777" s="52" t="s">
        <v>8287</v>
      </c>
      <c r="E777" s="52" t="s">
        <v>8288</v>
      </c>
      <c r="F777" s="33"/>
      <c r="G777" s="89">
        <v>11.0</v>
      </c>
      <c r="H777" s="33"/>
      <c r="I777" s="33"/>
      <c r="J777" s="33"/>
      <c r="K777" s="33"/>
      <c r="L777" s="33"/>
      <c r="M777" s="33"/>
      <c r="N777" s="33"/>
      <c r="O777" s="33"/>
      <c r="P777" s="33"/>
      <c r="Q777" s="33"/>
      <c r="R777" s="33"/>
      <c r="S777" s="33"/>
      <c r="T777" s="33"/>
      <c r="U777" s="33"/>
      <c r="V777" s="33"/>
      <c r="W777" s="33"/>
      <c r="X777" s="33"/>
      <c r="Y777" s="33"/>
      <c r="Z777" s="33"/>
      <c r="AA777" s="33"/>
      <c r="AB777" s="33"/>
      <c r="AC777" s="33"/>
      <c r="AD777" s="33"/>
      <c r="AE777" s="33"/>
      <c r="AF777" s="33"/>
    </row>
    <row r="778" ht="15.75" customHeight="1">
      <c r="A778" s="105" t="s">
        <v>8056</v>
      </c>
      <c r="B778" s="89">
        <v>12.0</v>
      </c>
      <c r="C778" s="52" t="s">
        <v>8292</v>
      </c>
      <c r="D778" s="52" t="s">
        <v>8293</v>
      </c>
      <c r="E778" s="52" t="s">
        <v>8294</v>
      </c>
      <c r="F778" s="33"/>
      <c r="G778" s="89">
        <v>12.0</v>
      </c>
      <c r="H778" s="33"/>
      <c r="I778" s="33"/>
      <c r="J778" s="33"/>
      <c r="K778" s="33"/>
      <c r="L778" s="33"/>
      <c r="M778" s="33"/>
      <c r="N778" s="33"/>
      <c r="O778" s="33"/>
      <c r="P778" s="33"/>
      <c r="Q778" s="33"/>
      <c r="R778" s="33"/>
      <c r="S778" s="33"/>
      <c r="T778" s="33"/>
      <c r="U778" s="33"/>
      <c r="V778" s="33"/>
      <c r="W778" s="33"/>
      <c r="X778" s="33"/>
      <c r="Y778" s="33"/>
      <c r="Z778" s="33"/>
      <c r="AA778" s="33"/>
      <c r="AB778" s="33"/>
      <c r="AC778" s="33"/>
      <c r="AD778" s="33"/>
      <c r="AE778" s="33"/>
      <c r="AF778" s="33"/>
    </row>
    <row r="779" ht="15.75" customHeight="1">
      <c r="A779" s="105" t="s">
        <v>8056</v>
      </c>
      <c r="B779" s="89">
        <v>13.0</v>
      </c>
      <c r="C779" s="52" t="s">
        <v>8298</v>
      </c>
      <c r="D779" s="52" t="s">
        <v>8299</v>
      </c>
      <c r="E779" s="52" t="s">
        <v>8300</v>
      </c>
      <c r="F779" s="33"/>
      <c r="G779" s="89">
        <v>13.0</v>
      </c>
      <c r="H779" s="33"/>
      <c r="I779" s="33"/>
      <c r="J779" s="33"/>
      <c r="K779" s="33"/>
      <c r="L779" s="33"/>
      <c r="M779" s="33"/>
      <c r="N779" s="33"/>
      <c r="O779" s="33"/>
      <c r="P779" s="33"/>
      <c r="Q779" s="33"/>
      <c r="R779" s="33"/>
      <c r="S779" s="33"/>
      <c r="T779" s="33"/>
      <c r="U779" s="33"/>
      <c r="V779" s="33"/>
      <c r="W779" s="33"/>
      <c r="X779" s="33"/>
      <c r="Y779" s="33"/>
      <c r="Z779" s="33"/>
      <c r="AA779" s="33"/>
      <c r="AB779" s="33"/>
      <c r="AC779" s="33"/>
      <c r="AD779" s="33"/>
      <c r="AE779" s="33"/>
      <c r="AF779" s="33"/>
    </row>
    <row r="780" ht="15.75" customHeight="1">
      <c r="A780" s="105" t="s">
        <v>8056</v>
      </c>
      <c r="B780" s="89">
        <v>14.0</v>
      </c>
      <c r="C780" s="52" t="s">
        <v>8315</v>
      </c>
      <c r="D780" s="52" t="s">
        <v>8316</v>
      </c>
      <c r="E780" s="52" t="s">
        <v>8318</v>
      </c>
      <c r="F780" s="33"/>
      <c r="G780" s="89">
        <v>14.0</v>
      </c>
      <c r="H780" s="33"/>
      <c r="I780" s="33"/>
      <c r="J780" s="33"/>
      <c r="K780" s="33"/>
      <c r="L780" s="33"/>
      <c r="M780" s="33"/>
      <c r="N780" s="33"/>
      <c r="O780" s="33"/>
      <c r="P780" s="33"/>
      <c r="Q780" s="33"/>
      <c r="R780" s="33"/>
      <c r="S780" s="33"/>
      <c r="T780" s="33"/>
      <c r="U780" s="33"/>
      <c r="V780" s="33"/>
      <c r="W780" s="33"/>
      <c r="X780" s="33"/>
      <c r="Y780" s="33"/>
      <c r="Z780" s="33"/>
      <c r="AA780" s="33"/>
      <c r="AB780" s="33"/>
      <c r="AC780" s="33"/>
      <c r="AD780" s="33"/>
      <c r="AE780" s="33"/>
      <c r="AF780" s="33"/>
    </row>
    <row r="781" ht="15.75" customHeight="1">
      <c r="A781" s="105" t="s">
        <v>8056</v>
      </c>
      <c r="B781" s="89">
        <v>15.0</v>
      </c>
      <c r="C781" s="52" t="s">
        <v>8332</v>
      </c>
      <c r="D781" s="52" t="s">
        <v>8334</v>
      </c>
      <c r="E781" s="52" t="s">
        <v>8335</v>
      </c>
      <c r="F781" s="33"/>
      <c r="G781" s="89">
        <v>15.0</v>
      </c>
      <c r="H781" s="33"/>
      <c r="I781" s="33"/>
      <c r="J781" s="33"/>
      <c r="K781" s="33"/>
      <c r="L781" s="33"/>
      <c r="M781" s="33"/>
      <c r="N781" s="33"/>
      <c r="O781" s="33"/>
      <c r="P781" s="33"/>
      <c r="Q781" s="33"/>
      <c r="R781" s="33"/>
      <c r="S781" s="33"/>
      <c r="T781" s="33"/>
      <c r="U781" s="33"/>
      <c r="V781" s="33"/>
      <c r="W781" s="33"/>
      <c r="X781" s="33"/>
      <c r="Y781" s="33"/>
      <c r="Z781" s="33"/>
      <c r="AA781" s="33"/>
      <c r="AB781" s="33"/>
      <c r="AC781" s="33"/>
      <c r="AD781" s="33"/>
      <c r="AE781" s="33"/>
      <c r="AF781" s="33"/>
    </row>
    <row r="782" ht="15.75" customHeight="1">
      <c r="A782" s="105" t="s">
        <v>8056</v>
      </c>
      <c r="B782" s="89">
        <v>16.0</v>
      </c>
      <c r="C782" s="52" t="s">
        <v>8338</v>
      </c>
      <c r="D782" s="52" t="s">
        <v>8339</v>
      </c>
      <c r="E782" s="52" t="s">
        <v>8341</v>
      </c>
      <c r="F782" s="33"/>
      <c r="G782" s="89">
        <v>16.0</v>
      </c>
      <c r="H782" s="33"/>
      <c r="I782" s="33"/>
      <c r="J782" s="33"/>
      <c r="K782" s="33"/>
      <c r="L782" s="33"/>
      <c r="M782" s="33"/>
      <c r="N782" s="33"/>
      <c r="O782" s="33"/>
      <c r="P782" s="33"/>
      <c r="Q782" s="33"/>
      <c r="R782" s="33"/>
      <c r="S782" s="33"/>
      <c r="T782" s="33"/>
      <c r="U782" s="33"/>
      <c r="V782" s="33"/>
      <c r="W782" s="33"/>
      <c r="X782" s="33"/>
      <c r="Y782" s="33"/>
      <c r="Z782" s="33"/>
      <c r="AA782" s="33"/>
      <c r="AB782" s="33"/>
      <c r="AC782" s="33"/>
      <c r="AD782" s="33"/>
      <c r="AE782" s="33"/>
      <c r="AF782" s="33"/>
    </row>
    <row r="783" ht="15.75" customHeight="1">
      <c r="A783" s="105" t="s">
        <v>8056</v>
      </c>
      <c r="B783" s="89">
        <v>17.0</v>
      </c>
      <c r="C783" s="52" t="s">
        <v>8349</v>
      </c>
      <c r="D783" s="52" t="s">
        <v>8350</v>
      </c>
      <c r="E783" s="52" t="s">
        <v>8351</v>
      </c>
      <c r="F783" s="33"/>
      <c r="G783" s="89">
        <v>17.0</v>
      </c>
      <c r="H783" s="33"/>
      <c r="I783" s="33"/>
      <c r="J783" s="33"/>
      <c r="K783" s="33"/>
      <c r="L783" s="33"/>
      <c r="M783" s="33"/>
      <c r="N783" s="33"/>
      <c r="O783" s="33"/>
      <c r="P783" s="33"/>
      <c r="Q783" s="33"/>
      <c r="R783" s="33"/>
      <c r="S783" s="33"/>
      <c r="T783" s="33"/>
      <c r="U783" s="33"/>
      <c r="V783" s="33"/>
      <c r="W783" s="33"/>
      <c r="X783" s="33"/>
      <c r="Y783" s="33"/>
      <c r="Z783" s="33"/>
      <c r="AA783" s="33"/>
      <c r="AB783" s="33"/>
      <c r="AC783" s="33"/>
      <c r="AD783" s="33"/>
      <c r="AE783" s="33"/>
      <c r="AF783" s="33"/>
    </row>
    <row r="784" ht="15.75" customHeight="1">
      <c r="A784" s="105" t="s">
        <v>8056</v>
      </c>
      <c r="B784" s="89">
        <v>18.0</v>
      </c>
      <c r="C784" s="52" t="s">
        <v>8354</v>
      </c>
      <c r="D784" s="52" t="s">
        <v>8356</v>
      </c>
      <c r="E784" s="52" t="s">
        <v>8357</v>
      </c>
      <c r="F784" s="33"/>
      <c r="G784" s="89">
        <v>18.0</v>
      </c>
      <c r="H784" s="33"/>
      <c r="I784" s="33"/>
      <c r="J784" s="33"/>
      <c r="K784" s="33"/>
      <c r="L784" s="33"/>
      <c r="M784" s="33"/>
      <c r="N784" s="33"/>
      <c r="O784" s="33"/>
      <c r="P784" s="33"/>
      <c r="Q784" s="33"/>
      <c r="R784" s="33"/>
      <c r="S784" s="33"/>
      <c r="T784" s="33"/>
      <c r="U784" s="33"/>
      <c r="V784" s="33"/>
      <c r="W784" s="33"/>
      <c r="X784" s="33"/>
      <c r="Y784" s="33"/>
      <c r="Z784" s="33"/>
      <c r="AA784" s="33"/>
      <c r="AB784" s="33"/>
      <c r="AC784" s="33"/>
      <c r="AD784" s="33"/>
      <c r="AE784" s="33"/>
      <c r="AF784" s="33"/>
    </row>
    <row r="785" ht="15.75" customHeight="1">
      <c r="A785" s="105" t="s">
        <v>8056</v>
      </c>
      <c r="B785" s="89">
        <v>19.0</v>
      </c>
      <c r="C785" s="52" t="s">
        <v>8360</v>
      </c>
      <c r="D785" s="52" t="s">
        <v>8361</v>
      </c>
      <c r="E785" s="52" t="s">
        <v>8362</v>
      </c>
      <c r="F785" s="33"/>
      <c r="G785" s="89">
        <v>19.0</v>
      </c>
      <c r="H785" s="33"/>
      <c r="I785" s="33"/>
      <c r="J785" s="33"/>
      <c r="K785" s="33"/>
      <c r="L785" s="33"/>
      <c r="M785" s="33"/>
      <c r="N785" s="33"/>
      <c r="O785" s="33"/>
      <c r="P785" s="33"/>
      <c r="Q785" s="33"/>
      <c r="R785" s="33"/>
      <c r="S785" s="33"/>
      <c r="T785" s="33"/>
      <c r="U785" s="33"/>
      <c r="V785" s="33"/>
      <c r="W785" s="33"/>
      <c r="X785" s="33"/>
      <c r="Y785" s="33"/>
      <c r="Z785" s="33"/>
      <c r="AA785" s="33"/>
      <c r="AB785" s="33"/>
      <c r="AC785" s="33"/>
      <c r="AD785" s="33"/>
      <c r="AE785" s="33"/>
      <c r="AF785" s="33"/>
    </row>
    <row r="786" ht="15.75" customHeight="1">
      <c r="A786" s="105" t="s">
        <v>8056</v>
      </c>
      <c r="B786" s="89">
        <v>20.0</v>
      </c>
      <c r="C786" s="52" t="s">
        <v>8372</v>
      </c>
      <c r="D786" s="52" t="s">
        <v>8373</v>
      </c>
      <c r="E786" s="52" t="s">
        <v>8376</v>
      </c>
      <c r="F786" s="33"/>
      <c r="G786" s="89">
        <v>20.0</v>
      </c>
      <c r="H786" s="33"/>
      <c r="I786" s="33"/>
      <c r="J786" s="33"/>
      <c r="K786" s="33"/>
      <c r="L786" s="33"/>
      <c r="M786" s="33"/>
      <c r="N786" s="33"/>
      <c r="O786" s="33"/>
      <c r="P786" s="33"/>
      <c r="Q786" s="33"/>
      <c r="R786" s="33"/>
      <c r="S786" s="33"/>
      <c r="T786" s="33"/>
      <c r="U786" s="33"/>
      <c r="V786" s="33"/>
      <c r="W786" s="33"/>
      <c r="X786" s="33"/>
      <c r="Y786" s="33"/>
      <c r="Z786" s="33"/>
      <c r="AA786" s="33"/>
      <c r="AB786" s="33"/>
      <c r="AC786" s="33"/>
      <c r="AD786" s="33"/>
      <c r="AE786" s="33"/>
      <c r="AF786" s="33"/>
    </row>
    <row r="787" ht="15.75" customHeight="1">
      <c r="A787" s="105" t="s">
        <v>8056</v>
      </c>
      <c r="B787" s="89">
        <v>-777.0</v>
      </c>
      <c r="C787" s="308" t="s">
        <v>8387</v>
      </c>
      <c r="D787" s="308" t="s">
        <v>8388</v>
      </c>
      <c r="E787" s="308" t="s">
        <v>8391</v>
      </c>
      <c r="F787" s="33"/>
      <c r="G787" s="52">
        <v>-777.0</v>
      </c>
      <c r="H787" s="33"/>
      <c r="I787" s="33"/>
      <c r="J787" s="33"/>
      <c r="K787" s="33"/>
      <c r="L787" s="33"/>
      <c r="M787" s="33"/>
      <c r="N787" s="33"/>
      <c r="O787" s="33"/>
      <c r="P787" s="33"/>
      <c r="Q787" s="33"/>
      <c r="R787" s="33"/>
      <c r="S787" s="33"/>
      <c r="T787" s="33"/>
      <c r="U787" s="33"/>
      <c r="V787" s="33"/>
      <c r="W787" s="33"/>
      <c r="X787" s="33"/>
      <c r="Y787" s="33"/>
      <c r="Z787" s="33"/>
      <c r="AA787" s="33"/>
      <c r="AB787" s="33"/>
      <c r="AC787" s="33"/>
      <c r="AD787" s="33"/>
      <c r="AE787" s="33"/>
      <c r="AF787" s="33"/>
    </row>
    <row r="788" ht="15.75" customHeight="1">
      <c r="A788" s="100"/>
      <c r="B788" s="102"/>
      <c r="C788" s="100"/>
      <c r="D788" s="100"/>
      <c r="E788" s="165"/>
      <c r="F788" s="33"/>
      <c r="G788" s="33"/>
      <c r="H788" s="33"/>
      <c r="I788" s="33"/>
      <c r="J788" s="33"/>
      <c r="K788" s="33"/>
      <c r="L788" s="33"/>
      <c r="M788" s="33"/>
      <c r="N788" s="33"/>
      <c r="O788" s="33"/>
      <c r="P788" s="33"/>
      <c r="Q788" s="33"/>
      <c r="R788" s="33"/>
      <c r="S788" s="33"/>
      <c r="T788" s="33"/>
      <c r="U788" s="33"/>
      <c r="V788" s="33"/>
      <c r="W788" s="33"/>
      <c r="X788" s="33"/>
      <c r="Y788" s="33"/>
      <c r="Z788" s="33"/>
      <c r="AA788" s="33"/>
      <c r="AB788" s="33"/>
      <c r="AC788" s="33"/>
      <c r="AD788" s="33"/>
      <c r="AE788" s="33"/>
      <c r="AF788" s="33"/>
    </row>
    <row r="789" ht="15.75" customHeight="1">
      <c r="A789" s="311" t="s">
        <v>8416</v>
      </c>
      <c r="B789" s="312">
        <v>1.0</v>
      </c>
      <c r="C789" s="311" t="s">
        <v>8418</v>
      </c>
      <c r="D789" s="311" t="s">
        <v>8418</v>
      </c>
      <c r="E789" s="311" t="s">
        <v>8418</v>
      </c>
      <c r="F789" s="313"/>
      <c r="G789" s="314">
        <v>1.0</v>
      </c>
      <c r="H789" s="313"/>
      <c r="I789" s="313"/>
      <c r="J789" s="313"/>
      <c r="K789" s="313"/>
      <c r="L789" s="313"/>
      <c r="M789" s="313"/>
      <c r="N789" s="313"/>
      <c r="O789" s="313"/>
      <c r="P789" s="313"/>
      <c r="Q789" s="313"/>
      <c r="R789" s="313"/>
      <c r="S789" s="313"/>
      <c r="T789" s="313"/>
      <c r="U789" s="313"/>
      <c r="V789" s="313"/>
      <c r="W789" s="313"/>
      <c r="X789" s="313"/>
      <c r="Y789" s="313"/>
      <c r="Z789" s="313"/>
      <c r="AA789" s="313"/>
      <c r="AB789" s="313"/>
      <c r="AC789" s="313"/>
      <c r="AD789" s="313"/>
      <c r="AE789" s="313"/>
      <c r="AF789" s="313"/>
    </row>
    <row r="790" ht="15.75" customHeight="1">
      <c r="A790" s="315" t="s">
        <v>8416</v>
      </c>
      <c r="B790" s="316">
        <v>2.0</v>
      </c>
      <c r="C790" s="315" t="s">
        <v>8431</v>
      </c>
      <c r="D790" s="315" t="s">
        <v>8431</v>
      </c>
      <c r="E790" s="315" t="s">
        <v>8431</v>
      </c>
      <c r="F790" s="121"/>
      <c r="G790" s="317">
        <v>2.0</v>
      </c>
      <c r="H790" s="121"/>
      <c r="I790" s="121"/>
      <c r="J790" s="121"/>
      <c r="K790" s="121"/>
      <c r="L790" s="121"/>
      <c r="M790" s="121"/>
      <c r="N790" s="121"/>
      <c r="O790" s="121"/>
      <c r="P790" s="121"/>
      <c r="Q790" s="121"/>
      <c r="R790" s="121"/>
      <c r="S790" s="121"/>
      <c r="T790" s="121"/>
      <c r="U790" s="121"/>
      <c r="V790" s="121"/>
      <c r="W790" s="121"/>
      <c r="X790" s="121"/>
      <c r="Y790" s="121"/>
      <c r="Z790" s="121"/>
      <c r="AA790" s="121"/>
      <c r="AB790" s="121"/>
      <c r="AC790" s="121"/>
      <c r="AD790" s="121"/>
      <c r="AE790" s="121"/>
      <c r="AF790" s="121"/>
    </row>
    <row r="791" ht="15.75" customHeight="1">
      <c r="A791" s="315" t="s">
        <v>8416</v>
      </c>
      <c r="B791" s="316">
        <v>3.0</v>
      </c>
      <c r="C791" s="315" t="s">
        <v>8442</v>
      </c>
      <c r="D791" s="315" t="s">
        <v>8442</v>
      </c>
      <c r="E791" s="315" t="s">
        <v>8442</v>
      </c>
      <c r="F791" s="121"/>
      <c r="G791" s="317">
        <v>3.0</v>
      </c>
      <c r="H791" s="121"/>
      <c r="I791" s="121"/>
      <c r="J791" s="121"/>
      <c r="K791" s="121"/>
      <c r="L791" s="121"/>
      <c r="M791" s="121"/>
      <c r="N791" s="121"/>
      <c r="O791" s="121"/>
      <c r="P791" s="121"/>
      <c r="Q791" s="121"/>
      <c r="R791" s="121"/>
      <c r="S791" s="121"/>
      <c r="T791" s="121"/>
      <c r="U791" s="121"/>
      <c r="V791" s="121"/>
      <c r="W791" s="121"/>
      <c r="X791" s="121"/>
      <c r="Y791" s="121"/>
      <c r="Z791" s="121"/>
      <c r="AA791" s="121"/>
      <c r="AB791" s="121"/>
      <c r="AC791" s="121"/>
      <c r="AD791" s="121"/>
      <c r="AE791" s="121"/>
      <c r="AF791" s="121"/>
    </row>
    <row r="792" ht="15.75" customHeight="1">
      <c r="A792" s="315" t="s">
        <v>8416</v>
      </c>
      <c r="B792" s="316">
        <v>4.0</v>
      </c>
      <c r="C792" s="315" t="s">
        <v>8446</v>
      </c>
      <c r="D792" s="315" t="s">
        <v>8446</v>
      </c>
      <c r="E792" s="315" t="s">
        <v>8446</v>
      </c>
      <c r="F792" s="121"/>
      <c r="G792" s="317">
        <v>4.0</v>
      </c>
      <c r="H792" s="121"/>
      <c r="I792" s="121"/>
      <c r="J792" s="121"/>
      <c r="K792" s="121"/>
      <c r="L792" s="121"/>
      <c r="M792" s="121"/>
      <c r="N792" s="121"/>
      <c r="O792" s="121"/>
      <c r="P792" s="121"/>
      <c r="Q792" s="121"/>
      <c r="R792" s="121"/>
      <c r="S792" s="121"/>
      <c r="T792" s="121"/>
      <c r="U792" s="121"/>
      <c r="V792" s="121"/>
      <c r="W792" s="121"/>
      <c r="X792" s="121"/>
      <c r="Y792" s="121"/>
      <c r="Z792" s="121"/>
      <c r="AA792" s="121"/>
      <c r="AB792" s="121"/>
      <c r="AC792" s="121"/>
      <c r="AD792" s="121"/>
      <c r="AE792" s="121"/>
      <c r="AF792" s="121"/>
    </row>
    <row r="793" ht="15.75" customHeight="1">
      <c r="A793" s="315" t="s">
        <v>8416</v>
      </c>
      <c r="B793" s="316">
        <v>5.0</v>
      </c>
      <c r="C793" s="315" t="s">
        <v>8451</v>
      </c>
      <c r="D793" s="315" t="s">
        <v>8451</v>
      </c>
      <c r="E793" s="315" t="s">
        <v>8451</v>
      </c>
      <c r="F793" s="121"/>
      <c r="G793" s="317">
        <v>5.0</v>
      </c>
      <c r="H793" s="121"/>
      <c r="I793" s="121"/>
      <c r="J793" s="121"/>
      <c r="K793" s="121"/>
      <c r="L793" s="121"/>
      <c r="M793" s="121"/>
      <c r="N793" s="121"/>
      <c r="O793" s="121"/>
      <c r="P793" s="121"/>
      <c r="Q793" s="121"/>
      <c r="R793" s="121"/>
      <c r="S793" s="121"/>
      <c r="T793" s="121"/>
      <c r="U793" s="121"/>
      <c r="V793" s="121"/>
      <c r="W793" s="121"/>
      <c r="X793" s="121"/>
      <c r="Y793" s="121"/>
      <c r="Z793" s="121"/>
      <c r="AA793" s="121"/>
      <c r="AB793" s="121"/>
      <c r="AC793" s="121"/>
      <c r="AD793" s="121"/>
      <c r="AE793" s="121"/>
      <c r="AF793" s="121"/>
    </row>
    <row r="794" ht="15.75" customHeight="1">
      <c r="A794" s="315" t="s">
        <v>8416</v>
      </c>
      <c r="B794" s="316">
        <v>6.0</v>
      </c>
      <c r="C794" s="315" t="s">
        <v>8453</v>
      </c>
      <c r="D794" s="315" t="s">
        <v>8453</v>
      </c>
      <c r="E794" s="315" t="s">
        <v>8453</v>
      </c>
      <c r="F794" s="121"/>
      <c r="G794" s="317">
        <v>6.0</v>
      </c>
      <c r="H794" s="121"/>
      <c r="I794" s="121"/>
      <c r="J794" s="121"/>
      <c r="K794" s="121"/>
      <c r="L794" s="121"/>
      <c r="M794" s="121"/>
      <c r="N794" s="121"/>
      <c r="O794" s="121"/>
      <c r="P794" s="121"/>
      <c r="Q794" s="121"/>
      <c r="R794" s="121"/>
      <c r="S794" s="121"/>
      <c r="T794" s="121"/>
      <c r="U794" s="121"/>
      <c r="V794" s="121"/>
      <c r="W794" s="121"/>
      <c r="X794" s="121"/>
      <c r="Y794" s="121"/>
      <c r="Z794" s="121"/>
      <c r="AA794" s="121"/>
      <c r="AB794" s="121"/>
      <c r="AC794" s="121"/>
      <c r="AD794" s="121"/>
      <c r="AE794" s="121"/>
      <c r="AF794" s="121"/>
    </row>
    <row r="795" ht="15.75" customHeight="1">
      <c r="A795" s="315" t="s">
        <v>8416</v>
      </c>
      <c r="B795" s="316">
        <v>7.0</v>
      </c>
      <c r="C795" s="315" t="s">
        <v>8459</v>
      </c>
      <c r="D795" s="315" t="s">
        <v>8459</v>
      </c>
      <c r="E795" s="315" t="s">
        <v>8459</v>
      </c>
      <c r="F795" s="121"/>
      <c r="G795" s="317">
        <v>7.0</v>
      </c>
      <c r="H795" s="121"/>
      <c r="I795" s="121"/>
      <c r="J795" s="121"/>
      <c r="K795" s="121"/>
      <c r="L795" s="121"/>
      <c r="M795" s="121"/>
      <c r="N795" s="121"/>
      <c r="O795" s="121"/>
      <c r="P795" s="121"/>
      <c r="Q795" s="121"/>
      <c r="R795" s="121"/>
      <c r="S795" s="121"/>
      <c r="T795" s="121"/>
      <c r="U795" s="121"/>
      <c r="V795" s="121"/>
      <c r="W795" s="121"/>
      <c r="X795" s="121"/>
      <c r="Y795" s="121"/>
      <c r="Z795" s="121"/>
      <c r="AA795" s="121"/>
      <c r="AB795" s="121"/>
      <c r="AC795" s="121"/>
      <c r="AD795" s="121"/>
      <c r="AE795" s="121"/>
      <c r="AF795" s="121"/>
    </row>
    <row r="796" ht="15.75" customHeight="1">
      <c r="A796" s="315" t="s">
        <v>8416</v>
      </c>
      <c r="B796" s="316">
        <v>8.0</v>
      </c>
      <c r="C796" s="315" t="s">
        <v>8466</v>
      </c>
      <c r="D796" s="315" t="s">
        <v>8466</v>
      </c>
      <c r="E796" s="315" t="s">
        <v>8466</v>
      </c>
      <c r="F796" s="121"/>
      <c r="G796" s="317">
        <v>8.0</v>
      </c>
      <c r="H796" s="121"/>
      <c r="I796" s="121"/>
      <c r="J796" s="121"/>
      <c r="K796" s="121"/>
      <c r="L796" s="121"/>
      <c r="M796" s="121"/>
      <c r="N796" s="121"/>
      <c r="O796" s="121"/>
      <c r="P796" s="121"/>
      <c r="Q796" s="121"/>
      <c r="R796" s="121"/>
      <c r="S796" s="121"/>
      <c r="T796" s="121"/>
      <c r="U796" s="121"/>
      <c r="V796" s="121"/>
      <c r="W796" s="121"/>
      <c r="X796" s="121"/>
      <c r="Y796" s="121"/>
      <c r="Z796" s="121"/>
      <c r="AA796" s="121"/>
      <c r="AB796" s="121"/>
      <c r="AC796" s="121"/>
      <c r="AD796" s="121"/>
      <c r="AE796" s="121"/>
      <c r="AF796" s="121"/>
    </row>
    <row r="797" ht="15.75" customHeight="1">
      <c r="A797" s="315" t="s">
        <v>8416</v>
      </c>
      <c r="B797" s="316">
        <v>9.0</v>
      </c>
      <c r="C797" s="315" t="s">
        <v>8475</v>
      </c>
      <c r="D797" s="315" t="s">
        <v>8475</v>
      </c>
      <c r="E797" s="315" t="s">
        <v>8475</v>
      </c>
      <c r="F797" s="121"/>
      <c r="G797" s="317">
        <v>9.0</v>
      </c>
      <c r="H797" s="121"/>
      <c r="I797" s="121"/>
      <c r="J797" s="121"/>
      <c r="K797" s="121"/>
      <c r="L797" s="121"/>
      <c r="M797" s="121"/>
      <c r="N797" s="121"/>
      <c r="O797" s="121"/>
      <c r="P797" s="121"/>
      <c r="Q797" s="121"/>
      <c r="R797" s="121"/>
      <c r="S797" s="121"/>
      <c r="T797" s="121"/>
      <c r="U797" s="121"/>
      <c r="V797" s="121"/>
      <c r="W797" s="121"/>
      <c r="X797" s="121"/>
      <c r="Y797" s="121"/>
      <c r="Z797" s="121"/>
      <c r="AA797" s="121"/>
      <c r="AB797" s="121"/>
      <c r="AC797" s="121"/>
      <c r="AD797" s="121"/>
      <c r="AE797" s="121"/>
      <c r="AF797" s="121"/>
    </row>
    <row r="798" ht="15.75" customHeight="1">
      <c r="A798" s="315" t="s">
        <v>8416</v>
      </c>
      <c r="B798" s="316">
        <v>10.0</v>
      </c>
      <c r="C798" s="315" t="s">
        <v>8483</v>
      </c>
      <c r="D798" s="315" t="s">
        <v>8483</v>
      </c>
      <c r="E798" s="315" t="s">
        <v>8483</v>
      </c>
      <c r="F798" s="121"/>
      <c r="G798" s="317">
        <v>10.0</v>
      </c>
      <c r="H798" s="121"/>
      <c r="I798" s="121"/>
      <c r="J798" s="121"/>
      <c r="K798" s="121"/>
      <c r="L798" s="121"/>
      <c r="M798" s="121"/>
      <c r="N798" s="121"/>
      <c r="O798" s="121"/>
      <c r="P798" s="121"/>
      <c r="Q798" s="121"/>
      <c r="R798" s="121"/>
      <c r="S798" s="121"/>
      <c r="T798" s="121"/>
      <c r="U798" s="121"/>
      <c r="V798" s="121"/>
      <c r="W798" s="121"/>
      <c r="X798" s="121"/>
      <c r="Y798" s="121"/>
      <c r="Z798" s="121"/>
      <c r="AA798" s="121"/>
      <c r="AB798" s="121"/>
      <c r="AC798" s="121"/>
      <c r="AD798" s="121"/>
      <c r="AE798" s="121"/>
      <c r="AF798" s="121"/>
    </row>
    <row r="799" ht="15.75" customHeight="1">
      <c r="A799" s="315" t="s">
        <v>8416</v>
      </c>
      <c r="B799" s="316">
        <v>11.0</v>
      </c>
      <c r="C799" s="315" t="s">
        <v>8492</v>
      </c>
      <c r="D799" s="315" t="s">
        <v>8492</v>
      </c>
      <c r="E799" s="315" t="s">
        <v>8492</v>
      </c>
      <c r="F799" s="121"/>
      <c r="G799" s="317">
        <v>11.0</v>
      </c>
      <c r="H799" s="121"/>
      <c r="I799" s="121"/>
      <c r="J799" s="121"/>
      <c r="K799" s="121"/>
      <c r="L799" s="121"/>
      <c r="M799" s="121"/>
      <c r="N799" s="121"/>
      <c r="O799" s="121"/>
      <c r="P799" s="121"/>
      <c r="Q799" s="121"/>
      <c r="R799" s="121"/>
      <c r="S799" s="121"/>
      <c r="T799" s="121"/>
      <c r="U799" s="121"/>
      <c r="V799" s="121"/>
      <c r="W799" s="121"/>
      <c r="X799" s="121"/>
      <c r="Y799" s="121"/>
      <c r="Z799" s="121"/>
      <c r="AA799" s="121"/>
      <c r="AB799" s="121"/>
      <c r="AC799" s="121"/>
      <c r="AD799" s="121"/>
      <c r="AE799" s="121"/>
      <c r="AF799" s="121"/>
    </row>
    <row r="800" ht="15.75" customHeight="1">
      <c r="A800" s="315" t="s">
        <v>8416</v>
      </c>
      <c r="B800" s="316">
        <v>12.0</v>
      </c>
      <c r="C800" s="315" t="s">
        <v>8503</v>
      </c>
      <c r="D800" s="315" t="s">
        <v>8503</v>
      </c>
      <c r="E800" s="315" t="s">
        <v>8503</v>
      </c>
      <c r="F800" s="121"/>
      <c r="G800" s="317">
        <v>12.0</v>
      </c>
      <c r="H800" s="121"/>
      <c r="I800" s="121"/>
      <c r="J800" s="121"/>
      <c r="K800" s="121"/>
      <c r="L800" s="121"/>
      <c r="M800" s="121"/>
      <c r="N800" s="121"/>
      <c r="O800" s="121"/>
      <c r="P800" s="121"/>
      <c r="Q800" s="121"/>
      <c r="R800" s="121"/>
      <c r="S800" s="121"/>
      <c r="T800" s="121"/>
      <c r="U800" s="121"/>
      <c r="V800" s="121"/>
      <c r="W800" s="121"/>
      <c r="X800" s="121"/>
      <c r="Y800" s="121"/>
      <c r="Z800" s="121"/>
      <c r="AA800" s="121"/>
      <c r="AB800" s="121"/>
      <c r="AC800" s="121"/>
      <c r="AD800" s="121"/>
      <c r="AE800" s="121"/>
      <c r="AF800" s="121"/>
    </row>
    <row r="801" ht="15.75" customHeight="1">
      <c r="A801" s="315" t="s">
        <v>8416</v>
      </c>
      <c r="B801" s="316">
        <v>13.0</v>
      </c>
      <c r="C801" s="315" t="s">
        <v>8511</v>
      </c>
      <c r="D801" s="315" t="s">
        <v>8511</v>
      </c>
      <c r="E801" s="315" t="s">
        <v>8511</v>
      </c>
      <c r="F801" s="121"/>
      <c r="G801" s="317">
        <v>13.0</v>
      </c>
      <c r="H801" s="121"/>
      <c r="I801" s="121"/>
      <c r="J801" s="121"/>
      <c r="K801" s="121"/>
      <c r="L801" s="121"/>
      <c r="M801" s="121"/>
      <c r="N801" s="121"/>
      <c r="O801" s="121"/>
      <c r="P801" s="121"/>
      <c r="Q801" s="121"/>
      <c r="R801" s="121"/>
      <c r="S801" s="121"/>
      <c r="T801" s="121"/>
      <c r="U801" s="121"/>
      <c r="V801" s="121"/>
      <c r="W801" s="121"/>
      <c r="X801" s="121"/>
      <c r="Y801" s="121"/>
      <c r="Z801" s="121"/>
      <c r="AA801" s="121"/>
      <c r="AB801" s="121"/>
      <c r="AC801" s="121"/>
      <c r="AD801" s="121"/>
      <c r="AE801" s="121"/>
      <c r="AF801" s="121"/>
    </row>
    <row r="802" ht="15.75" customHeight="1">
      <c r="A802" s="315" t="s">
        <v>8416</v>
      </c>
      <c r="B802" s="316">
        <v>14.0</v>
      </c>
      <c r="C802" s="315" t="s">
        <v>8516</v>
      </c>
      <c r="D802" s="315" t="s">
        <v>8516</v>
      </c>
      <c r="E802" s="315" t="s">
        <v>8516</v>
      </c>
      <c r="F802" s="121"/>
      <c r="G802" s="317">
        <v>14.0</v>
      </c>
      <c r="H802" s="121"/>
      <c r="I802" s="121"/>
      <c r="J802" s="121"/>
      <c r="K802" s="121"/>
      <c r="L802" s="121"/>
      <c r="M802" s="121"/>
      <c r="N802" s="121"/>
      <c r="O802" s="121"/>
      <c r="P802" s="121"/>
      <c r="Q802" s="121"/>
      <c r="R802" s="121"/>
      <c r="S802" s="121"/>
      <c r="T802" s="121"/>
      <c r="U802" s="121"/>
      <c r="V802" s="121"/>
      <c r="W802" s="121"/>
      <c r="X802" s="121"/>
      <c r="Y802" s="121"/>
      <c r="Z802" s="121"/>
      <c r="AA802" s="121"/>
      <c r="AB802" s="121"/>
      <c r="AC802" s="121"/>
      <c r="AD802" s="121"/>
      <c r="AE802" s="121"/>
      <c r="AF802" s="121"/>
    </row>
    <row r="803" ht="15.75" customHeight="1">
      <c r="A803" s="315" t="s">
        <v>8416</v>
      </c>
      <c r="B803" s="316">
        <v>15.0</v>
      </c>
      <c r="C803" s="315" t="s">
        <v>8523</v>
      </c>
      <c r="D803" s="315" t="s">
        <v>8523</v>
      </c>
      <c r="E803" s="315" t="s">
        <v>8523</v>
      </c>
      <c r="F803" s="121"/>
      <c r="G803" s="317">
        <v>15.0</v>
      </c>
      <c r="H803" s="121"/>
      <c r="I803" s="121"/>
      <c r="J803" s="121"/>
      <c r="K803" s="121"/>
      <c r="L803" s="121"/>
      <c r="M803" s="121"/>
      <c r="N803" s="121"/>
      <c r="O803" s="121"/>
      <c r="P803" s="121"/>
      <c r="Q803" s="121"/>
      <c r="R803" s="121"/>
      <c r="S803" s="121"/>
      <c r="T803" s="121"/>
      <c r="U803" s="121"/>
      <c r="V803" s="121"/>
      <c r="W803" s="121"/>
      <c r="X803" s="121"/>
      <c r="Y803" s="121"/>
      <c r="Z803" s="121"/>
      <c r="AA803" s="121"/>
      <c r="AB803" s="121"/>
      <c r="AC803" s="121"/>
      <c r="AD803" s="121"/>
      <c r="AE803" s="121"/>
      <c r="AF803" s="121"/>
    </row>
    <row r="804" ht="15.75" customHeight="1">
      <c r="A804" s="315" t="s">
        <v>8416</v>
      </c>
      <c r="B804" s="316">
        <v>16.0</v>
      </c>
      <c r="C804" s="315" t="s">
        <v>8531</v>
      </c>
      <c r="D804" s="315" t="s">
        <v>8531</v>
      </c>
      <c r="E804" s="315" t="s">
        <v>8531</v>
      </c>
      <c r="F804" s="121"/>
      <c r="G804" s="317">
        <v>16.0</v>
      </c>
      <c r="H804" s="121"/>
      <c r="I804" s="121"/>
      <c r="J804" s="121"/>
      <c r="K804" s="121"/>
      <c r="L804" s="121"/>
      <c r="M804" s="121"/>
      <c r="N804" s="121"/>
      <c r="O804" s="121"/>
      <c r="P804" s="121"/>
      <c r="Q804" s="121"/>
      <c r="R804" s="121"/>
      <c r="S804" s="121"/>
      <c r="T804" s="121"/>
      <c r="U804" s="121"/>
      <c r="V804" s="121"/>
      <c r="W804" s="121"/>
      <c r="X804" s="121"/>
      <c r="Y804" s="121"/>
      <c r="Z804" s="121"/>
      <c r="AA804" s="121"/>
      <c r="AB804" s="121"/>
      <c r="AC804" s="121"/>
      <c r="AD804" s="121"/>
      <c r="AE804" s="121"/>
      <c r="AF804" s="121"/>
    </row>
    <row r="805" ht="15.75" customHeight="1">
      <c r="A805" s="315" t="s">
        <v>8416</v>
      </c>
      <c r="B805" s="316">
        <v>17.0</v>
      </c>
      <c r="C805" s="315" t="s">
        <v>8537</v>
      </c>
      <c r="D805" s="315" t="s">
        <v>8537</v>
      </c>
      <c r="E805" s="315" t="s">
        <v>8537</v>
      </c>
      <c r="F805" s="121"/>
      <c r="G805" s="317">
        <v>17.0</v>
      </c>
      <c r="H805" s="121"/>
      <c r="I805" s="121"/>
      <c r="J805" s="121"/>
      <c r="K805" s="121"/>
      <c r="L805" s="121"/>
      <c r="M805" s="121"/>
      <c r="N805" s="121"/>
      <c r="O805" s="121"/>
      <c r="P805" s="121"/>
      <c r="Q805" s="121"/>
      <c r="R805" s="121"/>
      <c r="S805" s="121"/>
      <c r="T805" s="121"/>
      <c r="U805" s="121"/>
      <c r="V805" s="121"/>
      <c r="W805" s="121"/>
      <c r="X805" s="121"/>
      <c r="Y805" s="121"/>
      <c r="Z805" s="121"/>
      <c r="AA805" s="121"/>
      <c r="AB805" s="121"/>
      <c r="AC805" s="121"/>
      <c r="AD805" s="121"/>
      <c r="AE805" s="121"/>
      <c r="AF805" s="121"/>
    </row>
    <row r="806" ht="15.75" customHeight="1">
      <c r="A806" s="315" t="s">
        <v>8416</v>
      </c>
      <c r="B806" s="316">
        <v>18.0</v>
      </c>
      <c r="C806" s="315" t="s">
        <v>8548</v>
      </c>
      <c r="D806" s="315" t="s">
        <v>8548</v>
      </c>
      <c r="E806" s="315" t="s">
        <v>8548</v>
      </c>
      <c r="F806" s="121"/>
      <c r="G806" s="317">
        <v>18.0</v>
      </c>
      <c r="H806" s="121"/>
      <c r="I806" s="121"/>
      <c r="J806" s="121"/>
      <c r="K806" s="121"/>
      <c r="L806" s="121"/>
      <c r="M806" s="121"/>
      <c r="N806" s="121"/>
      <c r="O806" s="121"/>
      <c r="P806" s="121"/>
      <c r="Q806" s="121"/>
      <c r="R806" s="121"/>
      <c r="S806" s="121"/>
      <c r="T806" s="121"/>
      <c r="U806" s="121"/>
      <c r="V806" s="121"/>
      <c r="W806" s="121"/>
      <c r="X806" s="121"/>
      <c r="Y806" s="121"/>
      <c r="Z806" s="121"/>
      <c r="AA806" s="121"/>
      <c r="AB806" s="121"/>
      <c r="AC806" s="121"/>
      <c r="AD806" s="121"/>
      <c r="AE806" s="121"/>
      <c r="AF806" s="121"/>
    </row>
    <row r="807" ht="15.75" customHeight="1">
      <c r="A807" s="315" t="s">
        <v>8416</v>
      </c>
      <c r="B807" s="316">
        <v>19.0</v>
      </c>
      <c r="C807" s="315" t="s">
        <v>8560</v>
      </c>
      <c r="D807" s="315" t="s">
        <v>8560</v>
      </c>
      <c r="E807" s="315" t="s">
        <v>8560</v>
      </c>
      <c r="F807" s="121"/>
      <c r="G807" s="317">
        <v>19.0</v>
      </c>
      <c r="H807" s="121"/>
      <c r="I807" s="121"/>
      <c r="J807" s="121"/>
      <c r="K807" s="121"/>
      <c r="L807" s="121"/>
      <c r="M807" s="121"/>
      <c r="N807" s="121"/>
      <c r="O807" s="121"/>
      <c r="P807" s="121"/>
      <c r="Q807" s="121"/>
      <c r="R807" s="121"/>
      <c r="S807" s="121"/>
      <c r="T807" s="121"/>
      <c r="U807" s="121"/>
      <c r="V807" s="121"/>
      <c r="W807" s="121"/>
      <c r="X807" s="121"/>
      <c r="Y807" s="121"/>
      <c r="Z807" s="121"/>
      <c r="AA807" s="121"/>
      <c r="AB807" s="121"/>
      <c r="AC807" s="121"/>
      <c r="AD807" s="121"/>
      <c r="AE807" s="121"/>
      <c r="AF807" s="121"/>
    </row>
    <row r="808" ht="15.75" customHeight="1">
      <c r="A808" s="315" t="s">
        <v>8416</v>
      </c>
      <c r="B808" s="316">
        <v>20.0</v>
      </c>
      <c r="C808" s="315" t="s">
        <v>8574</v>
      </c>
      <c r="D808" s="315" t="s">
        <v>8574</v>
      </c>
      <c r="E808" s="315" t="s">
        <v>8574</v>
      </c>
      <c r="F808" s="121"/>
      <c r="G808" s="317">
        <v>20.0</v>
      </c>
      <c r="H808" s="121"/>
      <c r="I808" s="121"/>
      <c r="J808" s="121"/>
      <c r="K808" s="121"/>
      <c r="L808" s="121"/>
      <c r="M808" s="121"/>
      <c r="N808" s="121"/>
      <c r="O808" s="121"/>
      <c r="P808" s="121"/>
      <c r="Q808" s="121"/>
      <c r="R808" s="121"/>
      <c r="S808" s="121"/>
      <c r="T808" s="121"/>
      <c r="U808" s="121"/>
      <c r="V808" s="121"/>
      <c r="W808" s="121"/>
      <c r="X808" s="121"/>
      <c r="Y808" s="121"/>
      <c r="Z808" s="121"/>
      <c r="AA808" s="121"/>
      <c r="AB808" s="121"/>
      <c r="AC808" s="121"/>
      <c r="AD808" s="121"/>
      <c r="AE808" s="121"/>
      <c r="AF808" s="121"/>
    </row>
    <row r="809" ht="15.75" customHeight="1">
      <c r="A809" s="315" t="s">
        <v>8416</v>
      </c>
      <c r="B809" s="316">
        <v>21.0</v>
      </c>
      <c r="C809" s="315" t="s">
        <v>8584</v>
      </c>
      <c r="D809" s="315" t="s">
        <v>8584</v>
      </c>
      <c r="E809" s="315" t="s">
        <v>8584</v>
      </c>
      <c r="F809" s="121"/>
      <c r="G809" s="317">
        <v>21.0</v>
      </c>
      <c r="H809" s="121"/>
      <c r="I809" s="121"/>
      <c r="J809" s="121"/>
      <c r="K809" s="121"/>
      <c r="L809" s="121"/>
      <c r="M809" s="121"/>
      <c r="N809" s="121"/>
      <c r="O809" s="121"/>
      <c r="P809" s="121"/>
      <c r="Q809" s="121"/>
      <c r="R809" s="121"/>
      <c r="S809" s="121"/>
      <c r="T809" s="121"/>
      <c r="U809" s="121"/>
      <c r="V809" s="121"/>
      <c r="W809" s="121"/>
      <c r="X809" s="121"/>
      <c r="Y809" s="121"/>
      <c r="Z809" s="121"/>
      <c r="AA809" s="121"/>
      <c r="AB809" s="121"/>
      <c r="AC809" s="121"/>
      <c r="AD809" s="121"/>
      <c r="AE809" s="121"/>
      <c r="AF809" s="121"/>
    </row>
    <row r="810" ht="15.75" customHeight="1">
      <c r="A810" s="315" t="s">
        <v>8416</v>
      </c>
      <c r="B810" s="316">
        <v>22.0</v>
      </c>
      <c r="C810" s="315" t="s">
        <v>8589</v>
      </c>
      <c r="D810" s="315" t="s">
        <v>8589</v>
      </c>
      <c r="E810" s="315" t="s">
        <v>8589</v>
      </c>
      <c r="F810" s="121"/>
      <c r="G810" s="317">
        <v>22.0</v>
      </c>
      <c r="H810" s="121"/>
      <c r="I810" s="121"/>
      <c r="J810" s="121"/>
      <c r="K810" s="121"/>
      <c r="L810" s="121"/>
      <c r="M810" s="121"/>
      <c r="N810" s="121"/>
      <c r="O810" s="121"/>
      <c r="P810" s="121"/>
      <c r="Q810" s="121"/>
      <c r="R810" s="121"/>
      <c r="S810" s="121"/>
      <c r="T810" s="121"/>
      <c r="U810" s="121"/>
      <c r="V810" s="121"/>
      <c r="W810" s="121"/>
      <c r="X810" s="121"/>
      <c r="Y810" s="121"/>
      <c r="Z810" s="121"/>
      <c r="AA810" s="121"/>
      <c r="AB810" s="121"/>
      <c r="AC810" s="121"/>
      <c r="AD810" s="121"/>
      <c r="AE810" s="121"/>
      <c r="AF810" s="121"/>
    </row>
    <row r="811" ht="15.75" customHeight="1">
      <c r="A811" s="315" t="s">
        <v>8416</v>
      </c>
      <c r="B811" s="316">
        <v>23.0</v>
      </c>
      <c r="C811" s="315" t="s">
        <v>8598</v>
      </c>
      <c r="D811" s="315" t="s">
        <v>8598</v>
      </c>
      <c r="E811" s="315" t="s">
        <v>8598</v>
      </c>
      <c r="F811" s="121"/>
      <c r="G811" s="317">
        <v>23.0</v>
      </c>
      <c r="H811" s="121"/>
      <c r="I811" s="121"/>
      <c r="J811" s="121"/>
      <c r="K811" s="121"/>
      <c r="L811" s="121"/>
      <c r="M811" s="121"/>
      <c r="N811" s="121"/>
      <c r="O811" s="121"/>
      <c r="P811" s="121"/>
      <c r="Q811" s="121"/>
      <c r="R811" s="121"/>
      <c r="S811" s="121"/>
      <c r="T811" s="121"/>
      <c r="U811" s="121"/>
      <c r="V811" s="121"/>
      <c r="W811" s="121"/>
      <c r="X811" s="121"/>
      <c r="Y811" s="121"/>
      <c r="Z811" s="121"/>
      <c r="AA811" s="121"/>
      <c r="AB811" s="121"/>
      <c r="AC811" s="121"/>
      <c r="AD811" s="121"/>
      <c r="AE811" s="121"/>
      <c r="AF811" s="121"/>
    </row>
    <row r="812" ht="15.75" customHeight="1">
      <c r="A812" s="315" t="s">
        <v>8416</v>
      </c>
      <c r="B812" s="316">
        <v>24.0</v>
      </c>
      <c r="C812" s="315" t="s">
        <v>8611</v>
      </c>
      <c r="D812" s="315" t="s">
        <v>8611</v>
      </c>
      <c r="E812" s="315" t="s">
        <v>8611</v>
      </c>
      <c r="F812" s="121"/>
      <c r="G812" s="317">
        <v>24.0</v>
      </c>
      <c r="H812" s="121"/>
      <c r="I812" s="121"/>
      <c r="J812" s="121"/>
      <c r="K812" s="121"/>
      <c r="L812" s="121"/>
      <c r="M812" s="121"/>
      <c r="N812" s="121"/>
      <c r="O812" s="121"/>
      <c r="P812" s="121"/>
      <c r="Q812" s="121"/>
      <c r="R812" s="121"/>
      <c r="S812" s="121"/>
      <c r="T812" s="121"/>
      <c r="U812" s="121"/>
      <c r="V812" s="121"/>
      <c r="W812" s="121"/>
      <c r="X812" s="121"/>
      <c r="Y812" s="121"/>
      <c r="Z812" s="121"/>
      <c r="AA812" s="121"/>
      <c r="AB812" s="121"/>
      <c r="AC812" s="121"/>
      <c r="AD812" s="121"/>
      <c r="AE812" s="121"/>
      <c r="AF812" s="121"/>
    </row>
    <row r="813" ht="15.75" customHeight="1">
      <c r="A813" s="315" t="s">
        <v>8416</v>
      </c>
      <c r="B813" s="316">
        <v>25.0</v>
      </c>
      <c r="C813" s="315" t="s">
        <v>8621</v>
      </c>
      <c r="D813" s="315" t="s">
        <v>8621</v>
      </c>
      <c r="E813" s="315" t="s">
        <v>8621</v>
      </c>
      <c r="F813" s="121"/>
      <c r="G813" s="317">
        <v>25.0</v>
      </c>
      <c r="H813" s="121"/>
      <c r="I813" s="121"/>
      <c r="J813" s="121"/>
      <c r="K813" s="121"/>
      <c r="L813" s="121"/>
      <c r="M813" s="121"/>
      <c r="N813" s="121"/>
      <c r="O813" s="121"/>
      <c r="P813" s="121"/>
      <c r="Q813" s="121"/>
      <c r="R813" s="121"/>
      <c r="S813" s="121"/>
      <c r="T813" s="121"/>
      <c r="U813" s="121"/>
      <c r="V813" s="121"/>
      <c r="W813" s="121"/>
      <c r="X813" s="121"/>
      <c r="Y813" s="121"/>
      <c r="Z813" s="121"/>
      <c r="AA813" s="121"/>
      <c r="AB813" s="121"/>
      <c r="AC813" s="121"/>
      <c r="AD813" s="121"/>
      <c r="AE813" s="121"/>
      <c r="AF813" s="121"/>
    </row>
    <row r="814" ht="15.75" customHeight="1">
      <c r="A814" s="315" t="s">
        <v>8416</v>
      </c>
      <c r="B814" s="316">
        <v>26.0</v>
      </c>
      <c r="C814" s="315" t="s">
        <v>8630</v>
      </c>
      <c r="D814" s="315" t="s">
        <v>8630</v>
      </c>
      <c r="E814" s="315" t="s">
        <v>8630</v>
      </c>
      <c r="F814" s="121"/>
      <c r="G814" s="317">
        <v>26.0</v>
      </c>
      <c r="H814" s="121"/>
      <c r="I814" s="121"/>
      <c r="J814" s="121"/>
      <c r="K814" s="121"/>
      <c r="L814" s="121"/>
      <c r="M814" s="121"/>
      <c r="N814" s="121"/>
      <c r="O814" s="121"/>
      <c r="P814" s="121"/>
      <c r="Q814" s="121"/>
      <c r="R814" s="121"/>
      <c r="S814" s="121"/>
      <c r="T814" s="121"/>
      <c r="U814" s="121"/>
      <c r="V814" s="121"/>
      <c r="W814" s="121"/>
      <c r="X814" s="121"/>
      <c r="Y814" s="121"/>
      <c r="Z814" s="121"/>
      <c r="AA814" s="121"/>
      <c r="AB814" s="121"/>
      <c r="AC814" s="121"/>
      <c r="AD814" s="121"/>
      <c r="AE814" s="121"/>
      <c r="AF814" s="121"/>
    </row>
    <row r="815" ht="15.75" customHeight="1">
      <c r="A815" s="315" t="s">
        <v>8416</v>
      </c>
      <c r="B815" s="316">
        <v>27.0</v>
      </c>
      <c r="C815" s="315" t="s">
        <v>8636</v>
      </c>
      <c r="D815" s="315" t="s">
        <v>8636</v>
      </c>
      <c r="E815" s="315" t="s">
        <v>8636</v>
      </c>
      <c r="F815" s="121"/>
      <c r="G815" s="317">
        <v>27.0</v>
      </c>
      <c r="H815" s="121"/>
      <c r="I815" s="121"/>
      <c r="J815" s="121"/>
      <c r="K815" s="121"/>
      <c r="L815" s="121"/>
      <c r="M815" s="121"/>
      <c r="N815" s="121"/>
      <c r="O815" s="121"/>
      <c r="P815" s="121"/>
      <c r="Q815" s="121"/>
      <c r="R815" s="121"/>
      <c r="S815" s="121"/>
      <c r="T815" s="121"/>
      <c r="U815" s="121"/>
      <c r="V815" s="121"/>
      <c r="W815" s="121"/>
      <c r="X815" s="121"/>
      <c r="Y815" s="121"/>
      <c r="Z815" s="121"/>
      <c r="AA815" s="121"/>
      <c r="AB815" s="121"/>
      <c r="AC815" s="121"/>
      <c r="AD815" s="121"/>
      <c r="AE815" s="121"/>
      <c r="AF815" s="121"/>
    </row>
    <row r="816" ht="15.75" customHeight="1">
      <c r="A816" s="320" t="s">
        <v>8416</v>
      </c>
      <c r="B816" s="321">
        <v>28.0</v>
      </c>
      <c r="C816" s="320" t="s">
        <v>8648</v>
      </c>
      <c r="D816" s="320" t="s">
        <v>8648</v>
      </c>
      <c r="E816" s="320" t="s">
        <v>8648</v>
      </c>
      <c r="F816" s="322"/>
      <c r="G816" s="323">
        <v>28.0</v>
      </c>
      <c r="H816" s="322"/>
      <c r="I816" s="322"/>
      <c r="J816" s="322"/>
      <c r="K816" s="322"/>
      <c r="L816" s="322"/>
      <c r="M816" s="322"/>
      <c r="N816" s="322"/>
      <c r="O816" s="322"/>
      <c r="P816" s="322"/>
      <c r="Q816" s="322"/>
      <c r="R816" s="322"/>
      <c r="S816" s="322"/>
      <c r="T816" s="322"/>
      <c r="U816" s="322"/>
      <c r="V816" s="322"/>
      <c r="W816" s="322"/>
      <c r="X816" s="322"/>
      <c r="Y816" s="322"/>
      <c r="Z816" s="322"/>
      <c r="AA816" s="322"/>
      <c r="AB816" s="322"/>
      <c r="AC816" s="322"/>
      <c r="AD816" s="322"/>
      <c r="AE816" s="322"/>
      <c r="AF816" s="322"/>
    </row>
    <row r="817" ht="15.75" customHeight="1">
      <c r="A817" s="100"/>
      <c r="B817" s="102"/>
      <c r="C817" s="100"/>
      <c r="D817" s="100"/>
      <c r="E817" s="165"/>
      <c r="F817" s="33"/>
      <c r="G817" s="33"/>
      <c r="H817" s="33"/>
      <c r="I817" s="33"/>
      <c r="J817" s="33"/>
      <c r="K817" s="33"/>
      <c r="L817" s="33"/>
      <c r="M817" s="33"/>
      <c r="N817" s="33"/>
      <c r="O817" s="33"/>
      <c r="P817" s="33"/>
      <c r="Q817" s="33"/>
      <c r="R817" s="33"/>
      <c r="S817" s="33"/>
      <c r="T817" s="33"/>
      <c r="U817" s="33"/>
      <c r="V817" s="33"/>
      <c r="W817" s="33"/>
      <c r="X817" s="33"/>
      <c r="Y817" s="33"/>
      <c r="Z817" s="33"/>
      <c r="AA817" s="33"/>
      <c r="AB817" s="33"/>
      <c r="AC817" s="33"/>
      <c r="AD817" s="33"/>
      <c r="AE817" s="33"/>
      <c r="AF817" s="33"/>
    </row>
    <row r="818" ht="15.75" customHeight="1">
      <c r="A818" s="311" t="s">
        <v>8680</v>
      </c>
      <c r="B818" s="311">
        <v>1.0</v>
      </c>
      <c r="C818" s="324" t="s">
        <v>8681</v>
      </c>
      <c r="D818" s="100" t="s">
        <v>8686</v>
      </c>
      <c r="E818" s="320" t="s">
        <v>8687</v>
      </c>
      <c r="F818" s="313"/>
      <c r="G818" s="313"/>
      <c r="H818" s="313"/>
      <c r="I818" s="313"/>
      <c r="J818" s="313"/>
      <c r="K818" s="313"/>
      <c r="L818" s="313"/>
      <c r="M818" s="313"/>
      <c r="N818" s="313"/>
      <c r="O818" s="313"/>
      <c r="P818" s="313"/>
      <c r="Q818" s="313"/>
      <c r="R818" s="313"/>
      <c r="S818" s="313"/>
      <c r="T818" s="313"/>
      <c r="U818" s="313"/>
      <c r="V818" s="313"/>
      <c r="W818" s="313"/>
      <c r="X818" s="313"/>
      <c r="Y818" s="313"/>
      <c r="Z818" s="313"/>
      <c r="AA818" s="313"/>
      <c r="AB818" s="313"/>
      <c r="AC818" s="313"/>
      <c r="AD818" s="313"/>
      <c r="AE818" s="313"/>
      <c r="AF818" s="313"/>
    </row>
    <row r="819" ht="15.75" customHeight="1">
      <c r="A819" s="315" t="s">
        <v>8680</v>
      </c>
      <c r="B819" s="315">
        <v>2.0</v>
      </c>
      <c r="C819" s="324" t="s">
        <v>1046</v>
      </c>
      <c r="D819" s="320" t="s">
        <v>1047</v>
      </c>
      <c r="E819" s="320" t="s">
        <v>8694</v>
      </c>
      <c r="F819" s="121"/>
      <c r="G819" s="121"/>
      <c r="H819" s="121"/>
      <c r="I819" s="121"/>
      <c r="J819" s="121"/>
      <c r="K819" s="121"/>
      <c r="L819" s="121"/>
      <c r="M819" s="121"/>
      <c r="N819" s="121"/>
      <c r="O819" s="121"/>
      <c r="P819" s="121"/>
      <c r="Q819" s="121"/>
      <c r="R819" s="121"/>
      <c r="S819" s="121"/>
      <c r="T819" s="121"/>
      <c r="U819" s="121"/>
      <c r="V819" s="121"/>
      <c r="W819" s="121"/>
      <c r="X819" s="121"/>
      <c r="Y819" s="121"/>
      <c r="Z819" s="121"/>
      <c r="AA819" s="121"/>
      <c r="AB819" s="121"/>
      <c r="AC819" s="121"/>
      <c r="AD819" s="121"/>
      <c r="AE819" s="121"/>
      <c r="AF819" s="121"/>
    </row>
    <row r="820" ht="15.75" customHeight="1">
      <c r="A820" s="315" t="s">
        <v>8680</v>
      </c>
      <c r="B820" s="315">
        <v>3.0</v>
      </c>
      <c r="C820" s="324" t="s">
        <v>1039</v>
      </c>
      <c r="D820" s="320" t="s">
        <v>1040</v>
      </c>
      <c r="E820" s="320" t="s">
        <v>8707</v>
      </c>
      <c r="F820" s="121"/>
      <c r="G820" s="121"/>
      <c r="H820" s="121"/>
      <c r="I820" s="121"/>
      <c r="J820" s="121"/>
      <c r="K820" s="121"/>
      <c r="L820" s="121"/>
      <c r="M820" s="121"/>
      <c r="N820" s="121"/>
      <c r="O820" s="121"/>
      <c r="P820" s="121"/>
      <c r="Q820" s="121"/>
      <c r="R820" s="121"/>
      <c r="S820" s="121"/>
      <c r="T820" s="121"/>
      <c r="U820" s="121"/>
      <c r="V820" s="121"/>
      <c r="W820" s="121"/>
      <c r="X820" s="121"/>
      <c r="Y820" s="121"/>
      <c r="Z820" s="121"/>
      <c r="AA820" s="121"/>
      <c r="AB820" s="121"/>
      <c r="AC820" s="121"/>
      <c r="AD820" s="121"/>
      <c r="AE820" s="121"/>
      <c r="AF820" s="121"/>
    </row>
    <row r="821" ht="15.75" customHeight="1">
      <c r="A821" s="315" t="s">
        <v>8680</v>
      </c>
      <c r="B821" s="315">
        <v>4.0</v>
      </c>
      <c r="C821" s="324" t="s">
        <v>8721</v>
      </c>
      <c r="D821" s="320" t="s">
        <v>8723</v>
      </c>
      <c r="E821" s="320" t="s">
        <v>8725</v>
      </c>
      <c r="F821" s="121"/>
      <c r="G821" s="121"/>
      <c r="H821" s="121"/>
      <c r="I821" s="121"/>
      <c r="J821" s="121"/>
      <c r="K821" s="121"/>
      <c r="L821" s="121"/>
      <c r="M821" s="121"/>
      <c r="N821" s="121"/>
      <c r="O821" s="121"/>
      <c r="P821" s="121"/>
      <c r="Q821" s="121"/>
      <c r="R821" s="121"/>
      <c r="S821" s="121"/>
      <c r="T821" s="121"/>
      <c r="U821" s="121"/>
      <c r="V821" s="121"/>
      <c r="W821" s="121"/>
      <c r="X821" s="121"/>
      <c r="Y821" s="121"/>
      <c r="Z821" s="121"/>
      <c r="AA821" s="121"/>
      <c r="AB821" s="121"/>
      <c r="AC821" s="121"/>
      <c r="AD821" s="121"/>
      <c r="AE821" s="121"/>
      <c r="AF821" s="121"/>
    </row>
    <row r="822" ht="15.75" customHeight="1">
      <c r="A822" s="315" t="s">
        <v>8680</v>
      </c>
      <c r="B822" s="315">
        <v>5.0</v>
      </c>
      <c r="C822" s="324" t="s">
        <v>8734</v>
      </c>
      <c r="D822" s="320" t="s">
        <v>8735</v>
      </c>
      <c r="E822" s="320" t="s">
        <v>8736</v>
      </c>
      <c r="F822" s="121"/>
      <c r="G822" s="121"/>
      <c r="H822" s="121"/>
      <c r="I822" s="121"/>
      <c r="J822" s="121"/>
      <c r="K822" s="121"/>
      <c r="L822" s="121"/>
      <c r="M822" s="121"/>
      <c r="N822" s="121"/>
      <c r="O822" s="121"/>
      <c r="P822" s="121"/>
      <c r="Q822" s="121"/>
      <c r="R822" s="121"/>
      <c r="S822" s="121"/>
      <c r="T822" s="121"/>
      <c r="U822" s="121"/>
      <c r="V822" s="121"/>
      <c r="W822" s="121"/>
      <c r="X822" s="121"/>
      <c r="Y822" s="121"/>
      <c r="Z822" s="121"/>
      <c r="AA822" s="121"/>
      <c r="AB822" s="121"/>
      <c r="AC822" s="121"/>
      <c r="AD822" s="121"/>
      <c r="AE822" s="121"/>
      <c r="AF822" s="121"/>
    </row>
    <row r="823" ht="15.75" customHeight="1">
      <c r="A823" s="320" t="s">
        <v>8680</v>
      </c>
      <c r="B823" s="320">
        <v>-777.0</v>
      </c>
      <c r="C823" s="324" t="s">
        <v>417</v>
      </c>
      <c r="D823" s="320" t="s">
        <v>418</v>
      </c>
      <c r="E823" s="320" t="s">
        <v>419</v>
      </c>
      <c r="F823" s="322"/>
      <c r="G823" s="322"/>
      <c r="H823" s="322"/>
      <c r="I823" s="322"/>
      <c r="J823" s="322"/>
      <c r="K823" s="322"/>
      <c r="L823" s="322"/>
      <c r="M823" s="322"/>
      <c r="N823" s="322"/>
      <c r="O823" s="322"/>
      <c r="P823" s="322"/>
      <c r="Q823" s="322"/>
      <c r="R823" s="322"/>
      <c r="S823" s="322"/>
      <c r="T823" s="322"/>
      <c r="U823" s="322"/>
      <c r="V823" s="322"/>
      <c r="W823" s="322"/>
      <c r="X823" s="322"/>
      <c r="Y823" s="322"/>
      <c r="Z823" s="322"/>
      <c r="AA823" s="322"/>
      <c r="AB823" s="322"/>
      <c r="AC823" s="322"/>
      <c r="AD823" s="322"/>
      <c r="AE823" s="322"/>
      <c r="AF823" s="322"/>
    </row>
    <row r="824" ht="15.75" customHeight="1">
      <c r="A824" s="100"/>
      <c r="B824" s="102"/>
      <c r="C824" s="100"/>
      <c r="D824" s="100"/>
      <c r="E824" s="165"/>
      <c r="F824" s="33"/>
      <c r="G824" s="33"/>
      <c r="H824" s="33"/>
      <c r="I824" s="33"/>
      <c r="J824" s="33"/>
      <c r="K824" s="33"/>
      <c r="L824" s="33"/>
      <c r="M824" s="33"/>
      <c r="N824" s="33"/>
      <c r="O824" s="33"/>
      <c r="P824" s="33"/>
      <c r="Q824" s="33"/>
      <c r="R824" s="33"/>
      <c r="S824" s="33"/>
      <c r="T824" s="33"/>
      <c r="U824" s="33"/>
      <c r="V824" s="33"/>
      <c r="W824" s="33"/>
      <c r="X824" s="33"/>
      <c r="Y824" s="33"/>
      <c r="Z824" s="33"/>
      <c r="AA824" s="33"/>
      <c r="AB824" s="33"/>
      <c r="AC824" s="33"/>
      <c r="AD824" s="33"/>
      <c r="AE824" s="33"/>
      <c r="AF824" s="33"/>
    </row>
    <row r="825" ht="15.75" customHeight="1">
      <c r="A825" s="230" t="s">
        <v>8762</v>
      </c>
      <c r="B825" s="111">
        <v>1.0</v>
      </c>
      <c r="C825" s="116" t="s">
        <v>8763</v>
      </c>
      <c r="D825" s="116" t="s">
        <v>8763</v>
      </c>
      <c r="E825" s="116" t="s">
        <v>8763</v>
      </c>
      <c r="F825" s="313"/>
      <c r="G825" s="263">
        <v>1.0</v>
      </c>
      <c r="H825" s="313"/>
      <c r="I825" s="313"/>
      <c r="J825" s="313"/>
      <c r="K825" s="313"/>
      <c r="L825" s="313"/>
      <c r="M825" s="313"/>
      <c r="N825" s="313"/>
      <c r="O825" s="313"/>
      <c r="P825" s="313"/>
      <c r="Q825" s="313"/>
      <c r="R825" s="313"/>
      <c r="S825" s="313"/>
      <c r="T825" s="313"/>
      <c r="U825" s="313"/>
      <c r="V825" s="313"/>
      <c r="W825" s="313"/>
      <c r="X825" s="313"/>
      <c r="Y825" s="313"/>
      <c r="Z825" s="313"/>
      <c r="AA825" s="313"/>
      <c r="AB825" s="313"/>
      <c r="AC825" s="313"/>
      <c r="AD825" s="313"/>
      <c r="AE825" s="313"/>
      <c r="AF825" s="313"/>
    </row>
    <row r="826" ht="15.75" customHeight="1">
      <c r="A826" s="100" t="s">
        <v>8762</v>
      </c>
      <c r="B826" s="76">
        <v>2.0</v>
      </c>
      <c r="C826" s="31" t="s">
        <v>8780</v>
      </c>
      <c r="D826" s="31" t="s">
        <v>8780</v>
      </c>
      <c r="E826" s="31" t="s">
        <v>8780</v>
      </c>
      <c r="F826" s="121"/>
      <c r="G826" s="79">
        <v>2.0</v>
      </c>
      <c r="H826" s="121"/>
      <c r="I826" s="121"/>
      <c r="J826" s="121"/>
      <c r="K826" s="121"/>
      <c r="L826" s="121"/>
      <c r="M826" s="121"/>
      <c r="N826" s="121"/>
      <c r="O826" s="121"/>
      <c r="P826" s="121"/>
      <c r="Q826" s="121"/>
      <c r="R826" s="121"/>
      <c r="S826" s="121"/>
      <c r="T826" s="121"/>
      <c r="U826" s="121"/>
      <c r="V826" s="121"/>
      <c r="W826" s="121"/>
      <c r="X826" s="121"/>
      <c r="Y826" s="121"/>
      <c r="Z826" s="121"/>
      <c r="AA826" s="121"/>
      <c r="AB826" s="121"/>
      <c r="AC826" s="121"/>
      <c r="AD826" s="121"/>
      <c r="AE826" s="121"/>
      <c r="AF826" s="121"/>
    </row>
    <row r="827" ht="15.75" customHeight="1">
      <c r="A827" s="100" t="s">
        <v>8762</v>
      </c>
      <c r="B827" s="76">
        <v>3.0</v>
      </c>
      <c r="C827" s="31" t="s">
        <v>8792</v>
      </c>
      <c r="D827" s="31" t="s">
        <v>8792</v>
      </c>
      <c r="E827" s="31" t="s">
        <v>8792</v>
      </c>
      <c r="F827" s="121"/>
      <c r="G827" s="79">
        <v>3.0</v>
      </c>
      <c r="H827" s="121"/>
      <c r="I827" s="121"/>
      <c r="J827" s="121"/>
      <c r="K827" s="121"/>
      <c r="L827" s="121"/>
      <c r="M827" s="121"/>
      <c r="N827" s="121"/>
      <c r="O827" s="121"/>
      <c r="P827" s="121"/>
      <c r="Q827" s="121"/>
      <c r="R827" s="121"/>
      <c r="S827" s="121"/>
      <c r="T827" s="121"/>
      <c r="U827" s="121"/>
      <c r="V827" s="121"/>
      <c r="W827" s="121"/>
      <c r="X827" s="121"/>
      <c r="Y827" s="121"/>
      <c r="Z827" s="121"/>
      <c r="AA827" s="121"/>
      <c r="AB827" s="121"/>
      <c r="AC827" s="121"/>
      <c r="AD827" s="121"/>
      <c r="AE827" s="121"/>
      <c r="AF827" s="121"/>
    </row>
    <row r="828" ht="15.75" customHeight="1">
      <c r="A828" s="100" t="s">
        <v>8762</v>
      </c>
      <c r="B828" s="76">
        <v>4.0</v>
      </c>
      <c r="C828" s="31" t="s">
        <v>8806</v>
      </c>
      <c r="D828" s="31" t="s">
        <v>8806</v>
      </c>
      <c r="E828" s="31" t="s">
        <v>8806</v>
      </c>
      <c r="F828" s="121"/>
      <c r="G828" s="79">
        <v>4.0</v>
      </c>
      <c r="H828" s="121"/>
      <c r="I828" s="121"/>
      <c r="J828" s="121"/>
      <c r="K828" s="121"/>
      <c r="L828" s="121"/>
      <c r="M828" s="121"/>
      <c r="N828" s="121"/>
      <c r="O828" s="121"/>
      <c r="P828" s="121"/>
      <c r="Q828" s="121"/>
      <c r="R828" s="121"/>
      <c r="S828" s="121"/>
      <c r="T828" s="121"/>
      <c r="U828" s="121"/>
      <c r="V828" s="121"/>
      <c r="W828" s="121"/>
      <c r="X828" s="121"/>
      <c r="Y828" s="121"/>
      <c r="Z828" s="121"/>
      <c r="AA828" s="121"/>
      <c r="AB828" s="121"/>
      <c r="AC828" s="121"/>
      <c r="AD828" s="121"/>
      <c r="AE828" s="121"/>
      <c r="AF828" s="121"/>
    </row>
    <row r="829" ht="15.75" customHeight="1">
      <c r="A829" s="100" t="s">
        <v>8762</v>
      </c>
      <c r="B829" s="49">
        <v>5.0</v>
      </c>
      <c r="C829" s="87" t="s">
        <v>8818</v>
      </c>
      <c r="D829" s="87" t="s">
        <v>8818</v>
      </c>
      <c r="E829" s="87" t="s">
        <v>8818</v>
      </c>
      <c r="F829" s="121"/>
      <c r="G829" s="89">
        <v>5.0</v>
      </c>
      <c r="H829" s="121"/>
      <c r="I829" s="121"/>
      <c r="J829" s="121"/>
      <c r="K829" s="121"/>
      <c r="L829" s="121"/>
      <c r="M829" s="121"/>
      <c r="N829" s="121"/>
      <c r="O829" s="121"/>
      <c r="P829" s="121"/>
      <c r="Q829" s="121"/>
      <c r="R829" s="121"/>
      <c r="S829" s="121"/>
      <c r="T829" s="121"/>
      <c r="U829" s="121"/>
      <c r="V829" s="121"/>
      <c r="W829" s="121"/>
      <c r="X829" s="121"/>
      <c r="Y829" s="121"/>
      <c r="Z829" s="121"/>
      <c r="AA829" s="121"/>
      <c r="AB829" s="121"/>
      <c r="AC829" s="121"/>
      <c r="AD829" s="121"/>
      <c r="AE829" s="121"/>
      <c r="AF829" s="121"/>
    </row>
    <row r="830" ht="15.75" customHeight="1">
      <c r="A830" s="100"/>
      <c r="B830" s="102"/>
      <c r="C830" s="100"/>
      <c r="D830" s="100"/>
      <c r="E830" s="165"/>
      <c r="F830" s="33"/>
      <c r="G830" s="33"/>
      <c r="H830" s="33"/>
      <c r="I830" s="33"/>
      <c r="J830" s="33"/>
      <c r="K830" s="33"/>
      <c r="L830" s="33"/>
      <c r="M830" s="33"/>
      <c r="N830" s="33"/>
      <c r="O830" s="33"/>
      <c r="P830" s="33"/>
      <c r="Q830" s="33"/>
      <c r="R830" s="33"/>
      <c r="S830" s="33"/>
      <c r="T830" s="33"/>
      <c r="U830" s="33"/>
      <c r="V830" s="33"/>
      <c r="W830" s="33"/>
      <c r="X830" s="33"/>
      <c r="Y830" s="33"/>
      <c r="Z830" s="33"/>
      <c r="AA830" s="33"/>
      <c r="AB830" s="33"/>
      <c r="AC830" s="33"/>
      <c r="AD830" s="33"/>
      <c r="AE830" s="33"/>
      <c r="AF830" s="33"/>
    </row>
    <row r="831" ht="15.75" customHeight="1">
      <c r="A831" s="52" t="s">
        <v>8838</v>
      </c>
      <c r="B831" s="89">
        <v>0.0</v>
      </c>
      <c r="C831" s="325" t="s">
        <v>8839</v>
      </c>
      <c r="D831" s="325" t="s">
        <v>8840</v>
      </c>
      <c r="E831" s="325" t="s">
        <v>8841</v>
      </c>
      <c r="F831" s="33"/>
      <c r="G831" s="33"/>
      <c r="H831" s="33"/>
      <c r="I831" s="33"/>
      <c r="J831" s="33"/>
      <c r="K831" s="33"/>
      <c r="L831" s="33"/>
      <c r="M831" s="33"/>
      <c r="N831" s="33"/>
      <c r="O831" s="33"/>
      <c r="P831" s="33"/>
      <c r="Q831" s="33"/>
      <c r="R831" s="33"/>
      <c r="S831" s="33"/>
      <c r="T831" s="33"/>
      <c r="U831" s="33"/>
      <c r="V831" s="33"/>
      <c r="W831" s="33"/>
      <c r="X831" s="33"/>
      <c r="Y831" s="33"/>
      <c r="Z831" s="33"/>
      <c r="AA831" s="33"/>
      <c r="AB831" s="33"/>
      <c r="AC831" s="33"/>
      <c r="AD831" s="33"/>
      <c r="AE831" s="33"/>
      <c r="AF831" s="33"/>
    </row>
    <row r="832" ht="15.75" customHeight="1">
      <c r="A832" s="52" t="s">
        <v>8838</v>
      </c>
      <c r="B832" s="89">
        <v>1.0</v>
      </c>
      <c r="C832" s="325" t="s">
        <v>8845</v>
      </c>
      <c r="D832" s="325" t="s">
        <v>8847</v>
      </c>
      <c r="E832" s="325" t="s">
        <v>8848</v>
      </c>
      <c r="F832" s="33"/>
      <c r="G832" s="33"/>
      <c r="H832" s="33"/>
      <c r="I832" s="33"/>
      <c r="J832" s="33"/>
      <c r="K832" s="33"/>
      <c r="L832" s="33"/>
      <c r="M832" s="33"/>
      <c r="N832" s="33"/>
      <c r="O832" s="33"/>
      <c r="P832" s="33"/>
      <c r="Q832" s="33"/>
      <c r="R832" s="33"/>
      <c r="S832" s="33"/>
      <c r="T832" s="33"/>
      <c r="U832" s="33"/>
      <c r="V832" s="33"/>
      <c r="W832" s="33"/>
      <c r="X832" s="33"/>
      <c r="Y832" s="33"/>
      <c r="Z832" s="33"/>
      <c r="AA832" s="33"/>
      <c r="AB832" s="33"/>
      <c r="AC832" s="33"/>
      <c r="AD832" s="33"/>
      <c r="AE832" s="33"/>
      <c r="AF832" s="33"/>
    </row>
    <row r="833" ht="15.75" customHeight="1">
      <c r="A833" s="52" t="s">
        <v>8838</v>
      </c>
      <c r="B833" s="89">
        <v>2.0</v>
      </c>
      <c r="C833" s="325" t="s">
        <v>8854</v>
      </c>
      <c r="D833" s="326" t="s">
        <v>8855</v>
      </c>
      <c r="E833" s="325" t="s">
        <v>8857</v>
      </c>
      <c r="F833" s="33"/>
      <c r="G833" s="33"/>
      <c r="H833" s="33"/>
      <c r="I833" s="33"/>
      <c r="J833" s="33"/>
      <c r="K833" s="33"/>
      <c r="L833" s="33"/>
      <c r="M833" s="33"/>
      <c r="N833" s="33"/>
      <c r="O833" s="33"/>
      <c r="P833" s="33"/>
      <c r="Q833" s="33"/>
      <c r="R833" s="33"/>
      <c r="S833" s="33"/>
      <c r="T833" s="33"/>
      <c r="U833" s="33"/>
      <c r="V833" s="33"/>
      <c r="W833" s="33"/>
      <c r="X833" s="33"/>
      <c r="Y833" s="33"/>
      <c r="Z833" s="33"/>
      <c r="AA833" s="33"/>
      <c r="AB833" s="33"/>
      <c r="AC833" s="33"/>
      <c r="AD833" s="33"/>
      <c r="AE833" s="33"/>
      <c r="AF833" s="33"/>
    </row>
    <row r="834" ht="15.75" customHeight="1">
      <c r="A834" s="52" t="s">
        <v>8838</v>
      </c>
      <c r="B834" s="89">
        <v>3.0</v>
      </c>
      <c r="C834" s="325" t="s">
        <v>8871</v>
      </c>
      <c r="D834" s="326" t="s">
        <v>8872</v>
      </c>
      <c r="E834" s="325" t="s">
        <v>8873</v>
      </c>
      <c r="F834" s="33"/>
      <c r="G834" s="33"/>
      <c r="H834" s="33"/>
      <c r="I834" s="33"/>
      <c r="J834" s="33"/>
      <c r="K834" s="33"/>
      <c r="L834" s="33"/>
      <c r="M834" s="33"/>
      <c r="N834" s="33"/>
      <c r="O834" s="33"/>
      <c r="P834" s="33"/>
      <c r="Q834" s="33"/>
      <c r="R834" s="33"/>
      <c r="S834" s="33"/>
      <c r="T834" s="33"/>
      <c r="U834" s="33"/>
      <c r="V834" s="33"/>
      <c r="W834" s="33"/>
      <c r="X834" s="33"/>
      <c r="Y834" s="33"/>
      <c r="Z834" s="33"/>
      <c r="AA834" s="33"/>
      <c r="AB834" s="33"/>
      <c r="AC834" s="33"/>
      <c r="AD834" s="33"/>
      <c r="AE834" s="33"/>
      <c r="AF834" s="33"/>
    </row>
    <row r="835" ht="15.75" customHeight="1">
      <c r="A835" s="52" t="s">
        <v>8838</v>
      </c>
      <c r="B835" s="89">
        <v>4.0</v>
      </c>
      <c r="C835" s="325" t="s">
        <v>8885</v>
      </c>
      <c r="D835" s="325" t="s">
        <v>8886</v>
      </c>
      <c r="E835" s="325" t="s">
        <v>8888</v>
      </c>
      <c r="F835" s="33"/>
      <c r="G835" s="33"/>
      <c r="H835" s="33"/>
      <c r="I835" s="33"/>
      <c r="J835" s="33"/>
      <c r="K835" s="33"/>
      <c r="L835" s="33"/>
      <c r="M835" s="33"/>
      <c r="N835" s="33"/>
      <c r="O835" s="33"/>
      <c r="P835" s="33"/>
      <c r="Q835" s="33"/>
      <c r="R835" s="33"/>
      <c r="S835" s="33"/>
      <c r="T835" s="33"/>
      <c r="U835" s="33"/>
      <c r="V835" s="33"/>
      <c r="W835" s="33"/>
      <c r="X835" s="33"/>
      <c r="Y835" s="33"/>
      <c r="Z835" s="33"/>
      <c r="AA835" s="33"/>
      <c r="AB835" s="33"/>
      <c r="AC835" s="33"/>
      <c r="AD835" s="33"/>
      <c r="AE835" s="33"/>
      <c r="AF835" s="33"/>
    </row>
    <row r="836" ht="15.75" customHeight="1">
      <c r="A836" s="52" t="s">
        <v>8838</v>
      </c>
      <c r="B836" s="89">
        <v>5.0</v>
      </c>
      <c r="C836" s="325" t="s">
        <v>8895</v>
      </c>
      <c r="D836" s="325" t="s">
        <v>8897</v>
      </c>
      <c r="E836" s="325" t="s">
        <v>8899</v>
      </c>
      <c r="F836" s="33"/>
      <c r="G836" s="33"/>
      <c r="H836" s="33"/>
      <c r="I836" s="33"/>
      <c r="J836" s="33"/>
      <c r="K836" s="33"/>
      <c r="L836" s="33"/>
      <c r="M836" s="33"/>
      <c r="N836" s="33"/>
      <c r="O836" s="33"/>
      <c r="P836" s="33"/>
      <c r="Q836" s="33"/>
      <c r="R836" s="33"/>
      <c r="S836" s="33"/>
      <c r="T836" s="33"/>
      <c r="U836" s="33"/>
      <c r="V836" s="33"/>
      <c r="W836" s="33"/>
      <c r="X836" s="33"/>
      <c r="Y836" s="33"/>
      <c r="Z836" s="33"/>
      <c r="AA836" s="33"/>
      <c r="AB836" s="33"/>
      <c r="AC836" s="33"/>
      <c r="AD836" s="33"/>
      <c r="AE836" s="33"/>
      <c r="AF836" s="33"/>
    </row>
    <row r="837" ht="15.75" customHeight="1">
      <c r="A837" s="52" t="s">
        <v>8838</v>
      </c>
      <c r="B837" s="89">
        <v>6.0</v>
      </c>
      <c r="C837" s="325" t="s">
        <v>8902</v>
      </c>
      <c r="D837" s="325" t="s">
        <v>8903</v>
      </c>
      <c r="E837" s="325" t="s">
        <v>8904</v>
      </c>
      <c r="F837" s="33"/>
      <c r="G837" s="33"/>
      <c r="H837" s="33"/>
      <c r="I837" s="33"/>
      <c r="J837" s="33"/>
      <c r="K837" s="33"/>
      <c r="L837" s="33"/>
      <c r="M837" s="33"/>
      <c r="N837" s="33"/>
      <c r="O837" s="33"/>
      <c r="P837" s="33"/>
      <c r="Q837" s="33"/>
      <c r="R837" s="33"/>
      <c r="S837" s="33"/>
      <c r="T837" s="33"/>
      <c r="U837" s="33"/>
      <c r="V837" s="33"/>
      <c r="W837" s="33"/>
      <c r="X837" s="33"/>
      <c r="Y837" s="33"/>
      <c r="Z837" s="33"/>
      <c r="AA837" s="33"/>
      <c r="AB837" s="33"/>
      <c r="AC837" s="33"/>
      <c r="AD837" s="33"/>
      <c r="AE837" s="33"/>
      <c r="AF837" s="33"/>
    </row>
    <row r="838" ht="15.75" customHeight="1">
      <c r="A838" s="52" t="s">
        <v>8838</v>
      </c>
      <c r="B838" s="89">
        <v>7.0</v>
      </c>
      <c r="C838" s="325" t="s">
        <v>8911</v>
      </c>
      <c r="D838" s="325" t="s">
        <v>8912</v>
      </c>
      <c r="E838" s="325" t="s">
        <v>8913</v>
      </c>
      <c r="F838" s="33"/>
      <c r="G838" s="33"/>
      <c r="H838" s="33"/>
      <c r="I838" s="33"/>
      <c r="J838" s="33"/>
      <c r="K838" s="33"/>
      <c r="L838" s="33"/>
      <c r="M838" s="33"/>
      <c r="N838" s="33"/>
      <c r="O838" s="33"/>
      <c r="P838" s="33"/>
      <c r="Q838" s="33"/>
      <c r="R838" s="33"/>
      <c r="S838" s="33"/>
      <c r="T838" s="33"/>
      <c r="U838" s="33"/>
      <c r="V838" s="33"/>
      <c r="W838" s="33"/>
      <c r="X838" s="33"/>
      <c r="Y838" s="33"/>
      <c r="Z838" s="33"/>
      <c r="AA838" s="33"/>
      <c r="AB838" s="33"/>
      <c r="AC838" s="33"/>
      <c r="AD838" s="33"/>
      <c r="AE838" s="33"/>
      <c r="AF838" s="33"/>
    </row>
    <row r="839" ht="15.75" customHeight="1">
      <c r="A839" s="52" t="s">
        <v>8838</v>
      </c>
      <c r="B839" s="89">
        <v>8.0</v>
      </c>
      <c r="C839" s="325" t="s">
        <v>8921</v>
      </c>
      <c r="D839" s="325" t="s">
        <v>8922</v>
      </c>
      <c r="E839" s="325" t="s">
        <v>8924</v>
      </c>
      <c r="F839" s="33"/>
      <c r="G839" s="33"/>
      <c r="H839" s="33"/>
      <c r="I839" s="33"/>
      <c r="J839" s="33"/>
      <c r="K839" s="33"/>
      <c r="L839" s="33"/>
      <c r="M839" s="33"/>
      <c r="N839" s="33"/>
      <c r="O839" s="33"/>
      <c r="P839" s="33"/>
      <c r="Q839" s="33"/>
      <c r="R839" s="33"/>
      <c r="S839" s="33"/>
      <c r="T839" s="33"/>
      <c r="U839" s="33"/>
      <c r="V839" s="33"/>
      <c r="W839" s="33"/>
      <c r="X839" s="33"/>
      <c r="Y839" s="33"/>
      <c r="Z839" s="33"/>
      <c r="AA839" s="33"/>
      <c r="AB839" s="33"/>
      <c r="AC839" s="33"/>
      <c r="AD839" s="33"/>
      <c r="AE839" s="33"/>
      <c r="AF839" s="33"/>
    </row>
    <row r="840" ht="15.75" customHeight="1">
      <c r="A840" s="52" t="s">
        <v>8838</v>
      </c>
      <c r="B840" s="89">
        <v>9.0</v>
      </c>
      <c r="C840" s="325" t="s">
        <v>8932</v>
      </c>
      <c r="D840" s="325" t="s">
        <v>8933</v>
      </c>
      <c r="E840" s="325" t="s">
        <v>8934</v>
      </c>
      <c r="F840" s="33"/>
      <c r="G840" s="33"/>
      <c r="H840" s="33"/>
      <c r="I840" s="33"/>
      <c r="J840" s="33"/>
      <c r="K840" s="33"/>
      <c r="L840" s="33"/>
      <c r="M840" s="33"/>
      <c r="N840" s="33"/>
      <c r="O840" s="33"/>
      <c r="P840" s="33"/>
      <c r="Q840" s="33"/>
      <c r="R840" s="33"/>
      <c r="S840" s="33"/>
      <c r="T840" s="33"/>
      <c r="U840" s="33"/>
      <c r="V840" s="33"/>
      <c r="W840" s="33"/>
      <c r="X840" s="33"/>
      <c r="Y840" s="33"/>
      <c r="Z840" s="33"/>
      <c r="AA840" s="33"/>
      <c r="AB840" s="33"/>
      <c r="AC840" s="33"/>
      <c r="AD840" s="33"/>
      <c r="AE840" s="33"/>
      <c r="AF840" s="33"/>
    </row>
    <row r="841" ht="15.75" customHeight="1">
      <c r="A841" s="52" t="s">
        <v>8838</v>
      </c>
      <c r="B841" s="320">
        <v>-777.0</v>
      </c>
      <c r="C841" s="31" t="s">
        <v>417</v>
      </c>
      <c r="D841" s="320" t="s">
        <v>418</v>
      </c>
      <c r="E841" s="320" t="s">
        <v>419</v>
      </c>
      <c r="F841" s="33"/>
      <c r="G841" s="33"/>
      <c r="H841" s="33"/>
      <c r="I841" s="33"/>
      <c r="J841" s="33"/>
      <c r="K841" s="33"/>
      <c r="L841" s="33"/>
      <c r="M841" s="33"/>
      <c r="N841" s="33"/>
      <c r="O841" s="33"/>
      <c r="P841" s="33"/>
      <c r="Q841" s="33"/>
      <c r="R841" s="33"/>
      <c r="S841" s="33"/>
      <c r="T841" s="33"/>
      <c r="U841" s="33"/>
      <c r="V841" s="33"/>
      <c r="W841" s="33"/>
      <c r="X841" s="33"/>
      <c r="Y841" s="33"/>
      <c r="Z841" s="33"/>
      <c r="AA841" s="33"/>
      <c r="AB841" s="33"/>
      <c r="AC841" s="33"/>
      <c r="AD841" s="33"/>
      <c r="AE841" s="33"/>
      <c r="AF841" s="33"/>
    </row>
    <row r="842" ht="15.75" customHeight="1">
      <c r="A842" s="100"/>
      <c r="B842" s="102"/>
      <c r="C842" s="182"/>
      <c r="D842" s="100"/>
      <c r="E842" s="165"/>
      <c r="F842" s="33"/>
      <c r="G842" s="33"/>
      <c r="H842" s="33"/>
      <c r="I842" s="33"/>
      <c r="J842" s="33"/>
      <c r="K842" s="33"/>
      <c r="L842" s="33"/>
      <c r="M842" s="33"/>
      <c r="N842" s="33"/>
      <c r="O842" s="33"/>
      <c r="P842" s="33"/>
      <c r="Q842" s="33"/>
      <c r="R842" s="33"/>
      <c r="S842" s="33"/>
      <c r="T842" s="33"/>
      <c r="U842" s="33"/>
      <c r="V842" s="33"/>
      <c r="W842" s="33"/>
      <c r="X842" s="33"/>
      <c r="Y842" s="33"/>
      <c r="Z842" s="33"/>
      <c r="AA842" s="33"/>
      <c r="AB842" s="33"/>
      <c r="AC842" s="33"/>
      <c r="AD842" s="33"/>
      <c r="AE842" s="33"/>
      <c r="AF842" s="33"/>
    </row>
    <row r="843" ht="15.75" customHeight="1">
      <c r="A843" s="52" t="s">
        <v>8960</v>
      </c>
      <c r="B843" s="89">
        <v>1.0</v>
      </c>
      <c r="C843" s="52" t="s">
        <v>8962</v>
      </c>
      <c r="D843" s="325" t="s">
        <v>8963</v>
      </c>
      <c r="E843" s="325" t="s">
        <v>8964</v>
      </c>
      <c r="F843" s="33"/>
      <c r="G843" s="33"/>
      <c r="H843" s="33"/>
      <c r="I843" s="33"/>
      <c r="J843" s="33"/>
      <c r="K843" s="33"/>
      <c r="L843" s="33"/>
      <c r="M843" s="33"/>
      <c r="N843" s="33"/>
      <c r="O843" s="33"/>
      <c r="P843" s="33"/>
      <c r="Q843" s="33"/>
      <c r="R843" s="33"/>
      <c r="S843" s="33"/>
      <c r="T843" s="33"/>
      <c r="U843" s="33"/>
      <c r="V843" s="33"/>
      <c r="W843" s="33"/>
      <c r="X843" s="33"/>
      <c r="Y843" s="33"/>
      <c r="Z843" s="33"/>
      <c r="AA843" s="33"/>
      <c r="AB843" s="33"/>
      <c r="AC843" s="33"/>
      <c r="AD843" s="33"/>
      <c r="AE843" s="33"/>
      <c r="AF843" s="33"/>
    </row>
    <row r="844" ht="15.75" customHeight="1">
      <c r="A844" s="52" t="s">
        <v>8960</v>
      </c>
      <c r="B844" s="89">
        <v>2.0</v>
      </c>
      <c r="C844" s="52" t="s">
        <v>8974</v>
      </c>
      <c r="D844" s="325" t="s">
        <v>8976</v>
      </c>
      <c r="E844" s="325" t="s">
        <v>8977</v>
      </c>
      <c r="F844" s="33"/>
      <c r="G844" s="33"/>
      <c r="H844" s="33"/>
      <c r="I844" s="33"/>
      <c r="J844" s="33"/>
      <c r="K844" s="33"/>
      <c r="L844" s="33"/>
      <c r="M844" s="33"/>
      <c r="N844" s="33"/>
      <c r="O844" s="33"/>
      <c r="P844" s="33"/>
      <c r="Q844" s="33"/>
      <c r="R844" s="33"/>
      <c r="S844" s="33"/>
      <c r="T844" s="33"/>
      <c r="U844" s="33"/>
      <c r="V844" s="33"/>
      <c r="W844" s="33"/>
      <c r="X844" s="33"/>
      <c r="Y844" s="33"/>
      <c r="Z844" s="33"/>
      <c r="AA844" s="33"/>
      <c r="AB844" s="33"/>
      <c r="AC844" s="33"/>
      <c r="AD844" s="33"/>
      <c r="AE844" s="33"/>
      <c r="AF844" s="33"/>
    </row>
    <row r="845" ht="15.75" customHeight="1">
      <c r="A845" s="52" t="s">
        <v>8960</v>
      </c>
      <c r="B845" s="89">
        <v>3.0</v>
      </c>
      <c r="C845" s="52" t="s">
        <v>8990</v>
      </c>
      <c r="D845" s="325" t="s">
        <v>8991</v>
      </c>
      <c r="E845" s="325" t="s">
        <v>8992</v>
      </c>
      <c r="F845" s="33"/>
      <c r="G845" s="33"/>
      <c r="H845" s="33"/>
      <c r="I845" s="33"/>
      <c r="J845" s="33"/>
      <c r="K845" s="33"/>
      <c r="L845" s="33"/>
      <c r="M845" s="33"/>
      <c r="N845" s="33"/>
      <c r="O845" s="33"/>
      <c r="P845" s="33"/>
      <c r="Q845" s="33"/>
      <c r="R845" s="33"/>
      <c r="S845" s="33"/>
      <c r="T845" s="33"/>
      <c r="U845" s="33"/>
      <c r="V845" s="33"/>
      <c r="W845" s="33"/>
      <c r="X845" s="33"/>
      <c r="Y845" s="33"/>
      <c r="Z845" s="33"/>
      <c r="AA845" s="33"/>
      <c r="AB845" s="33"/>
      <c r="AC845" s="33"/>
      <c r="AD845" s="33"/>
      <c r="AE845" s="33"/>
      <c r="AF845" s="33"/>
    </row>
    <row r="846" ht="15.75" customHeight="1">
      <c r="A846" s="52" t="s">
        <v>8960</v>
      </c>
      <c r="B846" s="89">
        <v>4.0</v>
      </c>
      <c r="C846" s="52" t="s">
        <v>9004</v>
      </c>
      <c r="D846" s="325" t="s">
        <v>9006</v>
      </c>
      <c r="E846" s="325" t="s">
        <v>9008</v>
      </c>
      <c r="F846" s="33"/>
      <c r="G846" s="33"/>
      <c r="H846" s="33"/>
      <c r="I846" s="33"/>
      <c r="J846" s="33"/>
      <c r="K846" s="33"/>
      <c r="L846" s="33"/>
      <c r="M846" s="33"/>
      <c r="N846" s="33"/>
      <c r="O846" s="33"/>
      <c r="P846" s="33"/>
      <c r="Q846" s="33"/>
      <c r="R846" s="33"/>
      <c r="S846" s="33"/>
      <c r="T846" s="33"/>
      <c r="U846" s="33"/>
      <c r="V846" s="33"/>
      <c r="W846" s="33"/>
      <c r="X846" s="33"/>
      <c r="Y846" s="33"/>
      <c r="Z846" s="33"/>
      <c r="AA846" s="33"/>
      <c r="AB846" s="33"/>
      <c r="AC846" s="33"/>
      <c r="AD846" s="33"/>
      <c r="AE846" s="33"/>
      <c r="AF846" s="33"/>
    </row>
    <row r="847" ht="15.75" customHeight="1">
      <c r="A847" s="52" t="s">
        <v>8960</v>
      </c>
      <c r="B847" s="89">
        <v>-777.0</v>
      </c>
      <c r="C847" s="31" t="s">
        <v>417</v>
      </c>
      <c r="D847" s="320" t="s">
        <v>418</v>
      </c>
      <c r="E847" s="320" t="s">
        <v>419</v>
      </c>
      <c r="F847" s="33"/>
      <c r="G847" s="33"/>
      <c r="H847" s="33"/>
      <c r="I847" s="33"/>
      <c r="J847" s="33"/>
      <c r="K847" s="33"/>
      <c r="L847" s="33"/>
      <c r="M847" s="33"/>
      <c r="N847" s="33"/>
      <c r="O847" s="33"/>
      <c r="P847" s="33"/>
      <c r="Q847" s="33"/>
      <c r="R847" s="33"/>
      <c r="S847" s="33"/>
      <c r="T847" s="33"/>
      <c r="U847" s="33"/>
      <c r="V847" s="33"/>
      <c r="W847" s="33"/>
      <c r="X847" s="33"/>
      <c r="Y847" s="33"/>
      <c r="Z847" s="33"/>
      <c r="AA847" s="33"/>
      <c r="AB847" s="33"/>
      <c r="AC847" s="33"/>
      <c r="AD847" s="33"/>
      <c r="AE847" s="33"/>
      <c r="AF847" s="33"/>
    </row>
    <row r="848" ht="15.75" customHeight="1">
      <c r="A848" s="100"/>
      <c r="B848" s="102"/>
      <c r="C848" s="31"/>
      <c r="D848" s="100"/>
      <c r="E848" s="165"/>
      <c r="F848" s="33"/>
      <c r="G848" s="33"/>
      <c r="H848" s="33"/>
      <c r="I848" s="33"/>
      <c r="J848" s="33"/>
      <c r="K848" s="33"/>
      <c r="L848" s="33"/>
      <c r="M848" s="33"/>
      <c r="N848" s="33"/>
      <c r="O848" s="33"/>
      <c r="P848" s="33"/>
      <c r="Q848" s="33"/>
      <c r="R848" s="33"/>
      <c r="S848" s="33"/>
      <c r="T848" s="33"/>
      <c r="U848" s="33"/>
      <c r="V848" s="33"/>
      <c r="W848" s="33"/>
      <c r="X848" s="33"/>
      <c r="Y848" s="33"/>
      <c r="Z848" s="33"/>
      <c r="AA848" s="33"/>
      <c r="AB848" s="33"/>
      <c r="AC848" s="33"/>
      <c r="AD848" s="33"/>
      <c r="AE848" s="33"/>
      <c r="AF848" s="33"/>
    </row>
    <row r="849" ht="15.75" customHeight="1">
      <c r="A849" s="52" t="s">
        <v>9041</v>
      </c>
      <c r="B849" s="89">
        <v>1.0</v>
      </c>
      <c r="C849" s="31" t="s">
        <v>9045</v>
      </c>
      <c r="D849" s="325" t="s">
        <v>9046</v>
      </c>
      <c r="E849" s="325" t="s">
        <v>9047</v>
      </c>
      <c r="F849" s="33"/>
      <c r="G849" s="33"/>
      <c r="H849" s="33"/>
      <c r="I849" s="33"/>
      <c r="J849" s="33"/>
      <c r="K849" s="33"/>
      <c r="L849" s="33"/>
      <c r="M849" s="33"/>
      <c r="N849" s="33"/>
      <c r="O849" s="33"/>
      <c r="P849" s="33"/>
      <c r="Q849" s="33"/>
      <c r="R849" s="33"/>
      <c r="S849" s="33"/>
      <c r="T849" s="33"/>
      <c r="U849" s="33"/>
      <c r="V849" s="33"/>
      <c r="W849" s="33"/>
      <c r="X849" s="33"/>
      <c r="Y849" s="33"/>
      <c r="Z849" s="33"/>
      <c r="AA849" s="33"/>
      <c r="AB849" s="33"/>
      <c r="AC849" s="33"/>
      <c r="AD849" s="33"/>
      <c r="AE849" s="33"/>
      <c r="AF849" s="33"/>
    </row>
    <row r="850" ht="15.75" customHeight="1">
      <c r="A850" s="52" t="s">
        <v>9041</v>
      </c>
      <c r="B850" s="89">
        <v>2.0</v>
      </c>
      <c r="C850" s="31" t="s">
        <v>6234</v>
      </c>
      <c r="D850" s="325" t="s">
        <v>6235</v>
      </c>
      <c r="E850" s="325" t="s">
        <v>6236</v>
      </c>
      <c r="F850" s="33"/>
      <c r="G850" s="33"/>
      <c r="H850" s="33"/>
      <c r="I850" s="33"/>
      <c r="J850" s="33"/>
      <c r="K850" s="33"/>
      <c r="L850" s="33"/>
      <c r="M850" s="33"/>
      <c r="N850" s="33"/>
      <c r="O850" s="33"/>
      <c r="P850" s="33"/>
      <c r="Q850" s="33"/>
      <c r="R850" s="33"/>
      <c r="S850" s="33"/>
      <c r="T850" s="33"/>
      <c r="U850" s="33"/>
      <c r="V850" s="33"/>
      <c r="W850" s="33"/>
      <c r="X850" s="33"/>
      <c r="Y850" s="33"/>
      <c r="Z850" s="33"/>
      <c r="AA850" s="33"/>
      <c r="AB850" s="33"/>
      <c r="AC850" s="33"/>
      <c r="AD850" s="33"/>
      <c r="AE850" s="33"/>
      <c r="AF850" s="33"/>
    </row>
    <row r="851" ht="15.75" customHeight="1">
      <c r="A851" s="52" t="s">
        <v>9041</v>
      </c>
      <c r="B851" s="89">
        <v>3.0</v>
      </c>
      <c r="C851" s="31" t="s">
        <v>1564</v>
      </c>
      <c r="D851" s="31" t="s">
        <v>1565</v>
      </c>
      <c r="E851" s="31" t="s">
        <v>1566</v>
      </c>
      <c r="F851" s="33"/>
      <c r="G851" s="33"/>
      <c r="H851" s="33"/>
      <c r="I851" s="33"/>
      <c r="J851" s="33"/>
      <c r="K851" s="33"/>
      <c r="L851" s="33"/>
      <c r="M851" s="33"/>
      <c r="N851" s="33"/>
      <c r="O851" s="33"/>
      <c r="P851" s="33"/>
      <c r="Q851" s="33"/>
      <c r="R851" s="33"/>
      <c r="S851" s="33"/>
      <c r="T851" s="33"/>
      <c r="U851" s="33"/>
      <c r="V851" s="33"/>
      <c r="W851" s="33"/>
      <c r="X851" s="33"/>
      <c r="Y851" s="33"/>
      <c r="Z851" s="33"/>
      <c r="AA851" s="33"/>
      <c r="AB851" s="33"/>
      <c r="AC851" s="33"/>
      <c r="AD851" s="33"/>
      <c r="AE851" s="33"/>
      <c r="AF851" s="33"/>
    </row>
    <row r="852" ht="15.75" customHeight="1">
      <c r="A852" s="52" t="s">
        <v>9041</v>
      </c>
      <c r="B852" s="89">
        <v>4.0</v>
      </c>
      <c r="C852" s="31" t="s">
        <v>1574</v>
      </c>
      <c r="D852" s="31" t="s">
        <v>1575</v>
      </c>
      <c r="E852" s="31" t="s">
        <v>1576</v>
      </c>
      <c r="F852" s="33"/>
      <c r="G852" s="33"/>
      <c r="H852" s="33"/>
      <c r="I852" s="33"/>
      <c r="J852" s="33"/>
      <c r="K852" s="33"/>
      <c r="L852" s="33"/>
      <c r="M852" s="33"/>
      <c r="N852" s="33"/>
      <c r="O852" s="33"/>
      <c r="P852" s="33"/>
      <c r="Q852" s="33"/>
      <c r="R852" s="33"/>
      <c r="S852" s="33"/>
      <c r="T852" s="33"/>
      <c r="U852" s="33"/>
      <c r="V852" s="33"/>
      <c r="W852" s="33"/>
      <c r="X852" s="33"/>
      <c r="Y852" s="33"/>
      <c r="Z852" s="33"/>
      <c r="AA852" s="33"/>
      <c r="AB852" s="33"/>
      <c r="AC852" s="33"/>
      <c r="AD852" s="33"/>
      <c r="AE852" s="33"/>
      <c r="AF852" s="33"/>
    </row>
    <row r="853" ht="15.75" customHeight="1">
      <c r="A853" s="52" t="s">
        <v>9041</v>
      </c>
      <c r="B853" s="89">
        <v>5.0</v>
      </c>
      <c r="C853" s="31" t="s">
        <v>1582</v>
      </c>
      <c r="D853" s="31" t="s">
        <v>1582</v>
      </c>
      <c r="E853" s="31" t="s">
        <v>1586</v>
      </c>
      <c r="F853" s="33"/>
      <c r="G853" s="33"/>
      <c r="H853" s="33"/>
      <c r="I853" s="33"/>
      <c r="J853" s="33"/>
      <c r="K853" s="33"/>
      <c r="L853" s="33"/>
      <c r="M853" s="33"/>
      <c r="N853" s="33"/>
      <c r="O853" s="33"/>
      <c r="P853" s="33"/>
      <c r="Q853" s="33"/>
      <c r="R853" s="33"/>
      <c r="S853" s="33"/>
      <c r="T853" s="33"/>
      <c r="U853" s="33"/>
      <c r="V853" s="33"/>
      <c r="W853" s="33"/>
      <c r="X853" s="33"/>
      <c r="Y853" s="33"/>
      <c r="Z853" s="33"/>
      <c r="AA853" s="33"/>
      <c r="AB853" s="33"/>
      <c r="AC853" s="33"/>
      <c r="AD853" s="33"/>
      <c r="AE853" s="33"/>
      <c r="AF853" s="33"/>
    </row>
    <row r="854" ht="15.75" customHeight="1">
      <c r="A854" s="52" t="s">
        <v>9041</v>
      </c>
      <c r="B854" s="89">
        <v>6.0</v>
      </c>
      <c r="C854" s="31" t="s">
        <v>1591</v>
      </c>
      <c r="D854" s="31" t="s">
        <v>1593</v>
      </c>
      <c r="E854" s="31" t="s">
        <v>1594</v>
      </c>
      <c r="F854" s="33"/>
      <c r="G854" s="33"/>
      <c r="H854" s="33"/>
      <c r="I854" s="33"/>
      <c r="J854" s="33"/>
      <c r="K854" s="33"/>
      <c r="L854" s="33"/>
      <c r="M854" s="33"/>
      <c r="N854" s="33"/>
      <c r="O854" s="33"/>
      <c r="P854" s="33"/>
      <c r="Q854" s="33"/>
      <c r="R854" s="33"/>
      <c r="S854" s="33"/>
      <c r="T854" s="33"/>
      <c r="U854" s="33"/>
      <c r="V854" s="33"/>
      <c r="W854" s="33"/>
      <c r="X854" s="33"/>
      <c r="Y854" s="33"/>
      <c r="Z854" s="33"/>
      <c r="AA854" s="33"/>
      <c r="AB854" s="33"/>
      <c r="AC854" s="33"/>
      <c r="AD854" s="33"/>
      <c r="AE854" s="33"/>
      <c r="AF854" s="33"/>
    </row>
    <row r="855" ht="15.75" customHeight="1">
      <c r="A855" s="52" t="s">
        <v>9041</v>
      </c>
      <c r="B855" s="89">
        <v>7.0</v>
      </c>
      <c r="C855" s="31" t="s">
        <v>1596</v>
      </c>
      <c r="D855" s="31" t="s">
        <v>1597</v>
      </c>
      <c r="E855" s="31" t="s">
        <v>1599</v>
      </c>
      <c r="F855" s="33"/>
      <c r="G855" s="33"/>
      <c r="H855" s="33"/>
      <c r="I855" s="33"/>
      <c r="J855" s="33"/>
      <c r="K855" s="33"/>
      <c r="L855" s="33"/>
      <c r="M855" s="33"/>
      <c r="N855" s="33"/>
      <c r="O855" s="33"/>
      <c r="P855" s="33"/>
      <c r="Q855" s="33"/>
      <c r="R855" s="33"/>
      <c r="S855" s="33"/>
      <c r="T855" s="33"/>
      <c r="U855" s="33"/>
      <c r="V855" s="33"/>
      <c r="W855" s="33"/>
      <c r="X855" s="33"/>
      <c r="Y855" s="33"/>
      <c r="Z855" s="33"/>
      <c r="AA855" s="33"/>
      <c r="AB855" s="33"/>
      <c r="AC855" s="33"/>
      <c r="AD855" s="33"/>
      <c r="AE855" s="33"/>
      <c r="AF855" s="33"/>
    </row>
    <row r="856" ht="15.75" customHeight="1">
      <c r="A856" s="52" t="s">
        <v>9041</v>
      </c>
      <c r="B856" s="89">
        <v>8.0</v>
      </c>
      <c r="C856" s="31" t="s">
        <v>1607</v>
      </c>
      <c r="D856" s="31" t="s">
        <v>1608</v>
      </c>
      <c r="E856" s="31" t="s">
        <v>1609</v>
      </c>
      <c r="F856" s="33"/>
      <c r="G856" s="33"/>
      <c r="H856" s="33"/>
      <c r="I856" s="33"/>
      <c r="J856" s="33"/>
      <c r="K856" s="33"/>
      <c r="L856" s="33"/>
      <c r="M856" s="33"/>
      <c r="N856" s="33"/>
      <c r="O856" s="33"/>
      <c r="P856" s="33"/>
      <c r="Q856" s="33"/>
      <c r="R856" s="33"/>
      <c r="S856" s="33"/>
      <c r="T856" s="33"/>
      <c r="U856" s="33"/>
      <c r="V856" s="33"/>
      <c r="W856" s="33"/>
      <c r="X856" s="33"/>
      <c r="Y856" s="33"/>
      <c r="Z856" s="33"/>
      <c r="AA856" s="33"/>
      <c r="AB856" s="33"/>
      <c r="AC856" s="33"/>
      <c r="AD856" s="33"/>
      <c r="AE856" s="33"/>
      <c r="AF856" s="33"/>
    </row>
    <row r="857" ht="15.75" customHeight="1">
      <c r="A857" s="52" t="s">
        <v>9041</v>
      </c>
      <c r="B857" s="89">
        <v>9.0</v>
      </c>
      <c r="C857" s="31" t="s">
        <v>1612</v>
      </c>
      <c r="D857" s="31" t="s">
        <v>1613</v>
      </c>
      <c r="E857" s="31" t="s">
        <v>1614</v>
      </c>
      <c r="F857" s="33"/>
      <c r="G857" s="33"/>
      <c r="H857" s="33"/>
      <c r="I857" s="33"/>
      <c r="J857" s="33"/>
      <c r="K857" s="33"/>
      <c r="L857" s="33"/>
      <c r="M857" s="33"/>
      <c r="N857" s="33"/>
      <c r="O857" s="33"/>
      <c r="P857" s="33"/>
      <c r="Q857" s="33"/>
      <c r="R857" s="33"/>
      <c r="S857" s="33"/>
      <c r="T857" s="33"/>
      <c r="U857" s="33"/>
      <c r="V857" s="33"/>
      <c r="W857" s="33"/>
      <c r="X857" s="33"/>
      <c r="Y857" s="33"/>
      <c r="Z857" s="33"/>
      <c r="AA857" s="33"/>
      <c r="AB857" s="33"/>
      <c r="AC857" s="33"/>
      <c r="AD857" s="33"/>
      <c r="AE857" s="33"/>
      <c r="AF857" s="33"/>
    </row>
    <row r="858" ht="15.75" customHeight="1">
      <c r="A858" s="52" t="s">
        <v>9041</v>
      </c>
      <c r="B858" s="89">
        <v>10.0</v>
      </c>
      <c r="C858" s="31" t="s">
        <v>1616</v>
      </c>
      <c r="D858" s="31" t="s">
        <v>1618</v>
      </c>
      <c r="E858" s="31" t="s">
        <v>1620</v>
      </c>
      <c r="F858" s="33"/>
      <c r="G858" s="33"/>
      <c r="H858" s="33"/>
      <c r="I858" s="33"/>
      <c r="J858" s="33"/>
      <c r="K858" s="33"/>
      <c r="L858" s="33"/>
      <c r="M858" s="33"/>
      <c r="N858" s="33"/>
      <c r="O858" s="33"/>
      <c r="P858" s="33"/>
      <c r="Q858" s="33"/>
      <c r="R858" s="33"/>
      <c r="S858" s="33"/>
      <c r="T858" s="33"/>
      <c r="U858" s="33"/>
      <c r="V858" s="33"/>
      <c r="W858" s="33"/>
      <c r="X858" s="33"/>
      <c r="Y858" s="33"/>
      <c r="Z858" s="33"/>
      <c r="AA858" s="33"/>
      <c r="AB858" s="33"/>
      <c r="AC858" s="33"/>
      <c r="AD858" s="33"/>
      <c r="AE858" s="33"/>
      <c r="AF858" s="33"/>
    </row>
    <row r="859" ht="15.75" customHeight="1">
      <c r="A859" s="52" t="s">
        <v>9041</v>
      </c>
      <c r="B859" s="89">
        <v>11.0</v>
      </c>
      <c r="C859" s="31" t="s">
        <v>1621</v>
      </c>
      <c r="D859" s="31" t="s">
        <v>1623</v>
      </c>
      <c r="E859" s="31" t="s">
        <v>1624</v>
      </c>
      <c r="F859" s="33"/>
      <c r="G859" s="33"/>
      <c r="H859" s="33"/>
      <c r="I859" s="33"/>
      <c r="J859" s="33"/>
      <c r="K859" s="33"/>
      <c r="L859" s="33"/>
      <c r="M859" s="33"/>
      <c r="N859" s="33"/>
      <c r="O859" s="33"/>
      <c r="P859" s="33"/>
      <c r="Q859" s="33"/>
      <c r="R859" s="33"/>
      <c r="S859" s="33"/>
      <c r="T859" s="33"/>
      <c r="U859" s="33"/>
      <c r="V859" s="33"/>
      <c r="W859" s="33"/>
      <c r="X859" s="33"/>
      <c r="Y859" s="33"/>
      <c r="Z859" s="33"/>
      <c r="AA859" s="33"/>
      <c r="AB859" s="33"/>
      <c r="AC859" s="33"/>
      <c r="AD859" s="33"/>
      <c r="AE859" s="33"/>
      <c r="AF859" s="33"/>
    </row>
    <row r="860" ht="15.75" customHeight="1">
      <c r="A860" s="52" t="s">
        <v>9041</v>
      </c>
      <c r="B860" s="89">
        <v>12.0</v>
      </c>
      <c r="C860" s="31" t="s">
        <v>1630</v>
      </c>
      <c r="D860" s="31" t="s">
        <v>1631</v>
      </c>
      <c r="E860" s="31" t="s">
        <v>1632</v>
      </c>
      <c r="F860" s="33"/>
      <c r="G860" s="33"/>
      <c r="H860" s="33"/>
      <c r="I860" s="33"/>
      <c r="J860" s="33"/>
      <c r="K860" s="33"/>
      <c r="L860" s="33"/>
      <c r="M860" s="33"/>
      <c r="N860" s="33"/>
      <c r="O860" s="33"/>
      <c r="P860" s="33"/>
      <c r="Q860" s="33"/>
      <c r="R860" s="33"/>
      <c r="S860" s="33"/>
      <c r="T860" s="33"/>
      <c r="U860" s="33"/>
      <c r="V860" s="33"/>
      <c r="W860" s="33"/>
      <c r="X860" s="33"/>
      <c r="Y860" s="33"/>
      <c r="Z860" s="33"/>
      <c r="AA860" s="33"/>
      <c r="AB860" s="33"/>
      <c r="AC860" s="33"/>
      <c r="AD860" s="33"/>
      <c r="AE860" s="33"/>
      <c r="AF860" s="33"/>
    </row>
    <row r="861" ht="15.75" customHeight="1">
      <c r="A861" s="52" t="s">
        <v>9041</v>
      </c>
      <c r="B861" s="89">
        <v>13.0</v>
      </c>
      <c r="C861" s="31" t="s">
        <v>1640</v>
      </c>
      <c r="D861" s="31" t="s">
        <v>1641</v>
      </c>
      <c r="E861" s="31" t="s">
        <v>1643</v>
      </c>
      <c r="F861" s="33"/>
      <c r="G861" s="33"/>
      <c r="H861" s="33"/>
      <c r="I861" s="33"/>
      <c r="J861" s="33"/>
      <c r="K861" s="33"/>
      <c r="L861" s="33"/>
      <c r="M861" s="33"/>
      <c r="N861" s="33"/>
      <c r="O861" s="33"/>
      <c r="P861" s="33"/>
      <c r="Q861" s="33"/>
      <c r="R861" s="33"/>
      <c r="S861" s="33"/>
      <c r="T861" s="33"/>
      <c r="U861" s="33"/>
      <c r="V861" s="33"/>
      <c r="W861" s="33"/>
      <c r="X861" s="33"/>
      <c r="Y861" s="33"/>
      <c r="Z861" s="33"/>
      <c r="AA861" s="33"/>
      <c r="AB861" s="33"/>
      <c r="AC861" s="33"/>
      <c r="AD861" s="33"/>
      <c r="AE861" s="33"/>
      <c r="AF861" s="33"/>
    </row>
    <row r="862" ht="15.75" customHeight="1">
      <c r="A862" s="52" t="s">
        <v>9041</v>
      </c>
      <c r="B862" s="89">
        <v>14.0</v>
      </c>
      <c r="C862" s="31" t="s">
        <v>1648</v>
      </c>
      <c r="D862" s="31" t="s">
        <v>1649</v>
      </c>
      <c r="E862" s="31" t="s">
        <v>1650</v>
      </c>
      <c r="F862" s="33"/>
      <c r="G862" s="33"/>
      <c r="H862" s="33"/>
      <c r="I862" s="33"/>
      <c r="J862" s="33"/>
      <c r="K862" s="33"/>
      <c r="L862" s="33"/>
      <c r="M862" s="33"/>
      <c r="N862" s="33"/>
      <c r="O862" s="33"/>
      <c r="P862" s="33"/>
      <c r="Q862" s="33"/>
      <c r="R862" s="33"/>
      <c r="S862" s="33"/>
      <c r="T862" s="33"/>
      <c r="U862" s="33"/>
      <c r="V862" s="33"/>
      <c r="W862" s="33"/>
      <c r="X862" s="33"/>
      <c r="Y862" s="33"/>
      <c r="Z862" s="33"/>
      <c r="AA862" s="33"/>
      <c r="AB862" s="33"/>
      <c r="AC862" s="33"/>
      <c r="AD862" s="33"/>
      <c r="AE862" s="33"/>
      <c r="AF862" s="33"/>
    </row>
    <row r="863" ht="15.75" customHeight="1">
      <c r="A863" s="52" t="s">
        <v>9041</v>
      </c>
      <c r="B863" s="89">
        <v>-777.0</v>
      </c>
      <c r="C863" s="52" t="s">
        <v>417</v>
      </c>
      <c r="D863" s="320" t="s">
        <v>418</v>
      </c>
      <c r="E863" s="320" t="s">
        <v>419</v>
      </c>
      <c r="F863" s="33"/>
      <c r="G863" s="33"/>
      <c r="H863" s="33"/>
      <c r="I863" s="33"/>
      <c r="J863" s="33"/>
      <c r="K863" s="33"/>
      <c r="L863" s="33"/>
      <c r="M863" s="33"/>
      <c r="N863" s="33"/>
      <c r="O863" s="33"/>
      <c r="P863" s="33"/>
      <c r="Q863" s="33"/>
      <c r="R863" s="33"/>
      <c r="S863" s="33"/>
      <c r="T863" s="33"/>
      <c r="U863" s="33"/>
      <c r="V863" s="33"/>
      <c r="W863" s="33"/>
      <c r="X863" s="33"/>
      <c r="Y863" s="33"/>
      <c r="Z863" s="33"/>
      <c r="AA863" s="33"/>
      <c r="AB863" s="33"/>
      <c r="AC863" s="33"/>
      <c r="AD863" s="33"/>
      <c r="AE863" s="33"/>
      <c r="AF863" s="33"/>
    </row>
    <row r="864" ht="15.75" customHeight="1">
      <c r="A864" s="100"/>
      <c r="B864" s="102"/>
      <c r="C864" s="100"/>
      <c r="D864" s="100"/>
      <c r="E864" s="165"/>
      <c r="F864" s="33"/>
      <c r="G864" s="33"/>
      <c r="H864" s="33"/>
      <c r="I864" s="33"/>
      <c r="J864" s="33"/>
      <c r="K864" s="33"/>
      <c r="L864" s="33"/>
      <c r="M864" s="33"/>
      <c r="N864" s="33"/>
      <c r="O864" s="33"/>
      <c r="P864" s="33"/>
      <c r="Q864" s="33"/>
      <c r="R864" s="33"/>
      <c r="S864" s="33"/>
      <c r="T864" s="33"/>
      <c r="U864" s="33"/>
      <c r="V864" s="33"/>
      <c r="W864" s="33"/>
      <c r="X864" s="33"/>
      <c r="Y864" s="33"/>
      <c r="Z864" s="33"/>
      <c r="AA864" s="33"/>
      <c r="AB864" s="33"/>
      <c r="AC864" s="33"/>
      <c r="AD864" s="33"/>
      <c r="AE864" s="33"/>
      <c r="AF864" s="33"/>
    </row>
    <row r="865" ht="15.75" customHeight="1">
      <c r="A865" s="110" t="s">
        <v>9226</v>
      </c>
      <c r="B865" s="327">
        <v>1.0</v>
      </c>
      <c r="C865" s="110" t="s">
        <v>9235</v>
      </c>
      <c r="D865" s="110" t="s">
        <v>9238</v>
      </c>
      <c r="E865" s="116" t="s">
        <v>9239</v>
      </c>
      <c r="F865" s="40"/>
      <c r="G865" s="40"/>
      <c r="H865" s="44"/>
      <c r="I865" s="44"/>
      <c r="J865" s="44"/>
      <c r="K865" s="44"/>
      <c r="L865" s="44"/>
      <c r="M865" s="44"/>
      <c r="N865" s="44"/>
      <c r="O865" s="44"/>
      <c r="P865" s="44"/>
      <c r="Q865" s="44"/>
      <c r="R865" s="44"/>
      <c r="S865" s="44"/>
      <c r="T865" s="44"/>
      <c r="U865" s="44"/>
      <c r="V865" s="44"/>
      <c r="W865" s="44"/>
      <c r="X865" s="44"/>
      <c r="Y865" s="44"/>
      <c r="Z865" s="44"/>
      <c r="AA865" s="44"/>
      <c r="AB865" s="44"/>
      <c r="AC865" s="44"/>
      <c r="AD865" s="44"/>
      <c r="AE865" s="44"/>
      <c r="AF865" s="44"/>
    </row>
    <row r="866" ht="15.75" customHeight="1">
      <c r="A866" s="147" t="s">
        <v>9226</v>
      </c>
      <c r="B866" s="328">
        <v>2.0</v>
      </c>
      <c r="C866" s="147" t="s">
        <v>9254</v>
      </c>
      <c r="D866" s="75" t="s">
        <v>9255</v>
      </c>
      <c r="E866" s="31" t="s">
        <v>9257</v>
      </c>
      <c r="F866" s="329"/>
      <c r="G866" s="329"/>
      <c r="H866" s="33"/>
      <c r="I866" s="33"/>
      <c r="J866" s="33"/>
      <c r="K866" s="33"/>
      <c r="L866" s="33"/>
      <c r="M866" s="33"/>
      <c r="N866" s="33"/>
      <c r="O866" s="33"/>
      <c r="P866" s="33"/>
      <c r="Q866" s="33"/>
      <c r="R866" s="33"/>
      <c r="S866" s="33"/>
      <c r="T866" s="33"/>
      <c r="U866" s="33"/>
      <c r="V866" s="33"/>
      <c r="W866" s="33"/>
      <c r="X866" s="33"/>
      <c r="Y866" s="33"/>
      <c r="Z866" s="33"/>
      <c r="AA866" s="33"/>
      <c r="AB866" s="33"/>
      <c r="AC866" s="33"/>
      <c r="AD866" s="33"/>
      <c r="AE866" s="33"/>
      <c r="AF866" s="33"/>
    </row>
    <row r="867" ht="15.75" customHeight="1">
      <c r="A867" s="147" t="s">
        <v>9226</v>
      </c>
      <c r="B867" s="328">
        <v>3.0</v>
      </c>
      <c r="C867" s="147" t="s">
        <v>9269</v>
      </c>
      <c r="D867" s="75" t="s">
        <v>9272</v>
      </c>
      <c r="E867" s="31" t="s">
        <v>9274</v>
      </c>
      <c r="F867" s="329"/>
      <c r="G867" s="329"/>
      <c r="H867" s="33"/>
      <c r="I867" s="33"/>
      <c r="J867" s="33"/>
      <c r="K867" s="33"/>
      <c r="L867" s="33"/>
      <c r="M867" s="33"/>
      <c r="N867" s="33"/>
      <c r="O867" s="33"/>
      <c r="P867" s="33"/>
      <c r="Q867" s="33"/>
      <c r="R867" s="33"/>
      <c r="S867" s="33"/>
      <c r="T867" s="33"/>
      <c r="U867" s="33"/>
      <c r="V867" s="33"/>
      <c r="W867" s="33"/>
      <c r="X867" s="33"/>
      <c r="Y867" s="33"/>
      <c r="Z867" s="33"/>
      <c r="AA867" s="33"/>
      <c r="AB867" s="33"/>
      <c r="AC867" s="33"/>
      <c r="AD867" s="33"/>
      <c r="AE867" s="33"/>
      <c r="AF867" s="33"/>
    </row>
    <row r="868" ht="15.75" customHeight="1">
      <c r="A868" s="100"/>
      <c r="B868" s="102"/>
      <c r="C868" s="100"/>
      <c r="D868" s="100"/>
      <c r="E868" s="165"/>
      <c r="F868" s="33"/>
      <c r="G868" s="33"/>
      <c r="H868" s="33"/>
      <c r="I868" s="33"/>
      <c r="J868" s="33"/>
      <c r="K868" s="33"/>
      <c r="L868" s="33"/>
      <c r="M868" s="33"/>
      <c r="N868" s="33"/>
      <c r="O868" s="33"/>
      <c r="P868" s="33"/>
      <c r="Q868" s="33"/>
      <c r="R868" s="33"/>
      <c r="S868" s="33"/>
      <c r="T868" s="33"/>
      <c r="U868" s="33"/>
      <c r="V868" s="33"/>
      <c r="W868" s="33"/>
      <c r="X868" s="33"/>
      <c r="Y868" s="33"/>
      <c r="Z868" s="33"/>
      <c r="AA868" s="33"/>
      <c r="AB868" s="33"/>
      <c r="AC868" s="33"/>
      <c r="AD868" s="33"/>
      <c r="AE868" s="33"/>
      <c r="AF868" s="33"/>
    </row>
    <row r="869" ht="15.75" customHeight="1">
      <c r="A869" s="100"/>
      <c r="B869" s="102"/>
      <c r="C869" s="100"/>
      <c r="D869" s="100"/>
      <c r="E869" s="165"/>
      <c r="F869" s="33"/>
      <c r="G869" s="33"/>
      <c r="H869" s="33"/>
      <c r="I869" s="33"/>
      <c r="J869" s="33"/>
      <c r="K869" s="33"/>
      <c r="L869" s="33"/>
      <c r="M869" s="33"/>
      <c r="N869" s="33"/>
      <c r="O869" s="33"/>
      <c r="P869" s="33"/>
      <c r="Q869" s="33"/>
      <c r="R869" s="33"/>
      <c r="S869" s="33"/>
      <c r="T869" s="33"/>
      <c r="U869" s="33"/>
      <c r="V869" s="33"/>
      <c r="W869" s="33"/>
      <c r="X869" s="33"/>
      <c r="Y869" s="33"/>
      <c r="Z869" s="33"/>
      <c r="AA869" s="33"/>
      <c r="AB869" s="33"/>
      <c r="AC869" s="33"/>
      <c r="AD869" s="33"/>
      <c r="AE869" s="33"/>
      <c r="AF869" s="33"/>
    </row>
    <row r="870" ht="15.75" customHeight="1">
      <c r="A870" s="100"/>
      <c r="B870" s="102"/>
      <c r="C870" s="100"/>
      <c r="D870" s="100"/>
      <c r="E870" s="165"/>
      <c r="F870" s="33"/>
      <c r="G870" s="33"/>
      <c r="H870" s="33"/>
      <c r="I870" s="33"/>
      <c r="J870" s="33"/>
      <c r="K870" s="33"/>
      <c r="L870" s="33"/>
      <c r="M870" s="33"/>
      <c r="N870" s="33"/>
      <c r="O870" s="33"/>
      <c r="P870" s="33"/>
      <c r="Q870" s="33"/>
      <c r="R870" s="33"/>
      <c r="S870" s="33"/>
      <c r="T870" s="33"/>
      <c r="U870" s="33"/>
      <c r="V870" s="33"/>
      <c r="W870" s="33"/>
      <c r="X870" s="33"/>
      <c r="Y870" s="33"/>
      <c r="Z870" s="33"/>
      <c r="AA870" s="33"/>
      <c r="AB870" s="33"/>
      <c r="AC870" s="33"/>
      <c r="AD870" s="33"/>
      <c r="AE870" s="33"/>
      <c r="AF870" s="33"/>
    </row>
    <row r="871" ht="15.75" customHeight="1">
      <c r="A871" s="100"/>
      <c r="B871" s="102"/>
      <c r="C871" s="100"/>
      <c r="D871" s="100"/>
      <c r="E871" s="165"/>
      <c r="F871" s="33"/>
      <c r="G871" s="33"/>
      <c r="H871" s="33"/>
      <c r="I871" s="33"/>
      <c r="J871" s="33"/>
      <c r="K871" s="33"/>
      <c r="L871" s="33"/>
      <c r="M871" s="33"/>
      <c r="N871" s="33"/>
      <c r="O871" s="33"/>
      <c r="P871" s="33"/>
      <c r="Q871" s="33"/>
      <c r="R871" s="33"/>
      <c r="S871" s="33"/>
      <c r="T871" s="33"/>
      <c r="U871" s="33"/>
      <c r="V871" s="33"/>
      <c r="W871" s="33"/>
      <c r="X871" s="33"/>
      <c r="Y871" s="33"/>
      <c r="Z871" s="33"/>
      <c r="AA871" s="33"/>
      <c r="AB871" s="33"/>
      <c r="AC871" s="33"/>
      <c r="AD871" s="33"/>
      <c r="AE871" s="33"/>
      <c r="AF871" s="33"/>
    </row>
    <row r="872" ht="15.75" customHeight="1">
      <c r="A872" s="100"/>
      <c r="B872" s="102"/>
      <c r="C872" s="100"/>
      <c r="D872" s="100"/>
      <c r="E872" s="165"/>
      <c r="F872" s="33"/>
      <c r="G872" s="33"/>
      <c r="H872" s="33"/>
      <c r="I872" s="33"/>
      <c r="J872" s="33"/>
      <c r="K872" s="33"/>
      <c r="L872" s="33"/>
      <c r="M872" s="33"/>
      <c r="N872" s="33"/>
      <c r="O872" s="33"/>
      <c r="P872" s="33"/>
      <c r="Q872" s="33"/>
      <c r="R872" s="33"/>
      <c r="S872" s="33"/>
      <c r="T872" s="33"/>
      <c r="U872" s="33"/>
      <c r="V872" s="33"/>
      <c r="W872" s="33"/>
      <c r="X872" s="33"/>
      <c r="Y872" s="33"/>
      <c r="Z872" s="33"/>
      <c r="AA872" s="33"/>
      <c r="AB872" s="33"/>
      <c r="AC872" s="33"/>
      <c r="AD872" s="33"/>
      <c r="AE872" s="33"/>
      <c r="AF872" s="33"/>
    </row>
    <row r="873" ht="15.75" customHeight="1">
      <c r="A873" s="100"/>
      <c r="B873" s="102"/>
      <c r="C873" s="100"/>
      <c r="D873" s="100"/>
      <c r="E873" s="165"/>
      <c r="F873" s="33"/>
      <c r="G873" s="33"/>
      <c r="H873" s="33"/>
      <c r="I873" s="33"/>
      <c r="J873" s="33"/>
      <c r="K873" s="33"/>
      <c r="L873" s="33"/>
      <c r="M873" s="33"/>
      <c r="N873" s="33"/>
      <c r="O873" s="33"/>
      <c r="P873" s="33"/>
      <c r="Q873" s="33"/>
      <c r="R873" s="33"/>
      <c r="S873" s="33"/>
      <c r="T873" s="33"/>
      <c r="U873" s="33"/>
      <c r="V873" s="33"/>
      <c r="W873" s="33"/>
      <c r="X873" s="33"/>
      <c r="Y873" s="33"/>
      <c r="Z873" s="33"/>
      <c r="AA873" s="33"/>
      <c r="AB873" s="33"/>
      <c r="AC873" s="33"/>
      <c r="AD873" s="33"/>
      <c r="AE873" s="33"/>
      <c r="AF873" s="33"/>
    </row>
    <row r="874" ht="15.75" customHeight="1">
      <c r="A874" s="100"/>
      <c r="B874" s="102"/>
      <c r="C874" s="100"/>
      <c r="D874" s="100"/>
      <c r="E874" s="165"/>
      <c r="F874" s="33"/>
      <c r="G874" s="33"/>
      <c r="H874" s="33"/>
      <c r="I874" s="33"/>
      <c r="J874" s="33"/>
      <c r="K874" s="33"/>
      <c r="L874" s="33"/>
      <c r="M874" s="33"/>
      <c r="N874" s="33"/>
      <c r="O874" s="33"/>
      <c r="P874" s="33"/>
      <c r="Q874" s="33"/>
      <c r="R874" s="33"/>
      <c r="S874" s="33"/>
      <c r="T874" s="33"/>
      <c r="U874" s="33"/>
      <c r="V874" s="33"/>
      <c r="W874" s="33"/>
      <c r="X874" s="33"/>
      <c r="Y874" s="33"/>
      <c r="Z874" s="33"/>
      <c r="AA874" s="33"/>
      <c r="AB874" s="33"/>
      <c r="AC874" s="33"/>
      <c r="AD874" s="33"/>
      <c r="AE874" s="33"/>
      <c r="AF874" s="33"/>
    </row>
    <row r="875" ht="15.75" customHeight="1">
      <c r="A875" s="100"/>
      <c r="B875" s="102"/>
      <c r="C875" s="100"/>
      <c r="D875" s="100"/>
      <c r="E875" s="165"/>
      <c r="F875" s="33"/>
      <c r="G875" s="33"/>
      <c r="H875" s="33"/>
      <c r="I875" s="33"/>
      <c r="J875" s="33"/>
      <c r="K875" s="33"/>
      <c r="L875" s="33"/>
      <c r="M875" s="33"/>
      <c r="N875" s="33"/>
      <c r="O875" s="33"/>
      <c r="P875" s="33"/>
      <c r="Q875" s="33"/>
      <c r="R875" s="33"/>
      <c r="S875" s="33"/>
      <c r="T875" s="33"/>
      <c r="U875" s="33"/>
      <c r="V875" s="33"/>
      <c r="W875" s="33"/>
      <c r="X875" s="33"/>
      <c r="Y875" s="33"/>
      <c r="Z875" s="33"/>
      <c r="AA875" s="33"/>
      <c r="AB875" s="33"/>
      <c r="AC875" s="33"/>
      <c r="AD875" s="33"/>
      <c r="AE875" s="33"/>
      <c r="AF875" s="33"/>
    </row>
    <row r="876" ht="15.75" customHeight="1">
      <c r="A876" s="100"/>
      <c r="B876" s="102"/>
      <c r="C876" s="100"/>
      <c r="D876" s="100"/>
      <c r="E876" s="165"/>
      <c r="F876" s="33"/>
      <c r="G876" s="33"/>
      <c r="H876" s="33"/>
      <c r="I876" s="33"/>
      <c r="J876" s="33"/>
      <c r="K876" s="33"/>
      <c r="L876" s="33"/>
      <c r="M876" s="33"/>
      <c r="N876" s="33"/>
      <c r="O876" s="33"/>
      <c r="P876" s="33"/>
      <c r="Q876" s="33"/>
      <c r="R876" s="33"/>
      <c r="S876" s="33"/>
      <c r="T876" s="33"/>
      <c r="U876" s="33"/>
      <c r="V876" s="33"/>
      <c r="W876" s="33"/>
      <c r="X876" s="33"/>
      <c r="Y876" s="33"/>
      <c r="Z876" s="33"/>
      <c r="AA876" s="33"/>
      <c r="AB876" s="33"/>
      <c r="AC876" s="33"/>
      <c r="AD876" s="33"/>
      <c r="AE876" s="33"/>
      <c r="AF876" s="33"/>
    </row>
    <row r="877" ht="15.75" customHeight="1">
      <c r="A877" s="100"/>
      <c r="B877" s="102"/>
      <c r="C877" s="100"/>
      <c r="D877" s="100"/>
      <c r="E877" s="165"/>
      <c r="F877" s="33"/>
      <c r="G877" s="33"/>
      <c r="H877" s="33"/>
      <c r="I877" s="33"/>
      <c r="J877" s="33"/>
      <c r="K877" s="33"/>
      <c r="L877" s="33"/>
      <c r="M877" s="33"/>
      <c r="N877" s="33"/>
      <c r="O877" s="33"/>
      <c r="P877" s="33"/>
      <c r="Q877" s="33"/>
      <c r="R877" s="33"/>
      <c r="S877" s="33"/>
      <c r="T877" s="33"/>
      <c r="U877" s="33"/>
      <c r="V877" s="33"/>
      <c r="W877" s="33"/>
      <c r="X877" s="33"/>
      <c r="Y877" s="33"/>
      <c r="Z877" s="33"/>
      <c r="AA877" s="33"/>
      <c r="AB877" s="33"/>
      <c r="AC877" s="33"/>
      <c r="AD877" s="33"/>
      <c r="AE877" s="33"/>
      <c r="AF877" s="33"/>
    </row>
    <row r="878" ht="15.75" customHeight="1">
      <c r="A878" s="100"/>
      <c r="B878" s="102"/>
      <c r="C878" s="100"/>
      <c r="D878" s="100"/>
      <c r="E878" s="165"/>
      <c r="F878" s="33"/>
      <c r="G878" s="33"/>
      <c r="H878" s="33"/>
      <c r="I878" s="33"/>
      <c r="J878" s="33"/>
      <c r="K878" s="33"/>
      <c r="L878" s="33"/>
      <c r="M878" s="33"/>
      <c r="N878" s="33"/>
      <c r="O878" s="33"/>
      <c r="P878" s="33"/>
      <c r="Q878" s="33"/>
      <c r="R878" s="33"/>
      <c r="S878" s="33"/>
      <c r="T878" s="33"/>
      <c r="U878" s="33"/>
      <c r="V878" s="33"/>
      <c r="W878" s="33"/>
      <c r="X878" s="33"/>
      <c r="Y878" s="33"/>
      <c r="Z878" s="33"/>
      <c r="AA878" s="33"/>
      <c r="AB878" s="33"/>
      <c r="AC878" s="33"/>
      <c r="AD878" s="33"/>
      <c r="AE878" s="33"/>
      <c r="AF878" s="33"/>
    </row>
    <row r="879" ht="15.75" customHeight="1">
      <c r="A879" s="100"/>
      <c r="B879" s="102"/>
      <c r="C879" s="100"/>
      <c r="D879" s="100"/>
      <c r="E879" s="165"/>
      <c r="F879" s="33"/>
      <c r="G879" s="33"/>
      <c r="H879" s="33"/>
      <c r="I879" s="33"/>
      <c r="J879" s="33"/>
      <c r="K879" s="33"/>
      <c r="L879" s="33"/>
      <c r="M879" s="33"/>
      <c r="N879" s="33"/>
      <c r="O879" s="33"/>
      <c r="P879" s="33"/>
      <c r="Q879" s="33"/>
      <c r="R879" s="33"/>
      <c r="S879" s="33"/>
      <c r="T879" s="33"/>
      <c r="U879" s="33"/>
      <c r="V879" s="33"/>
      <c r="W879" s="33"/>
      <c r="X879" s="33"/>
      <c r="Y879" s="33"/>
      <c r="Z879" s="33"/>
      <c r="AA879" s="33"/>
      <c r="AB879" s="33"/>
      <c r="AC879" s="33"/>
      <c r="AD879" s="33"/>
      <c r="AE879" s="33"/>
      <c r="AF879" s="33"/>
    </row>
    <row r="880" ht="15.75" customHeight="1">
      <c r="A880" s="100"/>
      <c r="B880" s="102"/>
      <c r="C880" s="100"/>
      <c r="D880" s="100"/>
      <c r="E880" s="165"/>
      <c r="F880" s="33"/>
      <c r="G880" s="33"/>
      <c r="H880" s="33"/>
      <c r="I880" s="33"/>
      <c r="J880" s="33"/>
      <c r="K880" s="33"/>
      <c r="L880" s="33"/>
      <c r="M880" s="33"/>
      <c r="N880" s="33"/>
      <c r="O880" s="33"/>
      <c r="P880" s="33"/>
      <c r="Q880" s="33"/>
      <c r="R880" s="33"/>
      <c r="S880" s="33"/>
      <c r="T880" s="33"/>
      <c r="U880" s="33"/>
      <c r="V880" s="33"/>
      <c r="W880" s="33"/>
      <c r="X880" s="33"/>
      <c r="Y880" s="33"/>
      <c r="Z880" s="33"/>
      <c r="AA880" s="33"/>
      <c r="AB880" s="33"/>
      <c r="AC880" s="33"/>
      <c r="AD880" s="33"/>
      <c r="AE880" s="33"/>
      <c r="AF880" s="33"/>
    </row>
    <row r="881" ht="15.75" customHeight="1">
      <c r="A881" s="100"/>
      <c r="B881" s="102"/>
      <c r="C881" s="100"/>
      <c r="D881" s="100"/>
      <c r="E881" s="165"/>
      <c r="F881" s="33"/>
      <c r="G881" s="33"/>
      <c r="H881" s="33"/>
      <c r="I881" s="33"/>
      <c r="J881" s="33"/>
      <c r="K881" s="33"/>
      <c r="L881" s="33"/>
      <c r="M881" s="33"/>
      <c r="N881" s="33"/>
      <c r="O881" s="33"/>
      <c r="P881" s="33"/>
      <c r="Q881" s="33"/>
      <c r="R881" s="33"/>
      <c r="S881" s="33"/>
      <c r="T881" s="33"/>
      <c r="U881" s="33"/>
      <c r="V881" s="33"/>
      <c r="W881" s="33"/>
      <c r="X881" s="33"/>
      <c r="Y881" s="33"/>
      <c r="Z881" s="33"/>
      <c r="AA881" s="33"/>
      <c r="AB881" s="33"/>
      <c r="AC881" s="33"/>
      <c r="AD881" s="33"/>
      <c r="AE881" s="33"/>
      <c r="AF881" s="33"/>
    </row>
    <row r="882" ht="15.75" customHeight="1">
      <c r="A882" s="100"/>
      <c r="B882" s="102"/>
      <c r="C882" s="100"/>
      <c r="D882" s="100"/>
      <c r="E882" s="165"/>
      <c r="F882" s="33"/>
      <c r="G882" s="33"/>
      <c r="H882" s="33"/>
      <c r="I882" s="33"/>
      <c r="J882" s="33"/>
      <c r="K882" s="33"/>
      <c r="L882" s="33"/>
      <c r="M882" s="33"/>
      <c r="N882" s="33"/>
      <c r="O882" s="33"/>
      <c r="P882" s="33"/>
      <c r="Q882" s="33"/>
      <c r="R882" s="33"/>
      <c r="S882" s="33"/>
      <c r="T882" s="33"/>
      <c r="U882" s="33"/>
      <c r="V882" s="33"/>
      <c r="W882" s="33"/>
      <c r="X882" s="33"/>
      <c r="Y882" s="33"/>
      <c r="Z882" s="33"/>
      <c r="AA882" s="33"/>
      <c r="AB882" s="33"/>
      <c r="AC882" s="33"/>
      <c r="AD882" s="33"/>
      <c r="AE882" s="33"/>
      <c r="AF882" s="33"/>
    </row>
    <row r="883" ht="15.75" customHeight="1">
      <c r="A883" s="100"/>
      <c r="B883" s="102"/>
      <c r="C883" s="100"/>
      <c r="D883" s="100"/>
      <c r="E883" s="165"/>
      <c r="F883" s="33"/>
      <c r="G883" s="33"/>
      <c r="H883" s="33"/>
      <c r="I883" s="33"/>
      <c r="J883" s="33"/>
      <c r="K883" s="33"/>
      <c r="L883" s="33"/>
      <c r="M883" s="33"/>
      <c r="N883" s="33"/>
      <c r="O883" s="33"/>
      <c r="P883" s="33"/>
      <c r="Q883" s="33"/>
      <c r="R883" s="33"/>
      <c r="S883" s="33"/>
      <c r="T883" s="33"/>
      <c r="U883" s="33"/>
      <c r="V883" s="33"/>
      <c r="W883" s="33"/>
      <c r="X883" s="33"/>
      <c r="Y883" s="33"/>
      <c r="Z883" s="33"/>
      <c r="AA883" s="33"/>
      <c r="AB883" s="33"/>
      <c r="AC883" s="33"/>
      <c r="AD883" s="33"/>
      <c r="AE883" s="33"/>
      <c r="AF883" s="33"/>
    </row>
    <row r="884" ht="15.75" customHeight="1">
      <c r="A884" s="100"/>
      <c r="B884" s="102"/>
      <c r="C884" s="100"/>
      <c r="D884" s="100"/>
      <c r="E884" s="165"/>
      <c r="F884" s="33"/>
      <c r="G884" s="33"/>
      <c r="H884" s="33"/>
      <c r="I884" s="33"/>
      <c r="J884" s="33"/>
      <c r="K884" s="33"/>
      <c r="L884" s="33"/>
      <c r="M884" s="33"/>
      <c r="N884" s="33"/>
      <c r="O884" s="33"/>
      <c r="P884" s="33"/>
      <c r="Q884" s="33"/>
      <c r="R884" s="33"/>
      <c r="S884" s="33"/>
      <c r="T884" s="33"/>
      <c r="U884" s="33"/>
      <c r="V884" s="33"/>
      <c r="W884" s="33"/>
      <c r="X884" s="33"/>
      <c r="Y884" s="33"/>
      <c r="Z884" s="33"/>
      <c r="AA884" s="33"/>
      <c r="AB884" s="33"/>
      <c r="AC884" s="33"/>
      <c r="AD884" s="33"/>
      <c r="AE884" s="33"/>
      <c r="AF884" s="33"/>
    </row>
    <row r="885" ht="15.75" customHeight="1">
      <c r="A885" s="100"/>
      <c r="B885" s="102"/>
      <c r="C885" s="100"/>
      <c r="D885" s="100"/>
      <c r="E885" s="165"/>
      <c r="F885" s="33"/>
      <c r="G885" s="33"/>
      <c r="H885" s="33"/>
      <c r="I885" s="33"/>
      <c r="J885" s="33"/>
      <c r="K885" s="33"/>
      <c r="L885" s="33"/>
      <c r="M885" s="33"/>
      <c r="N885" s="33"/>
      <c r="O885" s="33"/>
      <c r="P885" s="33"/>
      <c r="Q885" s="33"/>
      <c r="R885" s="33"/>
      <c r="S885" s="33"/>
      <c r="T885" s="33"/>
      <c r="U885" s="33"/>
      <c r="V885" s="33"/>
      <c r="W885" s="33"/>
      <c r="X885" s="33"/>
      <c r="Y885" s="33"/>
      <c r="Z885" s="33"/>
      <c r="AA885" s="33"/>
      <c r="AB885" s="33"/>
      <c r="AC885" s="33"/>
      <c r="AD885" s="33"/>
      <c r="AE885" s="33"/>
      <c r="AF885" s="33"/>
    </row>
    <row r="886" ht="15.75" customHeight="1">
      <c r="A886" s="100"/>
      <c r="B886" s="102"/>
      <c r="C886" s="100"/>
      <c r="D886" s="100"/>
      <c r="E886" s="165"/>
      <c r="F886" s="33"/>
      <c r="G886" s="33"/>
      <c r="H886" s="33"/>
      <c r="I886" s="33"/>
      <c r="J886" s="33"/>
      <c r="K886" s="33"/>
      <c r="L886" s="33"/>
      <c r="M886" s="33"/>
      <c r="N886" s="33"/>
      <c r="O886" s="33"/>
      <c r="P886" s="33"/>
      <c r="Q886" s="33"/>
      <c r="R886" s="33"/>
      <c r="S886" s="33"/>
      <c r="T886" s="33"/>
      <c r="U886" s="33"/>
      <c r="V886" s="33"/>
      <c r="W886" s="33"/>
      <c r="X886" s="33"/>
      <c r="Y886" s="33"/>
      <c r="Z886" s="33"/>
      <c r="AA886" s="33"/>
      <c r="AB886" s="33"/>
      <c r="AC886" s="33"/>
      <c r="AD886" s="33"/>
      <c r="AE886" s="33"/>
      <c r="AF886" s="33"/>
    </row>
    <row r="887" ht="15.75" customHeight="1">
      <c r="A887" s="100"/>
      <c r="B887" s="102"/>
      <c r="C887" s="100"/>
      <c r="D887" s="100"/>
      <c r="E887" s="165"/>
      <c r="F887" s="33"/>
      <c r="G887" s="33"/>
      <c r="H887" s="33"/>
      <c r="I887" s="33"/>
      <c r="J887" s="33"/>
      <c r="K887" s="33"/>
      <c r="L887" s="33"/>
      <c r="M887" s="33"/>
      <c r="N887" s="33"/>
      <c r="O887" s="33"/>
      <c r="P887" s="33"/>
      <c r="Q887" s="33"/>
      <c r="R887" s="33"/>
      <c r="S887" s="33"/>
      <c r="T887" s="33"/>
      <c r="U887" s="33"/>
      <c r="V887" s="33"/>
      <c r="W887" s="33"/>
      <c r="X887" s="33"/>
      <c r="Y887" s="33"/>
      <c r="Z887" s="33"/>
      <c r="AA887" s="33"/>
      <c r="AB887" s="33"/>
      <c r="AC887" s="33"/>
      <c r="AD887" s="33"/>
      <c r="AE887" s="33"/>
      <c r="AF887" s="33"/>
    </row>
    <row r="888" ht="15.75" customHeight="1">
      <c r="A888" s="100"/>
      <c r="B888" s="102"/>
      <c r="C888" s="100"/>
      <c r="D888" s="100"/>
      <c r="E888" s="165"/>
      <c r="F888" s="33"/>
      <c r="G888" s="33"/>
      <c r="H888" s="33"/>
      <c r="I888" s="33"/>
      <c r="J888" s="33"/>
      <c r="K888" s="33"/>
      <c r="L888" s="33"/>
      <c r="M888" s="33"/>
      <c r="N888" s="33"/>
      <c r="O888" s="33"/>
      <c r="P888" s="33"/>
      <c r="Q888" s="33"/>
      <c r="R888" s="33"/>
      <c r="S888" s="33"/>
      <c r="T888" s="33"/>
      <c r="U888" s="33"/>
      <c r="V888" s="33"/>
      <c r="W888" s="33"/>
      <c r="X888" s="33"/>
      <c r="Y888" s="33"/>
      <c r="Z888" s="33"/>
      <c r="AA888" s="33"/>
      <c r="AB888" s="33"/>
      <c r="AC888" s="33"/>
      <c r="AD888" s="33"/>
      <c r="AE888" s="33"/>
      <c r="AF888" s="33"/>
    </row>
    <row r="889" ht="15.75" customHeight="1">
      <c r="A889" s="100"/>
      <c r="B889" s="102"/>
      <c r="C889" s="100"/>
      <c r="D889" s="100"/>
      <c r="E889" s="165"/>
      <c r="F889" s="33"/>
      <c r="G889" s="33"/>
      <c r="H889" s="33"/>
      <c r="I889" s="33"/>
      <c r="J889" s="33"/>
      <c r="K889" s="33"/>
      <c r="L889" s="33"/>
      <c r="M889" s="33"/>
      <c r="N889" s="33"/>
      <c r="O889" s="33"/>
      <c r="P889" s="33"/>
      <c r="Q889" s="33"/>
      <c r="R889" s="33"/>
      <c r="S889" s="33"/>
      <c r="T889" s="33"/>
      <c r="U889" s="33"/>
      <c r="V889" s="33"/>
      <c r="W889" s="33"/>
      <c r="X889" s="33"/>
      <c r="Y889" s="33"/>
      <c r="Z889" s="33"/>
      <c r="AA889" s="33"/>
      <c r="AB889" s="33"/>
      <c r="AC889" s="33"/>
      <c r="AD889" s="33"/>
      <c r="AE889" s="33"/>
      <c r="AF889" s="33"/>
    </row>
    <row r="890" ht="15.75" customHeight="1">
      <c r="A890" s="100"/>
      <c r="B890" s="102"/>
      <c r="C890" s="100"/>
      <c r="D890" s="100"/>
      <c r="E890" s="165"/>
      <c r="F890" s="33"/>
      <c r="G890" s="33"/>
      <c r="H890" s="33"/>
      <c r="I890" s="33"/>
      <c r="J890" s="33"/>
      <c r="K890" s="33"/>
      <c r="L890" s="33"/>
      <c r="M890" s="33"/>
      <c r="N890" s="33"/>
      <c r="O890" s="33"/>
      <c r="P890" s="33"/>
      <c r="Q890" s="33"/>
      <c r="R890" s="33"/>
      <c r="S890" s="33"/>
      <c r="T890" s="33"/>
      <c r="U890" s="33"/>
      <c r="V890" s="33"/>
      <c r="W890" s="33"/>
      <c r="X890" s="33"/>
      <c r="Y890" s="33"/>
      <c r="Z890" s="33"/>
      <c r="AA890" s="33"/>
      <c r="AB890" s="33"/>
      <c r="AC890" s="33"/>
      <c r="AD890" s="33"/>
      <c r="AE890" s="33"/>
      <c r="AF890" s="33"/>
    </row>
    <row r="891" ht="15.75" customHeight="1">
      <c r="A891" s="100"/>
      <c r="B891" s="102"/>
      <c r="C891" s="100"/>
      <c r="D891" s="100"/>
      <c r="E891" s="165"/>
      <c r="F891" s="33"/>
      <c r="G891" s="33"/>
      <c r="H891" s="33"/>
      <c r="I891" s="33"/>
      <c r="J891" s="33"/>
      <c r="K891" s="33"/>
      <c r="L891" s="33"/>
      <c r="M891" s="33"/>
      <c r="N891" s="33"/>
      <c r="O891" s="33"/>
      <c r="P891" s="33"/>
      <c r="Q891" s="33"/>
      <c r="R891" s="33"/>
      <c r="S891" s="33"/>
      <c r="T891" s="33"/>
      <c r="U891" s="33"/>
      <c r="V891" s="33"/>
      <c r="W891" s="33"/>
      <c r="X891" s="33"/>
      <c r="Y891" s="33"/>
      <c r="Z891" s="33"/>
      <c r="AA891" s="33"/>
      <c r="AB891" s="33"/>
      <c r="AC891" s="33"/>
      <c r="AD891" s="33"/>
      <c r="AE891" s="33"/>
      <c r="AF891" s="33"/>
    </row>
    <row r="892" ht="15.75" customHeight="1">
      <c r="A892" s="100"/>
      <c r="B892" s="102"/>
      <c r="C892" s="100"/>
      <c r="D892" s="100"/>
      <c r="E892" s="165"/>
      <c r="F892" s="33"/>
      <c r="G892" s="33"/>
      <c r="H892" s="33"/>
      <c r="I892" s="33"/>
      <c r="J892" s="33"/>
      <c r="K892" s="33"/>
      <c r="L892" s="33"/>
      <c r="M892" s="33"/>
      <c r="N892" s="33"/>
      <c r="O892" s="33"/>
      <c r="P892" s="33"/>
      <c r="Q892" s="33"/>
      <c r="R892" s="33"/>
      <c r="S892" s="33"/>
      <c r="T892" s="33"/>
      <c r="U892" s="33"/>
      <c r="V892" s="33"/>
      <c r="W892" s="33"/>
      <c r="X892" s="33"/>
      <c r="Y892" s="33"/>
      <c r="Z892" s="33"/>
      <c r="AA892" s="33"/>
      <c r="AB892" s="33"/>
      <c r="AC892" s="33"/>
      <c r="AD892" s="33"/>
      <c r="AE892" s="33"/>
      <c r="AF892" s="33"/>
    </row>
    <row r="893" ht="15.75" customHeight="1">
      <c r="A893" s="100"/>
      <c r="B893" s="102"/>
      <c r="C893" s="100"/>
      <c r="D893" s="100"/>
      <c r="E893" s="165"/>
      <c r="F893" s="33"/>
      <c r="G893" s="33"/>
      <c r="H893" s="33"/>
      <c r="I893" s="33"/>
      <c r="J893" s="33"/>
      <c r="K893" s="33"/>
      <c r="L893" s="33"/>
      <c r="M893" s="33"/>
      <c r="N893" s="33"/>
      <c r="O893" s="33"/>
      <c r="P893" s="33"/>
      <c r="Q893" s="33"/>
      <c r="R893" s="33"/>
      <c r="S893" s="33"/>
      <c r="T893" s="33"/>
      <c r="U893" s="33"/>
      <c r="V893" s="33"/>
      <c r="W893" s="33"/>
      <c r="X893" s="33"/>
      <c r="Y893" s="33"/>
      <c r="Z893" s="33"/>
      <c r="AA893" s="33"/>
      <c r="AB893" s="33"/>
      <c r="AC893" s="33"/>
      <c r="AD893" s="33"/>
      <c r="AE893" s="33"/>
      <c r="AF893" s="33"/>
    </row>
    <row r="894" ht="15.75" customHeight="1">
      <c r="A894" s="100"/>
      <c r="B894" s="102"/>
      <c r="C894" s="100"/>
      <c r="D894" s="100"/>
      <c r="E894" s="165"/>
      <c r="F894" s="33"/>
      <c r="G894" s="33"/>
      <c r="H894" s="33"/>
      <c r="I894" s="33"/>
      <c r="J894" s="33"/>
      <c r="K894" s="33"/>
      <c r="L894" s="33"/>
      <c r="M894" s="33"/>
      <c r="N894" s="33"/>
      <c r="O894" s="33"/>
      <c r="P894" s="33"/>
      <c r="Q894" s="33"/>
      <c r="R894" s="33"/>
      <c r="S894" s="33"/>
      <c r="T894" s="33"/>
      <c r="U894" s="33"/>
      <c r="V894" s="33"/>
      <c r="W894" s="33"/>
      <c r="X894" s="33"/>
      <c r="Y894" s="33"/>
      <c r="Z894" s="33"/>
      <c r="AA894" s="33"/>
      <c r="AB894" s="33"/>
      <c r="AC894" s="33"/>
      <c r="AD894" s="33"/>
      <c r="AE894" s="33"/>
      <c r="AF894" s="33"/>
    </row>
    <row r="895" ht="15.75" customHeight="1">
      <c r="A895" s="100"/>
      <c r="B895" s="102"/>
      <c r="C895" s="100"/>
      <c r="D895" s="100"/>
      <c r="E895" s="165"/>
      <c r="F895" s="33"/>
      <c r="G895" s="33"/>
      <c r="H895" s="33"/>
      <c r="I895" s="33"/>
      <c r="J895" s="33"/>
      <c r="K895" s="33"/>
      <c r="L895" s="33"/>
      <c r="M895" s="33"/>
      <c r="N895" s="33"/>
      <c r="O895" s="33"/>
      <c r="P895" s="33"/>
      <c r="Q895" s="33"/>
      <c r="R895" s="33"/>
      <c r="S895" s="33"/>
      <c r="T895" s="33"/>
      <c r="U895" s="33"/>
      <c r="V895" s="33"/>
      <c r="W895" s="33"/>
      <c r="X895" s="33"/>
      <c r="Y895" s="33"/>
      <c r="Z895" s="33"/>
      <c r="AA895" s="33"/>
      <c r="AB895" s="33"/>
      <c r="AC895" s="33"/>
      <c r="AD895" s="33"/>
      <c r="AE895" s="33"/>
      <c r="AF895" s="33"/>
    </row>
    <row r="896" ht="15.75" customHeight="1">
      <c r="A896" s="100"/>
      <c r="B896" s="102"/>
      <c r="C896" s="100"/>
      <c r="D896" s="100"/>
      <c r="E896" s="165"/>
      <c r="F896" s="33"/>
      <c r="G896" s="33"/>
      <c r="H896" s="33"/>
      <c r="I896" s="33"/>
      <c r="J896" s="33"/>
      <c r="K896" s="33"/>
      <c r="L896" s="33"/>
      <c r="M896" s="33"/>
      <c r="N896" s="33"/>
      <c r="O896" s="33"/>
      <c r="P896" s="33"/>
      <c r="Q896" s="33"/>
      <c r="R896" s="33"/>
      <c r="S896" s="33"/>
      <c r="T896" s="33"/>
      <c r="U896" s="33"/>
      <c r="V896" s="33"/>
      <c r="W896" s="33"/>
      <c r="X896" s="33"/>
      <c r="Y896" s="33"/>
      <c r="Z896" s="33"/>
      <c r="AA896" s="33"/>
      <c r="AB896" s="33"/>
      <c r="AC896" s="33"/>
      <c r="AD896" s="33"/>
      <c r="AE896" s="33"/>
      <c r="AF896" s="33"/>
    </row>
    <row r="897" ht="15.75" customHeight="1">
      <c r="A897" s="100"/>
      <c r="B897" s="102"/>
      <c r="C897" s="100"/>
      <c r="D897" s="100"/>
      <c r="E897" s="165"/>
      <c r="F897" s="33"/>
      <c r="G897" s="33"/>
      <c r="H897" s="33"/>
      <c r="I897" s="33"/>
      <c r="J897" s="33"/>
      <c r="K897" s="33"/>
      <c r="L897" s="33"/>
      <c r="M897" s="33"/>
      <c r="N897" s="33"/>
      <c r="O897" s="33"/>
      <c r="P897" s="33"/>
      <c r="Q897" s="33"/>
      <c r="R897" s="33"/>
      <c r="S897" s="33"/>
      <c r="T897" s="33"/>
      <c r="U897" s="33"/>
      <c r="V897" s="33"/>
      <c r="W897" s="33"/>
      <c r="X897" s="33"/>
      <c r="Y897" s="33"/>
      <c r="Z897" s="33"/>
      <c r="AA897" s="33"/>
      <c r="AB897" s="33"/>
      <c r="AC897" s="33"/>
      <c r="AD897" s="33"/>
      <c r="AE897" s="33"/>
      <c r="AF897" s="33"/>
    </row>
    <row r="898" ht="15.75" customHeight="1">
      <c r="A898" s="100"/>
      <c r="B898" s="102"/>
      <c r="C898" s="100"/>
      <c r="D898" s="100"/>
      <c r="E898" s="165"/>
      <c r="F898" s="33"/>
      <c r="G898" s="33"/>
      <c r="H898" s="33"/>
      <c r="I898" s="33"/>
      <c r="J898" s="33"/>
      <c r="K898" s="33"/>
      <c r="L898" s="33"/>
      <c r="M898" s="33"/>
      <c r="N898" s="33"/>
      <c r="O898" s="33"/>
      <c r="P898" s="33"/>
      <c r="Q898" s="33"/>
      <c r="R898" s="33"/>
      <c r="S898" s="33"/>
      <c r="T898" s="33"/>
      <c r="U898" s="33"/>
      <c r="V898" s="33"/>
      <c r="W898" s="33"/>
      <c r="X898" s="33"/>
      <c r="Y898" s="33"/>
      <c r="Z898" s="33"/>
      <c r="AA898" s="33"/>
      <c r="AB898" s="33"/>
      <c r="AC898" s="33"/>
      <c r="AD898" s="33"/>
      <c r="AE898" s="33"/>
      <c r="AF898" s="33"/>
    </row>
    <row r="899" ht="15.75" customHeight="1">
      <c r="A899" s="100"/>
      <c r="B899" s="102"/>
      <c r="C899" s="100"/>
      <c r="D899" s="100"/>
      <c r="E899" s="165"/>
      <c r="F899" s="33"/>
      <c r="G899" s="33"/>
      <c r="H899" s="33"/>
      <c r="I899" s="33"/>
      <c r="J899" s="33"/>
      <c r="K899" s="33"/>
      <c r="L899" s="33"/>
      <c r="M899" s="33"/>
      <c r="N899" s="33"/>
      <c r="O899" s="33"/>
      <c r="P899" s="33"/>
      <c r="Q899" s="33"/>
      <c r="R899" s="33"/>
      <c r="S899" s="33"/>
      <c r="T899" s="33"/>
      <c r="U899" s="33"/>
      <c r="V899" s="33"/>
      <c r="W899" s="33"/>
      <c r="X899" s="33"/>
      <c r="Y899" s="33"/>
      <c r="Z899" s="33"/>
      <c r="AA899" s="33"/>
      <c r="AB899" s="33"/>
      <c r="AC899" s="33"/>
      <c r="AD899" s="33"/>
      <c r="AE899" s="33"/>
      <c r="AF899" s="33"/>
    </row>
    <row r="900" ht="15.75" customHeight="1">
      <c r="A900" s="100"/>
      <c r="B900" s="102"/>
      <c r="C900" s="100"/>
      <c r="D900" s="100"/>
      <c r="E900" s="165"/>
      <c r="F900" s="33"/>
      <c r="G900" s="33"/>
      <c r="H900" s="33"/>
      <c r="I900" s="33"/>
      <c r="J900" s="33"/>
      <c r="K900" s="33"/>
      <c r="L900" s="33"/>
      <c r="M900" s="33"/>
      <c r="N900" s="33"/>
      <c r="O900" s="33"/>
      <c r="P900" s="33"/>
      <c r="Q900" s="33"/>
      <c r="R900" s="33"/>
      <c r="S900" s="33"/>
      <c r="T900" s="33"/>
      <c r="U900" s="33"/>
      <c r="V900" s="33"/>
      <c r="W900" s="33"/>
      <c r="X900" s="33"/>
      <c r="Y900" s="33"/>
      <c r="Z900" s="33"/>
      <c r="AA900" s="33"/>
      <c r="AB900" s="33"/>
      <c r="AC900" s="33"/>
      <c r="AD900" s="33"/>
      <c r="AE900" s="33"/>
      <c r="AF900" s="33"/>
    </row>
    <row r="901" ht="15.75" customHeight="1">
      <c r="A901" s="100"/>
      <c r="B901" s="102"/>
      <c r="C901" s="100"/>
      <c r="D901" s="100"/>
      <c r="E901" s="165"/>
      <c r="F901" s="33"/>
      <c r="G901" s="33"/>
      <c r="H901" s="33"/>
      <c r="I901" s="33"/>
      <c r="J901" s="33"/>
      <c r="K901" s="33"/>
      <c r="L901" s="33"/>
      <c r="M901" s="33"/>
      <c r="N901" s="33"/>
      <c r="O901" s="33"/>
      <c r="P901" s="33"/>
      <c r="Q901" s="33"/>
      <c r="R901" s="33"/>
      <c r="S901" s="33"/>
      <c r="T901" s="33"/>
      <c r="U901" s="33"/>
      <c r="V901" s="33"/>
      <c r="W901" s="33"/>
      <c r="X901" s="33"/>
      <c r="Y901" s="33"/>
      <c r="Z901" s="33"/>
      <c r="AA901" s="33"/>
      <c r="AB901" s="33"/>
      <c r="AC901" s="33"/>
      <c r="AD901" s="33"/>
      <c r="AE901" s="33"/>
      <c r="AF901" s="33"/>
    </row>
    <row r="902" ht="15.75" customHeight="1">
      <c r="A902" s="100"/>
      <c r="B902" s="102"/>
      <c r="C902" s="100"/>
      <c r="D902" s="100"/>
      <c r="E902" s="165"/>
      <c r="F902" s="33"/>
      <c r="G902" s="33"/>
      <c r="H902" s="33"/>
      <c r="I902" s="33"/>
      <c r="J902" s="33"/>
      <c r="K902" s="33"/>
      <c r="L902" s="33"/>
      <c r="M902" s="33"/>
      <c r="N902" s="33"/>
      <c r="O902" s="33"/>
      <c r="P902" s="33"/>
      <c r="Q902" s="33"/>
      <c r="R902" s="33"/>
      <c r="S902" s="33"/>
      <c r="T902" s="33"/>
      <c r="U902" s="33"/>
      <c r="V902" s="33"/>
      <c r="W902" s="33"/>
      <c r="X902" s="33"/>
      <c r="Y902" s="33"/>
      <c r="Z902" s="33"/>
      <c r="AA902" s="33"/>
      <c r="AB902" s="33"/>
      <c r="AC902" s="33"/>
      <c r="AD902" s="33"/>
      <c r="AE902" s="33"/>
      <c r="AF902" s="33"/>
    </row>
    <row r="903" ht="15.75" customHeight="1">
      <c r="A903" s="100"/>
      <c r="B903" s="102"/>
      <c r="C903" s="100"/>
      <c r="D903" s="100"/>
      <c r="E903" s="165"/>
      <c r="F903" s="33"/>
      <c r="G903" s="33"/>
      <c r="H903" s="33"/>
      <c r="I903" s="33"/>
      <c r="J903" s="33"/>
      <c r="K903" s="33"/>
      <c r="L903" s="33"/>
      <c r="M903" s="33"/>
      <c r="N903" s="33"/>
      <c r="O903" s="33"/>
      <c r="P903" s="33"/>
      <c r="Q903" s="33"/>
      <c r="R903" s="33"/>
      <c r="S903" s="33"/>
      <c r="T903" s="33"/>
      <c r="U903" s="33"/>
      <c r="V903" s="33"/>
      <c r="W903" s="33"/>
      <c r="X903" s="33"/>
      <c r="Y903" s="33"/>
      <c r="Z903" s="33"/>
      <c r="AA903" s="33"/>
      <c r="AB903" s="33"/>
      <c r="AC903" s="33"/>
      <c r="AD903" s="33"/>
      <c r="AE903" s="33"/>
      <c r="AF903" s="33"/>
    </row>
    <row r="904" ht="15.75" customHeight="1">
      <c r="A904" s="100"/>
      <c r="B904" s="102"/>
      <c r="C904" s="100"/>
      <c r="D904" s="100"/>
      <c r="E904" s="165"/>
      <c r="F904" s="33"/>
      <c r="G904" s="33"/>
      <c r="H904" s="33"/>
      <c r="I904" s="33"/>
      <c r="J904" s="33"/>
      <c r="K904" s="33"/>
      <c r="L904" s="33"/>
      <c r="M904" s="33"/>
      <c r="N904" s="33"/>
      <c r="O904" s="33"/>
      <c r="P904" s="33"/>
      <c r="Q904" s="33"/>
      <c r="R904" s="33"/>
      <c r="S904" s="33"/>
      <c r="T904" s="33"/>
      <c r="U904" s="33"/>
      <c r="V904" s="33"/>
      <c r="W904" s="33"/>
      <c r="X904" s="33"/>
      <c r="Y904" s="33"/>
      <c r="Z904" s="33"/>
      <c r="AA904" s="33"/>
      <c r="AB904" s="33"/>
      <c r="AC904" s="33"/>
      <c r="AD904" s="33"/>
      <c r="AE904" s="33"/>
      <c r="AF904" s="33"/>
    </row>
    <row r="905" ht="15.75" customHeight="1">
      <c r="A905" s="100"/>
      <c r="B905" s="102"/>
      <c r="C905" s="100"/>
      <c r="D905" s="100"/>
      <c r="E905" s="165"/>
      <c r="F905" s="33"/>
      <c r="G905" s="33"/>
      <c r="H905" s="33"/>
      <c r="I905" s="33"/>
      <c r="J905" s="33"/>
      <c r="K905" s="33"/>
      <c r="L905" s="33"/>
      <c r="M905" s="33"/>
      <c r="N905" s="33"/>
      <c r="O905" s="33"/>
      <c r="P905" s="33"/>
      <c r="Q905" s="33"/>
      <c r="R905" s="33"/>
      <c r="S905" s="33"/>
      <c r="T905" s="33"/>
      <c r="U905" s="33"/>
      <c r="V905" s="33"/>
      <c r="W905" s="33"/>
      <c r="X905" s="33"/>
      <c r="Y905" s="33"/>
      <c r="Z905" s="33"/>
      <c r="AA905" s="33"/>
      <c r="AB905" s="33"/>
      <c r="AC905" s="33"/>
      <c r="AD905" s="33"/>
      <c r="AE905" s="33"/>
      <c r="AF905" s="33"/>
    </row>
    <row r="906" ht="15.75" customHeight="1">
      <c r="A906" s="100"/>
      <c r="B906" s="102"/>
      <c r="C906" s="100"/>
      <c r="D906" s="100"/>
      <c r="E906" s="165"/>
      <c r="F906" s="33"/>
      <c r="G906" s="33"/>
      <c r="H906" s="33"/>
      <c r="I906" s="33"/>
      <c r="J906" s="33"/>
      <c r="K906" s="33"/>
      <c r="L906" s="33"/>
      <c r="M906" s="33"/>
      <c r="N906" s="33"/>
      <c r="O906" s="33"/>
      <c r="P906" s="33"/>
      <c r="Q906" s="33"/>
      <c r="R906" s="33"/>
      <c r="S906" s="33"/>
      <c r="T906" s="33"/>
      <c r="U906" s="33"/>
      <c r="V906" s="33"/>
      <c r="W906" s="33"/>
      <c r="X906" s="33"/>
      <c r="Y906" s="33"/>
      <c r="Z906" s="33"/>
      <c r="AA906" s="33"/>
      <c r="AB906" s="33"/>
      <c r="AC906" s="33"/>
      <c r="AD906" s="33"/>
      <c r="AE906" s="33"/>
      <c r="AF906" s="33"/>
    </row>
    <row r="907" ht="15.75" customHeight="1">
      <c r="A907" s="100"/>
      <c r="B907" s="102"/>
      <c r="C907" s="100"/>
      <c r="D907" s="100"/>
      <c r="E907" s="165"/>
      <c r="F907" s="33"/>
      <c r="G907" s="33"/>
      <c r="H907" s="33"/>
      <c r="I907" s="33"/>
      <c r="J907" s="33"/>
      <c r="K907" s="33"/>
      <c r="L907" s="33"/>
      <c r="M907" s="33"/>
      <c r="N907" s="33"/>
      <c r="O907" s="33"/>
      <c r="P907" s="33"/>
      <c r="Q907" s="33"/>
      <c r="R907" s="33"/>
      <c r="S907" s="33"/>
      <c r="T907" s="33"/>
      <c r="U907" s="33"/>
      <c r="V907" s="33"/>
      <c r="W907" s="33"/>
      <c r="X907" s="33"/>
      <c r="Y907" s="33"/>
      <c r="Z907" s="33"/>
      <c r="AA907" s="33"/>
      <c r="AB907" s="33"/>
      <c r="AC907" s="33"/>
      <c r="AD907" s="33"/>
      <c r="AE907" s="33"/>
      <c r="AF907" s="33"/>
    </row>
    <row r="908" ht="15.75" customHeight="1">
      <c r="A908" s="100"/>
      <c r="B908" s="102"/>
      <c r="C908" s="100"/>
      <c r="D908" s="100"/>
      <c r="E908" s="165"/>
      <c r="F908" s="33"/>
      <c r="G908" s="33"/>
      <c r="H908" s="33"/>
      <c r="I908" s="33"/>
      <c r="J908" s="33"/>
      <c r="K908" s="33"/>
      <c r="L908" s="33"/>
      <c r="M908" s="33"/>
      <c r="N908" s="33"/>
      <c r="O908" s="33"/>
      <c r="P908" s="33"/>
      <c r="Q908" s="33"/>
      <c r="R908" s="33"/>
      <c r="S908" s="33"/>
      <c r="T908" s="33"/>
      <c r="U908" s="33"/>
      <c r="V908" s="33"/>
      <c r="W908" s="33"/>
      <c r="X908" s="33"/>
      <c r="Y908" s="33"/>
      <c r="Z908" s="33"/>
      <c r="AA908" s="33"/>
      <c r="AB908" s="33"/>
      <c r="AC908" s="33"/>
      <c r="AD908" s="33"/>
      <c r="AE908" s="33"/>
      <c r="AF908" s="33"/>
    </row>
    <row r="909" ht="15.75" customHeight="1">
      <c r="A909" s="100"/>
      <c r="B909" s="102"/>
      <c r="C909" s="100"/>
      <c r="D909" s="100"/>
      <c r="E909" s="165"/>
      <c r="F909" s="33"/>
      <c r="G909" s="33"/>
      <c r="H909" s="33"/>
      <c r="I909" s="33"/>
      <c r="J909" s="33"/>
      <c r="K909" s="33"/>
      <c r="L909" s="33"/>
      <c r="M909" s="33"/>
      <c r="N909" s="33"/>
      <c r="O909" s="33"/>
      <c r="P909" s="33"/>
      <c r="Q909" s="33"/>
      <c r="R909" s="33"/>
      <c r="S909" s="33"/>
      <c r="T909" s="33"/>
      <c r="U909" s="33"/>
      <c r="V909" s="33"/>
      <c r="W909" s="33"/>
      <c r="X909" s="33"/>
      <c r="Y909" s="33"/>
      <c r="Z909" s="33"/>
      <c r="AA909" s="33"/>
      <c r="AB909" s="33"/>
      <c r="AC909" s="33"/>
      <c r="AD909" s="33"/>
      <c r="AE909" s="33"/>
      <c r="AF909" s="33"/>
    </row>
    <row r="910" ht="15.75" customHeight="1">
      <c r="A910" s="100"/>
      <c r="B910" s="102"/>
      <c r="C910" s="100"/>
      <c r="D910" s="100"/>
      <c r="E910" s="165"/>
      <c r="F910" s="33"/>
      <c r="G910" s="33"/>
      <c r="H910" s="33"/>
      <c r="I910" s="33"/>
      <c r="J910" s="33"/>
      <c r="K910" s="33"/>
      <c r="L910" s="33"/>
      <c r="M910" s="33"/>
      <c r="N910" s="33"/>
      <c r="O910" s="33"/>
      <c r="P910" s="33"/>
      <c r="Q910" s="33"/>
      <c r="R910" s="33"/>
      <c r="S910" s="33"/>
      <c r="T910" s="33"/>
      <c r="U910" s="33"/>
      <c r="V910" s="33"/>
      <c r="W910" s="33"/>
      <c r="X910" s="33"/>
      <c r="Y910" s="33"/>
      <c r="Z910" s="33"/>
      <c r="AA910" s="33"/>
      <c r="AB910" s="33"/>
      <c r="AC910" s="33"/>
      <c r="AD910" s="33"/>
      <c r="AE910" s="33"/>
      <c r="AF910" s="33"/>
    </row>
    <row r="911" ht="15.75" customHeight="1">
      <c r="A911" s="100"/>
      <c r="B911" s="102"/>
      <c r="C911" s="100"/>
      <c r="D911" s="100"/>
      <c r="E911" s="165"/>
      <c r="F911" s="33"/>
      <c r="G911" s="33"/>
      <c r="H911" s="33"/>
      <c r="I911" s="33"/>
      <c r="J911" s="33"/>
      <c r="K911" s="33"/>
      <c r="L911" s="33"/>
      <c r="M911" s="33"/>
      <c r="N911" s="33"/>
      <c r="O911" s="33"/>
      <c r="P911" s="33"/>
      <c r="Q911" s="33"/>
      <c r="R911" s="33"/>
      <c r="S911" s="33"/>
      <c r="T911" s="33"/>
      <c r="U911" s="33"/>
      <c r="V911" s="33"/>
      <c r="W911" s="33"/>
      <c r="X911" s="33"/>
      <c r="Y911" s="33"/>
      <c r="Z911" s="33"/>
      <c r="AA911" s="33"/>
      <c r="AB911" s="33"/>
      <c r="AC911" s="33"/>
      <c r="AD911" s="33"/>
      <c r="AE911" s="33"/>
      <c r="AF911" s="33"/>
    </row>
    <row r="912" ht="15.75" customHeight="1">
      <c r="A912" s="100"/>
      <c r="B912" s="102"/>
      <c r="C912" s="100"/>
      <c r="D912" s="100"/>
      <c r="E912" s="165"/>
      <c r="F912" s="33"/>
      <c r="G912" s="33"/>
      <c r="H912" s="33"/>
      <c r="I912" s="33"/>
      <c r="J912" s="33"/>
      <c r="K912" s="33"/>
      <c r="L912" s="33"/>
      <c r="M912" s="33"/>
      <c r="N912" s="33"/>
      <c r="O912" s="33"/>
      <c r="P912" s="33"/>
      <c r="Q912" s="33"/>
      <c r="R912" s="33"/>
      <c r="S912" s="33"/>
      <c r="T912" s="33"/>
      <c r="U912" s="33"/>
      <c r="V912" s="33"/>
      <c r="W912" s="33"/>
      <c r="X912" s="33"/>
      <c r="Y912" s="33"/>
      <c r="Z912" s="33"/>
      <c r="AA912" s="33"/>
      <c r="AB912" s="33"/>
      <c r="AC912" s="33"/>
      <c r="AD912" s="33"/>
      <c r="AE912" s="33"/>
      <c r="AF912" s="33"/>
    </row>
    <row r="913" ht="15.75" customHeight="1">
      <c r="A913" s="100"/>
      <c r="B913" s="102"/>
      <c r="C913" s="100"/>
      <c r="D913" s="100"/>
      <c r="E913" s="165"/>
      <c r="F913" s="33"/>
      <c r="G913" s="33"/>
      <c r="H913" s="33"/>
      <c r="I913" s="33"/>
      <c r="J913" s="33"/>
      <c r="K913" s="33"/>
      <c r="L913" s="33"/>
      <c r="M913" s="33"/>
      <c r="N913" s="33"/>
      <c r="O913" s="33"/>
      <c r="P913" s="33"/>
      <c r="Q913" s="33"/>
      <c r="R913" s="33"/>
      <c r="S913" s="33"/>
      <c r="T913" s="33"/>
      <c r="U913" s="33"/>
      <c r="V913" s="33"/>
      <c r="W913" s="33"/>
      <c r="X913" s="33"/>
      <c r="Y913" s="33"/>
      <c r="Z913" s="33"/>
      <c r="AA913" s="33"/>
      <c r="AB913" s="33"/>
      <c r="AC913" s="33"/>
      <c r="AD913" s="33"/>
      <c r="AE913" s="33"/>
      <c r="AF913" s="33"/>
    </row>
    <row r="914" ht="15.75" customHeight="1">
      <c r="A914" s="100"/>
      <c r="B914" s="102"/>
      <c r="C914" s="100"/>
      <c r="D914" s="100"/>
      <c r="E914" s="165"/>
      <c r="F914" s="33"/>
      <c r="G914" s="33"/>
      <c r="H914" s="33"/>
      <c r="I914" s="33"/>
      <c r="J914" s="33"/>
      <c r="K914" s="33"/>
      <c r="L914" s="33"/>
      <c r="M914" s="33"/>
      <c r="N914" s="33"/>
      <c r="O914" s="33"/>
      <c r="P914" s="33"/>
      <c r="Q914" s="33"/>
      <c r="R914" s="33"/>
      <c r="S914" s="33"/>
      <c r="T914" s="33"/>
      <c r="U914" s="33"/>
      <c r="V914" s="33"/>
      <c r="W914" s="33"/>
      <c r="X914" s="33"/>
      <c r="Y914" s="33"/>
      <c r="Z914" s="33"/>
      <c r="AA914" s="33"/>
      <c r="AB914" s="33"/>
      <c r="AC914" s="33"/>
      <c r="AD914" s="33"/>
      <c r="AE914" s="33"/>
      <c r="AF914" s="33"/>
    </row>
    <row r="915" ht="15.75" customHeight="1">
      <c r="A915" s="100"/>
      <c r="B915" s="102"/>
      <c r="C915" s="100"/>
      <c r="D915" s="100"/>
      <c r="E915" s="165"/>
      <c r="F915" s="33"/>
      <c r="G915" s="33"/>
      <c r="H915" s="33"/>
      <c r="I915" s="33"/>
      <c r="J915" s="33"/>
      <c r="K915" s="33"/>
      <c r="L915" s="33"/>
      <c r="M915" s="33"/>
      <c r="N915" s="33"/>
      <c r="O915" s="33"/>
      <c r="P915" s="33"/>
      <c r="Q915" s="33"/>
      <c r="R915" s="33"/>
      <c r="S915" s="33"/>
      <c r="T915" s="33"/>
      <c r="U915" s="33"/>
      <c r="V915" s="33"/>
      <c r="W915" s="33"/>
      <c r="X915" s="33"/>
      <c r="Y915" s="33"/>
      <c r="Z915" s="33"/>
      <c r="AA915" s="33"/>
      <c r="AB915" s="33"/>
      <c r="AC915" s="33"/>
      <c r="AD915" s="33"/>
      <c r="AE915" s="33"/>
      <c r="AF915" s="33"/>
    </row>
    <row r="916" ht="15.75" customHeight="1">
      <c r="A916" s="100"/>
      <c r="B916" s="102"/>
      <c r="C916" s="100"/>
      <c r="D916" s="100"/>
      <c r="E916" s="165"/>
      <c r="F916" s="33"/>
      <c r="G916" s="33"/>
      <c r="H916" s="33"/>
      <c r="I916" s="33"/>
      <c r="J916" s="33"/>
      <c r="K916" s="33"/>
      <c r="L916" s="33"/>
      <c r="M916" s="33"/>
      <c r="N916" s="33"/>
      <c r="O916" s="33"/>
      <c r="P916" s="33"/>
      <c r="Q916" s="33"/>
      <c r="R916" s="33"/>
      <c r="S916" s="33"/>
      <c r="T916" s="33"/>
      <c r="U916" s="33"/>
      <c r="V916" s="33"/>
      <c r="W916" s="33"/>
      <c r="X916" s="33"/>
      <c r="Y916" s="33"/>
      <c r="Z916" s="33"/>
      <c r="AA916" s="33"/>
      <c r="AB916" s="33"/>
      <c r="AC916" s="33"/>
      <c r="AD916" s="33"/>
      <c r="AE916" s="33"/>
      <c r="AF916" s="33"/>
    </row>
    <row r="917" ht="15.75" customHeight="1">
      <c r="A917" s="100"/>
      <c r="B917" s="102"/>
      <c r="C917" s="100"/>
      <c r="D917" s="100"/>
      <c r="E917" s="165"/>
      <c r="F917" s="33"/>
      <c r="G917" s="33"/>
      <c r="H917" s="33"/>
      <c r="I917" s="33"/>
      <c r="J917" s="33"/>
      <c r="K917" s="33"/>
      <c r="L917" s="33"/>
      <c r="M917" s="33"/>
      <c r="N917" s="33"/>
      <c r="O917" s="33"/>
      <c r="P917" s="33"/>
      <c r="Q917" s="33"/>
      <c r="R917" s="33"/>
      <c r="S917" s="33"/>
      <c r="T917" s="33"/>
      <c r="U917" s="33"/>
      <c r="V917" s="33"/>
      <c r="W917" s="33"/>
      <c r="X917" s="33"/>
      <c r="Y917" s="33"/>
      <c r="Z917" s="33"/>
      <c r="AA917" s="33"/>
      <c r="AB917" s="33"/>
      <c r="AC917" s="33"/>
      <c r="AD917" s="33"/>
      <c r="AE917" s="33"/>
      <c r="AF917" s="33"/>
    </row>
    <row r="918" ht="15.75" customHeight="1">
      <c r="A918" s="100"/>
      <c r="B918" s="102"/>
      <c r="C918" s="100"/>
      <c r="D918" s="100"/>
      <c r="E918" s="165"/>
      <c r="F918" s="33"/>
      <c r="G918" s="33"/>
      <c r="H918" s="33"/>
      <c r="I918" s="33"/>
      <c r="J918" s="33"/>
      <c r="K918" s="33"/>
      <c r="L918" s="33"/>
      <c r="M918" s="33"/>
      <c r="N918" s="33"/>
      <c r="O918" s="33"/>
      <c r="P918" s="33"/>
      <c r="Q918" s="33"/>
      <c r="R918" s="33"/>
      <c r="S918" s="33"/>
      <c r="T918" s="33"/>
      <c r="U918" s="33"/>
      <c r="V918" s="33"/>
      <c r="W918" s="33"/>
      <c r="X918" s="33"/>
      <c r="Y918" s="33"/>
      <c r="Z918" s="33"/>
      <c r="AA918" s="33"/>
      <c r="AB918" s="33"/>
      <c r="AC918" s="33"/>
      <c r="AD918" s="33"/>
      <c r="AE918" s="33"/>
      <c r="AF918" s="33"/>
    </row>
    <row r="919" ht="15.75" customHeight="1">
      <c r="A919" s="100"/>
      <c r="B919" s="102"/>
      <c r="C919" s="100"/>
      <c r="D919" s="100"/>
      <c r="E919" s="165"/>
      <c r="F919" s="33"/>
      <c r="G919" s="33"/>
      <c r="H919" s="33"/>
      <c r="I919" s="33"/>
      <c r="J919" s="33"/>
      <c r="K919" s="33"/>
      <c r="L919" s="33"/>
      <c r="M919" s="33"/>
      <c r="N919" s="33"/>
      <c r="O919" s="33"/>
      <c r="P919" s="33"/>
      <c r="Q919" s="33"/>
      <c r="R919" s="33"/>
      <c r="S919" s="33"/>
      <c r="T919" s="33"/>
      <c r="U919" s="33"/>
      <c r="V919" s="33"/>
      <c r="W919" s="33"/>
      <c r="X919" s="33"/>
      <c r="Y919" s="33"/>
      <c r="Z919" s="33"/>
      <c r="AA919" s="33"/>
      <c r="AB919" s="33"/>
      <c r="AC919" s="33"/>
      <c r="AD919" s="33"/>
      <c r="AE919" s="33"/>
      <c r="AF919" s="33"/>
    </row>
    <row r="920" ht="15.75" customHeight="1">
      <c r="A920" s="100"/>
      <c r="B920" s="102"/>
      <c r="C920" s="100"/>
      <c r="D920" s="100"/>
      <c r="E920" s="165"/>
      <c r="F920" s="33"/>
      <c r="G920" s="33"/>
      <c r="H920" s="33"/>
      <c r="I920" s="33"/>
      <c r="J920" s="33"/>
      <c r="K920" s="33"/>
      <c r="L920" s="33"/>
      <c r="M920" s="33"/>
      <c r="N920" s="33"/>
      <c r="O920" s="33"/>
      <c r="P920" s="33"/>
      <c r="Q920" s="33"/>
      <c r="R920" s="33"/>
      <c r="S920" s="33"/>
      <c r="T920" s="33"/>
      <c r="U920" s="33"/>
      <c r="V920" s="33"/>
      <c r="W920" s="33"/>
      <c r="X920" s="33"/>
      <c r="Y920" s="33"/>
      <c r="Z920" s="33"/>
      <c r="AA920" s="33"/>
      <c r="AB920" s="33"/>
      <c r="AC920" s="33"/>
      <c r="AD920" s="33"/>
      <c r="AE920" s="33"/>
      <c r="AF920" s="33"/>
    </row>
    <row r="921" ht="15.75" customHeight="1">
      <c r="A921" s="100"/>
      <c r="B921" s="102"/>
      <c r="C921" s="100"/>
      <c r="D921" s="100"/>
      <c r="E921" s="165"/>
      <c r="F921" s="33"/>
      <c r="G921" s="33"/>
      <c r="H921" s="33"/>
      <c r="I921" s="33"/>
      <c r="J921" s="33"/>
      <c r="K921" s="33"/>
      <c r="L921" s="33"/>
      <c r="M921" s="33"/>
      <c r="N921" s="33"/>
      <c r="O921" s="33"/>
      <c r="P921" s="33"/>
      <c r="Q921" s="33"/>
      <c r="R921" s="33"/>
      <c r="S921" s="33"/>
      <c r="T921" s="33"/>
      <c r="U921" s="33"/>
      <c r="V921" s="33"/>
      <c r="W921" s="33"/>
      <c r="X921" s="33"/>
      <c r="Y921" s="33"/>
      <c r="Z921" s="33"/>
      <c r="AA921" s="33"/>
      <c r="AB921" s="33"/>
      <c r="AC921" s="33"/>
      <c r="AD921" s="33"/>
      <c r="AE921" s="33"/>
      <c r="AF921" s="33"/>
    </row>
    <row r="922" ht="15.75" customHeight="1">
      <c r="A922" s="100"/>
      <c r="B922" s="102"/>
      <c r="C922" s="100"/>
      <c r="D922" s="100"/>
      <c r="E922" s="165"/>
      <c r="F922" s="33"/>
      <c r="G922" s="33"/>
      <c r="H922" s="33"/>
      <c r="I922" s="33"/>
      <c r="J922" s="33"/>
      <c r="K922" s="33"/>
      <c r="L922" s="33"/>
      <c r="M922" s="33"/>
      <c r="N922" s="33"/>
      <c r="O922" s="33"/>
      <c r="P922" s="33"/>
      <c r="Q922" s="33"/>
      <c r="R922" s="33"/>
      <c r="S922" s="33"/>
      <c r="T922" s="33"/>
      <c r="U922" s="33"/>
      <c r="V922" s="33"/>
      <c r="W922" s="33"/>
      <c r="X922" s="33"/>
      <c r="Y922" s="33"/>
      <c r="Z922" s="33"/>
      <c r="AA922" s="33"/>
      <c r="AB922" s="33"/>
      <c r="AC922" s="33"/>
      <c r="AD922" s="33"/>
      <c r="AE922" s="33"/>
      <c r="AF922" s="33"/>
    </row>
    <row r="923" ht="15.75" customHeight="1">
      <c r="A923" s="100"/>
      <c r="B923" s="102"/>
      <c r="C923" s="100"/>
      <c r="D923" s="100"/>
      <c r="E923" s="165"/>
      <c r="F923" s="33"/>
      <c r="G923" s="33"/>
      <c r="H923" s="33"/>
      <c r="I923" s="33"/>
      <c r="J923" s="33"/>
      <c r="K923" s="33"/>
      <c r="L923" s="33"/>
      <c r="M923" s="33"/>
      <c r="N923" s="33"/>
      <c r="O923" s="33"/>
      <c r="P923" s="33"/>
      <c r="Q923" s="33"/>
      <c r="R923" s="33"/>
      <c r="S923" s="33"/>
      <c r="T923" s="33"/>
      <c r="U923" s="33"/>
      <c r="V923" s="33"/>
      <c r="W923" s="33"/>
      <c r="X923" s="33"/>
      <c r="Y923" s="33"/>
      <c r="Z923" s="33"/>
      <c r="AA923" s="33"/>
      <c r="AB923" s="33"/>
      <c r="AC923" s="33"/>
      <c r="AD923" s="33"/>
      <c r="AE923" s="33"/>
      <c r="AF923" s="33"/>
    </row>
    <row r="924" ht="15.75" customHeight="1">
      <c r="A924" s="100"/>
      <c r="B924" s="102"/>
      <c r="C924" s="100"/>
      <c r="D924" s="100"/>
      <c r="E924" s="165"/>
      <c r="F924" s="33"/>
      <c r="G924" s="33"/>
      <c r="H924" s="33"/>
      <c r="I924" s="33"/>
      <c r="J924" s="33"/>
      <c r="K924" s="33"/>
      <c r="L924" s="33"/>
      <c r="M924" s="33"/>
      <c r="N924" s="33"/>
      <c r="O924" s="33"/>
      <c r="P924" s="33"/>
      <c r="Q924" s="33"/>
      <c r="R924" s="33"/>
      <c r="S924" s="33"/>
      <c r="T924" s="33"/>
      <c r="U924" s="33"/>
      <c r="V924" s="33"/>
      <c r="W924" s="33"/>
      <c r="X924" s="33"/>
      <c r="Y924" s="33"/>
      <c r="Z924" s="33"/>
      <c r="AA924" s="33"/>
      <c r="AB924" s="33"/>
      <c r="AC924" s="33"/>
      <c r="AD924" s="33"/>
      <c r="AE924" s="33"/>
      <c r="AF924" s="33"/>
    </row>
    <row r="925" ht="15.75" customHeight="1">
      <c r="A925" s="100"/>
      <c r="B925" s="102"/>
      <c r="C925" s="100"/>
      <c r="D925" s="100"/>
      <c r="E925" s="165"/>
      <c r="F925" s="33"/>
      <c r="G925" s="33"/>
      <c r="H925" s="33"/>
      <c r="I925" s="33"/>
      <c r="J925" s="33"/>
      <c r="K925" s="33"/>
      <c r="L925" s="33"/>
      <c r="M925" s="33"/>
      <c r="N925" s="33"/>
      <c r="O925" s="33"/>
      <c r="P925" s="33"/>
      <c r="Q925" s="33"/>
      <c r="R925" s="33"/>
      <c r="S925" s="33"/>
      <c r="T925" s="33"/>
      <c r="U925" s="33"/>
      <c r="V925" s="33"/>
      <c r="W925" s="33"/>
      <c r="X925" s="33"/>
      <c r="Y925" s="33"/>
      <c r="Z925" s="33"/>
      <c r="AA925" s="33"/>
      <c r="AB925" s="33"/>
      <c r="AC925" s="33"/>
      <c r="AD925" s="33"/>
      <c r="AE925" s="33"/>
      <c r="AF925" s="33"/>
    </row>
    <row r="926" ht="15.75" customHeight="1">
      <c r="A926" s="100"/>
      <c r="B926" s="102"/>
      <c r="C926" s="100"/>
      <c r="D926" s="100"/>
      <c r="E926" s="165"/>
      <c r="F926" s="33"/>
      <c r="G926" s="33"/>
      <c r="H926" s="33"/>
      <c r="I926" s="33"/>
      <c r="J926" s="33"/>
      <c r="K926" s="33"/>
      <c r="L926" s="33"/>
      <c r="M926" s="33"/>
      <c r="N926" s="33"/>
      <c r="O926" s="33"/>
      <c r="P926" s="33"/>
      <c r="Q926" s="33"/>
      <c r="R926" s="33"/>
      <c r="S926" s="33"/>
      <c r="T926" s="33"/>
      <c r="U926" s="33"/>
      <c r="V926" s="33"/>
      <c r="W926" s="33"/>
      <c r="X926" s="33"/>
      <c r="Y926" s="33"/>
      <c r="Z926" s="33"/>
      <c r="AA926" s="33"/>
      <c r="AB926" s="33"/>
      <c r="AC926" s="33"/>
      <c r="AD926" s="33"/>
      <c r="AE926" s="33"/>
      <c r="AF926" s="33"/>
    </row>
    <row r="927" ht="15.75" customHeight="1">
      <c r="A927" s="100"/>
      <c r="B927" s="102"/>
      <c r="C927" s="100"/>
      <c r="D927" s="100"/>
      <c r="E927" s="165"/>
      <c r="F927" s="33"/>
      <c r="G927" s="33"/>
      <c r="H927" s="33"/>
      <c r="I927" s="33"/>
      <c r="J927" s="33"/>
      <c r="K927" s="33"/>
      <c r="L927" s="33"/>
      <c r="M927" s="33"/>
      <c r="N927" s="33"/>
      <c r="O927" s="33"/>
      <c r="P927" s="33"/>
      <c r="Q927" s="33"/>
      <c r="R927" s="33"/>
      <c r="S927" s="33"/>
      <c r="T927" s="33"/>
      <c r="U927" s="33"/>
      <c r="V927" s="33"/>
      <c r="W927" s="33"/>
      <c r="X927" s="33"/>
      <c r="Y927" s="33"/>
      <c r="Z927" s="33"/>
      <c r="AA927" s="33"/>
      <c r="AB927" s="33"/>
      <c r="AC927" s="33"/>
      <c r="AD927" s="33"/>
      <c r="AE927" s="33"/>
      <c r="AF927" s="33"/>
    </row>
    <row r="928" ht="15.75" customHeight="1">
      <c r="A928" s="100"/>
      <c r="B928" s="102"/>
      <c r="C928" s="100"/>
      <c r="D928" s="100"/>
      <c r="E928" s="165"/>
      <c r="F928" s="33"/>
      <c r="G928" s="33"/>
      <c r="H928" s="33"/>
      <c r="I928" s="33"/>
      <c r="J928" s="33"/>
      <c r="K928" s="33"/>
      <c r="L928" s="33"/>
      <c r="M928" s="33"/>
      <c r="N928" s="33"/>
      <c r="O928" s="33"/>
      <c r="P928" s="33"/>
      <c r="Q928" s="33"/>
      <c r="R928" s="33"/>
      <c r="S928" s="33"/>
      <c r="T928" s="33"/>
      <c r="U928" s="33"/>
      <c r="V928" s="33"/>
      <c r="W928" s="33"/>
      <c r="X928" s="33"/>
      <c r="Y928" s="33"/>
      <c r="Z928" s="33"/>
      <c r="AA928" s="33"/>
      <c r="AB928" s="33"/>
      <c r="AC928" s="33"/>
      <c r="AD928" s="33"/>
      <c r="AE928" s="33"/>
      <c r="AF928" s="33"/>
    </row>
    <row r="929" ht="15.75" customHeight="1">
      <c r="A929" s="100"/>
      <c r="B929" s="102"/>
      <c r="C929" s="100"/>
      <c r="D929" s="100"/>
      <c r="E929" s="165"/>
      <c r="F929" s="33"/>
      <c r="G929" s="33"/>
      <c r="H929" s="33"/>
      <c r="I929" s="33"/>
      <c r="J929" s="33"/>
      <c r="K929" s="33"/>
      <c r="L929" s="33"/>
      <c r="M929" s="33"/>
      <c r="N929" s="33"/>
      <c r="O929" s="33"/>
      <c r="P929" s="33"/>
      <c r="Q929" s="33"/>
      <c r="R929" s="33"/>
      <c r="S929" s="33"/>
      <c r="T929" s="33"/>
      <c r="U929" s="33"/>
      <c r="V929" s="33"/>
      <c r="W929" s="33"/>
      <c r="X929" s="33"/>
      <c r="Y929" s="33"/>
      <c r="Z929" s="33"/>
      <c r="AA929" s="33"/>
      <c r="AB929" s="33"/>
      <c r="AC929" s="33"/>
      <c r="AD929" s="33"/>
      <c r="AE929" s="33"/>
      <c r="AF929" s="33"/>
    </row>
    <row r="930" ht="15.75" customHeight="1">
      <c r="A930" s="100"/>
      <c r="B930" s="102"/>
      <c r="C930" s="100"/>
      <c r="D930" s="100"/>
      <c r="E930" s="165"/>
      <c r="F930" s="33"/>
      <c r="G930" s="33"/>
      <c r="H930" s="33"/>
      <c r="I930" s="33"/>
      <c r="J930" s="33"/>
      <c r="K930" s="33"/>
      <c r="L930" s="33"/>
      <c r="M930" s="33"/>
      <c r="N930" s="33"/>
      <c r="O930" s="33"/>
      <c r="P930" s="33"/>
      <c r="Q930" s="33"/>
      <c r="R930" s="33"/>
      <c r="S930" s="33"/>
      <c r="T930" s="33"/>
      <c r="U930" s="33"/>
      <c r="V930" s="33"/>
      <c r="W930" s="33"/>
      <c r="X930" s="33"/>
      <c r="Y930" s="33"/>
      <c r="Z930" s="33"/>
      <c r="AA930" s="33"/>
      <c r="AB930" s="33"/>
      <c r="AC930" s="33"/>
      <c r="AD930" s="33"/>
      <c r="AE930" s="33"/>
      <c r="AF930" s="33"/>
    </row>
    <row r="931" ht="15.75" customHeight="1">
      <c r="A931" s="100"/>
      <c r="B931" s="102"/>
      <c r="C931" s="100"/>
      <c r="D931" s="100"/>
      <c r="E931" s="165"/>
      <c r="F931" s="33"/>
      <c r="G931" s="33"/>
      <c r="H931" s="33"/>
      <c r="I931" s="33"/>
      <c r="J931" s="33"/>
      <c r="K931" s="33"/>
      <c r="L931" s="33"/>
      <c r="M931" s="33"/>
      <c r="N931" s="33"/>
      <c r="O931" s="33"/>
      <c r="P931" s="33"/>
      <c r="Q931" s="33"/>
      <c r="R931" s="33"/>
      <c r="S931" s="33"/>
      <c r="T931" s="33"/>
      <c r="U931" s="33"/>
      <c r="V931" s="33"/>
      <c r="W931" s="33"/>
      <c r="X931" s="33"/>
      <c r="Y931" s="33"/>
      <c r="Z931" s="33"/>
      <c r="AA931" s="33"/>
      <c r="AB931" s="33"/>
      <c r="AC931" s="33"/>
      <c r="AD931" s="33"/>
      <c r="AE931" s="33"/>
      <c r="AF931" s="33"/>
    </row>
    <row r="932" ht="15.75" customHeight="1">
      <c r="A932" s="100"/>
      <c r="B932" s="102"/>
      <c r="C932" s="100"/>
      <c r="D932" s="100"/>
      <c r="E932" s="165"/>
      <c r="F932" s="33"/>
      <c r="G932" s="33"/>
      <c r="H932" s="33"/>
      <c r="I932" s="33"/>
      <c r="J932" s="33"/>
      <c r="K932" s="33"/>
      <c r="L932" s="33"/>
      <c r="M932" s="33"/>
      <c r="N932" s="33"/>
      <c r="O932" s="33"/>
      <c r="P932" s="33"/>
      <c r="Q932" s="33"/>
      <c r="R932" s="33"/>
      <c r="S932" s="33"/>
      <c r="T932" s="33"/>
      <c r="U932" s="33"/>
      <c r="V932" s="33"/>
      <c r="W932" s="33"/>
      <c r="X932" s="33"/>
      <c r="Y932" s="33"/>
      <c r="Z932" s="33"/>
      <c r="AA932" s="33"/>
      <c r="AB932" s="33"/>
      <c r="AC932" s="33"/>
      <c r="AD932" s="33"/>
      <c r="AE932" s="33"/>
      <c r="AF932" s="33"/>
    </row>
    <row r="933" ht="15.75" customHeight="1">
      <c r="A933" s="100"/>
      <c r="B933" s="102"/>
      <c r="C933" s="100"/>
      <c r="D933" s="100"/>
      <c r="E933" s="165"/>
      <c r="F933" s="33"/>
      <c r="G933" s="33"/>
      <c r="H933" s="33"/>
      <c r="I933" s="33"/>
      <c r="J933" s="33"/>
      <c r="K933" s="33"/>
      <c r="L933" s="33"/>
      <c r="M933" s="33"/>
      <c r="N933" s="33"/>
      <c r="O933" s="33"/>
      <c r="P933" s="33"/>
      <c r="Q933" s="33"/>
      <c r="R933" s="33"/>
      <c r="S933" s="33"/>
      <c r="T933" s="33"/>
      <c r="U933" s="33"/>
      <c r="V933" s="33"/>
      <c r="W933" s="33"/>
      <c r="X933" s="33"/>
      <c r="Y933" s="33"/>
      <c r="Z933" s="33"/>
      <c r="AA933" s="33"/>
      <c r="AB933" s="33"/>
      <c r="AC933" s="33"/>
      <c r="AD933" s="33"/>
      <c r="AE933" s="33"/>
      <c r="AF933" s="33"/>
    </row>
    <row r="934" ht="15.75" customHeight="1">
      <c r="A934" s="100"/>
      <c r="B934" s="102"/>
      <c r="C934" s="100"/>
      <c r="D934" s="100"/>
      <c r="E934" s="165"/>
      <c r="F934" s="33"/>
      <c r="G934" s="33"/>
      <c r="H934" s="33"/>
      <c r="I934" s="33"/>
      <c r="J934" s="33"/>
      <c r="K934" s="33"/>
      <c r="L934" s="33"/>
      <c r="M934" s="33"/>
      <c r="N934" s="33"/>
      <c r="O934" s="33"/>
      <c r="P934" s="33"/>
      <c r="Q934" s="33"/>
      <c r="R934" s="33"/>
      <c r="S934" s="33"/>
      <c r="T934" s="33"/>
      <c r="U934" s="33"/>
      <c r="V934" s="33"/>
      <c r="W934" s="33"/>
      <c r="X934" s="33"/>
      <c r="Y934" s="33"/>
      <c r="Z934" s="33"/>
      <c r="AA934" s="33"/>
      <c r="AB934" s="33"/>
      <c r="AC934" s="33"/>
      <c r="AD934" s="33"/>
      <c r="AE934" s="33"/>
      <c r="AF934" s="33"/>
    </row>
    <row r="935" ht="15.75" customHeight="1">
      <c r="A935" s="100"/>
      <c r="B935" s="102"/>
      <c r="C935" s="100"/>
      <c r="D935" s="100"/>
      <c r="E935" s="165"/>
      <c r="F935" s="33"/>
      <c r="G935" s="33"/>
      <c r="H935" s="33"/>
      <c r="I935" s="33"/>
      <c r="J935" s="33"/>
      <c r="K935" s="33"/>
      <c r="L935" s="33"/>
      <c r="M935" s="33"/>
      <c r="N935" s="33"/>
      <c r="O935" s="33"/>
      <c r="P935" s="33"/>
      <c r="Q935" s="33"/>
      <c r="R935" s="33"/>
      <c r="S935" s="33"/>
      <c r="T935" s="33"/>
      <c r="U935" s="33"/>
      <c r="V935" s="33"/>
      <c r="W935" s="33"/>
      <c r="X935" s="33"/>
      <c r="Y935" s="33"/>
      <c r="Z935" s="33"/>
      <c r="AA935" s="33"/>
      <c r="AB935" s="33"/>
      <c r="AC935" s="33"/>
      <c r="AD935" s="33"/>
      <c r="AE935" s="33"/>
      <c r="AF935" s="33"/>
    </row>
    <row r="936" ht="15.75" customHeight="1">
      <c r="A936" s="100"/>
      <c r="B936" s="102"/>
      <c r="C936" s="100"/>
      <c r="D936" s="100"/>
      <c r="E936" s="165"/>
      <c r="F936" s="33"/>
      <c r="G936" s="33"/>
      <c r="H936" s="33"/>
      <c r="I936" s="33"/>
      <c r="J936" s="33"/>
      <c r="K936" s="33"/>
      <c r="L936" s="33"/>
      <c r="M936" s="33"/>
      <c r="N936" s="33"/>
      <c r="O936" s="33"/>
      <c r="P936" s="33"/>
      <c r="Q936" s="33"/>
      <c r="R936" s="33"/>
      <c r="S936" s="33"/>
      <c r="T936" s="33"/>
      <c r="U936" s="33"/>
      <c r="V936" s="33"/>
      <c r="W936" s="33"/>
      <c r="X936" s="33"/>
      <c r="Y936" s="33"/>
      <c r="Z936" s="33"/>
      <c r="AA936" s="33"/>
      <c r="AB936" s="33"/>
      <c r="AC936" s="33"/>
      <c r="AD936" s="33"/>
      <c r="AE936" s="33"/>
      <c r="AF936" s="33"/>
    </row>
    <row r="937" ht="15.75" customHeight="1">
      <c r="A937" s="100"/>
      <c r="B937" s="102"/>
      <c r="C937" s="100"/>
      <c r="D937" s="100"/>
      <c r="E937" s="165"/>
      <c r="F937" s="33"/>
      <c r="G937" s="33"/>
      <c r="H937" s="33"/>
      <c r="I937" s="33"/>
      <c r="J937" s="33"/>
      <c r="K937" s="33"/>
      <c r="L937" s="33"/>
      <c r="M937" s="33"/>
      <c r="N937" s="33"/>
      <c r="O937" s="33"/>
      <c r="P937" s="33"/>
      <c r="Q937" s="33"/>
      <c r="R937" s="33"/>
      <c r="S937" s="33"/>
      <c r="T937" s="33"/>
      <c r="U937" s="33"/>
      <c r="V937" s="33"/>
      <c r="W937" s="33"/>
      <c r="X937" s="33"/>
      <c r="Y937" s="33"/>
      <c r="Z937" s="33"/>
      <c r="AA937" s="33"/>
      <c r="AB937" s="33"/>
      <c r="AC937" s="33"/>
      <c r="AD937" s="33"/>
      <c r="AE937" s="33"/>
      <c r="AF937" s="33"/>
    </row>
    <row r="938" ht="15.75" customHeight="1">
      <c r="A938" s="100"/>
      <c r="B938" s="102"/>
      <c r="C938" s="100"/>
      <c r="D938" s="100"/>
      <c r="E938" s="165"/>
      <c r="F938" s="33"/>
      <c r="G938" s="33"/>
      <c r="H938" s="33"/>
      <c r="I938" s="33"/>
      <c r="J938" s="33"/>
      <c r="K938" s="33"/>
      <c r="L938" s="33"/>
      <c r="M938" s="33"/>
      <c r="N938" s="33"/>
      <c r="O938" s="33"/>
      <c r="P938" s="33"/>
      <c r="Q938" s="33"/>
      <c r="R938" s="33"/>
      <c r="S938" s="33"/>
      <c r="T938" s="33"/>
      <c r="U938" s="33"/>
      <c r="V938" s="33"/>
      <c r="W938" s="33"/>
      <c r="X938" s="33"/>
      <c r="Y938" s="33"/>
      <c r="Z938" s="33"/>
      <c r="AA938" s="33"/>
      <c r="AB938" s="33"/>
      <c r="AC938" s="33"/>
      <c r="AD938" s="33"/>
      <c r="AE938" s="33"/>
      <c r="AF938" s="33"/>
    </row>
    <row r="939" ht="15.75" customHeight="1">
      <c r="A939" s="100"/>
      <c r="B939" s="102"/>
      <c r="C939" s="100"/>
      <c r="D939" s="100"/>
      <c r="E939" s="165"/>
      <c r="F939" s="33"/>
      <c r="G939" s="33"/>
      <c r="H939" s="33"/>
      <c r="I939" s="33"/>
      <c r="J939" s="33"/>
      <c r="K939" s="33"/>
      <c r="L939" s="33"/>
      <c r="M939" s="33"/>
      <c r="N939" s="33"/>
      <c r="O939" s="33"/>
      <c r="P939" s="33"/>
      <c r="Q939" s="33"/>
      <c r="R939" s="33"/>
      <c r="S939" s="33"/>
      <c r="T939" s="33"/>
      <c r="U939" s="33"/>
      <c r="V939" s="33"/>
      <c r="W939" s="33"/>
      <c r="X939" s="33"/>
      <c r="Y939" s="33"/>
      <c r="Z939" s="33"/>
      <c r="AA939" s="33"/>
      <c r="AB939" s="33"/>
      <c r="AC939" s="33"/>
      <c r="AD939" s="33"/>
      <c r="AE939" s="33"/>
      <c r="AF939" s="33"/>
    </row>
    <row r="940" ht="15.75" customHeight="1">
      <c r="A940" s="100"/>
      <c r="B940" s="102"/>
      <c r="C940" s="100"/>
      <c r="D940" s="100"/>
      <c r="E940" s="165"/>
      <c r="F940" s="33"/>
      <c r="G940" s="33"/>
      <c r="H940" s="33"/>
      <c r="I940" s="33"/>
      <c r="J940" s="33"/>
      <c r="K940" s="33"/>
      <c r="L940" s="33"/>
      <c r="M940" s="33"/>
      <c r="N940" s="33"/>
      <c r="O940" s="33"/>
      <c r="P940" s="33"/>
      <c r="Q940" s="33"/>
      <c r="R940" s="33"/>
      <c r="S940" s="33"/>
      <c r="T940" s="33"/>
      <c r="U940" s="33"/>
      <c r="V940" s="33"/>
      <c r="W940" s="33"/>
      <c r="X940" s="33"/>
      <c r="Y940" s="33"/>
      <c r="Z940" s="33"/>
      <c r="AA940" s="33"/>
      <c r="AB940" s="33"/>
      <c r="AC940" s="33"/>
      <c r="AD940" s="33"/>
      <c r="AE940" s="33"/>
      <c r="AF940" s="33"/>
    </row>
    <row r="941" ht="15.75" customHeight="1">
      <c r="A941" s="100"/>
      <c r="B941" s="102"/>
      <c r="C941" s="100"/>
      <c r="D941" s="100"/>
      <c r="E941" s="165"/>
      <c r="F941" s="33"/>
      <c r="G941" s="33"/>
      <c r="H941" s="33"/>
      <c r="I941" s="33"/>
      <c r="J941" s="33"/>
      <c r="K941" s="33"/>
      <c r="L941" s="33"/>
      <c r="M941" s="33"/>
      <c r="N941" s="33"/>
      <c r="O941" s="33"/>
      <c r="P941" s="33"/>
      <c r="Q941" s="33"/>
      <c r="R941" s="33"/>
      <c r="S941" s="33"/>
      <c r="T941" s="33"/>
      <c r="U941" s="33"/>
      <c r="V941" s="33"/>
      <c r="W941" s="33"/>
      <c r="X941" s="33"/>
      <c r="Y941" s="33"/>
      <c r="Z941" s="33"/>
      <c r="AA941" s="33"/>
      <c r="AB941" s="33"/>
      <c r="AC941" s="33"/>
      <c r="AD941" s="33"/>
      <c r="AE941" s="33"/>
      <c r="AF941" s="33"/>
    </row>
    <row r="942" ht="15.75" customHeight="1">
      <c r="A942" s="100"/>
      <c r="B942" s="102"/>
      <c r="C942" s="100"/>
      <c r="D942" s="100"/>
      <c r="E942" s="165"/>
      <c r="F942" s="33"/>
      <c r="G942" s="33"/>
      <c r="H942" s="33"/>
      <c r="I942" s="33"/>
      <c r="J942" s="33"/>
      <c r="K942" s="33"/>
      <c r="L942" s="33"/>
      <c r="M942" s="33"/>
      <c r="N942" s="33"/>
      <c r="O942" s="33"/>
      <c r="P942" s="33"/>
      <c r="Q942" s="33"/>
      <c r="R942" s="33"/>
      <c r="S942" s="33"/>
      <c r="T942" s="33"/>
      <c r="U942" s="33"/>
      <c r="V942" s="33"/>
      <c r="W942" s="33"/>
      <c r="X942" s="33"/>
      <c r="Y942" s="33"/>
      <c r="Z942" s="33"/>
      <c r="AA942" s="33"/>
      <c r="AB942" s="33"/>
      <c r="AC942" s="33"/>
      <c r="AD942" s="33"/>
      <c r="AE942" s="33"/>
      <c r="AF942" s="33"/>
    </row>
    <row r="943" ht="15.75" customHeight="1">
      <c r="A943" s="100"/>
      <c r="B943" s="102"/>
      <c r="C943" s="100"/>
      <c r="D943" s="100"/>
      <c r="E943" s="165"/>
      <c r="F943" s="33"/>
      <c r="G943" s="33"/>
      <c r="H943" s="33"/>
      <c r="I943" s="33"/>
      <c r="J943" s="33"/>
      <c r="K943" s="33"/>
      <c r="L943" s="33"/>
      <c r="M943" s="33"/>
      <c r="N943" s="33"/>
      <c r="O943" s="33"/>
      <c r="P943" s="33"/>
      <c r="Q943" s="33"/>
      <c r="R943" s="33"/>
      <c r="S943" s="33"/>
      <c r="T943" s="33"/>
      <c r="U943" s="33"/>
      <c r="V943" s="33"/>
      <c r="W943" s="33"/>
      <c r="X943" s="33"/>
      <c r="Y943" s="33"/>
      <c r="Z943" s="33"/>
      <c r="AA943" s="33"/>
      <c r="AB943" s="33"/>
      <c r="AC943" s="33"/>
      <c r="AD943" s="33"/>
      <c r="AE943" s="33"/>
      <c r="AF943" s="33"/>
    </row>
    <row r="944" ht="15.75" customHeight="1">
      <c r="A944" s="100"/>
      <c r="B944" s="102"/>
      <c r="C944" s="100"/>
      <c r="D944" s="100"/>
      <c r="E944" s="165"/>
      <c r="F944" s="33"/>
      <c r="G944" s="33"/>
      <c r="H944" s="33"/>
      <c r="I944" s="33"/>
      <c r="J944" s="33"/>
      <c r="K944" s="33"/>
      <c r="L944" s="33"/>
      <c r="M944" s="33"/>
      <c r="N944" s="33"/>
      <c r="O944" s="33"/>
      <c r="P944" s="33"/>
      <c r="Q944" s="33"/>
      <c r="R944" s="33"/>
      <c r="S944" s="33"/>
      <c r="T944" s="33"/>
      <c r="U944" s="33"/>
      <c r="V944" s="33"/>
      <c r="W944" s="33"/>
      <c r="X944" s="33"/>
      <c r="Y944" s="33"/>
      <c r="Z944" s="33"/>
      <c r="AA944" s="33"/>
      <c r="AB944" s="33"/>
      <c r="AC944" s="33"/>
      <c r="AD944" s="33"/>
      <c r="AE944" s="33"/>
      <c r="AF944" s="33"/>
    </row>
    <row r="945" ht="15.75" customHeight="1">
      <c r="A945" s="100"/>
      <c r="B945" s="102"/>
      <c r="C945" s="100"/>
      <c r="D945" s="100"/>
      <c r="E945" s="165"/>
      <c r="F945" s="33"/>
      <c r="G945" s="33"/>
      <c r="H945" s="33"/>
      <c r="I945" s="33"/>
      <c r="J945" s="33"/>
      <c r="K945" s="33"/>
      <c r="L945" s="33"/>
      <c r="M945" s="33"/>
      <c r="N945" s="33"/>
      <c r="O945" s="33"/>
      <c r="P945" s="33"/>
      <c r="Q945" s="33"/>
      <c r="R945" s="33"/>
      <c r="S945" s="33"/>
      <c r="T945" s="33"/>
      <c r="U945" s="33"/>
      <c r="V945" s="33"/>
      <c r="W945" s="33"/>
      <c r="X945" s="33"/>
      <c r="Y945" s="33"/>
      <c r="Z945" s="33"/>
      <c r="AA945" s="33"/>
      <c r="AB945" s="33"/>
      <c r="AC945" s="33"/>
      <c r="AD945" s="33"/>
      <c r="AE945" s="33"/>
      <c r="AF945" s="33"/>
    </row>
    <row r="946" ht="15.75" customHeight="1">
      <c r="A946" s="100"/>
      <c r="B946" s="102"/>
      <c r="C946" s="100"/>
      <c r="D946" s="100"/>
      <c r="E946" s="165"/>
      <c r="F946" s="33"/>
      <c r="G946" s="33"/>
      <c r="H946" s="33"/>
      <c r="I946" s="33"/>
      <c r="J946" s="33"/>
      <c r="K946" s="33"/>
      <c r="L946" s="33"/>
      <c r="M946" s="33"/>
      <c r="N946" s="33"/>
      <c r="O946" s="33"/>
      <c r="P946" s="33"/>
      <c r="Q946" s="33"/>
      <c r="R946" s="33"/>
      <c r="S946" s="33"/>
      <c r="T946" s="33"/>
      <c r="U946" s="33"/>
      <c r="V946" s="33"/>
      <c r="W946" s="33"/>
      <c r="X946" s="33"/>
      <c r="Y946" s="33"/>
      <c r="Z946" s="33"/>
      <c r="AA946" s="33"/>
      <c r="AB946" s="33"/>
      <c r="AC946" s="33"/>
      <c r="AD946" s="33"/>
      <c r="AE946" s="33"/>
      <c r="AF946" s="33"/>
    </row>
    <row r="947" ht="15.75" customHeight="1">
      <c r="A947" s="100"/>
      <c r="B947" s="102"/>
      <c r="C947" s="100"/>
      <c r="D947" s="100"/>
      <c r="E947" s="165"/>
      <c r="F947" s="33"/>
      <c r="G947" s="33"/>
      <c r="H947" s="33"/>
      <c r="I947" s="33"/>
      <c r="J947" s="33"/>
      <c r="K947" s="33"/>
      <c r="L947" s="33"/>
      <c r="M947" s="33"/>
      <c r="N947" s="33"/>
      <c r="O947" s="33"/>
      <c r="P947" s="33"/>
      <c r="Q947" s="33"/>
      <c r="R947" s="33"/>
      <c r="S947" s="33"/>
      <c r="T947" s="33"/>
      <c r="U947" s="33"/>
      <c r="V947" s="33"/>
      <c r="W947" s="33"/>
      <c r="X947" s="33"/>
      <c r="Y947" s="33"/>
      <c r="Z947" s="33"/>
      <c r="AA947" s="33"/>
      <c r="AB947" s="33"/>
      <c r="AC947" s="33"/>
      <c r="AD947" s="33"/>
      <c r="AE947" s="33"/>
      <c r="AF947" s="33"/>
    </row>
    <row r="948" ht="15.75" customHeight="1">
      <c r="A948" s="100"/>
      <c r="B948" s="102"/>
      <c r="C948" s="100"/>
      <c r="D948" s="100"/>
      <c r="E948" s="165"/>
      <c r="F948" s="33"/>
      <c r="G948" s="33"/>
      <c r="H948" s="33"/>
      <c r="I948" s="33"/>
      <c r="J948" s="33"/>
      <c r="K948" s="33"/>
      <c r="L948" s="33"/>
      <c r="M948" s="33"/>
      <c r="N948" s="33"/>
      <c r="O948" s="33"/>
      <c r="P948" s="33"/>
      <c r="Q948" s="33"/>
      <c r="R948" s="33"/>
      <c r="S948" s="33"/>
      <c r="T948" s="33"/>
      <c r="U948" s="33"/>
      <c r="V948" s="33"/>
      <c r="W948" s="33"/>
      <c r="X948" s="33"/>
      <c r="Y948" s="33"/>
      <c r="Z948" s="33"/>
      <c r="AA948" s="33"/>
      <c r="AB948" s="33"/>
      <c r="AC948" s="33"/>
      <c r="AD948" s="33"/>
      <c r="AE948" s="33"/>
      <c r="AF948" s="33"/>
    </row>
    <row r="949" ht="15.75" customHeight="1">
      <c r="A949" s="100"/>
      <c r="B949" s="102"/>
      <c r="C949" s="100"/>
      <c r="D949" s="100"/>
      <c r="E949" s="165"/>
      <c r="F949" s="33"/>
      <c r="G949" s="33"/>
      <c r="H949" s="33"/>
      <c r="I949" s="33"/>
      <c r="J949" s="33"/>
      <c r="K949" s="33"/>
      <c r="L949" s="33"/>
      <c r="M949" s="33"/>
      <c r="N949" s="33"/>
      <c r="O949" s="33"/>
      <c r="P949" s="33"/>
      <c r="Q949" s="33"/>
      <c r="R949" s="33"/>
      <c r="S949" s="33"/>
      <c r="T949" s="33"/>
      <c r="U949" s="33"/>
      <c r="V949" s="33"/>
      <c r="W949" s="33"/>
      <c r="X949" s="33"/>
      <c r="Y949" s="33"/>
      <c r="Z949" s="33"/>
      <c r="AA949" s="33"/>
      <c r="AB949" s="33"/>
      <c r="AC949" s="33"/>
      <c r="AD949" s="33"/>
      <c r="AE949" s="33"/>
      <c r="AF949" s="33"/>
    </row>
    <row r="950" ht="15.75" customHeight="1">
      <c r="A950" s="100"/>
      <c r="B950" s="102"/>
      <c r="C950" s="100"/>
      <c r="D950" s="100"/>
      <c r="E950" s="165"/>
      <c r="F950" s="33"/>
      <c r="G950" s="33"/>
      <c r="H950" s="33"/>
      <c r="I950" s="33"/>
      <c r="J950" s="33"/>
      <c r="K950" s="33"/>
      <c r="L950" s="33"/>
      <c r="M950" s="33"/>
      <c r="N950" s="33"/>
      <c r="O950" s="33"/>
      <c r="P950" s="33"/>
      <c r="Q950" s="33"/>
      <c r="R950" s="33"/>
      <c r="S950" s="33"/>
      <c r="T950" s="33"/>
      <c r="U950" s="33"/>
      <c r="V950" s="33"/>
      <c r="W950" s="33"/>
      <c r="X950" s="33"/>
      <c r="Y950" s="33"/>
      <c r="Z950" s="33"/>
      <c r="AA950" s="33"/>
      <c r="AB950" s="33"/>
      <c r="AC950" s="33"/>
      <c r="AD950" s="33"/>
      <c r="AE950" s="33"/>
      <c r="AF950" s="33"/>
    </row>
    <row r="951" ht="15.75" customHeight="1">
      <c r="A951" s="100"/>
      <c r="B951" s="102"/>
      <c r="C951" s="100"/>
      <c r="D951" s="100"/>
      <c r="E951" s="165"/>
      <c r="F951" s="33"/>
      <c r="G951" s="33"/>
      <c r="H951" s="33"/>
      <c r="I951" s="33"/>
      <c r="J951" s="33"/>
      <c r="K951" s="33"/>
      <c r="L951" s="33"/>
      <c r="M951" s="33"/>
      <c r="N951" s="33"/>
      <c r="O951" s="33"/>
      <c r="P951" s="33"/>
      <c r="Q951" s="33"/>
      <c r="R951" s="33"/>
      <c r="S951" s="33"/>
      <c r="T951" s="33"/>
      <c r="U951" s="33"/>
      <c r="V951" s="33"/>
      <c r="W951" s="33"/>
      <c r="X951" s="33"/>
      <c r="Y951" s="33"/>
      <c r="Z951" s="33"/>
      <c r="AA951" s="33"/>
      <c r="AB951" s="33"/>
      <c r="AC951" s="33"/>
      <c r="AD951" s="33"/>
      <c r="AE951" s="33"/>
      <c r="AF951" s="33"/>
    </row>
    <row r="952" ht="15.75" customHeight="1">
      <c r="A952" s="100"/>
      <c r="B952" s="102"/>
      <c r="C952" s="100"/>
      <c r="D952" s="100"/>
      <c r="E952" s="165"/>
      <c r="F952" s="33"/>
      <c r="G952" s="33"/>
      <c r="H952" s="33"/>
      <c r="I952" s="33"/>
      <c r="J952" s="33"/>
      <c r="K952" s="33"/>
      <c r="L952" s="33"/>
      <c r="M952" s="33"/>
      <c r="N952" s="33"/>
      <c r="O952" s="33"/>
      <c r="P952" s="33"/>
      <c r="Q952" s="33"/>
      <c r="R952" s="33"/>
      <c r="S952" s="33"/>
      <c r="T952" s="33"/>
      <c r="U952" s="33"/>
      <c r="V952" s="33"/>
      <c r="W952" s="33"/>
      <c r="X952" s="33"/>
      <c r="Y952" s="33"/>
      <c r="Z952" s="33"/>
      <c r="AA952" s="33"/>
      <c r="AB952" s="33"/>
      <c r="AC952" s="33"/>
      <c r="AD952" s="33"/>
      <c r="AE952" s="33"/>
      <c r="AF952" s="33"/>
    </row>
    <row r="953" ht="15.75" customHeight="1">
      <c r="A953" s="100"/>
      <c r="B953" s="102"/>
      <c r="C953" s="100"/>
      <c r="D953" s="100"/>
      <c r="E953" s="165"/>
      <c r="F953" s="33"/>
      <c r="G953" s="33"/>
      <c r="H953" s="33"/>
      <c r="I953" s="33"/>
      <c r="J953" s="33"/>
      <c r="K953" s="33"/>
      <c r="L953" s="33"/>
      <c r="M953" s="33"/>
      <c r="N953" s="33"/>
      <c r="O953" s="33"/>
      <c r="P953" s="33"/>
      <c r="Q953" s="33"/>
      <c r="R953" s="33"/>
      <c r="S953" s="33"/>
      <c r="T953" s="33"/>
      <c r="U953" s="33"/>
      <c r="V953" s="33"/>
      <c r="W953" s="33"/>
      <c r="X953" s="33"/>
      <c r="Y953" s="33"/>
      <c r="Z953" s="33"/>
      <c r="AA953" s="33"/>
      <c r="AB953" s="33"/>
      <c r="AC953" s="33"/>
      <c r="AD953" s="33"/>
      <c r="AE953" s="33"/>
      <c r="AF953" s="33"/>
    </row>
    <row r="954" ht="15.75" customHeight="1">
      <c r="A954" s="100"/>
      <c r="B954" s="102"/>
      <c r="C954" s="100"/>
      <c r="D954" s="100"/>
      <c r="E954" s="165"/>
      <c r="F954" s="33"/>
      <c r="G954" s="33"/>
      <c r="H954" s="33"/>
      <c r="I954" s="33"/>
      <c r="J954" s="33"/>
      <c r="K954" s="33"/>
      <c r="L954" s="33"/>
      <c r="M954" s="33"/>
      <c r="N954" s="33"/>
      <c r="O954" s="33"/>
      <c r="P954" s="33"/>
      <c r="Q954" s="33"/>
      <c r="R954" s="33"/>
      <c r="S954" s="33"/>
      <c r="T954" s="33"/>
      <c r="U954" s="33"/>
      <c r="V954" s="33"/>
      <c r="W954" s="33"/>
      <c r="X954" s="33"/>
      <c r="Y954" s="33"/>
      <c r="Z954" s="33"/>
      <c r="AA954" s="33"/>
      <c r="AB954" s="33"/>
      <c r="AC954" s="33"/>
      <c r="AD954" s="33"/>
      <c r="AE954" s="33"/>
      <c r="AF954" s="33"/>
    </row>
    <row r="955" ht="15.75" customHeight="1">
      <c r="A955" s="100"/>
      <c r="B955" s="102"/>
      <c r="C955" s="100"/>
      <c r="D955" s="100"/>
      <c r="E955" s="165"/>
      <c r="F955" s="33"/>
      <c r="G955" s="33"/>
      <c r="H955" s="33"/>
      <c r="I955" s="33"/>
      <c r="J955" s="33"/>
      <c r="K955" s="33"/>
      <c r="L955" s="33"/>
      <c r="M955" s="33"/>
      <c r="N955" s="33"/>
      <c r="O955" s="33"/>
      <c r="P955" s="33"/>
      <c r="Q955" s="33"/>
      <c r="R955" s="33"/>
      <c r="S955" s="33"/>
      <c r="T955" s="33"/>
      <c r="U955" s="33"/>
      <c r="V955" s="33"/>
      <c r="W955" s="33"/>
      <c r="X955" s="33"/>
      <c r="Y955" s="33"/>
      <c r="Z955" s="33"/>
      <c r="AA955" s="33"/>
      <c r="AB955" s="33"/>
      <c r="AC955" s="33"/>
      <c r="AD955" s="33"/>
      <c r="AE955" s="33"/>
      <c r="AF955" s="33"/>
    </row>
    <row r="956" ht="15.75" customHeight="1">
      <c r="A956" s="100"/>
      <c r="B956" s="102"/>
      <c r="C956" s="100"/>
      <c r="D956" s="100"/>
      <c r="E956" s="165"/>
      <c r="F956" s="33"/>
      <c r="G956" s="33"/>
      <c r="H956" s="33"/>
      <c r="I956" s="33"/>
      <c r="J956" s="33"/>
      <c r="K956" s="33"/>
      <c r="L956" s="33"/>
      <c r="M956" s="33"/>
      <c r="N956" s="33"/>
      <c r="O956" s="33"/>
      <c r="P956" s="33"/>
      <c r="Q956" s="33"/>
      <c r="R956" s="33"/>
      <c r="S956" s="33"/>
      <c r="T956" s="33"/>
      <c r="U956" s="33"/>
      <c r="V956" s="33"/>
      <c r="W956" s="33"/>
      <c r="X956" s="33"/>
      <c r="Y956" s="33"/>
      <c r="Z956" s="33"/>
      <c r="AA956" s="33"/>
      <c r="AB956" s="33"/>
      <c r="AC956" s="33"/>
      <c r="AD956" s="33"/>
      <c r="AE956" s="33"/>
      <c r="AF956" s="33"/>
    </row>
    <row r="957" ht="15.75" customHeight="1">
      <c r="A957" s="100"/>
      <c r="B957" s="102"/>
      <c r="C957" s="100"/>
      <c r="D957" s="100"/>
      <c r="E957" s="165"/>
      <c r="F957" s="33"/>
      <c r="G957" s="33"/>
      <c r="H957" s="33"/>
      <c r="I957" s="33"/>
      <c r="J957" s="33"/>
      <c r="K957" s="33"/>
      <c r="L957" s="33"/>
      <c r="M957" s="33"/>
      <c r="N957" s="33"/>
      <c r="O957" s="33"/>
      <c r="P957" s="33"/>
      <c r="Q957" s="33"/>
      <c r="R957" s="33"/>
      <c r="S957" s="33"/>
      <c r="T957" s="33"/>
      <c r="U957" s="33"/>
      <c r="V957" s="33"/>
      <c r="W957" s="33"/>
      <c r="X957" s="33"/>
      <c r="Y957" s="33"/>
      <c r="Z957" s="33"/>
      <c r="AA957" s="33"/>
      <c r="AB957" s="33"/>
      <c r="AC957" s="33"/>
      <c r="AD957" s="33"/>
      <c r="AE957" s="33"/>
      <c r="AF957" s="33"/>
    </row>
    <row r="958" ht="15.75" customHeight="1">
      <c r="A958" s="100"/>
      <c r="B958" s="102"/>
      <c r="C958" s="100"/>
      <c r="D958" s="100"/>
      <c r="E958" s="165"/>
      <c r="F958" s="33"/>
      <c r="G958" s="33"/>
      <c r="H958" s="33"/>
      <c r="I958" s="33"/>
      <c r="J958" s="33"/>
      <c r="K958" s="33"/>
      <c r="L958" s="33"/>
      <c r="M958" s="33"/>
      <c r="N958" s="33"/>
      <c r="O958" s="33"/>
      <c r="P958" s="33"/>
      <c r="Q958" s="33"/>
      <c r="R958" s="33"/>
      <c r="S958" s="33"/>
      <c r="T958" s="33"/>
      <c r="U958" s="33"/>
      <c r="V958" s="33"/>
      <c r="W958" s="33"/>
      <c r="X958" s="33"/>
      <c r="Y958" s="33"/>
      <c r="Z958" s="33"/>
      <c r="AA958" s="33"/>
      <c r="AB958" s="33"/>
      <c r="AC958" s="33"/>
      <c r="AD958" s="33"/>
      <c r="AE958" s="33"/>
      <c r="AF958" s="33"/>
    </row>
    <row r="959" ht="15.75" customHeight="1">
      <c r="A959" s="100"/>
      <c r="B959" s="102"/>
      <c r="C959" s="100"/>
      <c r="D959" s="100"/>
      <c r="E959" s="165"/>
      <c r="F959" s="33"/>
      <c r="G959" s="33"/>
      <c r="H959" s="33"/>
      <c r="I959" s="33"/>
      <c r="J959" s="33"/>
      <c r="K959" s="33"/>
      <c r="L959" s="33"/>
      <c r="M959" s="33"/>
      <c r="N959" s="33"/>
      <c r="O959" s="33"/>
      <c r="P959" s="33"/>
      <c r="Q959" s="33"/>
      <c r="R959" s="33"/>
      <c r="S959" s="33"/>
      <c r="T959" s="33"/>
      <c r="U959" s="33"/>
      <c r="V959" s="33"/>
      <c r="W959" s="33"/>
      <c r="X959" s="33"/>
      <c r="Y959" s="33"/>
      <c r="Z959" s="33"/>
      <c r="AA959" s="33"/>
      <c r="AB959" s="33"/>
      <c r="AC959" s="33"/>
      <c r="AD959" s="33"/>
      <c r="AE959" s="33"/>
      <c r="AF959" s="33"/>
    </row>
    <row r="960" ht="15.75" customHeight="1">
      <c r="A960" s="100"/>
      <c r="B960" s="102"/>
      <c r="C960" s="100"/>
      <c r="D960" s="100"/>
      <c r="E960" s="165"/>
      <c r="F960" s="33"/>
      <c r="G960" s="33"/>
      <c r="H960" s="33"/>
      <c r="I960" s="33"/>
      <c r="J960" s="33"/>
      <c r="K960" s="33"/>
      <c r="L960" s="33"/>
      <c r="M960" s="33"/>
      <c r="N960" s="33"/>
      <c r="O960" s="33"/>
      <c r="P960" s="33"/>
      <c r="Q960" s="33"/>
      <c r="R960" s="33"/>
      <c r="S960" s="33"/>
      <c r="T960" s="33"/>
      <c r="U960" s="33"/>
      <c r="V960" s="33"/>
      <c r="W960" s="33"/>
      <c r="X960" s="33"/>
      <c r="Y960" s="33"/>
      <c r="Z960" s="33"/>
      <c r="AA960" s="33"/>
      <c r="AB960" s="33"/>
      <c r="AC960" s="33"/>
      <c r="AD960" s="33"/>
      <c r="AE960" s="33"/>
      <c r="AF960" s="33"/>
    </row>
    <row r="961" ht="15.75" customHeight="1">
      <c r="A961" s="100"/>
      <c r="B961" s="102"/>
      <c r="C961" s="100"/>
      <c r="D961" s="100"/>
      <c r="E961" s="165"/>
      <c r="F961" s="33"/>
      <c r="G961" s="33"/>
      <c r="H961" s="33"/>
      <c r="I961" s="33"/>
      <c r="J961" s="33"/>
      <c r="K961" s="33"/>
      <c r="L961" s="33"/>
      <c r="M961" s="33"/>
      <c r="N961" s="33"/>
      <c r="O961" s="33"/>
      <c r="P961" s="33"/>
      <c r="Q961" s="33"/>
      <c r="R961" s="33"/>
      <c r="S961" s="33"/>
      <c r="T961" s="33"/>
      <c r="U961" s="33"/>
      <c r="V961" s="33"/>
      <c r="W961" s="33"/>
      <c r="X961" s="33"/>
      <c r="Y961" s="33"/>
      <c r="Z961" s="33"/>
      <c r="AA961" s="33"/>
      <c r="AB961" s="33"/>
      <c r="AC961" s="33"/>
      <c r="AD961" s="33"/>
      <c r="AE961" s="33"/>
      <c r="AF961" s="33"/>
    </row>
    <row r="962" ht="15.75" customHeight="1">
      <c r="A962" s="100"/>
      <c r="B962" s="102"/>
      <c r="C962" s="100"/>
      <c r="D962" s="100"/>
      <c r="E962" s="165"/>
      <c r="F962" s="33"/>
      <c r="G962" s="33"/>
      <c r="H962" s="33"/>
      <c r="I962" s="33"/>
      <c r="J962" s="33"/>
      <c r="K962" s="33"/>
      <c r="L962" s="33"/>
      <c r="M962" s="33"/>
      <c r="N962" s="33"/>
      <c r="O962" s="33"/>
      <c r="P962" s="33"/>
      <c r="Q962" s="33"/>
      <c r="R962" s="33"/>
      <c r="S962" s="33"/>
      <c r="T962" s="33"/>
      <c r="U962" s="33"/>
      <c r="V962" s="33"/>
      <c r="W962" s="33"/>
      <c r="X962" s="33"/>
      <c r="Y962" s="33"/>
      <c r="Z962" s="33"/>
      <c r="AA962" s="33"/>
      <c r="AB962" s="33"/>
      <c r="AC962" s="33"/>
      <c r="AD962" s="33"/>
      <c r="AE962" s="33"/>
      <c r="AF962" s="33"/>
    </row>
    <row r="963" ht="15.75" customHeight="1">
      <c r="A963" s="100"/>
      <c r="B963" s="102"/>
      <c r="C963" s="100"/>
      <c r="D963" s="100"/>
      <c r="E963" s="165"/>
      <c r="F963" s="33"/>
      <c r="G963" s="33"/>
      <c r="H963" s="33"/>
      <c r="I963" s="33"/>
      <c r="J963" s="33"/>
      <c r="K963" s="33"/>
      <c r="L963" s="33"/>
      <c r="M963" s="33"/>
      <c r="N963" s="33"/>
      <c r="O963" s="33"/>
      <c r="P963" s="33"/>
      <c r="Q963" s="33"/>
      <c r="R963" s="33"/>
      <c r="S963" s="33"/>
      <c r="T963" s="33"/>
      <c r="U963" s="33"/>
      <c r="V963" s="33"/>
      <c r="W963" s="33"/>
      <c r="X963" s="33"/>
      <c r="Y963" s="33"/>
      <c r="Z963" s="33"/>
      <c r="AA963" s="33"/>
      <c r="AB963" s="33"/>
      <c r="AC963" s="33"/>
      <c r="AD963" s="33"/>
      <c r="AE963" s="33"/>
      <c r="AF963" s="33"/>
    </row>
    <row r="964" ht="15.75" customHeight="1">
      <c r="A964" s="100"/>
      <c r="B964" s="102"/>
      <c r="C964" s="100"/>
      <c r="D964" s="100"/>
      <c r="E964" s="165"/>
      <c r="F964" s="33"/>
      <c r="G964" s="33"/>
      <c r="H964" s="33"/>
      <c r="I964" s="33"/>
      <c r="J964" s="33"/>
      <c r="K964" s="33"/>
      <c r="L964" s="33"/>
      <c r="M964" s="33"/>
      <c r="N964" s="33"/>
      <c r="O964" s="33"/>
      <c r="P964" s="33"/>
      <c r="Q964" s="33"/>
      <c r="R964" s="33"/>
      <c r="S964" s="33"/>
      <c r="T964" s="33"/>
      <c r="U964" s="33"/>
      <c r="V964" s="33"/>
      <c r="W964" s="33"/>
      <c r="X964" s="33"/>
      <c r="Y964" s="33"/>
      <c r="Z964" s="33"/>
      <c r="AA964" s="33"/>
      <c r="AB964" s="33"/>
      <c r="AC964" s="33"/>
      <c r="AD964" s="33"/>
      <c r="AE964" s="33"/>
      <c r="AF964" s="33"/>
    </row>
    <row r="965" ht="15.75" customHeight="1">
      <c r="A965" s="100"/>
      <c r="B965" s="102"/>
      <c r="C965" s="100"/>
      <c r="D965" s="100"/>
      <c r="E965" s="165"/>
      <c r="F965" s="33"/>
      <c r="G965" s="33"/>
      <c r="H965" s="33"/>
      <c r="I965" s="33"/>
      <c r="J965" s="33"/>
      <c r="K965" s="33"/>
      <c r="L965" s="33"/>
      <c r="M965" s="33"/>
      <c r="N965" s="33"/>
      <c r="O965" s="33"/>
      <c r="P965" s="33"/>
      <c r="Q965" s="33"/>
      <c r="R965" s="33"/>
      <c r="S965" s="33"/>
      <c r="T965" s="33"/>
      <c r="U965" s="33"/>
      <c r="V965" s="33"/>
      <c r="W965" s="33"/>
      <c r="X965" s="33"/>
      <c r="Y965" s="33"/>
      <c r="Z965" s="33"/>
      <c r="AA965" s="33"/>
      <c r="AB965" s="33"/>
      <c r="AC965" s="33"/>
      <c r="AD965" s="33"/>
      <c r="AE965" s="33"/>
      <c r="AF965" s="33"/>
    </row>
    <row r="966" ht="15.75" customHeight="1">
      <c r="A966" s="100"/>
      <c r="B966" s="102"/>
      <c r="C966" s="100"/>
      <c r="D966" s="100"/>
      <c r="E966" s="165"/>
      <c r="F966" s="33"/>
      <c r="G966" s="33"/>
      <c r="H966" s="33"/>
      <c r="I966" s="33"/>
      <c r="J966" s="33"/>
      <c r="K966" s="33"/>
      <c r="L966" s="33"/>
      <c r="M966" s="33"/>
      <c r="N966" s="33"/>
      <c r="O966" s="33"/>
      <c r="P966" s="33"/>
      <c r="Q966" s="33"/>
      <c r="R966" s="33"/>
      <c r="S966" s="33"/>
      <c r="T966" s="33"/>
      <c r="U966" s="33"/>
      <c r="V966" s="33"/>
      <c r="W966" s="33"/>
      <c r="X966" s="33"/>
      <c r="Y966" s="33"/>
      <c r="Z966" s="33"/>
      <c r="AA966" s="33"/>
      <c r="AB966" s="33"/>
      <c r="AC966" s="33"/>
      <c r="AD966" s="33"/>
      <c r="AE966" s="33"/>
      <c r="AF966" s="33"/>
    </row>
    <row r="967" ht="15.75" customHeight="1">
      <c r="A967" s="100"/>
      <c r="B967" s="102"/>
      <c r="C967" s="100"/>
      <c r="D967" s="100"/>
      <c r="E967" s="165"/>
      <c r="F967" s="33"/>
      <c r="G967" s="33"/>
      <c r="H967" s="33"/>
      <c r="I967" s="33"/>
      <c r="J967" s="33"/>
      <c r="K967" s="33"/>
      <c r="L967" s="33"/>
      <c r="M967" s="33"/>
      <c r="N967" s="33"/>
      <c r="O967" s="33"/>
      <c r="P967" s="33"/>
      <c r="Q967" s="33"/>
      <c r="R967" s="33"/>
      <c r="S967" s="33"/>
      <c r="T967" s="33"/>
      <c r="U967" s="33"/>
      <c r="V967" s="33"/>
      <c r="W967" s="33"/>
      <c r="X967" s="33"/>
      <c r="Y967" s="33"/>
      <c r="Z967" s="33"/>
      <c r="AA967" s="33"/>
      <c r="AB967" s="33"/>
      <c r="AC967" s="33"/>
      <c r="AD967" s="33"/>
      <c r="AE967" s="33"/>
      <c r="AF967" s="33"/>
    </row>
    <row r="968" ht="15.75" customHeight="1">
      <c r="A968" s="100"/>
      <c r="B968" s="102"/>
      <c r="C968" s="100"/>
      <c r="D968" s="100"/>
      <c r="E968" s="165"/>
      <c r="F968" s="33"/>
      <c r="G968" s="33"/>
      <c r="H968" s="33"/>
      <c r="I968" s="33"/>
      <c r="J968" s="33"/>
      <c r="K968" s="33"/>
      <c r="L968" s="33"/>
      <c r="M968" s="33"/>
      <c r="N968" s="33"/>
      <c r="O968" s="33"/>
      <c r="P968" s="33"/>
      <c r="Q968" s="33"/>
      <c r="R968" s="33"/>
      <c r="S968" s="33"/>
      <c r="T968" s="33"/>
      <c r="U968" s="33"/>
      <c r="V968" s="33"/>
      <c r="W968" s="33"/>
      <c r="X968" s="33"/>
      <c r="Y968" s="33"/>
      <c r="Z968" s="33"/>
      <c r="AA968" s="33"/>
      <c r="AB968" s="33"/>
      <c r="AC968" s="33"/>
      <c r="AD968" s="33"/>
      <c r="AE968" s="33"/>
      <c r="AF968" s="33"/>
    </row>
    <row r="969" ht="15.75" customHeight="1">
      <c r="A969" s="100"/>
      <c r="B969" s="102"/>
      <c r="C969" s="100"/>
      <c r="D969" s="100"/>
      <c r="E969" s="165"/>
      <c r="F969" s="33"/>
      <c r="G969" s="33"/>
      <c r="H969" s="33"/>
      <c r="I969" s="33"/>
      <c r="J969" s="33"/>
      <c r="K969" s="33"/>
      <c r="L969" s="33"/>
      <c r="M969" s="33"/>
      <c r="N969" s="33"/>
      <c r="O969" s="33"/>
      <c r="P969" s="33"/>
      <c r="Q969" s="33"/>
      <c r="R969" s="33"/>
      <c r="S969" s="33"/>
      <c r="T969" s="33"/>
      <c r="U969" s="33"/>
      <c r="V969" s="33"/>
      <c r="W969" s="33"/>
      <c r="X969" s="33"/>
      <c r="Y969" s="33"/>
      <c r="Z969" s="33"/>
      <c r="AA969" s="33"/>
      <c r="AB969" s="33"/>
      <c r="AC969" s="33"/>
      <c r="AD969" s="33"/>
      <c r="AE969" s="33"/>
      <c r="AF969" s="33"/>
    </row>
    <row r="970" ht="15.75" customHeight="1">
      <c r="A970" s="100"/>
      <c r="B970" s="102"/>
      <c r="C970" s="100"/>
      <c r="D970" s="100"/>
      <c r="E970" s="165"/>
      <c r="F970" s="33"/>
      <c r="G970" s="33"/>
      <c r="H970" s="33"/>
      <c r="I970" s="33"/>
      <c r="J970" s="33"/>
      <c r="K970" s="33"/>
      <c r="L970" s="33"/>
      <c r="M970" s="33"/>
      <c r="N970" s="33"/>
      <c r="O970" s="33"/>
      <c r="P970" s="33"/>
      <c r="Q970" s="33"/>
      <c r="R970" s="33"/>
      <c r="S970" s="33"/>
      <c r="T970" s="33"/>
      <c r="U970" s="33"/>
      <c r="V970" s="33"/>
      <c r="W970" s="33"/>
      <c r="X970" s="33"/>
      <c r="Y970" s="33"/>
      <c r="Z970" s="33"/>
      <c r="AA970" s="33"/>
      <c r="AB970" s="33"/>
      <c r="AC970" s="33"/>
      <c r="AD970" s="33"/>
      <c r="AE970" s="33"/>
      <c r="AF970" s="33"/>
    </row>
    <row r="971" ht="15.75" customHeight="1">
      <c r="A971" s="100"/>
      <c r="B971" s="102"/>
      <c r="C971" s="100"/>
      <c r="D971" s="100"/>
      <c r="E971" s="165"/>
      <c r="F971" s="33"/>
      <c r="G971" s="33"/>
      <c r="H971" s="33"/>
      <c r="I971" s="33"/>
      <c r="J971" s="33"/>
      <c r="K971" s="33"/>
      <c r="L971" s="33"/>
      <c r="M971" s="33"/>
      <c r="N971" s="33"/>
      <c r="O971" s="33"/>
      <c r="P971" s="33"/>
      <c r="Q971" s="33"/>
      <c r="R971" s="33"/>
      <c r="S971" s="33"/>
      <c r="T971" s="33"/>
      <c r="U971" s="33"/>
      <c r="V971" s="33"/>
      <c r="W971" s="33"/>
      <c r="X971" s="33"/>
      <c r="Y971" s="33"/>
      <c r="Z971" s="33"/>
      <c r="AA971" s="33"/>
      <c r="AB971" s="33"/>
      <c r="AC971" s="33"/>
      <c r="AD971" s="33"/>
      <c r="AE971" s="33"/>
      <c r="AF971" s="33"/>
    </row>
    <row r="972" ht="15.75" customHeight="1">
      <c r="A972" s="100"/>
      <c r="B972" s="102"/>
      <c r="C972" s="100"/>
      <c r="D972" s="100"/>
      <c r="E972" s="165"/>
      <c r="F972" s="33"/>
      <c r="G972" s="33"/>
      <c r="H972" s="33"/>
      <c r="I972" s="33"/>
      <c r="J972" s="33"/>
      <c r="K972" s="33"/>
      <c r="L972" s="33"/>
      <c r="M972" s="33"/>
      <c r="N972" s="33"/>
      <c r="O972" s="33"/>
      <c r="P972" s="33"/>
      <c r="Q972" s="33"/>
      <c r="R972" s="33"/>
      <c r="S972" s="33"/>
      <c r="T972" s="33"/>
      <c r="U972" s="33"/>
      <c r="V972" s="33"/>
      <c r="W972" s="33"/>
      <c r="X972" s="33"/>
      <c r="Y972" s="33"/>
      <c r="Z972" s="33"/>
      <c r="AA972" s="33"/>
      <c r="AB972" s="33"/>
      <c r="AC972" s="33"/>
      <c r="AD972" s="33"/>
      <c r="AE972" s="33"/>
      <c r="AF972" s="33"/>
    </row>
    <row r="973" ht="15.75" customHeight="1">
      <c r="A973" s="100"/>
      <c r="B973" s="102"/>
      <c r="C973" s="100"/>
      <c r="D973" s="100"/>
      <c r="E973" s="165"/>
      <c r="F973" s="33"/>
      <c r="G973" s="33"/>
      <c r="H973" s="33"/>
      <c r="I973" s="33"/>
      <c r="J973" s="33"/>
      <c r="K973" s="33"/>
      <c r="L973" s="33"/>
      <c r="M973" s="33"/>
      <c r="N973" s="33"/>
      <c r="O973" s="33"/>
      <c r="P973" s="33"/>
      <c r="Q973" s="33"/>
      <c r="R973" s="33"/>
      <c r="S973" s="33"/>
      <c r="T973" s="33"/>
      <c r="U973" s="33"/>
      <c r="V973" s="33"/>
      <c r="W973" s="33"/>
      <c r="X973" s="33"/>
      <c r="Y973" s="33"/>
      <c r="Z973" s="33"/>
      <c r="AA973" s="33"/>
      <c r="AB973" s="33"/>
      <c r="AC973" s="33"/>
      <c r="AD973" s="33"/>
      <c r="AE973" s="33"/>
      <c r="AF973" s="33"/>
    </row>
    <row r="974" ht="15.75" customHeight="1">
      <c r="A974" s="100"/>
      <c r="B974" s="102"/>
      <c r="C974" s="100"/>
      <c r="D974" s="100"/>
      <c r="E974" s="165"/>
      <c r="F974" s="33"/>
      <c r="G974" s="33"/>
      <c r="H974" s="33"/>
      <c r="I974" s="33"/>
      <c r="J974" s="33"/>
      <c r="K974" s="33"/>
      <c r="L974" s="33"/>
      <c r="M974" s="33"/>
      <c r="N974" s="33"/>
      <c r="O974" s="33"/>
      <c r="P974" s="33"/>
      <c r="Q974" s="33"/>
      <c r="R974" s="33"/>
      <c r="S974" s="33"/>
      <c r="T974" s="33"/>
      <c r="U974" s="33"/>
      <c r="V974" s="33"/>
      <c r="W974" s="33"/>
      <c r="X974" s="33"/>
      <c r="Y974" s="33"/>
      <c r="Z974" s="33"/>
      <c r="AA974" s="33"/>
      <c r="AB974" s="33"/>
      <c r="AC974" s="33"/>
      <c r="AD974" s="33"/>
      <c r="AE974" s="33"/>
      <c r="AF974" s="33"/>
    </row>
    <row r="975" ht="15.75" customHeight="1">
      <c r="A975" s="100"/>
      <c r="B975" s="102"/>
      <c r="C975" s="100"/>
      <c r="D975" s="100"/>
      <c r="E975" s="165"/>
      <c r="F975" s="33"/>
      <c r="G975" s="33"/>
      <c r="H975" s="33"/>
      <c r="I975" s="33"/>
      <c r="J975" s="33"/>
      <c r="K975" s="33"/>
      <c r="L975" s="33"/>
      <c r="M975" s="33"/>
      <c r="N975" s="33"/>
      <c r="O975" s="33"/>
      <c r="P975" s="33"/>
      <c r="Q975" s="33"/>
      <c r="R975" s="33"/>
      <c r="S975" s="33"/>
      <c r="T975" s="33"/>
      <c r="U975" s="33"/>
      <c r="V975" s="33"/>
      <c r="W975" s="33"/>
      <c r="X975" s="33"/>
      <c r="Y975" s="33"/>
      <c r="Z975" s="33"/>
      <c r="AA975" s="33"/>
      <c r="AB975" s="33"/>
      <c r="AC975" s="33"/>
      <c r="AD975" s="33"/>
      <c r="AE975" s="33"/>
      <c r="AF975" s="33"/>
    </row>
    <row r="976" ht="15.75" customHeight="1">
      <c r="A976" s="100"/>
      <c r="B976" s="102"/>
      <c r="C976" s="100"/>
      <c r="D976" s="100"/>
      <c r="E976" s="165"/>
      <c r="F976" s="33"/>
      <c r="G976" s="33"/>
      <c r="H976" s="33"/>
      <c r="I976" s="33"/>
      <c r="J976" s="33"/>
      <c r="K976" s="33"/>
      <c r="L976" s="33"/>
      <c r="M976" s="33"/>
      <c r="N976" s="33"/>
      <c r="O976" s="33"/>
      <c r="P976" s="33"/>
      <c r="Q976" s="33"/>
      <c r="R976" s="33"/>
      <c r="S976" s="33"/>
      <c r="T976" s="33"/>
      <c r="U976" s="33"/>
      <c r="V976" s="33"/>
      <c r="W976" s="33"/>
      <c r="X976" s="33"/>
      <c r="Y976" s="33"/>
      <c r="Z976" s="33"/>
      <c r="AA976" s="33"/>
      <c r="AB976" s="33"/>
      <c r="AC976" s="33"/>
      <c r="AD976" s="33"/>
      <c r="AE976" s="33"/>
      <c r="AF976" s="33"/>
    </row>
    <row r="977" ht="15.75" customHeight="1">
      <c r="A977" s="100"/>
      <c r="B977" s="102"/>
      <c r="C977" s="100"/>
      <c r="D977" s="100"/>
      <c r="E977" s="165"/>
      <c r="F977" s="33"/>
      <c r="G977" s="33"/>
      <c r="H977" s="33"/>
      <c r="I977" s="33"/>
      <c r="J977" s="33"/>
      <c r="K977" s="33"/>
      <c r="L977" s="33"/>
      <c r="M977" s="33"/>
      <c r="N977" s="33"/>
      <c r="O977" s="33"/>
      <c r="P977" s="33"/>
      <c r="Q977" s="33"/>
      <c r="R977" s="33"/>
      <c r="S977" s="33"/>
      <c r="T977" s="33"/>
      <c r="U977" s="33"/>
      <c r="V977" s="33"/>
      <c r="W977" s="33"/>
      <c r="X977" s="33"/>
      <c r="Y977" s="33"/>
      <c r="Z977" s="33"/>
      <c r="AA977" s="33"/>
      <c r="AB977" s="33"/>
      <c r="AC977" s="33"/>
      <c r="AD977" s="33"/>
      <c r="AE977" s="33"/>
      <c r="AF977" s="33"/>
    </row>
    <row r="978" ht="15.75" customHeight="1">
      <c r="A978" s="100"/>
      <c r="B978" s="102"/>
      <c r="C978" s="100"/>
      <c r="D978" s="100"/>
      <c r="E978" s="165"/>
      <c r="F978" s="33"/>
      <c r="G978" s="33"/>
      <c r="H978" s="33"/>
      <c r="I978" s="33"/>
      <c r="J978" s="33"/>
      <c r="K978" s="33"/>
      <c r="L978" s="33"/>
      <c r="M978" s="33"/>
      <c r="N978" s="33"/>
      <c r="O978" s="33"/>
      <c r="P978" s="33"/>
      <c r="Q978" s="33"/>
      <c r="R978" s="33"/>
      <c r="S978" s="33"/>
      <c r="T978" s="33"/>
      <c r="U978" s="33"/>
      <c r="V978" s="33"/>
      <c r="W978" s="33"/>
      <c r="X978" s="33"/>
      <c r="Y978" s="33"/>
      <c r="Z978" s="33"/>
      <c r="AA978" s="33"/>
      <c r="AB978" s="33"/>
      <c r="AC978" s="33"/>
      <c r="AD978" s="33"/>
      <c r="AE978" s="33"/>
      <c r="AF978" s="33"/>
    </row>
    <row r="979" ht="15.75" customHeight="1">
      <c r="A979" s="100"/>
      <c r="B979" s="102"/>
      <c r="C979" s="100"/>
      <c r="D979" s="100"/>
      <c r="E979" s="165"/>
      <c r="F979" s="33"/>
      <c r="G979" s="33"/>
      <c r="H979" s="33"/>
      <c r="I979" s="33"/>
      <c r="J979" s="33"/>
      <c r="K979" s="33"/>
      <c r="L979" s="33"/>
      <c r="M979" s="33"/>
      <c r="N979" s="33"/>
      <c r="O979" s="33"/>
      <c r="P979" s="33"/>
      <c r="Q979" s="33"/>
      <c r="R979" s="33"/>
      <c r="S979" s="33"/>
      <c r="T979" s="33"/>
      <c r="U979" s="33"/>
      <c r="V979" s="33"/>
      <c r="W979" s="33"/>
      <c r="X979" s="33"/>
      <c r="Y979" s="33"/>
      <c r="Z979" s="33"/>
      <c r="AA979" s="33"/>
      <c r="AB979" s="33"/>
      <c r="AC979" s="33"/>
      <c r="AD979" s="33"/>
      <c r="AE979" s="33"/>
      <c r="AF979" s="33"/>
    </row>
    <row r="980" ht="15.75" customHeight="1">
      <c r="A980" s="100"/>
      <c r="B980" s="102"/>
      <c r="C980" s="100"/>
      <c r="D980" s="100"/>
      <c r="E980" s="165"/>
      <c r="F980" s="33"/>
      <c r="G980" s="33"/>
      <c r="H980" s="33"/>
      <c r="I980" s="33"/>
      <c r="J980" s="33"/>
      <c r="K980" s="33"/>
      <c r="L980" s="33"/>
      <c r="M980" s="33"/>
      <c r="N980" s="33"/>
      <c r="O980" s="33"/>
      <c r="P980" s="33"/>
      <c r="Q980" s="33"/>
      <c r="R980" s="33"/>
      <c r="S980" s="33"/>
      <c r="T980" s="33"/>
      <c r="U980" s="33"/>
      <c r="V980" s="33"/>
      <c r="W980" s="33"/>
      <c r="X980" s="33"/>
      <c r="Y980" s="33"/>
      <c r="Z980" s="33"/>
      <c r="AA980" s="33"/>
      <c r="AB980" s="33"/>
      <c r="AC980" s="33"/>
      <c r="AD980" s="33"/>
      <c r="AE980" s="33"/>
      <c r="AF980" s="33"/>
    </row>
    <row r="981" ht="15.75" customHeight="1">
      <c r="A981" s="100"/>
      <c r="B981" s="102"/>
      <c r="C981" s="100"/>
      <c r="D981" s="100"/>
      <c r="E981" s="165"/>
      <c r="F981" s="33"/>
      <c r="G981" s="33"/>
      <c r="H981" s="33"/>
      <c r="I981" s="33"/>
      <c r="J981" s="33"/>
      <c r="K981" s="33"/>
      <c r="L981" s="33"/>
      <c r="M981" s="33"/>
      <c r="N981" s="33"/>
      <c r="O981" s="33"/>
      <c r="P981" s="33"/>
      <c r="Q981" s="33"/>
      <c r="R981" s="33"/>
      <c r="S981" s="33"/>
      <c r="T981" s="33"/>
      <c r="U981" s="33"/>
      <c r="V981" s="33"/>
      <c r="W981" s="33"/>
      <c r="X981" s="33"/>
      <c r="Y981" s="33"/>
      <c r="Z981" s="33"/>
      <c r="AA981" s="33"/>
      <c r="AB981" s="33"/>
      <c r="AC981" s="33"/>
      <c r="AD981" s="33"/>
      <c r="AE981" s="33"/>
      <c r="AF981" s="33"/>
    </row>
    <row r="982" ht="15.75" customHeight="1">
      <c r="A982" s="100"/>
      <c r="B982" s="102"/>
      <c r="C982" s="100"/>
      <c r="D982" s="100"/>
      <c r="E982" s="165"/>
      <c r="F982" s="33"/>
      <c r="G982" s="33"/>
      <c r="H982" s="33"/>
      <c r="I982" s="33"/>
      <c r="J982" s="33"/>
      <c r="K982" s="33"/>
      <c r="L982" s="33"/>
      <c r="M982" s="33"/>
      <c r="N982" s="33"/>
      <c r="O982" s="33"/>
      <c r="P982" s="33"/>
      <c r="Q982" s="33"/>
      <c r="R982" s="33"/>
      <c r="S982" s="33"/>
      <c r="T982" s="33"/>
      <c r="U982" s="33"/>
      <c r="V982" s="33"/>
      <c r="W982" s="33"/>
      <c r="X982" s="33"/>
      <c r="Y982" s="33"/>
      <c r="Z982" s="33"/>
      <c r="AA982" s="33"/>
      <c r="AB982" s="33"/>
      <c r="AC982" s="33"/>
      <c r="AD982" s="33"/>
      <c r="AE982" s="33"/>
      <c r="AF982" s="33"/>
    </row>
    <row r="983" ht="15.75" customHeight="1">
      <c r="A983" s="100"/>
      <c r="B983" s="102"/>
      <c r="C983" s="100"/>
      <c r="D983" s="100"/>
      <c r="E983" s="165"/>
      <c r="F983" s="33"/>
      <c r="G983" s="33"/>
      <c r="H983" s="33"/>
      <c r="I983" s="33"/>
      <c r="J983" s="33"/>
      <c r="K983" s="33"/>
      <c r="L983" s="33"/>
      <c r="M983" s="33"/>
      <c r="N983" s="33"/>
      <c r="O983" s="33"/>
      <c r="P983" s="33"/>
      <c r="Q983" s="33"/>
      <c r="R983" s="33"/>
      <c r="S983" s="33"/>
      <c r="T983" s="33"/>
      <c r="U983" s="33"/>
      <c r="V983" s="33"/>
      <c r="W983" s="33"/>
      <c r="X983" s="33"/>
      <c r="Y983" s="33"/>
      <c r="Z983" s="33"/>
      <c r="AA983" s="33"/>
      <c r="AB983" s="33"/>
      <c r="AC983" s="33"/>
      <c r="AD983" s="33"/>
      <c r="AE983" s="33"/>
      <c r="AF983" s="33"/>
    </row>
    <row r="984" ht="15.75" customHeight="1">
      <c r="A984" s="100"/>
      <c r="B984" s="102"/>
      <c r="C984" s="100"/>
      <c r="D984" s="100"/>
      <c r="E984" s="165"/>
      <c r="F984" s="33"/>
      <c r="G984" s="33"/>
      <c r="H984" s="33"/>
      <c r="I984" s="33"/>
      <c r="J984" s="33"/>
      <c r="K984" s="33"/>
      <c r="L984" s="33"/>
      <c r="M984" s="33"/>
      <c r="N984" s="33"/>
      <c r="O984" s="33"/>
      <c r="P984" s="33"/>
      <c r="Q984" s="33"/>
      <c r="R984" s="33"/>
      <c r="S984" s="33"/>
      <c r="T984" s="33"/>
      <c r="U984" s="33"/>
      <c r="V984" s="33"/>
      <c r="W984" s="33"/>
      <c r="X984" s="33"/>
      <c r="Y984" s="33"/>
      <c r="Z984" s="33"/>
      <c r="AA984" s="33"/>
      <c r="AB984" s="33"/>
      <c r="AC984" s="33"/>
      <c r="AD984" s="33"/>
      <c r="AE984" s="33"/>
      <c r="AF984" s="33"/>
    </row>
    <row r="985" ht="15.75" customHeight="1">
      <c r="A985" s="100"/>
      <c r="B985" s="102"/>
      <c r="C985" s="100"/>
      <c r="D985" s="100"/>
      <c r="E985" s="165"/>
      <c r="F985" s="33"/>
      <c r="G985" s="33"/>
      <c r="H985" s="33"/>
      <c r="I985" s="33"/>
      <c r="J985" s="33"/>
      <c r="K985" s="33"/>
      <c r="L985" s="33"/>
      <c r="M985" s="33"/>
      <c r="N985" s="33"/>
      <c r="O985" s="33"/>
      <c r="P985" s="33"/>
      <c r="Q985" s="33"/>
      <c r="R985" s="33"/>
      <c r="S985" s="33"/>
      <c r="T985" s="33"/>
      <c r="U985" s="33"/>
      <c r="V985" s="33"/>
      <c r="W985" s="33"/>
      <c r="X985" s="33"/>
      <c r="Y985" s="33"/>
      <c r="Z985" s="33"/>
      <c r="AA985" s="33"/>
      <c r="AB985" s="33"/>
      <c r="AC985" s="33"/>
      <c r="AD985" s="33"/>
      <c r="AE985" s="33"/>
      <c r="AF985" s="33"/>
    </row>
    <row r="986" ht="15.75" customHeight="1">
      <c r="A986" s="100"/>
      <c r="B986" s="102"/>
      <c r="C986" s="100"/>
      <c r="D986" s="100"/>
      <c r="E986" s="165"/>
      <c r="F986" s="33"/>
      <c r="G986" s="33"/>
      <c r="H986" s="33"/>
      <c r="I986" s="33"/>
      <c r="J986" s="33"/>
      <c r="K986" s="33"/>
      <c r="L986" s="33"/>
      <c r="M986" s="33"/>
      <c r="N986" s="33"/>
      <c r="O986" s="33"/>
      <c r="P986" s="33"/>
      <c r="Q986" s="33"/>
      <c r="R986" s="33"/>
      <c r="S986" s="33"/>
      <c r="T986" s="33"/>
      <c r="U986" s="33"/>
      <c r="V986" s="33"/>
      <c r="W986" s="33"/>
      <c r="X986" s="33"/>
      <c r="Y986" s="33"/>
      <c r="Z986" s="33"/>
      <c r="AA986" s="33"/>
      <c r="AB986" s="33"/>
      <c r="AC986" s="33"/>
      <c r="AD986" s="33"/>
      <c r="AE986" s="33"/>
      <c r="AF986" s="33"/>
    </row>
    <row r="987" ht="15.75" customHeight="1">
      <c r="A987" s="100"/>
      <c r="B987" s="102"/>
      <c r="C987" s="100"/>
      <c r="D987" s="100"/>
      <c r="E987" s="165"/>
      <c r="F987" s="33"/>
      <c r="G987" s="33"/>
      <c r="H987" s="33"/>
      <c r="I987" s="33"/>
      <c r="J987" s="33"/>
      <c r="K987" s="33"/>
      <c r="L987" s="33"/>
      <c r="M987" s="33"/>
      <c r="N987" s="33"/>
      <c r="O987" s="33"/>
      <c r="P987" s="33"/>
      <c r="Q987" s="33"/>
      <c r="R987" s="33"/>
      <c r="S987" s="33"/>
      <c r="T987" s="33"/>
      <c r="U987" s="33"/>
      <c r="V987" s="33"/>
      <c r="W987" s="33"/>
      <c r="X987" s="33"/>
      <c r="Y987" s="33"/>
      <c r="Z987" s="33"/>
      <c r="AA987" s="33"/>
      <c r="AB987" s="33"/>
      <c r="AC987" s="33"/>
      <c r="AD987" s="33"/>
      <c r="AE987" s="33"/>
      <c r="AF987" s="33"/>
    </row>
    <row r="988" ht="15.75" customHeight="1">
      <c r="A988" s="100"/>
      <c r="B988" s="102"/>
      <c r="C988" s="100"/>
      <c r="D988" s="100"/>
      <c r="E988" s="165"/>
      <c r="F988" s="33"/>
      <c r="G988" s="33"/>
      <c r="H988" s="33"/>
      <c r="I988" s="33"/>
      <c r="J988" s="33"/>
      <c r="K988" s="33"/>
      <c r="L988" s="33"/>
      <c r="M988" s="33"/>
      <c r="N988" s="33"/>
      <c r="O988" s="33"/>
      <c r="P988" s="33"/>
      <c r="Q988" s="33"/>
      <c r="R988" s="33"/>
      <c r="S988" s="33"/>
      <c r="T988" s="33"/>
      <c r="U988" s="33"/>
      <c r="V988" s="33"/>
      <c r="W988" s="33"/>
      <c r="X988" s="33"/>
      <c r="Y988" s="33"/>
      <c r="Z988" s="33"/>
      <c r="AA988" s="33"/>
      <c r="AB988" s="33"/>
      <c r="AC988" s="33"/>
      <c r="AD988" s="33"/>
      <c r="AE988" s="33"/>
      <c r="AF988" s="33"/>
    </row>
    <row r="989" ht="15.75" customHeight="1">
      <c r="A989" s="100"/>
      <c r="B989" s="102"/>
      <c r="C989" s="100"/>
      <c r="D989" s="100"/>
      <c r="E989" s="165"/>
      <c r="F989" s="33"/>
      <c r="G989" s="33"/>
      <c r="H989" s="33"/>
      <c r="I989" s="33"/>
      <c r="J989" s="33"/>
      <c r="K989" s="33"/>
      <c r="L989" s="33"/>
      <c r="M989" s="33"/>
      <c r="N989" s="33"/>
      <c r="O989" s="33"/>
      <c r="P989" s="33"/>
      <c r="Q989" s="33"/>
      <c r="R989" s="33"/>
      <c r="S989" s="33"/>
      <c r="T989" s="33"/>
      <c r="U989" s="33"/>
      <c r="V989" s="33"/>
      <c r="W989" s="33"/>
      <c r="X989" s="33"/>
      <c r="Y989" s="33"/>
      <c r="Z989" s="33"/>
      <c r="AA989" s="33"/>
      <c r="AB989" s="33"/>
      <c r="AC989" s="33"/>
      <c r="AD989" s="33"/>
      <c r="AE989" s="33"/>
      <c r="AF989" s="33"/>
    </row>
    <row r="990" ht="15.75" customHeight="1">
      <c r="A990" s="100"/>
      <c r="B990" s="102"/>
      <c r="C990" s="100"/>
      <c r="D990" s="100"/>
      <c r="E990" s="165"/>
      <c r="F990" s="33"/>
      <c r="G990" s="33"/>
      <c r="H990" s="33"/>
      <c r="I990" s="33"/>
      <c r="J990" s="33"/>
      <c r="K990" s="33"/>
      <c r="L990" s="33"/>
      <c r="M990" s="33"/>
      <c r="N990" s="33"/>
      <c r="O990" s="33"/>
      <c r="P990" s="33"/>
      <c r="Q990" s="33"/>
      <c r="R990" s="33"/>
      <c r="S990" s="33"/>
      <c r="T990" s="33"/>
      <c r="U990" s="33"/>
      <c r="V990" s="33"/>
      <c r="W990" s="33"/>
      <c r="X990" s="33"/>
      <c r="Y990" s="33"/>
      <c r="Z990" s="33"/>
      <c r="AA990" s="33"/>
      <c r="AB990" s="33"/>
      <c r="AC990" s="33"/>
      <c r="AD990" s="33"/>
      <c r="AE990" s="33"/>
      <c r="AF990" s="33"/>
    </row>
    <row r="991" ht="15.75" customHeight="1">
      <c r="A991" s="100"/>
      <c r="B991" s="102"/>
      <c r="C991" s="100"/>
      <c r="D991" s="100"/>
      <c r="E991" s="165"/>
      <c r="F991" s="33"/>
      <c r="G991" s="33"/>
      <c r="H991" s="33"/>
      <c r="I991" s="33"/>
      <c r="J991" s="33"/>
      <c r="K991" s="33"/>
      <c r="L991" s="33"/>
      <c r="M991" s="33"/>
      <c r="N991" s="33"/>
      <c r="O991" s="33"/>
      <c r="P991" s="33"/>
      <c r="Q991" s="33"/>
      <c r="R991" s="33"/>
      <c r="S991" s="33"/>
      <c r="T991" s="33"/>
      <c r="U991" s="33"/>
      <c r="V991" s="33"/>
      <c r="W991" s="33"/>
      <c r="X991" s="33"/>
      <c r="Y991" s="33"/>
      <c r="Z991" s="33"/>
      <c r="AA991" s="33"/>
      <c r="AB991" s="33"/>
      <c r="AC991" s="33"/>
      <c r="AD991" s="33"/>
      <c r="AE991" s="33"/>
      <c r="AF991" s="33"/>
    </row>
    <row r="992" ht="15.75" customHeight="1">
      <c r="A992" s="100"/>
      <c r="B992" s="102"/>
      <c r="C992" s="100"/>
      <c r="D992" s="100"/>
      <c r="E992" s="165"/>
      <c r="F992" s="33"/>
      <c r="G992" s="33"/>
      <c r="H992" s="33"/>
      <c r="I992" s="33"/>
      <c r="J992" s="33"/>
      <c r="K992" s="33"/>
      <c r="L992" s="33"/>
      <c r="M992" s="33"/>
      <c r="N992" s="33"/>
      <c r="O992" s="33"/>
      <c r="P992" s="33"/>
      <c r="Q992" s="33"/>
      <c r="R992" s="33"/>
      <c r="S992" s="33"/>
      <c r="T992" s="33"/>
      <c r="U992" s="33"/>
      <c r="V992" s="33"/>
      <c r="W992" s="33"/>
      <c r="X992" s="33"/>
      <c r="Y992" s="33"/>
      <c r="Z992" s="33"/>
      <c r="AA992" s="33"/>
      <c r="AB992" s="33"/>
      <c r="AC992" s="33"/>
      <c r="AD992" s="33"/>
      <c r="AE992" s="33"/>
      <c r="AF992" s="33"/>
    </row>
    <row r="993" ht="15.75" customHeight="1">
      <c r="A993" s="100"/>
      <c r="B993" s="102"/>
      <c r="C993" s="100"/>
      <c r="D993" s="100"/>
      <c r="E993" s="165"/>
      <c r="F993" s="33"/>
      <c r="G993" s="33"/>
      <c r="H993" s="33"/>
      <c r="I993" s="33"/>
      <c r="J993" s="33"/>
      <c r="K993" s="33"/>
      <c r="L993" s="33"/>
      <c r="M993" s="33"/>
      <c r="N993" s="33"/>
      <c r="O993" s="33"/>
      <c r="P993" s="33"/>
      <c r="Q993" s="33"/>
      <c r="R993" s="33"/>
      <c r="S993" s="33"/>
      <c r="T993" s="33"/>
      <c r="U993" s="33"/>
      <c r="V993" s="33"/>
      <c r="W993" s="33"/>
      <c r="X993" s="33"/>
      <c r="Y993" s="33"/>
      <c r="Z993" s="33"/>
      <c r="AA993" s="33"/>
      <c r="AB993" s="33"/>
      <c r="AC993" s="33"/>
      <c r="AD993" s="33"/>
      <c r="AE993" s="33"/>
      <c r="AF993" s="33"/>
    </row>
    <row r="994" ht="15.75" customHeight="1">
      <c r="A994" s="100"/>
      <c r="B994" s="102"/>
      <c r="C994" s="100"/>
      <c r="D994" s="100"/>
      <c r="E994" s="165"/>
      <c r="F994" s="33"/>
      <c r="G994" s="33"/>
      <c r="H994" s="33"/>
      <c r="I994" s="33"/>
      <c r="J994" s="33"/>
      <c r="K994" s="33"/>
      <c r="L994" s="33"/>
      <c r="M994" s="33"/>
      <c r="N994" s="33"/>
      <c r="O994" s="33"/>
      <c r="P994" s="33"/>
      <c r="Q994" s="33"/>
      <c r="R994" s="33"/>
      <c r="S994" s="33"/>
      <c r="T994" s="33"/>
      <c r="U994" s="33"/>
      <c r="V994" s="33"/>
      <c r="W994" s="33"/>
      <c r="X994" s="33"/>
      <c r="Y994" s="33"/>
      <c r="Z994" s="33"/>
      <c r="AA994" s="33"/>
      <c r="AB994" s="33"/>
      <c r="AC994" s="33"/>
      <c r="AD994" s="33"/>
      <c r="AE994" s="33"/>
      <c r="AF994" s="33"/>
    </row>
    <row r="995" ht="15.75" customHeight="1">
      <c r="A995" s="100"/>
      <c r="B995" s="102"/>
      <c r="C995" s="100"/>
      <c r="D995" s="100"/>
      <c r="E995" s="165"/>
      <c r="F995" s="33"/>
      <c r="G995" s="33"/>
      <c r="H995" s="33"/>
      <c r="I995" s="33"/>
      <c r="J995" s="33"/>
      <c r="K995" s="33"/>
      <c r="L995" s="33"/>
      <c r="M995" s="33"/>
      <c r="N995" s="33"/>
      <c r="O995" s="33"/>
      <c r="P995" s="33"/>
      <c r="Q995" s="33"/>
      <c r="R995" s="33"/>
      <c r="S995" s="33"/>
      <c r="T995" s="33"/>
      <c r="U995" s="33"/>
      <c r="V995" s="33"/>
      <c r="W995" s="33"/>
      <c r="X995" s="33"/>
      <c r="Y995" s="33"/>
      <c r="Z995" s="33"/>
      <c r="AA995" s="33"/>
      <c r="AB995" s="33"/>
      <c r="AC995" s="33"/>
      <c r="AD995" s="33"/>
      <c r="AE995" s="33"/>
      <c r="AF995" s="33"/>
    </row>
    <row r="996" ht="15.75" customHeight="1">
      <c r="A996" s="100"/>
      <c r="B996" s="102"/>
      <c r="C996" s="100"/>
      <c r="D996" s="100"/>
      <c r="E996" s="165"/>
      <c r="F996" s="33"/>
      <c r="G996" s="33"/>
      <c r="H996" s="33"/>
      <c r="I996" s="33"/>
      <c r="J996" s="33"/>
      <c r="K996" s="33"/>
      <c r="L996" s="33"/>
      <c r="M996" s="33"/>
      <c r="N996" s="33"/>
      <c r="O996" s="33"/>
      <c r="P996" s="33"/>
      <c r="Q996" s="33"/>
      <c r="R996" s="33"/>
      <c r="S996" s="33"/>
      <c r="T996" s="33"/>
      <c r="U996" s="33"/>
      <c r="V996" s="33"/>
      <c r="W996" s="33"/>
      <c r="X996" s="33"/>
      <c r="Y996" s="33"/>
      <c r="Z996" s="33"/>
      <c r="AA996" s="33"/>
      <c r="AB996" s="33"/>
      <c r="AC996" s="33"/>
      <c r="AD996" s="33"/>
      <c r="AE996" s="33"/>
      <c r="AF996" s="33"/>
    </row>
    <row r="997" ht="15.75" customHeight="1">
      <c r="A997" s="100"/>
      <c r="B997" s="102"/>
      <c r="C997" s="100"/>
      <c r="D997" s="100"/>
      <c r="E997" s="165"/>
      <c r="F997" s="33"/>
      <c r="G997" s="33"/>
      <c r="H997" s="33"/>
      <c r="I997" s="33"/>
      <c r="J997" s="33"/>
      <c r="K997" s="33"/>
      <c r="L997" s="33"/>
      <c r="M997" s="33"/>
      <c r="N997" s="33"/>
      <c r="O997" s="33"/>
      <c r="P997" s="33"/>
      <c r="Q997" s="33"/>
      <c r="R997" s="33"/>
      <c r="S997" s="33"/>
      <c r="T997" s="33"/>
      <c r="U997" s="33"/>
      <c r="V997" s="33"/>
      <c r="W997" s="33"/>
      <c r="X997" s="33"/>
      <c r="Y997" s="33"/>
      <c r="Z997" s="33"/>
      <c r="AA997" s="33"/>
      <c r="AB997" s="33"/>
      <c r="AC997" s="33"/>
      <c r="AD997" s="33"/>
      <c r="AE997" s="33"/>
      <c r="AF997" s="33"/>
    </row>
    <row r="998" ht="15.75" customHeight="1">
      <c r="A998" s="100"/>
      <c r="B998" s="102"/>
      <c r="C998" s="100"/>
      <c r="D998" s="100"/>
      <c r="E998" s="165"/>
      <c r="F998" s="33"/>
      <c r="G998" s="33"/>
      <c r="H998" s="33"/>
      <c r="I998" s="33"/>
      <c r="J998" s="33"/>
      <c r="K998" s="33"/>
      <c r="L998" s="33"/>
      <c r="M998" s="33"/>
      <c r="N998" s="33"/>
      <c r="O998" s="33"/>
      <c r="P998" s="33"/>
      <c r="Q998" s="33"/>
      <c r="R998" s="33"/>
      <c r="S998" s="33"/>
      <c r="T998" s="33"/>
      <c r="U998" s="33"/>
      <c r="V998" s="33"/>
      <c r="W998" s="33"/>
      <c r="X998" s="33"/>
      <c r="Y998" s="33"/>
      <c r="Z998" s="33"/>
      <c r="AA998" s="33"/>
      <c r="AB998" s="33"/>
      <c r="AC998" s="33"/>
      <c r="AD998" s="33"/>
      <c r="AE998" s="33"/>
      <c r="AF998" s="33"/>
    </row>
    <row r="999" ht="15.75" customHeight="1">
      <c r="A999" s="100"/>
      <c r="B999" s="102"/>
      <c r="C999" s="100"/>
      <c r="D999" s="100"/>
      <c r="E999" s="165"/>
      <c r="F999" s="33"/>
      <c r="G999" s="33"/>
      <c r="H999" s="33"/>
      <c r="I999" s="33"/>
      <c r="J999" s="33"/>
      <c r="K999" s="33"/>
      <c r="L999" s="33"/>
      <c r="M999" s="33"/>
      <c r="N999" s="33"/>
      <c r="O999" s="33"/>
      <c r="P999" s="33"/>
      <c r="Q999" s="33"/>
      <c r="R999" s="33"/>
      <c r="S999" s="33"/>
      <c r="T999" s="33"/>
      <c r="U999" s="33"/>
      <c r="V999" s="33"/>
      <c r="W999" s="33"/>
      <c r="X999" s="33"/>
      <c r="Y999" s="33"/>
      <c r="Z999" s="33"/>
      <c r="AA999" s="33"/>
      <c r="AB999" s="33"/>
      <c r="AC999" s="33"/>
      <c r="AD999" s="33"/>
      <c r="AE999" s="33"/>
      <c r="AF999" s="33"/>
    </row>
    <row r="1000" ht="15.75" customHeight="1">
      <c r="A1000" s="100"/>
      <c r="B1000" s="102"/>
      <c r="C1000" s="100"/>
      <c r="D1000" s="100"/>
      <c r="E1000" s="165"/>
      <c r="F1000" s="33"/>
      <c r="G1000" s="33"/>
      <c r="H1000" s="33"/>
      <c r="I1000" s="33"/>
      <c r="J1000" s="33"/>
      <c r="K1000" s="33"/>
      <c r="L1000" s="33"/>
      <c r="M1000" s="33"/>
      <c r="N1000" s="33"/>
      <c r="O1000" s="33"/>
      <c r="P1000" s="33"/>
      <c r="Q1000" s="33"/>
      <c r="R1000" s="33"/>
      <c r="S1000" s="33"/>
      <c r="T1000" s="33"/>
      <c r="U1000" s="33"/>
      <c r="V1000" s="33"/>
      <c r="W1000" s="33"/>
      <c r="X1000" s="33"/>
      <c r="Y1000" s="33"/>
      <c r="Z1000" s="33"/>
      <c r="AA1000" s="33"/>
      <c r="AB1000" s="33"/>
      <c r="AC1000" s="33"/>
      <c r="AD1000" s="33"/>
      <c r="AE1000" s="33"/>
      <c r="AF1000" s="33"/>
    </row>
    <row r="1001" ht="15.75" customHeight="1">
      <c r="A1001" s="100"/>
      <c r="B1001" s="102"/>
      <c r="C1001" s="100"/>
      <c r="D1001" s="100"/>
      <c r="E1001" s="165"/>
      <c r="F1001" s="33"/>
      <c r="G1001" s="33"/>
      <c r="H1001" s="33"/>
      <c r="I1001" s="33"/>
      <c r="J1001" s="33"/>
      <c r="K1001" s="33"/>
      <c r="L1001" s="33"/>
      <c r="M1001" s="33"/>
      <c r="N1001" s="33"/>
      <c r="O1001" s="33"/>
      <c r="P1001" s="33"/>
      <c r="Q1001" s="33"/>
      <c r="R1001" s="33"/>
      <c r="S1001" s="33"/>
      <c r="T1001" s="33"/>
      <c r="U1001" s="33"/>
      <c r="V1001" s="33"/>
      <c r="W1001" s="33"/>
      <c r="X1001" s="33"/>
      <c r="Y1001" s="33"/>
      <c r="Z1001" s="33"/>
      <c r="AA1001" s="33"/>
      <c r="AB1001" s="33"/>
      <c r="AC1001" s="33"/>
      <c r="AD1001" s="33"/>
      <c r="AE1001" s="33"/>
      <c r="AF1001" s="33"/>
    </row>
    <row r="1002" ht="15.75" customHeight="1">
      <c r="A1002" s="100"/>
      <c r="B1002" s="102"/>
      <c r="C1002" s="100"/>
      <c r="D1002" s="100"/>
      <c r="E1002" s="165"/>
      <c r="F1002" s="33"/>
      <c r="G1002" s="33"/>
      <c r="H1002" s="33"/>
      <c r="I1002" s="33"/>
      <c r="J1002" s="33"/>
      <c r="K1002" s="33"/>
      <c r="L1002" s="33"/>
      <c r="M1002" s="33"/>
      <c r="N1002" s="33"/>
      <c r="O1002" s="33"/>
      <c r="P1002" s="33"/>
      <c r="Q1002" s="33"/>
      <c r="R1002" s="33"/>
      <c r="S1002" s="33"/>
      <c r="T1002" s="33"/>
      <c r="U1002" s="33"/>
      <c r="V1002" s="33"/>
      <c r="W1002" s="33"/>
      <c r="X1002" s="33"/>
      <c r="Y1002" s="33"/>
      <c r="Z1002" s="33"/>
      <c r="AA1002" s="33"/>
      <c r="AB1002" s="33"/>
      <c r="AC1002" s="33"/>
      <c r="AD1002" s="33"/>
      <c r="AE1002" s="33"/>
      <c r="AF1002" s="33"/>
    </row>
    <row r="1003" ht="15.75" customHeight="1">
      <c r="A1003" s="100"/>
      <c r="B1003" s="102"/>
      <c r="C1003" s="100"/>
      <c r="D1003" s="100"/>
      <c r="E1003" s="165"/>
      <c r="F1003" s="33"/>
      <c r="G1003" s="33"/>
      <c r="H1003" s="33"/>
      <c r="I1003" s="33"/>
      <c r="J1003" s="33"/>
      <c r="K1003" s="33"/>
      <c r="L1003" s="33"/>
      <c r="M1003" s="33"/>
      <c r="N1003" s="33"/>
      <c r="O1003" s="33"/>
      <c r="P1003" s="33"/>
      <c r="Q1003" s="33"/>
      <c r="R1003" s="33"/>
      <c r="S1003" s="33"/>
      <c r="T1003" s="33"/>
      <c r="U1003" s="33"/>
      <c r="V1003" s="33"/>
      <c r="W1003" s="33"/>
      <c r="X1003" s="33"/>
      <c r="Y1003" s="33"/>
      <c r="Z1003" s="33"/>
      <c r="AA1003" s="33"/>
      <c r="AB1003" s="33"/>
      <c r="AC1003" s="33"/>
      <c r="AD1003" s="33"/>
      <c r="AE1003" s="33"/>
      <c r="AF1003" s="33"/>
    </row>
    <row r="1004" ht="15.75" customHeight="1">
      <c r="A1004" s="100"/>
      <c r="B1004" s="102"/>
      <c r="C1004" s="100"/>
      <c r="D1004" s="100"/>
      <c r="E1004" s="165"/>
      <c r="F1004" s="33"/>
      <c r="G1004" s="33"/>
      <c r="H1004" s="33"/>
      <c r="I1004" s="33"/>
      <c r="J1004" s="33"/>
      <c r="K1004" s="33"/>
      <c r="L1004" s="33"/>
      <c r="M1004" s="33"/>
      <c r="N1004" s="33"/>
      <c r="O1004" s="33"/>
      <c r="P1004" s="33"/>
      <c r="Q1004" s="33"/>
      <c r="R1004" s="33"/>
      <c r="S1004" s="33"/>
      <c r="T1004" s="33"/>
      <c r="U1004" s="33"/>
      <c r="V1004" s="33"/>
      <c r="W1004" s="33"/>
      <c r="X1004" s="33"/>
      <c r="Y1004" s="33"/>
      <c r="Z1004" s="33"/>
      <c r="AA1004" s="33"/>
      <c r="AB1004" s="33"/>
      <c r="AC1004" s="33"/>
      <c r="AD1004" s="33"/>
      <c r="AE1004" s="33"/>
      <c r="AF1004" s="33"/>
    </row>
    <row r="1005" ht="15.75" customHeight="1">
      <c r="A1005" s="100"/>
      <c r="B1005" s="102"/>
      <c r="C1005" s="100"/>
      <c r="D1005" s="100"/>
      <c r="E1005" s="165"/>
      <c r="F1005" s="33"/>
      <c r="G1005" s="33"/>
      <c r="H1005" s="33"/>
      <c r="I1005" s="33"/>
      <c r="J1005" s="33"/>
      <c r="K1005" s="33"/>
      <c r="L1005" s="33"/>
      <c r="M1005" s="33"/>
      <c r="N1005" s="33"/>
      <c r="O1005" s="33"/>
      <c r="P1005" s="33"/>
      <c r="Q1005" s="33"/>
      <c r="R1005" s="33"/>
      <c r="S1005" s="33"/>
      <c r="T1005" s="33"/>
      <c r="U1005" s="33"/>
      <c r="V1005" s="33"/>
      <c r="W1005" s="33"/>
      <c r="X1005" s="33"/>
      <c r="Y1005" s="33"/>
      <c r="Z1005" s="33"/>
      <c r="AA1005" s="33"/>
      <c r="AB1005" s="33"/>
      <c r="AC1005" s="33"/>
      <c r="AD1005" s="33"/>
      <c r="AE1005" s="33"/>
      <c r="AF1005" s="33"/>
    </row>
    <row r="1006" ht="15.75" customHeight="1">
      <c r="A1006" s="100"/>
      <c r="B1006" s="102"/>
      <c r="C1006" s="100"/>
      <c r="D1006" s="100"/>
      <c r="E1006" s="165"/>
      <c r="F1006" s="33"/>
      <c r="G1006" s="33"/>
      <c r="H1006" s="33"/>
      <c r="I1006" s="33"/>
      <c r="J1006" s="33"/>
      <c r="K1006" s="33"/>
      <c r="L1006" s="33"/>
      <c r="M1006" s="33"/>
      <c r="N1006" s="33"/>
      <c r="O1006" s="33"/>
      <c r="P1006" s="33"/>
      <c r="Q1006" s="33"/>
      <c r="R1006" s="33"/>
      <c r="S1006" s="33"/>
      <c r="T1006" s="33"/>
      <c r="U1006" s="33"/>
      <c r="V1006" s="33"/>
      <c r="W1006" s="33"/>
      <c r="X1006" s="33"/>
      <c r="Y1006" s="33"/>
      <c r="Z1006" s="33"/>
      <c r="AA1006" s="33"/>
      <c r="AB1006" s="33"/>
      <c r="AC1006" s="33"/>
      <c r="AD1006" s="33"/>
      <c r="AE1006" s="33"/>
      <c r="AF1006" s="33"/>
    </row>
    <row r="1007" ht="15.75" customHeight="1">
      <c r="A1007" s="100"/>
      <c r="B1007" s="102"/>
      <c r="C1007" s="100"/>
      <c r="D1007" s="100"/>
      <c r="E1007" s="165"/>
      <c r="F1007" s="33"/>
      <c r="G1007" s="33"/>
      <c r="H1007" s="33"/>
      <c r="I1007" s="33"/>
      <c r="J1007" s="33"/>
      <c r="K1007" s="33"/>
      <c r="L1007" s="33"/>
      <c r="M1007" s="33"/>
      <c r="N1007" s="33"/>
      <c r="O1007" s="33"/>
      <c r="P1007" s="33"/>
      <c r="Q1007" s="33"/>
      <c r="R1007" s="33"/>
      <c r="S1007" s="33"/>
      <c r="T1007" s="33"/>
      <c r="U1007" s="33"/>
      <c r="V1007" s="33"/>
      <c r="W1007" s="33"/>
      <c r="X1007" s="33"/>
      <c r="Y1007" s="33"/>
      <c r="Z1007" s="33"/>
      <c r="AA1007" s="33"/>
      <c r="AB1007" s="33"/>
      <c r="AC1007" s="33"/>
      <c r="AD1007" s="33"/>
      <c r="AE1007" s="33"/>
      <c r="AF1007" s="33"/>
    </row>
    <row r="1008" ht="15.75" customHeight="1">
      <c r="A1008" s="100"/>
      <c r="B1008" s="102"/>
      <c r="C1008" s="100"/>
      <c r="D1008" s="100"/>
      <c r="E1008" s="165"/>
      <c r="F1008" s="33"/>
      <c r="G1008" s="33"/>
      <c r="H1008" s="33"/>
      <c r="I1008" s="33"/>
      <c r="J1008" s="33"/>
      <c r="K1008" s="33"/>
      <c r="L1008" s="33"/>
      <c r="M1008" s="33"/>
      <c r="N1008" s="33"/>
      <c r="O1008" s="33"/>
      <c r="P1008" s="33"/>
      <c r="Q1008" s="33"/>
      <c r="R1008" s="33"/>
      <c r="S1008" s="33"/>
      <c r="T1008" s="33"/>
      <c r="U1008" s="33"/>
      <c r="V1008" s="33"/>
      <c r="W1008" s="33"/>
      <c r="X1008" s="33"/>
      <c r="Y1008" s="33"/>
      <c r="Z1008" s="33"/>
      <c r="AA1008" s="33"/>
      <c r="AB1008" s="33"/>
      <c r="AC1008" s="33"/>
      <c r="AD1008" s="33"/>
      <c r="AE1008" s="33"/>
      <c r="AF1008" s="33"/>
    </row>
    <row r="1009" ht="15.75" customHeight="1">
      <c r="A1009" s="100"/>
      <c r="B1009" s="102"/>
      <c r="C1009" s="100"/>
      <c r="D1009" s="100"/>
      <c r="E1009" s="165"/>
      <c r="F1009" s="33"/>
      <c r="G1009" s="33"/>
      <c r="H1009" s="33"/>
      <c r="I1009" s="33"/>
      <c r="J1009" s="33"/>
      <c r="K1009" s="33"/>
      <c r="L1009" s="33"/>
      <c r="M1009" s="33"/>
      <c r="N1009" s="33"/>
      <c r="O1009" s="33"/>
      <c r="P1009" s="33"/>
      <c r="Q1009" s="33"/>
      <c r="R1009" s="33"/>
      <c r="S1009" s="33"/>
      <c r="T1009" s="33"/>
      <c r="U1009" s="33"/>
      <c r="V1009" s="33"/>
      <c r="W1009" s="33"/>
      <c r="X1009" s="33"/>
      <c r="Y1009" s="33"/>
      <c r="Z1009" s="33"/>
      <c r="AA1009" s="33"/>
      <c r="AB1009" s="33"/>
      <c r="AC1009" s="33"/>
      <c r="AD1009" s="33"/>
      <c r="AE1009" s="33"/>
      <c r="AF1009" s="33"/>
    </row>
    <row r="1010" ht="15.75" customHeight="1">
      <c r="A1010" s="100"/>
      <c r="B1010" s="102"/>
      <c r="C1010" s="100"/>
      <c r="D1010" s="100"/>
      <c r="E1010" s="165"/>
      <c r="F1010" s="33"/>
      <c r="G1010" s="33"/>
      <c r="H1010" s="33"/>
      <c r="I1010" s="33"/>
      <c r="J1010" s="33"/>
      <c r="K1010" s="33"/>
      <c r="L1010" s="33"/>
      <c r="M1010" s="33"/>
      <c r="N1010" s="33"/>
      <c r="O1010" s="33"/>
      <c r="P1010" s="33"/>
      <c r="Q1010" s="33"/>
      <c r="R1010" s="33"/>
      <c r="S1010" s="33"/>
      <c r="T1010" s="33"/>
      <c r="U1010" s="33"/>
      <c r="V1010" s="33"/>
      <c r="W1010" s="33"/>
      <c r="X1010" s="33"/>
      <c r="Y1010" s="33"/>
      <c r="Z1010" s="33"/>
      <c r="AA1010" s="33"/>
      <c r="AB1010" s="33"/>
      <c r="AC1010" s="33"/>
      <c r="AD1010" s="33"/>
      <c r="AE1010" s="33"/>
      <c r="AF1010" s="33"/>
    </row>
    <row r="1011" ht="15.75" customHeight="1">
      <c r="A1011" s="100"/>
      <c r="B1011" s="102"/>
      <c r="C1011" s="100"/>
      <c r="D1011" s="100"/>
      <c r="E1011" s="165"/>
      <c r="F1011" s="33"/>
      <c r="G1011" s="33"/>
      <c r="H1011" s="33"/>
      <c r="I1011" s="33"/>
      <c r="J1011" s="33"/>
      <c r="K1011" s="33"/>
      <c r="L1011" s="33"/>
      <c r="M1011" s="33"/>
      <c r="N1011" s="33"/>
      <c r="O1011" s="33"/>
      <c r="P1011" s="33"/>
      <c r="Q1011" s="33"/>
      <c r="R1011" s="33"/>
      <c r="S1011" s="33"/>
      <c r="T1011" s="33"/>
      <c r="U1011" s="33"/>
      <c r="V1011" s="33"/>
      <c r="W1011" s="33"/>
      <c r="X1011" s="33"/>
      <c r="Y1011" s="33"/>
      <c r="Z1011" s="33"/>
      <c r="AA1011" s="33"/>
      <c r="AB1011" s="33"/>
      <c r="AC1011" s="33"/>
      <c r="AD1011" s="33"/>
      <c r="AE1011" s="33"/>
      <c r="AF1011" s="33"/>
    </row>
    <row r="1012" ht="15.75" customHeight="1">
      <c r="A1012" s="100"/>
      <c r="B1012" s="102"/>
      <c r="C1012" s="100"/>
      <c r="D1012" s="100"/>
      <c r="E1012" s="165"/>
      <c r="F1012" s="33"/>
      <c r="G1012" s="33"/>
      <c r="H1012" s="33"/>
      <c r="I1012" s="33"/>
      <c r="J1012" s="33"/>
      <c r="K1012" s="33"/>
      <c r="L1012" s="33"/>
      <c r="M1012" s="33"/>
      <c r="N1012" s="33"/>
      <c r="O1012" s="33"/>
      <c r="P1012" s="33"/>
      <c r="Q1012" s="33"/>
      <c r="R1012" s="33"/>
      <c r="S1012" s="33"/>
      <c r="T1012" s="33"/>
      <c r="U1012" s="33"/>
      <c r="V1012" s="33"/>
      <c r="W1012" s="33"/>
      <c r="X1012" s="33"/>
      <c r="Y1012" s="33"/>
      <c r="Z1012" s="33"/>
      <c r="AA1012" s="33"/>
      <c r="AB1012" s="33"/>
      <c r="AC1012" s="33"/>
      <c r="AD1012" s="33"/>
      <c r="AE1012" s="33"/>
      <c r="AF1012" s="33"/>
    </row>
    <row r="1013" ht="15.75" customHeight="1">
      <c r="A1013" s="100"/>
      <c r="B1013" s="102"/>
      <c r="C1013" s="100"/>
      <c r="D1013" s="100"/>
      <c r="E1013" s="165"/>
      <c r="F1013" s="33"/>
      <c r="G1013" s="33"/>
      <c r="H1013" s="33"/>
      <c r="I1013" s="33"/>
      <c r="J1013" s="33"/>
      <c r="K1013" s="33"/>
      <c r="L1013" s="33"/>
      <c r="M1013" s="33"/>
      <c r="N1013" s="33"/>
      <c r="O1013" s="33"/>
      <c r="P1013" s="33"/>
      <c r="Q1013" s="33"/>
      <c r="R1013" s="33"/>
      <c r="S1013" s="33"/>
      <c r="T1013" s="33"/>
      <c r="U1013" s="33"/>
      <c r="V1013" s="33"/>
      <c r="W1013" s="33"/>
      <c r="X1013" s="33"/>
      <c r="Y1013" s="33"/>
      <c r="Z1013" s="33"/>
      <c r="AA1013" s="33"/>
      <c r="AB1013" s="33"/>
      <c r="AC1013" s="33"/>
      <c r="AD1013" s="33"/>
      <c r="AE1013" s="33"/>
      <c r="AF1013" s="33"/>
    </row>
    <row r="1014" ht="15.75" customHeight="1">
      <c r="A1014" s="100"/>
      <c r="B1014" s="102"/>
      <c r="C1014" s="100"/>
      <c r="D1014" s="100"/>
      <c r="E1014" s="165"/>
      <c r="F1014" s="33"/>
      <c r="G1014" s="33"/>
      <c r="H1014" s="33"/>
      <c r="I1014" s="33"/>
      <c r="J1014" s="33"/>
      <c r="K1014" s="33"/>
      <c r="L1014" s="33"/>
      <c r="M1014" s="33"/>
      <c r="N1014" s="33"/>
      <c r="O1014" s="33"/>
      <c r="P1014" s="33"/>
      <c r="Q1014" s="33"/>
      <c r="R1014" s="33"/>
      <c r="S1014" s="33"/>
      <c r="T1014" s="33"/>
      <c r="U1014" s="33"/>
      <c r="V1014" s="33"/>
      <c r="W1014" s="33"/>
      <c r="X1014" s="33"/>
      <c r="Y1014" s="33"/>
      <c r="Z1014" s="33"/>
      <c r="AA1014" s="33"/>
      <c r="AB1014" s="33"/>
      <c r="AC1014" s="33"/>
      <c r="AD1014" s="33"/>
      <c r="AE1014" s="33"/>
      <c r="AF1014" s="33"/>
    </row>
    <row r="1015" ht="15.75" customHeight="1">
      <c r="A1015" s="100"/>
      <c r="B1015" s="102"/>
      <c r="C1015" s="100"/>
      <c r="D1015" s="100"/>
      <c r="E1015" s="165"/>
      <c r="F1015" s="33"/>
      <c r="G1015" s="33"/>
      <c r="H1015" s="33"/>
      <c r="I1015" s="33"/>
      <c r="J1015" s="33"/>
      <c r="K1015" s="33"/>
      <c r="L1015" s="33"/>
      <c r="M1015" s="33"/>
      <c r="N1015" s="33"/>
      <c r="O1015" s="33"/>
      <c r="P1015" s="33"/>
      <c r="Q1015" s="33"/>
      <c r="R1015" s="33"/>
      <c r="S1015" s="33"/>
      <c r="T1015" s="33"/>
      <c r="U1015" s="33"/>
      <c r="V1015" s="33"/>
      <c r="W1015" s="33"/>
      <c r="X1015" s="33"/>
      <c r="Y1015" s="33"/>
      <c r="Z1015" s="33"/>
      <c r="AA1015" s="33"/>
      <c r="AB1015" s="33"/>
      <c r="AC1015" s="33"/>
      <c r="AD1015" s="33"/>
      <c r="AE1015" s="33"/>
      <c r="AF1015" s="33"/>
    </row>
    <row r="1016" ht="15.75" customHeight="1">
      <c r="A1016" s="100"/>
      <c r="B1016" s="102"/>
      <c r="C1016" s="100"/>
      <c r="D1016" s="100"/>
      <c r="E1016" s="165"/>
      <c r="F1016" s="33"/>
      <c r="G1016" s="33"/>
      <c r="H1016" s="33"/>
      <c r="I1016" s="33"/>
      <c r="J1016" s="33"/>
      <c r="K1016" s="33"/>
      <c r="L1016" s="33"/>
      <c r="M1016" s="33"/>
      <c r="N1016" s="33"/>
      <c r="O1016" s="33"/>
      <c r="P1016" s="33"/>
      <c r="Q1016" s="33"/>
      <c r="R1016" s="33"/>
      <c r="S1016" s="33"/>
      <c r="T1016" s="33"/>
      <c r="U1016" s="33"/>
      <c r="V1016" s="33"/>
      <c r="W1016" s="33"/>
      <c r="X1016" s="33"/>
      <c r="Y1016" s="33"/>
      <c r="Z1016" s="33"/>
      <c r="AA1016" s="33"/>
      <c r="AB1016" s="33"/>
      <c r="AC1016" s="33"/>
      <c r="AD1016" s="33"/>
      <c r="AE1016" s="33"/>
      <c r="AF1016" s="33"/>
    </row>
    <row r="1017" ht="15.75" customHeight="1">
      <c r="A1017" s="100"/>
      <c r="B1017" s="102"/>
      <c r="C1017" s="100"/>
      <c r="D1017" s="100"/>
      <c r="E1017" s="165"/>
      <c r="F1017" s="33"/>
      <c r="G1017" s="33"/>
      <c r="H1017" s="33"/>
      <c r="I1017" s="33"/>
      <c r="J1017" s="33"/>
      <c r="K1017" s="33"/>
      <c r="L1017" s="33"/>
      <c r="M1017" s="33"/>
      <c r="N1017" s="33"/>
      <c r="O1017" s="33"/>
      <c r="P1017" s="33"/>
      <c r="Q1017" s="33"/>
      <c r="R1017" s="33"/>
      <c r="S1017" s="33"/>
      <c r="T1017" s="33"/>
      <c r="U1017" s="33"/>
      <c r="V1017" s="33"/>
      <c r="W1017" s="33"/>
      <c r="X1017" s="33"/>
      <c r="Y1017" s="33"/>
      <c r="Z1017" s="33"/>
      <c r="AA1017" s="33"/>
      <c r="AB1017" s="33"/>
      <c r="AC1017" s="33"/>
      <c r="AD1017" s="33"/>
      <c r="AE1017" s="33"/>
      <c r="AF1017" s="33"/>
    </row>
    <row r="1018" ht="15.75" customHeight="1">
      <c r="A1018" s="100"/>
      <c r="B1018" s="102"/>
      <c r="C1018" s="100"/>
      <c r="D1018" s="100"/>
      <c r="E1018" s="165"/>
      <c r="F1018" s="33"/>
      <c r="G1018" s="33"/>
      <c r="H1018" s="33"/>
      <c r="I1018" s="33"/>
      <c r="J1018" s="33"/>
      <c r="K1018" s="33"/>
      <c r="L1018" s="33"/>
      <c r="M1018" s="33"/>
      <c r="N1018" s="33"/>
      <c r="O1018" s="33"/>
      <c r="P1018" s="33"/>
      <c r="Q1018" s="33"/>
      <c r="R1018" s="33"/>
      <c r="S1018" s="33"/>
      <c r="T1018" s="33"/>
      <c r="U1018" s="33"/>
      <c r="V1018" s="33"/>
      <c r="W1018" s="33"/>
      <c r="X1018" s="33"/>
      <c r="Y1018" s="33"/>
      <c r="Z1018" s="33"/>
      <c r="AA1018" s="33"/>
      <c r="AB1018" s="33"/>
      <c r="AC1018" s="33"/>
      <c r="AD1018" s="33"/>
      <c r="AE1018" s="33"/>
      <c r="AF1018" s="33"/>
    </row>
    <row r="1019" ht="15.75" customHeight="1">
      <c r="A1019" s="100"/>
      <c r="B1019" s="102"/>
      <c r="C1019" s="100"/>
      <c r="D1019" s="100"/>
      <c r="E1019" s="165"/>
      <c r="F1019" s="33"/>
      <c r="G1019" s="33"/>
      <c r="H1019" s="33"/>
      <c r="I1019" s="33"/>
      <c r="J1019" s="33"/>
      <c r="K1019" s="33"/>
      <c r="L1019" s="33"/>
      <c r="M1019" s="33"/>
      <c r="N1019" s="33"/>
      <c r="O1019" s="33"/>
      <c r="P1019" s="33"/>
      <c r="Q1019" s="33"/>
      <c r="R1019" s="33"/>
      <c r="S1019" s="33"/>
      <c r="T1019" s="33"/>
      <c r="U1019" s="33"/>
      <c r="V1019" s="33"/>
      <c r="W1019" s="33"/>
      <c r="X1019" s="33"/>
      <c r="Y1019" s="33"/>
      <c r="Z1019" s="33"/>
      <c r="AA1019" s="33"/>
      <c r="AB1019" s="33"/>
      <c r="AC1019" s="33"/>
      <c r="AD1019" s="33"/>
      <c r="AE1019" s="33"/>
      <c r="AF1019" s="33"/>
    </row>
    <row r="1020" ht="15.75" customHeight="1">
      <c r="A1020" s="100"/>
      <c r="B1020" s="102"/>
      <c r="C1020" s="100"/>
      <c r="D1020" s="100"/>
      <c r="E1020" s="165"/>
      <c r="F1020" s="33"/>
      <c r="G1020" s="33"/>
      <c r="H1020" s="33"/>
      <c r="I1020" s="33"/>
      <c r="J1020" s="33"/>
      <c r="K1020" s="33"/>
      <c r="L1020" s="33"/>
      <c r="M1020" s="33"/>
      <c r="N1020" s="33"/>
      <c r="O1020" s="33"/>
      <c r="P1020" s="33"/>
      <c r="Q1020" s="33"/>
      <c r="R1020" s="33"/>
      <c r="S1020" s="33"/>
      <c r="T1020" s="33"/>
      <c r="U1020" s="33"/>
      <c r="V1020" s="33"/>
      <c r="W1020" s="33"/>
      <c r="X1020" s="33"/>
      <c r="Y1020" s="33"/>
      <c r="Z1020" s="33"/>
      <c r="AA1020" s="33"/>
      <c r="AB1020" s="33"/>
      <c r="AC1020" s="33"/>
      <c r="AD1020" s="33"/>
      <c r="AE1020" s="33"/>
      <c r="AF1020" s="33"/>
    </row>
    <row r="1021" ht="15.75" customHeight="1">
      <c r="A1021" s="100"/>
      <c r="B1021" s="102"/>
      <c r="C1021" s="100"/>
      <c r="D1021" s="100"/>
      <c r="E1021" s="165"/>
      <c r="F1021" s="33"/>
      <c r="G1021" s="33"/>
      <c r="H1021" s="33"/>
      <c r="I1021" s="33"/>
      <c r="J1021" s="33"/>
      <c r="K1021" s="33"/>
      <c r="L1021" s="33"/>
      <c r="M1021" s="33"/>
      <c r="N1021" s="33"/>
      <c r="O1021" s="33"/>
      <c r="P1021" s="33"/>
      <c r="Q1021" s="33"/>
      <c r="R1021" s="33"/>
      <c r="S1021" s="33"/>
      <c r="T1021" s="33"/>
      <c r="U1021" s="33"/>
      <c r="V1021" s="33"/>
      <c r="W1021" s="33"/>
      <c r="X1021" s="33"/>
      <c r="Y1021" s="33"/>
      <c r="Z1021" s="33"/>
      <c r="AA1021" s="33"/>
      <c r="AB1021" s="33"/>
      <c r="AC1021" s="33"/>
      <c r="AD1021" s="33"/>
      <c r="AE1021" s="33"/>
      <c r="AF1021" s="33"/>
    </row>
    <row r="1022" ht="15.75" customHeight="1">
      <c r="A1022" s="100"/>
      <c r="B1022" s="102"/>
      <c r="C1022" s="100"/>
      <c r="D1022" s="100"/>
      <c r="E1022" s="165"/>
      <c r="F1022" s="33"/>
      <c r="G1022" s="33"/>
      <c r="H1022" s="33"/>
      <c r="I1022" s="33"/>
      <c r="J1022" s="33"/>
      <c r="K1022" s="33"/>
      <c r="L1022" s="33"/>
      <c r="M1022" s="33"/>
      <c r="N1022" s="33"/>
      <c r="O1022" s="33"/>
      <c r="P1022" s="33"/>
      <c r="Q1022" s="33"/>
      <c r="R1022" s="33"/>
      <c r="S1022" s="33"/>
      <c r="T1022" s="33"/>
      <c r="U1022" s="33"/>
      <c r="V1022" s="33"/>
      <c r="W1022" s="33"/>
      <c r="X1022" s="33"/>
      <c r="Y1022" s="33"/>
      <c r="Z1022" s="33"/>
      <c r="AA1022" s="33"/>
      <c r="AB1022" s="33"/>
      <c r="AC1022" s="33"/>
      <c r="AD1022" s="33"/>
      <c r="AE1022" s="33"/>
      <c r="AF1022" s="33"/>
    </row>
    <row r="1023" ht="15.75" customHeight="1">
      <c r="A1023" s="100"/>
      <c r="B1023" s="102"/>
      <c r="C1023" s="100"/>
      <c r="D1023" s="100"/>
      <c r="E1023" s="165"/>
      <c r="F1023" s="33"/>
      <c r="G1023" s="33"/>
      <c r="H1023" s="33"/>
      <c r="I1023" s="33"/>
      <c r="J1023" s="33"/>
      <c r="K1023" s="33"/>
      <c r="L1023" s="33"/>
      <c r="M1023" s="33"/>
      <c r="N1023" s="33"/>
      <c r="O1023" s="33"/>
      <c r="P1023" s="33"/>
      <c r="Q1023" s="33"/>
      <c r="R1023" s="33"/>
      <c r="S1023" s="33"/>
      <c r="T1023" s="33"/>
      <c r="U1023" s="33"/>
      <c r="V1023" s="33"/>
      <c r="W1023" s="33"/>
      <c r="X1023" s="33"/>
      <c r="Y1023" s="33"/>
      <c r="Z1023" s="33"/>
      <c r="AA1023" s="33"/>
      <c r="AB1023" s="33"/>
      <c r="AC1023" s="33"/>
      <c r="AD1023" s="33"/>
      <c r="AE1023" s="33"/>
      <c r="AF1023" s="33"/>
    </row>
    <row r="1024" ht="15.75" customHeight="1">
      <c r="A1024" s="100"/>
      <c r="B1024" s="102"/>
      <c r="C1024" s="100"/>
      <c r="D1024" s="100"/>
      <c r="E1024" s="165"/>
      <c r="F1024" s="33"/>
      <c r="G1024" s="33"/>
      <c r="H1024" s="33"/>
      <c r="I1024" s="33"/>
      <c r="J1024" s="33"/>
      <c r="K1024" s="33"/>
      <c r="L1024" s="33"/>
      <c r="M1024" s="33"/>
      <c r="N1024" s="33"/>
      <c r="O1024" s="33"/>
      <c r="P1024" s="33"/>
      <c r="Q1024" s="33"/>
      <c r="R1024" s="33"/>
      <c r="S1024" s="33"/>
      <c r="T1024" s="33"/>
      <c r="U1024" s="33"/>
      <c r="V1024" s="33"/>
      <c r="W1024" s="33"/>
      <c r="X1024" s="33"/>
      <c r="Y1024" s="33"/>
      <c r="Z1024" s="33"/>
      <c r="AA1024" s="33"/>
      <c r="AB1024" s="33"/>
      <c r="AC1024" s="33"/>
      <c r="AD1024" s="33"/>
      <c r="AE1024" s="33"/>
      <c r="AF1024" s="33"/>
    </row>
    <row r="1025" ht="15.75" customHeight="1">
      <c r="A1025" s="100"/>
      <c r="B1025" s="102"/>
      <c r="C1025" s="100"/>
      <c r="D1025" s="100"/>
      <c r="E1025" s="165"/>
      <c r="F1025" s="33"/>
      <c r="G1025" s="33"/>
      <c r="H1025" s="33"/>
      <c r="I1025" s="33"/>
      <c r="J1025" s="33"/>
      <c r="K1025" s="33"/>
      <c r="L1025" s="33"/>
      <c r="M1025" s="33"/>
      <c r="N1025" s="33"/>
      <c r="O1025" s="33"/>
      <c r="P1025" s="33"/>
      <c r="Q1025" s="33"/>
      <c r="R1025" s="33"/>
      <c r="S1025" s="33"/>
      <c r="T1025" s="33"/>
      <c r="U1025" s="33"/>
      <c r="V1025" s="33"/>
      <c r="W1025" s="33"/>
      <c r="X1025" s="33"/>
      <c r="Y1025" s="33"/>
      <c r="Z1025" s="33"/>
      <c r="AA1025" s="33"/>
      <c r="AB1025" s="33"/>
      <c r="AC1025" s="33"/>
      <c r="AD1025" s="33"/>
      <c r="AE1025" s="33"/>
      <c r="AF1025" s="33"/>
    </row>
    <row r="1026" ht="15.75" customHeight="1">
      <c r="A1026" s="100"/>
      <c r="B1026" s="102"/>
      <c r="C1026" s="100"/>
      <c r="D1026" s="100"/>
      <c r="E1026" s="165"/>
      <c r="F1026" s="33"/>
      <c r="G1026" s="33"/>
      <c r="H1026" s="33"/>
      <c r="I1026" s="33"/>
      <c r="J1026" s="33"/>
      <c r="K1026" s="33"/>
      <c r="L1026" s="33"/>
      <c r="M1026" s="33"/>
      <c r="N1026" s="33"/>
      <c r="O1026" s="33"/>
      <c r="P1026" s="33"/>
      <c r="Q1026" s="33"/>
      <c r="R1026" s="33"/>
      <c r="S1026" s="33"/>
      <c r="T1026" s="33"/>
      <c r="U1026" s="33"/>
      <c r="V1026" s="33"/>
      <c r="W1026" s="33"/>
      <c r="X1026" s="33"/>
      <c r="Y1026" s="33"/>
      <c r="Z1026" s="33"/>
      <c r="AA1026" s="33"/>
      <c r="AB1026" s="33"/>
      <c r="AC1026" s="33"/>
      <c r="AD1026" s="33"/>
      <c r="AE1026" s="33"/>
      <c r="AF1026" s="33"/>
    </row>
    <row r="1027" ht="15.75" customHeight="1">
      <c r="A1027" s="100"/>
      <c r="B1027" s="102"/>
      <c r="C1027" s="100"/>
      <c r="D1027" s="100"/>
      <c r="E1027" s="165"/>
      <c r="F1027" s="33"/>
      <c r="G1027" s="33"/>
      <c r="H1027" s="33"/>
      <c r="I1027" s="33"/>
      <c r="J1027" s="33"/>
      <c r="K1027" s="33"/>
      <c r="L1027" s="33"/>
      <c r="M1027" s="33"/>
      <c r="N1027" s="33"/>
      <c r="O1027" s="33"/>
      <c r="P1027" s="33"/>
      <c r="Q1027" s="33"/>
      <c r="R1027" s="33"/>
      <c r="S1027" s="33"/>
      <c r="T1027" s="33"/>
      <c r="U1027" s="33"/>
      <c r="V1027" s="33"/>
      <c r="W1027" s="33"/>
      <c r="X1027" s="33"/>
      <c r="Y1027" s="33"/>
      <c r="Z1027" s="33"/>
      <c r="AA1027" s="33"/>
      <c r="AB1027" s="33"/>
      <c r="AC1027" s="33"/>
      <c r="AD1027" s="33"/>
      <c r="AE1027" s="33"/>
      <c r="AF1027" s="33"/>
    </row>
    <row r="1028" ht="15.75" customHeight="1">
      <c r="A1028" s="100"/>
      <c r="B1028" s="102"/>
      <c r="C1028" s="100"/>
      <c r="D1028" s="100"/>
      <c r="E1028" s="165"/>
      <c r="F1028" s="33"/>
      <c r="G1028" s="33"/>
      <c r="H1028" s="33"/>
      <c r="I1028" s="33"/>
      <c r="J1028" s="33"/>
      <c r="K1028" s="33"/>
      <c r="L1028" s="33"/>
      <c r="M1028" s="33"/>
      <c r="N1028" s="33"/>
      <c r="O1028" s="33"/>
      <c r="P1028" s="33"/>
      <c r="Q1028" s="33"/>
      <c r="R1028" s="33"/>
      <c r="S1028" s="33"/>
      <c r="T1028" s="33"/>
      <c r="U1028" s="33"/>
      <c r="V1028" s="33"/>
      <c r="W1028" s="33"/>
      <c r="X1028" s="33"/>
      <c r="Y1028" s="33"/>
      <c r="Z1028" s="33"/>
      <c r="AA1028" s="33"/>
      <c r="AB1028" s="33"/>
      <c r="AC1028" s="33"/>
      <c r="AD1028" s="33"/>
      <c r="AE1028" s="33"/>
      <c r="AF1028" s="33"/>
    </row>
    <row r="1029" ht="15.75" customHeight="1">
      <c r="A1029" s="100"/>
      <c r="B1029" s="102"/>
      <c r="C1029" s="100"/>
      <c r="D1029" s="100"/>
      <c r="E1029" s="165"/>
      <c r="F1029" s="33"/>
      <c r="G1029" s="33"/>
      <c r="H1029" s="33"/>
      <c r="I1029" s="33"/>
      <c r="J1029" s="33"/>
      <c r="K1029" s="33"/>
      <c r="L1029" s="33"/>
      <c r="M1029" s="33"/>
      <c r="N1029" s="33"/>
      <c r="O1029" s="33"/>
      <c r="P1029" s="33"/>
      <c r="Q1029" s="33"/>
      <c r="R1029" s="33"/>
      <c r="S1029" s="33"/>
      <c r="T1029" s="33"/>
      <c r="U1029" s="33"/>
      <c r="V1029" s="33"/>
      <c r="W1029" s="33"/>
      <c r="X1029" s="33"/>
      <c r="Y1029" s="33"/>
      <c r="Z1029" s="33"/>
      <c r="AA1029" s="33"/>
      <c r="AB1029" s="33"/>
      <c r="AC1029" s="33"/>
      <c r="AD1029" s="33"/>
      <c r="AE1029" s="33"/>
      <c r="AF1029" s="33"/>
    </row>
    <row r="1030" ht="15.75" customHeight="1">
      <c r="A1030" s="100"/>
      <c r="B1030" s="102"/>
      <c r="C1030" s="100"/>
      <c r="D1030" s="100"/>
      <c r="E1030" s="165"/>
      <c r="F1030" s="33"/>
      <c r="G1030" s="33"/>
      <c r="H1030" s="33"/>
      <c r="I1030" s="33"/>
      <c r="J1030" s="33"/>
      <c r="K1030" s="33"/>
      <c r="L1030" s="33"/>
      <c r="M1030" s="33"/>
      <c r="N1030" s="33"/>
      <c r="O1030" s="33"/>
      <c r="P1030" s="33"/>
      <c r="Q1030" s="33"/>
      <c r="R1030" s="33"/>
      <c r="S1030" s="33"/>
      <c r="T1030" s="33"/>
      <c r="U1030" s="33"/>
      <c r="V1030" s="33"/>
      <c r="W1030" s="33"/>
      <c r="X1030" s="33"/>
      <c r="Y1030" s="33"/>
      <c r="Z1030" s="33"/>
      <c r="AA1030" s="33"/>
      <c r="AB1030" s="33"/>
      <c r="AC1030" s="33"/>
      <c r="AD1030" s="33"/>
      <c r="AE1030" s="33"/>
      <c r="AF1030" s="33"/>
    </row>
    <row r="1031" ht="15.75" customHeight="1">
      <c r="A1031" s="100"/>
      <c r="B1031" s="102"/>
      <c r="C1031" s="100"/>
      <c r="D1031" s="100"/>
      <c r="E1031" s="165"/>
      <c r="F1031" s="33"/>
      <c r="G1031" s="33"/>
      <c r="H1031" s="33"/>
      <c r="I1031" s="33"/>
      <c r="J1031" s="33"/>
      <c r="K1031" s="33"/>
      <c r="L1031" s="33"/>
      <c r="M1031" s="33"/>
      <c r="N1031" s="33"/>
      <c r="O1031" s="33"/>
      <c r="P1031" s="33"/>
      <c r="Q1031" s="33"/>
      <c r="R1031" s="33"/>
      <c r="S1031" s="33"/>
      <c r="T1031" s="33"/>
      <c r="U1031" s="33"/>
      <c r="V1031" s="33"/>
      <c r="W1031" s="33"/>
      <c r="X1031" s="33"/>
      <c r="Y1031" s="33"/>
      <c r="Z1031" s="33"/>
      <c r="AA1031" s="33"/>
      <c r="AB1031" s="33"/>
      <c r="AC1031" s="33"/>
      <c r="AD1031" s="33"/>
      <c r="AE1031" s="33"/>
      <c r="AF1031" s="33"/>
    </row>
    <row r="1032" ht="15.75" customHeight="1">
      <c r="A1032" s="100"/>
      <c r="B1032" s="102"/>
      <c r="C1032" s="100"/>
      <c r="D1032" s="100"/>
      <c r="E1032" s="165"/>
      <c r="F1032" s="33"/>
      <c r="G1032" s="33"/>
      <c r="H1032" s="33"/>
      <c r="I1032" s="33"/>
      <c r="J1032" s="33"/>
      <c r="K1032" s="33"/>
      <c r="L1032" s="33"/>
      <c r="M1032" s="33"/>
      <c r="N1032" s="33"/>
      <c r="O1032" s="33"/>
      <c r="P1032" s="33"/>
      <c r="Q1032" s="33"/>
      <c r="R1032" s="33"/>
      <c r="S1032" s="33"/>
      <c r="T1032" s="33"/>
      <c r="U1032" s="33"/>
      <c r="V1032" s="33"/>
      <c r="W1032" s="33"/>
      <c r="X1032" s="33"/>
      <c r="Y1032" s="33"/>
      <c r="Z1032" s="33"/>
      <c r="AA1032" s="33"/>
      <c r="AB1032" s="33"/>
      <c r="AC1032" s="33"/>
      <c r="AD1032" s="33"/>
      <c r="AE1032" s="33"/>
      <c r="AF1032" s="33"/>
    </row>
    <row r="1033" ht="15.75" customHeight="1">
      <c r="A1033" s="100"/>
      <c r="B1033" s="102"/>
      <c r="C1033" s="100"/>
      <c r="D1033" s="100"/>
      <c r="E1033" s="165"/>
      <c r="F1033" s="33"/>
      <c r="G1033" s="33"/>
      <c r="H1033" s="33"/>
      <c r="I1033" s="33"/>
      <c r="J1033" s="33"/>
      <c r="K1033" s="33"/>
      <c r="L1033" s="33"/>
      <c r="M1033" s="33"/>
      <c r="N1033" s="33"/>
      <c r="O1033" s="33"/>
      <c r="P1033" s="33"/>
      <c r="Q1033" s="33"/>
      <c r="R1033" s="33"/>
      <c r="S1033" s="33"/>
      <c r="T1033" s="33"/>
      <c r="U1033" s="33"/>
      <c r="V1033" s="33"/>
      <c r="W1033" s="33"/>
      <c r="X1033" s="33"/>
      <c r="Y1033" s="33"/>
      <c r="Z1033" s="33"/>
      <c r="AA1033" s="33"/>
      <c r="AB1033" s="33"/>
      <c r="AC1033" s="33"/>
      <c r="AD1033" s="33"/>
      <c r="AE1033" s="33"/>
      <c r="AF1033" s="33"/>
    </row>
    <row r="1034" ht="15.75" customHeight="1">
      <c r="A1034" s="100"/>
      <c r="B1034" s="102"/>
      <c r="C1034" s="100"/>
      <c r="D1034" s="100"/>
      <c r="E1034" s="165"/>
      <c r="F1034" s="33"/>
      <c r="G1034" s="33"/>
      <c r="H1034" s="33"/>
      <c r="I1034" s="33"/>
      <c r="J1034" s="33"/>
      <c r="K1034" s="33"/>
      <c r="L1034" s="33"/>
      <c r="M1034" s="33"/>
      <c r="N1034" s="33"/>
      <c r="O1034" s="33"/>
      <c r="P1034" s="33"/>
      <c r="Q1034" s="33"/>
      <c r="R1034" s="33"/>
      <c r="S1034" s="33"/>
      <c r="T1034" s="33"/>
      <c r="U1034" s="33"/>
      <c r="V1034" s="33"/>
      <c r="W1034" s="33"/>
      <c r="X1034" s="33"/>
      <c r="Y1034" s="33"/>
      <c r="Z1034" s="33"/>
      <c r="AA1034" s="33"/>
      <c r="AB1034" s="33"/>
      <c r="AC1034" s="33"/>
      <c r="AD1034" s="33"/>
      <c r="AE1034" s="33"/>
      <c r="AF1034" s="33"/>
    </row>
    <row r="1035" ht="15.75" customHeight="1">
      <c r="A1035" s="100"/>
      <c r="B1035" s="102"/>
      <c r="C1035" s="100"/>
      <c r="D1035" s="100"/>
      <c r="E1035" s="165"/>
      <c r="F1035" s="33"/>
      <c r="G1035" s="33"/>
      <c r="H1035" s="33"/>
      <c r="I1035" s="33"/>
      <c r="J1035" s="33"/>
      <c r="K1035" s="33"/>
      <c r="L1035" s="33"/>
      <c r="M1035" s="33"/>
      <c r="N1035" s="33"/>
      <c r="O1035" s="33"/>
      <c r="P1035" s="33"/>
      <c r="Q1035" s="33"/>
      <c r="R1035" s="33"/>
      <c r="S1035" s="33"/>
      <c r="T1035" s="33"/>
      <c r="U1035" s="33"/>
      <c r="V1035" s="33"/>
      <c r="W1035" s="33"/>
      <c r="X1035" s="33"/>
      <c r="Y1035" s="33"/>
      <c r="Z1035" s="33"/>
      <c r="AA1035" s="33"/>
      <c r="AB1035" s="33"/>
      <c r="AC1035" s="33"/>
      <c r="AD1035" s="33"/>
      <c r="AE1035" s="33"/>
      <c r="AF1035" s="33"/>
    </row>
    <row r="1036" ht="15.75" customHeight="1">
      <c r="A1036" s="100"/>
      <c r="B1036" s="102"/>
      <c r="C1036" s="100"/>
      <c r="D1036" s="100"/>
      <c r="E1036" s="165"/>
      <c r="F1036" s="33"/>
      <c r="G1036" s="33"/>
      <c r="H1036" s="33"/>
      <c r="I1036" s="33"/>
      <c r="J1036" s="33"/>
      <c r="K1036" s="33"/>
      <c r="L1036" s="33"/>
      <c r="M1036" s="33"/>
      <c r="N1036" s="33"/>
      <c r="O1036" s="33"/>
      <c r="P1036" s="33"/>
      <c r="Q1036" s="33"/>
      <c r="R1036" s="33"/>
      <c r="S1036" s="33"/>
      <c r="T1036" s="33"/>
      <c r="U1036" s="33"/>
      <c r="V1036" s="33"/>
      <c r="W1036" s="33"/>
      <c r="X1036" s="33"/>
      <c r="Y1036" s="33"/>
      <c r="Z1036" s="33"/>
      <c r="AA1036" s="33"/>
      <c r="AB1036" s="33"/>
      <c r="AC1036" s="33"/>
      <c r="AD1036" s="33"/>
      <c r="AE1036" s="33"/>
      <c r="AF1036" s="33"/>
    </row>
    <row r="1037" ht="15.75" customHeight="1">
      <c r="A1037" s="100"/>
      <c r="B1037" s="102"/>
      <c r="C1037" s="100"/>
      <c r="D1037" s="100"/>
      <c r="E1037" s="165"/>
      <c r="F1037" s="33"/>
      <c r="G1037" s="33"/>
      <c r="H1037" s="33"/>
      <c r="I1037" s="33"/>
      <c r="J1037" s="33"/>
      <c r="K1037" s="33"/>
      <c r="L1037" s="33"/>
      <c r="M1037" s="33"/>
      <c r="N1037" s="33"/>
      <c r="O1037" s="33"/>
      <c r="P1037" s="33"/>
      <c r="Q1037" s="33"/>
      <c r="R1037" s="33"/>
      <c r="S1037" s="33"/>
      <c r="T1037" s="33"/>
      <c r="U1037" s="33"/>
      <c r="V1037" s="33"/>
      <c r="W1037" s="33"/>
      <c r="X1037" s="33"/>
      <c r="Y1037" s="33"/>
      <c r="Z1037" s="33"/>
      <c r="AA1037" s="33"/>
      <c r="AB1037" s="33"/>
      <c r="AC1037" s="33"/>
      <c r="AD1037" s="33"/>
      <c r="AE1037" s="33"/>
      <c r="AF1037" s="33"/>
    </row>
    <row r="1038" ht="15.75" customHeight="1">
      <c r="A1038" s="100"/>
      <c r="B1038" s="102"/>
      <c r="C1038" s="100"/>
      <c r="D1038" s="100"/>
      <c r="E1038" s="165"/>
      <c r="F1038" s="33"/>
      <c r="G1038" s="33"/>
      <c r="H1038" s="33"/>
      <c r="I1038" s="33"/>
      <c r="J1038" s="33"/>
      <c r="K1038" s="33"/>
      <c r="L1038" s="33"/>
      <c r="M1038" s="33"/>
      <c r="N1038" s="33"/>
      <c r="O1038" s="33"/>
      <c r="P1038" s="33"/>
      <c r="Q1038" s="33"/>
      <c r="R1038" s="33"/>
      <c r="S1038" s="33"/>
      <c r="T1038" s="33"/>
      <c r="U1038" s="33"/>
      <c r="V1038" s="33"/>
      <c r="W1038" s="33"/>
      <c r="X1038" s="33"/>
      <c r="Y1038" s="33"/>
      <c r="Z1038" s="33"/>
      <c r="AA1038" s="33"/>
      <c r="AB1038" s="33"/>
      <c r="AC1038" s="33"/>
      <c r="AD1038" s="33"/>
      <c r="AE1038" s="33"/>
      <c r="AF1038" s="33"/>
    </row>
    <row r="1039" ht="15.75" customHeight="1">
      <c r="A1039" s="100"/>
      <c r="B1039" s="102"/>
      <c r="C1039" s="100"/>
      <c r="D1039" s="100"/>
      <c r="E1039" s="165"/>
      <c r="F1039" s="33"/>
      <c r="G1039" s="33"/>
      <c r="H1039" s="33"/>
      <c r="I1039" s="33"/>
      <c r="J1039" s="33"/>
      <c r="K1039" s="33"/>
      <c r="L1039" s="33"/>
      <c r="M1039" s="33"/>
      <c r="N1039" s="33"/>
      <c r="O1039" s="33"/>
      <c r="P1039" s="33"/>
      <c r="Q1039" s="33"/>
      <c r="R1039" s="33"/>
      <c r="S1039" s="33"/>
      <c r="T1039" s="33"/>
      <c r="U1039" s="33"/>
      <c r="V1039" s="33"/>
      <c r="W1039" s="33"/>
      <c r="X1039" s="33"/>
      <c r="Y1039" s="33"/>
      <c r="Z1039" s="33"/>
      <c r="AA1039" s="33"/>
      <c r="AB1039" s="33"/>
      <c r="AC1039" s="33"/>
      <c r="AD1039" s="33"/>
      <c r="AE1039" s="33"/>
      <c r="AF1039" s="33"/>
    </row>
    <row r="1040" ht="15.75" customHeight="1">
      <c r="A1040" s="100"/>
      <c r="B1040" s="102"/>
      <c r="C1040" s="100"/>
      <c r="D1040" s="100"/>
      <c r="E1040" s="165"/>
      <c r="F1040" s="33"/>
      <c r="G1040" s="33"/>
      <c r="H1040" s="33"/>
      <c r="I1040" s="33"/>
      <c r="J1040" s="33"/>
      <c r="K1040" s="33"/>
      <c r="L1040" s="33"/>
      <c r="M1040" s="33"/>
      <c r="N1040" s="33"/>
      <c r="O1040" s="33"/>
      <c r="P1040" s="33"/>
      <c r="Q1040" s="33"/>
      <c r="R1040" s="33"/>
      <c r="S1040" s="33"/>
      <c r="T1040" s="33"/>
      <c r="U1040" s="33"/>
      <c r="V1040" s="33"/>
      <c r="W1040" s="33"/>
      <c r="X1040" s="33"/>
      <c r="Y1040" s="33"/>
      <c r="Z1040" s="33"/>
      <c r="AA1040" s="33"/>
      <c r="AB1040" s="33"/>
      <c r="AC1040" s="33"/>
      <c r="AD1040" s="33"/>
      <c r="AE1040" s="33"/>
      <c r="AF1040" s="33"/>
    </row>
    <row r="1041" ht="15.75" customHeight="1">
      <c r="A1041" s="100"/>
      <c r="B1041" s="102"/>
      <c r="C1041" s="100"/>
      <c r="D1041" s="100"/>
      <c r="E1041" s="165"/>
      <c r="F1041" s="33"/>
      <c r="G1041" s="33"/>
      <c r="H1041" s="33"/>
      <c r="I1041" s="33"/>
      <c r="J1041" s="33"/>
      <c r="K1041" s="33"/>
      <c r="L1041" s="33"/>
      <c r="M1041" s="33"/>
      <c r="N1041" s="33"/>
      <c r="O1041" s="33"/>
      <c r="P1041" s="33"/>
      <c r="Q1041" s="33"/>
      <c r="R1041" s="33"/>
      <c r="S1041" s="33"/>
      <c r="T1041" s="33"/>
      <c r="U1041" s="33"/>
      <c r="V1041" s="33"/>
      <c r="W1041" s="33"/>
      <c r="X1041" s="33"/>
      <c r="Y1041" s="33"/>
      <c r="Z1041" s="33"/>
      <c r="AA1041" s="33"/>
      <c r="AB1041" s="33"/>
      <c r="AC1041" s="33"/>
      <c r="AD1041" s="33"/>
      <c r="AE1041" s="33"/>
      <c r="AF1041" s="33"/>
    </row>
    <row r="1042" ht="15.75" customHeight="1">
      <c r="A1042" s="100"/>
      <c r="B1042" s="102"/>
      <c r="C1042" s="100"/>
      <c r="D1042" s="100"/>
      <c r="E1042" s="165"/>
      <c r="F1042" s="33"/>
      <c r="G1042" s="33"/>
      <c r="H1042" s="33"/>
      <c r="I1042" s="33"/>
      <c r="J1042" s="33"/>
      <c r="K1042" s="33"/>
      <c r="L1042" s="33"/>
      <c r="M1042" s="33"/>
      <c r="N1042" s="33"/>
      <c r="O1042" s="33"/>
      <c r="P1042" s="33"/>
      <c r="Q1042" s="33"/>
      <c r="R1042" s="33"/>
      <c r="S1042" s="33"/>
      <c r="T1042" s="33"/>
      <c r="U1042" s="33"/>
      <c r="V1042" s="33"/>
      <c r="W1042" s="33"/>
      <c r="X1042" s="33"/>
      <c r="Y1042" s="33"/>
      <c r="Z1042" s="33"/>
      <c r="AA1042" s="33"/>
      <c r="AB1042" s="33"/>
      <c r="AC1042" s="33"/>
      <c r="AD1042" s="33"/>
      <c r="AE1042" s="33"/>
      <c r="AF1042" s="33"/>
    </row>
    <row r="1043" ht="15.75" customHeight="1">
      <c r="A1043" s="100"/>
      <c r="B1043" s="102"/>
      <c r="C1043" s="100"/>
      <c r="D1043" s="100"/>
      <c r="E1043" s="165"/>
      <c r="F1043" s="33"/>
      <c r="G1043" s="33"/>
      <c r="H1043" s="33"/>
      <c r="I1043" s="33"/>
      <c r="J1043" s="33"/>
      <c r="K1043" s="33"/>
      <c r="L1043" s="33"/>
      <c r="M1043" s="33"/>
      <c r="N1043" s="33"/>
      <c r="O1043" s="33"/>
      <c r="P1043" s="33"/>
      <c r="Q1043" s="33"/>
      <c r="R1043" s="33"/>
      <c r="S1043" s="33"/>
      <c r="T1043" s="33"/>
      <c r="U1043" s="33"/>
      <c r="V1043" s="33"/>
      <c r="W1043" s="33"/>
      <c r="X1043" s="33"/>
      <c r="Y1043" s="33"/>
      <c r="Z1043" s="33"/>
      <c r="AA1043" s="33"/>
      <c r="AB1043" s="33"/>
      <c r="AC1043" s="33"/>
      <c r="AD1043" s="33"/>
      <c r="AE1043" s="33"/>
      <c r="AF1043" s="33"/>
    </row>
    <row r="1044" ht="15.75" customHeight="1">
      <c r="A1044" s="100"/>
      <c r="B1044" s="102"/>
      <c r="C1044" s="100"/>
      <c r="D1044" s="100"/>
      <c r="E1044" s="165"/>
      <c r="F1044" s="33"/>
      <c r="G1044" s="33"/>
      <c r="H1044" s="33"/>
      <c r="I1044" s="33"/>
      <c r="J1044" s="33"/>
      <c r="K1044" s="33"/>
      <c r="L1044" s="33"/>
      <c r="M1044" s="33"/>
      <c r="N1044" s="33"/>
      <c r="O1044" s="33"/>
      <c r="P1044" s="33"/>
      <c r="Q1044" s="33"/>
      <c r="R1044" s="33"/>
      <c r="S1044" s="33"/>
      <c r="T1044" s="33"/>
      <c r="U1044" s="33"/>
      <c r="V1044" s="33"/>
      <c r="W1044" s="33"/>
      <c r="X1044" s="33"/>
      <c r="Y1044" s="33"/>
      <c r="Z1044" s="33"/>
      <c r="AA1044" s="33"/>
      <c r="AB1044" s="33"/>
      <c r="AC1044" s="33"/>
      <c r="AD1044" s="33"/>
      <c r="AE1044" s="33"/>
      <c r="AF1044" s="33"/>
    </row>
    <row r="1045" ht="15.75" customHeight="1">
      <c r="A1045" s="100"/>
      <c r="B1045" s="102"/>
      <c r="C1045" s="100"/>
      <c r="D1045" s="100"/>
      <c r="E1045" s="165"/>
      <c r="F1045" s="33"/>
      <c r="G1045" s="33"/>
      <c r="H1045" s="33"/>
      <c r="I1045" s="33"/>
      <c r="J1045" s="33"/>
      <c r="K1045" s="33"/>
      <c r="L1045" s="33"/>
      <c r="M1045" s="33"/>
      <c r="N1045" s="33"/>
      <c r="O1045" s="33"/>
      <c r="P1045" s="33"/>
      <c r="Q1045" s="33"/>
      <c r="R1045" s="33"/>
      <c r="S1045" s="33"/>
      <c r="T1045" s="33"/>
      <c r="U1045" s="33"/>
      <c r="V1045" s="33"/>
      <c r="W1045" s="33"/>
      <c r="X1045" s="33"/>
      <c r="Y1045" s="33"/>
      <c r="Z1045" s="33"/>
      <c r="AA1045" s="33"/>
      <c r="AB1045" s="33"/>
      <c r="AC1045" s="33"/>
      <c r="AD1045" s="33"/>
      <c r="AE1045" s="33"/>
      <c r="AF1045" s="33"/>
    </row>
    <row r="1046" ht="15.75" customHeight="1">
      <c r="A1046" s="100"/>
      <c r="B1046" s="102"/>
      <c r="C1046" s="100"/>
      <c r="D1046" s="100"/>
      <c r="E1046" s="165"/>
      <c r="F1046" s="33"/>
      <c r="G1046" s="33"/>
      <c r="H1046" s="33"/>
      <c r="I1046" s="33"/>
      <c r="J1046" s="33"/>
      <c r="K1046" s="33"/>
      <c r="L1046" s="33"/>
      <c r="M1046" s="33"/>
      <c r="N1046" s="33"/>
      <c r="O1046" s="33"/>
      <c r="P1046" s="33"/>
      <c r="Q1046" s="33"/>
      <c r="R1046" s="33"/>
      <c r="S1046" s="33"/>
      <c r="T1046" s="33"/>
      <c r="U1046" s="33"/>
      <c r="V1046" s="33"/>
      <c r="W1046" s="33"/>
      <c r="X1046" s="33"/>
      <c r="Y1046" s="33"/>
      <c r="Z1046" s="33"/>
      <c r="AA1046" s="33"/>
      <c r="AB1046" s="33"/>
      <c r="AC1046" s="33"/>
      <c r="AD1046" s="33"/>
      <c r="AE1046" s="33"/>
      <c r="AF1046" s="33"/>
    </row>
    <row r="1047" ht="15.75" customHeight="1">
      <c r="A1047" s="100"/>
      <c r="B1047" s="102"/>
      <c r="C1047" s="100"/>
      <c r="D1047" s="100"/>
      <c r="E1047" s="165"/>
      <c r="F1047" s="33"/>
      <c r="G1047" s="33"/>
      <c r="H1047" s="33"/>
      <c r="I1047" s="33"/>
      <c r="J1047" s="33"/>
      <c r="K1047" s="33"/>
      <c r="L1047" s="33"/>
      <c r="M1047" s="33"/>
      <c r="N1047" s="33"/>
      <c r="O1047" s="33"/>
      <c r="P1047" s="33"/>
      <c r="Q1047" s="33"/>
      <c r="R1047" s="33"/>
      <c r="S1047" s="33"/>
      <c r="T1047" s="33"/>
      <c r="U1047" s="33"/>
      <c r="V1047" s="33"/>
      <c r="W1047" s="33"/>
      <c r="X1047" s="33"/>
      <c r="Y1047" s="33"/>
      <c r="Z1047" s="33"/>
      <c r="AA1047" s="33"/>
      <c r="AB1047" s="33"/>
      <c r="AC1047" s="33"/>
      <c r="AD1047" s="33"/>
      <c r="AE1047" s="33"/>
      <c r="AF1047" s="33"/>
    </row>
    <row r="1048" ht="15.75" customHeight="1">
      <c r="A1048" s="100"/>
      <c r="B1048" s="102"/>
      <c r="C1048" s="100"/>
      <c r="D1048" s="100"/>
      <c r="E1048" s="165"/>
      <c r="F1048" s="33"/>
      <c r="G1048" s="33"/>
      <c r="H1048" s="33"/>
      <c r="I1048" s="33"/>
      <c r="J1048" s="33"/>
      <c r="K1048" s="33"/>
      <c r="L1048" s="33"/>
      <c r="M1048" s="33"/>
      <c r="N1048" s="33"/>
      <c r="O1048" s="33"/>
      <c r="P1048" s="33"/>
      <c r="Q1048" s="33"/>
      <c r="R1048" s="33"/>
      <c r="S1048" s="33"/>
      <c r="T1048" s="33"/>
      <c r="U1048" s="33"/>
      <c r="V1048" s="33"/>
      <c r="W1048" s="33"/>
      <c r="X1048" s="33"/>
      <c r="Y1048" s="33"/>
      <c r="Z1048" s="33"/>
      <c r="AA1048" s="33"/>
      <c r="AB1048" s="33"/>
      <c r="AC1048" s="33"/>
      <c r="AD1048" s="33"/>
      <c r="AE1048" s="33"/>
      <c r="AF1048" s="33"/>
    </row>
    <row r="1049" ht="15.75" customHeight="1">
      <c r="A1049" s="100"/>
      <c r="B1049" s="102"/>
      <c r="C1049" s="100"/>
      <c r="D1049" s="100"/>
      <c r="E1049" s="165"/>
      <c r="F1049" s="33"/>
      <c r="G1049" s="33"/>
      <c r="H1049" s="33"/>
      <c r="I1049" s="33"/>
      <c r="J1049" s="33"/>
      <c r="K1049" s="33"/>
      <c r="L1049" s="33"/>
      <c r="M1049" s="33"/>
      <c r="N1049" s="33"/>
      <c r="O1049" s="33"/>
      <c r="P1049" s="33"/>
      <c r="Q1049" s="33"/>
      <c r="R1049" s="33"/>
      <c r="S1049" s="33"/>
      <c r="T1049" s="33"/>
      <c r="U1049" s="33"/>
      <c r="V1049" s="33"/>
      <c r="W1049" s="33"/>
      <c r="X1049" s="33"/>
      <c r="Y1049" s="33"/>
      <c r="Z1049" s="33"/>
      <c r="AA1049" s="33"/>
      <c r="AB1049" s="33"/>
      <c r="AC1049" s="33"/>
      <c r="AD1049" s="33"/>
      <c r="AE1049" s="33"/>
      <c r="AF1049" s="33"/>
    </row>
    <row r="1050" ht="15.75" customHeight="1">
      <c r="A1050" s="100"/>
      <c r="B1050" s="102"/>
      <c r="C1050" s="100"/>
      <c r="D1050" s="100"/>
      <c r="E1050" s="165"/>
      <c r="F1050" s="33"/>
      <c r="G1050" s="33"/>
      <c r="H1050" s="33"/>
      <c r="I1050" s="33"/>
      <c r="J1050" s="33"/>
      <c r="K1050" s="33"/>
      <c r="L1050" s="33"/>
      <c r="M1050" s="33"/>
      <c r="N1050" s="33"/>
      <c r="O1050" s="33"/>
      <c r="P1050" s="33"/>
      <c r="Q1050" s="33"/>
      <c r="R1050" s="33"/>
      <c r="S1050" s="33"/>
      <c r="T1050" s="33"/>
      <c r="U1050" s="33"/>
      <c r="V1050" s="33"/>
      <c r="W1050" s="33"/>
      <c r="X1050" s="33"/>
      <c r="Y1050" s="33"/>
      <c r="Z1050" s="33"/>
      <c r="AA1050" s="33"/>
      <c r="AB1050" s="33"/>
      <c r="AC1050" s="33"/>
      <c r="AD1050" s="33"/>
      <c r="AE1050" s="33"/>
      <c r="AF1050" s="33"/>
    </row>
    <row r="1051" ht="15.75" customHeight="1">
      <c r="A1051" s="100"/>
      <c r="B1051" s="102"/>
      <c r="C1051" s="100"/>
      <c r="D1051" s="100"/>
      <c r="E1051" s="165"/>
      <c r="F1051" s="33"/>
      <c r="G1051" s="33"/>
      <c r="H1051" s="33"/>
      <c r="I1051" s="33"/>
      <c r="J1051" s="33"/>
      <c r="K1051" s="33"/>
      <c r="L1051" s="33"/>
      <c r="M1051" s="33"/>
      <c r="N1051" s="33"/>
      <c r="O1051" s="33"/>
      <c r="P1051" s="33"/>
      <c r="Q1051" s="33"/>
      <c r="R1051" s="33"/>
      <c r="S1051" s="33"/>
      <c r="T1051" s="33"/>
      <c r="U1051" s="33"/>
      <c r="V1051" s="33"/>
      <c r="W1051" s="33"/>
      <c r="X1051" s="33"/>
      <c r="Y1051" s="33"/>
      <c r="Z1051" s="33"/>
      <c r="AA1051" s="33"/>
      <c r="AB1051" s="33"/>
      <c r="AC1051" s="33"/>
      <c r="AD1051" s="33"/>
      <c r="AE1051" s="33"/>
      <c r="AF1051" s="33"/>
    </row>
    <row r="1052" ht="15.75" customHeight="1">
      <c r="A1052" s="100"/>
      <c r="B1052" s="102"/>
      <c r="C1052" s="100"/>
      <c r="D1052" s="100"/>
      <c r="E1052" s="165"/>
      <c r="F1052" s="33"/>
      <c r="G1052" s="33"/>
      <c r="H1052" s="33"/>
      <c r="I1052" s="33"/>
      <c r="J1052" s="33"/>
      <c r="K1052" s="33"/>
      <c r="L1052" s="33"/>
      <c r="M1052" s="33"/>
      <c r="N1052" s="33"/>
      <c r="O1052" s="33"/>
      <c r="P1052" s="33"/>
      <c r="Q1052" s="33"/>
      <c r="R1052" s="33"/>
      <c r="S1052" s="33"/>
      <c r="T1052" s="33"/>
      <c r="U1052" s="33"/>
      <c r="V1052" s="33"/>
      <c r="W1052" s="33"/>
      <c r="X1052" s="33"/>
      <c r="Y1052" s="33"/>
      <c r="Z1052" s="33"/>
      <c r="AA1052" s="33"/>
      <c r="AB1052" s="33"/>
      <c r="AC1052" s="33"/>
      <c r="AD1052" s="33"/>
      <c r="AE1052" s="33"/>
      <c r="AF1052" s="33"/>
    </row>
    <row r="1053" ht="15.75" customHeight="1">
      <c r="A1053" s="100"/>
      <c r="B1053" s="102"/>
      <c r="C1053" s="100"/>
      <c r="D1053" s="100"/>
      <c r="E1053" s="165"/>
      <c r="F1053" s="33"/>
      <c r="G1053" s="33"/>
      <c r="H1053" s="33"/>
      <c r="I1053" s="33"/>
      <c r="J1053" s="33"/>
      <c r="K1053" s="33"/>
      <c r="L1053" s="33"/>
      <c r="M1053" s="33"/>
      <c r="N1053" s="33"/>
      <c r="O1053" s="33"/>
      <c r="P1053" s="33"/>
      <c r="Q1053" s="33"/>
      <c r="R1053" s="33"/>
      <c r="S1053" s="33"/>
      <c r="T1053" s="33"/>
      <c r="U1053" s="33"/>
      <c r="V1053" s="33"/>
      <c r="W1053" s="33"/>
      <c r="X1053" s="33"/>
      <c r="Y1053" s="33"/>
      <c r="Z1053" s="33"/>
      <c r="AA1053" s="33"/>
      <c r="AB1053" s="33"/>
      <c r="AC1053" s="33"/>
      <c r="AD1053" s="33"/>
      <c r="AE1053" s="33"/>
      <c r="AF1053" s="33"/>
    </row>
    <row r="1054" ht="15.75" customHeight="1">
      <c r="A1054" s="100"/>
      <c r="B1054" s="102"/>
      <c r="C1054" s="100"/>
      <c r="D1054" s="100"/>
      <c r="E1054" s="165"/>
      <c r="F1054" s="33"/>
      <c r="G1054" s="33"/>
      <c r="H1054" s="33"/>
      <c r="I1054" s="33"/>
      <c r="J1054" s="33"/>
      <c r="K1054" s="33"/>
      <c r="L1054" s="33"/>
      <c r="M1054" s="33"/>
      <c r="N1054" s="33"/>
      <c r="O1054" s="33"/>
      <c r="P1054" s="33"/>
      <c r="Q1054" s="33"/>
      <c r="R1054" s="33"/>
      <c r="S1054" s="33"/>
      <c r="T1054" s="33"/>
      <c r="U1054" s="33"/>
      <c r="V1054" s="33"/>
      <c r="W1054" s="33"/>
      <c r="X1054" s="33"/>
      <c r="Y1054" s="33"/>
      <c r="Z1054" s="33"/>
      <c r="AA1054" s="33"/>
      <c r="AB1054" s="33"/>
      <c r="AC1054" s="33"/>
      <c r="AD1054" s="33"/>
      <c r="AE1054" s="33"/>
      <c r="AF1054" s="33"/>
    </row>
    <row r="1055" ht="15.75" customHeight="1">
      <c r="A1055" s="100"/>
      <c r="B1055" s="102"/>
      <c r="C1055" s="100"/>
      <c r="D1055" s="100"/>
      <c r="E1055" s="165"/>
      <c r="F1055" s="33"/>
      <c r="G1055" s="33"/>
      <c r="H1055" s="33"/>
      <c r="I1055" s="33"/>
      <c r="J1055" s="33"/>
      <c r="K1055" s="33"/>
      <c r="L1055" s="33"/>
      <c r="M1055" s="33"/>
      <c r="N1055" s="33"/>
      <c r="O1055" s="33"/>
      <c r="P1055" s="33"/>
      <c r="Q1055" s="33"/>
      <c r="R1055" s="33"/>
      <c r="S1055" s="33"/>
      <c r="T1055" s="33"/>
      <c r="U1055" s="33"/>
      <c r="V1055" s="33"/>
      <c r="W1055" s="33"/>
      <c r="X1055" s="33"/>
      <c r="Y1055" s="33"/>
      <c r="Z1055" s="33"/>
      <c r="AA1055" s="33"/>
      <c r="AB1055" s="33"/>
      <c r="AC1055" s="33"/>
      <c r="AD1055" s="33"/>
      <c r="AE1055" s="33"/>
      <c r="AF1055" s="33"/>
    </row>
    <row r="1056" ht="15.75" customHeight="1">
      <c r="A1056" s="100"/>
      <c r="B1056" s="102"/>
      <c r="C1056" s="100"/>
      <c r="D1056" s="100"/>
      <c r="E1056" s="165"/>
      <c r="F1056" s="33"/>
      <c r="G1056" s="33"/>
      <c r="H1056" s="33"/>
      <c r="I1056" s="33"/>
      <c r="J1056" s="33"/>
      <c r="K1056" s="33"/>
      <c r="L1056" s="33"/>
      <c r="M1056" s="33"/>
      <c r="N1056" s="33"/>
      <c r="O1056" s="33"/>
      <c r="P1056" s="33"/>
      <c r="Q1056" s="33"/>
      <c r="R1056" s="33"/>
      <c r="S1056" s="33"/>
      <c r="T1056" s="33"/>
      <c r="U1056" s="33"/>
      <c r="V1056" s="33"/>
      <c r="W1056" s="33"/>
      <c r="X1056" s="33"/>
      <c r="Y1056" s="33"/>
      <c r="Z1056" s="33"/>
      <c r="AA1056" s="33"/>
      <c r="AB1056" s="33"/>
      <c r="AC1056" s="33"/>
      <c r="AD1056" s="33"/>
      <c r="AE1056" s="33"/>
      <c r="AF1056" s="33"/>
    </row>
    <row r="1057" ht="15.75" customHeight="1">
      <c r="A1057" s="100"/>
      <c r="B1057" s="102"/>
      <c r="C1057" s="100"/>
      <c r="D1057" s="100"/>
      <c r="E1057" s="165"/>
      <c r="F1057" s="33"/>
      <c r="G1057" s="33"/>
      <c r="H1057" s="33"/>
      <c r="I1057" s="33"/>
      <c r="J1057" s="33"/>
      <c r="K1057" s="33"/>
      <c r="L1057" s="33"/>
      <c r="M1057" s="33"/>
      <c r="N1057" s="33"/>
      <c r="O1057" s="33"/>
      <c r="P1057" s="33"/>
      <c r="Q1057" s="33"/>
      <c r="R1057" s="33"/>
      <c r="S1057" s="33"/>
      <c r="T1057" s="33"/>
      <c r="U1057" s="33"/>
      <c r="V1057" s="33"/>
      <c r="W1057" s="33"/>
      <c r="X1057" s="33"/>
      <c r="Y1057" s="33"/>
      <c r="Z1057" s="33"/>
      <c r="AA1057" s="33"/>
      <c r="AB1057" s="33"/>
      <c r="AC1057" s="33"/>
      <c r="AD1057" s="33"/>
      <c r="AE1057" s="33"/>
      <c r="AF1057" s="33"/>
    </row>
    <row r="1058" ht="15.75" customHeight="1">
      <c r="A1058" s="100"/>
      <c r="B1058" s="102"/>
      <c r="C1058" s="100"/>
      <c r="D1058" s="100"/>
      <c r="E1058" s="165"/>
      <c r="F1058" s="33"/>
      <c r="G1058" s="33"/>
      <c r="H1058" s="33"/>
      <c r="I1058" s="33"/>
      <c r="J1058" s="33"/>
      <c r="K1058" s="33"/>
      <c r="L1058" s="33"/>
      <c r="M1058" s="33"/>
      <c r="N1058" s="33"/>
      <c r="O1058" s="33"/>
      <c r="P1058" s="33"/>
      <c r="Q1058" s="33"/>
      <c r="R1058" s="33"/>
      <c r="S1058" s="33"/>
      <c r="T1058" s="33"/>
      <c r="U1058" s="33"/>
      <c r="V1058" s="33"/>
      <c r="W1058" s="33"/>
      <c r="X1058" s="33"/>
      <c r="Y1058" s="33"/>
      <c r="Z1058" s="33"/>
      <c r="AA1058" s="33"/>
      <c r="AB1058" s="33"/>
      <c r="AC1058" s="33"/>
      <c r="AD1058" s="33"/>
      <c r="AE1058" s="33"/>
      <c r="AF1058" s="33"/>
    </row>
    <row r="1059" ht="15.75" customHeight="1">
      <c r="A1059" s="100"/>
      <c r="B1059" s="102"/>
      <c r="C1059" s="100"/>
      <c r="D1059" s="100"/>
      <c r="E1059" s="165"/>
      <c r="F1059" s="33"/>
      <c r="G1059" s="33"/>
      <c r="H1059" s="33"/>
      <c r="I1059" s="33"/>
      <c r="J1059" s="33"/>
      <c r="K1059" s="33"/>
      <c r="L1059" s="33"/>
      <c r="M1059" s="33"/>
      <c r="N1059" s="33"/>
      <c r="O1059" s="33"/>
      <c r="P1059" s="33"/>
      <c r="Q1059" s="33"/>
      <c r="R1059" s="33"/>
      <c r="S1059" s="33"/>
      <c r="T1059" s="33"/>
      <c r="U1059" s="33"/>
      <c r="V1059" s="33"/>
      <c r="W1059" s="33"/>
      <c r="X1059" s="33"/>
      <c r="Y1059" s="33"/>
      <c r="Z1059" s="33"/>
      <c r="AA1059" s="33"/>
      <c r="AB1059" s="33"/>
      <c r="AC1059" s="33"/>
      <c r="AD1059" s="33"/>
      <c r="AE1059" s="33"/>
      <c r="AF1059" s="33"/>
    </row>
    <row r="1060" ht="15.75" customHeight="1">
      <c r="A1060" s="100"/>
      <c r="B1060" s="102"/>
      <c r="C1060" s="100"/>
      <c r="D1060" s="100"/>
      <c r="E1060" s="165"/>
      <c r="F1060" s="33"/>
      <c r="G1060" s="33"/>
      <c r="H1060" s="33"/>
      <c r="I1060" s="33"/>
      <c r="J1060" s="33"/>
      <c r="K1060" s="33"/>
      <c r="L1060" s="33"/>
      <c r="M1060" s="33"/>
      <c r="N1060" s="33"/>
      <c r="O1060" s="33"/>
      <c r="P1060" s="33"/>
      <c r="Q1060" s="33"/>
      <c r="R1060" s="33"/>
      <c r="S1060" s="33"/>
      <c r="T1060" s="33"/>
      <c r="U1060" s="33"/>
      <c r="V1060" s="33"/>
      <c r="W1060" s="33"/>
      <c r="X1060" s="33"/>
      <c r="Y1060" s="33"/>
      <c r="Z1060" s="33"/>
      <c r="AA1060" s="33"/>
      <c r="AB1060" s="33"/>
      <c r="AC1060" s="33"/>
      <c r="AD1060" s="33"/>
      <c r="AE1060" s="33"/>
      <c r="AF1060" s="33"/>
    </row>
    <row r="1061" ht="15.75" customHeight="1">
      <c r="A1061" s="100"/>
      <c r="B1061" s="102"/>
      <c r="C1061" s="100"/>
      <c r="D1061" s="100"/>
      <c r="E1061" s="165"/>
      <c r="F1061" s="33"/>
      <c r="G1061" s="33"/>
      <c r="H1061" s="33"/>
      <c r="I1061" s="33"/>
      <c r="J1061" s="33"/>
      <c r="K1061" s="33"/>
      <c r="L1061" s="33"/>
      <c r="M1061" s="33"/>
      <c r="N1061" s="33"/>
      <c r="O1061" s="33"/>
      <c r="P1061" s="33"/>
      <c r="Q1061" s="33"/>
      <c r="R1061" s="33"/>
      <c r="S1061" s="33"/>
      <c r="T1061" s="33"/>
      <c r="U1061" s="33"/>
      <c r="V1061" s="33"/>
      <c r="W1061" s="33"/>
      <c r="X1061" s="33"/>
      <c r="Y1061" s="33"/>
      <c r="Z1061" s="33"/>
      <c r="AA1061" s="33"/>
      <c r="AB1061" s="33"/>
      <c r="AC1061" s="33"/>
      <c r="AD1061" s="33"/>
      <c r="AE1061" s="33"/>
      <c r="AF1061" s="33"/>
    </row>
    <row r="1062" ht="15.75" customHeight="1">
      <c r="A1062" s="100"/>
      <c r="B1062" s="102"/>
      <c r="C1062" s="100"/>
      <c r="D1062" s="100"/>
      <c r="E1062" s="165"/>
      <c r="F1062" s="33"/>
      <c r="G1062" s="33"/>
      <c r="H1062" s="33"/>
      <c r="I1062" s="33"/>
      <c r="J1062" s="33"/>
      <c r="K1062" s="33"/>
      <c r="L1062" s="33"/>
      <c r="M1062" s="33"/>
      <c r="N1062" s="33"/>
      <c r="O1062" s="33"/>
      <c r="P1062" s="33"/>
      <c r="Q1062" s="33"/>
      <c r="R1062" s="33"/>
      <c r="S1062" s="33"/>
      <c r="T1062" s="33"/>
      <c r="U1062" s="33"/>
      <c r="V1062" s="33"/>
      <c r="W1062" s="33"/>
      <c r="X1062" s="33"/>
      <c r="Y1062" s="33"/>
      <c r="Z1062" s="33"/>
      <c r="AA1062" s="33"/>
      <c r="AB1062" s="33"/>
      <c r="AC1062" s="33"/>
      <c r="AD1062" s="33"/>
      <c r="AE1062" s="33"/>
      <c r="AF1062" s="33"/>
    </row>
    <row r="1063" ht="15.75" customHeight="1">
      <c r="A1063" s="100"/>
      <c r="B1063" s="102"/>
      <c r="C1063" s="100"/>
      <c r="D1063" s="100"/>
      <c r="E1063" s="165"/>
      <c r="F1063" s="33"/>
      <c r="G1063" s="33"/>
      <c r="H1063" s="33"/>
      <c r="I1063" s="33"/>
      <c r="J1063" s="33"/>
      <c r="K1063" s="33"/>
      <c r="L1063" s="33"/>
      <c r="M1063" s="33"/>
      <c r="N1063" s="33"/>
      <c r="O1063" s="33"/>
      <c r="P1063" s="33"/>
      <c r="Q1063" s="33"/>
      <c r="R1063" s="33"/>
      <c r="S1063" s="33"/>
      <c r="T1063" s="33"/>
      <c r="U1063" s="33"/>
      <c r="V1063" s="33"/>
      <c r="W1063" s="33"/>
      <c r="X1063" s="33"/>
      <c r="Y1063" s="33"/>
      <c r="Z1063" s="33"/>
      <c r="AA1063" s="33"/>
      <c r="AB1063" s="33"/>
      <c r="AC1063" s="33"/>
      <c r="AD1063" s="33"/>
      <c r="AE1063" s="33"/>
      <c r="AF1063" s="33"/>
    </row>
    <row r="1064" ht="15.75" customHeight="1">
      <c r="A1064" s="100"/>
      <c r="B1064" s="102"/>
      <c r="C1064" s="100"/>
      <c r="D1064" s="100"/>
      <c r="E1064" s="165"/>
      <c r="F1064" s="33"/>
      <c r="G1064" s="33"/>
      <c r="H1064" s="33"/>
      <c r="I1064" s="33"/>
      <c r="J1064" s="33"/>
      <c r="K1064" s="33"/>
      <c r="L1064" s="33"/>
      <c r="M1064" s="33"/>
      <c r="N1064" s="33"/>
      <c r="O1064" s="33"/>
      <c r="P1064" s="33"/>
      <c r="Q1064" s="33"/>
      <c r="R1064" s="33"/>
      <c r="S1064" s="33"/>
      <c r="T1064" s="33"/>
      <c r="U1064" s="33"/>
      <c r="V1064" s="33"/>
      <c r="W1064" s="33"/>
      <c r="X1064" s="33"/>
      <c r="Y1064" s="33"/>
      <c r="Z1064" s="33"/>
      <c r="AA1064" s="33"/>
      <c r="AB1064" s="33"/>
      <c r="AC1064" s="33"/>
      <c r="AD1064" s="33"/>
      <c r="AE1064" s="33"/>
      <c r="AF1064" s="33"/>
    </row>
    <row r="1065" ht="15.75" customHeight="1">
      <c r="A1065" s="100"/>
      <c r="B1065" s="102"/>
      <c r="C1065" s="100"/>
      <c r="D1065" s="100"/>
      <c r="E1065" s="165"/>
      <c r="F1065" s="33"/>
      <c r="G1065" s="33"/>
      <c r="H1065" s="33"/>
      <c r="I1065" s="33"/>
      <c r="J1065" s="33"/>
      <c r="K1065" s="33"/>
      <c r="L1065" s="33"/>
      <c r="M1065" s="33"/>
      <c r="N1065" s="33"/>
      <c r="O1065" s="33"/>
      <c r="P1065" s="33"/>
      <c r="Q1065" s="33"/>
      <c r="R1065" s="33"/>
      <c r="S1065" s="33"/>
      <c r="T1065" s="33"/>
      <c r="U1065" s="33"/>
      <c r="V1065" s="33"/>
      <c r="W1065" s="33"/>
      <c r="X1065" s="33"/>
      <c r="Y1065" s="33"/>
      <c r="Z1065" s="33"/>
      <c r="AA1065" s="33"/>
      <c r="AB1065" s="33"/>
      <c r="AC1065" s="33"/>
      <c r="AD1065" s="33"/>
      <c r="AE1065" s="33"/>
      <c r="AF1065" s="33"/>
    </row>
    <row r="1066" ht="15.75" customHeight="1">
      <c r="A1066" s="100"/>
      <c r="B1066" s="102"/>
      <c r="C1066" s="100"/>
      <c r="D1066" s="100"/>
      <c r="E1066" s="165"/>
      <c r="F1066" s="33"/>
      <c r="G1066" s="33"/>
      <c r="H1066" s="33"/>
      <c r="I1066" s="33"/>
      <c r="J1066" s="33"/>
      <c r="K1066" s="33"/>
      <c r="L1066" s="33"/>
      <c r="M1066" s="33"/>
      <c r="N1066" s="33"/>
      <c r="O1066" s="33"/>
      <c r="P1066" s="33"/>
      <c r="Q1066" s="33"/>
      <c r="R1066" s="33"/>
      <c r="S1066" s="33"/>
      <c r="T1066" s="33"/>
      <c r="U1066" s="33"/>
      <c r="V1066" s="33"/>
      <c r="W1066" s="33"/>
      <c r="X1066" s="33"/>
      <c r="Y1066" s="33"/>
      <c r="Z1066" s="33"/>
      <c r="AA1066" s="33"/>
      <c r="AB1066" s="33"/>
      <c r="AC1066" s="33"/>
      <c r="AD1066" s="33"/>
      <c r="AE1066" s="33"/>
      <c r="AF1066" s="33"/>
    </row>
    <row r="1067" ht="15.75" customHeight="1">
      <c r="A1067" s="100"/>
      <c r="B1067" s="102"/>
      <c r="C1067" s="100"/>
      <c r="D1067" s="100"/>
      <c r="E1067" s="165"/>
      <c r="F1067" s="33"/>
      <c r="G1067" s="33"/>
      <c r="H1067" s="33"/>
      <c r="I1067" s="33"/>
      <c r="J1067" s="33"/>
      <c r="K1067" s="33"/>
      <c r="L1067" s="33"/>
      <c r="M1067" s="33"/>
      <c r="N1067" s="33"/>
      <c r="O1067" s="33"/>
      <c r="P1067" s="33"/>
      <c r="Q1067" s="33"/>
      <c r="R1067" s="33"/>
      <c r="S1067" s="33"/>
      <c r="T1067" s="33"/>
      <c r="U1067" s="33"/>
      <c r="V1067" s="33"/>
      <c r="W1067" s="33"/>
      <c r="X1067" s="33"/>
      <c r="Y1067" s="33"/>
      <c r="Z1067" s="33"/>
      <c r="AA1067" s="33"/>
      <c r="AB1067" s="33"/>
      <c r="AC1067" s="33"/>
      <c r="AD1067" s="33"/>
      <c r="AE1067" s="33"/>
      <c r="AF1067" s="33"/>
    </row>
    <row r="1068" ht="15.75" customHeight="1">
      <c r="A1068" s="100"/>
      <c r="B1068" s="102"/>
      <c r="C1068" s="100"/>
      <c r="D1068" s="100"/>
      <c r="E1068" s="165"/>
      <c r="F1068" s="33"/>
      <c r="G1068" s="33"/>
      <c r="H1068" s="33"/>
      <c r="I1068" s="33"/>
      <c r="J1068" s="33"/>
      <c r="K1068" s="33"/>
      <c r="L1068" s="33"/>
      <c r="M1068" s="33"/>
      <c r="N1068" s="33"/>
      <c r="O1068" s="33"/>
      <c r="P1068" s="33"/>
      <c r="Q1068" s="33"/>
      <c r="R1068" s="33"/>
      <c r="S1068" s="33"/>
      <c r="T1068" s="33"/>
      <c r="U1068" s="33"/>
      <c r="V1068" s="33"/>
      <c r="W1068" s="33"/>
      <c r="X1068" s="33"/>
      <c r="Y1068" s="33"/>
      <c r="Z1068" s="33"/>
      <c r="AA1068" s="33"/>
      <c r="AB1068" s="33"/>
      <c r="AC1068" s="33"/>
      <c r="AD1068" s="33"/>
      <c r="AE1068" s="33"/>
      <c r="AF1068" s="33"/>
    </row>
    <row r="1069" ht="15.75" customHeight="1">
      <c r="A1069" s="100"/>
      <c r="B1069" s="102"/>
      <c r="C1069" s="100"/>
      <c r="D1069" s="100"/>
      <c r="E1069" s="165"/>
      <c r="F1069" s="33"/>
      <c r="G1069" s="33"/>
      <c r="H1069" s="33"/>
      <c r="I1069" s="33"/>
      <c r="J1069" s="33"/>
      <c r="K1069" s="33"/>
      <c r="L1069" s="33"/>
      <c r="M1069" s="33"/>
      <c r="N1069" s="33"/>
      <c r="O1069" s="33"/>
      <c r="P1069" s="33"/>
      <c r="Q1069" s="33"/>
      <c r="R1069" s="33"/>
      <c r="S1069" s="33"/>
      <c r="T1069" s="33"/>
      <c r="U1069" s="33"/>
      <c r="V1069" s="33"/>
      <c r="W1069" s="33"/>
      <c r="X1069" s="33"/>
      <c r="Y1069" s="33"/>
      <c r="Z1069" s="33"/>
      <c r="AA1069" s="33"/>
      <c r="AB1069" s="33"/>
      <c r="AC1069" s="33"/>
      <c r="AD1069" s="33"/>
      <c r="AE1069" s="33"/>
      <c r="AF1069" s="33"/>
    </row>
    <row r="1070" ht="15.75" customHeight="1">
      <c r="A1070" s="100"/>
      <c r="B1070" s="102"/>
      <c r="C1070" s="100"/>
      <c r="D1070" s="100"/>
      <c r="E1070" s="165"/>
      <c r="F1070" s="33"/>
      <c r="G1070" s="33"/>
      <c r="H1070" s="33"/>
      <c r="I1070" s="33"/>
      <c r="J1070" s="33"/>
      <c r="K1070" s="33"/>
      <c r="L1070" s="33"/>
      <c r="M1070" s="33"/>
      <c r="N1070" s="33"/>
      <c r="O1070" s="33"/>
      <c r="P1070" s="33"/>
      <c r="Q1070" s="33"/>
      <c r="R1070" s="33"/>
      <c r="S1070" s="33"/>
      <c r="T1070" s="33"/>
      <c r="U1070" s="33"/>
      <c r="V1070" s="33"/>
      <c r="W1070" s="33"/>
      <c r="X1070" s="33"/>
      <c r="Y1070" s="33"/>
      <c r="Z1070" s="33"/>
      <c r="AA1070" s="33"/>
      <c r="AB1070" s="33"/>
      <c r="AC1070" s="33"/>
      <c r="AD1070" s="33"/>
      <c r="AE1070" s="33"/>
      <c r="AF1070" s="33"/>
    </row>
    <row r="1071" ht="15.75" customHeight="1">
      <c r="A1071" s="100"/>
      <c r="B1071" s="102"/>
      <c r="C1071" s="100"/>
      <c r="D1071" s="100"/>
      <c r="E1071" s="165"/>
      <c r="F1071" s="33"/>
      <c r="G1071" s="33"/>
      <c r="H1071" s="33"/>
      <c r="I1071" s="33"/>
      <c r="J1071" s="33"/>
      <c r="K1071" s="33"/>
      <c r="L1071" s="33"/>
      <c r="M1071" s="33"/>
      <c r="N1071" s="33"/>
      <c r="O1071" s="33"/>
      <c r="P1071" s="33"/>
      <c r="Q1071" s="33"/>
      <c r="R1071" s="33"/>
      <c r="S1071" s="33"/>
      <c r="T1071" s="33"/>
      <c r="U1071" s="33"/>
      <c r="V1071" s="33"/>
      <c r="W1071" s="33"/>
      <c r="X1071" s="33"/>
      <c r="Y1071" s="33"/>
      <c r="Z1071" s="33"/>
      <c r="AA1071" s="33"/>
      <c r="AB1071" s="33"/>
      <c r="AC1071" s="33"/>
      <c r="AD1071" s="33"/>
      <c r="AE1071" s="33"/>
      <c r="AF1071" s="33"/>
    </row>
    <row r="1072" ht="15.75" customHeight="1">
      <c r="A1072" s="100"/>
      <c r="B1072" s="102"/>
      <c r="C1072" s="100"/>
      <c r="D1072" s="100"/>
      <c r="E1072" s="165"/>
      <c r="F1072" s="33"/>
      <c r="G1072" s="33"/>
      <c r="H1072" s="33"/>
      <c r="I1072" s="33"/>
      <c r="J1072" s="33"/>
      <c r="K1072" s="33"/>
      <c r="L1072" s="33"/>
      <c r="M1072" s="33"/>
      <c r="N1072" s="33"/>
      <c r="O1072" s="33"/>
      <c r="P1072" s="33"/>
      <c r="Q1072" s="33"/>
      <c r="R1072" s="33"/>
      <c r="S1072" s="33"/>
      <c r="T1072" s="33"/>
      <c r="U1072" s="33"/>
      <c r="V1072" s="33"/>
      <c r="W1072" s="33"/>
      <c r="X1072" s="33"/>
      <c r="Y1072" s="33"/>
      <c r="Z1072" s="33"/>
      <c r="AA1072" s="33"/>
      <c r="AB1072" s="33"/>
      <c r="AC1072" s="33"/>
      <c r="AD1072" s="33"/>
      <c r="AE1072" s="33"/>
      <c r="AF1072" s="33"/>
    </row>
    <row r="1073" ht="15.75" customHeight="1">
      <c r="A1073" s="100"/>
      <c r="B1073" s="102"/>
      <c r="C1073" s="100"/>
      <c r="D1073" s="100"/>
      <c r="E1073" s="165"/>
      <c r="F1073" s="33"/>
      <c r="G1073" s="33"/>
      <c r="H1073" s="33"/>
      <c r="I1073" s="33"/>
      <c r="J1073" s="33"/>
      <c r="K1073" s="33"/>
      <c r="L1073" s="33"/>
      <c r="M1073" s="33"/>
      <c r="N1073" s="33"/>
      <c r="O1073" s="33"/>
      <c r="P1073" s="33"/>
      <c r="Q1073" s="33"/>
      <c r="R1073" s="33"/>
      <c r="S1073" s="33"/>
      <c r="T1073" s="33"/>
      <c r="U1073" s="33"/>
      <c r="V1073" s="33"/>
      <c r="W1073" s="33"/>
      <c r="X1073" s="33"/>
      <c r="Y1073" s="33"/>
      <c r="Z1073" s="33"/>
      <c r="AA1073" s="33"/>
      <c r="AB1073" s="33"/>
      <c r="AC1073" s="33"/>
      <c r="AD1073" s="33"/>
      <c r="AE1073" s="33"/>
      <c r="AF1073" s="33"/>
    </row>
    <row r="1074" ht="15.75" customHeight="1">
      <c r="A1074" s="100"/>
      <c r="B1074" s="102"/>
      <c r="C1074" s="100"/>
      <c r="D1074" s="100"/>
      <c r="E1074" s="165"/>
      <c r="F1074" s="33"/>
      <c r="G1074" s="33"/>
      <c r="H1074" s="33"/>
      <c r="I1074" s="33"/>
      <c r="J1074" s="33"/>
      <c r="K1074" s="33"/>
      <c r="L1074" s="33"/>
      <c r="M1074" s="33"/>
      <c r="N1074" s="33"/>
      <c r="O1074" s="33"/>
      <c r="P1074" s="33"/>
      <c r="Q1074" s="33"/>
      <c r="R1074" s="33"/>
      <c r="S1074" s="33"/>
      <c r="T1074" s="33"/>
      <c r="U1074" s="33"/>
      <c r="V1074" s="33"/>
      <c r="W1074" s="33"/>
      <c r="X1074" s="33"/>
      <c r="Y1074" s="33"/>
      <c r="Z1074" s="33"/>
      <c r="AA1074" s="33"/>
      <c r="AB1074" s="33"/>
      <c r="AC1074" s="33"/>
      <c r="AD1074" s="33"/>
      <c r="AE1074" s="33"/>
      <c r="AF1074" s="33"/>
    </row>
    <row r="1075" ht="15.75" customHeight="1">
      <c r="A1075" s="100"/>
      <c r="B1075" s="102"/>
      <c r="C1075" s="100"/>
      <c r="D1075" s="100"/>
      <c r="E1075" s="165"/>
      <c r="F1075" s="33"/>
      <c r="G1075" s="33"/>
      <c r="H1075" s="33"/>
      <c r="I1075" s="33"/>
      <c r="J1075" s="33"/>
      <c r="K1075" s="33"/>
      <c r="L1075" s="33"/>
      <c r="M1075" s="33"/>
      <c r="N1075" s="33"/>
      <c r="O1075" s="33"/>
      <c r="P1075" s="33"/>
      <c r="Q1075" s="33"/>
      <c r="R1075" s="33"/>
      <c r="S1075" s="33"/>
      <c r="T1075" s="33"/>
      <c r="U1075" s="33"/>
      <c r="V1075" s="33"/>
      <c r="W1075" s="33"/>
      <c r="X1075" s="33"/>
      <c r="Y1075" s="33"/>
      <c r="Z1075" s="33"/>
      <c r="AA1075" s="33"/>
      <c r="AB1075" s="33"/>
      <c r="AC1075" s="33"/>
      <c r="AD1075" s="33"/>
      <c r="AE1075" s="33"/>
      <c r="AF1075" s="33"/>
    </row>
    <row r="1076" ht="15.75" customHeight="1">
      <c r="A1076" s="100"/>
      <c r="B1076" s="102"/>
      <c r="C1076" s="100"/>
      <c r="D1076" s="100"/>
      <c r="E1076" s="165"/>
      <c r="F1076" s="33"/>
      <c r="G1076" s="33"/>
      <c r="H1076" s="33"/>
      <c r="I1076" s="33"/>
      <c r="J1076" s="33"/>
      <c r="K1076" s="33"/>
      <c r="L1076" s="33"/>
      <c r="M1076" s="33"/>
      <c r="N1076" s="33"/>
      <c r="O1076" s="33"/>
      <c r="P1076" s="33"/>
      <c r="Q1076" s="33"/>
      <c r="R1076" s="33"/>
      <c r="S1076" s="33"/>
      <c r="T1076" s="33"/>
      <c r="U1076" s="33"/>
      <c r="V1076" s="33"/>
      <c r="W1076" s="33"/>
      <c r="X1076" s="33"/>
      <c r="Y1076" s="33"/>
      <c r="Z1076" s="33"/>
      <c r="AA1076" s="33"/>
      <c r="AB1076" s="33"/>
      <c r="AC1076" s="33"/>
      <c r="AD1076" s="33"/>
      <c r="AE1076" s="33"/>
      <c r="AF1076" s="33"/>
    </row>
    <row r="1077" ht="15.75" customHeight="1">
      <c r="A1077" s="100"/>
      <c r="B1077" s="102"/>
      <c r="C1077" s="100"/>
      <c r="D1077" s="100"/>
      <c r="E1077" s="165"/>
      <c r="F1077" s="33"/>
      <c r="G1077" s="33"/>
      <c r="H1077" s="33"/>
      <c r="I1077" s="33"/>
      <c r="J1077" s="33"/>
      <c r="K1077" s="33"/>
      <c r="L1077" s="33"/>
      <c r="M1077" s="33"/>
      <c r="N1077" s="33"/>
      <c r="O1077" s="33"/>
      <c r="P1077" s="33"/>
      <c r="Q1077" s="33"/>
      <c r="R1077" s="33"/>
      <c r="S1077" s="33"/>
      <c r="T1077" s="33"/>
      <c r="U1077" s="33"/>
      <c r="V1077" s="33"/>
      <c r="W1077" s="33"/>
      <c r="X1077" s="33"/>
      <c r="Y1077" s="33"/>
      <c r="Z1077" s="33"/>
      <c r="AA1077" s="33"/>
      <c r="AB1077" s="33"/>
      <c r="AC1077" s="33"/>
      <c r="AD1077" s="33"/>
      <c r="AE1077" s="33"/>
      <c r="AF1077" s="33"/>
    </row>
    <row r="1078" ht="15.75" customHeight="1">
      <c r="A1078" s="100"/>
      <c r="B1078" s="102"/>
      <c r="C1078" s="100"/>
      <c r="D1078" s="100"/>
      <c r="E1078" s="165"/>
      <c r="F1078" s="33"/>
      <c r="G1078" s="33"/>
      <c r="H1078" s="33"/>
      <c r="I1078" s="33"/>
      <c r="J1078" s="33"/>
      <c r="K1078" s="33"/>
      <c r="L1078" s="33"/>
      <c r="M1078" s="33"/>
      <c r="N1078" s="33"/>
      <c r="O1078" s="33"/>
      <c r="P1078" s="33"/>
      <c r="Q1078" s="33"/>
      <c r="R1078" s="33"/>
      <c r="S1078" s="33"/>
      <c r="T1078" s="33"/>
      <c r="U1078" s="33"/>
      <c r="V1078" s="33"/>
      <c r="W1078" s="33"/>
      <c r="X1078" s="33"/>
      <c r="Y1078" s="33"/>
      <c r="Z1078" s="33"/>
      <c r="AA1078" s="33"/>
      <c r="AB1078" s="33"/>
      <c r="AC1078" s="33"/>
      <c r="AD1078" s="33"/>
      <c r="AE1078" s="33"/>
      <c r="AF1078" s="33"/>
    </row>
  </sheetData>
  <conditionalFormatting sqref="C656">
    <cfRule type="expression" dxfId="0" priority="1" stopIfTrue="1">
      <formula>$A656="begin group"</formula>
    </cfRule>
  </conditionalFormatting>
  <conditionalFormatting sqref="C656">
    <cfRule type="expression" dxfId="1" priority="2" stopIfTrue="1">
      <formula>$A656="begin repeat"</formula>
    </cfRule>
  </conditionalFormatting>
  <conditionalFormatting sqref="C656">
    <cfRule type="expression" dxfId="31" priority="3" stopIfTrue="1">
      <formula>$A656="enumerator"</formula>
    </cfRule>
  </conditionalFormatting>
  <conditionalFormatting sqref="C656">
    <cfRule type="expression" dxfId="2" priority="4" stopIfTrue="1">
      <formula>$A656="text"</formula>
    </cfRule>
  </conditionalFormatting>
  <conditionalFormatting sqref="C656">
    <cfRule type="expression" dxfId="3" priority="5" stopIfTrue="1">
      <formula>$A656="integer"</formula>
    </cfRule>
  </conditionalFormatting>
  <conditionalFormatting sqref="C656">
    <cfRule type="expression" dxfId="4" priority="6" stopIfTrue="1">
      <formula>$A656="decimal"</formula>
    </cfRule>
  </conditionalFormatting>
  <conditionalFormatting sqref="C656">
    <cfRule type="expression" dxfId="5" priority="7" stopIfTrue="1">
      <formula>OR(AND(LEFT($A656, 16)="select_multiple ", LEN($A656)&gt;16, NOT(ISNUMBER(SEARCH(" ", $A656, 17)))), AND(LEFT($A656, 11)="select_one ", LEN($A656)&gt;11, NOT(ISNUMBER(SEARCH(" ", $A656, 12)))))</formula>
    </cfRule>
  </conditionalFormatting>
  <conditionalFormatting sqref="C656">
    <cfRule type="expression" dxfId="32" priority="8" stopIfTrue="1">
      <formula>$A656="file"</formula>
    </cfRule>
  </conditionalFormatting>
  <conditionalFormatting sqref="C656">
    <cfRule type="expression" dxfId="7" priority="9" stopIfTrue="1">
      <formula>$A656="note"</formula>
    </cfRule>
  </conditionalFormatting>
  <conditionalFormatting sqref="C656">
    <cfRule type="expression" dxfId="8" priority="10" stopIfTrue="1">
      <formula>$A656="barcode"</formula>
    </cfRule>
  </conditionalFormatting>
  <conditionalFormatting sqref="C656">
    <cfRule type="expression" dxfId="9" priority="11" stopIfTrue="1">
      <formula>OR($A656="geopoint", $A656="geoshape", $A656="geotrace")</formula>
    </cfRule>
  </conditionalFormatting>
  <conditionalFormatting sqref="C656">
    <cfRule type="expression" dxfId="11" priority="12" stopIfTrue="1">
      <formula>OR($A656="date", $A656="datetime", $A656="time")</formula>
    </cfRule>
  </conditionalFormatting>
  <conditionalFormatting sqref="C656">
    <cfRule type="expression" dxfId="12" priority="13" stopIfTrue="1">
      <formula>$A656="image"</formula>
    </cfRule>
  </conditionalFormatting>
  <conditionalFormatting sqref="C656">
    <cfRule type="expression" dxfId="13" priority="14" stopIfTrue="1">
      <formula>OR($A656="audio", $A656="video")</formula>
    </cfRule>
  </conditionalFormatting>
  <conditionalFormatting sqref="C656">
    <cfRule type="expression" dxfId="33" priority="15" stopIfTrue="1">
      <formula>$A656="file"</formula>
    </cfRule>
  </conditionalFormatting>
  <conditionalFormatting sqref="C656">
    <cfRule type="expression" dxfId="34" priority="16" stopIfTrue="1">
      <formula>$A656="enumerator"</formula>
    </cfRule>
  </conditionalFormatting>
  <conditionalFormatting sqref="C656">
    <cfRule type="expression" dxfId="35" priority="17" stopIfTrue="1">
      <formula>OR(AND(LEFT($A656, 14)="sensor_stream ", LEN($A656)&gt;14, NOT(ISNUMBER(SEARCH(" ", $A656, 15)))), AND(LEFT($A656, 17)="sensor_statistic ", LEN($A656)&gt;17, NOT(ISNUMBER(SEARCH(" ", $A656, 18)))))</formula>
    </cfRule>
  </conditionalFormatting>
  <conditionalFormatting sqref="C656">
    <cfRule type="expression" dxfId="14" priority="18" stopIfTrue="1">
      <formula>$A656="comments"</formula>
    </cfRule>
  </conditionalFormatting>
  <conditionalFormatting sqref="C656">
    <cfRule type="expression" dxfId="15" priority="19" stopIfTrue="1">
      <formula>OR($A656="audio", $A656="video")</formula>
    </cfRule>
  </conditionalFormatting>
  <conditionalFormatting sqref="C656">
    <cfRule type="expression" dxfId="16" priority="20" stopIfTrue="1">
      <formula>$A656="image"</formula>
    </cfRule>
  </conditionalFormatting>
  <conditionalFormatting sqref="C656">
    <cfRule type="expression" dxfId="17" priority="21" stopIfTrue="1">
      <formula>OR($A656="date", $A656="datetime", $A656="time")</formula>
    </cfRule>
  </conditionalFormatting>
  <conditionalFormatting sqref="C656">
    <cfRule type="expression" dxfId="18" priority="22" stopIfTrue="1">
      <formula>OR($A656="calculate", $A656="calculate_here")</formula>
    </cfRule>
  </conditionalFormatting>
  <conditionalFormatting sqref="C656">
    <cfRule type="expression" dxfId="19" priority="23" stopIfTrue="1">
      <formula>$A656="note"</formula>
    </cfRule>
  </conditionalFormatting>
  <conditionalFormatting sqref="C656">
    <cfRule type="expression" dxfId="20" priority="24" stopIfTrue="1">
      <formula>$A656="barcode"</formula>
    </cfRule>
  </conditionalFormatting>
  <conditionalFormatting sqref="C656">
    <cfRule type="expression" dxfId="21" priority="25" stopIfTrue="1">
      <formula>OR($A656="geopoint", $A656="geoshape", $A656="geotrace")</formula>
    </cfRule>
  </conditionalFormatting>
  <conditionalFormatting sqref="C656">
    <cfRule type="expression" dxfId="22" priority="26" stopIfTrue="1">
      <formula>OR($A656="audio audit", $A656="text audit", $A656="speed violations count", $A656="speed violations list", $A656="speed violations audit")</formula>
    </cfRule>
  </conditionalFormatting>
  <conditionalFormatting sqref="C656">
    <cfRule type="expression" dxfId="23" priority="27" stopIfTrue="1">
      <formula>OR($A656="username", $A656="phonenumber", $A656="start", $A656="end", $A656="deviceid", $A656="subscriberid", $A656="simserial", $A656="caseid")</formula>
    </cfRule>
  </conditionalFormatting>
  <conditionalFormatting sqref="C656">
    <cfRule type="expression" dxfId="24" priority="28" stopIfTrue="1">
      <formula>OR(AND(LEFT($A656, 16)="select_multiple ", LEN($A656)&gt;16, NOT(ISNUMBER(SEARCH(" ", $A656, 17)))), AND(LEFT($A656, 11)="select_one ", LEN($A656)&gt;11, NOT(ISNUMBER(SEARCH(" ", $A656, 12)))))</formula>
    </cfRule>
  </conditionalFormatting>
  <conditionalFormatting sqref="C656">
    <cfRule type="expression" dxfId="25" priority="29" stopIfTrue="1">
      <formula>$A656="decimal"</formula>
    </cfRule>
  </conditionalFormatting>
  <conditionalFormatting sqref="C656">
    <cfRule type="expression" dxfId="26" priority="30" stopIfTrue="1">
      <formula>$A656="integer"</formula>
    </cfRule>
  </conditionalFormatting>
  <conditionalFormatting sqref="C656">
    <cfRule type="expression" dxfId="27" priority="31" stopIfTrue="1">
      <formula>$A656="text"</formula>
    </cfRule>
  </conditionalFormatting>
  <conditionalFormatting sqref="C656">
    <cfRule type="expression" dxfId="28" priority="32" stopIfTrue="1">
      <formula>$A656="end repeat"</formula>
    </cfRule>
  </conditionalFormatting>
  <conditionalFormatting sqref="C656">
    <cfRule type="expression" dxfId="28" priority="33" stopIfTrue="1">
      <formula>$A656="begin repeat"</formula>
    </cfRule>
  </conditionalFormatting>
  <conditionalFormatting sqref="C656">
    <cfRule type="expression" dxfId="29" priority="34" stopIfTrue="1">
      <formula>$A656="end group"</formula>
    </cfRule>
  </conditionalFormatting>
  <conditionalFormatting sqref="C656">
    <cfRule type="expression" dxfId="29" priority="35" stopIfTrue="1">
      <formula>$A656="begin group"</formula>
    </cfRule>
  </conditionalFormatting>
  <conditionalFormatting sqref="A443:AF443">
    <cfRule type="expression" dxfId="36" priority="36">
      <formula>NOT($A2=$A1)</formula>
    </cfRule>
  </conditionalFormatting>
  <printOptions/>
  <pageMargins bottom="0.9840277777777777" footer="0.0" header="0.0" left="0.7479166666666667" right="0.7479166666666667" top="0.9840277777777777"/>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4.0"/>
    <col customWidth="1" min="2" max="3" width="13.33"/>
    <col customWidth="1" min="4" max="4" width="27.0"/>
    <col customWidth="1" min="5" max="5" width="33.0"/>
    <col customWidth="1" min="6" max="6" width="15.67"/>
    <col customWidth="1" min="7" max="26" width="8.78"/>
  </cols>
  <sheetData>
    <row r="1" ht="18.0" customHeight="1">
      <c r="A1" s="2" t="s">
        <v>1</v>
      </c>
      <c r="B1" s="5" t="s">
        <v>4</v>
      </c>
      <c r="C1" s="8" t="s">
        <v>7</v>
      </c>
      <c r="D1" s="5" t="s">
        <v>9</v>
      </c>
      <c r="E1" s="5" t="s">
        <v>11</v>
      </c>
      <c r="F1" s="12" t="s">
        <v>13</v>
      </c>
      <c r="G1" s="14"/>
      <c r="H1" s="14"/>
      <c r="I1" s="14"/>
      <c r="J1" s="14"/>
      <c r="K1" s="14"/>
      <c r="L1" s="14"/>
      <c r="M1" s="14"/>
      <c r="N1" s="14"/>
      <c r="O1" s="14"/>
      <c r="P1" s="14"/>
      <c r="Q1" s="14"/>
      <c r="R1" s="14"/>
      <c r="S1" s="14"/>
      <c r="T1" s="14"/>
      <c r="U1" s="14"/>
      <c r="V1" s="14"/>
      <c r="W1" s="14"/>
      <c r="X1" s="14"/>
      <c r="Y1" s="14"/>
      <c r="Z1" s="14"/>
    </row>
    <row r="2" ht="15.75" customHeight="1">
      <c r="A2" s="18" t="s">
        <v>35</v>
      </c>
      <c r="B2" s="20" t="s">
        <v>39</v>
      </c>
      <c r="C2" s="27" t="str">
        <f>TEXT(YEAR(NOW())-2000, "00") &amp; TEXT(MONTH(NOW()), "00") &amp; TEXT(DAY(NOW()), "00") &amp; TEXT(HOUR(NOW()), "00") &amp; TEXT(MINUTE(NOW()), "00")</f>
        <v>2608031048</v>
      </c>
      <c r="D2" s="30" t="s">
        <v>50</v>
      </c>
      <c r="E2" s="30" t="s">
        <v>50</v>
      </c>
      <c r="F2" s="27" t="s">
        <v>52</v>
      </c>
      <c r="G2" s="32"/>
      <c r="H2" s="32"/>
      <c r="I2" s="32"/>
      <c r="J2" s="32"/>
      <c r="K2" s="32"/>
      <c r="L2" s="32"/>
      <c r="M2" s="32"/>
      <c r="N2" s="32"/>
      <c r="O2" s="32"/>
      <c r="P2" s="32"/>
      <c r="Q2" s="32"/>
      <c r="R2" s="32"/>
      <c r="S2" s="32"/>
      <c r="T2" s="32"/>
      <c r="U2" s="32"/>
      <c r="V2" s="32"/>
      <c r="W2" s="32"/>
      <c r="X2" s="32"/>
      <c r="Y2" s="32"/>
      <c r="Z2" s="32"/>
    </row>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30" width="36.0"/>
    <col customWidth="1" min="31" max="31" width="10.56"/>
  </cols>
  <sheetData>
    <row r="1" ht="16.5" customHeight="1">
      <c r="A1" s="3" t="s">
        <v>2</v>
      </c>
      <c r="B1" s="6"/>
      <c r="C1" s="9"/>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row>
    <row r="2" ht="15.75" customHeight="1">
      <c r="A2" s="21"/>
      <c r="B2" s="22"/>
      <c r="C2" s="9"/>
      <c r="D2" s="11"/>
      <c r="E2" s="11"/>
      <c r="F2" s="11"/>
      <c r="G2" s="11"/>
      <c r="H2" s="11"/>
      <c r="I2" s="11"/>
      <c r="J2" s="11"/>
      <c r="K2" s="11"/>
      <c r="L2" s="11"/>
      <c r="M2" s="11"/>
      <c r="N2" s="11"/>
      <c r="O2" s="11"/>
      <c r="P2" s="11"/>
      <c r="Q2" s="11"/>
      <c r="R2" s="11"/>
      <c r="S2" s="11"/>
      <c r="T2" s="11"/>
      <c r="U2" s="11"/>
      <c r="V2" s="11"/>
      <c r="W2" s="11"/>
      <c r="X2" s="11"/>
      <c r="Y2" s="11"/>
      <c r="Z2" s="11"/>
      <c r="AA2" s="11"/>
      <c r="AB2" s="11"/>
      <c r="AC2" s="11"/>
      <c r="AD2" s="11"/>
      <c r="AE2" s="11"/>
    </row>
    <row r="3" ht="57.75" customHeight="1">
      <c r="A3" s="26" t="s">
        <v>47</v>
      </c>
      <c r="B3" s="22"/>
      <c r="C3" s="9"/>
      <c r="D3" s="11"/>
      <c r="E3" s="11"/>
      <c r="F3" s="11"/>
      <c r="G3" s="11"/>
      <c r="H3" s="11"/>
      <c r="I3" s="11"/>
      <c r="J3" s="11"/>
      <c r="K3" s="11"/>
      <c r="L3" s="11"/>
      <c r="M3" s="11"/>
      <c r="N3" s="11"/>
      <c r="O3" s="11"/>
      <c r="P3" s="11"/>
      <c r="Q3" s="11"/>
      <c r="R3" s="11"/>
      <c r="S3" s="11"/>
      <c r="T3" s="11"/>
      <c r="U3" s="11"/>
      <c r="V3" s="11"/>
      <c r="W3" s="11"/>
      <c r="X3" s="11"/>
      <c r="Y3" s="11"/>
      <c r="Z3" s="11"/>
      <c r="AA3" s="11"/>
      <c r="AB3" s="11"/>
      <c r="AC3" s="11"/>
      <c r="AD3" s="11"/>
      <c r="AE3" s="11"/>
    </row>
    <row r="4" ht="15.75" customHeight="1">
      <c r="A4" s="38" t="s">
        <v>60</v>
      </c>
      <c r="B4" s="39"/>
      <c r="C4" s="9"/>
      <c r="D4" s="11"/>
      <c r="E4" s="11"/>
      <c r="F4" s="11"/>
      <c r="G4" s="11"/>
      <c r="H4" s="11"/>
      <c r="I4" s="11"/>
      <c r="J4" s="11"/>
      <c r="K4" s="11"/>
      <c r="L4" s="11"/>
      <c r="M4" s="11"/>
      <c r="N4" s="11"/>
      <c r="O4" s="11"/>
      <c r="P4" s="11"/>
      <c r="Q4" s="11"/>
      <c r="R4" s="11"/>
      <c r="S4" s="11"/>
      <c r="T4" s="11"/>
      <c r="U4" s="11"/>
      <c r="V4" s="11"/>
      <c r="W4" s="11"/>
      <c r="X4" s="11"/>
      <c r="Y4" s="11"/>
      <c r="Z4" s="11"/>
      <c r="AA4" s="11"/>
      <c r="AB4" s="11"/>
      <c r="AC4" s="11"/>
      <c r="AD4" s="11"/>
      <c r="AE4" s="11"/>
    </row>
    <row r="5" ht="15.75" customHeight="1">
      <c r="A5" s="11"/>
      <c r="B5" s="11"/>
      <c r="C5" s="9"/>
      <c r="D5" s="11"/>
      <c r="E5" s="11"/>
      <c r="F5" s="11"/>
      <c r="G5" s="11"/>
      <c r="H5" s="11"/>
      <c r="I5" s="11"/>
      <c r="J5" s="11"/>
      <c r="K5" s="11"/>
      <c r="L5" s="11"/>
      <c r="M5" s="11"/>
      <c r="N5" s="11"/>
      <c r="O5" s="11"/>
      <c r="P5" s="11"/>
      <c r="Q5" s="11"/>
      <c r="R5" s="11"/>
      <c r="S5" s="11"/>
      <c r="T5" s="11"/>
      <c r="U5" s="11"/>
      <c r="V5" s="11"/>
      <c r="W5" s="11"/>
      <c r="X5" s="11"/>
      <c r="Y5" s="11"/>
      <c r="Z5" s="11"/>
      <c r="AA5" s="11"/>
      <c r="AB5" s="11"/>
      <c r="AC5" s="11"/>
      <c r="AD5" s="11"/>
      <c r="AE5" s="11"/>
    </row>
    <row r="6" ht="18.0" customHeight="1">
      <c r="A6" s="46" t="s">
        <v>5</v>
      </c>
      <c r="B6" s="46" t="s">
        <v>6</v>
      </c>
      <c r="C6" s="47" t="s">
        <v>8</v>
      </c>
      <c r="D6" s="47" t="s">
        <v>67</v>
      </c>
      <c r="E6" s="46" t="s">
        <v>14</v>
      </c>
      <c r="F6" s="46" t="s">
        <v>68</v>
      </c>
      <c r="G6" s="46" t="s">
        <v>17</v>
      </c>
      <c r="H6" s="48" t="s">
        <v>18</v>
      </c>
      <c r="I6" s="46" t="s">
        <v>19</v>
      </c>
      <c r="J6" s="47" t="s">
        <v>20</v>
      </c>
      <c r="K6" s="47" t="s">
        <v>70</v>
      </c>
      <c r="L6" s="46" t="s">
        <v>24</v>
      </c>
      <c r="M6" s="46" t="s">
        <v>25</v>
      </c>
      <c r="N6" s="46" t="s">
        <v>27</v>
      </c>
      <c r="O6" s="46" t="s">
        <v>28</v>
      </c>
      <c r="P6" s="46" t="s">
        <v>73</v>
      </c>
      <c r="Q6" s="46" t="s">
        <v>30</v>
      </c>
      <c r="R6" s="46" t="s">
        <v>31</v>
      </c>
      <c r="S6" s="46" t="s">
        <v>32</v>
      </c>
      <c r="T6" s="46" t="s">
        <v>34</v>
      </c>
      <c r="U6" s="46" t="s">
        <v>36</v>
      </c>
      <c r="V6" s="46" t="s">
        <v>38</v>
      </c>
      <c r="W6" s="46" t="s">
        <v>75</v>
      </c>
      <c r="X6" s="46" t="s">
        <v>76</v>
      </c>
      <c r="Y6" s="46" t="s">
        <v>77</v>
      </c>
      <c r="Z6" s="46" t="s">
        <v>40</v>
      </c>
      <c r="AA6" s="46" t="s">
        <v>41</v>
      </c>
      <c r="AB6" s="46" t="s">
        <v>42</v>
      </c>
      <c r="AC6" s="46" t="s">
        <v>43</v>
      </c>
      <c r="AD6" s="46" t="s">
        <v>44</v>
      </c>
      <c r="AE6" s="53"/>
    </row>
    <row r="7" ht="15.75" customHeight="1">
      <c r="A7" s="54" t="s">
        <v>79</v>
      </c>
      <c r="B7" s="54" t="s">
        <v>81</v>
      </c>
      <c r="C7" s="54" t="s">
        <v>82</v>
      </c>
      <c r="D7" s="54" t="s">
        <v>83</v>
      </c>
      <c r="E7" s="54" t="s">
        <v>88</v>
      </c>
      <c r="F7" s="54" t="s">
        <v>89</v>
      </c>
      <c r="G7" s="57" t="s">
        <v>90</v>
      </c>
      <c r="H7" s="54" t="s">
        <v>91</v>
      </c>
      <c r="I7" s="54" t="s">
        <v>92</v>
      </c>
      <c r="J7" s="54" t="s">
        <v>93</v>
      </c>
      <c r="K7" s="54" t="s">
        <v>94</v>
      </c>
      <c r="L7" s="54" t="s">
        <v>95</v>
      </c>
      <c r="M7" s="54" t="s">
        <v>96</v>
      </c>
      <c r="N7" s="54" t="s">
        <v>97</v>
      </c>
      <c r="O7" s="54" t="s">
        <v>99</v>
      </c>
      <c r="P7" s="54" t="s">
        <v>101</v>
      </c>
      <c r="Q7" s="54" t="s">
        <v>103</v>
      </c>
      <c r="R7" s="54" t="s">
        <v>104</v>
      </c>
      <c r="S7" s="54" t="s">
        <v>106</v>
      </c>
      <c r="T7" s="54" t="s">
        <v>107</v>
      </c>
      <c r="U7" s="54" t="s">
        <v>108</v>
      </c>
      <c r="V7" s="54" t="s">
        <v>109</v>
      </c>
      <c r="W7" s="54" t="s">
        <v>110</v>
      </c>
      <c r="X7" s="54" t="s">
        <v>111</v>
      </c>
      <c r="Y7" s="54" t="s">
        <v>112</v>
      </c>
      <c r="Z7" s="59" t="s">
        <v>113</v>
      </c>
      <c r="AA7" s="54" t="s">
        <v>114</v>
      </c>
      <c r="AB7" s="54" t="s">
        <v>116</v>
      </c>
      <c r="AC7" s="54" t="s">
        <v>119</v>
      </c>
      <c r="AD7" s="54" t="s">
        <v>120</v>
      </c>
      <c r="AE7" s="60"/>
    </row>
    <row r="8" ht="15.75" customHeight="1">
      <c r="A8" s="61"/>
      <c r="B8" s="61"/>
      <c r="C8" s="61"/>
      <c r="D8" s="62" t="s">
        <v>125</v>
      </c>
      <c r="E8" s="61"/>
      <c r="F8" s="62" t="s">
        <v>125</v>
      </c>
      <c r="G8" s="64" t="s">
        <v>126</v>
      </c>
      <c r="H8" s="61"/>
      <c r="I8" s="64" t="s">
        <v>130</v>
      </c>
      <c r="J8" s="64" t="s">
        <v>130</v>
      </c>
      <c r="K8" s="61"/>
      <c r="L8" s="64" t="s">
        <v>146</v>
      </c>
      <c r="M8" s="64" t="s">
        <v>155</v>
      </c>
      <c r="N8" s="64" t="s">
        <v>155</v>
      </c>
      <c r="O8" s="64" t="s">
        <v>155</v>
      </c>
      <c r="P8" s="61"/>
      <c r="Q8" s="64" t="s">
        <v>155</v>
      </c>
      <c r="R8" s="64" t="s">
        <v>157</v>
      </c>
      <c r="S8" s="64" t="s">
        <v>162</v>
      </c>
      <c r="T8" s="64" t="s">
        <v>163</v>
      </c>
      <c r="U8" s="64" t="s">
        <v>155</v>
      </c>
      <c r="V8" s="64" t="s">
        <v>155</v>
      </c>
      <c r="W8" s="62" t="s">
        <v>125</v>
      </c>
      <c r="X8" s="62" t="s">
        <v>125</v>
      </c>
      <c r="Y8" s="62" t="s">
        <v>125</v>
      </c>
      <c r="Z8" s="64" t="s">
        <v>171</v>
      </c>
      <c r="AA8" s="64" t="s">
        <v>174</v>
      </c>
      <c r="AB8" s="64" t="s">
        <v>174</v>
      </c>
      <c r="AC8" s="77" t="s">
        <v>177</v>
      </c>
      <c r="AD8" s="64" t="s">
        <v>181</v>
      </c>
      <c r="AE8" s="60"/>
    </row>
    <row r="9" ht="15.75" customHeight="1">
      <c r="A9" s="11"/>
      <c r="B9" s="11"/>
      <c r="C9" s="9"/>
      <c r="D9" s="11"/>
      <c r="E9" s="11"/>
      <c r="F9" s="11"/>
      <c r="G9" s="11"/>
      <c r="H9" s="11"/>
      <c r="I9" s="11"/>
      <c r="J9" s="11"/>
      <c r="K9" s="11"/>
      <c r="L9" s="11"/>
      <c r="M9" s="11"/>
      <c r="N9" s="11"/>
      <c r="O9" s="11"/>
      <c r="P9" s="11"/>
      <c r="Q9" s="11"/>
      <c r="R9" s="11"/>
      <c r="S9" s="11"/>
      <c r="T9" s="11"/>
      <c r="U9" s="11"/>
      <c r="V9" s="11"/>
      <c r="W9" s="11"/>
      <c r="X9" s="11"/>
      <c r="Y9" s="11"/>
      <c r="Z9" s="11"/>
      <c r="AA9" s="11"/>
      <c r="AB9" s="11"/>
      <c r="AC9" s="11"/>
      <c r="AD9" s="11"/>
      <c r="AE9" s="11"/>
    </row>
    <row r="10" ht="15.75" customHeight="1">
      <c r="A10" s="80" t="s">
        <v>191</v>
      </c>
      <c r="B10" s="81"/>
      <c r="C10" s="82"/>
      <c r="D10" s="84"/>
      <c r="E10" s="84"/>
      <c r="F10" s="84"/>
      <c r="G10" s="84"/>
      <c r="H10" s="84"/>
      <c r="I10" s="84"/>
      <c r="J10" s="84"/>
      <c r="K10" s="84"/>
      <c r="L10" s="84"/>
      <c r="M10" s="84"/>
      <c r="N10" s="84"/>
      <c r="O10" s="84"/>
      <c r="P10" s="84"/>
      <c r="Q10" s="84"/>
      <c r="R10" s="84"/>
      <c r="S10" s="84"/>
      <c r="T10" s="84"/>
      <c r="U10" s="84"/>
      <c r="V10" s="84"/>
      <c r="W10" s="84"/>
      <c r="X10" s="84"/>
      <c r="Y10" s="84"/>
      <c r="Z10" s="84"/>
      <c r="AA10" s="84"/>
      <c r="AB10" s="84"/>
      <c r="AC10" s="84"/>
      <c r="AD10" s="84"/>
      <c r="AE10" s="91"/>
    </row>
    <row r="11" ht="15.75" customHeight="1">
      <c r="A11" s="11"/>
      <c r="B11" s="11"/>
      <c r="C11" s="9"/>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row>
    <row r="12" ht="15.75" customHeight="1">
      <c r="A12" s="99" t="s">
        <v>148</v>
      </c>
      <c r="B12" s="103" t="s">
        <v>208</v>
      </c>
      <c r="C12" s="104" t="s">
        <v>210</v>
      </c>
      <c r="D12" s="103"/>
      <c r="E12" s="103"/>
      <c r="F12" s="103"/>
      <c r="G12" s="103"/>
      <c r="H12" s="103" t="s">
        <v>213</v>
      </c>
      <c r="I12" s="103"/>
      <c r="J12" s="103"/>
      <c r="K12" s="103"/>
      <c r="L12" s="103"/>
      <c r="M12" s="103"/>
      <c r="N12" s="103"/>
      <c r="O12" s="103"/>
      <c r="P12" s="103"/>
      <c r="Q12" s="103"/>
      <c r="R12" s="103"/>
      <c r="S12" s="103"/>
      <c r="T12" s="103"/>
      <c r="U12" s="103"/>
      <c r="V12" s="103"/>
      <c r="W12" s="103"/>
      <c r="X12" s="103"/>
      <c r="Y12" s="103"/>
      <c r="Z12" s="103"/>
      <c r="AA12" s="103"/>
      <c r="AB12" s="103"/>
      <c r="AC12" s="103"/>
      <c r="AD12" s="103"/>
      <c r="AE12" s="91"/>
    </row>
    <row r="13" ht="15.75" customHeight="1">
      <c r="A13" s="99" t="s">
        <v>148</v>
      </c>
      <c r="B13" s="103" t="s">
        <v>208</v>
      </c>
      <c r="C13" s="104" t="s">
        <v>221</v>
      </c>
      <c r="D13" s="103"/>
      <c r="E13" s="103"/>
      <c r="F13" s="103"/>
      <c r="G13" s="103"/>
      <c r="H13" s="104" t="s">
        <v>222</v>
      </c>
      <c r="I13" s="103"/>
      <c r="J13" s="103"/>
      <c r="K13" s="103"/>
      <c r="L13" s="103"/>
      <c r="M13" s="103"/>
      <c r="N13" s="103"/>
      <c r="O13" s="103"/>
      <c r="P13" s="103"/>
      <c r="Q13" s="103"/>
      <c r="R13" s="103"/>
      <c r="S13" s="103"/>
      <c r="T13" s="103"/>
      <c r="U13" s="103"/>
      <c r="V13" s="103"/>
      <c r="W13" s="103"/>
      <c r="X13" s="103"/>
      <c r="Y13" s="103"/>
      <c r="Z13" s="103"/>
      <c r="AA13" s="103"/>
      <c r="AB13" s="103"/>
      <c r="AC13" s="103"/>
      <c r="AD13" s="103"/>
      <c r="AE13" s="91"/>
    </row>
    <row r="14" ht="15.75" customHeight="1">
      <c r="A14" s="99" t="s">
        <v>148</v>
      </c>
      <c r="B14" s="103" t="s">
        <v>208</v>
      </c>
      <c r="C14" s="104" t="s">
        <v>231</v>
      </c>
      <c r="D14" s="103"/>
      <c r="E14" s="103"/>
      <c r="F14" s="103"/>
      <c r="G14" s="103"/>
      <c r="H14" s="103" t="s">
        <v>236</v>
      </c>
      <c r="I14" s="103"/>
      <c r="J14" s="103"/>
      <c r="K14" s="103"/>
      <c r="L14" s="103"/>
      <c r="M14" s="103"/>
      <c r="N14" s="103"/>
      <c r="O14" s="103"/>
      <c r="P14" s="103"/>
      <c r="Q14" s="103"/>
      <c r="R14" s="103"/>
      <c r="S14" s="103"/>
      <c r="T14" s="103"/>
      <c r="U14" s="103"/>
      <c r="V14" s="103"/>
      <c r="W14" s="103"/>
      <c r="X14" s="103"/>
      <c r="Y14" s="103"/>
      <c r="Z14" s="103"/>
      <c r="AA14" s="103"/>
      <c r="AB14" s="103"/>
      <c r="AC14" s="103"/>
      <c r="AD14" s="103"/>
      <c r="AE14" s="91"/>
    </row>
    <row r="15" ht="15.75" customHeight="1">
      <c r="A15" s="99" t="s">
        <v>148</v>
      </c>
      <c r="B15" s="103" t="s">
        <v>208</v>
      </c>
      <c r="C15" s="104" t="s">
        <v>231</v>
      </c>
      <c r="D15" s="103"/>
      <c r="E15" s="103"/>
      <c r="F15" s="103"/>
      <c r="G15" s="103"/>
      <c r="H15" s="103" t="s">
        <v>241</v>
      </c>
      <c r="I15" s="103"/>
      <c r="J15" s="103"/>
      <c r="K15" s="103"/>
      <c r="L15" s="103"/>
      <c r="M15" s="103"/>
      <c r="N15" s="103"/>
      <c r="O15" s="103"/>
      <c r="P15" s="103"/>
      <c r="Q15" s="103"/>
      <c r="R15" s="103"/>
      <c r="S15" s="103"/>
      <c r="T15" s="103"/>
      <c r="U15" s="103"/>
      <c r="V15" s="103"/>
      <c r="W15" s="103"/>
      <c r="X15" s="103"/>
      <c r="Y15" s="103"/>
      <c r="Z15" s="103"/>
      <c r="AA15" s="103"/>
      <c r="AB15" s="103"/>
      <c r="AC15" s="103"/>
      <c r="AD15" s="103"/>
      <c r="AE15" s="91"/>
    </row>
    <row r="16" ht="15.75" customHeight="1">
      <c r="A16" s="99" t="s">
        <v>246</v>
      </c>
      <c r="B16" s="103" t="s">
        <v>208</v>
      </c>
      <c r="C16" s="104" t="s">
        <v>247</v>
      </c>
      <c r="D16" s="99"/>
      <c r="E16" s="103"/>
      <c r="F16" s="103"/>
      <c r="G16" s="103"/>
      <c r="H16" s="103"/>
      <c r="I16" s="103"/>
      <c r="J16" s="103"/>
      <c r="K16" s="103"/>
      <c r="L16" s="103"/>
      <c r="M16" s="103"/>
      <c r="N16" s="103"/>
      <c r="O16" s="103"/>
      <c r="P16" s="103"/>
      <c r="Q16" s="103"/>
      <c r="R16" s="103"/>
      <c r="S16" s="103"/>
      <c r="T16" s="103"/>
      <c r="U16" s="103"/>
      <c r="V16" s="103"/>
      <c r="W16" s="103"/>
      <c r="X16" s="103"/>
      <c r="Y16" s="103"/>
      <c r="Z16" s="103"/>
      <c r="AA16" s="103"/>
      <c r="AB16" s="103"/>
      <c r="AC16" s="103"/>
      <c r="AD16" s="103"/>
      <c r="AE16" s="91"/>
    </row>
    <row r="17" ht="15.75" customHeight="1">
      <c r="A17" s="99" t="s">
        <v>246</v>
      </c>
      <c r="B17" s="103" t="s">
        <v>208</v>
      </c>
      <c r="C17" s="104" t="s">
        <v>253</v>
      </c>
      <c r="D17" s="103"/>
      <c r="E17" s="103"/>
      <c r="F17" s="103"/>
      <c r="G17" s="103"/>
      <c r="H17" s="103" t="s">
        <v>258</v>
      </c>
      <c r="I17" s="103"/>
      <c r="J17" s="103"/>
      <c r="K17" s="103"/>
      <c r="L17" s="103"/>
      <c r="M17" s="103"/>
      <c r="N17" s="103"/>
      <c r="O17" s="103"/>
      <c r="P17" s="103"/>
      <c r="Q17" s="103"/>
      <c r="R17" s="103"/>
      <c r="S17" s="103"/>
      <c r="T17" s="103"/>
      <c r="U17" s="103"/>
      <c r="V17" s="103"/>
      <c r="W17" s="103"/>
      <c r="X17" s="103"/>
      <c r="Y17" s="103"/>
      <c r="Z17" s="103"/>
      <c r="AA17" s="103"/>
      <c r="AB17" s="103"/>
      <c r="AC17" s="103"/>
      <c r="AD17" s="103"/>
      <c r="AE17" s="91"/>
    </row>
    <row r="18" ht="15.75" customHeight="1">
      <c r="A18" s="99" t="s">
        <v>263</v>
      </c>
      <c r="B18" s="103" t="s">
        <v>208</v>
      </c>
      <c r="C18" s="104" t="s">
        <v>266</v>
      </c>
      <c r="D18" s="99"/>
      <c r="E18" s="103"/>
      <c r="F18" s="103"/>
      <c r="G18" s="103"/>
      <c r="H18" s="103"/>
      <c r="I18" s="103"/>
      <c r="J18" s="103"/>
      <c r="K18" s="103"/>
      <c r="L18" s="103"/>
      <c r="M18" s="103"/>
      <c r="N18" s="103"/>
      <c r="O18" s="103"/>
      <c r="P18" s="103"/>
      <c r="Q18" s="103"/>
      <c r="R18" s="103"/>
      <c r="S18" s="103"/>
      <c r="T18" s="103"/>
      <c r="U18" s="103"/>
      <c r="V18" s="103"/>
      <c r="W18" s="103"/>
      <c r="X18" s="103"/>
      <c r="Y18" s="103"/>
      <c r="Z18" s="103"/>
      <c r="AA18" s="103"/>
      <c r="AB18" s="103"/>
      <c r="AC18" s="103"/>
      <c r="AD18" s="103"/>
      <c r="AE18" s="91"/>
    </row>
    <row r="19" ht="15.75" customHeight="1">
      <c r="A19" s="99" t="s">
        <v>275</v>
      </c>
      <c r="B19" s="103" t="s">
        <v>208</v>
      </c>
      <c r="C19" s="104" t="s">
        <v>277</v>
      </c>
      <c r="D19" s="99"/>
      <c r="E19" s="103"/>
      <c r="F19" s="103"/>
      <c r="G19" s="103"/>
      <c r="H19" s="103"/>
      <c r="I19" s="103"/>
      <c r="J19" s="103"/>
      <c r="K19" s="103"/>
      <c r="L19" s="103"/>
      <c r="M19" s="103"/>
      <c r="N19" s="103"/>
      <c r="O19" s="103"/>
      <c r="P19" s="103"/>
      <c r="Q19" s="103"/>
      <c r="R19" s="103"/>
      <c r="S19" s="103"/>
      <c r="T19" s="103"/>
      <c r="U19" s="103"/>
      <c r="V19" s="103"/>
      <c r="W19" s="103"/>
      <c r="X19" s="103"/>
      <c r="Y19" s="103"/>
      <c r="Z19" s="103"/>
      <c r="AA19" s="103"/>
      <c r="AB19" s="103"/>
      <c r="AC19" s="103"/>
      <c r="AD19" s="103"/>
      <c r="AE19" s="91"/>
    </row>
    <row r="20" ht="15.75" customHeight="1">
      <c r="A20" s="99" t="s">
        <v>285</v>
      </c>
      <c r="B20" s="103" t="s">
        <v>208</v>
      </c>
      <c r="C20" s="104" t="s">
        <v>286</v>
      </c>
      <c r="D20" s="99"/>
      <c r="E20" s="103"/>
      <c r="F20" s="103"/>
      <c r="G20" s="103"/>
      <c r="H20" s="103"/>
      <c r="I20" s="103"/>
      <c r="J20" s="103"/>
      <c r="K20" s="103"/>
      <c r="L20" s="103"/>
      <c r="M20" s="103"/>
      <c r="N20" s="103"/>
      <c r="O20" s="103"/>
      <c r="P20" s="103"/>
      <c r="Q20" s="103"/>
      <c r="R20" s="103"/>
      <c r="S20" s="103"/>
      <c r="T20" s="103"/>
      <c r="U20" s="103"/>
      <c r="V20" s="103"/>
      <c r="W20" s="103"/>
      <c r="X20" s="103"/>
      <c r="Y20" s="103"/>
      <c r="Z20" s="103"/>
      <c r="AA20" s="103"/>
      <c r="AB20" s="103"/>
      <c r="AC20" s="103"/>
      <c r="AD20" s="103"/>
      <c r="AE20" s="91"/>
    </row>
    <row r="21" ht="15.75" customHeight="1">
      <c r="A21" s="99" t="s">
        <v>285</v>
      </c>
      <c r="B21" s="103" t="s">
        <v>208</v>
      </c>
      <c r="C21" s="104" t="s">
        <v>292</v>
      </c>
      <c r="D21" s="103"/>
      <c r="E21" s="103"/>
      <c r="F21" s="103"/>
      <c r="G21" s="103"/>
      <c r="H21" s="103" t="s">
        <v>294</v>
      </c>
      <c r="I21" s="103"/>
      <c r="J21" s="103"/>
      <c r="K21" s="103"/>
      <c r="L21" s="103"/>
      <c r="M21" s="103"/>
      <c r="N21" s="103"/>
      <c r="O21" s="103"/>
      <c r="P21" s="103"/>
      <c r="Q21" s="103"/>
      <c r="R21" s="103"/>
      <c r="S21" s="103"/>
      <c r="T21" s="103"/>
      <c r="U21" s="103"/>
      <c r="V21" s="103"/>
      <c r="W21" s="103"/>
      <c r="X21" s="103"/>
      <c r="Y21" s="103"/>
      <c r="Z21" s="103"/>
      <c r="AA21" s="103"/>
      <c r="AB21" s="103"/>
      <c r="AC21" s="103"/>
      <c r="AD21" s="103"/>
      <c r="AE21" s="91"/>
    </row>
    <row r="22" ht="15.75" customHeight="1">
      <c r="A22" s="99" t="s">
        <v>285</v>
      </c>
      <c r="B22" s="103" t="s">
        <v>208</v>
      </c>
      <c r="C22" s="104" t="s">
        <v>303</v>
      </c>
      <c r="D22" s="103"/>
      <c r="E22" s="103"/>
      <c r="F22" s="103"/>
      <c r="G22" s="103"/>
      <c r="H22" s="103" t="s">
        <v>304</v>
      </c>
      <c r="I22" s="103"/>
      <c r="J22" s="103"/>
      <c r="K22" s="103"/>
      <c r="L22" s="103"/>
      <c r="M22" s="103"/>
      <c r="N22" s="103"/>
      <c r="O22" s="103"/>
      <c r="P22" s="103"/>
      <c r="Q22" s="103"/>
      <c r="R22" s="103"/>
      <c r="S22" s="103"/>
      <c r="T22" s="103"/>
      <c r="U22" s="103"/>
      <c r="V22" s="103"/>
      <c r="W22" s="103"/>
      <c r="X22" s="103"/>
      <c r="Y22" s="103"/>
      <c r="Z22" s="103"/>
      <c r="AA22" s="103"/>
      <c r="AB22" s="103"/>
      <c r="AC22" s="103"/>
      <c r="AD22" s="103"/>
      <c r="AE22" s="91"/>
    </row>
    <row r="23" ht="15.75" customHeight="1">
      <c r="A23" s="99" t="s">
        <v>285</v>
      </c>
      <c r="B23" s="103" t="s">
        <v>208</v>
      </c>
      <c r="C23" s="104" t="s">
        <v>311</v>
      </c>
      <c r="D23" s="103"/>
      <c r="E23" s="103"/>
      <c r="F23" s="103"/>
      <c r="G23" s="103"/>
      <c r="H23" s="103" t="s">
        <v>315</v>
      </c>
      <c r="I23" s="103"/>
      <c r="J23" s="103"/>
      <c r="K23" s="103"/>
      <c r="L23" s="103"/>
      <c r="M23" s="103"/>
      <c r="N23" s="103"/>
      <c r="O23" s="103"/>
      <c r="P23" s="103"/>
      <c r="Q23" s="103"/>
      <c r="R23" s="103"/>
      <c r="S23" s="103"/>
      <c r="T23" s="103"/>
      <c r="U23" s="103"/>
      <c r="V23" s="103"/>
      <c r="W23" s="103"/>
      <c r="X23" s="103"/>
      <c r="Y23" s="103"/>
      <c r="Z23" s="103"/>
      <c r="AA23" s="103"/>
      <c r="AB23" s="103"/>
      <c r="AC23" s="103"/>
      <c r="AD23" s="103"/>
      <c r="AE23" s="91"/>
    </row>
    <row r="24" ht="15.75" customHeight="1">
      <c r="A24" s="99" t="s">
        <v>285</v>
      </c>
      <c r="B24" s="103" t="s">
        <v>208</v>
      </c>
      <c r="C24" s="104" t="s">
        <v>319</v>
      </c>
      <c r="D24" s="103"/>
      <c r="E24" s="103"/>
      <c r="F24" s="103"/>
      <c r="G24" s="103"/>
      <c r="H24" s="103" t="s">
        <v>322</v>
      </c>
      <c r="I24" s="103"/>
      <c r="J24" s="103"/>
      <c r="K24" s="103"/>
      <c r="L24" s="103"/>
      <c r="M24" s="103"/>
      <c r="N24" s="103"/>
      <c r="O24" s="103"/>
      <c r="P24" s="103"/>
      <c r="Q24" s="103"/>
      <c r="R24" s="103"/>
      <c r="S24" s="103"/>
      <c r="T24" s="103"/>
      <c r="U24" s="103"/>
      <c r="V24" s="103"/>
      <c r="W24" s="103"/>
      <c r="X24" s="103"/>
      <c r="Y24" s="103"/>
      <c r="Z24" s="103"/>
      <c r="AA24" s="103"/>
      <c r="AB24" s="103"/>
      <c r="AC24" s="103"/>
      <c r="AD24" s="103"/>
      <c r="AE24" s="91"/>
    </row>
    <row r="25" ht="15.75" customHeight="1">
      <c r="A25" s="99" t="s">
        <v>285</v>
      </c>
      <c r="B25" s="103" t="s">
        <v>208</v>
      </c>
      <c r="C25" s="104" t="s">
        <v>326</v>
      </c>
      <c r="D25" s="103"/>
      <c r="E25" s="103"/>
      <c r="F25" s="103"/>
      <c r="G25" s="103"/>
      <c r="H25" s="103" t="s">
        <v>328</v>
      </c>
      <c r="I25" s="103"/>
      <c r="J25" s="103"/>
      <c r="K25" s="103"/>
      <c r="L25" s="103"/>
      <c r="M25" s="103"/>
      <c r="N25" s="103"/>
      <c r="O25" s="103"/>
      <c r="P25" s="103"/>
      <c r="Q25" s="103"/>
      <c r="R25" s="103"/>
      <c r="S25" s="103"/>
      <c r="T25" s="103"/>
      <c r="U25" s="103"/>
      <c r="V25" s="103"/>
      <c r="W25" s="103"/>
      <c r="X25" s="103"/>
      <c r="Y25" s="103"/>
      <c r="Z25" s="103"/>
      <c r="AA25" s="103"/>
      <c r="AB25" s="103"/>
      <c r="AC25" s="103"/>
      <c r="AD25" s="103"/>
      <c r="AE25" s="91"/>
    </row>
    <row r="26" ht="15.75" customHeight="1">
      <c r="A26" s="99" t="s">
        <v>285</v>
      </c>
      <c r="B26" s="103" t="s">
        <v>208</v>
      </c>
      <c r="C26" s="104" t="s">
        <v>335</v>
      </c>
      <c r="D26" s="103"/>
      <c r="E26" s="103"/>
      <c r="F26" s="103"/>
      <c r="G26" s="103"/>
      <c r="H26" s="103" t="s">
        <v>341</v>
      </c>
      <c r="I26" s="103"/>
      <c r="J26" s="103"/>
      <c r="K26" s="103"/>
      <c r="L26" s="103"/>
      <c r="M26" s="103"/>
      <c r="N26" s="103"/>
      <c r="O26" s="103"/>
      <c r="P26" s="103"/>
      <c r="Q26" s="103"/>
      <c r="R26" s="103"/>
      <c r="S26" s="103"/>
      <c r="T26" s="103"/>
      <c r="U26" s="103"/>
      <c r="V26" s="103"/>
      <c r="W26" s="103"/>
      <c r="X26" s="103"/>
      <c r="Y26" s="103"/>
      <c r="Z26" s="103"/>
      <c r="AA26" s="103"/>
      <c r="AB26" s="103"/>
      <c r="AC26" s="103"/>
      <c r="AD26" s="103"/>
      <c r="AE26" s="91"/>
    </row>
    <row r="27" ht="15.75" customHeight="1">
      <c r="A27" s="99" t="s">
        <v>285</v>
      </c>
      <c r="B27" s="103" t="s">
        <v>208</v>
      </c>
      <c r="C27" s="104" t="s">
        <v>349</v>
      </c>
      <c r="D27" s="103"/>
      <c r="E27" s="103"/>
      <c r="F27" s="103"/>
      <c r="G27" s="103"/>
      <c r="H27" s="103" t="s">
        <v>356</v>
      </c>
      <c r="I27" s="103"/>
      <c r="J27" s="103"/>
      <c r="K27" s="103"/>
      <c r="L27" s="103"/>
      <c r="M27" s="103"/>
      <c r="N27" s="103"/>
      <c r="O27" s="103"/>
      <c r="P27" s="103"/>
      <c r="Q27" s="103"/>
      <c r="R27" s="103"/>
      <c r="S27" s="103"/>
      <c r="T27" s="103"/>
      <c r="U27" s="103"/>
      <c r="V27" s="103"/>
      <c r="W27" s="103"/>
      <c r="X27" s="103"/>
      <c r="Y27" s="103"/>
      <c r="Z27" s="103"/>
      <c r="AA27" s="103"/>
      <c r="AB27" s="103"/>
      <c r="AC27" s="103"/>
      <c r="AD27" s="103"/>
      <c r="AE27" s="91"/>
    </row>
    <row r="28" ht="15.75" customHeight="1">
      <c r="A28" s="99" t="s">
        <v>285</v>
      </c>
      <c r="B28" s="103" t="s">
        <v>208</v>
      </c>
      <c r="C28" s="104" t="s">
        <v>359</v>
      </c>
      <c r="D28" s="103"/>
      <c r="E28" s="103"/>
      <c r="F28" s="103"/>
      <c r="G28" s="103"/>
      <c r="H28" s="103" t="s">
        <v>360</v>
      </c>
      <c r="I28" s="103"/>
      <c r="J28" s="103"/>
      <c r="K28" s="103"/>
      <c r="L28" s="103"/>
      <c r="M28" s="103"/>
      <c r="N28" s="103"/>
      <c r="O28" s="103"/>
      <c r="P28" s="103"/>
      <c r="Q28" s="103"/>
      <c r="R28" s="103"/>
      <c r="S28" s="103"/>
      <c r="T28" s="103"/>
      <c r="U28" s="103"/>
      <c r="V28" s="103"/>
      <c r="W28" s="103"/>
      <c r="X28" s="103"/>
      <c r="Y28" s="103"/>
      <c r="Z28" s="103"/>
      <c r="AA28" s="103"/>
      <c r="AB28" s="103"/>
      <c r="AC28" s="103"/>
      <c r="AD28" s="103"/>
      <c r="AE28" s="91"/>
    </row>
    <row r="29" ht="15.75" customHeight="1">
      <c r="A29" s="99" t="s">
        <v>285</v>
      </c>
      <c r="B29" s="103" t="s">
        <v>208</v>
      </c>
      <c r="C29" s="104" t="s">
        <v>368</v>
      </c>
      <c r="D29" s="103"/>
      <c r="E29" s="103"/>
      <c r="F29" s="103"/>
      <c r="G29" s="103"/>
      <c r="H29" s="103" t="s">
        <v>371</v>
      </c>
      <c r="I29" s="103"/>
      <c r="J29" s="103"/>
      <c r="K29" s="103"/>
      <c r="L29" s="103"/>
      <c r="M29" s="103"/>
      <c r="N29" s="103"/>
      <c r="O29" s="103"/>
      <c r="P29" s="103"/>
      <c r="Q29" s="103"/>
      <c r="R29" s="103"/>
      <c r="S29" s="103"/>
      <c r="T29" s="103"/>
      <c r="U29" s="103"/>
      <c r="V29" s="103"/>
      <c r="W29" s="103"/>
      <c r="X29" s="103"/>
      <c r="Y29" s="103"/>
      <c r="Z29" s="103"/>
      <c r="AA29" s="103"/>
      <c r="AB29" s="103"/>
      <c r="AC29" s="103"/>
      <c r="AD29" s="103"/>
      <c r="AE29" s="91"/>
    </row>
    <row r="30" ht="15.75" customHeight="1">
      <c r="A30" s="99" t="s">
        <v>285</v>
      </c>
      <c r="B30" s="103" t="s">
        <v>208</v>
      </c>
      <c r="C30" s="104" t="s">
        <v>377</v>
      </c>
      <c r="D30" s="103"/>
      <c r="E30" s="103"/>
      <c r="F30" s="103"/>
      <c r="G30" s="103"/>
      <c r="H30" s="103" t="s">
        <v>379</v>
      </c>
      <c r="I30" s="103"/>
      <c r="J30" s="103"/>
      <c r="K30" s="103"/>
      <c r="L30" s="103"/>
      <c r="M30" s="103"/>
      <c r="N30" s="103"/>
      <c r="O30" s="103"/>
      <c r="P30" s="103"/>
      <c r="Q30" s="103"/>
      <c r="R30" s="103"/>
      <c r="S30" s="103"/>
      <c r="T30" s="103"/>
      <c r="U30" s="103"/>
      <c r="V30" s="103"/>
      <c r="W30" s="103"/>
      <c r="X30" s="103"/>
      <c r="Y30" s="103"/>
      <c r="Z30" s="103"/>
      <c r="AA30" s="103"/>
      <c r="AB30" s="103"/>
      <c r="AC30" s="103"/>
      <c r="AD30" s="103"/>
      <c r="AE30" s="91"/>
    </row>
    <row r="31" ht="15.75" customHeight="1">
      <c r="A31" s="99" t="s">
        <v>285</v>
      </c>
      <c r="B31" s="103" t="s">
        <v>208</v>
      </c>
      <c r="C31" s="104" t="s">
        <v>384</v>
      </c>
      <c r="D31" s="103"/>
      <c r="E31" s="103"/>
      <c r="F31" s="103"/>
      <c r="G31" s="103"/>
      <c r="H31" s="103" t="s">
        <v>388</v>
      </c>
      <c r="I31" s="103"/>
      <c r="J31" s="103"/>
      <c r="K31" s="103"/>
      <c r="L31" s="103"/>
      <c r="M31" s="103"/>
      <c r="N31" s="103"/>
      <c r="O31" s="103"/>
      <c r="P31" s="103"/>
      <c r="Q31" s="103"/>
      <c r="R31" s="103"/>
      <c r="S31" s="103"/>
      <c r="T31" s="103"/>
      <c r="U31" s="103"/>
      <c r="V31" s="103"/>
      <c r="W31" s="103"/>
      <c r="X31" s="103"/>
      <c r="Y31" s="103"/>
      <c r="Z31" s="103"/>
      <c r="AA31" s="103"/>
      <c r="AB31" s="103"/>
      <c r="AC31" s="103"/>
      <c r="AD31" s="103"/>
      <c r="AE31" s="91"/>
    </row>
    <row r="32" ht="15.75" customHeight="1">
      <c r="A32" s="99" t="s">
        <v>285</v>
      </c>
      <c r="B32" s="103" t="s">
        <v>208</v>
      </c>
      <c r="C32" s="146" t="s">
        <v>393</v>
      </c>
      <c r="D32" s="103"/>
      <c r="E32" s="103"/>
      <c r="F32" s="103"/>
      <c r="G32" s="103"/>
      <c r="H32" s="103" t="s">
        <v>397</v>
      </c>
      <c r="I32" s="103"/>
      <c r="J32" s="103"/>
      <c r="K32" s="103"/>
      <c r="L32" s="103"/>
      <c r="M32" s="103"/>
      <c r="N32" s="103"/>
      <c r="O32" s="103"/>
      <c r="P32" s="103"/>
      <c r="Q32" s="103"/>
      <c r="R32" s="103"/>
      <c r="S32" s="103"/>
      <c r="T32" s="103"/>
      <c r="U32" s="103"/>
      <c r="V32" s="103"/>
      <c r="W32" s="103"/>
      <c r="X32" s="103"/>
      <c r="Y32" s="103"/>
      <c r="Z32" s="103"/>
      <c r="AA32" s="103"/>
      <c r="AB32" s="103"/>
      <c r="AC32" s="103"/>
      <c r="AD32" s="103"/>
      <c r="AE32" s="91"/>
    </row>
    <row r="33" ht="15.75" customHeight="1">
      <c r="A33" s="99" t="s">
        <v>285</v>
      </c>
      <c r="B33" s="103" t="s">
        <v>208</v>
      </c>
      <c r="C33" s="104" t="s">
        <v>404</v>
      </c>
      <c r="D33" s="103"/>
      <c r="E33" s="103"/>
      <c r="F33" s="103"/>
      <c r="G33" s="103"/>
      <c r="H33" s="103" t="s">
        <v>405</v>
      </c>
      <c r="I33" s="103"/>
      <c r="J33" s="103"/>
      <c r="K33" s="103"/>
      <c r="L33" s="103"/>
      <c r="M33" s="103"/>
      <c r="N33" s="103"/>
      <c r="O33" s="103"/>
      <c r="P33" s="103"/>
      <c r="Q33" s="103"/>
      <c r="R33" s="103"/>
      <c r="S33" s="103"/>
      <c r="T33" s="103"/>
      <c r="U33" s="103"/>
      <c r="V33" s="103"/>
      <c r="W33" s="103"/>
      <c r="X33" s="103"/>
      <c r="Y33" s="103"/>
      <c r="Z33" s="103"/>
      <c r="AA33" s="103"/>
      <c r="AB33" s="103"/>
      <c r="AC33" s="103"/>
      <c r="AD33" s="103"/>
      <c r="AE33" s="91"/>
    </row>
    <row r="34" ht="15.75" customHeight="1">
      <c r="A34" s="99" t="s">
        <v>285</v>
      </c>
      <c r="B34" s="103" t="s">
        <v>208</v>
      </c>
      <c r="C34" s="104" t="s">
        <v>414</v>
      </c>
      <c r="D34" s="103"/>
      <c r="E34" s="103"/>
      <c r="F34" s="103"/>
      <c r="G34" s="103"/>
      <c r="H34" s="103" t="s">
        <v>415</v>
      </c>
      <c r="I34" s="103"/>
      <c r="J34" s="103"/>
      <c r="K34" s="103"/>
      <c r="L34" s="103"/>
      <c r="M34" s="103"/>
      <c r="N34" s="103"/>
      <c r="O34" s="103"/>
      <c r="P34" s="103"/>
      <c r="Q34" s="103"/>
      <c r="R34" s="103"/>
      <c r="S34" s="103"/>
      <c r="T34" s="103"/>
      <c r="U34" s="103"/>
      <c r="V34" s="103"/>
      <c r="W34" s="103"/>
      <c r="X34" s="103"/>
      <c r="Y34" s="103"/>
      <c r="Z34" s="103"/>
      <c r="AA34" s="103"/>
      <c r="AB34" s="103"/>
      <c r="AC34" s="103"/>
      <c r="AD34" s="103"/>
      <c r="AE34" s="91"/>
    </row>
    <row r="35" ht="15.75" customHeight="1">
      <c r="A35" s="99" t="s">
        <v>421</v>
      </c>
      <c r="B35" s="103" t="s">
        <v>208</v>
      </c>
      <c r="C35" s="104" t="s">
        <v>422</v>
      </c>
      <c r="D35" s="99"/>
      <c r="E35" s="103"/>
      <c r="F35" s="103"/>
      <c r="G35" s="103"/>
      <c r="H35" s="103"/>
      <c r="I35" s="103"/>
      <c r="J35" s="103"/>
      <c r="K35" s="103"/>
      <c r="L35" s="103"/>
      <c r="M35" s="103"/>
      <c r="N35" s="103"/>
      <c r="O35" s="103"/>
      <c r="P35" s="103"/>
      <c r="Q35" s="103"/>
      <c r="R35" s="103"/>
      <c r="S35" s="103"/>
      <c r="T35" s="103"/>
      <c r="U35" s="103"/>
      <c r="V35" s="103"/>
      <c r="W35" s="103"/>
      <c r="X35" s="103"/>
      <c r="Y35" s="103"/>
      <c r="Z35" s="103"/>
      <c r="AA35" s="103"/>
      <c r="AB35" s="103"/>
      <c r="AC35" s="103"/>
      <c r="AD35" s="103"/>
      <c r="AE35" s="91"/>
    </row>
    <row r="36" ht="15.75" customHeight="1">
      <c r="A36" s="99" t="s">
        <v>421</v>
      </c>
      <c r="B36" s="103" t="s">
        <v>208</v>
      </c>
      <c r="C36" s="104" t="s">
        <v>430</v>
      </c>
      <c r="D36" s="103"/>
      <c r="E36" s="103"/>
      <c r="F36" s="103"/>
      <c r="G36" s="103"/>
      <c r="H36" s="103" t="s">
        <v>328</v>
      </c>
      <c r="I36" s="103"/>
      <c r="J36" s="103"/>
      <c r="K36" s="103"/>
      <c r="L36" s="103"/>
      <c r="M36" s="103"/>
      <c r="N36" s="103"/>
      <c r="O36" s="103"/>
      <c r="P36" s="103"/>
      <c r="Q36" s="103"/>
      <c r="R36" s="103"/>
      <c r="S36" s="103"/>
      <c r="T36" s="103"/>
      <c r="U36" s="103"/>
      <c r="V36" s="103"/>
      <c r="W36" s="103"/>
      <c r="X36" s="103"/>
      <c r="Y36" s="103"/>
      <c r="Z36" s="103"/>
      <c r="AA36" s="103"/>
      <c r="AB36" s="103"/>
      <c r="AC36" s="103"/>
      <c r="AD36" s="103"/>
      <c r="AE36" s="91"/>
    </row>
    <row r="37" ht="15.75" customHeight="1">
      <c r="A37" s="99" t="s">
        <v>421</v>
      </c>
      <c r="B37" s="103" t="s">
        <v>208</v>
      </c>
      <c r="C37" s="104" t="s">
        <v>439</v>
      </c>
      <c r="D37" s="103"/>
      <c r="E37" s="103"/>
      <c r="F37" s="103"/>
      <c r="G37" s="103"/>
      <c r="H37" s="103" t="s">
        <v>341</v>
      </c>
      <c r="I37" s="103"/>
      <c r="J37" s="103"/>
      <c r="K37" s="103"/>
      <c r="L37" s="103"/>
      <c r="M37" s="103"/>
      <c r="N37" s="103"/>
      <c r="O37" s="103"/>
      <c r="P37" s="103"/>
      <c r="Q37" s="103"/>
      <c r="R37" s="103"/>
      <c r="S37" s="103"/>
      <c r="T37" s="103"/>
      <c r="U37" s="103"/>
      <c r="V37" s="103"/>
      <c r="W37" s="103"/>
      <c r="X37" s="103"/>
      <c r="Y37" s="103"/>
      <c r="Z37" s="103"/>
      <c r="AA37" s="103"/>
      <c r="AB37" s="103"/>
      <c r="AC37" s="103"/>
      <c r="AD37" s="103"/>
      <c r="AE37" s="91"/>
    </row>
    <row r="38" ht="15.75" customHeight="1">
      <c r="A38" s="99" t="s">
        <v>421</v>
      </c>
      <c r="B38" s="103" t="s">
        <v>208</v>
      </c>
      <c r="C38" s="104" t="s">
        <v>443</v>
      </c>
      <c r="D38" s="103"/>
      <c r="E38" s="103"/>
      <c r="F38" s="103"/>
      <c r="G38" s="103"/>
      <c r="H38" s="103" t="s">
        <v>356</v>
      </c>
      <c r="I38" s="103"/>
      <c r="J38" s="103"/>
      <c r="K38" s="103"/>
      <c r="L38" s="103"/>
      <c r="M38" s="103"/>
      <c r="N38" s="103"/>
      <c r="O38" s="103"/>
      <c r="P38" s="103"/>
      <c r="Q38" s="103"/>
      <c r="R38" s="103"/>
      <c r="S38" s="103"/>
      <c r="T38" s="103"/>
      <c r="U38" s="103"/>
      <c r="V38" s="103"/>
      <c r="W38" s="103"/>
      <c r="X38" s="103"/>
      <c r="Y38" s="103"/>
      <c r="Z38" s="103"/>
      <c r="AA38" s="103"/>
      <c r="AB38" s="103"/>
      <c r="AC38" s="103"/>
      <c r="AD38" s="103"/>
      <c r="AE38" s="91"/>
    </row>
    <row r="39" ht="15.75" customHeight="1">
      <c r="A39" s="99" t="s">
        <v>421</v>
      </c>
      <c r="B39" s="103" t="s">
        <v>208</v>
      </c>
      <c r="C39" s="104" t="s">
        <v>449</v>
      </c>
      <c r="D39" s="103"/>
      <c r="E39" s="103"/>
      <c r="F39" s="103"/>
      <c r="G39" s="103"/>
      <c r="H39" s="103" t="s">
        <v>379</v>
      </c>
      <c r="I39" s="103"/>
      <c r="J39" s="103"/>
      <c r="K39" s="103"/>
      <c r="L39" s="103"/>
      <c r="M39" s="103"/>
      <c r="N39" s="103"/>
      <c r="O39" s="103"/>
      <c r="P39" s="103"/>
      <c r="Q39" s="103"/>
      <c r="R39" s="103"/>
      <c r="S39" s="103"/>
      <c r="T39" s="103"/>
      <c r="U39" s="103"/>
      <c r="V39" s="103"/>
      <c r="W39" s="103"/>
      <c r="X39" s="103"/>
      <c r="Y39" s="103"/>
      <c r="Z39" s="103"/>
      <c r="AA39" s="103"/>
      <c r="AB39" s="103"/>
      <c r="AC39" s="103"/>
      <c r="AD39" s="103"/>
      <c r="AE39" s="91"/>
    </row>
    <row r="40" ht="15.75" customHeight="1">
      <c r="A40" s="99" t="s">
        <v>421</v>
      </c>
      <c r="B40" s="103" t="s">
        <v>208</v>
      </c>
      <c r="C40" s="104" t="s">
        <v>452</v>
      </c>
      <c r="D40" s="103"/>
      <c r="E40" s="103"/>
      <c r="F40" s="103"/>
      <c r="G40" s="103"/>
      <c r="H40" s="103" t="s">
        <v>388</v>
      </c>
      <c r="I40" s="103"/>
      <c r="J40" s="103"/>
      <c r="K40" s="103"/>
      <c r="L40" s="103"/>
      <c r="M40" s="103"/>
      <c r="N40" s="103"/>
      <c r="O40" s="103"/>
      <c r="P40" s="103"/>
      <c r="Q40" s="103"/>
      <c r="R40" s="103"/>
      <c r="S40" s="103"/>
      <c r="T40" s="103"/>
      <c r="U40" s="103"/>
      <c r="V40" s="103"/>
      <c r="W40" s="103"/>
      <c r="X40" s="103"/>
      <c r="Y40" s="103"/>
      <c r="Z40" s="103"/>
      <c r="AA40" s="103"/>
      <c r="AB40" s="103"/>
      <c r="AC40" s="103"/>
      <c r="AD40" s="103"/>
      <c r="AE40" s="91"/>
    </row>
    <row r="41" ht="15.75" customHeight="1">
      <c r="A41" s="99" t="s">
        <v>421</v>
      </c>
      <c r="B41" s="103" t="s">
        <v>208</v>
      </c>
      <c r="C41" s="146" t="s">
        <v>459</v>
      </c>
      <c r="D41" s="103"/>
      <c r="E41" s="103"/>
      <c r="F41" s="103"/>
      <c r="G41" s="103"/>
      <c r="H41" s="103" t="s">
        <v>397</v>
      </c>
      <c r="I41" s="103"/>
      <c r="J41" s="103"/>
      <c r="K41" s="103"/>
      <c r="L41" s="103"/>
      <c r="M41" s="103"/>
      <c r="N41" s="103"/>
      <c r="O41" s="103"/>
      <c r="P41" s="103"/>
      <c r="Q41" s="103"/>
      <c r="R41" s="103"/>
      <c r="S41" s="103"/>
      <c r="T41" s="103"/>
      <c r="U41" s="103"/>
      <c r="V41" s="103"/>
      <c r="W41" s="103"/>
      <c r="X41" s="103"/>
      <c r="Y41" s="103"/>
      <c r="Z41" s="103"/>
      <c r="AA41" s="103"/>
      <c r="AB41" s="103"/>
      <c r="AC41" s="103"/>
      <c r="AD41" s="103"/>
      <c r="AE41" s="91"/>
    </row>
    <row r="42" ht="15.75" customHeight="1">
      <c r="A42" s="99" t="s">
        <v>421</v>
      </c>
      <c r="B42" s="103" t="s">
        <v>208</v>
      </c>
      <c r="C42" s="104" t="s">
        <v>494</v>
      </c>
      <c r="D42" s="103"/>
      <c r="E42" s="103"/>
      <c r="F42" s="103"/>
      <c r="G42" s="103"/>
      <c r="H42" s="103" t="s">
        <v>405</v>
      </c>
      <c r="I42" s="103"/>
      <c r="J42" s="103"/>
      <c r="K42" s="103"/>
      <c r="L42" s="103"/>
      <c r="M42" s="103"/>
      <c r="N42" s="103"/>
      <c r="O42" s="103"/>
      <c r="P42" s="103"/>
      <c r="Q42" s="103"/>
      <c r="R42" s="103"/>
      <c r="S42" s="103"/>
      <c r="T42" s="103"/>
      <c r="U42" s="103"/>
      <c r="V42" s="103"/>
      <c r="W42" s="103"/>
      <c r="X42" s="103"/>
      <c r="Y42" s="103"/>
      <c r="Z42" s="103"/>
      <c r="AA42" s="103"/>
      <c r="AB42" s="103"/>
      <c r="AC42" s="103"/>
      <c r="AD42" s="103"/>
      <c r="AE42" s="91"/>
    </row>
    <row r="43" ht="15.75" customHeight="1">
      <c r="A43" s="99" t="s">
        <v>421</v>
      </c>
      <c r="B43" s="103" t="s">
        <v>208</v>
      </c>
      <c r="C43" s="104" t="s">
        <v>537</v>
      </c>
      <c r="D43" s="103"/>
      <c r="E43" s="103"/>
      <c r="F43" s="103"/>
      <c r="G43" s="103"/>
      <c r="H43" s="103" t="s">
        <v>415</v>
      </c>
      <c r="I43" s="103"/>
      <c r="J43" s="103"/>
      <c r="K43" s="103"/>
      <c r="L43" s="103"/>
      <c r="M43" s="103"/>
      <c r="N43" s="103"/>
      <c r="O43" s="103"/>
      <c r="P43" s="103"/>
      <c r="Q43" s="103"/>
      <c r="R43" s="103"/>
      <c r="S43" s="103"/>
      <c r="T43" s="103"/>
      <c r="U43" s="103"/>
      <c r="V43" s="103"/>
      <c r="W43" s="103"/>
      <c r="X43" s="103"/>
      <c r="Y43" s="103"/>
      <c r="Z43" s="103"/>
      <c r="AA43" s="103"/>
      <c r="AB43" s="103"/>
      <c r="AC43" s="103"/>
      <c r="AD43" s="103"/>
      <c r="AE43" s="91"/>
    </row>
    <row r="44" ht="15.75" customHeight="1">
      <c r="A44" s="99" t="s">
        <v>547</v>
      </c>
      <c r="B44" s="103" t="s">
        <v>208</v>
      </c>
      <c r="C44" s="104" t="s">
        <v>551</v>
      </c>
      <c r="D44" s="99"/>
      <c r="E44" s="103"/>
      <c r="F44" s="103"/>
      <c r="G44" s="103"/>
      <c r="H44" s="103"/>
      <c r="I44" s="103"/>
      <c r="J44" s="103"/>
      <c r="K44" s="103"/>
      <c r="L44" s="103"/>
      <c r="M44" s="103"/>
      <c r="N44" s="103"/>
      <c r="O44" s="103"/>
      <c r="P44" s="103"/>
      <c r="Q44" s="103"/>
      <c r="R44" s="103"/>
      <c r="S44" s="103"/>
      <c r="T44" s="103"/>
      <c r="U44" s="103"/>
      <c r="V44" s="103"/>
      <c r="W44" s="103"/>
      <c r="X44" s="103"/>
      <c r="Y44" s="103"/>
      <c r="Z44" s="103"/>
      <c r="AA44" s="103"/>
      <c r="AB44" s="103"/>
      <c r="AC44" s="103"/>
      <c r="AD44" s="103"/>
      <c r="AE44" s="91"/>
    </row>
    <row r="45" ht="15.75" customHeight="1">
      <c r="A45" s="99" t="s">
        <v>563</v>
      </c>
      <c r="B45" s="103" t="s">
        <v>208</v>
      </c>
      <c r="C45" s="104" t="s">
        <v>568</v>
      </c>
      <c r="D45" s="163"/>
      <c r="E45" s="103"/>
      <c r="F45" s="103"/>
      <c r="G45" s="103"/>
      <c r="H45" s="103"/>
      <c r="I45" s="103"/>
      <c r="J45" s="103"/>
      <c r="K45" s="103"/>
      <c r="L45" s="103"/>
      <c r="M45" s="103"/>
      <c r="N45" s="103"/>
      <c r="O45" s="103"/>
      <c r="P45" s="103"/>
      <c r="Q45" s="103"/>
      <c r="R45" s="103"/>
      <c r="S45" s="103"/>
      <c r="T45" s="103"/>
      <c r="U45" s="103"/>
      <c r="V45" s="103"/>
      <c r="W45" s="103"/>
      <c r="X45" s="103"/>
      <c r="Y45" s="103"/>
      <c r="Z45" s="103"/>
      <c r="AA45" s="103"/>
      <c r="AB45" s="103"/>
      <c r="AC45" s="103"/>
      <c r="AD45" s="103"/>
      <c r="AE45" s="91"/>
    </row>
    <row r="46" ht="15.75" customHeight="1">
      <c r="A46" s="99" t="s">
        <v>574</v>
      </c>
      <c r="B46" s="103" t="s">
        <v>208</v>
      </c>
      <c r="C46" s="104" t="s">
        <v>580</v>
      </c>
      <c r="D46" s="99"/>
      <c r="E46" s="103"/>
      <c r="F46" s="103"/>
      <c r="G46" s="103"/>
      <c r="H46" s="103"/>
      <c r="I46" s="103"/>
      <c r="J46" s="103"/>
      <c r="K46" s="103"/>
      <c r="L46" s="103"/>
      <c r="M46" s="103"/>
      <c r="N46" s="103"/>
      <c r="O46" s="103"/>
      <c r="P46" s="103"/>
      <c r="Q46" s="103"/>
      <c r="R46" s="103"/>
      <c r="S46" s="103"/>
      <c r="T46" s="103"/>
      <c r="U46" s="103"/>
      <c r="V46" s="103"/>
      <c r="W46" s="103"/>
      <c r="X46" s="103"/>
      <c r="Y46" s="103"/>
      <c r="Z46" s="103"/>
      <c r="AA46" s="103"/>
      <c r="AB46" s="103"/>
      <c r="AC46" s="103"/>
      <c r="AD46" s="103"/>
      <c r="AE46" s="91"/>
    </row>
    <row r="47" ht="15.75" customHeight="1">
      <c r="A47" s="99" t="s">
        <v>587</v>
      </c>
      <c r="B47" s="103" t="s">
        <v>208</v>
      </c>
      <c r="C47" s="104" t="s">
        <v>590</v>
      </c>
      <c r="D47" s="99"/>
      <c r="E47" s="103"/>
      <c r="F47" s="103"/>
      <c r="G47" s="103"/>
      <c r="H47" s="103"/>
      <c r="I47" s="103"/>
      <c r="J47" s="103"/>
      <c r="K47" s="103"/>
      <c r="L47" s="103"/>
      <c r="M47" s="103"/>
      <c r="N47" s="103"/>
      <c r="O47" s="103"/>
      <c r="P47" s="103"/>
      <c r="Q47" s="103"/>
      <c r="R47" s="103"/>
      <c r="S47" s="103"/>
      <c r="T47" s="103"/>
      <c r="U47" s="103"/>
      <c r="V47" s="103"/>
      <c r="W47" s="103"/>
      <c r="X47" s="103"/>
      <c r="Y47" s="103"/>
      <c r="Z47" s="103"/>
      <c r="AA47" s="103"/>
      <c r="AB47" s="103"/>
      <c r="AC47" s="103"/>
      <c r="AD47" s="103"/>
      <c r="AE47" s="91"/>
    </row>
    <row r="48" ht="15.75" customHeight="1">
      <c r="A48" s="99" t="s">
        <v>600</v>
      </c>
      <c r="B48" s="103" t="s">
        <v>208</v>
      </c>
      <c r="C48" s="104" t="s">
        <v>602</v>
      </c>
      <c r="D48" s="99"/>
      <c r="E48" s="103"/>
      <c r="F48" s="103"/>
      <c r="G48" s="103"/>
      <c r="H48" s="103"/>
      <c r="I48" s="103"/>
      <c r="J48" s="103"/>
      <c r="K48" s="103"/>
      <c r="L48" s="103"/>
      <c r="M48" s="103"/>
      <c r="N48" s="103"/>
      <c r="O48" s="103"/>
      <c r="P48" s="103"/>
      <c r="Q48" s="103"/>
      <c r="R48" s="103"/>
      <c r="S48" s="103"/>
      <c r="T48" s="103"/>
      <c r="U48" s="103"/>
      <c r="V48" s="103"/>
      <c r="W48" s="103"/>
      <c r="X48" s="103"/>
      <c r="Y48" s="103"/>
      <c r="Z48" s="103"/>
      <c r="AA48" s="103"/>
      <c r="AB48" s="103"/>
      <c r="AC48" s="103"/>
      <c r="AD48" s="103"/>
      <c r="AE48" s="91"/>
    </row>
    <row r="49" ht="15.75" customHeight="1">
      <c r="A49" s="99" t="s">
        <v>600</v>
      </c>
      <c r="B49" s="103" t="s">
        <v>208</v>
      </c>
      <c r="C49" s="104" t="s">
        <v>606</v>
      </c>
      <c r="D49" s="103"/>
      <c r="E49" s="103"/>
      <c r="F49" s="103"/>
      <c r="G49" s="103"/>
      <c r="H49" s="103" t="s">
        <v>610</v>
      </c>
      <c r="I49" s="103"/>
      <c r="J49" s="103"/>
      <c r="K49" s="103"/>
      <c r="L49" s="103"/>
      <c r="M49" s="103"/>
      <c r="N49" s="103"/>
      <c r="O49" s="103"/>
      <c r="P49" s="103"/>
      <c r="Q49" s="103"/>
      <c r="R49" s="103"/>
      <c r="S49" s="103"/>
      <c r="T49" s="103"/>
      <c r="U49" s="103"/>
      <c r="V49" s="103"/>
      <c r="W49" s="103"/>
      <c r="X49" s="103"/>
      <c r="Y49" s="103"/>
      <c r="Z49" s="103"/>
      <c r="AA49" s="103"/>
      <c r="AB49" s="103"/>
      <c r="AC49" s="103"/>
      <c r="AD49" s="103"/>
      <c r="AE49" s="91"/>
    </row>
    <row r="50" ht="15.75" customHeight="1">
      <c r="A50" s="99" t="s">
        <v>611</v>
      </c>
      <c r="B50" s="103" t="s">
        <v>208</v>
      </c>
      <c r="C50" s="104" t="s">
        <v>612</v>
      </c>
      <c r="D50" s="99"/>
      <c r="E50" s="103"/>
      <c r="F50" s="103"/>
      <c r="G50" s="103"/>
      <c r="H50" s="103"/>
      <c r="I50" s="103"/>
      <c r="J50" s="103"/>
      <c r="K50" s="103"/>
      <c r="L50" s="103"/>
      <c r="M50" s="103"/>
      <c r="N50" s="103"/>
      <c r="O50" s="103"/>
      <c r="P50" s="103"/>
      <c r="Q50" s="103"/>
      <c r="R50" s="103"/>
      <c r="S50" s="103"/>
      <c r="T50" s="103"/>
      <c r="U50" s="103"/>
      <c r="V50" s="103"/>
      <c r="W50" s="103"/>
      <c r="X50" s="103"/>
      <c r="Y50" s="103"/>
      <c r="Z50" s="103"/>
      <c r="AA50" s="103"/>
      <c r="AB50" s="103"/>
      <c r="AC50" s="103"/>
      <c r="AD50" s="103"/>
      <c r="AE50" s="91"/>
    </row>
    <row r="51" ht="15.75" customHeight="1">
      <c r="A51" s="99" t="s">
        <v>611</v>
      </c>
      <c r="B51" s="103" t="s">
        <v>208</v>
      </c>
      <c r="C51" s="104" t="s">
        <v>624</v>
      </c>
      <c r="D51" s="103"/>
      <c r="E51" s="103"/>
      <c r="F51" s="103"/>
      <c r="G51" s="103"/>
      <c r="H51" s="103" t="s">
        <v>610</v>
      </c>
      <c r="I51" s="103"/>
      <c r="J51" s="103"/>
      <c r="K51" s="103"/>
      <c r="L51" s="103"/>
      <c r="M51" s="103"/>
      <c r="N51" s="103"/>
      <c r="O51" s="103"/>
      <c r="P51" s="103"/>
      <c r="Q51" s="103"/>
      <c r="R51" s="103"/>
      <c r="S51" s="103"/>
      <c r="T51" s="103"/>
      <c r="U51" s="103"/>
      <c r="V51" s="103"/>
      <c r="W51" s="103"/>
      <c r="X51" s="103"/>
      <c r="Y51" s="103"/>
      <c r="Z51" s="103"/>
      <c r="AA51" s="103"/>
      <c r="AB51" s="103"/>
      <c r="AC51" s="103"/>
      <c r="AD51" s="103"/>
      <c r="AE51" s="91"/>
    </row>
    <row r="52" ht="15.75" customHeight="1">
      <c r="A52" s="99" t="s">
        <v>634</v>
      </c>
      <c r="B52" s="103" t="s">
        <v>208</v>
      </c>
      <c r="C52" s="104" t="s">
        <v>635</v>
      </c>
      <c r="D52" s="103"/>
      <c r="E52" s="103"/>
      <c r="F52" s="103"/>
      <c r="G52" s="103"/>
      <c r="H52" s="103"/>
      <c r="I52" s="103"/>
      <c r="J52" s="103"/>
      <c r="K52" s="103"/>
      <c r="L52" s="103"/>
      <c r="M52" s="103"/>
      <c r="N52" s="103"/>
      <c r="O52" s="103"/>
      <c r="P52" s="103"/>
      <c r="Q52" s="103"/>
      <c r="R52" s="103"/>
      <c r="S52" s="103"/>
      <c r="T52" s="103"/>
      <c r="U52" s="103"/>
      <c r="V52" s="103"/>
      <c r="W52" s="103"/>
      <c r="X52" s="103"/>
      <c r="Y52" s="103"/>
      <c r="Z52" s="103"/>
      <c r="AA52" s="103"/>
      <c r="AB52" s="103"/>
      <c r="AC52" s="103"/>
      <c r="AD52" s="103"/>
      <c r="AE52" s="91"/>
    </row>
    <row r="53" ht="15.75" customHeight="1">
      <c r="A53" s="99" t="s">
        <v>23</v>
      </c>
      <c r="B53" s="103" t="s">
        <v>208</v>
      </c>
      <c r="C53" s="104" t="s">
        <v>645</v>
      </c>
      <c r="D53" s="103"/>
      <c r="E53" s="103"/>
      <c r="F53" s="103"/>
      <c r="G53" s="103"/>
      <c r="H53" s="103"/>
      <c r="I53" s="103"/>
      <c r="J53" s="103"/>
      <c r="K53" s="103"/>
      <c r="L53" s="103"/>
      <c r="M53" s="103"/>
      <c r="N53" s="103"/>
      <c r="O53" s="103"/>
      <c r="P53" s="103"/>
      <c r="Q53" s="103"/>
      <c r="R53" s="103"/>
      <c r="S53" s="103"/>
      <c r="T53" s="103"/>
      <c r="U53" s="103"/>
      <c r="V53" s="103"/>
      <c r="W53" s="103"/>
      <c r="X53" s="103"/>
      <c r="Y53" s="103"/>
      <c r="Z53" s="103"/>
      <c r="AA53" s="103"/>
      <c r="AB53" s="103"/>
      <c r="AC53" s="103"/>
      <c r="AD53" s="103"/>
      <c r="AE53" s="91"/>
    </row>
    <row r="54" ht="15.75" customHeight="1">
      <c r="A54" s="99" t="s">
        <v>23</v>
      </c>
      <c r="B54" s="103" t="s">
        <v>208</v>
      </c>
      <c r="C54" s="104" t="s">
        <v>654</v>
      </c>
      <c r="D54" s="103"/>
      <c r="E54" s="103"/>
      <c r="F54" s="103"/>
      <c r="G54" s="103"/>
      <c r="H54" s="103" t="s">
        <v>655</v>
      </c>
      <c r="I54" s="103"/>
      <c r="J54" s="103"/>
      <c r="K54" s="103"/>
      <c r="L54" s="103"/>
      <c r="M54" s="103"/>
      <c r="N54" s="103"/>
      <c r="O54" s="103"/>
      <c r="P54" s="103"/>
      <c r="Q54" s="103"/>
      <c r="R54" s="103"/>
      <c r="S54" s="103"/>
      <c r="T54" s="103"/>
      <c r="U54" s="103"/>
      <c r="V54" s="103"/>
      <c r="W54" s="103"/>
      <c r="X54" s="103"/>
      <c r="Y54" s="103"/>
      <c r="Z54" s="103"/>
      <c r="AA54" s="103"/>
      <c r="AB54" s="103"/>
      <c r="AC54" s="103"/>
      <c r="AD54" s="103"/>
      <c r="AE54" s="91"/>
    </row>
    <row r="55" ht="15.75" customHeight="1">
      <c r="A55" s="99" t="s">
        <v>23</v>
      </c>
      <c r="B55" s="103" t="s">
        <v>208</v>
      </c>
      <c r="C55" s="104" t="s">
        <v>675</v>
      </c>
      <c r="D55" s="103"/>
      <c r="E55" s="103"/>
      <c r="F55" s="103"/>
      <c r="G55" s="103"/>
      <c r="H55" s="103" t="s">
        <v>676</v>
      </c>
      <c r="I55" s="103"/>
      <c r="J55" s="103"/>
      <c r="K55" s="103"/>
      <c r="L55" s="103"/>
      <c r="M55" s="103"/>
      <c r="N55" s="103"/>
      <c r="O55" s="103"/>
      <c r="P55" s="103"/>
      <c r="Q55" s="103"/>
      <c r="R55" s="103"/>
      <c r="S55" s="103"/>
      <c r="T55" s="103"/>
      <c r="U55" s="103"/>
      <c r="V55" s="103"/>
      <c r="W55" s="103"/>
      <c r="X55" s="103"/>
      <c r="Y55" s="103"/>
      <c r="Z55" s="103"/>
      <c r="AA55" s="103"/>
      <c r="AB55" s="103"/>
      <c r="AC55" s="103"/>
      <c r="AD55" s="103"/>
      <c r="AE55" s="91"/>
    </row>
    <row r="56" ht="15.75" customHeight="1">
      <c r="A56" s="99" t="s">
        <v>23</v>
      </c>
      <c r="B56" s="103" t="s">
        <v>208</v>
      </c>
      <c r="C56" s="104" t="s">
        <v>697</v>
      </c>
      <c r="D56" s="103"/>
      <c r="E56" s="103"/>
      <c r="F56" s="103"/>
      <c r="G56" s="103"/>
      <c r="H56" s="103" t="s">
        <v>703</v>
      </c>
      <c r="I56" s="103"/>
      <c r="J56" s="103"/>
      <c r="K56" s="103"/>
      <c r="L56" s="103"/>
      <c r="M56" s="103"/>
      <c r="N56" s="103"/>
      <c r="O56" s="103"/>
      <c r="P56" s="103"/>
      <c r="Q56" s="103"/>
      <c r="R56" s="103"/>
      <c r="S56" s="103"/>
      <c r="T56" s="103"/>
      <c r="U56" s="103"/>
      <c r="V56" s="103"/>
      <c r="W56" s="103"/>
      <c r="X56" s="103"/>
      <c r="Y56" s="103"/>
      <c r="Z56" s="103"/>
      <c r="AA56" s="103"/>
      <c r="AB56" s="103"/>
      <c r="AC56" s="103"/>
      <c r="AD56" s="103"/>
      <c r="AE56" s="91"/>
    </row>
    <row r="57" ht="15.75" customHeight="1">
      <c r="A57" s="99" t="s">
        <v>712</v>
      </c>
      <c r="B57" s="103" t="s">
        <v>208</v>
      </c>
      <c r="C57" s="104" t="s">
        <v>720</v>
      </c>
      <c r="D57" s="103"/>
      <c r="E57" s="103"/>
      <c r="F57" s="103"/>
      <c r="G57" s="103"/>
      <c r="H57" s="103"/>
      <c r="I57" s="103"/>
      <c r="J57" s="103"/>
      <c r="K57" s="103"/>
      <c r="L57" s="103"/>
      <c r="M57" s="103"/>
      <c r="N57" s="103"/>
      <c r="O57" s="103"/>
      <c r="P57" s="103"/>
      <c r="Q57" s="103"/>
      <c r="R57" s="103"/>
      <c r="S57" s="103"/>
      <c r="T57" s="103"/>
      <c r="U57" s="103"/>
      <c r="V57" s="103"/>
      <c r="W57" s="103"/>
      <c r="X57" s="103"/>
      <c r="Y57" s="103"/>
      <c r="Z57" s="103"/>
      <c r="AA57" s="103"/>
      <c r="AB57" s="103"/>
      <c r="AC57" s="103"/>
      <c r="AD57" s="103"/>
      <c r="AE57" s="91"/>
    </row>
    <row r="58" ht="15.75" customHeight="1">
      <c r="A58" s="99" t="s">
        <v>731</v>
      </c>
      <c r="B58" s="103" t="s">
        <v>208</v>
      </c>
      <c r="C58" s="104" t="s">
        <v>736</v>
      </c>
      <c r="D58" s="103"/>
      <c r="E58" s="103"/>
      <c r="F58" s="103"/>
      <c r="G58" s="103"/>
      <c r="H58" s="103"/>
      <c r="I58" s="103"/>
      <c r="J58" s="103"/>
      <c r="K58" s="103"/>
      <c r="L58" s="103"/>
      <c r="M58" s="103"/>
      <c r="N58" s="103"/>
      <c r="O58" s="103"/>
      <c r="P58" s="103"/>
      <c r="Q58" s="103"/>
      <c r="R58" s="103"/>
      <c r="S58" s="103"/>
      <c r="T58" s="103"/>
      <c r="U58" s="103"/>
      <c r="V58" s="103"/>
      <c r="W58" s="103"/>
      <c r="X58" s="103"/>
      <c r="Y58" s="103"/>
      <c r="Z58" s="103"/>
      <c r="AA58" s="103"/>
      <c r="AB58" s="103"/>
      <c r="AC58" s="103"/>
      <c r="AD58" s="103"/>
      <c r="AE58" s="91"/>
    </row>
    <row r="59" ht="15.75" customHeight="1">
      <c r="A59" s="99" t="s">
        <v>747</v>
      </c>
      <c r="B59" s="103" t="s">
        <v>208</v>
      </c>
      <c r="C59" s="104" t="s">
        <v>754</v>
      </c>
      <c r="D59" s="103"/>
      <c r="E59" s="103"/>
      <c r="F59" s="103"/>
      <c r="G59" s="103"/>
      <c r="H59" s="103"/>
      <c r="I59" s="103"/>
      <c r="J59" s="103"/>
      <c r="K59" s="103"/>
      <c r="L59" s="103"/>
      <c r="M59" s="103"/>
      <c r="N59" s="103"/>
      <c r="O59" s="103"/>
      <c r="P59" s="103"/>
      <c r="Q59" s="103"/>
      <c r="R59" s="103"/>
      <c r="S59" s="103"/>
      <c r="T59" s="103"/>
      <c r="U59" s="103"/>
      <c r="V59" s="103"/>
      <c r="W59" s="103"/>
      <c r="X59" s="103"/>
      <c r="Y59" s="103"/>
      <c r="Z59" s="103"/>
      <c r="AA59" s="103"/>
      <c r="AB59" s="103"/>
      <c r="AC59" s="103"/>
      <c r="AD59" s="103"/>
      <c r="AE59" s="91"/>
    </row>
    <row r="60" ht="15.75" customHeight="1">
      <c r="A60" s="99" t="s">
        <v>41</v>
      </c>
      <c r="B60" s="103" t="s">
        <v>208</v>
      </c>
      <c r="C60" s="104" t="s">
        <v>770</v>
      </c>
      <c r="D60" s="103"/>
      <c r="E60" s="103"/>
      <c r="F60" s="103"/>
      <c r="G60" s="103"/>
      <c r="H60" s="103"/>
      <c r="I60" s="103"/>
      <c r="J60" s="103"/>
      <c r="K60" s="103"/>
      <c r="L60" s="103"/>
      <c r="M60" s="103"/>
      <c r="N60" s="103"/>
      <c r="O60" s="103"/>
      <c r="P60" s="103"/>
      <c r="Q60" s="103"/>
      <c r="R60" s="103"/>
      <c r="S60" s="103"/>
      <c r="T60" s="103"/>
      <c r="U60" s="103"/>
      <c r="V60" s="103"/>
      <c r="W60" s="103"/>
      <c r="X60" s="103"/>
      <c r="Y60" s="103"/>
      <c r="Z60" s="103"/>
      <c r="AA60" s="103"/>
      <c r="AB60" s="103"/>
      <c r="AC60" s="103"/>
      <c r="AD60" s="103"/>
      <c r="AE60" s="91"/>
    </row>
    <row r="61" ht="15.75" customHeight="1">
      <c r="A61" s="99" t="s">
        <v>46</v>
      </c>
      <c r="B61" s="103" t="s">
        <v>208</v>
      </c>
      <c r="C61" s="104"/>
      <c r="D61" s="103"/>
      <c r="E61" s="103"/>
      <c r="F61" s="103"/>
      <c r="G61" s="103"/>
      <c r="H61" s="103"/>
      <c r="I61" s="103"/>
      <c r="J61" s="103"/>
      <c r="K61" s="103"/>
      <c r="L61" s="103"/>
      <c r="M61" s="103"/>
      <c r="N61" s="103"/>
      <c r="O61" s="103"/>
      <c r="P61" s="103"/>
      <c r="Q61" s="103"/>
      <c r="R61" s="103"/>
      <c r="S61" s="103"/>
      <c r="T61" s="103"/>
      <c r="U61" s="103"/>
      <c r="V61" s="103"/>
      <c r="W61" s="103"/>
      <c r="X61" s="103"/>
      <c r="Y61" s="103"/>
      <c r="Z61" s="103"/>
      <c r="AA61" s="103"/>
      <c r="AB61" s="103"/>
      <c r="AC61" s="103"/>
      <c r="AD61" s="103"/>
      <c r="AE61" s="91"/>
    </row>
    <row r="62" ht="15.75" customHeight="1">
      <c r="A62" s="99" t="s">
        <v>54</v>
      </c>
      <c r="B62" s="103" t="s">
        <v>208</v>
      </c>
      <c r="C62" s="104"/>
      <c r="D62" s="103"/>
      <c r="E62" s="103"/>
      <c r="F62" s="103"/>
      <c r="G62" s="103"/>
      <c r="H62" s="103"/>
      <c r="I62" s="103"/>
      <c r="J62" s="103"/>
      <c r="K62" s="103"/>
      <c r="L62" s="103"/>
      <c r="M62" s="103"/>
      <c r="N62" s="103"/>
      <c r="O62" s="103"/>
      <c r="P62" s="103"/>
      <c r="Q62" s="103"/>
      <c r="R62" s="103"/>
      <c r="S62" s="103"/>
      <c r="T62" s="103"/>
      <c r="U62" s="103"/>
      <c r="V62" s="103"/>
      <c r="W62" s="103"/>
      <c r="X62" s="103"/>
      <c r="Y62" s="103"/>
      <c r="Z62" s="103"/>
      <c r="AA62" s="103"/>
      <c r="AB62" s="103"/>
      <c r="AC62" s="103"/>
      <c r="AD62" s="103"/>
      <c r="AE62" s="91"/>
    </row>
    <row r="63" ht="15.75" customHeight="1">
      <c r="A63" s="99" t="s">
        <v>59</v>
      </c>
      <c r="B63" s="103" t="s">
        <v>208</v>
      </c>
      <c r="C63" s="104"/>
      <c r="D63" s="103"/>
      <c r="E63" s="103"/>
      <c r="F63" s="103"/>
      <c r="G63" s="103"/>
      <c r="H63" s="103"/>
      <c r="I63" s="103"/>
      <c r="J63" s="103"/>
      <c r="K63" s="103"/>
      <c r="L63" s="103"/>
      <c r="M63" s="103"/>
      <c r="N63" s="103"/>
      <c r="O63" s="103"/>
      <c r="P63" s="103"/>
      <c r="Q63" s="103"/>
      <c r="R63" s="103"/>
      <c r="S63" s="103"/>
      <c r="T63" s="103"/>
      <c r="U63" s="103"/>
      <c r="V63" s="103"/>
      <c r="W63" s="103"/>
      <c r="X63" s="103"/>
      <c r="Y63" s="103"/>
      <c r="Z63" s="103"/>
      <c r="AA63" s="103"/>
      <c r="AB63" s="103"/>
      <c r="AC63" s="103"/>
      <c r="AD63" s="103"/>
      <c r="AE63" s="91"/>
    </row>
    <row r="64" ht="15.75" customHeight="1">
      <c r="A64" s="99" t="s">
        <v>819</v>
      </c>
      <c r="B64" s="103" t="s">
        <v>208</v>
      </c>
      <c r="C64" s="104"/>
      <c r="D64" s="103"/>
      <c r="E64" s="103"/>
      <c r="F64" s="103"/>
      <c r="G64" s="103"/>
      <c r="H64" s="103"/>
      <c r="I64" s="103"/>
      <c r="J64" s="103"/>
      <c r="K64" s="103"/>
      <c r="L64" s="103"/>
      <c r="M64" s="103"/>
      <c r="N64" s="103"/>
      <c r="O64" s="103"/>
      <c r="P64" s="103"/>
      <c r="Q64" s="103"/>
      <c r="R64" s="103"/>
      <c r="S64" s="103"/>
      <c r="T64" s="103"/>
      <c r="U64" s="103"/>
      <c r="V64" s="103"/>
      <c r="W64" s="103"/>
      <c r="X64" s="103"/>
      <c r="Y64" s="103"/>
      <c r="Z64" s="103"/>
      <c r="AA64" s="103"/>
      <c r="AB64" s="103"/>
      <c r="AC64" s="103"/>
      <c r="AD64" s="103"/>
      <c r="AE64" s="91"/>
    </row>
    <row r="65" ht="15.75" customHeight="1">
      <c r="A65" s="99" t="s">
        <v>830</v>
      </c>
      <c r="B65" s="103" t="s">
        <v>208</v>
      </c>
      <c r="C65" s="104"/>
      <c r="D65" s="103"/>
      <c r="E65" s="103"/>
      <c r="F65" s="103"/>
      <c r="G65" s="103"/>
      <c r="H65" s="103"/>
      <c r="I65" s="103"/>
      <c r="J65" s="103"/>
      <c r="K65" s="103"/>
      <c r="L65" s="103"/>
      <c r="M65" s="103"/>
      <c r="N65" s="103"/>
      <c r="O65" s="103"/>
      <c r="P65" s="103"/>
      <c r="Q65" s="103"/>
      <c r="R65" s="103"/>
      <c r="S65" s="103"/>
      <c r="T65" s="103"/>
      <c r="U65" s="103"/>
      <c r="V65" s="103"/>
      <c r="W65" s="103"/>
      <c r="X65" s="103"/>
      <c r="Y65" s="103"/>
      <c r="Z65" s="103"/>
      <c r="AA65" s="103"/>
      <c r="AB65" s="103"/>
      <c r="AC65" s="103"/>
      <c r="AD65" s="103"/>
      <c r="AE65" s="91"/>
    </row>
    <row r="66" ht="15.75" customHeight="1">
      <c r="A66" s="189" t="s">
        <v>226</v>
      </c>
      <c r="B66" s="103" t="s">
        <v>208</v>
      </c>
      <c r="C66" s="104"/>
      <c r="D66" s="103"/>
      <c r="E66" s="103"/>
      <c r="F66" s="103"/>
      <c r="G66" s="103"/>
      <c r="H66" s="103"/>
      <c r="I66" s="103"/>
      <c r="J66" s="103"/>
      <c r="K66" s="103"/>
      <c r="L66" s="103"/>
      <c r="M66" s="103"/>
      <c r="N66" s="103"/>
      <c r="O66" s="103"/>
      <c r="P66" s="103"/>
      <c r="Q66" s="103"/>
      <c r="R66" s="103"/>
      <c r="S66" s="103"/>
      <c r="T66" s="103"/>
      <c r="U66" s="103"/>
      <c r="V66" s="103"/>
      <c r="W66" s="103"/>
      <c r="X66" s="103"/>
      <c r="Y66" s="103"/>
      <c r="Z66" s="103"/>
      <c r="AA66" s="103"/>
      <c r="AB66" s="103"/>
      <c r="AC66" s="103"/>
      <c r="AD66" s="103"/>
      <c r="AE66" s="91"/>
    </row>
    <row r="67" ht="15.75" customHeight="1">
      <c r="A67" s="99" t="s">
        <v>62</v>
      </c>
      <c r="B67" s="103" t="s">
        <v>208</v>
      </c>
      <c r="C67" s="104"/>
      <c r="D67" s="103"/>
      <c r="E67" s="103"/>
      <c r="F67" s="103"/>
      <c r="G67" s="103"/>
      <c r="H67" s="103"/>
      <c r="I67" s="103"/>
      <c r="J67" s="103"/>
      <c r="K67" s="103"/>
      <c r="L67" s="103"/>
      <c r="M67" s="103"/>
      <c r="N67" s="103"/>
      <c r="O67" s="103"/>
      <c r="P67" s="103"/>
      <c r="Q67" s="103"/>
      <c r="R67" s="103"/>
      <c r="S67" s="103"/>
      <c r="T67" s="103"/>
      <c r="U67" s="103"/>
      <c r="V67" s="103"/>
      <c r="W67" s="103"/>
      <c r="X67" s="103"/>
      <c r="Y67" s="103"/>
      <c r="Z67" s="103"/>
      <c r="AA67" s="103"/>
      <c r="AB67" s="103"/>
      <c r="AC67" s="103"/>
      <c r="AD67" s="103"/>
      <c r="AE67" s="91"/>
    </row>
    <row r="68" ht="15.75" customHeight="1">
      <c r="A68" s="99" t="s">
        <v>868</v>
      </c>
      <c r="B68" s="103" t="s">
        <v>208</v>
      </c>
      <c r="C68" s="104"/>
      <c r="D68" s="103"/>
      <c r="E68" s="103"/>
      <c r="F68" s="103"/>
      <c r="G68" s="103"/>
      <c r="H68" s="103"/>
      <c r="I68" s="103"/>
      <c r="J68" s="103"/>
      <c r="K68" s="103"/>
      <c r="L68" s="103"/>
      <c r="M68" s="103"/>
      <c r="N68" s="103"/>
      <c r="O68" s="103"/>
      <c r="P68" s="103"/>
      <c r="Q68" s="103"/>
      <c r="R68" s="103"/>
      <c r="S68" s="103"/>
      <c r="T68" s="103"/>
      <c r="U68" s="103"/>
      <c r="V68" s="103"/>
      <c r="W68" s="103"/>
      <c r="X68" s="103"/>
      <c r="Y68" s="103"/>
      <c r="Z68" s="103"/>
      <c r="AA68" s="103"/>
      <c r="AB68" s="103"/>
      <c r="AC68" s="103"/>
      <c r="AD68" s="103"/>
      <c r="AE68" s="91"/>
    </row>
    <row r="69" ht="15.75" customHeight="1">
      <c r="A69" s="99" t="s">
        <v>78</v>
      </c>
      <c r="B69" s="103" t="s">
        <v>208</v>
      </c>
      <c r="C69" s="104"/>
      <c r="D69" s="103"/>
      <c r="E69" s="103"/>
      <c r="F69" s="103"/>
      <c r="G69" s="103"/>
      <c r="H69" s="103"/>
      <c r="I69" s="103"/>
      <c r="J69" s="103"/>
      <c r="K69" s="103"/>
      <c r="L69" s="103"/>
      <c r="M69" s="103"/>
      <c r="N69" s="103"/>
      <c r="O69" s="103"/>
      <c r="P69" s="103"/>
      <c r="Q69" s="103"/>
      <c r="R69" s="103" t="s">
        <v>885</v>
      </c>
      <c r="S69" s="103"/>
      <c r="T69" s="103"/>
      <c r="U69" s="103"/>
      <c r="V69" s="103"/>
      <c r="W69" s="103"/>
      <c r="X69" s="103"/>
      <c r="Y69" s="103"/>
      <c r="Z69" s="103"/>
      <c r="AA69" s="103"/>
      <c r="AB69" s="103"/>
      <c r="AC69" s="103"/>
      <c r="AD69" s="103"/>
      <c r="AE69" s="91"/>
    </row>
    <row r="70" ht="15.75" customHeight="1">
      <c r="A70" s="99" t="s">
        <v>134</v>
      </c>
      <c r="B70" s="103" t="s">
        <v>208</v>
      </c>
      <c r="C70" s="104"/>
      <c r="D70" s="103"/>
      <c r="E70" s="103"/>
      <c r="F70" s="103"/>
      <c r="G70" s="103"/>
      <c r="H70" s="103"/>
      <c r="I70" s="103"/>
      <c r="J70" s="103"/>
      <c r="K70" s="103"/>
      <c r="L70" s="103"/>
      <c r="M70" s="103"/>
      <c r="N70" s="103"/>
      <c r="O70" s="103"/>
      <c r="P70" s="103"/>
      <c r="Q70" s="103"/>
      <c r="R70" s="103" t="s">
        <v>894</v>
      </c>
      <c r="S70" s="103"/>
      <c r="T70" s="103"/>
      <c r="U70" s="103"/>
      <c r="V70" s="103"/>
      <c r="W70" s="103"/>
      <c r="X70" s="103"/>
      <c r="Y70" s="103"/>
      <c r="Z70" s="103"/>
      <c r="AA70" s="103"/>
      <c r="AB70" s="103"/>
      <c r="AC70" s="103"/>
      <c r="AD70" s="103"/>
      <c r="AE70" s="91"/>
    </row>
    <row r="71" ht="15.75" customHeight="1">
      <c r="A71" s="99" t="s">
        <v>98</v>
      </c>
      <c r="B71" s="103" t="s">
        <v>208</v>
      </c>
      <c r="C71" s="104"/>
      <c r="D71" s="103"/>
      <c r="E71" s="103"/>
      <c r="F71" s="103"/>
      <c r="G71" s="103"/>
      <c r="H71" s="103" t="s">
        <v>903</v>
      </c>
      <c r="I71" s="103"/>
      <c r="J71" s="103"/>
      <c r="K71" s="103"/>
      <c r="L71" s="103"/>
      <c r="M71" s="103"/>
      <c r="N71" s="103"/>
      <c r="O71" s="103"/>
      <c r="P71" s="103"/>
      <c r="Q71" s="103"/>
      <c r="R71" s="103"/>
      <c r="S71" s="103"/>
      <c r="T71" s="103"/>
      <c r="U71" s="103"/>
      <c r="V71" s="103"/>
      <c r="W71" s="103"/>
      <c r="X71" s="103"/>
      <c r="Y71" s="103"/>
      <c r="Z71" s="103"/>
      <c r="AA71" s="103"/>
      <c r="AB71" s="103"/>
      <c r="AC71" s="103"/>
      <c r="AD71" s="103"/>
      <c r="AE71" s="91"/>
    </row>
    <row r="72" ht="15.75" customHeight="1">
      <c r="A72" s="103" t="s">
        <v>98</v>
      </c>
      <c r="B72" s="103" t="s">
        <v>208</v>
      </c>
      <c r="C72" s="104"/>
      <c r="D72" s="103"/>
      <c r="E72" s="103"/>
      <c r="F72" s="103"/>
      <c r="G72" s="103"/>
      <c r="H72" s="103" t="s">
        <v>914</v>
      </c>
      <c r="I72" s="103"/>
      <c r="J72" s="103"/>
      <c r="K72" s="103"/>
      <c r="L72" s="103"/>
      <c r="M72" s="103"/>
      <c r="N72" s="103"/>
      <c r="O72" s="103"/>
      <c r="P72" s="103"/>
      <c r="Q72" s="103"/>
      <c r="R72" s="103"/>
      <c r="S72" s="103"/>
      <c r="T72" s="103"/>
      <c r="U72" s="103"/>
      <c r="V72" s="103"/>
      <c r="W72" s="103"/>
      <c r="X72" s="103"/>
      <c r="Y72" s="103"/>
      <c r="Z72" s="103"/>
      <c r="AA72" s="103"/>
      <c r="AB72" s="103"/>
      <c r="AC72" s="103"/>
      <c r="AD72" s="103"/>
      <c r="AE72" s="91"/>
    </row>
    <row r="73" ht="15.75" customHeight="1">
      <c r="A73" s="99" t="s">
        <v>925</v>
      </c>
      <c r="B73" s="103" t="s">
        <v>208</v>
      </c>
      <c r="C73" s="104"/>
      <c r="D73" s="103"/>
      <c r="E73" s="103"/>
      <c r="F73" s="103"/>
      <c r="G73" s="103"/>
      <c r="H73" s="103" t="s">
        <v>928</v>
      </c>
      <c r="I73" s="103"/>
      <c r="J73" s="103"/>
      <c r="K73" s="103"/>
      <c r="L73" s="103"/>
      <c r="M73" s="103"/>
      <c r="N73" s="103"/>
      <c r="O73" s="103"/>
      <c r="P73" s="103"/>
      <c r="Q73" s="103"/>
      <c r="R73" s="103"/>
      <c r="S73" s="103"/>
      <c r="T73" s="103"/>
      <c r="U73" s="103"/>
      <c r="V73" s="103"/>
      <c r="W73" s="103"/>
      <c r="X73" s="103"/>
      <c r="Y73" s="103"/>
      <c r="Z73" s="103"/>
      <c r="AA73" s="103"/>
      <c r="AB73" s="103"/>
      <c r="AC73" s="103"/>
      <c r="AD73" s="103"/>
      <c r="AE73" s="91"/>
    </row>
    <row r="74" ht="15.75" customHeight="1">
      <c r="A74" s="99" t="s">
        <v>925</v>
      </c>
      <c r="B74" s="103" t="s">
        <v>208</v>
      </c>
      <c r="C74" s="104"/>
      <c r="D74" s="103"/>
      <c r="E74" s="103"/>
      <c r="F74" s="103"/>
      <c r="G74" s="103"/>
      <c r="H74" s="103" t="s">
        <v>938</v>
      </c>
      <c r="I74" s="103"/>
      <c r="J74" s="103"/>
      <c r="K74" s="103"/>
      <c r="L74" s="103"/>
      <c r="M74" s="103"/>
      <c r="N74" s="103"/>
      <c r="O74" s="103"/>
      <c r="P74" s="103"/>
      <c r="Q74" s="103"/>
      <c r="R74" s="103"/>
      <c r="S74" s="103"/>
      <c r="T74" s="103"/>
      <c r="U74" s="103"/>
      <c r="V74" s="103"/>
      <c r="W74" s="103"/>
      <c r="X74" s="103"/>
      <c r="Y74" s="103"/>
      <c r="Z74" s="103"/>
      <c r="AA74" s="103"/>
      <c r="AB74" s="103"/>
      <c r="AC74" s="103"/>
      <c r="AD74" s="103"/>
      <c r="AE74" s="91"/>
    </row>
    <row r="75" ht="15.75" customHeight="1">
      <c r="A75" s="99" t="s">
        <v>925</v>
      </c>
      <c r="B75" s="103" t="s">
        <v>208</v>
      </c>
      <c r="C75" s="104"/>
      <c r="D75" s="103"/>
      <c r="E75" s="103"/>
      <c r="F75" s="103"/>
      <c r="G75" s="103"/>
      <c r="H75" s="103" t="s">
        <v>948</v>
      </c>
      <c r="I75" s="103"/>
      <c r="J75" s="103"/>
      <c r="K75" s="103"/>
      <c r="L75" s="103"/>
      <c r="M75" s="103"/>
      <c r="N75" s="103"/>
      <c r="O75" s="103"/>
      <c r="P75" s="103"/>
      <c r="Q75" s="103"/>
      <c r="R75" s="103"/>
      <c r="S75" s="103"/>
      <c r="T75" s="103"/>
      <c r="U75" s="103"/>
      <c r="V75" s="103"/>
      <c r="W75" s="103"/>
      <c r="X75" s="103"/>
      <c r="Y75" s="103"/>
      <c r="Z75" s="103"/>
      <c r="AA75" s="103"/>
      <c r="AB75" s="103"/>
      <c r="AC75" s="103"/>
      <c r="AD75" s="103"/>
      <c r="AE75" s="91"/>
    </row>
    <row r="76" ht="15.75" customHeight="1">
      <c r="A76" s="99" t="s">
        <v>131</v>
      </c>
      <c r="B76" s="103" t="s">
        <v>963</v>
      </c>
      <c r="C76" s="104" t="s">
        <v>964</v>
      </c>
      <c r="D76" s="103"/>
      <c r="E76" s="103"/>
      <c r="F76" s="103"/>
      <c r="G76" s="103"/>
      <c r="H76" s="103"/>
      <c r="I76" s="103"/>
      <c r="J76" s="103"/>
      <c r="K76" s="103"/>
      <c r="L76" s="103"/>
      <c r="M76" s="103"/>
      <c r="N76" s="103"/>
      <c r="O76" s="103"/>
      <c r="P76" s="103"/>
      <c r="Q76" s="103"/>
      <c r="R76" s="103"/>
      <c r="S76" s="103"/>
      <c r="T76" s="103"/>
      <c r="U76" s="103"/>
      <c r="V76" s="103"/>
      <c r="W76" s="103"/>
      <c r="X76" s="103"/>
      <c r="Y76" s="103"/>
      <c r="Z76" s="103"/>
      <c r="AA76" s="103"/>
      <c r="AB76" s="103"/>
      <c r="AC76" s="103"/>
      <c r="AD76" s="103"/>
      <c r="AE76" s="91"/>
    </row>
    <row r="77" ht="15.75" customHeight="1">
      <c r="A77" s="103" t="s">
        <v>976</v>
      </c>
      <c r="B77" s="103"/>
      <c r="C77" s="104"/>
      <c r="D77" s="103"/>
      <c r="E77" s="103"/>
      <c r="F77" s="103"/>
      <c r="G77" s="103"/>
      <c r="H77" s="103"/>
      <c r="I77" s="103"/>
      <c r="J77" s="103"/>
      <c r="K77" s="103"/>
      <c r="L77" s="103"/>
      <c r="M77" s="103"/>
      <c r="N77" s="103"/>
      <c r="O77" s="103"/>
      <c r="P77" s="103"/>
      <c r="Q77" s="103"/>
      <c r="R77" s="103"/>
      <c r="S77" s="103"/>
      <c r="T77" s="103"/>
      <c r="U77" s="103"/>
      <c r="V77" s="103"/>
      <c r="W77" s="103"/>
      <c r="X77" s="103"/>
      <c r="Y77" s="103"/>
      <c r="Z77" s="103"/>
      <c r="AA77" s="103"/>
      <c r="AB77" s="103"/>
      <c r="AC77" s="103"/>
      <c r="AD77" s="103"/>
      <c r="AE77" s="91"/>
    </row>
    <row r="78" ht="15.75" customHeight="1">
      <c r="A78" s="103" t="s">
        <v>237</v>
      </c>
      <c r="B78" s="103" t="s">
        <v>963</v>
      </c>
      <c r="C78" s="104"/>
      <c r="D78" s="103"/>
      <c r="E78" s="103"/>
      <c r="F78" s="103"/>
      <c r="G78" s="103"/>
      <c r="H78" s="103"/>
      <c r="I78" s="103"/>
      <c r="J78" s="103"/>
      <c r="K78" s="103"/>
      <c r="L78" s="103"/>
      <c r="M78" s="103"/>
      <c r="N78" s="103"/>
      <c r="O78" s="103"/>
      <c r="P78" s="103"/>
      <c r="Q78" s="103"/>
      <c r="R78" s="103"/>
      <c r="S78" s="103"/>
      <c r="T78" s="103"/>
      <c r="U78" s="103"/>
      <c r="V78" s="103"/>
      <c r="W78" s="103"/>
      <c r="X78" s="103"/>
      <c r="Y78" s="103"/>
      <c r="Z78" s="103"/>
      <c r="AA78" s="103"/>
      <c r="AB78" s="103"/>
      <c r="AC78" s="103"/>
      <c r="AD78" s="103"/>
      <c r="AE78" s="91"/>
    </row>
    <row r="79" ht="15.75" customHeight="1">
      <c r="A79" s="99" t="s">
        <v>698</v>
      </c>
      <c r="B79" s="103" t="s">
        <v>998</v>
      </c>
      <c r="C79" s="104" t="s">
        <v>1000</v>
      </c>
      <c r="D79" s="103"/>
      <c r="E79" s="103"/>
      <c r="F79" s="103"/>
      <c r="G79" s="103"/>
      <c r="H79" s="103"/>
      <c r="I79" s="103"/>
      <c r="J79" s="103"/>
      <c r="K79" s="103"/>
      <c r="L79" s="103"/>
      <c r="M79" s="103"/>
      <c r="N79" s="103"/>
      <c r="O79" s="103"/>
      <c r="P79" s="103"/>
      <c r="Q79" s="103"/>
      <c r="R79" s="103"/>
      <c r="S79" s="103"/>
      <c r="T79" s="103"/>
      <c r="U79" s="103"/>
      <c r="V79" s="103"/>
      <c r="W79" s="103"/>
      <c r="X79" s="103"/>
      <c r="Y79" s="103"/>
      <c r="Z79" s="103"/>
      <c r="AA79" s="103"/>
      <c r="AB79" s="103"/>
      <c r="AC79" s="103"/>
      <c r="AD79" s="103"/>
      <c r="AE79" s="91"/>
    </row>
    <row r="80" ht="15.75" customHeight="1">
      <c r="A80" s="103" t="s">
        <v>976</v>
      </c>
      <c r="B80" s="103"/>
      <c r="C80" s="104"/>
      <c r="D80" s="103"/>
      <c r="E80" s="103"/>
      <c r="F80" s="103"/>
      <c r="G80" s="103"/>
      <c r="H80" s="103"/>
      <c r="I80" s="103"/>
      <c r="J80" s="103"/>
      <c r="K80" s="103"/>
      <c r="L80" s="103"/>
      <c r="M80" s="103"/>
      <c r="N80" s="103"/>
      <c r="O80" s="103"/>
      <c r="P80" s="103"/>
      <c r="Q80" s="103"/>
      <c r="R80" s="103"/>
      <c r="S80" s="103"/>
      <c r="T80" s="103"/>
      <c r="U80" s="103"/>
      <c r="V80" s="103"/>
      <c r="W80" s="103"/>
      <c r="X80" s="103"/>
      <c r="Y80" s="103"/>
      <c r="Z80" s="103"/>
      <c r="AA80" s="103"/>
      <c r="AB80" s="103"/>
      <c r="AC80" s="103"/>
      <c r="AD80" s="103"/>
      <c r="AE80" s="91"/>
    </row>
    <row r="81" ht="15.75" customHeight="1">
      <c r="A81" s="103" t="s">
        <v>1015</v>
      </c>
      <c r="B81" s="103" t="s">
        <v>998</v>
      </c>
      <c r="C81" s="104"/>
      <c r="D81" s="103"/>
      <c r="E81" s="103"/>
      <c r="F81" s="103"/>
      <c r="G81" s="103"/>
      <c r="H81" s="103"/>
      <c r="I81" s="103"/>
      <c r="J81" s="103"/>
      <c r="K81" s="103"/>
      <c r="L81" s="103"/>
      <c r="M81" s="103"/>
      <c r="N81" s="103"/>
      <c r="O81" s="103"/>
      <c r="P81" s="103"/>
      <c r="Q81" s="103"/>
      <c r="R81" s="103"/>
      <c r="S81" s="103"/>
      <c r="T81" s="103"/>
      <c r="U81" s="103"/>
      <c r="V81" s="103"/>
      <c r="W81" s="103"/>
      <c r="X81" s="103"/>
      <c r="Y81" s="103"/>
      <c r="Z81" s="103"/>
      <c r="AA81" s="103"/>
      <c r="AB81" s="103"/>
      <c r="AC81" s="103"/>
      <c r="AD81" s="103"/>
      <c r="AE81" s="91"/>
    </row>
    <row r="82" ht="15.75" customHeight="1">
      <c r="A82" s="99" t="s">
        <v>698</v>
      </c>
      <c r="B82" s="103" t="s">
        <v>998</v>
      </c>
      <c r="C82" s="104" t="s">
        <v>1028</v>
      </c>
      <c r="D82" s="103"/>
      <c r="E82" s="103"/>
      <c r="F82" s="103"/>
      <c r="G82" s="103"/>
      <c r="H82" s="103"/>
      <c r="I82" s="103"/>
      <c r="J82" s="103"/>
      <c r="K82" s="103"/>
      <c r="L82" s="103"/>
      <c r="M82" s="103"/>
      <c r="N82" s="103"/>
      <c r="O82" s="103"/>
      <c r="P82" s="103"/>
      <c r="Q82" s="103"/>
      <c r="R82" s="103"/>
      <c r="S82" s="192">
        <v>3.0</v>
      </c>
      <c r="T82" s="103"/>
      <c r="U82" s="103"/>
      <c r="V82" s="103"/>
      <c r="W82" s="103"/>
      <c r="X82" s="103"/>
      <c r="Y82" s="103"/>
      <c r="Z82" s="103"/>
      <c r="AA82" s="103"/>
      <c r="AB82" s="103"/>
      <c r="AC82" s="103"/>
      <c r="AD82" s="103"/>
      <c r="AE82" s="91"/>
    </row>
    <row r="83" ht="15.75" customHeight="1">
      <c r="A83" s="103" t="s">
        <v>976</v>
      </c>
      <c r="B83" s="103"/>
      <c r="C83" s="104"/>
      <c r="D83" s="103"/>
      <c r="E83" s="103"/>
      <c r="F83" s="103"/>
      <c r="G83" s="103"/>
      <c r="H83" s="103"/>
      <c r="I83" s="103"/>
      <c r="J83" s="103"/>
      <c r="K83" s="103"/>
      <c r="L83" s="103"/>
      <c r="M83" s="103"/>
      <c r="N83" s="103"/>
      <c r="O83" s="103"/>
      <c r="P83" s="103"/>
      <c r="Q83" s="103"/>
      <c r="R83" s="103"/>
      <c r="S83" s="103"/>
      <c r="T83" s="103"/>
      <c r="U83" s="103"/>
      <c r="V83" s="103"/>
      <c r="W83" s="103"/>
      <c r="X83" s="103"/>
      <c r="Y83" s="103"/>
      <c r="Z83" s="103"/>
      <c r="AA83" s="103"/>
      <c r="AB83" s="103"/>
      <c r="AC83" s="103"/>
      <c r="AD83" s="103"/>
      <c r="AE83" s="91"/>
    </row>
    <row r="84" ht="15.75" customHeight="1">
      <c r="A84" s="103" t="s">
        <v>1015</v>
      </c>
      <c r="B84" s="103" t="s">
        <v>998</v>
      </c>
      <c r="C84" s="104"/>
      <c r="D84" s="103"/>
      <c r="E84" s="103"/>
      <c r="F84" s="103"/>
      <c r="G84" s="103"/>
      <c r="H84" s="103"/>
      <c r="I84" s="103"/>
      <c r="J84" s="103"/>
      <c r="K84" s="103"/>
      <c r="L84" s="103"/>
      <c r="M84" s="103"/>
      <c r="N84" s="103"/>
      <c r="O84" s="103"/>
      <c r="P84" s="103"/>
      <c r="Q84" s="103"/>
      <c r="R84" s="103"/>
      <c r="S84" s="103"/>
      <c r="T84" s="103"/>
      <c r="U84" s="103"/>
      <c r="V84" s="103"/>
      <c r="W84" s="103"/>
      <c r="X84" s="103"/>
      <c r="Y84" s="103"/>
      <c r="Z84" s="103"/>
      <c r="AA84" s="103"/>
      <c r="AB84" s="103"/>
      <c r="AC84" s="103"/>
      <c r="AD84" s="103"/>
      <c r="AE84" s="91"/>
    </row>
    <row r="85" ht="15.75" customHeight="1">
      <c r="A85" s="99" t="s">
        <v>1060</v>
      </c>
      <c r="B85" s="103" t="s">
        <v>208</v>
      </c>
      <c r="C85" s="104"/>
      <c r="D85" s="103"/>
      <c r="E85" s="103"/>
      <c r="F85" s="103"/>
      <c r="G85" s="103"/>
      <c r="H85" s="103"/>
      <c r="I85" s="103"/>
      <c r="J85" s="103"/>
      <c r="K85" s="103"/>
      <c r="L85" s="103"/>
      <c r="M85" s="103"/>
      <c r="N85" s="103"/>
      <c r="O85" s="103"/>
      <c r="P85" s="103"/>
      <c r="Q85" s="103"/>
      <c r="R85" s="103"/>
      <c r="S85" s="103"/>
      <c r="T85" s="103"/>
      <c r="U85" s="103"/>
      <c r="V85" s="103"/>
      <c r="W85" s="103"/>
      <c r="X85" s="103"/>
      <c r="Y85" s="103"/>
      <c r="Z85" s="103"/>
      <c r="AA85" s="103"/>
      <c r="AB85" s="103"/>
      <c r="AC85" s="103"/>
      <c r="AD85" s="103"/>
      <c r="AE85" s="91"/>
    </row>
    <row r="86" ht="15.75" customHeight="1">
      <c r="A86" s="99" t="s">
        <v>1068</v>
      </c>
      <c r="B86" s="103" t="s">
        <v>208</v>
      </c>
      <c r="C86" s="104"/>
      <c r="D86" s="103"/>
      <c r="E86" s="103"/>
      <c r="F86" s="103"/>
      <c r="G86" s="103"/>
      <c r="H86" s="103"/>
      <c r="I86" s="103"/>
      <c r="J86" s="103"/>
      <c r="K86" s="103"/>
      <c r="L86" s="103"/>
      <c r="M86" s="103"/>
      <c r="N86" s="103"/>
      <c r="O86" s="103"/>
      <c r="P86" s="103"/>
      <c r="Q86" s="103"/>
      <c r="R86" s="103"/>
      <c r="S86" s="103"/>
      <c r="T86" s="103"/>
      <c r="U86" s="103"/>
      <c r="V86" s="103"/>
      <c r="W86" s="103"/>
      <c r="X86" s="103"/>
      <c r="Y86" s="103"/>
      <c r="Z86" s="103"/>
      <c r="AA86" s="103"/>
      <c r="AB86" s="103"/>
      <c r="AC86" s="103"/>
      <c r="AD86" s="103"/>
      <c r="AE86" s="91"/>
    </row>
    <row r="87" ht="15.75" customHeight="1">
      <c r="A87" s="99" t="s">
        <v>1082</v>
      </c>
      <c r="B87" s="103" t="s">
        <v>208</v>
      </c>
      <c r="C87" s="104"/>
      <c r="D87" s="103"/>
      <c r="E87" s="103"/>
      <c r="F87" s="103"/>
      <c r="G87" s="103"/>
      <c r="H87" s="103" t="s">
        <v>1086</v>
      </c>
      <c r="I87" s="103"/>
      <c r="J87" s="103"/>
      <c r="K87" s="103"/>
      <c r="L87" s="103"/>
      <c r="M87" s="103"/>
      <c r="N87" s="103"/>
      <c r="O87" s="103"/>
      <c r="P87" s="103"/>
      <c r="Q87" s="103"/>
      <c r="R87" s="103"/>
      <c r="S87" s="103"/>
      <c r="T87" s="103"/>
      <c r="U87" s="103"/>
      <c r="V87" s="103"/>
      <c r="W87" s="103"/>
      <c r="X87" s="103"/>
      <c r="Y87" s="103"/>
      <c r="Z87" s="103"/>
      <c r="AA87" s="103"/>
      <c r="AB87" s="103"/>
      <c r="AC87" s="103"/>
      <c r="AD87" s="103"/>
      <c r="AE87" s="91"/>
    </row>
    <row r="88" ht="15.75" customHeight="1">
      <c r="A88" s="99" t="s">
        <v>1098</v>
      </c>
      <c r="B88" s="103" t="s">
        <v>208</v>
      </c>
      <c r="C88" s="104"/>
      <c r="D88" s="103"/>
      <c r="E88" s="103"/>
      <c r="F88" s="103"/>
      <c r="G88" s="103"/>
      <c r="H88" s="103" t="s">
        <v>1109</v>
      </c>
      <c r="I88" s="103"/>
      <c r="J88" s="103"/>
      <c r="K88" s="103"/>
      <c r="L88" s="103"/>
      <c r="M88" s="103"/>
      <c r="N88" s="103"/>
      <c r="O88" s="103"/>
      <c r="P88" s="103"/>
      <c r="Q88" s="103"/>
      <c r="R88" s="103"/>
      <c r="S88" s="103"/>
      <c r="T88" s="103"/>
      <c r="U88" s="103"/>
      <c r="V88" s="103"/>
      <c r="W88" s="103"/>
      <c r="X88" s="103"/>
      <c r="Y88" s="103"/>
      <c r="Z88" s="103"/>
      <c r="AA88" s="103"/>
      <c r="AB88" s="103"/>
      <c r="AC88" s="103"/>
      <c r="AD88" s="103"/>
      <c r="AE88" s="91"/>
    </row>
    <row r="89" ht="15.75" customHeight="1">
      <c r="A89" s="99" t="s">
        <v>1116</v>
      </c>
      <c r="B89" s="103" t="s">
        <v>208</v>
      </c>
      <c r="C89" s="104"/>
      <c r="D89" s="103"/>
      <c r="E89" s="103"/>
      <c r="F89" s="103"/>
      <c r="G89" s="103"/>
      <c r="H89" s="103" t="s">
        <v>1125</v>
      </c>
      <c r="I89" s="103"/>
      <c r="J89" s="103"/>
      <c r="K89" s="103"/>
      <c r="L89" s="103"/>
      <c r="M89" s="103"/>
      <c r="N89" s="103"/>
      <c r="O89" s="103"/>
      <c r="P89" s="103"/>
      <c r="Q89" s="103"/>
      <c r="R89" s="103"/>
      <c r="S89" s="103"/>
      <c r="T89" s="103"/>
      <c r="U89" s="103"/>
      <c r="V89" s="103"/>
      <c r="W89" s="103"/>
      <c r="X89" s="103"/>
      <c r="Y89" s="103"/>
      <c r="Z89" s="103"/>
      <c r="AA89" s="103"/>
      <c r="AB89" s="103"/>
      <c r="AC89" s="103"/>
      <c r="AD89" s="103"/>
      <c r="AE89" s="91"/>
    </row>
    <row r="90" ht="15.75" customHeight="1">
      <c r="C90" s="9"/>
    </row>
    <row r="91" ht="15.75" customHeight="1">
      <c r="A91" s="194" t="s">
        <v>1137</v>
      </c>
      <c r="B91" s="195"/>
      <c r="C91" s="196"/>
      <c r="D91" s="197"/>
      <c r="E91" s="11"/>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c r="AE91" s="11"/>
    </row>
    <row r="92" ht="15.75" customHeight="1">
      <c r="A92" s="198" t="s">
        <v>1145</v>
      </c>
      <c r="B92" s="199"/>
      <c r="C92" s="195"/>
      <c r="D92" s="197"/>
      <c r="E92" s="11"/>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c r="AE92" s="11"/>
    </row>
    <row r="93" ht="15.75" customHeight="1">
      <c r="C93" s="9"/>
    </row>
    <row r="94" ht="15.75" customHeight="1">
      <c r="A94" s="200" t="s">
        <v>1160</v>
      </c>
      <c r="B94" s="200" t="s">
        <v>1161</v>
      </c>
      <c r="C94" s="200" t="s">
        <v>1162</v>
      </c>
      <c r="D94" s="200" t="s">
        <v>1163</v>
      </c>
    </row>
    <row r="95" ht="15.75" customHeight="1">
      <c r="A95" s="202" t="s">
        <v>1164</v>
      </c>
      <c r="B95" s="202" t="s">
        <v>1167</v>
      </c>
      <c r="C95" s="202" t="s">
        <v>1169</v>
      </c>
      <c r="D95" s="202">
        <v>2.0</v>
      </c>
    </row>
    <row r="96" ht="15.75" customHeight="1">
      <c r="A96" s="202" t="s">
        <v>1170</v>
      </c>
      <c r="B96" s="202" t="s">
        <v>1171</v>
      </c>
      <c r="C96" s="203" t="str">
        <f>"3 - 2"</f>
        <v>3 - 2</v>
      </c>
      <c r="D96" s="202">
        <v>1.0</v>
      </c>
    </row>
    <row r="97" ht="15.75" customHeight="1">
      <c r="A97" s="202" t="s">
        <v>1178</v>
      </c>
      <c r="B97" s="202" t="s">
        <v>1179</v>
      </c>
      <c r="C97" s="202" t="s">
        <v>1180</v>
      </c>
      <c r="D97" s="202">
        <v>6.0</v>
      </c>
    </row>
    <row r="98" ht="15.75" customHeight="1">
      <c r="A98" s="202" t="s">
        <v>1181</v>
      </c>
      <c r="B98" s="202" t="s">
        <v>1182</v>
      </c>
      <c r="C98" s="202" t="s">
        <v>1184</v>
      </c>
      <c r="D98" s="202">
        <v>5.0</v>
      </c>
    </row>
    <row r="99" ht="15.75" customHeight="1">
      <c r="A99" s="202" t="s">
        <v>1186</v>
      </c>
      <c r="B99" s="202" t="s">
        <v>1187</v>
      </c>
      <c r="C99" s="202" t="s">
        <v>1188</v>
      </c>
      <c r="D99" s="202">
        <v>1.0</v>
      </c>
    </row>
    <row r="100" ht="15.75" customHeight="1">
      <c r="A100" s="202" t="s">
        <v>1190</v>
      </c>
      <c r="B100" s="202" t="s">
        <v>1193</v>
      </c>
      <c r="C100" s="202" t="s">
        <v>1194</v>
      </c>
      <c r="D100" s="202" t="s">
        <v>1195</v>
      </c>
    </row>
    <row r="101" ht="15.75" customHeight="1">
      <c r="A101" s="202" t="s">
        <v>1196</v>
      </c>
      <c r="B101" s="202" t="s">
        <v>1197</v>
      </c>
      <c r="C101" s="202" t="s">
        <v>1198</v>
      </c>
      <c r="D101" s="202" t="s">
        <v>1195</v>
      </c>
    </row>
    <row r="102" ht="15.75" customHeight="1">
      <c r="A102" s="202" t="s">
        <v>1201</v>
      </c>
      <c r="B102" s="202" t="s">
        <v>1203</v>
      </c>
      <c r="C102" s="202" t="s">
        <v>1204</v>
      </c>
      <c r="D102" s="202" t="s">
        <v>1195</v>
      </c>
    </row>
    <row r="103" ht="15.75" customHeight="1">
      <c r="A103" s="202" t="s">
        <v>1205</v>
      </c>
      <c r="B103" s="202" t="s">
        <v>1206</v>
      </c>
      <c r="C103" s="202" t="s">
        <v>1207</v>
      </c>
      <c r="D103" s="202" t="s">
        <v>1195</v>
      </c>
    </row>
    <row r="104" ht="15.75" customHeight="1">
      <c r="A104" s="202" t="s">
        <v>1208</v>
      </c>
      <c r="B104" s="202" t="s">
        <v>1211</v>
      </c>
      <c r="C104" s="202" t="s">
        <v>1213</v>
      </c>
      <c r="D104" s="202" t="s">
        <v>1195</v>
      </c>
    </row>
    <row r="105" ht="15.75" customHeight="1">
      <c r="A105" s="202" t="s">
        <v>1214</v>
      </c>
      <c r="B105" s="202" t="s">
        <v>1215</v>
      </c>
      <c r="C105" s="202" t="s">
        <v>1216</v>
      </c>
      <c r="D105" s="202" t="s">
        <v>1195</v>
      </c>
    </row>
    <row r="106" ht="15.75" customHeight="1">
      <c r="A106" s="202" t="s">
        <v>1217</v>
      </c>
      <c r="B106" s="202" t="s">
        <v>1218</v>
      </c>
      <c r="C106" s="202" t="s">
        <v>1219</v>
      </c>
      <c r="D106" s="202" t="s">
        <v>1195</v>
      </c>
    </row>
    <row r="107" ht="15.75" customHeight="1">
      <c r="A107" s="202" t="s">
        <v>1220</v>
      </c>
      <c r="B107" s="202" t="s">
        <v>1221</v>
      </c>
      <c r="C107" s="202" t="s">
        <v>1224</v>
      </c>
      <c r="D107" s="202" t="s">
        <v>1195</v>
      </c>
    </row>
    <row r="108" ht="15.75" customHeight="1">
      <c r="A108" s="202" t="s">
        <v>1226</v>
      </c>
      <c r="B108" s="202" t="s">
        <v>1227</v>
      </c>
      <c r="C108" s="202" t="s">
        <v>1228</v>
      </c>
      <c r="D108" s="202" t="s">
        <v>1229</v>
      </c>
    </row>
    <row r="109" ht="15.75" customHeight="1">
      <c r="A109" s="205"/>
      <c r="B109" s="205"/>
      <c r="C109" s="206"/>
      <c r="D109" s="205"/>
    </row>
    <row r="110" ht="15.75" customHeight="1">
      <c r="A110" s="205"/>
      <c r="B110" s="200" t="s">
        <v>1237</v>
      </c>
      <c r="C110" s="200" t="s">
        <v>1162</v>
      </c>
      <c r="D110" s="205"/>
    </row>
    <row r="111" ht="15.75" customHeight="1">
      <c r="A111" s="205"/>
      <c r="B111" s="202" t="s">
        <v>1238</v>
      </c>
      <c r="C111" s="202" t="s">
        <v>1239</v>
      </c>
      <c r="D111" s="205"/>
    </row>
    <row r="112" ht="15.75" customHeight="1">
      <c r="A112" s="205"/>
      <c r="B112" s="202" t="s">
        <v>1243</v>
      </c>
      <c r="C112" s="207" t="s">
        <v>1244</v>
      </c>
      <c r="D112" s="205"/>
    </row>
    <row r="113" ht="15.75" customHeight="1">
      <c r="A113" s="205"/>
      <c r="B113" s="208" t="s">
        <v>1248</v>
      </c>
      <c r="C113" s="209" t="s">
        <v>1249</v>
      </c>
      <c r="D113" s="205"/>
    </row>
    <row r="114" ht="15.75" customHeight="1">
      <c r="A114" s="205"/>
      <c r="B114" s="209" t="s">
        <v>1249</v>
      </c>
      <c r="C114" s="209" t="s">
        <v>1249</v>
      </c>
      <c r="D114" s="205"/>
    </row>
    <row r="115" ht="15.75" customHeight="1">
      <c r="A115" s="205"/>
      <c r="B115" s="209" t="s">
        <v>1255</v>
      </c>
      <c r="C115" s="209" t="s">
        <v>1256</v>
      </c>
      <c r="D115" s="205"/>
    </row>
    <row r="116" ht="15.75" customHeight="1">
      <c r="A116" s="205"/>
      <c r="B116" s="209" t="s">
        <v>1262</v>
      </c>
      <c r="C116" s="209" t="s">
        <v>1263</v>
      </c>
      <c r="D116" s="205"/>
    </row>
    <row r="117" ht="15.75" customHeight="1">
      <c r="A117" s="205"/>
      <c r="B117" s="209" t="s">
        <v>1264</v>
      </c>
      <c r="C117" s="209" t="s">
        <v>1265</v>
      </c>
      <c r="D117" s="205"/>
    </row>
    <row r="118" ht="15.75" customHeight="1">
      <c r="A118" s="205"/>
      <c r="B118" s="209" t="s">
        <v>1266</v>
      </c>
      <c r="C118" s="209" t="s">
        <v>1267</v>
      </c>
      <c r="D118" s="205"/>
    </row>
    <row r="119" ht="15.75" customHeight="1">
      <c r="A119" s="205"/>
      <c r="B119" s="209" t="s">
        <v>1274</v>
      </c>
      <c r="C119" s="209" t="s">
        <v>1276</v>
      </c>
      <c r="D119" s="205"/>
    </row>
    <row r="120" ht="15.75" customHeight="1">
      <c r="A120" s="205"/>
      <c r="B120" s="209" t="s">
        <v>1280</v>
      </c>
      <c r="C120" s="209" t="s">
        <v>1282</v>
      </c>
      <c r="D120" s="205"/>
    </row>
    <row r="121" ht="15.75" customHeight="1">
      <c r="A121" s="205"/>
      <c r="B121" s="209" t="s">
        <v>1283</v>
      </c>
      <c r="C121" s="209" t="s">
        <v>1284</v>
      </c>
      <c r="D121" s="205"/>
    </row>
    <row r="122" ht="15.75" customHeight="1">
      <c r="A122" s="205"/>
      <c r="B122" s="209" t="s">
        <v>719</v>
      </c>
      <c r="C122" s="209" t="s">
        <v>719</v>
      </c>
      <c r="D122" s="205"/>
    </row>
    <row r="123" ht="15.75" customHeight="1">
      <c r="A123" s="205"/>
      <c r="B123" s="209" t="s">
        <v>1291</v>
      </c>
      <c r="C123" s="209" t="s">
        <v>1292</v>
      </c>
      <c r="D123" s="205"/>
    </row>
    <row r="124" ht="15.75" customHeight="1">
      <c r="A124" s="205"/>
      <c r="B124" s="209" t="s">
        <v>1293</v>
      </c>
      <c r="C124" s="209" t="s">
        <v>1295</v>
      </c>
      <c r="D124" s="205"/>
    </row>
    <row r="125" ht="15.75" customHeight="1">
      <c r="A125" s="205"/>
      <c r="B125" s="209" t="s">
        <v>1299</v>
      </c>
      <c r="C125" s="209" t="s">
        <v>1300</v>
      </c>
      <c r="D125" s="205"/>
    </row>
    <row r="126" ht="15.75" customHeight="1">
      <c r="A126" s="205"/>
      <c r="B126" s="209" t="s">
        <v>1301</v>
      </c>
      <c r="C126" s="209" t="s">
        <v>1302</v>
      </c>
      <c r="D126" s="205"/>
    </row>
    <row r="127" ht="15.75" customHeight="1">
      <c r="A127" s="205"/>
      <c r="B127" s="209" t="s">
        <v>1306</v>
      </c>
      <c r="C127" s="209" t="s">
        <v>1307</v>
      </c>
      <c r="D127" s="205"/>
    </row>
    <row r="128" ht="15.75" customHeight="1">
      <c r="A128" s="205"/>
      <c r="B128" s="209" t="s">
        <v>1311</v>
      </c>
      <c r="C128" s="209" t="s">
        <v>1312</v>
      </c>
      <c r="D128" s="205"/>
    </row>
    <row r="129" ht="15.75" customHeight="1">
      <c r="A129" s="205"/>
      <c r="B129" s="209" t="s">
        <v>1314</v>
      </c>
      <c r="C129" s="209" t="s">
        <v>1315</v>
      </c>
      <c r="D129" s="205"/>
    </row>
    <row r="130" ht="15.75" customHeight="1">
      <c r="A130" s="205"/>
      <c r="B130" s="209" t="s">
        <v>1318</v>
      </c>
      <c r="C130" s="209" t="s">
        <v>1319</v>
      </c>
      <c r="D130" s="205"/>
    </row>
    <row r="131" ht="15.75" customHeight="1">
      <c r="A131" s="205"/>
      <c r="B131" s="209" t="s">
        <v>1321</v>
      </c>
      <c r="C131" s="209" t="s">
        <v>1322</v>
      </c>
      <c r="D131" s="205"/>
    </row>
    <row r="132" ht="15.75" customHeight="1">
      <c r="A132" s="205"/>
      <c r="B132" s="209" t="s">
        <v>1325</v>
      </c>
      <c r="C132" s="209" t="s">
        <v>1327</v>
      </c>
      <c r="D132" s="205"/>
    </row>
    <row r="133" ht="15.75" customHeight="1">
      <c r="A133" s="205"/>
      <c r="B133" s="209" t="s">
        <v>1328</v>
      </c>
      <c r="C133" s="209" t="s">
        <v>1329</v>
      </c>
      <c r="D133" s="205"/>
    </row>
    <row r="134" ht="15.75" customHeight="1">
      <c r="A134" s="205"/>
      <c r="B134" s="210" t="s">
        <v>1332</v>
      </c>
      <c r="C134" s="210" t="s">
        <v>1333</v>
      </c>
      <c r="D134" s="205"/>
    </row>
    <row r="135" ht="15.75" customHeight="1">
      <c r="A135" s="205"/>
      <c r="B135" s="210" t="s">
        <v>1334</v>
      </c>
      <c r="C135" s="210" t="s">
        <v>894</v>
      </c>
      <c r="D135" s="205"/>
    </row>
    <row r="136" ht="15.75" customHeight="1">
      <c r="A136" s="205"/>
      <c r="B136" s="210" t="s">
        <v>1337</v>
      </c>
      <c r="C136" s="210" t="s">
        <v>1337</v>
      </c>
      <c r="D136" s="205"/>
    </row>
    <row r="137" ht="15.75" customHeight="1">
      <c r="A137" s="205"/>
      <c r="B137" s="210" t="s">
        <v>87</v>
      </c>
      <c r="C137" s="210" t="s">
        <v>87</v>
      </c>
      <c r="D137" s="205"/>
    </row>
    <row r="138" ht="15.75" customHeight="1">
      <c r="A138" s="205"/>
      <c r="B138" s="210" t="s">
        <v>1342</v>
      </c>
      <c r="C138" s="210" t="s">
        <v>1343</v>
      </c>
      <c r="D138" s="205"/>
    </row>
    <row r="139" ht="15.75" customHeight="1">
      <c r="A139" s="205"/>
      <c r="B139" s="210" t="s">
        <v>1347</v>
      </c>
      <c r="C139" s="210" t="s">
        <v>1348</v>
      </c>
      <c r="D139" s="205"/>
    </row>
    <row r="140" ht="15.75" customHeight="1">
      <c r="A140" s="205"/>
      <c r="B140" s="210" t="s">
        <v>1349</v>
      </c>
      <c r="C140" s="210" t="s">
        <v>1351</v>
      </c>
      <c r="D140" s="205"/>
    </row>
    <row r="141" ht="15.75" customHeight="1">
      <c r="A141" s="205"/>
      <c r="B141" s="210" t="s">
        <v>1354</v>
      </c>
      <c r="C141" s="210" t="s">
        <v>1357</v>
      </c>
      <c r="D141" s="205"/>
    </row>
    <row r="142" ht="15.75" customHeight="1">
      <c r="A142" s="205"/>
      <c r="B142" s="210" t="s">
        <v>1359</v>
      </c>
      <c r="C142" s="210" t="s">
        <v>1360</v>
      </c>
      <c r="D142" s="205"/>
    </row>
    <row r="143" ht="15.75" customHeight="1">
      <c r="A143" s="205"/>
      <c r="B143" s="210" t="s">
        <v>1361</v>
      </c>
      <c r="C143" s="210" t="s">
        <v>1361</v>
      </c>
      <c r="D143" s="205"/>
    </row>
    <row r="144" ht="15.75" customHeight="1">
      <c r="A144" s="211"/>
      <c r="B144" s="212" t="s">
        <v>1372</v>
      </c>
      <c r="C144" s="212" t="s">
        <v>1373</v>
      </c>
      <c r="D144" s="211"/>
    </row>
    <row r="145" ht="15.75" customHeight="1">
      <c r="A145" s="11"/>
      <c r="B145" s="213"/>
      <c r="C145" s="213"/>
      <c r="D145" s="11"/>
      <c r="E145" s="11"/>
    </row>
    <row r="146" ht="15.75" customHeight="1">
      <c r="A146" s="11"/>
      <c r="B146" s="213"/>
      <c r="C146" s="213"/>
      <c r="D146" s="11"/>
      <c r="E146" s="11"/>
    </row>
    <row r="147" ht="15.75" customHeight="1">
      <c r="A147" s="11"/>
      <c r="B147" s="213"/>
      <c r="C147" s="213"/>
      <c r="D147" s="11"/>
      <c r="E147" s="11"/>
    </row>
    <row r="148" ht="15.75" customHeight="1">
      <c r="A148" s="11"/>
      <c r="B148" s="213"/>
      <c r="C148" s="213"/>
      <c r="D148" s="11"/>
      <c r="E148" s="11"/>
    </row>
    <row r="149" ht="15.75" customHeight="1">
      <c r="A149" s="11"/>
      <c r="B149" s="213"/>
      <c r="C149" s="213"/>
      <c r="D149" s="11"/>
      <c r="E149" s="11"/>
    </row>
    <row r="150" ht="15.75" customHeight="1">
      <c r="A150" s="11"/>
      <c r="B150" s="213"/>
      <c r="C150" s="213"/>
      <c r="D150" s="11"/>
      <c r="E150" s="11"/>
    </row>
    <row r="151" ht="15.75" customHeight="1">
      <c r="A151" s="11"/>
      <c r="B151" s="213"/>
      <c r="C151" s="213"/>
      <c r="D151" s="11"/>
      <c r="E151" s="11"/>
    </row>
    <row r="152" ht="15.75" customHeight="1">
      <c r="A152" s="11"/>
      <c r="B152" s="213"/>
      <c r="C152" s="213"/>
      <c r="D152" s="11"/>
      <c r="E152" s="11"/>
    </row>
    <row r="153" ht="15.75" customHeight="1">
      <c r="A153" s="11"/>
      <c r="B153" s="213"/>
      <c r="C153" s="213"/>
      <c r="D153" s="11"/>
      <c r="E153" s="11"/>
    </row>
    <row r="154" ht="15.75" customHeight="1">
      <c r="A154" s="11"/>
      <c r="B154" s="213"/>
      <c r="C154" s="213"/>
      <c r="D154" s="11"/>
      <c r="E154" s="11"/>
    </row>
    <row r="155" ht="15.75" customHeight="1">
      <c r="A155" s="11"/>
      <c r="B155" s="213"/>
      <c r="C155" s="213"/>
      <c r="D155" s="11"/>
      <c r="E155" s="11"/>
    </row>
    <row r="156" ht="15.75" customHeight="1">
      <c r="A156" s="11"/>
      <c r="B156" s="11"/>
      <c r="C156" s="9"/>
      <c r="D156" s="11"/>
      <c r="E156" s="11"/>
    </row>
    <row r="157" ht="15.75" customHeight="1">
      <c r="A157" s="11"/>
      <c r="B157" s="11"/>
      <c r="C157" s="9"/>
      <c r="D157" s="11"/>
      <c r="E157" s="11"/>
    </row>
    <row r="158" ht="15.75" customHeight="1">
      <c r="A158" s="11"/>
      <c r="B158" s="11"/>
      <c r="C158" s="9"/>
      <c r="D158" s="11"/>
      <c r="E158" s="11"/>
    </row>
    <row r="159" ht="15.75" customHeight="1">
      <c r="A159" s="11"/>
      <c r="B159" s="11"/>
      <c r="C159" s="9"/>
      <c r="D159" s="11"/>
      <c r="E159" s="11"/>
    </row>
    <row r="160" ht="15.75" customHeight="1">
      <c r="A160" s="11"/>
      <c r="B160" s="11"/>
      <c r="C160" s="9"/>
      <c r="D160" s="11"/>
      <c r="E160" s="11"/>
    </row>
    <row r="161" ht="15.75" customHeight="1">
      <c r="C161" s="9"/>
    </row>
    <row r="162" ht="15.75" customHeight="1">
      <c r="C162" s="9"/>
    </row>
    <row r="163" ht="15.75" customHeight="1">
      <c r="C163" s="9"/>
    </row>
    <row r="164" ht="15.75" customHeight="1">
      <c r="C164" s="9"/>
    </row>
    <row r="165" ht="15.75" customHeight="1">
      <c r="C165" s="9"/>
    </row>
    <row r="166" ht="15.75" customHeight="1">
      <c r="C166" s="9"/>
    </row>
    <row r="167" ht="15.75" customHeight="1">
      <c r="C167" s="9"/>
    </row>
    <row r="168" ht="15.75" customHeight="1">
      <c r="C168" s="9"/>
    </row>
    <row r="169" ht="15.75" customHeight="1">
      <c r="C169" s="9"/>
    </row>
    <row r="170" ht="15.75" customHeight="1">
      <c r="C170" s="9"/>
    </row>
    <row r="171" ht="15.75" customHeight="1">
      <c r="C171" s="9"/>
    </row>
    <row r="172" ht="15.75" customHeight="1">
      <c r="C172" s="9"/>
    </row>
    <row r="173" ht="15.75" customHeight="1">
      <c r="C173" s="9"/>
    </row>
    <row r="174" ht="15.75" customHeight="1">
      <c r="C174" s="9"/>
    </row>
    <row r="175" ht="15.75" customHeight="1">
      <c r="C175" s="9"/>
    </row>
    <row r="176" ht="15.75" customHeight="1">
      <c r="C176" s="9"/>
    </row>
    <row r="177" ht="15.75" customHeight="1">
      <c r="C177" s="9"/>
    </row>
    <row r="178" ht="15.75" customHeight="1">
      <c r="C178" s="9"/>
    </row>
    <row r="179" ht="15.75" customHeight="1">
      <c r="C179" s="9"/>
    </row>
    <row r="180" ht="15.75" customHeight="1">
      <c r="C180" s="9"/>
    </row>
    <row r="181" ht="15.75" customHeight="1">
      <c r="C181" s="9"/>
    </row>
    <row r="182" ht="15.75" customHeight="1">
      <c r="C182" s="9"/>
    </row>
    <row r="183" ht="15.75" customHeight="1">
      <c r="C183" s="9"/>
    </row>
    <row r="184" ht="15.75" customHeight="1">
      <c r="C184" s="9"/>
    </row>
    <row r="185" ht="15.75" customHeight="1">
      <c r="C185" s="9"/>
    </row>
    <row r="186" ht="15.75" customHeight="1">
      <c r="C186" s="9"/>
    </row>
    <row r="187" ht="15.75" customHeight="1">
      <c r="C187" s="9"/>
    </row>
    <row r="188" ht="15.75" customHeight="1">
      <c r="C188" s="9"/>
    </row>
    <row r="189" ht="15.75" customHeight="1">
      <c r="C189" s="9"/>
    </row>
    <row r="190" ht="15.75" customHeight="1">
      <c r="C190" s="9"/>
    </row>
    <row r="191" ht="15.75" customHeight="1">
      <c r="C191" s="9"/>
    </row>
    <row r="192" ht="15.75" customHeight="1">
      <c r="C192" s="9"/>
    </row>
    <row r="193" ht="15.75" customHeight="1">
      <c r="C193" s="9"/>
    </row>
    <row r="194" ht="15.75" customHeight="1">
      <c r="C194" s="9"/>
    </row>
    <row r="195" ht="15.75" customHeight="1">
      <c r="C195" s="9"/>
    </row>
    <row r="196" ht="15.75" customHeight="1">
      <c r="C196" s="9"/>
    </row>
    <row r="197" ht="15.75" customHeight="1">
      <c r="C197" s="9"/>
    </row>
    <row r="198" ht="15.75" customHeight="1">
      <c r="C198" s="9"/>
    </row>
    <row r="199" ht="15.75" customHeight="1">
      <c r="C199" s="9"/>
    </row>
    <row r="200" ht="15.75" customHeight="1">
      <c r="C200" s="9"/>
    </row>
    <row r="201" ht="15.75" customHeight="1">
      <c r="C201" s="9"/>
    </row>
    <row r="202" ht="15.75" customHeight="1">
      <c r="C202" s="9"/>
    </row>
    <row r="203" ht="15.75" customHeight="1">
      <c r="C203" s="9"/>
    </row>
    <row r="204" ht="15.75" customHeight="1">
      <c r="C204" s="9"/>
    </row>
    <row r="205" ht="15.75" customHeight="1">
      <c r="C205" s="9"/>
    </row>
    <row r="206" ht="15.75" customHeight="1">
      <c r="C206" s="9"/>
    </row>
    <row r="207" ht="15.75" customHeight="1">
      <c r="C207" s="9"/>
    </row>
    <row r="208" ht="15.75" customHeight="1">
      <c r="C208" s="9"/>
    </row>
    <row r="209" ht="15.75" customHeight="1">
      <c r="C209" s="9"/>
    </row>
    <row r="210" ht="15.75" customHeight="1">
      <c r="C210" s="9"/>
    </row>
    <row r="211" ht="15.75" customHeight="1">
      <c r="C211" s="9"/>
    </row>
    <row r="212" ht="15.75" customHeight="1">
      <c r="C212" s="9"/>
    </row>
    <row r="213" ht="15.75" customHeight="1">
      <c r="C213" s="9"/>
    </row>
    <row r="214" ht="15.75" customHeight="1">
      <c r="C214" s="9"/>
    </row>
    <row r="215" ht="15.75" customHeight="1">
      <c r="C215" s="9"/>
    </row>
    <row r="216" ht="15.75" customHeight="1">
      <c r="C216" s="9"/>
    </row>
    <row r="217" ht="15.75" customHeight="1">
      <c r="C217" s="9"/>
    </row>
    <row r="218" ht="15.75" customHeight="1">
      <c r="C218" s="9"/>
    </row>
    <row r="219" ht="15.75" customHeight="1">
      <c r="C219" s="9"/>
    </row>
    <row r="220" ht="15.75" customHeight="1">
      <c r="C220" s="9"/>
    </row>
    <row r="221" ht="15.75" customHeight="1">
      <c r="C221" s="9"/>
    </row>
    <row r="222" ht="15.75" customHeight="1">
      <c r="C222" s="9"/>
    </row>
    <row r="223" ht="15.75" customHeight="1">
      <c r="C223" s="9"/>
    </row>
    <row r="224" ht="15.75" customHeight="1">
      <c r="C224" s="9"/>
    </row>
    <row r="225" ht="15.75" customHeight="1">
      <c r="C225" s="9"/>
    </row>
    <row r="226" ht="15.75" customHeight="1">
      <c r="C226" s="9"/>
    </row>
    <row r="227" ht="15.75" customHeight="1">
      <c r="C227" s="9"/>
    </row>
    <row r="228" ht="15.75" customHeight="1">
      <c r="C228" s="9"/>
    </row>
    <row r="229" ht="15.75" customHeight="1">
      <c r="C229" s="9"/>
    </row>
    <row r="230" ht="15.75" customHeight="1">
      <c r="C230" s="9"/>
    </row>
    <row r="231" ht="15.75" customHeight="1">
      <c r="C231" s="9"/>
    </row>
    <row r="232" ht="15.75" customHeight="1">
      <c r="C232" s="9"/>
    </row>
    <row r="233" ht="15.75" customHeight="1">
      <c r="C233" s="9"/>
    </row>
    <row r="234" ht="15.75" customHeight="1">
      <c r="C234" s="9"/>
    </row>
    <row r="235" ht="15.75" customHeight="1">
      <c r="C235" s="9"/>
    </row>
    <row r="236" ht="15.75" customHeight="1">
      <c r="C236" s="9"/>
    </row>
    <row r="237" ht="15.75" customHeight="1">
      <c r="C237" s="9"/>
    </row>
    <row r="238" ht="15.75" customHeight="1">
      <c r="C238" s="9"/>
    </row>
    <row r="239" ht="15.75" customHeight="1">
      <c r="C239" s="9"/>
    </row>
    <row r="240" ht="15.75" customHeight="1">
      <c r="C240" s="9"/>
    </row>
    <row r="241" ht="15.75" customHeight="1">
      <c r="C241" s="9"/>
    </row>
    <row r="242" ht="15.75" customHeight="1">
      <c r="C242" s="9"/>
    </row>
    <row r="243" ht="15.75" customHeight="1">
      <c r="C243" s="9"/>
    </row>
    <row r="244" ht="15.75" customHeight="1">
      <c r="C244" s="9"/>
    </row>
    <row r="245" ht="15.75" customHeight="1">
      <c r="C245" s="9"/>
    </row>
    <row r="246" ht="15.75" customHeight="1">
      <c r="C246" s="9"/>
    </row>
    <row r="247" ht="15.75" customHeight="1">
      <c r="C247" s="9"/>
    </row>
    <row r="248" ht="15.75" customHeight="1">
      <c r="C248" s="9"/>
    </row>
    <row r="249" ht="15.75" customHeight="1">
      <c r="C249" s="9"/>
    </row>
    <row r="250" ht="15.75" customHeight="1">
      <c r="C250" s="9"/>
    </row>
    <row r="251" ht="15.75" customHeight="1">
      <c r="C251" s="9"/>
    </row>
    <row r="252" ht="15.75" customHeight="1">
      <c r="C252" s="9"/>
    </row>
    <row r="253" ht="15.75" customHeight="1">
      <c r="C253" s="9"/>
    </row>
    <row r="254" ht="15.75" customHeight="1">
      <c r="C254" s="9"/>
    </row>
    <row r="255" ht="15.75" customHeight="1">
      <c r="C255" s="9"/>
    </row>
    <row r="256" ht="15.75" customHeight="1">
      <c r="C256" s="9"/>
    </row>
    <row r="257" ht="15.75" customHeight="1">
      <c r="C257" s="9"/>
    </row>
    <row r="258" ht="15.75" customHeight="1">
      <c r="C258" s="9"/>
    </row>
    <row r="259" ht="15.75" customHeight="1">
      <c r="C259" s="9"/>
    </row>
    <row r="260" ht="15.75" customHeight="1">
      <c r="C260" s="9"/>
    </row>
    <row r="261" ht="15.75" customHeight="1">
      <c r="C261" s="9"/>
    </row>
    <row r="262" ht="15.75" customHeight="1">
      <c r="C262" s="9"/>
    </row>
    <row r="263" ht="15.75" customHeight="1">
      <c r="C263" s="9"/>
    </row>
    <row r="264" ht="15.75" customHeight="1">
      <c r="C264" s="9"/>
    </row>
    <row r="265" ht="15.75" customHeight="1">
      <c r="C265" s="9"/>
    </row>
    <row r="266" ht="15.75" customHeight="1">
      <c r="C266" s="9"/>
    </row>
    <row r="267" ht="15.75" customHeight="1">
      <c r="C267" s="9"/>
    </row>
    <row r="268" ht="15.75" customHeight="1">
      <c r="C268" s="9"/>
    </row>
    <row r="269" ht="15.75" customHeight="1">
      <c r="C269" s="9"/>
    </row>
    <row r="270" ht="15.75" customHeight="1">
      <c r="C270" s="9"/>
    </row>
    <row r="271" ht="15.75" customHeight="1">
      <c r="C271" s="9"/>
    </row>
    <row r="272" ht="15.75" customHeight="1">
      <c r="C272" s="9"/>
    </row>
    <row r="273" ht="15.75" customHeight="1">
      <c r="C273" s="9"/>
    </row>
    <row r="274" ht="15.75" customHeight="1">
      <c r="C274" s="9"/>
    </row>
    <row r="275" ht="15.75" customHeight="1">
      <c r="C275" s="9"/>
    </row>
    <row r="276" ht="15.75" customHeight="1">
      <c r="C276" s="9"/>
    </row>
    <row r="277" ht="15.75" customHeight="1">
      <c r="C277" s="9"/>
    </row>
    <row r="278" ht="15.75" customHeight="1">
      <c r="C278" s="9"/>
    </row>
    <row r="279" ht="15.75" customHeight="1">
      <c r="C279" s="9"/>
    </row>
    <row r="280" ht="15.75" customHeight="1">
      <c r="C280" s="9"/>
    </row>
    <row r="281" ht="15.75" customHeight="1">
      <c r="C281" s="9"/>
    </row>
    <row r="282" ht="15.75" customHeight="1">
      <c r="C282" s="9"/>
    </row>
    <row r="283" ht="15.75" customHeight="1">
      <c r="C283" s="9"/>
    </row>
    <row r="284" ht="15.75" customHeight="1">
      <c r="C284" s="9"/>
    </row>
    <row r="285" ht="15.75" customHeight="1">
      <c r="C285" s="9"/>
    </row>
    <row r="286" ht="15.75" customHeight="1">
      <c r="C286" s="9"/>
    </row>
    <row r="287" ht="15.75" customHeight="1">
      <c r="C287" s="9"/>
    </row>
    <row r="288" ht="15.75" customHeight="1">
      <c r="C288" s="9"/>
    </row>
    <row r="289" ht="15.75" customHeight="1">
      <c r="C289" s="9"/>
    </row>
    <row r="290" ht="15.75" customHeight="1">
      <c r="C290" s="9"/>
    </row>
    <row r="291" ht="15.75" customHeight="1">
      <c r="C291" s="9"/>
    </row>
    <row r="292" ht="15.75" customHeight="1">
      <c r="C292" s="9"/>
    </row>
    <row r="293" ht="15.75" customHeight="1">
      <c r="C293" s="9"/>
    </row>
    <row r="294" ht="15.75" customHeight="1">
      <c r="C294" s="9"/>
    </row>
    <row r="295" ht="15.75" customHeight="1">
      <c r="C295" s="9"/>
    </row>
    <row r="296" ht="15.75" customHeight="1">
      <c r="C296" s="9"/>
    </row>
    <row r="297" ht="15.75" customHeight="1">
      <c r="C297" s="9"/>
    </row>
    <row r="298" ht="15.75" customHeight="1">
      <c r="C298" s="9"/>
    </row>
    <row r="299" ht="15.75" customHeight="1">
      <c r="C299" s="9"/>
    </row>
    <row r="300" ht="15.75" customHeight="1">
      <c r="C300" s="9"/>
    </row>
    <row r="301" ht="15.75" customHeight="1">
      <c r="C301" s="9"/>
    </row>
    <row r="302" ht="15.75" customHeight="1">
      <c r="C302" s="9"/>
    </row>
    <row r="303" ht="15.75" customHeight="1">
      <c r="C303" s="9"/>
    </row>
    <row r="304" ht="15.75" customHeight="1">
      <c r="C304" s="9"/>
    </row>
    <row r="305" ht="15.75" customHeight="1">
      <c r="C305" s="9"/>
    </row>
    <row r="306" ht="15.75" customHeight="1">
      <c r="C306" s="9"/>
    </row>
    <row r="307" ht="15.75" customHeight="1">
      <c r="C307" s="9"/>
    </row>
    <row r="308" ht="15.75" customHeight="1">
      <c r="C308" s="9"/>
    </row>
    <row r="309" ht="15.75" customHeight="1">
      <c r="C309" s="9"/>
    </row>
    <row r="310" ht="15.75" customHeight="1">
      <c r="C310" s="9"/>
    </row>
    <row r="311" ht="15.75" customHeight="1">
      <c r="C311" s="9"/>
    </row>
    <row r="312" ht="15.75" customHeight="1">
      <c r="C312" s="9"/>
    </row>
    <row r="313" ht="15.75" customHeight="1">
      <c r="C313" s="9"/>
    </row>
    <row r="314" ht="15.75" customHeight="1">
      <c r="C314" s="9"/>
    </row>
    <row r="315" ht="15.75" customHeight="1">
      <c r="C315" s="9"/>
    </row>
    <row r="316" ht="15.75" customHeight="1">
      <c r="C316" s="9"/>
    </row>
    <row r="317" ht="15.75" customHeight="1">
      <c r="C317" s="9"/>
    </row>
    <row r="318" ht="15.75" customHeight="1">
      <c r="C318" s="9"/>
    </row>
    <row r="319" ht="15.75" customHeight="1">
      <c r="C319" s="9"/>
    </row>
    <row r="320" ht="15.75" customHeight="1">
      <c r="C320" s="9"/>
    </row>
    <row r="321" ht="15.75" customHeight="1">
      <c r="C321" s="9"/>
    </row>
    <row r="322" ht="15.75" customHeight="1">
      <c r="C322" s="9"/>
    </row>
    <row r="323" ht="15.75" customHeight="1">
      <c r="C323" s="9"/>
    </row>
    <row r="324" ht="15.75" customHeight="1">
      <c r="C324" s="9"/>
    </row>
    <row r="325" ht="15.75" customHeight="1">
      <c r="C325" s="9"/>
    </row>
    <row r="326" ht="15.75" customHeight="1">
      <c r="C326" s="9"/>
    </row>
    <row r="327" ht="15.75" customHeight="1">
      <c r="C327" s="9"/>
    </row>
    <row r="328" ht="15.75" customHeight="1">
      <c r="C328" s="9"/>
    </row>
    <row r="329" ht="15.75" customHeight="1">
      <c r="C329" s="9"/>
    </row>
    <row r="330" ht="15.75" customHeight="1">
      <c r="C330" s="9"/>
    </row>
    <row r="331" ht="15.75" customHeight="1">
      <c r="C331" s="9"/>
    </row>
    <row r="332" ht="15.75" customHeight="1">
      <c r="C332" s="9"/>
    </row>
    <row r="333" ht="15.75" customHeight="1">
      <c r="C333" s="9"/>
    </row>
    <row r="334" ht="15.75" customHeight="1">
      <c r="C334" s="9"/>
    </row>
    <row r="335" ht="15.75" customHeight="1">
      <c r="C335" s="9"/>
    </row>
    <row r="336" ht="15.75" customHeight="1">
      <c r="C336" s="9"/>
    </row>
    <row r="337" ht="15.75" customHeight="1">
      <c r="C337" s="9"/>
    </row>
    <row r="338" ht="15.75" customHeight="1">
      <c r="C338" s="9"/>
    </row>
    <row r="339" ht="15.75" customHeight="1">
      <c r="C339" s="9"/>
    </row>
    <row r="340" ht="15.75" customHeight="1">
      <c r="C340" s="9"/>
    </row>
    <row r="341" ht="15.75" customHeight="1">
      <c r="C341" s="9"/>
    </row>
    <row r="342" ht="15.75" customHeight="1">
      <c r="C342" s="9"/>
    </row>
    <row r="343" ht="15.75" customHeight="1">
      <c r="C343" s="9"/>
    </row>
    <row r="344" ht="15.75" customHeight="1">
      <c r="C344" s="9"/>
    </row>
    <row r="345" ht="15.75" customHeight="1">
      <c r="C345" s="9"/>
    </row>
    <row r="346" ht="15.75" customHeight="1">
      <c r="C346" s="9"/>
    </row>
    <row r="347" ht="15.75" customHeight="1">
      <c r="C347" s="9"/>
    </row>
    <row r="348" ht="15.75" customHeight="1">
      <c r="C348" s="9"/>
    </row>
    <row r="349" ht="15.75" customHeight="1">
      <c r="C349" s="9"/>
    </row>
    <row r="350" ht="15.75" customHeight="1">
      <c r="C350" s="9"/>
    </row>
    <row r="351" ht="15.75" customHeight="1">
      <c r="C351" s="9"/>
    </row>
    <row r="352" ht="15.75" customHeight="1">
      <c r="C352" s="9"/>
    </row>
    <row r="353" ht="15.75" customHeight="1">
      <c r="C353" s="9"/>
    </row>
    <row r="354" ht="15.75" customHeight="1">
      <c r="C354" s="9"/>
    </row>
    <row r="355" ht="15.75" customHeight="1">
      <c r="C355" s="9"/>
    </row>
    <row r="356" ht="15.75" customHeight="1">
      <c r="C356" s="9"/>
    </row>
    <row r="357" ht="15.75" customHeight="1">
      <c r="C357" s="9"/>
    </row>
    <row r="358" ht="15.75" customHeight="1">
      <c r="C358" s="9"/>
    </row>
    <row r="359" ht="15.75" customHeight="1">
      <c r="C359" s="9"/>
    </row>
    <row r="360" ht="15.75" customHeight="1">
      <c r="C360" s="9"/>
    </row>
    <row r="361" ht="15.75" customHeight="1">
      <c r="C361" s="9"/>
    </row>
    <row r="362" ht="15.75" customHeight="1">
      <c r="C362" s="9"/>
    </row>
    <row r="363" ht="15.75" customHeight="1">
      <c r="C363" s="9"/>
    </row>
    <row r="364" ht="15.75" customHeight="1">
      <c r="C364" s="9"/>
    </row>
    <row r="365" ht="15.75" customHeight="1">
      <c r="C365" s="9"/>
    </row>
    <row r="366" ht="15.75" customHeight="1">
      <c r="C366" s="9"/>
    </row>
    <row r="367" ht="15.75" customHeight="1">
      <c r="C367" s="9"/>
    </row>
    <row r="368" ht="15.75" customHeight="1">
      <c r="C368" s="9"/>
    </row>
    <row r="369" ht="15.75" customHeight="1">
      <c r="C369" s="9"/>
    </row>
    <row r="370" ht="15.75" customHeight="1">
      <c r="C370" s="9"/>
    </row>
    <row r="371" ht="15.75" customHeight="1">
      <c r="C371" s="9"/>
    </row>
    <row r="372" ht="15.75" customHeight="1">
      <c r="C372" s="9"/>
    </row>
    <row r="373" ht="15.75" customHeight="1">
      <c r="C373" s="9"/>
    </row>
    <row r="374" ht="15.75" customHeight="1">
      <c r="C374" s="9"/>
    </row>
    <row r="375" ht="15.75" customHeight="1">
      <c r="C375" s="9"/>
    </row>
    <row r="376" ht="15.75" customHeight="1">
      <c r="C376" s="9"/>
    </row>
    <row r="377" ht="15.75" customHeight="1">
      <c r="C377" s="9"/>
    </row>
    <row r="378" ht="15.75" customHeight="1">
      <c r="C378" s="9"/>
    </row>
    <row r="379" ht="15.75" customHeight="1">
      <c r="C379" s="9"/>
    </row>
    <row r="380" ht="15.75" customHeight="1">
      <c r="C380" s="9"/>
    </row>
    <row r="381" ht="15.75" customHeight="1">
      <c r="C381" s="9"/>
    </row>
    <row r="382" ht="15.75" customHeight="1">
      <c r="C382" s="9"/>
    </row>
    <row r="383" ht="15.75" customHeight="1">
      <c r="C383" s="9"/>
    </row>
    <row r="384" ht="15.75" customHeight="1">
      <c r="C384" s="9"/>
    </row>
    <row r="385" ht="15.75" customHeight="1">
      <c r="C385" s="9"/>
    </row>
    <row r="386" ht="15.75" customHeight="1">
      <c r="C386" s="9"/>
    </row>
    <row r="387" ht="15.75" customHeight="1">
      <c r="C387" s="9"/>
    </row>
    <row r="388" ht="15.75" customHeight="1">
      <c r="C388" s="9"/>
    </row>
    <row r="389" ht="15.75" customHeight="1">
      <c r="C389" s="9"/>
    </row>
    <row r="390" ht="15.75" customHeight="1">
      <c r="C390" s="9"/>
    </row>
    <row r="391" ht="15.75" customHeight="1">
      <c r="C391" s="9"/>
    </row>
    <row r="392" ht="15.75" customHeight="1">
      <c r="C392" s="9"/>
    </row>
    <row r="393" ht="15.75" customHeight="1">
      <c r="C393" s="9"/>
    </row>
    <row r="394" ht="15.75" customHeight="1">
      <c r="C394" s="9"/>
    </row>
    <row r="395" ht="15.75" customHeight="1">
      <c r="C395" s="9"/>
    </row>
    <row r="396" ht="15.75" customHeight="1">
      <c r="C396" s="9"/>
    </row>
    <row r="397" ht="15.75" customHeight="1">
      <c r="C397" s="9"/>
    </row>
    <row r="398" ht="15.75" customHeight="1">
      <c r="C398" s="9"/>
    </row>
    <row r="399" ht="15.75" customHeight="1">
      <c r="C399" s="9"/>
    </row>
    <row r="400" ht="15.75" customHeight="1">
      <c r="C400" s="9"/>
    </row>
    <row r="401" ht="15.75" customHeight="1">
      <c r="C401" s="9"/>
    </row>
    <row r="402" ht="15.75" customHeight="1">
      <c r="C402" s="9"/>
    </row>
    <row r="403" ht="15.75" customHeight="1">
      <c r="C403" s="9"/>
    </row>
    <row r="404" ht="15.75" customHeight="1">
      <c r="C404" s="9"/>
    </row>
    <row r="405" ht="15.75" customHeight="1">
      <c r="C405" s="9"/>
    </row>
    <row r="406" ht="15.75" customHeight="1">
      <c r="C406" s="9"/>
    </row>
    <row r="407" ht="15.75" customHeight="1">
      <c r="C407" s="9"/>
    </row>
    <row r="408" ht="15.75" customHeight="1">
      <c r="C408" s="9"/>
    </row>
    <row r="409" ht="15.75" customHeight="1">
      <c r="C409" s="9"/>
    </row>
    <row r="410" ht="15.75" customHeight="1">
      <c r="C410" s="9"/>
    </row>
    <row r="411" ht="15.75" customHeight="1">
      <c r="C411" s="9"/>
    </row>
    <row r="412" ht="15.75" customHeight="1">
      <c r="C412" s="9"/>
    </row>
    <row r="413" ht="15.75" customHeight="1">
      <c r="C413" s="9"/>
    </row>
    <row r="414" ht="15.75" customHeight="1">
      <c r="C414" s="9"/>
    </row>
    <row r="415" ht="15.75" customHeight="1">
      <c r="C415" s="9"/>
    </row>
    <row r="416" ht="15.75" customHeight="1">
      <c r="C416" s="9"/>
    </row>
    <row r="417" ht="15.75" customHeight="1">
      <c r="C417" s="9"/>
    </row>
    <row r="418" ht="15.75" customHeight="1">
      <c r="C418" s="9"/>
    </row>
    <row r="419" ht="15.75" customHeight="1">
      <c r="C419" s="9"/>
    </row>
    <row r="420" ht="15.75" customHeight="1">
      <c r="C420" s="9"/>
    </row>
    <row r="421" ht="15.75" customHeight="1">
      <c r="C421" s="9"/>
    </row>
    <row r="422" ht="15.75" customHeight="1">
      <c r="C422" s="9"/>
    </row>
    <row r="423" ht="15.75" customHeight="1">
      <c r="C423" s="9"/>
    </row>
    <row r="424" ht="15.75" customHeight="1">
      <c r="C424" s="9"/>
    </row>
    <row r="425" ht="15.75" customHeight="1">
      <c r="C425" s="9"/>
    </row>
    <row r="426" ht="15.75" customHeight="1">
      <c r="C426" s="9"/>
    </row>
    <row r="427" ht="15.75" customHeight="1">
      <c r="C427" s="9"/>
    </row>
    <row r="428" ht="15.75" customHeight="1">
      <c r="C428" s="9"/>
    </row>
    <row r="429" ht="15.75" customHeight="1">
      <c r="C429" s="9"/>
    </row>
    <row r="430" ht="15.75" customHeight="1">
      <c r="C430" s="9"/>
    </row>
    <row r="431" ht="15.75" customHeight="1">
      <c r="C431" s="9"/>
    </row>
    <row r="432" ht="15.75" customHeight="1">
      <c r="C432" s="9"/>
    </row>
    <row r="433" ht="15.75" customHeight="1">
      <c r="C433" s="9"/>
    </row>
    <row r="434" ht="15.75" customHeight="1">
      <c r="C434" s="9"/>
    </row>
    <row r="435" ht="15.75" customHeight="1">
      <c r="C435" s="9"/>
    </row>
    <row r="436" ht="15.75" customHeight="1">
      <c r="C436" s="9"/>
    </row>
    <row r="437" ht="15.75" customHeight="1">
      <c r="C437" s="9"/>
    </row>
    <row r="438" ht="15.75" customHeight="1">
      <c r="C438" s="9"/>
    </row>
    <row r="439" ht="15.75" customHeight="1">
      <c r="C439" s="9"/>
    </row>
    <row r="440" ht="15.75" customHeight="1">
      <c r="C440" s="9"/>
    </row>
    <row r="441" ht="15.75" customHeight="1">
      <c r="C441" s="9"/>
    </row>
    <row r="442" ht="15.75" customHeight="1">
      <c r="C442" s="9"/>
    </row>
    <row r="443" ht="15.75" customHeight="1">
      <c r="C443" s="9"/>
    </row>
    <row r="444" ht="15.75" customHeight="1">
      <c r="C444" s="9"/>
    </row>
    <row r="445" ht="15.75" customHeight="1">
      <c r="C445" s="9"/>
    </row>
    <row r="446" ht="15.75" customHeight="1">
      <c r="C446" s="9"/>
    </row>
    <row r="447" ht="15.75" customHeight="1">
      <c r="C447" s="9"/>
    </row>
    <row r="448" ht="15.75" customHeight="1">
      <c r="C448" s="9"/>
    </row>
    <row r="449" ht="15.75" customHeight="1">
      <c r="C449" s="9"/>
    </row>
    <row r="450" ht="15.75" customHeight="1">
      <c r="C450" s="9"/>
    </row>
    <row r="451" ht="15.75" customHeight="1">
      <c r="C451" s="9"/>
    </row>
    <row r="452" ht="15.75" customHeight="1">
      <c r="C452" s="9"/>
    </row>
    <row r="453" ht="15.75" customHeight="1">
      <c r="C453" s="9"/>
    </row>
    <row r="454" ht="15.75" customHeight="1">
      <c r="C454" s="9"/>
    </row>
    <row r="455" ht="15.75" customHeight="1">
      <c r="C455" s="9"/>
    </row>
    <row r="456" ht="15.75" customHeight="1">
      <c r="C456" s="9"/>
    </row>
    <row r="457" ht="15.75" customHeight="1">
      <c r="C457" s="9"/>
    </row>
    <row r="458" ht="15.75" customHeight="1">
      <c r="C458" s="9"/>
    </row>
    <row r="459" ht="15.75" customHeight="1">
      <c r="C459" s="9"/>
    </row>
    <row r="460" ht="15.75" customHeight="1">
      <c r="C460" s="9"/>
    </row>
    <row r="461" ht="15.75" customHeight="1">
      <c r="C461" s="9"/>
    </row>
    <row r="462" ht="15.75" customHeight="1">
      <c r="C462" s="9"/>
    </row>
    <row r="463" ht="15.75" customHeight="1">
      <c r="C463" s="9"/>
    </row>
    <row r="464" ht="15.75" customHeight="1">
      <c r="C464" s="9"/>
    </row>
    <row r="465" ht="15.75" customHeight="1">
      <c r="C465" s="9"/>
    </row>
    <row r="466" ht="15.75" customHeight="1">
      <c r="C466" s="9"/>
    </row>
    <row r="467" ht="15.75" customHeight="1">
      <c r="C467" s="9"/>
    </row>
    <row r="468" ht="15.75" customHeight="1">
      <c r="C468" s="9"/>
    </row>
    <row r="469" ht="15.75" customHeight="1">
      <c r="C469" s="9"/>
    </row>
    <row r="470" ht="15.75" customHeight="1">
      <c r="C470" s="9"/>
    </row>
    <row r="471" ht="15.75" customHeight="1">
      <c r="C471" s="9"/>
    </row>
    <row r="472" ht="15.75" customHeight="1">
      <c r="C472" s="9"/>
    </row>
    <row r="473" ht="15.75" customHeight="1">
      <c r="C473" s="9"/>
    </row>
    <row r="474" ht="15.75" customHeight="1">
      <c r="C474" s="9"/>
    </row>
    <row r="475" ht="15.75" customHeight="1">
      <c r="C475" s="9"/>
    </row>
    <row r="476" ht="15.75" customHeight="1">
      <c r="C476" s="9"/>
    </row>
    <row r="477" ht="15.75" customHeight="1">
      <c r="C477" s="9"/>
    </row>
    <row r="478" ht="15.75" customHeight="1">
      <c r="C478" s="9"/>
    </row>
    <row r="479" ht="15.75" customHeight="1">
      <c r="C479" s="9"/>
    </row>
    <row r="480" ht="15.75" customHeight="1">
      <c r="C480" s="9"/>
    </row>
    <row r="481" ht="15.75" customHeight="1">
      <c r="C481" s="9"/>
    </row>
    <row r="482" ht="15.75" customHeight="1">
      <c r="C482" s="9"/>
    </row>
    <row r="483" ht="15.75" customHeight="1">
      <c r="C483" s="9"/>
    </row>
    <row r="484" ht="15.75" customHeight="1">
      <c r="C484" s="9"/>
    </row>
    <row r="485" ht="15.75" customHeight="1">
      <c r="C485" s="9"/>
    </row>
    <row r="486" ht="15.75" customHeight="1">
      <c r="C486" s="9"/>
    </row>
    <row r="487" ht="15.75" customHeight="1">
      <c r="C487" s="9"/>
    </row>
    <row r="488" ht="15.75" customHeight="1">
      <c r="C488" s="9"/>
    </row>
    <row r="489" ht="15.75" customHeight="1">
      <c r="C489" s="9"/>
    </row>
    <row r="490" ht="15.75" customHeight="1">
      <c r="C490" s="9"/>
    </row>
    <row r="491" ht="15.75" customHeight="1">
      <c r="C491" s="9"/>
    </row>
    <row r="492" ht="15.75" customHeight="1">
      <c r="C492" s="9"/>
    </row>
    <row r="493" ht="15.75" customHeight="1">
      <c r="C493" s="9"/>
    </row>
    <row r="494" ht="15.75" customHeight="1">
      <c r="C494" s="9"/>
    </row>
    <row r="495" ht="15.75" customHeight="1">
      <c r="C495" s="9"/>
    </row>
    <row r="496" ht="15.75" customHeight="1">
      <c r="C496" s="9"/>
    </row>
    <row r="497" ht="15.75" customHeight="1">
      <c r="C497" s="9"/>
    </row>
    <row r="498" ht="15.75" customHeight="1">
      <c r="C498" s="9"/>
    </row>
    <row r="499" ht="15.75" customHeight="1">
      <c r="C499" s="9"/>
    </row>
    <row r="500" ht="15.75" customHeight="1">
      <c r="C500" s="9"/>
    </row>
    <row r="501" ht="15.75" customHeight="1">
      <c r="C501" s="9"/>
    </row>
    <row r="502" ht="15.75" customHeight="1">
      <c r="C502" s="9"/>
    </row>
    <row r="503" ht="15.75" customHeight="1">
      <c r="C503" s="9"/>
    </row>
    <row r="504" ht="15.75" customHeight="1">
      <c r="C504" s="9"/>
    </row>
    <row r="505" ht="15.75" customHeight="1">
      <c r="C505" s="9"/>
    </row>
    <row r="506" ht="15.75" customHeight="1">
      <c r="C506" s="9"/>
    </row>
    <row r="507" ht="15.75" customHeight="1">
      <c r="C507" s="9"/>
    </row>
    <row r="508" ht="15.75" customHeight="1">
      <c r="C508" s="9"/>
    </row>
    <row r="509" ht="15.75" customHeight="1">
      <c r="C509" s="9"/>
    </row>
    <row r="510" ht="15.75" customHeight="1">
      <c r="C510" s="9"/>
    </row>
    <row r="511" ht="15.75" customHeight="1">
      <c r="C511" s="9"/>
    </row>
    <row r="512" ht="15.75" customHeight="1">
      <c r="C512" s="9"/>
    </row>
    <row r="513" ht="15.75" customHeight="1">
      <c r="C513" s="9"/>
    </row>
    <row r="514" ht="15.75" customHeight="1">
      <c r="C514" s="9"/>
    </row>
    <row r="515" ht="15.75" customHeight="1">
      <c r="C515" s="9"/>
    </row>
    <row r="516" ht="15.75" customHeight="1">
      <c r="C516" s="9"/>
    </row>
    <row r="517" ht="15.75" customHeight="1">
      <c r="C517" s="9"/>
    </row>
    <row r="518" ht="15.75" customHeight="1">
      <c r="C518" s="9"/>
    </row>
    <row r="519" ht="15.75" customHeight="1">
      <c r="C519" s="9"/>
    </row>
    <row r="520" ht="15.75" customHeight="1">
      <c r="C520" s="9"/>
    </row>
    <row r="521" ht="15.75" customHeight="1">
      <c r="C521" s="9"/>
    </row>
    <row r="522" ht="15.75" customHeight="1">
      <c r="C522" s="9"/>
    </row>
    <row r="523" ht="15.75" customHeight="1">
      <c r="C523" s="9"/>
    </row>
    <row r="524" ht="15.75" customHeight="1">
      <c r="C524" s="9"/>
    </row>
    <row r="525" ht="15.75" customHeight="1">
      <c r="C525" s="9"/>
    </row>
    <row r="526" ht="15.75" customHeight="1">
      <c r="C526" s="9"/>
    </row>
    <row r="527" ht="15.75" customHeight="1">
      <c r="C527" s="9"/>
    </row>
    <row r="528" ht="15.75" customHeight="1">
      <c r="C528" s="9"/>
    </row>
    <row r="529" ht="15.75" customHeight="1">
      <c r="C529" s="9"/>
    </row>
    <row r="530" ht="15.75" customHeight="1">
      <c r="C530" s="9"/>
    </row>
    <row r="531" ht="15.75" customHeight="1">
      <c r="C531" s="9"/>
    </row>
    <row r="532" ht="15.75" customHeight="1">
      <c r="C532" s="9"/>
    </row>
    <row r="533" ht="15.75" customHeight="1">
      <c r="C533" s="9"/>
    </row>
    <row r="534" ht="15.75" customHeight="1">
      <c r="C534" s="9"/>
    </row>
    <row r="535" ht="15.75" customHeight="1">
      <c r="C535" s="9"/>
    </row>
    <row r="536" ht="15.75" customHeight="1">
      <c r="C536" s="9"/>
    </row>
    <row r="537" ht="15.75" customHeight="1">
      <c r="C537" s="9"/>
    </row>
    <row r="538" ht="15.75" customHeight="1">
      <c r="C538" s="9"/>
    </row>
    <row r="539" ht="15.75" customHeight="1">
      <c r="C539" s="9"/>
    </row>
    <row r="540" ht="15.75" customHeight="1">
      <c r="C540" s="9"/>
    </row>
    <row r="541" ht="15.75" customHeight="1">
      <c r="C541" s="9"/>
    </row>
    <row r="542" ht="15.75" customHeight="1">
      <c r="C542" s="9"/>
    </row>
    <row r="543" ht="15.75" customHeight="1">
      <c r="C543" s="9"/>
    </row>
    <row r="544" ht="15.75" customHeight="1">
      <c r="C544" s="9"/>
    </row>
    <row r="545" ht="15.75" customHeight="1">
      <c r="C545" s="9"/>
    </row>
    <row r="546" ht="15.75" customHeight="1">
      <c r="C546" s="9"/>
    </row>
    <row r="547" ht="15.75" customHeight="1">
      <c r="C547" s="9"/>
    </row>
    <row r="548" ht="15.75" customHeight="1">
      <c r="C548" s="9"/>
    </row>
    <row r="549" ht="15.75" customHeight="1">
      <c r="C549" s="9"/>
    </row>
    <row r="550" ht="15.75" customHeight="1">
      <c r="C550" s="9"/>
    </row>
    <row r="551" ht="15.75" customHeight="1">
      <c r="C551" s="9"/>
    </row>
    <row r="552" ht="15.75" customHeight="1">
      <c r="C552" s="9"/>
    </row>
    <row r="553" ht="15.75" customHeight="1">
      <c r="C553" s="9"/>
    </row>
    <row r="554" ht="15.75" customHeight="1">
      <c r="C554" s="9"/>
    </row>
    <row r="555" ht="15.75" customHeight="1">
      <c r="C555" s="9"/>
    </row>
    <row r="556" ht="15.75" customHeight="1">
      <c r="C556" s="9"/>
    </row>
    <row r="557" ht="15.75" customHeight="1">
      <c r="C557" s="9"/>
    </row>
    <row r="558" ht="15.75" customHeight="1">
      <c r="C558" s="9"/>
    </row>
    <row r="559" ht="15.75" customHeight="1">
      <c r="C559" s="9"/>
    </row>
    <row r="560" ht="15.75" customHeight="1">
      <c r="C560" s="9"/>
    </row>
    <row r="561" ht="15.75" customHeight="1">
      <c r="C561" s="9"/>
    </row>
    <row r="562" ht="15.75" customHeight="1">
      <c r="C562" s="9"/>
    </row>
    <row r="563" ht="15.75" customHeight="1">
      <c r="C563" s="9"/>
    </row>
    <row r="564" ht="15.75" customHeight="1">
      <c r="C564" s="9"/>
    </row>
    <row r="565" ht="15.75" customHeight="1">
      <c r="C565" s="9"/>
    </row>
    <row r="566" ht="15.75" customHeight="1">
      <c r="C566" s="9"/>
    </row>
    <row r="567" ht="15.75" customHeight="1">
      <c r="C567" s="9"/>
    </row>
    <row r="568" ht="15.75" customHeight="1">
      <c r="C568" s="9"/>
    </row>
    <row r="569" ht="15.75" customHeight="1">
      <c r="C569" s="9"/>
    </row>
    <row r="570" ht="15.75" customHeight="1">
      <c r="C570" s="9"/>
    </row>
    <row r="571" ht="15.75" customHeight="1">
      <c r="C571" s="9"/>
    </row>
    <row r="572" ht="15.75" customHeight="1">
      <c r="C572" s="9"/>
    </row>
    <row r="573" ht="15.75" customHeight="1">
      <c r="C573" s="9"/>
    </row>
    <row r="574" ht="15.75" customHeight="1">
      <c r="C574" s="9"/>
    </row>
    <row r="575" ht="15.75" customHeight="1">
      <c r="C575" s="9"/>
    </row>
    <row r="576" ht="15.75" customHeight="1">
      <c r="C576" s="9"/>
    </row>
    <row r="577" ht="15.75" customHeight="1">
      <c r="C577" s="9"/>
    </row>
    <row r="578" ht="15.75" customHeight="1">
      <c r="C578" s="9"/>
    </row>
    <row r="579" ht="15.75" customHeight="1">
      <c r="C579" s="9"/>
    </row>
    <row r="580" ht="15.75" customHeight="1">
      <c r="C580" s="9"/>
    </row>
    <row r="581" ht="15.75" customHeight="1">
      <c r="C581" s="9"/>
    </row>
    <row r="582" ht="15.75" customHeight="1">
      <c r="C582" s="9"/>
    </row>
    <row r="583" ht="15.75" customHeight="1">
      <c r="C583" s="9"/>
    </row>
    <row r="584" ht="15.75" customHeight="1">
      <c r="C584" s="9"/>
    </row>
    <row r="585" ht="15.75" customHeight="1">
      <c r="C585" s="9"/>
    </row>
    <row r="586" ht="15.75" customHeight="1">
      <c r="C586" s="9"/>
    </row>
    <row r="587" ht="15.75" customHeight="1">
      <c r="C587" s="9"/>
    </row>
    <row r="588" ht="15.75" customHeight="1">
      <c r="C588" s="9"/>
    </row>
    <row r="589" ht="15.75" customHeight="1">
      <c r="C589" s="9"/>
    </row>
    <row r="590" ht="15.75" customHeight="1">
      <c r="C590" s="9"/>
    </row>
    <row r="591" ht="15.75" customHeight="1">
      <c r="C591" s="9"/>
    </row>
    <row r="592" ht="15.75" customHeight="1">
      <c r="C592" s="9"/>
    </row>
    <row r="593" ht="15.75" customHeight="1">
      <c r="C593" s="9"/>
    </row>
    <row r="594" ht="15.75" customHeight="1">
      <c r="C594" s="9"/>
    </row>
    <row r="595" ht="15.75" customHeight="1">
      <c r="C595" s="9"/>
    </row>
    <row r="596" ht="15.75" customHeight="1">
      <c r="C596" s="9"/>
    </row>
    <row r="597" ht="15.75" customHeight="1">
      <c r="C597" s="9"/>
    </row>
    <row r="598" ht="15.75" customHeight="1">
      <c r="C598" s="9"/>
    </row>
    <row r="599" ht="15.75" customHeight="1">
      <c r="C599" s="9"/>
    </row>
    <row r="600" ht="15.75" customHeight="1">
      <c r="C600" s="9"/>
    </row>
    <row r="601" ht="15.75" customHeight="1">
      <c r="C601" s="9"/>
    </row>
    <row r="602" ht="15.75" customHeight="1">
      <c r="C602" s="9"/>
    </row>
    <row r="603" ht="15.75" customHeight="1">
      <c r="C603" s="9"/>
    </row>
    <row r="604" ht="15.75" customHeight="1">
      <c r="C604" s="9"/>
    </row>
    <row r="605" ht="15.75" customHeight="1">
      <c r="C605" s="9"/>
    </row>
    <row r="606" ht="15.75" customHeight="1">
      <c r="C606" s="9"/>
    </row>
    <row r="607" ht="15.75" customHeight="1">
      <c r="C607" s="9"/>
    </row>
    <row r="608" ht="15.75" customHeight="1">
      <c r="C608" s="9"/>
    </row>
    <row r="609" ht="15.75" customHeight="1">
      <c r="C609" s="9"/>
    </row>
    <row r="610" ht="15.75" customHeight="1">
      <c r="C610" s="9"/>
    </row>
    <row r="611" ht="15.75" customHeight="1">
      <c r="C611" s="9"/>
    </row>
    <row r="612" ht="15.75" customHeight="1">
      <c r="C612" s="9"/>
    </row>
    <row r="613" ht="15.75" customHeight="1">
      <c r="C613" s="9"/>
    </row>
    <row r="614" ht="15.75" customHeight="1">
      <c r="C614" s="9"/>
    </row>
    <row r="615" ht="15.75" customHeight="1">
      <c r="C615" s="9"/>
    </row>
    <row r="616" ht="15.75" customHeight="1">
      <c r="C616" s="9"/>
    </row>
    <row r="617" ht="15.75" customHeight="1">
      <c r="C617" s="9"/>
    </row>
    <row r="618" ht="15.75" customHeight="1">
      <c r="C618" s="9"/>
    </row>
    <row r="619" ht="15.75" customHeight="1">
      <c r="C619" s="9"/>
    </row>
    <row r="620" ht="15.75" customHeight="1">
      <c r="C620" s="9"/>
    </row>
    <row r="621" ht="15.75" customHeight="1">
      <c r="C621" s="9"/>
    </row>
    <row r="622" ht="15.75" customHeight="1">
      <c r="C622" s="9"/>
    </row>
    <row r="623" ht="15.75" customHeight="1">
      <c r="C623" s="9"/>
    </row>
    <row r="624" ht="15.75" customHeight="1">
      <c r="C624" s="9"/>
    </row>
    <row r="625" ht="15.75" customHeight="1">
      <c r="C625" s="9"/>
    </row>
    <row r="626" ht="15.75" customHeight="1">
      <c r="C626" s="9"/>
    </row>
    <row r="627" ht="15.75" customHeight="1">
      <c r="C627" s="9"/>
    </row>
    <row r="628" ht="15.75" customHeight="1">
      <c r="C628" s="9"/>
    </row>
    <row r="629" ht="15.75" customHeight="1">
      <c r="C629" s="9"/>
    </row>
    <row r="630" ht="15.75" customHeight="1">
      <c r="C630" s="9"/>
    </row>
    <row r="631" ht="15.75" customHeight="1">
      <c r="C631" s="9"/>
    </row>
    <row r="632" ht="15.75" customHeight="1">
      <c r="C632" s="9"/>
    </row>
    <row r="633" ht="15.75" customHeight="1">
      <c r="C633" s="9"/>
    </row>
    <row r="634" ht="15.75" customHeight="1">
      <c r="C634" s="9"/>
    </row>
    <row r="635" ht="15.75" customHeight="1">
      <c r="C635" s="9"/>
    </row>
    <row r="636" ht="15.75" customHeight="1">
      <c r="C636" s="9"/>
    </row>
    <row r="637" ht="15.75" customHeight="1">
      <c r="C637" s="9"/>
    </row>
    <row r="638" ht="15.75" customHeight="1">
      <c r="C638" s="9"/>
    </row>
    <row r="639" ht="15.75" customHeight="1">
      <c r="C639" s="9"/>
    </row>
    <row r="640" ht="15.75" customHeight="1">
      <c r="C640" s="9"/>
    </row>
    <row r="641" ht="15.75" customHeight="1">
      <c r="C641" s="9"/>
    </row>
    <row r="642" ht="15.75" customHeight="1">
      <c r="C642" s="9"/>
    </row>
    <row r="643" ht="15.75" customHeight="1">
      <c r="C643" s="9"/>
    </row>
    <row r="644" ht="15.75" customHeight="1">
      <c r="C644" s="9"/>
    </row>
    <row r="645" ht="15.75" customHeight="1">
      <c r="C645" s="9"/>
    </row>
    <row r="646" ht="15.75" customHeight="1">
      <c r="C646" s="9"/>
    </row>
    <row r="647" ht="15.75" customHeight="1">
      <c r="C647" s="9"/>
    </row>
    <row r="648" ht="15.75" customHeight="1">
      <c r="C648" s="9"/>
    </row>
    <row r="649" ht="15.75" customHeight="1">
      <c r="C649" s="9"/>
    </row>
    <row r="650" ht="15.75" customHeight="1">
      <c r="C650" s="9"/>
    </row>
    <row r="651" ht="15.75" customHeight="1">
      <c r="C651" s="9"/>
    </row>
    <row r="652" ht="15.75" customHeight="1">
      <c r="C652" s="9"/>
    </row>
    <row r="653" ht="15.75" customHeight="1">
      <c r="C653" s="9"/>
    </row>
    <row r="654" ht="15.75" customHeight="1">
      <c r="C654" s="9"/>
    </row>
    <row r="655" ht="15.75" customHeight="1">
      <c r="C655" s="9"/>
    </row>
    <row r="656" ht="15.75" customHeight="1">
      <c r="C656" s="9"/>
    </row>
    <row r="657" ht="15.75" customHeight="1">
      <c r="C657" s="9"/>
    </row>
    <row r="658" ht="15.75" customHeight="1">
      <c r="C658" s="9"/>
    </row>
    <row r="659" ht="15.75" customHeight="1">
      <c r="C659" s="9"/>
    </row>
    <row r="660" ht="15.75" customHeight="1">
      <c r="C660" s="9"/>
    </row>
    <row r="661" ht="15.75" customHeight="1">
      <c r="C661" s="9"/>
    </row>
    <row r="662" ht="15.75" customHeight="1">
      <c r="C662" s="9"/>
    </row>
    <row r="663" ht="15.75" customHeight="1">
      <c r="C663" s="9"/>
    </row>
    <row r="664" ht="15.75" customHeight="1">
      <c r="C664" s="9"/>
    </row>
    <row r="665" ht="15.75" customHeight="1">
      <c r="C665" s="9"/>
    </row>
    <row r="666" ht="15.75" customHeight="1">
      <c r="C666" s="9"/>
    </row>
    <row r="667" ht="15.75" customHeight="1">
      <c r="C667" s="9"/>
    </row>
    <row r="668" ht="15.75" customHeight="1">
      <c r="C668" s="9"/>
    </row>
    <row r="669" ht="15.75" customHeight="1">
      <c r="C669" s="9"/>
    </row>
    <row r="670" ht="15.75" customHeight="1">
      <c r="C670" s="9"/>
    </row>
    <row r="671" ht="15.75" customHeight="1">
      <c r="C671" s="9"/>
    </row>
    <row r="672" ht="15.75" customHeight="1">
      <c r="C672" s="9"/>
    </row>
    <row r="673" ht="15.75" customHeight="1">
      <c r="C673" s="9"/>
    </row>
    <row r="674" ht="15.75" customHeight="1">
      <c r="C674" s="9"/>
    </row>
    <row r="675" ht="15.75" customHeight="1">
      <c r="C675" s="9"/>
    </row>
    <row r="676" ht="15.75" customHeight="1">
      <c r="C676" s="9"/>
    </row>
    <row r="677" ht="15.75" customHeight="1">
      <c r="C677" s="9"/>
    </row>
    <row r="678" ht="15.75" customHeight="1">
      <c r="C678" s="9"/>
    </row>
    <row r="679" ht="15.75" customHeight="1">
      <c r="C679" s="9"/>
    </row>
    <row r="680" ht="15.75" customHeight="1">
      <c r="C680" s="9"/>
    </row>
    <row r="681" ht="15.75" customHeight="1">
      <c r="C681" s="9"/>
    </row>
    <row r="682" ht="15.75" customHeight="1">
      <c r="C682" s="9"/>
    </row>
    <row r="683" ht="15.75" customHeight="1">
      <c r="C683" s="9"/>
    </row>
    <row r="684" ht="15.75" customHeight="1">
      <c r="C684" s="9"/>
    </row>
    <row r="685" ht="15.75" customHeight="1">
      <c r="C685" s="9"/>
    </row>
    <row r="686" ht="15.75" customHeight="1">
      <c r="C686" s="9"/>
    </row>
    <row r="687" ht="15.75" customHeight="1">
      <c r="C687" s="9"/>
    </row>
    <row r="688" ht="15.75" customHeight="1">
      <c r="C688" s="9"/>
    </row>
    <row r="689" ht="15.75" customHeight="1">
      <c r="C689" s="9"/>
    </row>
    <row r="690" ht="15.75" customHeight="1">
      <c r="C690" s="9"/>
    </row>
    <row r="691" ht="15.75" customHeight="1">
      <c r="C691" s="9"/>
    </row>
    <row r="692" ht="15.75" customHeight="1">
      <c r="C692" s="9"/>
    </row>
    <row r="693" ht="15.75" customHeight="1">
      <c r="C693" s="9"/>
    </row>
    <row r="694" ht="15.75" customHeight="1">
      <c r="C694" s="9"/>
    </row>
    <row r="695" ht="15.75" customHeight="1">
      <c r="C695" s="9"/>
    </row>
    <row r="696" ht="15.75" customHeight="1">
      <c r="C696" s="9"/>
    </row>
    <row r="697" ht="15.75" customHeight="1">
      <c r="C697" s="9"/>
    </row>
    <row r="698" ht="15.75" customHeight="1">
      <c r="C698" s="9"/>
    </row>
    <row r="699" ht="15.75" customHeight="1">
      <c r="C699" s="9"/>
    </row>
    <row r="700" ht="15.75" customHeight="1">
      <c r="C700" s="9"/>
    </row>
    <row r="701" ht="15.75" customHeight="1">
      <c r="C701" s="9"/>
    </row>
    <row r="702" ht="15.75" customHeight="1">
      <c r="C702" s="9"/>
    </row>
    <row r="703" ht="15.75" customHeight="1">
      <c r="C703" s="9"/>
    </row>
    <row r="704" ht="15.75" customHeight="1">
      <c r="C704" s="9"/>
    </row>
    <row r="705" ht="15.75" customHeight="1">
      <c r="C705" s="9"/>
    </row>
    <row r="706" ht="15.75" customHeight="1">
      <c r="C706" s="9"/>
    </row>
    <row r="707" ht="15.75" customHeight="1">
      <c r="C707" s="9"/>
    </row>
    <row r="708" ht="15.75" customHeight="1">
      <c r="C708" s="9"/>
    </row>
    <row r="709" ht="15.75" customHeight="1">
      <c r="C709" s="9"/>
    </row>
    <row r="710" ht="15.75" customHeight="1">
      <c r="C710" s="9"/>
    </row>
    <row r="711" ht="15.75" customHeight="1">
      <c r="C711" s="9"/>
    </row>
    <row r="712" ht="15.75" customHeight="1">
      <c r="C712" s="9"/>
    </row>
    <row r="713" ht="15.75" customHeight="1">
      <c r="C713" s="9"/>
    </row>
    <row r="714" ht="15.75" customHeight="1">
      <c r="C714" s="9"/>
    </row>
    <row r="715" ht="15.75" customHeight="1">
      <c r="C715" s="9"/>
    </row>
    <row r="716" ht="15.75" customHeight="1">
      <c r="C716" s="9"/>
    </row>
    <row r="717" ht="15.75" customHeight="1">
      <c r="C717" s="9"/>
    </row>
    <row r="718" ht="15.75" customHeight="1">
      <c r="C718" s="9"/>
    </row>
    <row r="719" ht="15.75" customHeight="1">
      <c r="C719" s="9"/>
    </row>
    <row r="720" ht="15.75" customHeight="1">
      <c r="C720" s="9"/>
    </row>
    <row r="721" ht="15.75" customHeight="1">
      <c r="C721" s="9"/>
    </row>
    <row r="722" ht="15.75" customHeight="1">
      <c r="C722" s="9"/>
    </row>
    <row r="723" ht="15.75" customHeight="1">
      <c r="C723" s="9"/>
    </row>
    <row r="724" ht="15.75" customHeight="1">
      <c r="C724" s="9"/>
    </row>
    <row r="725" ht="15.75" customHeight="1">
      <c r="C725" s="9"/>
    </row>
    <row r="726" ht="15.75" customHeight="1">
      <c r="C726" s="9"/>
    </row>
    <row r="727" ht="15.75" customHeight="1">
      <c r="C727" s="9"/>
    </row>
    <row r="728" ht="15.75" customHeight="1">
      <c r="C728" s="9"/>
    </row>
    <row r="729" ht="15.75" customHeight="1">
      <c r="C729" s="9"/>
    </row>
    <row r="730" ht="15.75" customHeight="1">
      <c r="C730" s="9"/>
    </row>
    <row r="731" ht="15.75" customHeight="1">
      <c r="C731" s="9"/>
    </row>
    <row r="732" ht="15.75" customHeight="1">
      <c r="C732" s="9"/>
    </row>
    <row r="733" ht="15.75" customHeight="1">
      <c r="C733" s="9"/>
    </row>
    <row r="734" ht="15.75" customHeight="1">
      <c r="C734" s="9"/>
    </row>
    <row r="735" ht="15.75" customHeight="1">
      <c r="C735" s="9"/>
    </row>
    <row r="736" ht="15.75" customHeight="1">
      <c r="C736" s="9"/>
    </row>
    <row r="737" ht="15.75" customHeight="1">
      <c r="C737" s="9"/>
    </row>
    <row r="738" ht="15.75" customHeight="1">
      <c r="C738" s="9"/>
    </row>
    <row r="739" ht="15.75" customHeight="1">
      <c r="C739" s="9"/>
    </row>
    <row r="740" ht="15.75" customHeight="1">
      <c r="C740" s="9"/>
    </row>
    <row r="741" ht="15.75" customHeight="1">
      <c r="C741" s="9"/>
    </row>
    <row r="742" ht="15.75" customHeight="1">
      <c r="C742" s="9"/>
    </row>
    <row r="743" ht="15.75" customHeight="1">
      <c r="C743" s="9"/>
    </row>
    <row r="744" ht="15.75" customHeight="1">
      <c r="C744" s="9"/>
    </row>
    <row r="745" ht="15.75" customHeight="1">
      <c r="C745" s="9"/>
    </row>
    <row r="746" ht="15.75" customHeight="1">
      <c r="C746" s="9"/>
    </row>
    <row r="747" ht="15.75" customHeight="1">
      <c r="C747" s="9"/>
    </row>
    <row r="748" ht="15.75" customHeight="1">
      <c r="C748" s="9"/>
    </row>
    <row r="749" ht="15.75" customHeight="1">
      <c r="C749" s="9"/>
    </row>
    <row r="750" ht="15.75" customHeight="1">
      <c r="C750" s="9"/>
    </row>
    <row r="751" ht="15.75" customHeight="1">
      <c r="C751" s="9"/>
    </row>
    <row r="752" ht="15.75" customHeight="1">
      <c r="C752" s="9"/>
    </row>
    <row r="753" ht="15.75" customHeight="1">
      <c r="C753" s="9"/>
    </row>
    <row r="754" ht="15.75" customHeight="1">
      <c r="C754" s="9"/>
    </row>
    <row r="755" ht="15.75" customHeight="1">
      <c r="C755" s="9"/>
    </row>
    <row r="756" ht="15.75" customHeight="1">
      <c r="C756" s="9"/>
    </row>
    <row r="757" ht="15.75" customHeight="1">
      <c r="C757" s="9"/>
    </row>
    <row r="758" ht="15.75" customHeight="1">
      <c r="C758" s="9"/>
    </row>
    <row r="759" ht="15.75" customHeight="1">
      <c r="C759" s="9"/>
    </row>
    <row r="760" ht="15.75" customHeight="1">
      <c r="C760" s="9"/>
    </row>
    <row r="761" ht="15.75" customHeight="1">
      <c r="C761" s="9"/>
    </row>
    <row r="762" ht="15.75" customHeight="1">
      <c r="C762" s="9"/>
    </row>
    <row r="763" ht="15.75" customHeight="1">
      <c r="C763" s="9"/>
    </row>
    <row r="764" ht="15.75" customHeight="1">
      <c r="C764" s="9"/>
    </row>
    <row r="765" ht="15.75" customHeight="1">
      <c r="C765" s="9"/>
    </row>
    <row r="766" ht="15.75" customHeight="1">
      <c r="C766" s="9"/>
    </row>
    <row r="767" ht="15.75" customHeight="1">
      <c r="C767" s="9"/>
    </row>
    <row r="768" ht="15.75" customHeight="1">
      <c r="C768" s="9"/>
    </row>
    <row r="769" ht="15.75" customHeight="1">
      <c r="C769" s="9"/>
    </row>
    <row r="770" ht="15.75" customHeight="1">
      <c r="C770" s="9"/>
    </row>
    <row r="771" ht="15.75" customHeight="1">
      <c r="C771" s="9"/>
    </row>
    <row r="772" ht="15.75" customHeight="1">
      <c r="C772" s="9"/>
    </row>
    <row r="773" ht="15.75" customHeight="1">
      <c r="C773" s="9"/>
    </row>
    <row r="774" ht="15.75" customHeight="1">
      <c r="C774" s="9"/>
    </row>
    <row r="775" ht="15.75" customHeight="1">
      <c r="C775" s="9"/>
    </row>
    <row r="776" ht="15.75" customHeight="1">
      <c r="C776" s="9"/>
    </row>
    <row r="777" ht="15.75" customHeight="1">
      <c r="C777" s="9"/>
    </row>
    <row r="778" ht="15.75" customHeight="1">
      <c r="C778" s="9"/>
    </row>
    <row r="779" ht="15.75" customHeight="1">
      <c r="C779" s="9"/>
    </row>
    <row r="780" ht="15.75" customHeight="1">
      <c r="C780" s="9"/>
    </row>
    <row r="781" ht="15.75" customHeight="1">
      <c r="C781" s="9"/>
    </row>
    <row r="782" ht="15.75" customHeight="1">
      <c r="C782" s="9"/>
    </row>
    <row r="783" ht="15.75" customHeight="1">
      <c r="C783" s="9"/>
    </row>
    <row r="784" ht="15.75" customHeight="1">
      <c r="C784" s="9"/>
    </row>
    <row r="785" ht="15.75" customHeight="1">
      <c r="C785" s="9"/>
    </row>
    <row r="786" ht="15.75" customHeight="1">
      <c r="C786" s="9"/>
    </row>
    <row r="787" ht="15.75" customHeight="1">
      <c r="C787" s="9"/>
    </row>
    <row r="788" ht="15.75" customHeight="1">
      <c r="C788" s="9"/>
    </row>
    <row r="789" ht="15.75" customHeight="1">
      <c r="C789" s="9"/>
    </row>
    <row r="790" ht="15.75" customHeight="1">
      <c r="C790" s="9"/>
    </row>
    <row r="791" ht="15.75" customHeight="1">
      <c r="C791" s="9"/>
    </row>
    <row r="792" ht="15.75" customHeight="1">
      <c r="C792" s="9"/>
    </row>
    <row r="793" ht="15.75" customHeight="1">
      <c r="C793" s="9"/>
    </row>
    <row r="794" ht="15.75" customHeight="1">
      <c r="C794" s="9"/>
    </row>
    <row r="795" ht="15.75" customHeight="1">
      <c r="C795" s="9"/>
    </row>
    <row r="796" ht="15.75" customHeight="1">
      <c r="C796" s="9"/>
    </row>
    <row r="797" ht="15.75" customHeight="1">
      <c r="C797" s="9"/>
    </row>
    <row r="798" ht="15.75" customHeight="1">
      <c r="C798" s="9"/>
    </row>
    <row r="799" ht="15.75" customHeight="1">
      <c r="C799" s="9"/>
    </row>
    <row r="800" ht="15.75" customHeight="1">
      <c r="C800" s="9"/>
    </row>
    <row r="801" ht="15.75" customHeight="1">
      <c r="C801" s="9"/>
    </row>
    <row r="802" ht="15.75" customHeight="1">
      <c r="C802" s="9"/>
    </row>
    <row r="803" ht="15.75" customHeight="1">
      <c r="C803" s="9"/>
    </row>
    <row r="804" ht="15.75" customHeight="1">
      <c r="C804" s="9"/>
    </row>
    <row r="805" ht="15.75" customHeight="1">
      <c r="C805" s="9"/>
    </row>
    <row r="806" ht="15.75" customHeight="1">
      <c r="C806" s="9"/>
    </row>
    <row r="807" ht="15.75" customHeight="1">
      <c r="C807" s="9"/>
    </row>
    <row r="808" ht="15.75" customHeight="1">
      <c r="C808" s="9"/>
    </row>
    <row r="809" ht="15.75" customHeight="1">
      <c r="C809" s="9"/>
    </row>
    <row r="810" ht="15.75" customHeight="1">
      <c r="C810" s="9"/>
    </row>
    <row r="811" ht="15.75" customHeight="1">
      <c r="C811" s="9"/>
    </row>
    <row r="812" ht="15.75" customHeight="1">
      <c r="C812" s="9"/>
    </row>
    <row r="813" ht="15.75" customHeight="1">
      <c r="C813" s="9"/>
    </row>
    <row r="814" ht="15.75" customHeight="1">
      <c r="C814" s="9"/>
    </row>
    <row r="815" ht="15.75" customHeight="1">
      <c r="C815" s="9"/>
    </row>
    <row r="816" ht="15.75" customHeight="1">
      <c r="C816" s="9"/>
    </row>
    <row r="817" ht="15.75" customHeight="1">
      <c r="C817" s="9"/>
    </row>
    <row r="818" ht="15.75" customHeight="1">
      <c r="C818" s="9"/>
    </row>
    <row r="819" ht="15.75" customHeight="1">
      <c r="C819" s="9"/>
    </row>
    <row r="820" ht="15.75" customHeight="1">
      <c r="C820" s="9"/>
    </row>
    <row r="821" ht="15.75" customHeight="1">
      <c r="C821" s="9"/>
    </row>
    <row r="822" ht="15.75" customHeight="1">
      <c r="C822" s="9"/>
    </row>
    <row r="823" ht="15.75" customHeight="1">
      <c r="C823" s="9"/>
    </row>
    <row r="824" ht="15.75" customHeight="1">
      <c r="C824" s="9"/>
    </row>
    <row r="825" ht="15.75" customHeight="1">
      <c r="C825" s="9"/>
    </row>
    <row r="826" ht="15.75" customHeight="1">
      <c r="C826" s="9"/>
    </row>
    <row r="827" ht="15.75" customHeight="1">
      <c r="C827" s="9"/>
    </row>
    <row r="828" ht="15.75" customHeight="1">
      <c r="C828" s="9"/>
    </row>
    <row r="829" ht="15.75" customHeight="1">
      <c r="C829" s="9"/>
    </row>
    <row r="830" ht="15.75" customHeight="1">
      <c r="C830" s="9"/>
    </row>
    <row r="831" ht="15.75" customHeight="1">
      <c r="C831" s="9"/>
    </row>
    <row r="832" ht="15.75" customHeight="1">
      <c r="C832" s="9"/>
    </row>
    <row r="833" ht="15.75" customHeight="1">
      <c r="C833" s="9"/>
    </row>
    <row r="834" ht="15.75" customHeight="1">
      <c r="C834" s="9"/>
    </row>
    <row r="835" ht="15.75" customHeight="1">
      <c r="C835" s="9"/>
    </row>
    <row r="836" ht="15.75" customHeight="1">
      <c r="C836" s="9"/>
    </row>
    <row r="837" ht="15.75" customHeight="1">
      <c r="C837" s="9"/>
    </row>
    <row r="838" ht="15.75" customHeight="1">
      <c r="C838" s="9"/>
    </row>
    <row r="839" ht="15.75" customHeight="1">
      <c r="C839" s="9"/>
    </row>
    <row r="840" ht="15.75" customHeight="1">
      <c r="C840" s="9"/>
    </row>
    <row r="841" ht="15.75" customHeight="1">
      <c r="C841" s="9"/>
    </row>
    <row r="842" ht="15.75" customHeight="1">
      <c r="C842" s="9"/>
    </row>
    <row r="843" ht="15.75" customHeight="1">
      <c r="C843" s="9"/>
    </row>
    <row r="844" ht="15.75" customHeight="1">
      <c r="C844" s="9"/>
    </row>
    <row r="845" ht="15.75" customHeight="1">
      <c r="C845" s="9"/>
    </row>
    <row r="846" ht="15.75" customHeight="1">
      <c r="C846" s="9"/>
    </row>
    <row r="847" ht="15.75" customHeight="1">
      <c r="C847" s="9"/>
    </row>
    <row r="848" ht="15.75" customHeight="1">
      <c r="C848" s="9"/>
    </row>
    <row r="849" ht="15.75" customHeight="1">
      <c r="C849" s="9"/>
    </row>
    <row r="850" ht="15.75" customHeight="1">
      <c r="C850" s="9"/>
    </row>
    <row r="851" ht="15.75" customHeight="1">
      <c r="C851" s="9"/>
    </row>
    <row r="852" ht="15.75" customHeight="1">
      <c r="C852" s="9"/>
    </row>
    <row r="853" ht="15.75" customHeight="1">
      <c r="C853" s="9"/>
    </row>
    <row r="854" ht="15.75" customHeight="1">
      <c r="C854" s="9"/>
    </row>
    <row r="855" ht="15.75" customHeight="1">
      <c r="C855" s="9"/>
    </row>
    <row r="856" ht="15.75" customHeight="1">
      <c r="C856" s="9"/>
    </row>
    <row r="857" ht="15.75" customHeight="1">
      <c r="C857" s="9"/>
    </row>
    <row r="858" ht="15.75" customHeight="1">
      <c r="C858" s="9"/>
    </row>
    <row r="859" ht="15.75" customHeight="1">
      <c r="C859" s="9"/>
    </row>
    <row r="860" ht="15.75" customHeight="1">
      <c r="C860" s="9"/>
    </row>
    <row r="861" ht="15.75" customHeight="1">
      <c r="C861" s="9"/>
    </row>
    <row r="862" ht="15.75" customHeight="1">
      <c r="C862" s="9"/>
    </row>
    <row r="863" ht="15.75" customHeight="1">
      <c r="C863" s="9"/>
    </row>
    <row r="864" ht="15.75" customHeight="1">
      <c r="C864" s="9"/>
    </row>
    <row r="865" ht="15.75" customHeight="1">
      <c r="C865" s="9"/>
    </row>
    <row r="866" ht="15.75" customHeight="1">
      <c r="C866" s="9"/>
    </row>
    <row r="867" ht="15.75" customHeight="1">
      <c r="C867" s="9"/>
    </row>
    <row r="868" ht="15.75" customHeight="1">
      <c r="C868" s="9"/>
    </row>
    <row r="869" ht="15.75" customHeight="1">
      <c r="C869" s="9"/>
    </row>
    <row r="870" ht="15.75" customHeight="1">
      <c r="C870" s="9"/>
    </row>
    <row r="871" ht="15.75" customHeight="1">
      <c r="C871" s="9"/>
    </row>
    <row r="872" ht="15.75" customHeight="1">
      <c r="C872" s="9"/>
    </row>
    <row r="873" ht="15.75" customHeight="1">
      <c r="C873" s="9"/>
    </row>
    <row r="874" ht="15.75" customHeight="1">
      <c r="C874" s="9"/>
    </row>
    <row r="875" ht="15.75" customHeight="1">
      <c r="C875" s="9"/>
    </row>
    <row r="876" ht="15.75" customHeight="1">
      <c r="C876" s="9"/>
    </row>
    <row r="877" ht="15.75" customHeight="1">
      <c r="C877" s="9"/>
    </row>
    <row r="878" ht="15.75" customHeight="1">
      <c r="C878" s="9"/>
    </row>
    <row r="879" ht="15.75" customHeight="1">
      <c r="C879" s="9"/>
    </row>
    <row r="880" ht="15.75" customHeight="1">
      <c r="C880" s="9"/>
    </row>
    <row r="881" ht="15.75" customHeight="1">
      <c r="C881" s="9"/>
    </row>
    <row r="882" ht="15.75" customHeight="1">
      <c r="C882" s="9"/>
    </row>
    <row r="883" ht="15.75" customHeight="1">
      <c r="C883" s="9"/>
    </row>
    <row r="884" ht="15.75" customHeight="1">
      <c r="C884" s="9"/>
    </row>
    <row r="885" ht="15.75" customHeight="1">
      <c r="C885" s="9"/>
    </row>
    <row r="886" ht="15.75" customHeight="1">
      <c r="C886" s="9"/>
    </row>
    <row r="887" ht="15.75" customHeight="1">
      <c r="C887" s="9"/>
    </row>
    <row r="888" ht="15.75" customHeight="1">
      <c r="C888" s="9"/>
    </row>
    <row r="889" ht="15.75" customHeight="1">
      <c r="C889" s="9"/>
    </row>
    <row r="890" ht="15.75" customHeight="1">
      <c r="C890" s="9"/>
    </row>
    <row r="891" ht="15.75" customHeight="1">
      <c r="C891" s="9"/>
    </row>
    <row r="892" ht="15.75" customHeight="1">
      <c r="C892" s="9"/>
    </row>
    <row r="893" ht="15.75" customHeight="1">
      <c r="C893" s="9"/>
    </row>
    <row r="894" ht="15.75" customHeight="1">
      <c r="C894" s="9"/>
    </row>
    <row r="895" ht="15.75" customHeight="1">
      <c r="C895" s="9"/>
    </row>
    <row r="896" ht="15.75" customHeight="1">
      <c r="C896" s="9"/>
    </row>
    <row r="897" ht="15.75" customHeight="1">
      <c r="C897" s="9"/>
    </row>
    <row r="898" ht="15.75" customHeight="1">
      <c r="C898" s="9"/>
    </row>
    <row r="899" ht="15.75" customHeight="1">
      <c r="C899" s="9"/>
    </row>
    <row r="900" ht="15.75" customHeight="1">
      <c r="C900" s="9"/>
    </row>
    <row r="901" ht="15.75" customHeight="1">
      <c r="C901" s="9"/>
    </row>
    <row r="902" ht="15.75" customHeight="1">
      <c r="C902" s="9"/>
    </row>
    <row r="903" ht="15.75" customHeight="1">
      <c r="C903" s="9"/>
    </row>
    <row r="904" ht="15.75" customHeight="1">
      <c r="C904" s="9"/>
    </row>
    <row r="905" ht="15.75" customHeight="1">
      <c r="C905" s="9"/>
    </row>
    <row r="906" ht="15.75" customHeight="1">
      <c r="C906" s="9"/>
    </row>
    <row r="907" ht="15.75" customHeight="1">
      <c r="C907" s="9"/>
    </row>
    <row r="908" ht="15.75" customHeight="1">
      <c r="C908" s="9"/>
    </row>
    <row r="909" ht="15.75" customHeight="1">
      <c r="C909" s="9"/>
    </row>
    <row r="910" ht="15.75" customHeight="1">
      <c r="C910" s="9"/>
    </row>
    <row r="911" ht="15.75" customHeight="1">
      <c r="C911" s="9"/>
    </row>
    <row r="912" ht="15.75" customHeight="1">
      <c r="C912" s="9"/>
    </row>
    <row r="913" ht="15.75" customHeight="1">
      <c r="C913" s="9"/>
    </row>
    <row r="914" ht="15.75" customHeight="1">
      <c r="C914" s="9"/>
    </row>
    <row r="915" ht="15.75" customHeight="1">
      <c r="C915" s="9"/>
    </row>
    <row r="916" ht="15.75" customHeight="1">
      <c r="C916" s="9"/>
    </row>
    <row r="917" ht="15.75" customHeight="1">
      <c r="C917" s="9"/>
    </row>
    <row r="918" ht="15.75" customHeight="1">
      <c r="C918" s="9"/>
    </row>
    <row r="919" ht="15.75" customHeight="1">
      <c r="C919" s="9"/>
    </row>
    <row r="920" ht="15.75" customHeight="1">
      <c r="C920" s="9"/>
    </row>
    <row r="921" ht="15.75" customHeight="1">
      <c r="C921" s="9"/>
    </row>
    <row r="922" ht="15.75" customHeight="1">
      <c r="C922" s="9"/>
    </row>
    <row r="923" ht="15.75" customHeight="1">
      <c r="C923" s="9"/>
    </row>
    <row r="924" ht="15.75" customHeight="1">
      <c r="C924" s="9"/>
    </row>
    <row r="925" ht="15.75" customHeight="1">
      <c r="C925" s="9"/>
    </row>
    <row r="926" ht="15.75" customHeight="1">
      <c r="C926" s="9"/>
    </row>
    <row r="927" ht="15.75" customHeight="1">
      <c r="C927" s="9"/>
    </row>
    <row r="928" ht="15.75" customHeight="1">
      <c r="C928" s="9"/>
    </row>
    <row r="929" ht="15.75" customHeight="1">
      <c r="C929" s="9"/>
    </row>
    <row r="930" ht="15.75" customHeight="1">
      <c r="C930" s="9"/>
    </row>
    <row r="931" ht="15.75" customHeight="1">
      <c r="C931" s="9"/>
    </row>
    <row r="932" ht="15.75" customHeight="1">
      <c r="C932" s="9"/>
    </row>
    <row r="933" ht="15.75" customHeight="1">
      <c r="C933" s="9"/>
    </row>
    <row r="934" ht="15.75" customHeight="1">
      <c r="C934" s="9"/>
    </row>
    <row r="935" ht="15.75" customHeight="1">
      <c r="C935" s="9"/>
    </row>
    <row r="936" ht="15.75" customHeight="1">
      <c r="C936" s="9"/>
    </row>
    <row r="937" ht="15.75" customHeight="1">
      <c r="C937" s="9"/>
    </row>
    <row r="938" ht="15.75" customHeight="1">
      <c r="C938" s="9"/>
    </row>
    <row r="939" ht="15.75" customHeight="1">
      <c r="C939" s="9"/>
    </row>
    <row r="940" ht="15.75" customHeight="1">
      <c r="C940" s="9"/>
    </row>
    <row r="941" ht="15.75" customHeight="1">
      <c r="C941" s="9"/>
    </row>
    <row r="942" ht="15.75" customHeight="1">
      <c r="C942" s="9"/>
    </row>
    <row r="943" ht="15.75" customHeight="1">
      <c r="C943" s="9"/>
    </row>
    <row r="944" ht="15.75" customHeight="1">
      <c r="C944" s="9"/>
    </row>
    <row r="945" ht="15.75" customHeight="1">
      <c r="C945" s="9"/>
    </row>
    <row r="946" ht="15.75" customHeight="1">
      <c r="C946" s="9"/>
    </row>
    <row r="947" ht="15.75" customHeight="1">
      <c r="C947" s="9"/>
    </row>
    <row r="948" ht="15.75" customHeight="1">
      <c r="C948" s="9"/>
    </row>
    <row r="949" ht="15.75" customHeight="1">
      <c r="C949" s="9"/>
    </row>
    <row r="950" ht="15.75" customHeight="1">
      <c r="C950" s="9"/>
    </row>
    <row r="951" ht="15.75" customHeight="1">
      <c r="C951" s="9"/>
    </row>
    <row r="952" ht="15.75" customHeight="1">
      <c r="C952" s="9"/>
    </row>
    <row r="953" ht="15.75" customHeight="1">
      <c r="C953" s="9"/>
    </row>
    <row r="954" ht="15.75" customHeight="1">
      <c r="C954" s="9"/>
    </row>
    <row r="955" ht="15.75" customHeight="1">
      <c r="C955" s="9"/>
    </row>
    <row r="956" ht="15.75" customHeight="1">
      <c r="C956" s="9"/>
    </row>
    <row r="957" ht="15.75" customHeight="1">
      <c r="C957" s="9"/>
    </row>
    <row r="958" ht="15.75" customHeight="1">
      <c r="C958" s="9"/>
    </row>
    <row r="959" ht="15.75" customHeight="1">
      <c r="C959" s="9"/>
    </row>
    <row r="960" ht="15.75" customHeight="1">
      <c r="C960" s="9"/>
    </row>
    <row r="961" ht="15.75" customHeight="1">
      <c r="C961" s="9"/>
    </row>
    <row r="962" ht="15.75" customHeight="1">
      <c r="C962" s="9"/>
    </row>
    <row r="963" ht="15.75" customHeight="1">
      <c r="C963" s="9"/>
    </row>
    <row r="964" ht="15.75" customHeight="1">
      <c r="C964" s="9"/>
    </row>
    <row r="965" ht="15.75" customHeight="1">
      <c r="C965" s="9"/>
    </row>
    <row r="966" ht="15.75" customHeight="1">
      <c r="C966" s="9"/>
    </row>
    <row r="967" ht="15.75" customHeight="1">
      <c r="C967" s="9"/>
    </row>
    <row r="968" ht="15.75" customHeight="1">
      <c r="C968" s="9"/>
    </row>
    <row r="969" ht="15.75" customHeight="1">
      <c r="C969" s="9"/>
    </row>
    <row r="970" ht="15.75" customHeight="1">
      <c r="C970" s="9"/>
    </row>
    <row r="971" ht="15.75" customHeight="1">
      <c r="C971" s="9"/>
    </row>
    <row r="972" ht="15.75" customHeight="1">
      <c r="C972" s="9"/>
    </row>
    <row r="973" ht="15.75" customHeight="1">
      <c r="C973" s="9"/>
    </row>
    <row r="974" ht="15.75" customHeight="1">
      <c r="C974" s="9"/>
    </row>
    <row r="975" ht="15.75" customHeight="1">
      <c r="C975" s="9"/>
    </row>
    <row r="976" ht="15.75" customHeight="1">
      <c r="C976" s="9"/>
    </row>
    <row r="977" ht="15.75" customHeight="1">
      <c r="C977" s="9"/>
    </row>
    <row r="978" ht="15.75" customHeight="1">
      <c r="C978" s="9"/>
    </row>
    <row r="979" ht="15.75" customHeight="1">
      <c r="C979" s="9"/>
    </row>
    <row r="980" ht="15.75" customHeight="1">
      <c r="C980" s="9"/>
    </row>
    <row r="981" ht="15.75" customHeight="1">
      <c r="C981" s="9"/>
    </row>
    <row r="982" ht="15.75" customHeight="1">
      <c r="C982" s="9"/>
    </row>
    <row r="983" ht="15.75" customHeight="1">
      <c r="C983" s="9"/>
    </row>
    <row r="984" ht="15.75" customHeight="1">
      <c r="C984" s="9"/>
    </row>
    <row r="985" ht="15.75" customHeight="1">
      <c r="C985" s="9"/>
    </row>
    <row r="986" ht="15.75" customHeight="1">
      <c r="C986" s="9"/>
    </row>
    <row r="987" ht="15.75" customHeight="1">
      <c r="C987" s="9"/>
    </row>
    <row r="988" ht="15.75" customHeight="1">
      <c r="C988" s="9"/>
    </row>
    <row r="989" ht="15.75" customHeight="1">
      <c r="C989" s="9"/>
    </row>
    <row r="990" ht="15.75" customHeight="1">
      <c r="C990" s="9"/>
    </row>
    <row r="991" ht="15.75" customHeight="1">
      <c r="C991" s="9"/>
    </row>
    <row r="992" ht="15.75" customHeight="1">
      <c r="C992" s="9"/>
    </row>
    <row r="993" ht="15.75" customHeight="1">
      <c r="C993" s="9"/>
    </row>
    <row r="994" ht="15.75" customHeight="1">
      <c r="C994" s="9"/>
    </row>
    <row r="995" ht="15.75" customHeight="1">
      <c r="C995" s="9"/>
    </row>
    <row r="996" ht="15.75" customHeight="1">
      <c r="C996" s="9"/>
    </row>
    <row r="997" ht="15.75" customHeight="1">
      <c r="C997" s="9"/>
    </row>
    <row r="998" ht="15.75" customHeight="1">
      <c r="C998" s="9"/>
    </row>
    <row r="999" ht="15.75" customHeight="1">
      <c r="C999" s="9"/>
    </row>
    <row r="1000" ht="15.75" customHeight="1">
      <c r="C1000" s="9"/>
    </row>
  </sheetData>
  <mergeCells count="7">
    <mergeCell ref="A1:B1"/>
    <mergeCell ref="A2:B2"/>
    <mergeCell ref="A3:B3"/>
    <mergeCell ref="A4:B4"/>
    <mergeCell ref="A10:B10"/>
    <mergeCell ref="A91:B91"/>
    <mergeCell ref="A92:C92"/>
  </mergeCells>
  <conditionalFormatting sqref="B6:C6 H6 L6">
    <cfRule type="expression" dxfId="0" priority="1" stopIfTrue="1">
      <formula>$A6="begin group"</formula>
    </cfRule>
  </conditionalFormatting>
  <conditionalFormatting sqref="B6:C6 L6 S6">
    <cfRule type="expression" dxfId="1" priority="2" stopIfTrue="1">
      <formula>$A6="begin repeat"</formula>
    </cfRule>
  </conditionalFormatting>
  <conditionalFormatting sqref="B6:F6 H6">
    <cfRule type="expression" dxfId="2" priority="3" stopIfTrue="1">
      <formula>$A6="text"</formula>
    </cfRule>
  </conditionalFormatting>
  <conditionalFormatting sqref="B6:F6 I6:J6">
    <cfRule type="expression" dxfId="3" priority="4" stopIfTrue="1">
      <formula>$A6="integer"</formula>
    </cfRule>
  </conditionalFormatting>
  <conditionalFormatting sqref="B6:F6 I6:J6">
    <cfRule type="expression" dxfId="4" priority="5" stopIfTrue="1">
      <formula>$A6="decimal"</formula>
    </cfRule>
  </conditionalFormatting>
  <conditionalFormatting sqref="B6:C6 H6">
    <cfRule type="expression" dxfId="5" priority="6" stopIfTrue="1">
      <formula>OR(AND(LEFT($A6, 16)="select_multiple ", LEN($A6)&gt;16, NOT(ISNUMBER(SEARCH(" ", $A6, 17)))), AND(LEFT($A6, 11)="select_one ", LEN($A6)&gt;11, NOT(ISNUMBER(SEARCH(" ", $A6, 12)))))</formula>
    </cfRule>
  </conditionalFormatting>
  <conditionalFormatting sqref="B6 H6">
    <cfRule type="expression" dxfId="6" priority="7" stopIfTrue="1">
      <formula>OR($A6="audio audit", $A6="text audit")</formula>
    </cfRule>
  </conditionalFormatting>
  <conditionalFormatting sqref="B6:C6">
    <cfRule type="expression" dxfId="7" priority="8" stopIfTrue="1">
      <formula>$A6="note"</formula>
    </cfRule>
  </conditionalFormatting>
  <conditionalFormatting sqref="B6:C6">
    <cfRule type="expression" dxfId="8" priority="9" stopIfTrue="1">
      <formula>$A6="barcode"</formula>
    </cfRule>
  </conditionalFormatting>
  <conditionalFormatting sqref="B6:C6">
    <cfRule type="expression" dxfId="9" priority="10" stopIfTrue="1">
      <formula>$A6="geopoint"</formula>
    </cfRule>
  </conditionalFormatting>
  <conditionalFormatting sqref="B6 R6">
    <cfRule type="expression" dxfId="10" priority="11" stopIfTrue="1">
      <formula>OR($A6="calculate", $A6="calculate_here")</formula>
    </cfRule>
  </conditionalFormatting>
  <conditionalFormatting sqref="B6:C6 H6">
    <cfRule type="expression" dxfId="11" priority="12" stopIfTrue="1">
      <formula>OR($A6="date", $A6="datetime")</formula>
    </cfRule>
  </conditionalFormatting>
  <conditionalFormatting sqref="B6:C6 H6">
    <cfRule type="expression" dxfId="12" priority="13" stopIfTrue="1">
      <formula>$A6="image"</formula>
    </cfRule>
  </conditionalFormatting>
  <conditionalFormatting sqref="B6:C6">
    <cfRule type="expression" dxfId="13" priority="14" stopIfTrue="1">
      <formula>OR($A6="audio", $A6="video")</formula>
    </cfRule>
  </conditionalFormatting>
  <conditionalFormatting sqref="A6:J6 L6:O6 Q6:S6 W6:AD6">
    <cfRule type="expression" dxfId="14" priority="15" stopIfTrue="1">
      <formula>$A6="comments"</formula>
    </cfRule>
  </conditionalFormatting>
  <conditionalFormatting sqref="A6:J6 L6:O6 Q6:S6 W6:AD6">
    <cfRule type="expression" dxfId="15" priority="16" stopIfTrue="1">
      <formula>OR($A6="audio", $A6="video")</formula>
    </cfRule>
  </conditionalFormatting>
  <conditionalFormatting sqref="A6:J6 L6:O6 Q6:S6 W6:AD6">
    <cfRule type="expression" dxfId="16" priority="17" stopIfTrue="1">
      <formula>$A6="image"</formula>
    </cfRule>
  </conditionalFormatting>
  <conditionalFormatting sqref="A6:J6 L6:O6 Q6:S6 W6:AD6">
    <cfRule type="expression" dxfId="17" priority="18" stopIfTrue="1">
      <formula>OR($A6="date", $A6="datetime")</formula>
    </cfRule>
  </conditionalFormatting>
  <conditionalFormatting sqref="A6:J6 L6:O6 Q6:S6 W6:AD6">
    <cfRule type="expression" dxfId="18" priority="19" stopIfTrue="1">
      <formula>OR($A6="calculate", $A6="calculate_here")</formula>
    </cfRule>
  </conditionalFormatting>
  <conditionalFormatting sqref="A6:J6 L6:O6 Q6:S6 W6:AD6">
    <cfRule type="expression" dxfId="19" priority="20" stopIfTrue="1">
      <formula>$A6="note"</formula>
    </cfRule>
  </conditionalFormatting>
  <conditionalFormatting sqref="A6:J6 L6:O6 Q6:S6 W6:AD6">
    <cfRule type="expression" dxfId="20" priority="21" stopIfTrue="1">
      <formula>$A6="barcode"</formula>
    </cfRule>
  </conditionalFormatting>
  <conditionalFormatting sqref="A6:J6 L6:O6 Q6:S6 W6:AD6">
    <cfRule type="expression" dxfId="21" priority="22" stopIfTrue="1">
      <formula>$A6="geopoint"</formula>
    </cfRule>
  </conditionalFormatting>
  <conditionalFormatting sqref="A6:J6 L6:O6 Q6:S6 W6:AD6">
    <cfRule type="expression" dxfId="22" priority="23" stopIfTrue="1">
      <formula>OR($A6="audio audit", $A6="text audit")</formula>
    </cfRule>
  </conditionalFormatting>
  <conditionalFormatting sqref="A6:J6 L6:O6 Q6:S6 W6:AD6">
    <cfRule type="expression" dxfId="23" priority="24" stopIfTrue="1">
      <formula>OR($A6="phonenumber", $A6="start", $A6="end", $A6="deviceid", $A6="subscriberid", $A6="simserial")</formula>
    </cfRule>
  </conditionalFormatting>
  <conditionalFormatting sqref="A6:J6 L6:O6 Q6:S6 W6:AD6">
    <cfRule type="expression" dxfId="24" priority="25" stopIfTrue="1">
      <formula>OR(AND(LEFT($A6, 16)="select_multiple ", LEN($A6)&gt;16, NOT(ISNUMBER(SEARCH(" ", $A6, 17)))), AND(LEFT($A6, 11)="select_one ", LEN($A6)&gt;11, NOT(ISNUMBER(SEARCH(" ", $A6, 12)))))</formula>
    </cfRule>
  </conditionalFormatting>
  <conditionalFormatting sqref="A6:J6 L6:O6 Q6:S6 W6:AD6">
    <cfRule type="expression" dxfId="25" priority="26" stopIfTrue="1">
      <formula>$A6="decimal"</formula>
    </cfRule>
  </conditionalFormatting>
  <conditionalFormatting sqref="A6:J6 L6:O6 Q6:S6 W6:AD6">
    <cfRule type="expression" dxfId="26" priority="27" stopIfTrue="1">
      <formula>$A6="integer"</formula>
    </cfRule>
  </conditionalFormatting>
  <conditionalFormatting sqref="A6:J6 L6:O6 Q6:S6 W6:AD6">
    <cfRule type="expression" dxfId="27" priority="28" stopIfTrue="1">
      <formula>$A6="text"</formula>
    </cfRule>
  </conditionalFormatting>
  <conditionalFormatting sqref="A6:J6 L6:O6 Q6:S6 W6:AD6">
    <cfRule type="expression" dxfId="28" priority="29" stopIfTrue="1">
      <formula>$A6="end repeat"</formula>
    </cfRule>
  </conditionalFormatting>
  <conditionalFormatting sqref="A6:J6 L6:O6 Q6:S6 W6:AD6">
    <cfRule type="expression" dxfId="28" priority="30" stopIfTrue="1">
      <formula>$A6="begin repeat"</formula>
    </cfRule>
  </conditionalFormatting>
  <conditionalFormatting sqref="A6:J6 L6:O6 Q6:S6 W6:AD6">
    <cfRule type="expression" dxfId="29" priority="31" stopIfTrue="1">
      <formula>$A6="end group"</formula>
    </cfRule>
  </conditionalFormatting>
  <conditionalFormatting sqref="A6:J6 L6:O6 Q6:S6 W6:AD6">
    <cfRule type="expression" dxfId="29" priority="32" stopIfTrue="1">
      <formula>$A6="begin group"</formula>
    </cfRule>
  </conditionalFormatting>
  <conditionalFormatting sqref="B6">
    <cfRule type="expression" dxfId="30" priority="33" stopIfTrue="1">
      <formula>$A6="comments"</formula>
    </cfRule>
  </conditionalFormatting>
  <conditionalFormatting sqref="T6:V6">
    <cfRule type="expression" dxfId="14" priority="34" stopIfTrue="1">
      <formula>$A6="comments"</formula>
    </cfRule>
  </conditionalFormatting>
  <conditionalFormatting sqref="T6:V6">
    <cfRule type="expression" dxfId="15" priority="35" stopIfTrue="1">
      <formula>OR($A6="audio", $A6="video")</formula>
    </cfRule>
  </conditionalFormatting>
  <conditionalFormatting sqref="T6:V6">
    <cfRule type="expression" dxfId="16" priority="36" stopIfTrue="1">
      <formula>$A6="image"</formula>
    </cfRule>
  </conditionalFormatting>
  <conditionalFormatting sqref="T6:V6">
    <cfRule type="expression" dxfId="17" priority="37" stopIfTrue="1">
      <formula>OR($A6="date", $A6="datetime")</formula>
    </cfRule>
  </conditionalFormatting>
  <conditionalFormatting sqref="T6:V6">
    <cfRule type="expression" dxfId="18" priority="38" stopIfTrue="1">
      <formula>OR($A6="calculate", $A6="calculate_here")</formula>
    </cfRule>
  </conditionalFormatting>
  <conditionalFormatting sqref="T6:V6">
    <cfRule type="expression" dxfId="19" priority="39" stopIfTrue="1">
      <formula>$A6="note"</formula>
    </cfRule>
  </conditionalFormatting>
  <conditionalFormatting sqref="T6:V6">
    <cfRule type="expression" dxfId="20" priority="40" stopIfTrue="1">
      <formula>$A6="barcode"</formula>
    </cfRule>
  </conditionalFormatting>
  <conditionalFormatting sqref="T6:V6">
    <cfRule type="expression" dxfId="21" priority="41" stopIfTrue="1">
      <formula>$A6="geopoint"</formula>
    </cfRule>
  </conditionalFormatting>
  <conditionalFormatting sqref="T6:V6">
    <cfRule type="expression" dxfId="22" priority="42" stopIfTrue="1">
      <formula>OR($A6="audio audit", $A6="text audit")</formula>
    </cfRule>
  </conditionalFormatting>
  <conditionalFormatting sqref="T6:V6">
    <cfRule type="expression" dxfId="23" priority="43" stopIfTrue="1">
      <formula>OR($A6="phonenumber", $A6="start", $A6="end", $A6="deviceid", $A6="subscriberid", $A6="simserial")</formula>
    </cfRule>
  </conditionalFormatting>
  <conditionalFormatting sqref="T6:V6">
    <cfRule type="expression" dxfId="24" priority="44" stopIfTrue="1">
      <formula>OR(AND(LEFT($A6, 16)="select_multiple ", LEN($A6)&gt;16, NOT(ISNUMBER(SEARCH(" ", $A6, 17)))), AND(LEFT($A6, 11)="select_one ", LEN($A6)&gt;11, NOT(ISNUMBER(SEARCH(" ", $A6, 12)))))</formula>
    </cfRule>
  </conditionalFormatting>
  <conditionalFormatting sqref="T6:V6">
    <cfRule type="expression" dxfId="25" priority="45" stopIfTrue="1">
      <formula>$A6="decimal"</formula>
    </cfRule>
  </conditionalFormatting>
  <conditionalFormatting sqref="T6:V6">
    <cfRule type="expression" dxfId="26" priority="46" stopIfTrue="1">
      <formula>$A6="integer"</formula>
    </cfRule>
  </conditionalFormatting>
  <conditionalFormatting sqref="T6:V6">
    <cfRule type="expression" dxfId="27" priority="47" stopIfTrue="1">
      <formula>$A6="text"</formula>
    </cfRule>
  </conditionalFormatting>
  <conditionalFormatting sqref="T6:V6">
    <cfRule type="expression" dxfId="28" priority="48" stopIfTrue="1">
      <formula>$A6="end repeat"</formula>
    </cfRule>
  </conditionalFormatting>
  <conditionalFormatting sqref="T6:V6">
    <cfRule type="expression" dxfId="28" priority="49" stopIfTrue="1">
      <formula>$A6="begin repeat"</formula>
    </cfRule>
  </conditionalFormatting>
  <conditionalFormatting sqref="T6:V6">
    <cfRule type="expression" dxfId="29" priority="50" stopIfTrue="1">
      <formula>$A6="end group"</formula>
    </cfRule>
  </conditionalFormatting>
  <conditionalFormatting sqref="T6:V6">
    <cfRule type="expression" dxfId="29" priority="51" stopIfTrue="1">
      <formula>$A6="begin group"</formula>
    </cfRule>
  </conditionalFormatting>
  <conditionalFormatting sqref="D6">
    <cfRule type="expression" dxfId="0" priority="52" stopIfTrue="1">
      <formula>$A6="begin group"</formula>
    </cfRule>
  </conditionalFormatting>
  <conditionalFormatting sqref="D6">
    <cfRule type="expression" dxfId="1" priority="53" stopIfTrue="1">
      <formula>$A6="begin repeat"</formula>
    </cfRule>
  </conditionalFormatting>
  <conditionalFormatting sqref="D6">
    <cfRule type="expression" dxfId="5" priority="54" stopIfTrue="1">
      <formula>OR(AND(LEFT($A6, 16)="select_multiple ", LEN($A6)&gt;16, NOT(ISNUMBER(SEARCH(" ", $A6, 17)))), AND(LEFT($A6, 11)="select_one ", LEN($A6)&gt;11, NOT(ISNUMBER(SEARCH(" ", $A6, 12)))))</formula>
    </cfRule>
  </conditionalFormatting>
  <conditionalFormatting sqref="D6">
    <cfRule type="expression" dxfId="7" priority="55" stopIfTrue="1">
      <formula>$A6="note"</formula>
    </cfRule>
  </conditionalFormatting>
  <conditionalFormatting sqref="D6">
    <cfRule type="expression" dxfId="8" priority="56" stopIfTrue="1">
      <formula>$A6="barcode"</formula>
    </cfRule>
  </conditionalFormatting>
  <conditionalFormatting sqref="D6">
    <cfRule type="expression" dxfId="9" priority="57" stopIfTrue="1">
      <formula>$A6="geopoint"</formula>
    </cfRule>
  </conditionalFormatting>
  <conditionalFormatting sqref="D6">
    <cfRule type="expression" dxfId="11" priority="58" stopIfTrue="1">
      <formula>OR($A6="date", $A6="datetime")</formula>
    </cfRule>
  </conditionalFormatting>
  <conditionalFormatting sqref="D6">
    <cfRule type="expression" dxfId="12" priority="59" stopIfTrue="1">
      <formula>$A6="image"</formula>
    </cfRule>
  </conditionalFormatting>
  <conditionalFormatting sqref="D6">
    <cfRule type="expression" dxfId="13" priority="60" stopIfTrue="1">
      <formula>OR($A6="audio", $A6="video")</formula>
    </cfRule>
  </conditionalFormatting>
  <conditionalFormatting sqref="K6">
    <cfRule type="expression" dxfId="3" priority="61" stopIfTrue="1">
      <formula>$A6="integer"</formula>
    </cfRule>
  </conditionalFormatting>
  <conditionalFormatting sqref="K6">
    <cfRule type="expression" dxfId="4" priority="62" stopIfTrue="1">
      <formula>$A6="decimal"</formula>
    </cfRule>
  </conditionalFormatting>
  <conditionalFormatting sqref="K6">
    <cfRule type="expression" dxfId="14" priority="63" stopIfTrue="1">
      <formula>$A6="comments"</formula>
    </cfRule>
  </conditionalFormatting>
  <conditionalFormatting sqref="K6">
    <cfRule type="expression" dxfId="15" priority="64" stopIfTrue="1">
      <formula>OR($A6="audio", $A6="video")</formula>
    </cfRule>
  </conditionalFormatting>
  <conditionalFormatting sqref="K6">
    <cfRule type="expression" dxfId="16" priority="65" stopIfTrue="1">
      <formula>$A6="image"</formula>
    </cfRule>
  </conditionalFormatting>
  <conditionalFormatting sqref="K6">
    <cfRule type="expression" dxfId="17" priority="66" stopIfTrue="1">
      <formula>OR($A6="date", $A6="datetime")</formula>
    </cfRule>
  </conditionalFormatting>
  <conditionalFormatting sqref="K6">
    <cfRule type="expression" dxfId="18" priority="67" stopIfTrue="1">
      <formula>OR($A6="calculate", $A6="calculate_here")</formula>
    </cfRule>
  </conditionalFormatting>
  <conditionalFormatting sqref="K6">
    <cfRule type="expression" dxfId="19" priority="68" stopIfTrue="1">
      <formula>$A6="note"</formula>
    </cfRule>
  </conditionalFormatting>
  <conditionalFormatting sqref="K6">
    <cfRule type="expression" dxfId="20" priority="69" stopIfTrue="1">
      <formula>$A6="barcode"</formula>
    </cfRule>
  </conditionalFormatting>
  <conditionalFormatting sqref="K6">
    <cfRule type="expression" dxfId="21" priority="70" stopIfTrue="1">
      <formula>$A6="geopoint"</formula>
    </cfRule>
  </conditionalFormatting>
  <conditionalFormatting sqref="K6">
    <cfRule type="expression" dxfId="22" priority="71" stopIfTrue="1">
      <formula>OR($A6="audio audit", $A6="text audit")</formula>
    </cfRule>
  </conditionalFormatting>
  <conditionalFormatting sqref="K6">
    <cfRule type="expression" dxfId="23" priority="72" stopIfTrue="1">
      <formula>OR($A6="phonenumber", $A6="start", $A6="end", $A6="deviceid", $A6="subscriberid", $A6="simserial")</formula>
    </cfRule>
  </conditionalFormatting>
  <conditionalFormatting sqref="K6">
    <cfRule type="expression" dxfId="24" priority="73" stopIfTrue="1">
      <formula>OR(AND(LEFT($A6, 16)="select_multiple ", LEN($A6)&gt;16, NOT(ISNUMBER(SEARCH(" ", $A6, 17)))), AND(LEFT($A6, 11)="select_one ", LEN($A6)&gt;11, NOT(ISNUMBER(SEARCH(" ", $A6, 12)))))</formula>
    </cfRule>
  </conditionalFormatting>
  <conditionalFormatting sqref="K6">
    <cfRule type="expression" dxfId="25" priority="74" stopIfTrue="1">
      <formula>$A6="decimal"</formula>
    </cfRule>
  </conditionalFormatting>
  <conditionalFormatting sqref="K6">
    <cfRule type="expression" dxfId="26" priority="75" stopIfTrue="1">
      <formula>$A6="integer"</formula>
    </cfRule>
  </conditionalFormatting>
  <conditionalFormatting sqref="K6">
    <cfRule type="expression" dxfId="27" priority="76" stopIfTrue="1">
      <formula>$A6="text"</formula>
    </cfRule>
  </conditionalFormatting>
  <conditionalFormatting sqref="K6">
    <cfRule type="expression" dxfId="28" priority="77" stopIfTrue="1">
      <formula>$A6="end repeat"</formula>
    </cfRule>
  </conditionalFormatting>
  <conditionalFormatting sqref="K6">
    <cfRule type="expression" dxfId="28" priority="78" stopIfTrue="1">
      <formula>$A6="begin repeat"</formula>
    </cfRule>
  </conditionalFormatting>
  <conditionalFormatting sqref="K6">
    <cfRule type="expression" dxfId="29" priority="79" stopIfTrue="1">
      <formula>$A6="end group"</formula>
    </cfRule>
  </conditionalFormatting>
  <conditionalFormatting sqref="K6">
    <cfRule type="expression" dxfId="29" priority="80" stopIfTrue="1">
      <formula>$A6="begin group"</formula>
    </cfRule>
  </conditionalFormatting>
  <conditionalFormatting sqref="P6">
    <cfRule type="expression" dxfId="14" priority="81" stopIfTrue="1">
      <formula>$A6="comments"</formula>
    </cfRule>
  </conditionalFormatting>
  <conditionalFormatting sqref="P6">
    <cfRule type="expression" dxfId="15" priority="82" stopIfTrue="1">
      <formula>OR($A6="audio", $A6="video")</formula>
    </cfRule>
  </conditionalFormatting>
  <conditionalFormatting sqref="P6">
    <cfRule type="expression" dxfId="16" priority="83" stopIfTrue="1">
      <formula>$A6="image"</formula>
    </cfRule>
  </conditionalFormatting>
  <conditionalFormatting sqref="P6">
    <cfRule type="expression" dxfId="17" priority="84" stopIfTrue="1">
      <formula>OR($A6="date", $A6="datetime")</formula>
    </cfRule>
  </conditionalFormatting>
  <conditionalFormatting sqref="P6">
    <cfRule type="expression" dxfId="18" priority="85" stopIfTrue="1">
      <formula>OR($A6="calculate", $A6="calculate_here")</formula>
    </cfRule>
  </conditionalFormatting>
  <conditionalFormatting sqref="P6">
    <cfRule type="expression" dxfId="19" priority="86" stopIfTrue="1">
      <formula>$A6="note"</formula>
    </cfRule>
  </conditionalFormatting>
  <conditionalFormatting sqref="P6">
    <cfRule type="expression" dxfId="20" priority="87" stopIfTrue="1">
      <formula>$A6="barcode"</formula>
    </cfRule>
  </conditionalFormatting>
  <conditionalFormatting sqref="P6">
    <cfRule type="expression" dxfId="21" priority="88" stopIfTrue="1">
      <formula>$A6="geopoint"</formula>
    </cfRule>
  </conditionalFormatting>
  <conditionalFormatting sqref="P6">
    <cfRule type="expression" dxfId="22" priority="89" stopIfTrue="1">
      <formula>OR($A6="audio audit", $A6="text audit")</formula>
    </cfRule>
  </conditionalFormatting>
  <conditionalFormatting sqref="P6">
    <cfRule type="expression" dxfId="23" priority="90" stopIfTrue="1">
      <formula>OR($A6="phonenumber", $A6="start", $A6="end", $A6="deviceid", $A6="subscriberid", $A6="simserial")</formula>
    </cfRule>
  </conditionalFormatting>
  <conditionalFormatting sqref="P6">
    <cfRule type="expression" dxfId="24" priority="91" stopIfTrue="1">
      <formula>OR(AND(LEFT($A6, 16)="select_multiple ", LEN($A6)&gt;16, NOT(ISNUMBER(SEARCH(" ", $A6, 17)))), AND(LEFT($A6, 11)="select_one ", LEN($A6)&gt;11, NOT(ISNUMBER(SEARCH(" ", $A6, 12)))))</formula>
    </cfRule>
  </conditionalFormatting>
  <conditionalFormatting sqref="P6">
    <cfRule type="expression" dxfId="25" priority="92" stopIfTrue="1">
      <formula>$A6="decimal"</formula>
    </cfRule>
  </conditionalFormatting>
  <conditionalFormatting sqref="P6">
    <cfRule type="expression" dxfId="26" priority="93" stopIfTrue="1">
      <formula>$A6="integer"</formula>
    </cfRule>
  </conditionalFormatting>
  <conditionalFormatting sqref="P6">
    <cfRule type="expression" dxfId="27" priority="94" stopIfTrue="1">
      <formula>$A6="text"</formula>
    </cfRule>
  </conditionalFormatting>
  <conditionalFormatting sqref="P6">
    <cfRule type="expression" dxfId="28" priority="95" stopIfTrue="1">
      <formula>$A6="end repeat"</formula>
    </cfRule>
  </conditionalFormatting>
  <conditionalFormatting sqref="P6">
    <cfRule type="expression" dxfId="28" priority="96" stopIfTrue="1">
      <formula>$A6="begin repeat"</formula>
    </cfRule>
  </conditionalFormatting>
  <conditionalFormatting sqref="P6">
    <cfRule type="expression" dxfId="29" priority="97" stopIfTrue="1">
      <formula>$A6="end group"</formula>
    </cfRule>
  </conditionalFormatting>
  <conditionalFormatting sqref="P6">
    <cfRule type="expression" dxfId="29" priority="98" stopIfTrue="1">
      <formula>$A6="begin group"</formula>
    </cfRule>
  </conditionalFormatting>
  <hyperlinks>
    <hyperlink r:id="rId1" ref="D8"/>
    <hyperlink r:id="rId2" ref="F8"/>
    <hyperlink r:id="rId3" ref="G8"/>
    <hyperlink r:id="rId4" ref="I8"/>
    <hyperlink r:id="rId5" ref="J8"/>
    <hyperlink r:id="rId6" ref="L8"/>
    <hyperlink r:id="rId7" ref="M8"/>
    <hyperlink r:id="rId8" ref="N8"/>
    <hyperlink r:id="rId9" ref="O8"/>
    <hyperlink r:id="rId10" ref="Q8"/>
    <hyperlink r:id="rId11" ref="R8"/>
    <hyperlink r:id="rId12" ref="S8"/>
    <hyperlink r:id="rId13" ref="T8"/>
    <hyperlink r:id="rId14" ref="U8"/>
    <hyperlink r:id="rId15" ref="V8"/>
    <hyperlink r:id="rId16" ref="W8"/>
    <hyperlink r:id="rId17" ref="X8"/>
    <hyperlink r:id="rId18" ref="Y8"/>
    <hyperlink r:id="rId19" ref="Z8"/>
    <hyperlink r:id="rId20" ref="AA8"/>
    <hyperlink r:id="rId21" ref="AB8"/>
    <hyperlink r:id="rId22" ref="AC8"/>
    <hyperlink r:id="rId23" ref="AD8"/>
    <hyperlink r:id="rId24" ref="A12"/>
    <hyperlink r:id="rId25" ref="A13"/>
    <hyperlink r:id="rId26" ref="A14"/>
    <hyperlink r:id="rId27" ref="A15"/>
    <hyperlink r:id="rId28" ref="A18"/>
    <hyperlink r:id="rId29" ref="A19"/>
    <hyperlink r:id="rId30" ref="A44"/>
    <hyperlink r:id="rId31" ref="A45"/>
    <hyperlink r:id="rId32" ref="A46"/>
    <hyperlink r:id="rId33" ref="A47"/>
    <hyperlink r:id="rId34" ref="A57"/>
    <hyperlink r:id="rId35" ref="A58"/>
    <hyperlink r:id="rId36" ref="A59"/>
    <hyperlink r:id="rId37" ref="A60"/>
    <hyperlink r:id="rId38" ref="A61"/>
    <hyperlink r:id="rId39" ref="A62"/>
    <hyperlink r:id="rId40" ref="A63"/>
    <hyperlink r:id="rId41" ref="A64"/>
    <hyperlink r:id="rId42" ref="A65"/>
    <hyperlink r:id="rId43" ref="A66"/>
    <hyperlink r:id="rId44" ref="A67"/>
    <hyperlink r:id="rId45" ref="A68"/>
    <hyperlink r:id="rId46" ref="A71"/>
    <hyperlink r:id="rId47" ref="A76"/>
    <hyperlink r:id="rId48" ref="A79"/>
    <hyperlink r:id="rId49" ref="A82"/>
    <hyperlink r:id="rId50" ref="A88"/>
    <hyperlink r:id="rId51" ref="A89"/>
    <hyperlink r:id="rId52" ref="A92"/>
  </hyperlinks>
  <printOptions/>
  <pageMargins bottom="1.0" footer="0.0" header="0.0" left="0.75" right="0.75" top="1.0"/>
  <pageSetup orientation="portrait"/>
  <drawing r:id="rId5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7" width="36.0"/>
    <col customWidth="1" min="8" max="26" width="10.56"/>
  </cols>
  <sheetData>
    <row r="1" ht="15.75" customHeight="1">
      <c r="A1" s="3" t="s">
        <v>160</v>
      </c>
      <c r="B1" s="6"/>
      <c r="C1" s="11"/>
      <c r="D1" s="11"/>
      <c r="E1" s="11"/>
      <c r="F1" s="11"/>
      <c r="G1" s="11"/>
      <c r="H1" s="11"/>
      <c r="I1" s="11"/>
      <c r="J1" s="11"/>
      <c r="K1" s="11"/>
      <c r="L1" s="11"/>
      <c r="M1" s="11"/>
      <c r="N1" s="11"/>
      <c r="O1" s="11"/>
      <c r="P1" s="11"/>
      <c r="Q1" s="11"/>
      <c r="R1" s="11"/>
      <c r="S1" s="11"/>
      <c r="T1" s="11"/>
      <c r="U1" s="11"/>
      <c r="V1" s="11"/>
      <c r="W1" s="11"/>
      <c r="X1" s="11"/>
      <c r="Y1" s="11"/>
      <c r="Z1" s="11"/>
    </row>
    <row r="2" ht="18.0" customHeight="1">
      <c r="A2" s="72"/>
      <c r="B2" s="73"/>
      <c r="C2" s="11"/>
      <c r="D2" s="11"/>
      <c r="E2" s="11"/>
      <c r="F2" s="11"/>
      <c r="G2" s="11"/>
      <c r="H2" s="11"/>
      <c r="I2" s="11"/>
      <c r="J2" s="11"/>
      <c r="K2" s="11"/>
      <c r="L2" s="11"/>
      <c r="M2" s="11"/>
      <c r="N2" s="11"/>
      <c r="O2" s="11"/>
      <c r="P2" s="11"/>
      <c r="Q2" s="11"/>
      <c r="R2" s="11"/>
      <c r="S2" s="11"/>
      <c r="T2" s="11"/>
      <c r="U2" s="11"/>
      <c r="V2" s="11"/>
      <c r="W2" s="11"/>
      <c r="X2" s="11"/>
      <c r="Y2" s="11"/>
      <c r="Z2" s="11"/>
    </row>
    <row r="3" ht="36.0" customHeight="1">
      <c r="A3" s="26" t="s">
        <v>172</v>
      </c>
      <c r="B3" s="22"/>
      <c r="C3" s="11"/>
      <c r="D3" s="11"/>
      <c r="E3" s="11"/>
      <c r="F3" s="11"/>
      <c r="G3" s="11"/>
      <c r="H3" s="11"/>
      <c r="I3" s="11"/>
      <c r="J3" s="11"/>
      <c r="K3" s="11"/>
      <c r="L3" s="11"/>
      <c r="M3" s="11"/>
      <c r="N3" s="11"/>
      <c r="O3" s="11"/>
      <c r="P3" s="11"/>
      <c r="Q3" s="11"/>
      <c r="R3" s="11"/>
      <c r="S3" s="11"/>
      <c r="T3" s="11"/>
      <c r="U3" s="11"/>
      <c r="V3" s="11"/>
      <c r="W3" s="11"/>
      <c r="X3" s="11"/>
      <c r="Y3" s="11"/>
      <c r="Z3" s="11"/>
    </row>
    <row r="4" ht="18.75" customHeight="1">
      <c r="A4" s="74" t="s">
        <v>176</v>
      </c>
      <c r="B4" s="22"/>
      <c r="C4" s="11"/>
      <c r="D4" s="11"/>
      <c r="E4" s="11"/>
      <c r="F4" s="11"/>
      <c r="G4" s="11"/>
      <c r="H4" s="11"/>
      <c r="I4" s="11"/>
      <c r="J4" s="11"/>
      <c r="K4" s="11"/>
      <c r="L4" s="11"/>
      <c r="M4" s="11"/>
      <c r="N4" s="11"/>
      <c r="O4" s="11"/>
      <c r="P4" s="11"/>
      <c r="Q4" s="11"/>
      <c r="R4" s="11"/>
      <c r="S4" s="11"/>
      <c r="T4" s="11"/>
      <c r="U4" s="11"/>
      <c r="V4" s="11"/>
      <c r="W4" s="11"/>
      <c r="X4" s="11"/>
      <c r="Y4" s="11"/>
      <c r="Z4" s="11"/>
    </row>
    <row r="5" ht="18.75" customHeight="1">
      <c r="A5" s="74" t="s">
        <v>182</v>
      </c>
      <c r="B5" s="22"/>
      <c r="C5" s="11"/>
      <c r="D5" s="11"/>
      <c r="E5" s="11"/>
      <c r="F5" s="11"/>
      <c r="G5" s="11"/>
      <c r="H5" s="11"/>
      <c r="I5" s="11"/>
      <c r="J5" s="11"/>
      <c r="K5" s="11"/>
      <c r="L5" s="11"/>
      <c r="M5" s="11"/>
      <c r="N5" s="11"/>
      <c r="O5" s="11"/>
      <c r="P5" s="11"/>
      <c r="Q5" s="11"/>
      <c r="R5" s="11"/>
      <c r="S5" s="11"/>
      <c r="T5" s="11"/>
      <c r="U5" s="11"/>
      <c r="V5" s="11"/>
      <c r="W5" s="11"/>
      <c r="X5" s="11"/>
      <c r="Y5" s="11"/>
      <c r="Z5" s="11"/>
    </row>
    <row r="6" ht="19.5" customHeight="1">
      <c r="A6" s="38" t="s">
        <v>188</v>
      </c>
      <c r="B6" s="39"/>
      <c r="C6" s="11"/>
      <c r="D6" s="11"/>
      <c r="E6" s="11"/>
      <c r="F6" s="11"/>
      <c r="G6" s="11"/>
      <c r="H6" s="11"/>
      <c r="I6" s="11"/>
      <c r="J6" s="11"/>
      <c r="K6" s="11"/>
      <c r="L6" s="11"/>
      <c r="M6" s="11"/>
      <c r="N6" s="11"/>
      <c r="O6" s="11"/>
      <c r="P6" s="11"/>
      <c r="Q6" s="11"/>
      <c r="R6" s="11"/>
      <c r="S6" s="11"/>
      <c r="T6" s="11"/>
      <c r="U6" s="11"/>
      <c r="V6" s="11"/>
      <c r="W6" s="11"/>
      <c r="X6" s="11"/>
      <c r="Y6" s="11"/>
      <c r="Z6" s="11"/>
    </row>
    <row r="7" ht="15.75" customHeight="1">
      <c r="A7" s="11"/>
      <c r="B7" s="11"/>
      <c r="C7" s="11"/>
      <c r="D7" s="11"/>
      <c r="E7" s="11"/>
      <c r="F7" s="11"/>
      <c r="G7" s="11"/>
      <c r="H7" s="11"/>
      <c r="I7" s="11"/>
      <c r="J7" s="11"/>
      <c r="K7" s="11"/>
      <c r="L7" s="11"/>
      <c r="M7" s="11"/>
      <c r="N7" s="11"/>
      <c r="O7" s="11"/>
      <c r="P7" s="11"/>
      <c r="Q7" s="11"/>
      <c r="R7" s="11"/>
      <c r="S7" s="11"/>
      <c r="T7" s="11"/>
      <c r="U7" s="11"/>
      <c r="V7" s="11"/>
      <c r="W7" s="11"/>
      <c r="X7" s="11"/>
      <c r="Y7" s="11"/>
      <c r="Z7" s="11"/>
    </row>
    <row r="8" ht="18.0" customHeight="1">
      <c r="A8" s="83" t="s">
        <v>0</v>
      </c>
      <c r="B8" s="83" t="s">
        <v>3</v>
      </c>
      <c r="C8" s="86" t="s">
        <v>8</v>
      </c>
      <c r="D8" s="86" t="s">
        <v>67</v>
      </c>
      <c r="E8" s="83" t="s">
        <v>23</v>
      </c>
      <c r="F8" s="83" t="s">
        <v>195</v>
      </c>
      <c r="G8" s="83" t="s">
        <v>26</v>
      </c>
      <c r="H8" s="53"/>
      <c r="I8" s="53"/>
      <c r="J8" s="53"/>
      <c r="K8" s="53"/>
      <c r="L8" s="53"/>
      <c r="M8" s="53"/>
      <c r="N8" s="53"/>
      <c r="O8" s="53"/>
      <c r="P8" s="53"/>
      <c r="Q8" s="53"/>
      <c r="R8" s="53"/>
      <c r="S8" s="53"/>
      <c r="T8" s="53"/>
      <c r="U8" s="53"/>
      <c r="V8" s="53"/>
      <c r="W8" s="53"/>
      <c r="X8" s="53"/>
      <c r="Y8" s="53"/>
      <c r="Z8" s="53"/>
    </row>
    <row r="9" ht="15.75" customHeight="1">
      <c r="A9" s="93" t="s">
        <v>197</v>
      </c>
      <c r="B9" s="93" t="s">
        <v>198</v>
      </c>
      <c r="C9" s="93" t="s">
        <v>200</v>
      </c>
      <c r="D9" s="93" t="s">
        <v>202</v>
      </c>
      <c r="E9" s="93" t="s">
        <v>204</v>
      </c>
      <c r="F9" s="93" t="s">
        <v>205</v>
      </c>
      <c r="G9" s="93" t="s">
        <v>207</v>
      </c>
      <c r="H9" s="93"/>
      <c r="I9" s="98"/>
      <c r="J9" s="98"/>
      <c r="K9" s="98"/>
      <c r="L9" s="98"/>
      <c r="M9" s="98"/>
      <c r="N9" s="98"/>
      <c r="O9" s="98"/>
      <c r="P9" s="98"/>
      <c r="Q9" s="98"/>
      <c r="R9" s="98"/>
      <c r="S9" s="98"/>
      <c r="T9" s="98"/>
      <c r="U9" s="98"/>
      <c r="V9" s="98"/>
      <c r="W9" s="98"/>
      <c r="X9" s="98"/>
      <c r="Y9" s="98"/>
      <c r="Z9" s="98"/>
    </row>
    <row r="10" ht="15.75" customHeight="1">
      <c r="A10" s="101"/>
      <c r="B10" s="101"/>
      <c r="C10" s="101"/>
      <c r="D10" s="106" t="s">
        <v>125</v>
      </c>
      <c r="E10" s="108" t="s">
        <v>163</v>
      </c>
      <c r="F10" s="101"/>
      <c r="G10" s="108" t="s">
        <v>171</v>
      </c>
      <c r="H10" s="101"/>
      <c r="I10" s="101"/>
      <c r="J10" s="101"/>
      <c r="K10" s="101"/>
      <c r="L10" s="101"/>
      <c r="M10" s="101"/>
      <c r="N10" s="101"/>
      <c r="O10" s="101"/>
      <c r="P10" s="101"/>
      <c r="Q10" s="101"/>
      <c r="R10" s="101"/>
      <c r="S10" s="101"/>
      <c r="T10" s="101"/>
      <c r="U10" s="101"/>
      <c r="V10" s="101"/>
      <c r="W10" s="101"/>
      <c r="X10" s="101"/>
      <c r="Y10" s="101"/>
      <c r="Z10" s="101"/>
    </row>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B1"/>
    <mergeCell ref="A3:B3"/>
    <mergeCell ref="A4:B4"/>
    <mergeCell ref="A5:B5"/>
    <mergeCell ref="A6:B6"/>
  </mergeCells>
  <hyperlinks>
    <hyperlink r:id="rId1" ref="D10"/>
    <hyperlink r:id="rId2" ref="E10"/>
    <hyperlink r:id="rId3" ref="G10"/>
  </hyperlinks>
  <printOptions/>
  <pageMargins bottom="1.0" footer="0.0" header="0.0" left="0.75" right="0.75" top="1.0"/>
  <pageSetup orientation="portrait"/>
  <drawing r:id="rId4"/>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6" width="36.0"/>
    <col customWidth="1" min="7" max="26" width="10.56"/>
  </cols>
  <sheetData>
    <row r="1" ht="15.75" customHeight="1">
      <c r="A1" s="122" t="s">
        <v>310</v>
      </c>
      <c r="B1" s="124"/>
      <c r="C1" s="125"/>
      <c r="D1" s="125"/>
      <c r="E1" s="125"/>
      <c r="F1" s="125"/>
      <c r="G1" s="11"/>
      <c r="H1" s="11"/>
      <c r="I1" s="11"/>
      <c r="J1" s="11"/>
      <c r="K1" s="11"/>
      <c r="L1" s="11"/>
      <c r="M1" s="11"/>
      <c r="N1" s="11"/>
      <c r="O1" s="11"/>
      <c r="P1" s="11"/>
      <c r="Q1" s="11"/>
      <c r="R1" s="11"/>
      <c r="S1" s="11"/>
      <c r="T1" s="11"/>
      <c r="U1" s="11"/>
      <c r="V1" s="11"/>
      <c r="W1" s="11"/>
      <c r="X1" s="11"/>
      <c r="Y1" s="11"/>
      <c r="Z1" s="11"/>
    </row>
    <row r="2" ht="15.75" customHeight="1">
      <c r="A2" s="128"/>
      <c r="B2" s="129"/>
      <c r="C2" s="125"/>
      <c r="D2" s="125"/>
      <c r="E2" s="125"/>
      <c r="F2" s="125"/>
      <c r="G2" s="11"/>
      <c r="H2" s="11"/>
      <c r="I2" s="11"/>
      <c r="J2" s="11"/>
      <c r="K2" s="11"/>
      <c r="L2" s="11"/>
      <c r="M2" s="11"/>
      <c r="N2" s="11"/>
      <c r="O2" s="11"/>
      <c r="P2" s="11"/>
      <c r="Q2" s="11"/>
      <c r="R2" s="11"/>
      <c r="S2" s="11"/>
      <c r="T2" s="11"/>
      <c r="U2" s="11"/>
      <c r="V2" s="11"/>
      <c r="W2" s="11"/>
      <c r="X2" s="11"/>
      <c r="Y2" s="11"/>
      <c r="Z2" s="11"/>
    </row>
    <row r="3" ht="54.75" customHeight="1">
      <c r="A3" s="130" t="s">
        <v>324</v>
      </c>
      <c r="B3" s="131"/>
      <c r="C3" s="125"/>
      <c r="D3" s="125"/>
      <c r="E3" s="125"/>
      <c r="F3" s="125"/>
      <c r="G3" s="11"/>
      <c r="H3" s="11"/>
      <c r="I3" s="11"/>
      <c r="J3" s="11"/>
      <c r="K3" s="11"/>
      <c r="L3" s="11"/>
      <c r="M3" s="11"/>
      <c r="N3" s="11"/>
      <c r="O3" s="11"/>
      <c r="P3" s="11"/>
      <c r="Q3" s="11"/>
      <c r="R3" s="11"/>
      <c r="S3" s="11"/>
      <c r="T3" s="11"/>
      <c r="U3" s="11"/>
      <c r="V3" s="11"/>
      <c r="W3" s="11"/>
      <c r="X3" s="11"/>
      <c r="Y3" s="11"/>
      <c r="Z3" s="11"/>
    </row>
    <row r="4" ht="15.75" customHeight="1">
      <c r="A4" s="125"/>
      <c r="B4" s="125"/>
      <c r="C4" s="125"/>
      <c r="D4" s="125"/>
      <c r="E4" s="125"/>
      <c r="F4" s="125"/>
      <c r="G4" s="11"/>
      <c r="H4" s="11"/>
      <c r="I4" s="11"/>
      <c r="J4" s="11"/>
      <c r="K4" s="11"/>
      <c r="L4" s="11"/>
      <c r="M4" s="11"/>
      <c r="N4" s="11"/>
      <c r="O4" s="11"/>
      <c r="P4" s="11"/>
      <c r="Q4" s="11"/>
      <c r="R4" s="11"/>
      <c r="S4" s="11"/>
      <c r="T4" s="11"/>
      <c r="U4" s="11"/>
      <c r="V4" s="11"/>
      <c r="W4" s="11"/>
      <c r="X4" s="11"/>
      <c r="Y4" s="11"/>
      <c r="Z4" s="11"/>
    </row>
    <row r="5" ht="18.0" customHeight="1">
      <c r="A5" s="132" t="s">
        <v>1</v>
      </c>
      <c r="B5" s="132" t="s">
        <v>4</v>
      </c>
      <c r="C5" s="132" t="s">
        <v>7</v>
      </c>
      <c r="D5" s="132" t="s">
        <v>9</v>
      </c>
      <c r="E5" s="132" t="s">
        <v>11</v>
      </c>
      <c r="F5" s="133" t="s">
        <v>13</v>
      </c>
      <c r="G5" s="134"/>
      <c r="H5" s="135"/>
      <c r="I5" s="134"/>
      <c r="J5" s="134"/>
      <c r="K5" s="134"/>
      <c r="L5" s="134"/>
      <c r="M5" s="134"/>
      <c r="N5" s="134"/>
      <c r="O5" s="134"/>
      <c r="P5" s="134"/>
      <c r="Q5" s="134"/>
      <c r="R5" s="134"/>
      <c r="S5" s="134"/>
      <c r="T5" s="134"/>
      <c r="U5" s="134"/>
      <c r="V5" s="134"/>
      <c r="W5" s="134"/>
      <c r="X5" s="134"/>
      <c r="Y5" s="134"/>
      <c r="Z5" s="134"/>
    </row>
    <row r="6" ht="15.75" customHeight="1">
      <c r="A6" s="54" t="s">
        <v>347</v>
      </c>
      <c r="B6" s="54" t="s">
        <v>348</v>
      </c>
      <c r="C6" s="54" t="s">
        <v>350</v>
      </c>
      <c r="D6" s="54" t="s">
        <v>352</v>
      </c>
      <c r="E6" s="54" t="s">
        <v>354</v>
      </c>
      <c r="F6" s="54" t="s">
        <v>357</v>
      </c>
      <c r="G6" s="60"/>
      <c r="H6" s="60"/>
      <c r="I6" s="60"/>
      <c r="J6" s="60"/>
      <c r="K6" s="60"/>
      <c r="L6" s="60"/>
      <c r="M6" s="60"/>
      <c r="N6" s="60"/>
      <c r="O6" s="60"/>
      <c r="P6" s="60"/>
      <c r="Q6" s="60"/>
      <c r="R6" s="60"/>
      <c r="S6" s="60"/>
      <c r="T6" s="60"/>
      <c r="U6" s="60"/>
      <c r="V6" s="60"/>
      <c r="W6" s="60"/>
      <c r="X6" s="60"/>
      <c r="Y6" s="60"/>
      <c r="Z6" s="60"/>
    </row>
    <row r="7" ht="15.75" customHeight="1">
      <c r="A7" s="77" t="s">
        <v>362</v>
      </c>
      <c r="B7" s="141"/>
      <c r="C7" s="77" t="s">
        <v>365</v>
      </c>
      <c r="D7" s="77" t="s">
        <v>177</v>
      </c>
      <c r="E7" s="77" t="s">
        <v>177</v>
      </c>
      <c r="F7" s="77" t="s">
        <v>125</v>
      </c>
      <c r="G7" s="60"/>
      <c r="H7" s="60"/>
      <c r="I7" s="60"/>
      <c r="J7" s="60"/>
      <c r="K7" s="60"/>
      <c r="L7" s="60"/>
      <c r="M7" s="60"/>
      <c r="N7" s="60"/>
      <c r="O7" s="60"/>
      <c r="P7" s="60"/>
      <c r="Q7" s="60"/>
      <c r="R7" s="60"/>
      <c r="S7" s="60"/>
      <c r="T7" s="60"/>
      <c r="U7" s="60"/>
      <c r="V7" s="60"/>
      <c r="W7" s="60"/>
      <c r="X7" s="60"/>
      <c r="Y7" s="60"/>
      <c r="Z7" s="60"/>
    </row>
    <row r="8" ht="15.75" customHeight="1">
      <c r="A8" s="144"/>
      <c r="B8" s="144"/>
      <c r="C8" s="144"/>
      <c r="D8" s="144"/>
      <c r="E8" s="144"/>
      <c r="F8" s="144"/>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B1"/>
    <mergeCell ref="A2:B2"/>
    <mergeCell ref="A3:B3"/>
  </mergeCells>
  <hyperlinks>
    <hyperlink r:id="rId1" ref="A7"/>
    <hyperlink r:id="rId2" ref="C7"/>
    <hyperlink r:id="rId3" ref="D7"/>
    <hyperlink r:id="rId4" ref="E7"/>
    <hyperlink r:id="rId5" ref="F7"/>
  </hyperlinks>
  <printOptions/>
  <pageMargins bottom="1.0" footer="0.0" header="0.0" left="0.75" right="0.75" top="1.0"/>
  <pageSetup orientation="portrait"/>
  <drawing r:id="rId6"/>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29.0"/>
    <col customWidth="1" min="2" max="2" width="27.0"/>
    <col customWidth="1" min="3" max="5" width="42.33"/>
  </cols>
  <sheetData>
    <row r="1">
      <c r="A1" s="4" t="s">
        <v>5</v>
      </c>
      <c r="B1" s="7" t="s">
        <v>6</v>
      </c>
      <c r="C1" s="7" t="s">
        <v>8</v>
      </c>
      <c r="D1" s="7" t="s">
        <v>10</v>
      </c>
      <c r="E1" s="7" t="s">
        <v>12</v>
      </c>
      <c r="F1" s="152"/>
      <c r="G1" s="152"/>
      <c r="H1" s="152"/>
      <c r="I1" s="152"/>
      <c r="J1" s="152"/>
      <c r="K1" s="152"/>
      <c r="L1" s="152"/>
      <c r="M1" s="152"/>
      <c r="N1" s="152"/>
      <c r="O1" s="152"/>
      <c r="P1" s="152"/>
      <c r="Q1" s="152"/>
      <c r="R1" s="152"/>
      <c r="S1" s="152"/>
      <c r="T1" s="152"/>
      <c r="U1" s="152"/>
      <c r="V1" s="152"/>
      <c r="W1" s="152"/>
      <c r="X1" s="152"/>
      <c r="Y1" s="152"/>
      <c r="Z1" s="152"/>
    </row>
    <row r="2" hidden="1">
      <c r="A2" s="24" t="s">
        <v>46</v>
      </c>
      <c r="B2" s="24" t="s">
        <v>48</v>
      </c>
      <c r="C2" s="28"/>
      <c r="D2" s="28"/>
      <c r="E2" s="28"/>
      <c r="F2" s="153"/>
      <c r="G2" s="152" t="str">
        <f>IFERROR(__xludf.DUMMYFUNCTION("TRIM(REGEXREPLACE(C2, ""[0-9]+[a-f]?\."", """"))"),"")</f>
        <v/>
      </c>
      <c r="H2" s="152" t="str">
        <f>IFERROR(__xludf.DUMMYFUNCTION("TRIM(REGEXREPLACE(D2, ""[0-9]+[a-f]?\."", """"))"),"")</f>
        <v/>
      </c>
      <c r="I2" s="152" t="str">
        <f>IFERROR(__xludf.DUMMYFUNCTION("TRIM(REGEXREPLACE(E2, ""[0-9]+[a-f]?\."", """"))"),"")</f>
        <v/>
      </c>
      <c r="J2" s="152" t="s">
        <v>453</v>
      </c>
      <c r="K2" s="152" t="s">
        <v>454</v>
      </c>
      <c r="L2" s="155" t="s">
        <v>455</v>
      </c>
      <c r="M2" s="152"/>
      <c r="N2" s="152"/>
      <c r="O2" s="152"/>
      <c r="P2" s="152"/>
      <c r="Q2" s="152"/>
      <c r="R2" s="152"/>
      <c r="S2" s="152"/>
      <c r="T2" s="152"/>
      <c r="U2" s="152"/>
      <c r="V2" s="152"/>
      <c r="W2" s="152"/>
      <c r="X2" s="152"/>
      <c r="Y2" s="152"/>
      <c r="Z2" s="152"/>
    </row>
    <row r="3" hidden="1">
      <c r="A3" s="24" t="s">
        <v>54</v>
      </c>
      <c r="B3" s="24" t="s">
        <v>56</v>
      </c>
      <c r="C3" s="28"/>
      <c r="D3" s="28"/>
      <c r="E3" s="28"/>
      <c r="F3" s="153"/>
      <c r="G3" s="152" t="str">
        <f>IFERROR(__xludf.DUMMYFUNCTION("TRIM(REGEXREPLACE(C3, ""[0-9]+[a-f]?\."", """"))"),"")</f>
        <v/>
      </c>
      <c r="H3" s="152" t="str">
        <f>IFERROR(__xludf.DUMMYFUNCTION("TRIM(REGEXREPLACE(D3, ""[0-9]+[a-f]?\."", """"))"),"")</f>
        <v/>
      </c>
      <c r="I3" s="152" t="str">
        <f>IFERROR(__xludf.DUMMYFUNCTION("TRIM(REGEXREPLACE(E3, ""[0-9]+[a-f]?\."", """"))"),"")</f>
        <v/>
      </c>
      <c r="J3" s="152" t="s">
        <v>141</v>
      </c>
      <c r="K3" s="152" t="s">
        <v>142</v>
      </c>
      <c r="L3" s="152" t="s">
        <v>457</v>
      </c>
      <c r="M3" s="152"/>
      <c r="N3" s="152"/>
      <c r="O3" s="152"/>
      <c r="P3" s="152"/>
      <c r="Q3" s="152"/>
      <c r="R3" s="152"/>
      <c r="S3" s="152"/>
      <c r="T3" s="152"/>
      <c r="U3" s="152"/>
      <c r="V3" s="152"/>
      <c r="W3" s="152"/>
      <c r="X3" s="152"/>
      <c r="Y3" s="152"/>
      <c r="Z3" s="152"/>
    </row>
    <row r="4" hidden="1">
      <c r="A4" s="24" t="s">
        <v>59</v>
      </c>
      <c r="B4" s="24" t="s">
        <v>59</v>
      </c>
      <c r="C4" s="28"/>
      <c r="D4" s="28"/>
      <c r="E4" s="28"/>
      <c r="F4" s="153"/>
      <c r="G4" s="152" t="str">
        <f>IFERROR(__xludf.DUMMYFUNCTION("TRIM(REGEXREPLACE(C4, ""[0-9]+[a-f]?\."", """"))"),"")</f>
        <v/>
      </c>
      <c r="H4" s="152" t="str">
        <f>IFERROR(__xludf.DUMMYFUNCTION("TRIM(REGEXREPLACE(D4, ""[0-9]+[a-f]?\."", """"))"),"")</f>
        <v/>
      </c>
      <c r="I4" s="152" t="str">
        <f>IFERROR(__xludf.DUMMYFUNCTION("TRIM(REGEXREPLACE(E4, ""[0-9]+[a-f]?\."", """"))"),"")</f>
        <v/>
      </c>
      <c r="J4" s="152" t="s">
        <v>150</v>
      </c>
      <c r="K4" s="152" t="s">
        <v>151</v>
      </c>
      <c r="L4" s="155" t="s">
        <v>153</v>
      </c>
      <c r="M4" s="152"/>
      <c r="N4" s="152"/>
      <c r="O4" s="152"/>
      <c r="P4" s="152"/>
      <c r="Q4" s="152"/>
      <c r="R4" s="152"/>
      <c r="S4" s="152"/>
      <c r="T4" s="152"/>
      <c r="U4" s="152"/>
      <c r="V4" s="152"/>
      <c r="W4" s="152"/>
      <c r="X4" s="152"/>
      <c r="Y4" s="152"/>
      <c r="Z4" s="152"/>
    </row>
    <row r="5" hidden="1">
      <c r="A5" s="24" t="s">
        <v>62</v>
      </c>
      <c r="B5" s="24" t="s">
        <v>63</v>
      </c>
      <c r="C5" s="28"/>
      <c r="D5" s="28"/>
      <c r="E5" s="28"/>
      <c r="F5" s="161">
        <v>1.0</v>
      </c>
      <c r="G5" s="152" t="str">
        <f>IFERROR(__xludf.DUMMYFUNCTION("TRIM(REGEXREPLACE(C5, ""[0-9]+[a-f]?\."", """"))"),"")</f>
        <v/>
      </c>
      <c r="H5" s="152" t="str">
        <f>IFERROR(__xludf.DUMMYFUNCTION("TRIM(REGEXREPLACE(D5, ""[0-9]+[a-f]?\."", """"))"),"")</f>
        <v/>
      </c>
      <c r="I5" s="152" t="str">
        <f>IFERROR(__xludf.DUMMYFUNCTION("TRIM(REGEXREPLACE(E5, ""[0-9]+[a-f]?\."", """"))"),"")</f>
        <v/>
      </c>
      <c r="J5" s="152" t="s">
        <v>123</v>
      </c>
      <c r="K5" s="152" t="s">
        <v>169</v>
      </c>
      <c r="L5" s="155" t="s">
        <v>170</v>
      </c>
      <c r="M5" s="152"/>
      <c r="N5" s="152"/>
      <c r="O5" s="152"/>
      <c r="P5" s="152"/>
      <c r="Q5" s="152"/>
      <c r="R5" s="152"/>
      <c r="S5" s="152"/>
      <c r="T5" s="152"/>
      <c r="U5" s="152"/>
      <c r="V5" s="152"/>
      <c r="W5" s="152"/>
      <c r="X5" s="152"/>
      <c r="Y5" s="152"/>
      <c r="Z5" s="152"/>
    </row>
    <row r="6" hidden="1">
      <c r="A6" s="24" t="s">
        <v>69</v>
      </c>
      <c r="B6" s="24" t="s">
        <v>69</v>
      </c>
      <c r="C6" s="28"/>
      <c r="D6" s="28"/>
      <c r="E6" s="28"/>
      <c r="F6" s="153"/>
      <c r="G6" s="152" t="str">
        <f>IFERROR(__xludf.DUMMYFUNCTION("TRIM(REGEXREPLACE(C6, ""[0-9]+[a-f]?\."", """"))"),"")</f>
        <v/>
      </c>
      <c r="H6" s="152" t="str">
        <f>IFERROR(__xludf.DUMMYFUNCTION("TRIM(REGEXREPLACE(D6, ""[0-9]+[a-f]?\."", """"))"),"")</f>
        <v/>
      </c>
      <c r="I6" s="152" t="str">
        <f>IFERROR(__xludf.DUMMYFUNCTION("TRIM(REGEXREPLACE(E6, ""[0-9]+[a-f]?\."", """"))"),"")</f>
        <v/>
      </c>
      <c r="J6" s="152" t="s">
        <v>184</v>
      </c>
      <c r="K6" s="152" t="s">
        <v>185</v>
      </c>
      <c r="L6" s="155" t="s">
        <v>186</v>
      </c>
      <c r="M6" s="152"/>
      <c r="N6" s="152"/>
      <c r="O6" s="152"/>
      <c r="P6" s="152"/>
      <c r="Q6" s="152"/>
      <c r="R6" s="152"/>
      <c r="S6" s="152"/>
      <c r="T6" s="152"/>
      <c r="U6" s="152"/>
      <c r="V6" s="152"/>
      <c r="W6" s="152"/>
      <c r="X6" s="152"/>
      <c r="Y6" s="152"/>
      <c r="Z6" s="152"/>
    </row>
    <row r="7" hidden="1">
      <c r="A7" s="24" t="s">
        <v>78</v>
      </c>
      <c r="B7" s="24" t="s">
        <v>80</v>
      </c>
      <c r="C7" s="28"/>
      <c r="D7" s="28"/>
      <c r="E7" s="28"/>
      <c r="F7" s="153"/>
      <c r="G7" s="152" t="str">
        <f>IFERROR(__xludf.DUMMYFUNCTION("TRIM(REGEXREPLACE(C7, ""[0-9]+[a-f]?\."", """"))"),"")</f>
        <v/>
      </c>
      <c r="H7" s="152" t="str">
        <f>IFERROR(__xludf.DUMMYFUNCTION("TRIM(REGEXREPLACE(D7, ""[0-9]+[a-f]?\."", """"))"),"")</f>
        <v/>
      </c>
      <c r="I7" s="152" t="str">
        <f>IFERROR(__xludf.DUMMYFUNCTION("TRIM(REGEXREPLACE(E7, ""[0-9]+[a-f]?\."", """"))"),"")</f>
        <v/>
      </c>
      <c r="J7" s="152" t="s">
        <v>215</v>
      </c>
      <c r="K7" s="152" t="s">
        <v>216</v>
      </c>
      <c r="L7" s="155" t="s">
        <v>217</v>
      </c>
      <c r="M7" s="152"/>
      <c r="N7" s="152"/>
      <c r="O7" s="152"/>
      <c r="P7" s="152"/>
      <c r="Q7" s="152"/>
      <c r="R7" s="152"/>
      <c r="S7" s="152"/>
      <c r="T7" s="152"/>
      <c r="U7" s="152"/>
      <c r="V7" s="152"/>
      <c r="W7" s="152"/>
      <c r="X7" s="152"/>
      <c r="Y7" s="152"/>
      <c r="Z7" s="152"/>
    </row>
    <row r="8" hidden="1">
      <c r="A8" s="24" t="s">
        <v>78</v>
      </c>
      <c r="B8" s="24" t="s">
        <v>85</v>
      </c>
      <c r="C8" s="28"/>
      <c r="D8" s="28"/>
      <c r="E8" s="28"/>
      <c r="F8" s="153"/>
      <c r="G8" s="152" t="str">
        <f>IFERROR(__xludf.DUMMYFUNCTION("TRIM(REGEXREPLACE(C8, ""[0-9]+[a-f]?\."", """"))"),"")</f>
        <v/>
      </c>
      <c r="H8" s="152" t="str">
        <f>IFERROR(__xludf.DUMMYFUNCTION("TRIM(REGEXREPLACE(D8, ""[0-9]+[a-f]?\."", """"))"),"")</f>
        <v/>
      </c>
      <c r="I8" s="152" t="str">
        <f>IFERROR(__xludf.DUMMYFUNCTION("TRIM(REGEXREPLACE(E8, ""[0-9]+[a-f]?\."", """"))"),"")</f>
        <v/>
      </c>
      <c r="J8" s="152" t="s">
        <v>336</v>
      </c>
      <c r="K8" s="152" t="s">
        <v>480</v>
      </c>
      <c r="L8" s="152" t="s">
        <v>480</v>
      </c>
      <c r="M8" s="152"/>
      <c r="N8" s="152"/>
      <c r="O8" s="152"/>
      <c r="P8" s="152"/>
      <c r="Q8" s="152"/>
      <c r="R8" s="152"/>
      <c r="S8" s="152"/>
      <c r="T8" s="152"/>
      <c r="U8" s="152"/>
      <c r="V8" s="152"/>
      <c r="W8" s="152"/>
      <c r="X8" s="152"/>
      <c r="Y8" s="152"/>
      <c r="Z8" s="152"/>
    </row>
    <row r="9" hidden="1">
      <c r="A9" s="58" t="s">
        <v>98</v>
      </c>
      <c r="B9" s="58" t="s">
        <v>100</v>
      </c>
      <c r="C9" s="28" t="s">
        <v>102</v>
      </c>
      <c r="D9" s="28"/>
      <c r="E9" s="28"/>
      <c r="F9" s="153"/>
      <c r="G9" s="152" t="str">
        <f>IFERROR(__xludf.DUMMYFUNCTION("TRIM(REGEXREPLACE(C9, ""[0-9]+[a-f]?\."", """"))"),"Question Durations")</f>
        <v>Question Durations</v>
      </c>
      <c r="H9" s="152" t="str">
        <f>IFERROR(__xludf.DUMMYFUNCTION("TRIM(REGEXREPLACE(D9, ""[0-9]+[a-f]?\."", """"))"),"")</f>
        <v/>
      </c>
      <c r="I9" s="152" t="str">
        <f>IFERROR(__xludf.DUMMYFUNCTION("TRIM(REGEXREPLACE(E9, ""[0-9]+[a-f]?\."", """"))"),"")</f>
        <v/>
      </c>
      <c r="J9" s="152" t="s">
        <v>482</v>
      </c>
      <c r="K9" s="152" t="s">
        <v>483</v>
      </c>
      <c r="L9" s="152" t="s">
        <v>483</v>
      </c>
      <c r="M9" s="152"/>
      <c r="N9" s="152"/>
      <c r="O9" s="152"/>
      <c r="P9" s="152"/>
      <c r="Q9" s="152"/>
      <c r="R9" s="152"/>
      <c r="S9" s="152"/>
      <c r="T9" s="152"/>
      <c r="U9" s="152"/>
      <c r="V9" s="152"/>
      <c r="W9" s="152"/>
      <c r="X9" s="152"/>
      <c r="Y9" s="152"/>
      <c r="Z9" s="152"/>
    </row>
    <row r="10">
      <c r="A10" s="58" t="s">
        <v>41</v>
      </c>
      <c r="B10" s="58" t="s">
        <v>121</v>
      </c>
      <c r="C10" s="28" t="s">
        <v>122</v>
      </c>
      <c r="D10" s="28"/>
      <c r="E10" s="28"/>
      <c r="F10" s="161">
        <v>1.0</v>
      </c>
      <c r="G10" s="152" t="str">
        <f>IFERROR(__xludf.DUMMYFUNCTION("TRIM(REGEXREPLACE(C10, ""[0-9]+[a-f]?\."", """"))"),"Endline Survey")</f>
        <v>Endline Survey</v>
      </c>
      <c r="H10" s="152" t="str">
        <f>IFERROR(__xludf.DUMMYFUNCTION("TRIM(REGEXREPLACE(D10, ""[0-9]+[a-f]?\."", """"))"),"")</f>
        <v/>
      </c>
      <c r="I10" s="152" t="str">
        <f>IFERROR(__xludf.DUMMYFUNCTION("TRIM(REGEXREPLACE(E10, ""[0-9]+[a-f]?\."", """"))"),"")</f>
        <v/>
      </c>
      <c r="J10" s="152" t="s">
        <v>122</v>
      </c>
      <c r="K10" s="152" t="s">
        <v>123</v>
      </c>
      <c r="L10" s="152" t="s">
        <v>123</v>
      </c>
      <c r="M10" s="152"/>
      <c r="N10" s="152"/>
      <c r="O10" s="152"/>
      <c r="P10" s="152"/>
      <c r="Q10" s="152"/>
      <c r="R10" s="152"/>
      <c r="S10" s="152"/>
      <c r="T10" s="152"/>
      <c r="U10" s="152"/>
      <c r="V10" s="152"/>
      <c r="W10" s="152"/>
      <c r="X10" s="152"/>
      <c r="Y10" s="152"/>
      <c r="Z10" s="152"/>
    </row>
    <row r="11" hidden="1">
      <c r="A11" s="24"/>
      <c r="B11" s="24"/>
      <c r="C11" s="28"/>
      <c r="D11" s="28"/>
      <c r="E11" s="28"/>
      <c r="F11" s="153"/>
      <c r="G11" s="152" t="str">
        <f>IFERROR(__xludf.DUMMYFUNCTION("TRIM(REGEXREPLACE(C11, ""[0-9]+[a-f]?\."", """"))"),"")</f>
        <v/>
      </c>
      <c r="H11" s="152" t="str">
        <f>IFERROR(__xludf.DUMMYFUNCTION("TRIM(REGEXREPLACE(D11, ""[0-9]+[a-f]?\."", """"))"),"")</f>
        <v/>
      </c>
      <c r="I11" s="152" t="str">
        <f>IFERROR(__xludf.DUMMYFUNCTION("TRIM(REGEXREPLACE(E11, ""[0-9]+[a-f]?\."", """"))"),"")</f>
        <v/>
      </c>
      <c r="J11" s="152" t="s">
        <v>496</v>
      </c>
      <c r="K11" s="152" t="s">
        <v>497</v>
      </c>
      <c r="L11" s="152" t="s">
        <v>497</v>
      </c>
      <c r="M11" s="152"/>
      <c r="N11" s="152"/>
      <c r="O11" s="152"/>
      <c r="P11" s="152"/>
      <c r="Q11" s="152"/>
      <c r="R11" s="152"/>
      <c r="S11" s="152"/>
      <c r="T11" s="152"/>
      <c r="U11" s="152"/>
      <c r="V11" s="152"/>
      <c r="W11" s="152"/>
      <c r="X11" s="152"/>
      <c r="Y11" s="152"/>
      <c r="Z11" s="152"/>
    </row>
    <row r="12" hidden="1">
      <c r="A12" s="58" t="s">
        <v>131</v>
      </c>
      <c r="B12" s="58" t="s">
        <v>132</v>
      </c>
      <c r="C12" s="28" t="s">
        <v>133</v>
      </c>
      <c r="D12" s="28"/>
      <c r="E12" s="28"/>
      <c r="F12" s="153"/>
      <c r="G12" s="152" t="str">
        <f>IFERROR(__xludf.DUMMYFUNCTION("TRIM(REGEXREPLACE(C12, ""[0-9]+[a-f]?\."", """"))"),"Enumerator Questions")</f>
        <v>Enumerator Questions</v>
      </c>
      <c r="H12" s="152" t="str">
        <f>IFERROR(__xludf.DUMMYFUNCTION("TRIM(REGEXREPLACE(D12, ""[0-9]+[a-f]?\."", """"))"),"")</f>
        <v/>
      </c>
      <c r="I12" s="152" t="str">
        <f>IFERROR(__xludf.DUMMYFUNCTION("TRIM(REGEXREPLACE(E12, ""[0-9]+[a-f]?\."", """"))"),"")</f>
        <v/>
      </c>
      <c r="J12" s="152" t="s">
        <v>502</v>
      </c>
      <c r="K12" s="152" t="s">
        <v>503</v>
      </c>
      <c r="L12" s="155" t="s">
        <v>504</v>
      </c>
      <c r="M12" s="152"/>
      <c r="N12" s="152"/>
      <c r="O12" s="152"/>
      <c r="P12" s="152"/>
      <c r="Q12" s="152"/>
      <c r="R12" s="152"/>
      <c r="S12" s="152"/>
      <c r="T12" s="152"/>
      <c r="U12" s="152"/>
      <c r="V12" s="152"/>
      <c r="W12" s="152"/>
      <c r="X12" s="152"/>
      <c r="Y12" s="152"/>
      <c r="Z12" s="152"/>
    </row>
    <row r="13" hidden="1">
      <c r="A13" s="65" t="s">
        <v>134</v>
      </c>
      <c r="B13" s="66" t="s">
        <v>135</v>
      </c>
      <c r="C13" s="28"/>
      <c r="D13" s="28"/>
      <c r="E13" s="28"/>
      <c r="F13" s="161">
        <v>2.0</v>
      </c>
      <c r="G13" s="152" t="str">
        <f>IFERROR(__xludf.DUMMYFUNCTION("TRIM(REGEXREPLACE(C13, ""[0-9]+[a-f]?\."", """"))"),"")</f>
        <v/>
      </c>
      <c r="H13" s="152" t="str">
        <f>IFERROR(__xludf.DUMMYFUNCTION("TRIM(REGEXREPLACE(D13, ""[0-9]+[a-f]?\."", """"))"),"")</f>
        <v/>
      </c>
      <c r="I13" s="152" t="str">
        <f>IFERROR(__xludf.DUMMYFUNCTION("TRIM(REGEXREPLACE(E13, ""[0-9]+[a-f]?\."", """"))"),"")</f>
        <v/>
      </c>
      <c r="J13" s="152" t="s">
        <v>510</v>
      </c>
      <c r="K13" s="152" t="s">
        <v>511</v>
      </c>
      <c r="L13" s="152" t="s">
        <v>512</v>
      </c>
      <c r="M13" s="152"/>
      <c r="N13" s="152"/>
      <c r="O13" s="152"/>
      <c r="P13" s="152"/>
      <c r="Q13" s="152"/>
      <c r="R13" s="152"/>
      <c r="S13" s="152"/>
      <c r="T13" s="152"/>
      <c r="U13" s="152"/>
      <c r="V13" s="152"/>
      <c r="W13" s="152"/>
      <c r="X13" s="152"/>
      <c r="Y13" s="152"/>
      <c r="Z13" s="152"/>
    </row>
    <row r="14">
      <c r="A14" s="68" t="s">
        <v>140</v>
      </c>
      <c r="B14" s="69" t="s">
        <v>129</v>
      </c>
      <c r="C14" s="28" t="s">
        <v>513</v>
      </c>
      <c r="D14" s="28" t="s">
        <v>514</v>
      </c>
      <c r="E14" s="28" t="s">
        <v>515</v>
      </c>
      <c r="F14" s="161">
        <v>2.0</v>
      </c>
      <c r="G14" s="152" t="str">
        <f>IFERROR(__xludf.DUMMYFUNCTION("TRIM(REGEXREPLACE(C14, ""[0-9]+[a-f]?\."", """"))"),"Who is your team leader?")</f>
        <v>Who is your team leader?</v>
      </c>
      <c r="H14" s="152" t="str">
        <f>IFERROR(__xludf.DUMMYFUNCTION("TRIM(REGEXREPLACE(D14, ""[0-9]+[a-f]?\."", """"))"),"Qui est votre chef d'équipe?")</f>
        <v>Qui est votre chef d'équipe?</v>
      </c>
      <c r="I14" s="152" t="str">
        <f>IFERROR(__xludf.DUMMYFUNCTION("TRIM(REGEXREPLACE(E14, ""[0-9]+[a-f]?\."", """"))"),"Wanene shugaban tahiyar ku ?")</f>
        <v>Wanene shugaban tahiyar ku ?</v>
      </c>
      <c r="J14" s="152" t="s">
        <v>141</v>
      </c>
      <c r="K14" s="152" t="s">
        <v>142</v>
      </c>
      <c r="L14" s="152" t="s">
        <v>143</v>
      </c>
      <c r="M14" s="152"/>
      <c r="N14" s="152"/>
      <c r="O14" s="152"/>
      <c r="P14" s="152"/>
      <c r="Q14" s="152"/>
      <c r="R14" s="152"/>
      <c r="S14" s="152"/>
      <c r="T14" s="152"/>
      <c r="U14" s="152"/>
      <c r="V14" s="152"/>
      <c r="W14" s="152"/>
      <c r="X14" s="152"/>
      <c r="Y14" s="152"/>
      <c r="Z14" s="152"/>
    </row>
    <row r="15">
      <c r="A15" s="58" t="s">
        <v>147</v>
      </c>
      <c r="B15" s="58" t="s">
        <v>148</v>
      </c>
      <c r="C15" s="28" t="s">
        <v>522</v>
      </c>
      <c r="D15" s="28" t="s">
        <v>523</v>
      </c>
      <c r="E15" s="28" t="s">
        <v>524</v>
      </c>
      <c r="F15" s="161">
        <v>3.0</v>
      </c>
      <c r="G15" s="152" t="str">
        <f>IFERROR(__xludf.DUMMYFUNCTION("TRIM(REGEXREPLACE(C15, ""[0-9]+[a-f]?\."", """"))"),"What is your name?")</f>
        <v>What is your name?</v>
      </c>
      <c r="H15" s="152" t="str">
        <f>IFERROR(__xludf.DUMMYFUNCTION("TRIM(REGEXREPLACE(D15, ""[0-9]+[a-f]?\."", """"))"),"Quel est votre nom?")</f>
        <v>Quel est votre nom?</v>
      </c>
      <c r="I15" s="152" t="str">
        <f>IFERROR(__xludf.DUMMYFUNCTION("TRIM(REGEXREPLACE(E15, ""[0-9]+[a-f]?\."", """"))"),"Menene sunanka?")</f>
        <v>Menene sunanka?</v>
      </c>
      <c r="J15" s="152" t="s">
        <v>150</v>
      </c>
      <c r="K15" s="152" t="s">
        <v>151</v>
      </c>
      <c r="L15" s="152" t="s">
        <v>153</v>
      </c>
      <c r="M15" s="152"/>
      <c r="N15" s="152"/>
      <c r="O15" s="152"/>
      <c r="P15" s="152"/>
      <c r="Q15" s="152"/>
      <c r="R15" s="152"/>
      <c r="S15" s="152"/>
      <c r="T15" s="152"/>
      <c r="U15" s="152"/>
      <c r="V15" s="152"/>
      <c r="W15" s="152"/>
      <c r="X15" s="152"/>
      <c r="Y15" s="152"/>
      <c r="Z15" s="152"/>
    </row>
    <row r="16" hidden="1">
      <c r="A16" s="58" t="s">
        <v>78</v>
      </c>
      <c r="B16" s="58" t="s">
        <v>158</v>
      </c>
      <c r="C16" s="28" t="s">
        <v>159</v>
      </c>
      <c r="D16" s="28"/>
      <c r="E16" s="28"/>
      <c r="F16" s="161">
        <v>4.0</v>
      </c>
      <c r="G16" s="152" t="str">
        <f>IFERROR(__xludf.DUMMYFUNCTION("TRIM(REGEXREPLACE(C16, ""[0-9]+[a-f]?\."", """"))"),"CALC: Pull enumerator name")</f>
        <v>CALC: Pull enumerator name</v>
      </c>
      <c r="H16" s="152" t="str">
        <f>IFERROR(__xludf.DUMMYFUNCTION("TRIM(REGEXREPLACE(D16, ""[0-9]+[a-f]?\."", """"))"),"")</f>
        <v/>
      </c>
      <c r="I16" s="152" t="str">
        <f>IFERROR(__xludf.DUMMYFUNCTION("TRIM(REGEXREPLACE(E16, ""[0-9]+[a-f]?\."", """"))"),"")</f>
        <v/>
      </c>
      <c r="J16" s="152" t="s">
        <v>522</v>
      </c>
      <c r="K16" s="152" t="s">
        <v>523</v>
      </c>
      <c r="L16" s="152" t="s">
        <v>524</v>
      </c>
      <c r="M16" s="152"/>
      <c r="N16" s="152"/>
      <c r="O16" s="152"/>
      <c r="P16" s="152"/>
      <c r="Q16" s="152"/>
      <c r="R16" s="152"/>
      <c r="S16" s="152"/>
      <c r="T16" s="152"/>
      <c r="U16" s="152"/>
      <c r="V16" s="152"/>
      <c r="W16" s="152"/>
      <c r="X16" s="152"/>
      <c r="Y16" s="152"/>
      <c r="Z16" s="152"/>
    </row>
    <row r="17">
      <c r="A17" s="58" t="s">
        <v>147</v>
      </c>
      <c r="B17" s="58" t="s">
        <v>167</v>
      </c>
      <c r="C17" s="28" t="s">
        <v>534</v>
      </c>
      <c r="D17" s="28" t="s">
        <v>535</v>
      </c>
      <c r="E17" s="28" t="s">
        <v>536</v>
      </c>
      <c r="F17" s="161">
        <v>4.0</v>
      </c>
      <c r="G17" s="152" t="str">
        <f>IFERROR(__xludf.DUMMYFUNCTION("TRIM(REGEXREPLACE(C17, ""[0-9]+[a-f]?\."", """"))"),"What is your partner's name?")</f>
        <v>What is your partner's name?</v>
      </c>
      <c r="H17" s="152" t="str">
        <f>IFERROR(__xludf.DUMMYFUNCTION("TRIM(REGEXREPLACE(D17, ""[0-9]+[a-f]?\."", """"))"),"Quel est le nom de votre binôme?")</f>
        <v>Quel est le nom de votre binôme?</v>
      </c>
      <c r="I17" s="152" t="str">
        <f>IFERROR(__xludf.DUMMYFUNCTION("TRIM(REGEXREPLACE(E17, ""[0-9]+[a-f]?\."", """"))"),"Menene sunan abokin aikinka")</f>
        <v>Menene sunan abokin aikinka</v>
      </c>
      <c r="J17" s="152" t="s">
        <v>168</v>
      </c>
      <c r="K17" s="152" t="s">
        <v>169</v>
      </c>
      <c r="L17" s="152" t="s">
        <v>170</v>
      </c>
      <c r="M17" s="152"/>
      <c r="N17" s="152"/>
      <c r="O17" s="152"/>
      <c r="P17" s="152"/>
      <c r="Q17" s="152"/>
      <c r="R17" s="152"/>
      <c r="S17" s="152"/>
      <c r="T17" s="152"/>
      <c r="U17" s="152"/>
      <c r="V17" s="152"/>
      <c r="W17" s="152"/>
      <c r="X17" s="152"/>
      <c r="Y17" s="152"/>
      <c r="Z17" s="152"/>
    </row>
    <row r="18" hidden="1">
      <c r="A18" s="58" t="s">
        <v>78</v>
      </c>
      <c r="B18" s="58" t="s">
        <v>173</v>
      </c>
      <c r="C18" s="28" t="s">
        <v>159</v>
      </c>
      <c r="D18" s="28"/>
      <c r="E18" s="28"/>
      <c r="F18" s="161">
        <v>5.0</v>
      </c>
      <c r="G18" s="152" t="str">
        <f>IFERROR(__xludf.DUMMYFUNCTION("TRIM(REGEXREPLACE(C18, ""[0-9]+[a-f]?\."", """"))"),"CALC: Pull enumerator name")</f>
        <v>CALC: Pull enumerator name</v>
      </c>
      <c r="H18" s="152" t="str">
        <f>IFERROR(__xludf.DUMMYFUNCTION("TRIM(REGEXREPLACE(D18, ""[0-9]+[a-f]?\."", """"))"),"")</f>
        <v/>
      </c>
      <c r="I18" s="152" t="str">
        <f>IFERROR(__xludf.DUMMYFUNCTION("TRIM(REGEXREPLACE(E18, ""[0-9]+[a-f]?\."", """"))"),"")</f>
        <v/>
      </c>
      <c r="J18" s="152" t="s">
        <v>534</v>
      </c>
      <c r="K18" s="152" t="s">
        <v>535</v>
      </c>
      <c r="L18" s="152" t="s">
        <v>536</v>
      </c>
      <c r="M18" s="152"/>
      <c r="N18" s="152"/>
      <c r="O18" s="152"/>
      <c r="P18" s="152"/>
      <c r="Q18" s="152"/>
      <c r="R18" s="152"/>
      <c r="S18" s="152"/>
      <c r="T18" s="152"/>
      <c r="U18" s="152"/>
      <c r="V18" s="152"/>
      <c r="W18" s="152"/>
      <c r="X18" s="152"/>
      <c r="Y18" s="152"/>
      <c r="Z18" s="152"/>
    </row>
    <row r="19">
      <c r="A19" s="58" t="s">
        <v>183</v>
      </c>
      <c r="B19" s="58" t="s">
        <v>149</v>
      </c>
      <c r="C19" s="28" t="s">
        <v>542</v>
      </c>
      <c r="D19" s="28" t="s">
        <v>543</v>
      </c>
      <c r="E19" s="28" t="s">
        <v>545</v>
      </c>
      <c r="F19" s="161">
        <v>5.0</v>
      </c>
      <c r="G19" s="152" t="str">
        <f>IFERROR(__xludf.DUMMYFUNCTION("TRIM(REGEXREPLACE(C19, ""[0-9]+[a-f]?\."", """"))"),"What commune are you surveying in?")</f>
        <v>What commune are you surveying in?</v>
      </c>
      <c r="H19" s="152" t="str">
        <f>IFERROR(__xludf.DUMMYFUNCTION("TRIM(REGEXREPLACE(D19, ""[0-9]+[a-f]?\."", """"))"),"Quelle est votre commune de travail ?")</f>
        <v>Quelle est votre commune de travail ?</v>
      </c>
      <c r="I19" s="152" t="str">
        <f>IFERROR(__xludf.DUMMYFUNCTION("TRIM(REGEXREPLACE(E19, ""[0-9]+[a-f]?\."", """"))"),"Cikin wane komin kake aiki?")</f>
        <v>Cikin wane komin kake aiki?</v>
      </c>
      <c r="J19" s="152" t="s">
        <v>184</v>
      </c>
      <c r="K19" s="152" t="s">
        <v>185</v>
      </c>
      <c r="L19" s="152" t="s">
        <v>186</v>
      </c>
      <c r="M19" s="152"/>
      <c r="N19" s="152"/>
      <c r="O19" s="152"/>
      <c r="P19" s="152"/>
      <c r="Q19" s="152"/>
      <c r="R19" s="152"/>
      <c r="S19" s="152"/>
      <c r="T19" s="152"/>
      <c r="U19" s="152"/>
      <c r="V19" s="152"/>
      <c r="W19" s="152"/>
      <c r="X19" s="152"/>
      <c r="Y19" s="152"/>
      <c r="Z19" s="152"/>
    </row>
    <row r="20" hidden="1">
      <c r="A20" s="58" t="s">
        <v>78</v>
      </c>
      <c r="B20" s="58" t="s">
        <v>154</v>
      </c>
      <c r="C20" s="28" t="s">
        <v>192</v>
      </c>
      <c r="D20" s="28"/>
      <c r="E20" s="28"/>
      <c r="F20" s="161">
        <v>6.0</v>
      </c>
      <c r="G20" s="152" t="str">
        <f>IFERROR(__xludf.DUMMYFUNCTION("TRIM(REGEXREPLACE(C20, ""[0-9]+[a-f]?\."", """"))"),"CALC: Pull commune name")</f>
        <v>CALC: Pull commune name</v>
      </c>
      <c r="H20" s="152" t="str">
        <f>IFERROR(__xludf.DUMMYFUNCTION("TRIM(REGEXREPLACE(D20, ""[0-9]+[a-f]?\."", """"))"),"")</f>
        <v/>
      </c>
      <c r="I20" s="152" t="str">
        <f>IFERROR(__xludf.DUMMYFUNCTION("TRIM(REGEXREPLACE(E20, ""[0-9]+[a-f]?\."", """"))"),"")</f>
        <v/>
      </c>
      <c r="J20" s="152" t="s">
        <v>542</v>
      </c>
      <c r="K20" s="152" t="s">
        <v>543</v>
      </c>
      <c r="L20" s="152" t="s">
        <v>545</v>
      </c>
      <c r="M20" s="152"/>
      <c r="N20" s="152"/>
      <c r="O20" s="152"/>
      <c r="P20" s="152"/>
      <c r="Q20" s="152"/>
      <c r="R20" s="152"/>
      <c r="S20" s="152"/>
      <c r="T20" s="152"/>
      <c r="U20" s="152"/>
      <c r="V20" s="152"/>
      <c r="W20" s="152"/>
      <c r="X20" s="152"/>
      <c r="Y20" s="152"/>
      <c r="Z20" s="152"/>
    </row>
    <row r="21" hidden="1">
      <c r="A21" s="90" t="s">
        <v>78</v>
      </c>
      <c r="B21" s="92" t="s">
        <v>196</v>
      </c>
      <c r="C21" s="28"/>
      <c r="D21" s="28"/>
      <c r="E21" s="28"/>
      <c r="F21" s="153"/>
      <c r="G21" s="152" t="str">
        <f>IFERROR(__xludf.DUMMYFUNCTION("TRIM(REGEXREPLACE(C21, ""[0-9]+[a-f]?\."", """"))"),"")</f>
        <v/>
      </c>
      <c r="H21" s="152" t="str">
        <f>IFERROR(__xludf.DUMMYFUNCTION("TRIM(REGEXREPLACE(D21, ""[0-9]+[a-f]?\."", """"))"),"")</f>
        <v/>
      </c>
      <c r="I21" s="152" t="str">
        <f>IFERROR(__xludf.DUMMYFUNCTION("TRIM(REGEXREPLACE(E21, ""[0-9]+[a-f]?\."", """"))"),"")</f>
        <v/>
      </c>
      <c r="J21" s="152" t="s">
        <v>556</v>
      </c>
      <c r="K21" s="152" t="s">
        <v>557</v>
      </c>
      <c r="L21" s="155" t="s">
        <v>558</v>
      </c>
      <c r="M21" s="152"/>
      <c r="N21" s="152"/>
      <c r="O21" s="152"/>
      <c r="P21" s="152"/>
      <c r="Q21" s="152"/>
      <c r="R21" s="152"/>
      <c r="S21" s="152"/>
      <c r="T21" s="152"/>
      <c r="U21" s="152"/>
      <c r="V21" s="152"/>
      <c r="W21" s="152"/>
      <c r="X21" s="152"/>
      <c r="Y21" s="152"/>
      <c r="Z21" s="152"/>
    </row>
    <row r="22" hidden="1">
      <c r="A22" s="58" t="s">
        <v>78</v>
      </c>
      <c r="B22" s="58" t="s">
        <v>152</v>
      </c>
      <c r="C22" s="28"/>
      <c r="D22" s="28"/>
      <c r="E22" s="28"/>
      <c r="F22" s="153"/>
      <c r="G22" s="152" t="str">
        <f>IFERROR(__xludf.DUMMYFUNCTION("TRIM(REGEXREPLACE(C22, ""[0-9]+[a-f]?\."", """"))"),"")</f>
        <v/>
      </c>
      <c r="H22" s="152" t="str">
        <f>IFERROR(__xludf.DUMMYFUNCTION("TRIM(REGEXREPLACE(D22, ""[0-9]+[a-f]?\."", """"))"),"")</f>
        <v/>
      </c>
      <c r="I22" s="152" t="str">
        <f>IFERROR(__xludf.DUMMYFUNCTION("TRIM(REGEXREPLACE(E22, ""[0-9]+[a-f]?\."", """"))"),"")</f>
        <v/>
      </c>
      <c r="J22" s="152" t="s">
        <v>560</v>
      </c>
      <c r="K22" s="152" t="s">
        <v>561</v>
      </c>
      <c r="L22" s="155" t="s">
        <v>562</v>
      </c>
      <c r="M22" s="152"/>
      <c r="N22" s="152"/>
      <c r="O22" s="152"/>
      <c r="P22" s="152"/>
      <c r="Q22" s="152"/>
      <c r="R22" s="152"/>
      <c r="S22" s="152"/>
      <c r="T22" s="152"/>
      <c r="U22" s="152"/>
      <c r="V22" s="152"/>
      <c r="W22" s="152"/>
      <c r="X22" s="152"/>
      <c r="Y22" s="152"/>
      <c r="Z22" s="152"/>
    </row>
    <row r="23">
      <c r="A23" s="58" t="s">
        <v>214</v>
      </c>
      <c r="B23" s="58" t="s">
        <v>164</v>
      </c>
      <c r="C23" s="28" t="s">
        <v>565</v>
      </c>
      <c r="D23" s="28" t="s">
        <v>566</v>
      </c>
      <c r="E23" s="28" t="s">
        <v>567</v>
      </c>
      <c r="F23" s="161">
        <v>6.0</v>
      </c>
      <c r="G23" s="152" t="str">
        <f>IFERROR(__xludf.DUMMYFUNCTION("TRIM(REGEXREPLACE(C23, ""[0-9]+[a-f]?\."", """"))"),"What village/neighborhood are you surveying in?")</f>
        <v>What village/neighborhood are you surveying in?</v>
      </c>
      <c r="H23" s="152" t="str">
        <f>IFERROR(__xludf.DUMMYFUNCTION("TRIM(REGEXREPLACE(D23, ""[0-9]+[a-f]?\."", """"))"),"Dans quelle ville/village faites-vous votre enquête ?")</f>
        <v>Dans quelle ville/village faites-vous votre enquête ?</v>
      </c>
      <c r="I23" s="152" t="str">
        <f>IFERROR(__xludf.DUMMYFUNCTION("TRIM(REGEXREPLACE(E23, ""[0-9]+[a-f]?\."", """"))"),"Cikin wane gari kake binciken?")</f>
        <v>Cikin wane gari kake binciken?</v>
      </c>
      <c r="J23" s="152" t="s">
        <v>215</v>
      </c>
      <c r="K23" s="152" t="s">
        <v>216</v>
      </c>
      <c r="L23" s="152" t="s">
        <v>217</v>
      </c>
      <c r="M23" s="152"/>
      <c r="N23" s="152"/>
      <c r="O23" s="152"/>
      <c r="P23" s="152"/>
      <c r="Q23" s="152"/>
      <c r="R23" s="152"/>
      <c r="S23" s="152"/>
      <c r="T23" s="152"/>
      <c r="U23" s="152"/>
      <c r="V23" s="152"/>
      <c r="W23" s="152"/>
      <c r="X23" s="152"/>
      <c r="Y23" s="152"/>
      <c r="Z23" s="152"/>
    </row>
    <row r="24" hidden="1">
      <c r="A24" s="58" t="s">
        <v>78</v>
      </c>
      <c r="B24" s="58" t="s">
        <v>166</v>
      </c>
      <c r="C24" s="28" t="s">
        <v>220</v>
      </c>
      <c r="D24" s="28"/>
      <c r="E24" s="28"/>
      <c r="F24" s="161">
        <v>7.0</v>
      </c>
      <c r="G24" s="152" t="str">
        <f>IFERROR(__xludf.DUMMYFUNCTION("TRIM(REGEXREPLACE(C24, ""[0-9]+[a-f]?\."", """"))"),"CALC: Pull locality name")</f>
        <v>CALC: Pull locality name</v>
      </c>
      <c r="H24" s="152" t="str">
        <f>IFERROR(__xludf.DUMMYFUNCTION("TRIM(REGEXREPLACE(D24, ""[0-9]+[a-f]?\."", """"))"),"")</f>
        <v/>
      </c>
      <c r="I24" s="152" t="str">
        <f>IFERROR(__xludf.DUMMYFUNCTION("TRIM(REGEXREPLACE(E24, ""[0-9]+[a-f]?\."", """"))"),"")</f>
        <v/>
      </c>
      <c r="J24" s="152" t="s">
        <v>565</v>
      </c>
      <c r="K24" s="152" t="s">
        <v>566</v>
      </c>
      <c r="L24" s="152" t="s">
        <v>567</v>
      </c>
      <c r="M24" s="152"/>
      <c r="N24" s="152"/>
      <c r="O24" s="152"/>
      <c r="P24" s="152"/>
      <c r="Q24" s="152"/>
      <c r="R24" s="152"/>
      <c r="S24" s="152"/>
      <c r="T24" s="152"/>
      <c r="U24" s="152"/>
      <c r="V24" s="152"/>
      <c r="W24" s="152"/>
      <c r="X24" s="152"/>
      <c r="Y24" s="152"/>
      <c r="Z24" s="152"/>
    </row>
    <row r="25" hidden="1">
      <c r="A25" s="58" t="s">
        <v>78</v>
      </c>
      <c r="B25" s="58" t="s">
        <v>227</v>
      </c>
      <c r="C25" s="28"/>
      <c r="D25" s="28"/>
      <c r="E25" s="28"/>
      <c r="F25" s="153"/>
      <c r="G25" s="152" t="str">
        <f>IFERROR(__xludf.DUMMYFUNCTION("TRIM(REGEXREPLACE(C25, ""[0-9]+[a-f]?\."", """"))"),"")</f>
        <v/>
      </c>
      <c r="H25" s="152" t="str">
        <f>IFERROR(__xludf.DUMMYFUNCTION("TRIM(REGEXREPLACE(D25, ""[0-9]+[a-f]?\."", """"))"),"")</f>
        <v/>
      </c>
      <c r="I25" s="152" t="str">
        <f>IFERROR(__xludf.DUMMYFUNCTION("TRIM(REGEXREPLACE(E25, ""[0-9]+[a-f]?\."", """"))"),"")</f>
        <v/>
      </c>
      <c r="J25" s="152" t="s">
        <v>570</v>
      </c>
      <c r="K25" s="152" t="s">
        <v>571</v>
      </c>
      <c r="L25" s="155" t="s">
        <v>573</v>
      </c>
      <c r="M25" s="152"/>
      <c r="N25" s="152"/>
      <c r="O25" s="152"/>
      <c r="P25" s="152"/>
      <c r="Q25" s="152"/>
      <c r="R25" s="152"/>
      <c r="S25" s="152"/>
      <c r="T25" s="152"/>
      <c r="U25" s="152"/>
      <c r="V25" s="152"/>
      <c r="W25" s="152"/>
      <c r="X25" s="152"/>
      <c r="Y25" s="152"/>
      <c r="Z25" s="152"/>
    </row>
    <row r="26" hidden="1">
      <c r="A26" s="58" t="s">
        <v>78</v>
      </c>
      <c r="B26" s="58" t="s">
        <v>230</v>
      </c>
      <c r="C26" s="28"/>
      <c r="D26" s="28"/>
      <c r="E26" s="28"/>
      <c r="F26" s="153"/>
      <c r="G26" s="152" t="str">
        <f>IFERROR(__xludf.DUMMYFUNCTION("TRIM(REGEXREPLACE(C26, ""[0-9]+[a-f]?\."", """"))"),"")</f>
        <v/>
      </c>
      <c r="H26" s="152" t="str">
        <f>IFERROR(__xludf.DUMMYFUNCTION("TRIM(REGEXREPLACE(D26, ""[0-9]+[a-f]?\."", """"))"),"")</f>
        <v/>
      </c>
      <c r="I26" s="152" t="str">
        <f>IFERROR(__xludf.DUMMYFUNCTION("TRIM(REGEXREPLACE(E26, ""[0-9]+[a-f]?\."", """"))"),"")</f>
        <v/>
      </c>
      <c r="J26" s="152" t="s">
        <v>575</v>
      </c>
      <c r="K26" s="152" t="s">
        <v>576</v>
      </c>
      <c r="L26" s="155" t="s">
        <v>578</v>
      </c>
      <c r="M26" s="152"/>
      <c r="N26" s="152"/>
      <c r="O26" s="152"/>
      <c r="P26" s="152"/>
      <c r="Q26" s="152"/>
      <c r="R26" s="152"/>
      <c r="S26" s="152"/>
      <c r="T26" s="152"/>
      <c r="U26" s="152"/>
      <c r="V26" s="152"/>
      <c r="W26" s="152"/>
      <c r="X26" s="152"/>
      <c r="Y26" s="152"/>
      <c r="Z26" s="152"/>
    </row>
    <row r="27" hidden="1">
      <c r="A27" s="58" t="s">
        <v>237</v>
      </c>
      <c r="B27" s="58" t="s">
        <v>132</v>
      </c>
      <c r="C27" s="28" t="s">
        <v>133</v>
      </c>
      <c r="D27" s="28"/>
      <c r="E27" s="28"/>
      <c r="F27" s="153"/>
      <c r="G27" s="152" t="str">
        <f>IFERROR(__xludf.DUMMYFUNCTION("TRIM(REGEXREPLACE(C27, ""[0-9]+[a-f]?\."", """"))"),"Enumerator Questions")</f>
        <v>Enumerator Questions</v>
      </c>
      <c r="H27" s="152" t="str">
        <f>IFERROR(__xludf.DUMMYFUNCTION("TRIM(REGEXREPLACE(D27, ""[0-9]+[a-f]?\."", """"))"),"")</f>
        <v/>
      </c>
      <c r="I27" s="152" t="str">
        <f>IFERROR(__xludf.DUMMYFUNCTION("TRIM(REGEXREPLACE(E27, ""[0-9]+[a-f]?\."", """"))"),"")</f>
        <v/>
      </c>
      <c r="J27" s="152" t="s">
        <v>582</v>
      </c>
      <c r="K27" s="152" t="s">
        <v>583</v>
      </c>
      <c r="L27" s="155" t="s">
        <v>584</v>
      </c>
      <c r="M27" s="152"/>
      <c r="N27" s="152"/>
      <c r="O27" s="152"/>
      <c r="P27" s="152"/>
      <c r="Q27" s="152"/>
      <c r="R27" s="152"/>
      <c r="S27" s="152"/>
      <c r="T27" s="152"/>
      <c r="U27" s="152"/>
      <c r="V27" s="152"/>
      <c r="W27" s="152"/>
      <c r="X27" s="152"/>
      <c r="Y27" s="152"/>
      <c r="Z27" s="152"/>
    </row>
    <row r="28" hidden="1">
      <c r="A28" s="24"/>
      <c r="B28" s="24"/>
      <c r="C28" s="28"/>
      <c r="D28" s="28"/>
      <c r="E28" s="28"/>
      <c r="F28" s="153"/>
      <c r="G28" s="152" t="str">
        <f>IFERROR(__xludf.DUMMYFUNCTION("TRIM(REGEXREPLACE(C28, ""[0-9]+[a-f]?\."", """"))"),"")</f>
        <v/>
      </c>
      <c r="H28" s="152" t="str">
        <f>IFERROR(__xludf.DUMMYFUNCTION("TRIM(REGEXREPLACE(D28, ""[0-9]+[a-f]?\."", """"))"),"")</f>
        <v/>
      </c>
      <c r="I28" s="152" t="str">
        <f>IFERROR(__xludf.DUMMYFUNCTION("TRIM(REGEXREPLACE(E28, ""[0-9]+[a-f]?\."", """"))"),"")</f>
        <v/>
      </c>
      <c r="J28" s="152" t="s">
        <v>586</v>
      </c>
      <c r="K28" s="152" t="s">
        <v>588</v>
      </c>
      <c r="L28" s="155" t="s">
        <v>589</v>
      </c>
      <c r="M28" s="152"/>
      <c r="N28" s="152"/>
      <c r="O28" s="152"/>
      <c r="P28" s="152"/>
      <c r="Q28" s="152"/>
      <c r="R28" s="152"/>
      <c r="S28" s="152"/>
      <c r="T28" s="152"/>
      <c r="U28" s="152"/>
      <c r="V28" s="152"/>
      <c r="W28" s="152"/>
      <c r="X28" s="152"/>
      <c r="Y28" s="152"/>
      <c r="Z28" s="152"/>
    </row>
    <row r="29" hidden="1">
      <c r="A29" s="58" t="s">
        <v>131</v>
      </c>
      <c r="B29" s="58" t="s">
        <v>124</v>
      </c>
      <c r="C29" s="28"/>
      <c r="D29" s="28"/>
      <c r="E29" s="28"/>
      <c r="F29" s="153"/>
      <c r="G29" s="152" t="str">
        <f>IFERROR(__xludf.DUMMYFUNCTION("TRIM(REGEXREPLACE(C29, ""[0-9]+[a-f]?\."", """"))"),"")</f>
        <v/>
      </c>
      <c r="H29" s="152" t="str">
        <f>IFERROR(__xludf.DUMMYFUNCTION("TRIM(REGEXREPLACE(D29, ""[0-9]+[a-f]?\."", """"))"),"")</f>
        <v/>
      </c>
      <c r="I29" s="152" t="str">
        <f>IFERROR(__xludf.DUMMYFUNCTION("TRIM(REGEXREPLACE(E29, ""[0-9]+[a-f]?\."", """"))"),"")</f>
        <v/>
      </c>
      <c r="J29" s="152" t="s">
        <v>591</v>
      </c>
      <c r="K29" s="152" t="s">
        <v>592</v>
      </c>
      <c r="L29" s="155" t="s">
        <v>593</v>
      </c>
      <c r="M29" s="152"/>
      <c r="N29" s="152"/>
      <c r="O29" s="152"/>
      <c r="P29" s="152"/>
      <c r="Q29" s="152"/>
      <c r="R29" s="152"/>
      <c r="S29" s="152"/>
      <c r="T29" s="152"/>
      <c r="U29" s="152"/>
      <c r="V29" s="152"/>
      <c r="W29" s="152"/>
      <c r="X29" s="152"/>
      <c r="Y29" s="152"/>
      <c r="Z29" s="152"/>
    </row>
    <row r="30" hidden="1">
      <c r="A30" s="58" t="s">
        <v>78</v>
      </c>
      <c r="B30" s="58" t="s">
        <v>248</v>
      </c>
      <c r="C30" s="28"/>
      <c r="D30" s="28"/>
      <c r="E30" s="28"/>
      <c r="F30" s="153"/>
      <c r="G30" s="152" t="str">
        <f>IFERROR(__xludf.DUMMYFUNCTION("TRIM(REGEXREPLACE(C30, ""[0-9]+[a-f]?\."", """"))"),"")</f>
        <v/>
      </c>
      <c r="H30" s="152" t="str">
        <f>IFERROR(__xludf.DUMMYFUNCTION("TRIM(REGEXREPLACE(D30, ""[0-9]+[a-f]?\."", """"))"),"")</f>
        <v/>
      </c>
      <c r="I30" s="152" t="str">
        <f>IFERROR(__xludf.DUMMYFUNCTION("TRIM(REGEXREPLACE(E30, ""[0-9]+[a-f]?\."", """"))"),"")</f>
        <v/>
      </c>
      <c r="J30" s="152" t="s">
        <v>594</v>
      </c>
      <c r="K30" s="152" t="s">
        <v>595</v>
      </c>
      <c r="L30" s="155" t="s">
        <v>596</v>
      </c>
      <c r="M30" s="152"/>
      <c r="N30" s="152"/>
      <c r="O30" s="152"/>
      <c r="P30" s="152"/>
      <c r="Q30" s="152"/>
      <c r="R30" s="152"/>
      <c r="S30" s="152"/>
      <c r="T30" s="152"/>
      <c r="U30" s="152"/>
      <c r="V30" s="152"/>
      <c r="W30" s="152"/>
      <c r="X30" s="152"/>
      <c r="Y30" s="152"/>
      <c r="Z30" s="152"/>
    </row>
    <row r="31" hidden="1">
      <c r="A31" s="58" t="s">
        <v>78</v>
      </c>
      <c r="B31" s="58" t="s">
        <v>257</v>
      </c>
      <c r="C31" s="28"/>
      <c r="D31" s="28"/>
      <c r="E31" s="28"/>
      <c r="F31" s="153"/>
      <c r="G31" s="152" t="str">
        <f>IFERROR(__xludf.DUMMYFUNCTION("TRIM(REGEXREPLACE(C31, ""[0-9]+[a-f]?\."", """"))"),"")</f>
        <v/>
      </c>
      <c r="H31" s="152" t="str">
        <f>IFERROR(__xludf.DUMMYFUNCTION("TRIM(REGEXREPLACE(D31, ""[0-9]+[a-f]?\."", """"))"),"")</f>
        <v/>
      </c>
      <c r="I31" s="152" t="str">
        <f>IFERROR(__xludf.DUMMYFUNCTION("TRIM(REGEXREPLACE(E31, ""[0-9]+[a-f]?\."", """"))"),"")</f>
        <v/>
      </c>
      <c r="J31" s="152" t="s">
        <v>597</v>
      </c>
      <c r="K31" s="152" t="s">
        <v>598</v>
      </c>
      <c r="L31" s="155" t="s">
        <v>599</v>
      </c>
      <c r="M31" s="152"/>
      <c r="N31" s="152"/>
      <c r="O31" s="152"/>
      <c r="P31" s="152"/>
      <c r="Q31" s="152"/>
      <c r="R31" s="152"/>
      <c r="S31" s="152"/>
      <c r="T31" s="152"/>
      <c r="U31" s="152"/>
      <c r="V31" s="152"/>
      <c r="W31" s="152"/>
      <c r="X31" s="152"/>
      <c r="Y31" s="152"/>
      <c r="Z31" s="152"/>
    </row>
    <row r="32" hidden="1">
      <c r="A32" s="58" t="s">
        <v>78</v>
      </c>
      <c r="B32" s="58" t="s">
        <v>264</v>
      </c>
      <c r="C32" s="28"/>
      <c r="D32" s="28"/>
      <c r="E32" s="28"/>
      <c r="F32" s="153"/>
      <c r="G32" s="152" t="str">
        <f>IFERROR(__xludf.DUMMYFUNCTION("TRIM(REGEXREPLACE(C32, ""[0-9]+[a-f]?\."", """"))"),"")</f>
        <v/>
      </c>
      <c r="H32" s="152" t="str">
        <f>IFERROR(__xludf.DUMMYFUNCTION("TRIM(REGEXREPLACE(D32, ""[0-9]+[a-f]?\."", """"))"),"")</f>
        <v/>
      </c>
      <c r="I32" s="152" t="str">
        <f>IFERROR(__xludf.DUMMYFUNCTION("TRIM(REGEXREPLACE(E32, ""[0-9]+[a-f]?\."", """"))"),"")</f>
        <v/>
      </c>
      <c r="J32" s="152" t="s">
        <v>603</v>
      </c>
      <c r="K32" s="152" t="s">
        <v>604</v>
      </c>
      <c r="L32" s="155" t="s">
        <v>605</v>
      </c>
      <c r="M32" s="152"/>
      <c r="N32" s="152"/>
      <c r="O32" s="152"/>
      <c r="P32" s="152"/>
      <c r="Q32" s="152"/>
      <c r="R32" s="152"/>
      <c r="S32" s="152"/>
      <c r="T32" s="152"/>
      <c r="U32" s="152"/>
      <c r="V32" s="152"/>
      <c r="W32" s="152"/>
      <c r="X32" s="152"/>
      <c r="Y32" s="152"/>
      <c r="Z32" s="152"/>
    </row>
    <row r="33" hidden="1">
      <c r="A33" s="90" t="s">
        <v>78</v>
      </c>
      <c r="B33" s="119" t="s">
        <v>270</v>
      </c>
      <c r="C33" s="28"/>
      <c r="D33" s="28"/>
      <c r="E33" s="28"/>
      <c r="F33" s="161">
        <v>8.0</v>
      </c>
      <c r="G33" s="152" t="str">
        <f>IFERROR(__xludf.DUMMYFUNCTION("TRIM(REGEXREPLACE(C33, ""[0-9]+[a-f]?\."", """"))"),"")</f>
        <v/>
      </c>
      <c r="H33" s="152" t="str">
        <f>IFERROR(__xludf.DUMMYFUNCTION("TRIM(REGEXREPLACE(D33, ""[0-9]+[a-f]?\."", """"))"),"")</f>
        <v/>
      </c>
      <c r="I33" s="152" t="str">
        <f>IFERROR(__xludf.DUMMYFUNCTION("TRIM(REGEXREPLACE(E33, ""[0-9]+[a-f]?\."", """"))"),"")</f>
        <v/>
      </c>
      <c r="J33" s="152" t="s">
        <v>607</v>
      </c>
      <c r="K33" s="152" t="s">
        <v>483</v>
      </c>
      <c r="L33" s="152" t="s">
        <v>483</v>
      </c>
      <c r="M33" s="152"/>
      <c r="N33" s="152"/>
      <c r="O33" s="152"/>
      <c r="P33" s="152"/>
      <c r="Q33" s="152"/>
      <c r="R33" s="152"/>
      <c r="S33" s="152"/>
      <c r="T33" s="152"/>
      <c r="U33" s="152"/>
      <c r="V33" s="152"/>
      <c r="W33" s="152"/>
      <c r="X33" s="152"/>
      <c r="Y33" s="152"/>
      <c r="Z33" s="152"/>
    </row>
    <row r="34" hidden="1">
      <c r="A34" s="90" t="s">
        <v>78</v>
      </c>
      <c r="B34" s="119" t="s">
        <v>276</v>
      </c>
      <c r="C34" s="28"/>
      <c r="D34" s="28"/>
      <c r="E34" s="28"/>
      <c r="F34" s="161">
        <v>1.0</v>
      </c>
      <c r="G34" s="152" t="str">
        <f>IFERROR(__xludf.DUMMYFUNCTION("TRIM(REGEXREPLACE(C34, ""[0-9]+[a-f]?\."", """"))"),"")</f>
        <v/>
      </c>
      <c r="H34" s="152" t="str">
        <f>IFERROR(__xludf.DUMMYFUNCTION("TRIM(REGEXREPLACE(D34, ""[0-9]+[a-f]?\."", """"))"),"")</f>
        <v/>
      </c>
      <c r="I34" s="152" t="str">
        <f>IFERROR(__xludf.DUMMYFUNCTION("TRIM(REGEXREPLACE(E34, ""[0-9]+[a-f]?\."", """"))"),"")</f>
        <v/>
      </c>
      <c r="J34" s="152" t="str">
        <f t="shared" ref="J34:L34" si="1">$F34 &amp; ". " &amp;G34</f>
        <v>1. </v>
      </c>
      <c r="K34" s="152" t="str">
        <f t="shared" si="1"/>
        <v>1. </v>
      </c>
      <c r="L34" s="152" t="str">
        <f t="shared" si="1"/>
        <v>1. </v>
      </c>
      <c r="M34" s="152"/>
      <c r="N34" s="152"/>
      <c r="O34" s="152"/>
      <c r="P34" s="152"/>
      <c r="Q34" s="152"/>
      <c r="R34" s="152"/>
      <c r="S34" s="152"/>
      <c r="T34" s="152"/>
      <c r="U34" s="152"/>
      <c r="V34" s="152"/>
      <c r="W34" s="152"/>
      <c r="X34" s="152"/>
      <c r="Y34" s="152"/>
      <c r="Z34" s="152"/>
    </row>
    <row r="35" hidden="1">
      <c r="A35" s="90" t="s">
        <v>78</v>
      </c>
      <c r="B35" s="119" t="s">
        <v>282</v>
      </c>
      <c r="C35" s="28"/>
      <c r="D35" s="28"/>
      <c r="E35" s="28"/>
      <c r="F35" s="153"/>
      <c r="G35" s="152" t="str">
        <f>IFERROR(__xludf.DUMMYFUNCTION("TRIM(REGEXREPLACE(C35, ""[0-9]+[a-f]?\."", """"))"),"")</f>
        <v/>
      </c>
      <c r="H35" s="152" t="str">
        <f>IFERROR(__xludf.DUMMYFUNCTION("TRIM(REGEXREPLACE(D35, ""[0-9]+[a-f]?\."", """"))"),"")</f>
        <v/>
      </c>
      <c r="I35" s="152" t="str">
        <f>IFERROR(__xludf.DUMMYFUNCTION("TRIM(REGEXREPLACE(E35, ""[0-9]+[a-f]?\."", """"))"),"")</f>
        <v/>
      </c>
      <c r="J35" s="152" t="s">
        <v>617</v>
      </c>
      <c r="K35" s="152" t="s">
        <v>618</v>
      </c>
      <c r="L35" s="155" t="s">
        <v>619</v>
      </c>
      <c r="M35" s="152"/>
      <c r="N35" s="152"/>
      <c r="O35" s="152"/>
      <c r="P35" s="152"/>
      <c r="Q35" s="152"/>
      <c r="R35" s="152"/>
      <c r="S35" s="152"/>
      <c r="T35" s="152"/>
      <c r="U35" s="152"/>
      <c r="V35" s="152"/>
      <c r="W35" s="152"/>
      <c r="X35" s="152"/>
      <c r="Y35" s="152"/>
      <c r="Z35" s="152"/>
    </row>
    <row r="36" hidden="1">
      <c r="A36" s="58" t="s">
        <v>78</v>
      </c>
      <c r="B36" s="58" t="s">
        <v>290</v>
      </c>
      <c r="C36" s="28"/>
      <c r="D36" s="28"/>
      <c r="E36" s="28"/>
      <c r="F36" s="153"/>
      <c r="G36" s="152" t="str">
        <f>IFERROR(__xludf.DUMMYFUNCTION("TRIM(REGEXREPLACE(C36, ""[0-9]+[a-f]?\."", """"))"),"")</f>
        <v/>
      </c>
      <c r="H36" s="152" t="str">
        <f>IFERROR(__xludf.DUMMYFUNCTION("TRIM(REGEXREPLACE(D36, ""[0-9]+[a-f]?\."", """"))"),"")</f>
        <v/>
      </c>
      <c r="I36" s="152" t="str">
        <f>IFERROR(__xludf.DUMMYFUNCTION("TRIM(REGEXREPLACE(E36, ""[0-9]+[a-f]?\."", """"))"),"")</f>
        <v/>
      </c>
      <c r="J36" s="152" t="s">
        <v>620</v>
      </c>
      <c r="K36" s="152" t="s">
        <v>621</v>
      </c>
      <c r="L36" s="155" t="s">
        <v>622</v>
      </c>
      <c r="M36" s="152"/>
      <c r="N36" s="152"/>
      <c r="O36" s="152"/>
      <c r="P36" s="152"/>
      <c r="Q36" s="152"/>
      <c r="R36" s="152"/>
      <c r="S36" s="152"/>
      <c r="T36" s="152"/>
      <c r="U36" s="152"/>
      <c r="V36" s="152"/>
      <c r="W36" s="152"/>
      <c r="X36" s="152"/>
      <c r="Y36" s="152"/>
      <c r="Z36" s="152"/>
    </row>
    <row r="37" hidden="1">
      <c r="A37" s="58" t="s">
        <v>78</v>
      </c>
      <c r="B37" s="58" t="s">
        <v>298</v>
      </c>
      <c r="C37" s="28"/>
      <c r="D37" s="28"/>
      <c r="E37" s="28"/>
      <c r="F37" s="153"/>
      <c r="G37" s="152" t="str">
        <f>IFERROR(__xludf.DUMMYFUNCTION("TRIM(REGEXREPLACE(C37, ""[0-9]+[a-f]?\."", """"))"),"")</f>
        <v/>
      </c>
      <c r="H37" s="152" t="str">
        <f>IFERROR(__xludf.DUMMYFUNCTION("TRIM(REGEXREPLACE(D37, ""[0-9]+[a-f]?\."", """"))"),"")</f>
        <v/>
      </c>
      <c r="I37" s="152" t="str">
        <f>IFERROR(__xludf.DUMMYFUNCTION("TRIM(REGEXREPLACE(E37, ""[0-9]+[a-f]?\."", """"))"),"")</f>
        <v/>
      </c>
      <c r="J37" s="152" t="s">
        <v>626</v>
      </c>
      <c r="K37" s="152" t="s">
        <v>627</v>
      </c>
      <c r="L37" s="155" t="s">
        <v>628</v>
      </c>
      <c r="M37" s="152"/>
      <c r="N37" s="152"/>
      <c r="O37" s="152"/>
      <c r="P37" s="152"/>
      <c r="Q37" s="152"/>
      <c r="R37" s="152"/>
      <c r="S37" s="152"/>
      <c r="T37" s="152"/>
      <c r="U37" s="152"/>
      <c r="V37" s="152"/>
      <c r="W37" s="152"/>
      <c r="X37" s="152"/>
      <c r="Y37" s="152"/>
      <c r="Z37" s="152"/>
    </row>
    <row r="38" hidden="1">
      <c r="A38" s="58" t="s">
        <v>78</v>
      </c>
      <c r="B38" s="58" t="s">
        <v>305</v>
      </c>
      <c r="C38" s="28"/>
      <c r="D38" s="28"/>
      <c r="E38" s="28"/>
      <c r="F38" s="153"/>
      <c r="G38" s="152" t="str">
        <f>IFERROR(__xludf.DUMMYFUNCTION("TRIM(REGEXREPLACE(C38, ""[0-9]+[a-f]?\."", """"))"),"")</f>
        <v/>
      </c>
      <c r="H38" s="152" t="str">
        <f>IFERROR(__xludf.DUMMYFUNCTION("TRIM(REGEXREPLACE(D38, ""[0-9]+[a-f]?\."", """"))"),"")</f>
        <v/>
      </c>
      <c r="I38" s="152" t="str">
        <f>IFERROR(__xludf.DUMMYFUNCTION("TRIM(REGEXREPLACE(E38, ""[0-9]+[a-f]?\."", """"))"),"")</f>
        <v/>
      </c>
      <c r="J38" s="152" t="s">
        <v>630</v>
      </c>
      <c r="K38" s="152" t="s">
        <v>631</v>
      </c>
      <c r="L38" s="155" t="s">
        <v>633</v>
      </c>
      <c r="M38" s="152"/>
      <c r="N38" s="152"/>
      <c r="O38" s="152"/>
      <c r="P38" s="152"/>
      <c r="Q38" s="152"/>
      <c r="R38" s="152"/>
      <c r="S38" s="152"/>
      <c r="T38" s="152"/>
      <c r="U38" s="152"/>
      <c r="V38" s="152"/>
      <c r="W38" s="152"/>
      <c r="X38" s="152"/>
      <c r="Y38" s="152"/>
      <c r="Z38" s="152"/>
    </row>
    <row r="39" hidden="1">
      <c r="A39" s="123" t="s">
        <v>78</v>
      </c>
      <c r="B39" s="123" t="s">
        <v>316</v>
      </c>
      <c r="C39" s="28"/>
      <c r="D39" s="28"/>
      <c r="E39" s="28"/>
      <c r="F39" s="153"/>
      <c r="G39" s="152" t="str">
        <f>IFERROR(__xludf.DUMMYFUNCTION("TRIM(REGEXREPLACE(C39, ""[0-9]+[a-f]?\."", """"))"),"")</f>
        <v/>
      </c>
      <c r="H39" s="152" t="str">
        <f>IFERROR(__xludf.DUMMYFUNCTION("TRIM(REGEXREPLACE(D39, ""[0-9]+[a-f]?\."", """"))"),"")</f>
        <v/>
      </c>
      <c r="I39" s="152" t="str">
        <f>IFERROR(__xludf.DUMMYFUNCTION("TRIM(REGEXREPLACE(E39, ""[0-9]+[a-f]?\."", """"))"),"")</f>
        <v/>
      </c>
      <c r="J39" s="152" t="s">
        <v>636</v>
      </c>
      <c r="K39" s="152" t="s">
        <v>637</v>
      </c>
      <c r="L39" s="155" t="s">
        <v>638</v>
      </c>
      <c r="M39" s="152"/>
      <c r="N39" s="152"/>
      <c r="O39" s="152"/>
      <c r="P39" s="152"/>
      <c r="Q39" s="152"/>
      <c r="R39" s="152"/>
      <c r="S39" s="152"/>
      <c r="T39" s="152"/>
      <c r="U39" s="152"/>
      <c r="V39" s="152"/>
      <c r="W39" s="152"/>
      <c r="X39" s="152"/>
      <c r="Y39" s="152"/>
      <c r="Z39" s="152"/>
    </row>
    <row r="40" hidden="1">
      <c r="A40" s="123" t="s">
        <v>78</v>
      </c>
      <c r="B40" s="123" t="s">
        <v>323</v>
      </c>
      <c r="C40" s="28"/>
      <c r="D40" s="28"/>
      <c r="E40" s="28"/>
      <c r="F40" s="153"/>
      <c r="G40" s="152" t="str">
        <f>IFERROR(__xludf.DUMMYFUNCTION("TRIM(REGEXREPLACE(C40, ""[0-9]+[a-f]?\."", """"))"),"")</f>
        <v/>
      </c>
      <c r="H40" s="152" t="str">
        <f>IFERROR(__xludf.DUMMYFUNCTION("TRIM(REGEXREPLACE(D40, ""[0-9]+[a-f]?\."", """"))"),"")</f>
        <v/>
      </c>
      <c r="I40" s="152" t="str">
        <f>IFERROR(__xludf.DUMMYFUNCTION("TRIM(REGEXREPLACE(E40, ""[0-9]+[a-f]?\."", """"))"),"")</f>
        <v/>
      </c>
      <c r="J40" s="152" t="s">
        <v>640</v>
      </c>
      <c r="K40" s="152" t="s">
        <v>641</v>
      </c>
      <c r="L40" s="155" t="s">
        <v>642</v>
      </c>
      <c r="M40" s="152"/>
      <c r="N40" s="152"/>
      <c r="O40" s="152"/>
      <c r="P40" s="152"/>
      <c r="Q40" s="152"/>
      <c r="R40" s="152"/>
      <c r="S40" s="152"/>
      <c r="T40" s="152"/>
      <c r="U40" s="152"/>
      <c r="V40" s="152"/>
      <c r="W40" s="152"/>
      <c r="X40" s="152"/>
      <c r="Y40" s="152"/>
      <c r="Z40" s="152"/>
    </row>
    <row r="41" hidden="1">
      <c r="A41" s="123" t="s">
        <v>78</v>
      </c>
      <c r="B41" s="123" t="s">
        <v>327</v>
      </c>
      <c r="C41" s="28"/>
      <c r="D41" s="28"/>
      <c r="E41" s="28"/>
      <c r="F41" s="153"/>
      <c r="G41" s="152" t="str">
        <f>IFERROR(__xludf.DUMMYFUNCTION("TRIM(REGEXREPLACE(C41, ""[0-9]+[a-f]?\."", """"))"),"")</f>
        <v/>
      </c>
      <c r="H41" s="152" t="str">
        <f>IFERROR(__xludf.DUMMYFUNCTION("TRIM(REGEXREPLACE(D41, ""[0-9]+[a-f]?\."", """"))"),"")</f>
        <v/>
      </c>
      <c r="I41" s="152" t="str">
        <f>IFERROR(__xludf.DUMMYFUNCTION("TRIM(REGEXREPLACE(E41, ""[0-9]+[a-f]?\."", """"))"),"")</f>
        <v/>
      </c>
      <c r="J41" s="152" t="s">
        <v>647</v>
      </c>
      <c r="K41" s="152" t="s">
        <v>649</v>
      </c>
      <c r="L41" s="155" t="s">
        <v>650</v>
      </c>
      <c r="M41" s="152"/>
      <c r="N41" s="152"/>
      <c r="O41" s="152"/>
      <c r="P41" s="152"/>
      <c r="Q41" s="152"/>
      <c r="R41" s="152"/>
      <c r="S41" s="152"/>
      <c r="T41" s="152"/>
      <c r="U41" s="152"/>
      <c r="V41" s="152"/>
      <c r="W41" s="152"/>
      <c r="X41" s="152"/>
      <c r="Y41" s="152"/>
      <c r="Z41" s="152"/>
    </row>
    <row r="42">
      <c r="A42" s="58" t="s">
        <v>334</v>
      </c>
      <c r="B42" s="58" t="s">
        <v>224</v>
      </c>
      <c r="C42" s="28" t="s">
        <v>607</v>
      </c>
      <c r="D42" s="28" t="s">
        <v>652</v>
      </c>
      <c r="E42" s="28" t="s">
        <v>653</v>
      </c>
      <c r="F42" s="161">
        <v>7.0</v>
      </c>
      <c r="G42" s="152" t="str">
        <f>IFERROR(__xludf.DUMMYFUNCTION("TRIM(REGEXREPLACE(C42, ""[0-9]+[a-f]?\."", """"))"),"Select the Household ID number:")</f>
        <v>Select the Household ID number:</v>
      </c>
      <c r="H42" s="152" t="str">
        <f>IFERROR(__xludf.DUMMYFUNCTION("TRIM(REGEXREPLACE(D42, ""[0-9]+[a-f]?\."", """"))"),"Sélectionnez le numéro d'identification du ménage :")</f>
        <v>Sélectionnez le numéro d'identification du ménage :</v>
      </c>
      <c r="I42" s="152" t="str">
        <f>IFERROR(__xludf.DUMMYFUNCTION("TRIM(REGEXREPLACE(E42, ""[0-9]+[a-f]?\."", """"))"),"Zaɓi lambar ID na Gida:")</f>
        <v>Zaɓi lambar ID na Gida:</v>
      </c>
      <c r="J42" s="152" t="s">
        <v>336</v>
      </c>
      <c r="K42" s="152" t="s">
        <v>337</v>
      </c>
      <c r="L42" s="152" t="s">
        <v>338</v>
      </c>
      <c r="M42" s="152"/>
      <c r="N42" s="152"/>
      <c r="O42" s="152"/>
      <c r="P42" s="152"/>
      <c r="Q42" s="152"/>
      <c r="R42" s="152"/>
      <c r="S42" s="152"/>
      <c r="T42" s="152"/>
      <c r="U42" s="152"/>
      <c r="V42" s="152"/>
      <c r="W42" s="152"/>
      <c r="X42" s="152"/>
      <c r="Y42" s="152"/>
      <c r="Z42" s="152"/>
    </row>
    <row r="43" hidden="1">
      <c r="A43" s="137" t="s">
        <v>78</v>
      </c>
      <c r="B43" s="138" t="s">
        <v>226</v>
      </c>
      <c r="C43" s="28"/>
      <c r="D43" s="28"/>
      <c r="E43" s="28"/>
      <c r="F43" s="153"/>
      <c r="G43" s="152" t="str">
        <f>IFERROR(__xludf.DUMMYFUNCTION("TRIM(REGEXREPLACE(C43, ""[0-9]+[a-f]?\."", """"))"),"")</f>
        <v/>
      </c>
      <c r="H43" s="152" t="str">
        <f>IFERROR(__xludf.DUMMYFUNCTION("TRIM(REGEXREPLACE(D43, ""[0-9]+[a-f]?\."", """"))"),"")</f>
        <v/>
      </c>
      <c r="I43" s="152" t="str">
        <f>IFERROR(__xludf.DUMMYFUNCTION("TRIM(REGEXREPLACE(E43, ""[0-9]+[a-f]?\."", """"))"),"")</f>
        <v/>
      </c>
      <c r="J43" s="152" t="s">
        <v>658</v>
      </c>
      <c r="K43" s="152" t="s">
        <v>660</v>
      </c>
      <c r="L43" s="155" t="s">
        <v>662</v>
      </c>
      <c r="M43" s="152"/>
      <c r="N43" s="152"/>
      <c r="O43" s="152"/>
      <c r="P43" s="152"/>
      <c r="Q43" s="152"/>
      <c r="R43" s="152"/>
      <c r="S43" s="152"/>
      <c r="T43" s="152"/>
      <c r="U43" s="152"/>
      <c r="V43" s="152"/>
      <c r="W43" s="152"/>
      <c r="X43" s="152"/>
      <c r="Y43" s="152"/>
      <c r="Z43" s="152"/>
    </row>
    <row r="44" hidden="1">
      <c r="A44" s="137" t="s">
        <v>78</v>
      </c>
      <c r="B44" s="138" t="s">
        <v>361</v>
      </c>
      <c r="C44" s="28"/>
      <c r="D44" s="28"/>
      <c r="E44" s="28"/>
      <c r="F44" s="153"/>
      <c r="G44" s="152" t="str">
        <f>IFERROR(__xludf.DUMMYFUNCTION("TRIM(REGEXREPLACE(C44, ""[0-9]+[a-f]?\."", """"))"),"")</f>
        <v/>
      </c>
      <c r="H44" s="152" t="str">
        <f>IFERROR(__xludf.DUMMYFUNCTION("TRIM(REGEXREPLACE(D44, ""[0-9]+[a-f]?\."", """"))"),"")</f>
        <v/>
      </c>
      <c r="I44" s="152" t="str">
        <f>IFERROR(__xludf.DUMMYFUNCTION("TRIM(REGEXREPLACE(E44, ""[0-9]+[a-f]?\."", """"))"),"")</f>
        <v/>
      </c>
      <c r="J44" s="152" t="s">
        <v>666</v>
      </c>
      <c r="K44" s="152" t="s">
        <v>667</v>
      </c>
      <c r="L44" s="155" t="s">
        <v>668</v>
      </c>
      <c r="M44" s="152"/>
      <c r="N44" s="152"/>
      <c r="O44" s="152"/>
      <c r="P44" s="152"/>
      <c r="Q44" s="152"/>
      <c r="R44" s="152"/>
      <c r="S44" s="152"/>
      <c r="T44" s="152"/>
      <c r="U44" s="152"/>
      <c r="V44" s="152"/>
      <c r="W44" s="152"/>
      <c r="X44" s="152"/>
      <c r="Y44" s="152"/>
      <c r="Z44" s="152"/>
    </row>
    <row r="45" hidden="1">
      <c r="A45" s="137" t="s">
        <v>78</v>
      </c>
      <c r="B45" s="138" t="s">
        <v>369</v>
      </c>
      <c r="C45" s="28"/>
      <c r="D45" s="28"/>
      <c r="E45" s="28"/>
      <c r="F45" s="153"/>
      <c r="G45" s="152" t="str">
        <f>IFERROR(__xludf.DUMMYFUNCTION("TRIM(REGEXREPLACE(C45, ""[0-9]+[a-f]?\."", """"))"),"")</f>
        <v/>
      </c>
      <c r="H45" s="152" t="str">
        <f>IFERROR(__xludf.DUMMYFUNCTION("TRIM(REGEXREPLACE(D45, ""[0-9]+[a-f]?\."", """"))"),"")</f>
        <v/>
      </c>
      <c r="I45" s="152" t="str">
        <f>IFERROR(__xludf.DUMMYFUNCTION("TRIM(REGEXREPLACE(E45, ""[0-9]+[a-f]?\."", """"))"),"")</f>
        <v/>
      </c>
      <c r="J45" s="152" t="s">
        <v>670</v>
      </c>
      <c r="K45" s="152" t="s">
        <v>672</v>
      </c>
      <c r="L45" s="155" t="s">
        <v>673</v>
      </c>
      <c r="M45" s="152"/>
      <c r="N45" s="152"/>
      <c r="O45" s="152"/>
      <c r="P45" s="152"/>
      <c r="Q45" s="152"/>
      <c r="R45" s="152"/>
      <c r="S45" s="152"/>
      <c r="T45" s="152"/>
      <c r="U45" s="152"/>
      <c r="V45" s="152"/>
      <c r="W45" s="152"/>
      <c r="X45" s="152"/>
      <c r="Y45" s="152"/>
      <c r="Z45" s="152"/>
    </row>
    <row r="46" hidden="1">
      <c r="A46" s="137" t="s">
        <v>78</v>
      </c>
      <c r="B46" s="138" t="s">
        <v>376</v>
      </c>
      <c r="C46" s="28"/>
      <c r="D46" s="28"/>
      <c r="E46" s="28"/>
      <c r="F46" s="153"/>
      <c r="G46" s="152" t="str">
        <f>IFERROR(__xludf.DUMMYFUNCTION("TRIM(REGEXREPLACE(C46, ""[0-9]+[a-f]?\."", """"))"),"")</f>
        <v/>
      </c>
      <c r="H46" s="152" t="str">
        <f>IFERROR(__xludf.DUMMYFUNCTION("TRIM(REGEXREPLACE(D46, ""[0-9]+[a-f]?\."", """"))"),"")</f>
        <v/>
      </c>
      <c r="I46" s="152" t="str">
        <f>IFERROR(__xludf.DUMMYFUNCTION("TRIM(REGEXREPLACE(E46, ""[0-9]+[a-f]?\."", """"))"),"")</f>
        <v/>
      </c>
      <c r="J46" s="152" t="s">
        <v>681</v>
      </c>
      <c r="K46" s="152" t="s">
        <v>683</v>
      </c>
      <c r="L46" s="155" t="s">
        <v>685</v>
      </c>
      <c r="M46" s="152"/>
      <c r="N46" s="152"/>
      <c r="O46" s="152"/>
      <c r="P46" s="152"/>
      <c r="Q46" s="152"/>
      <c r="R46" s="152"/>
      <c r="S46" s="152"/>
      <c r="T46" s="152"/>
      <c r="U46" s="152"/>
      <c r="V46" s="152"/>
      <c r="W46" s="152"/>
      <c r="X46" s="152"/>
      <c r="Y46" s="152"/>
      <c r="Z46" s="152"/>
    </row>
    <row r="47" hidden="1">
      <c r="A47" s="137" t="s">
        <v>78</v>
      </c>
      <c r="B47" s="138" t="s">
        <v>383</v>
      </c>
      <c r="C47" s="28"/>
      <c r="D47" s="28"/>
      <c r="E47" s="28"/>
      <c r="F47" s="153"/>
      <c r="G47" s="152" t="str">
        <f>IFERROR(__xludf.DUMMYFUNCTION("TRIM(REGEXREPLACE(C47, ""[0-9]+[a-f]?\."", """"))"),"")</f>
        <v/>
      </c>
      <c r="H47" s="152" t="str">
        <f>IFERROR(__xludf.DUMMYFUNCTION("TRIM(REGEXREPLACE(D47, ""[0-9]+[a-f]?\."", """"))"),"")</f>
        <v/>
      </c>
      <c r="I47" s="152" t="str">
        <f>IFERROR(__xludf.DUMMYFUNCTION("TRIM(REGEXREPLACE(E47, ""[0-9]+[a-f]?\."", """"))"),"")</f>
        <v/>
      </c>
      <c r="J47" s="152" t="s">
        <v>692</v>
      </c>
      <c r="K47" s="152" t="s">
        <v>693</v>
      </c>
      <c r="L47" s="155" t="s">
        <v>694</v>
      </c>
      <c r="M47" s="152"/>
      <c r="N47" s="152"/>
      <c r="O47" s="152"/>
      <c r="P47" s="152"/>
      <c r="Q47" s="152"/>
      <c r="R47" s="152"/>
      <c r="S47" s="152"/>
      <c r="T47" s="152"/>
      <c r="U47" s="152"/>
      <c r="V47" s="152"/>
      <c r="W47" s="152"/>
      <c r="X47" s="152"/>
      <c r="Y47" s="152"/>
      <c r="Z47" s="152"/>
    </row>
    <row r="48" hidden="1">
      <c r="A48" s="137" t="s">
        <v>78</v>
      </c>
      <c r="B48" s="138" t="s">
        <v>389</v>
      </c>
      <c r="C48" s="28"/>
      <c r="D48" s="28"/>
      <c r="E48" s="28"/>
      <c r="F48" s="153"/>
      <c r="G48" s="152" t="str">
        <f>IFERROR(__xludf.DUMMYFUNCTION("TRIM(REGEXREPLACE(C48, ""[0-9]+[a-f]?\."", """"))"),"")</f>
        <v/>
      </c>
      <c r="H48" s="152" t="str">
        <f>IFERROR(__xludf.DUMMYFUNCTION("TRIM(REGEXREPLACE(D48, ""[0-9]+[a-f]?\."", """"))"),"")</f>
        <v/>
      </c>
      <c r="I48" s="152" t="str">
        <f>IFERROR(__xludf.DUMMYFUNCTION("TRIM(REGEXREPLACE(E48, ""[0-9]+[a-f]?\."", """"))"),"")</f>
        <v/>
      </c>
      <c r="J48" s="152" t="s">
        <v>699</v>
      </c>
      <c r="K48" s="152" t="s">
        <v>700</v>
      </c>
      <c r="L48" s="155" t="s">
        <v>701</v>
      </c>
      <c r="M48" s="152"/>
      <c r="N48" s="152"/>
      <c r="O48" s="152"/>
      <c r="P48" s="152"/>
      <c r="Q48" s="152"/>
      <c r="R48" s="152"/>
      <c r="S48" s="152"/>
      <c r="T48" s="152"/>
      <c r="U48" s="152"/>
      <c r="V48" s="152"/>
      <c r="W48" s="152"/>
      <c r="X48" s="152"/>
      <c r="Y48" s="152"/>
      <c r="Z48" s="152"/>
    </row>
    <row r="49" hidden="1">
      <c r="A49" s="137" t="s">
        <v>78</v>
      </c>
      <c r="B49" s="138" t="s">
        <v>399</v>
      </c>
      <c r="C49" s="28"/>
      <c r="D49" s="28"/>
      <c r="E49" s="28"/>
      <c r="F49" s="161">
        <v>9.0</v>
      </c>
      <c r="G49" s="152" t="str">
        <f>IFERROR(__xludf.DUMMYFUNCTION("TRIM(REGEXREPLACE(C49, ""[0-9]+[a-f]?\."", """"))"),"")</f>
        <v/>
      </c>
      <c r="H49" s="152" t="str">
        <f>IFERROR(__xludf.DUMMYFUNCTION("TRIM(REGEXREPLACE(D49, ""[0-9]+[a-f]?\."", """"))"),"")</f>
        <v/>
      </c>
      <c r="I49" s="152" t="str">
        <f>IFERROR(__xludf.DUMMYFUNCTION("TRIM(REGEXREPLACE(E49, ""[0-9]+[a-f]?\."", """"))"),"")</f>
        <v/>
      </c>
      <c r="J49" s="152" t="s">
        <v>706</v>
      </c>
      <c r="K49" s="152" t="s">
        <v>707</v>
      </c>
      <c r="L49" s="152" t="s">
        <v>707</v>
      </c>
      <c r="M49" s="152"/>
      <c r="N49" s="152"/>
      <c r="O49" s="152"/>
      <c r="P49" s="152"/>
      <c r="Q49" s="152"/>
      <c r="R49" s="152"/>
      <c r="S49" s="152"/>
      <c r="T49" s="152"/>
      <c r="U49" s="152"/>
      <c r="V49" s="152"/>
      <c r="W49" s="152"/>
      <c r="X49" s="152"/>
      <c r="Y49" s="152"/>
      <c r="Z49" s="152"/>
    </row>
    <row r="50" hidden="1">
      <c r="A50" s="137" t="s">
        <v>78</v>
      </c>
      <c r="B50" s="138" t="s">
        <v>406</v>
      </c>
      <c r="C50" s="28"/>
      <c r="D50" s="28"/>
      <c r="E50" s="28"/>
      <c r="F50" s="161">
        <v>9.0</v>
      </c>
      <c r="G50" s="152" t="str">
        <f>IFERROR(__xludf.DUMMYFUNCTION("TRIM(REGEXREPLACE(C50, ""[0-9]+[a-f]?\."", """"))"),"")</f>
        <v/>
      </c>
      <c r="H50" s="152" t="str">
        <f>IFERROR(__xludf.DUMMYFUNCTION("TRIM(REGEXREPLACE(D50, ""[0-9]+[a-f]?\."", """"))"),"")</f>
        <v/>
      </c>
      <c r="I50" s="152" t="str">
        <f>IFERROR(__xludf.DUMMYFUNCTION("TRIM(REGEXREPLACE(E50, ""[0-9]+[a-f]?\."", """"))"),"")</f>
        <v/>
      </c>
      <c r="J50" s="152" t="s">
        <v>706</v>
      </c>
      <c r="K50" s="152" t="s">
        <v>717</v>
      </c>
      <c r="L50" s="152" t="s">
        <v>718</v>
      </c>
      <c r="M50" s="152"/>
      <c r="N50" s="152"/>
      <c r="O50" s="152"/>
      <c r="P50" s="152"/>
      <c r="Q50" s="152"/>
      <c r="R50" s="152"/>
      <c r="S50" s="152"/>
      <c r="T50" s="152"/>
      <c r="U50" s="152"/>
      <c r="V50" s="152"/>
      <c r="W50" s="152"/>
      <c r="X50" s="152"/>
      <c r="Y50" s="152"/>
      <c r="Z50" s="152"/>
    </row>
    <row r="51" hidden="1">
      <c r="A51" s="137" t="s">
        <v>78</v>
      </c>
      <c r="B51" s="138" t="s">
        <v>416</v>
      </c>
      <c r="C51" s="28"/>
      <c r="D51" s="28"/>
      <c r="E51" s="28"/>
      <c r="F51" s="161">
        <v>10.0</v>
      </c>
      <c r="G51" s="152" t="str">
        <f>IFERROR(__xludf.DUMMYFUNCTION("TRIM(REGEXREPLACE(C51, ""[0-9]+[a-f]?\."", """"))"),"")</f>
        <v/>
      </c>
      <c r="H51" s="152" t="str">
        <f>IFERROR(__xludf.DUMMYFUNCTION("TRIM(REGEXREPLACE(D51, ""[0-9]+[a-f]?\."", """"))"),"")</f>
        <v/>
      </c>
      <c r="I51" s="152" t="str">
        <f>IFERROR(__xludf.DUMMYFUNCTION("TRIM(REGEXREPLACE(E51, ""[0-9]+[a-f]?\."", """"))"),"")</f>
        <v/>
      </c>
      <c r="J51" s="152" t="s">
        <v>721</v>
      </c>
      <c r="K51" s="152" t="s">
        <v>722</v>
      </c>
      <c r="L51" s="152" t="s">
        <v>723</v>
      </c>
      <c r="M51" s="152"/>
      <c r="N51" s="152"/>
      <c r="O51" s="152"/>
      <c r="P51" s="152"/>
      <c r="Q51" s="152"/>
      <c r="R51" s="152"/>
      <c r="S51" s="152"/>
      <c r="T51" s="152"/>
      <c r="U51" s="152"/>
      <c r="V51" s="152"/>
      <c r="W51" s="152"/>
      <c r="X51" s="152"/>
      <c r="Y51" s="152"/>
      <c r="Z51" s="152"/>
    </row>
    <row r="52" hidden="1">
      <c r="A52" s="137" t="s">
        <v>78</v>
      </c>
      <c r="B52" s="138" t="s">
        <v>423</v>
      </c>
      <c r="C52" s="28"/>
      <c r="D52" s="28"/>
      <c r="E52" s="28"/>
      <c r="F52" s="161">
        <v>11.0</v>
      </c>
      <c r="G52" s="152" t="str">
        <f>IFERROR(__xludf.DUMMYFUNCTION("TRIM(REGEXREPLACE(C52, ""[0-9]+[a-f]?\."", """"))"),"")</f>
        <v/>
      </c>
      <c r="H52" s="152" t="str">
        <f>IFERROR(__xludf.DUMMYFUNCTION("TRIM(REGEXREPLACE(D52, ""[0-9]+[a-f]?\."", """"))"),"")</f>
        <v/>
      </c>
      <c r="I52" s="152" t="str">
        <f>IFERROR(__xludf.DUMMYFUNCTION("TRIM(REGEXREPLACE(E52, ""[0-9]+[a-f]?\."", """"))"),"")</f>
        <v/>
      </c>
      <c r="J52" s="152" t="s">
        <v>725</v>
      </c>
      <c r="K52" s="152" t="s">
        <v>726</v>
      </c>
      <c r="L52" s="152" t="s">
        <v>727</v>
      </c>
      <c r="M52" s="152"/>
      <c r="N52" s="152"/>
      <c r="O52" s="152"/>
      <c r="P52" s="152"/>
      <c r="Q52" s="152"/>
      <c r="R52" s="152"/>
      <c r="S52" s="152"/>
      <c r="T52" s="152"/>
      <c r="U52" s="152"/>
      <c r="V52" s="152"/>
      <c r="W52" s="152"/>
      <c r="X52" s="152"/>
      <c r="Y52" s="152"/>
      <c r="Z52" s="152"/>
    </row>
    <row r="53" hidden="1">
      <c r="A53" s="137" t="s">
        <v>78</v>
      </c>
      <c r="B53" s="138" t="s">
        <v>429</v>
      </c>
      <c r="C53" s="28"/>
      <c r="D53" s="28"/>
      <c r="E53" s="28"/>
      <c r="F53" s="161">
        <v>2.0</v>
      </c>
      <c r="G53" s="152" t="str">
        <f>IFERROR(__xludf.DUMMYFUNCTION("TRIM(REGEXREPLACE(C53, ""[0-9]+[a-f]?\."", """"))"),"")</f>
        <v/>
      </c>
      <c r="H53" s="152" t="str">
        <f>IFERROR(__xludf.DUMMYFUNCTION("TRIM(REGEXREPLACE(D53, ""[0-9]+[a-f]?\."", """"))"),"")</f>
        <v/>
      </c>
      <c r="I53" s="152" t="str">
        <f>IFERROR(__xludf.DUMMYFUNCTION("TRIM(REGEXREPLACE(E53, ""[0-9]+[a-f]?\."", """"))"),"")</f>
        <v/>
      </c>
      <c r="J53" s="152" t="str">
        <f t="shared" ref="J53:L53" si="2">$F53 &amp; ". " &amp;G53</f>
        <v>2. </v>
      </c>
      <c r="K53" s="152" t="str">
        <f t="shared" si="2"/>
        <v>2. </v>
      </c>
      <c r="L53" s="152" t="str">
        <f t="shared" si="2"/>
        <v>2. </v>
      </c>
      <c r="M53" s="152"/>
      <c r="N53" s="152"/>
      <c r="O53" s="152"/>
      <c r="P53" s="152"/>
      <c r="Q53" s="152"/>
      <c r="R53" s="152"/>
      <c r="S53" s="152"/>
      <c r="T53" s="152"/>
      <c r="U53" s="152"/>
      <c r="V53" s="152"/>
      <c r="W53" s="152"/>
      <c r="X53" s="152"/>
      <c r="Y53" s="152"/>
      <c r="Z53" s="152"/>
    </row>
    <row r="54" hidden="1">
      <c r="A54" s="137" t="s">
        <v>78</v>
      </c>
      <c r="B54" s="138" t="s">
        <v>435</v>
      </c>
      <c r="C54" s="28"/>
      <c r="D54" s="28"/>
      <c r="E54" s="28"/>
      <c r="F54" s="161">
        <v>3.0</v>
      </c>
      <c r="G54" s="152" t="str">
        <f>IFERROR(__xludf.DUMMYFUNCTION("TRIM(REGEXREPLACE(C54, ""[0-9]+[a-f]?\."", """"))"),"")</f>
        <v/>
      </c>
      <c r="H54" s="152" t="str">
        <f>IFERROR(__xludf.DUMMYFUNCTION("TRIM(REGEXREPLACE(D54, ""[0-9]+[a-f]?\."", """"))"),"")</f>
        <v/>
      </c>
      <c r="I54" s="152" t="str">
        <f>IFERROR(__xludf.DUMMYFUNCTION("TRIM(REGEXREPLACE(E54, ""[0-9]+[a-f]?\."", """"))"),"")</f>
        <v/>
      </c>
      <c r="J54" s="152" t="str">
        <f t="shared" ref="J54:L54" si="3">$F54 &amp; ". " &amp;G54</f>
        <v>3. </v>
      </c>
      <c r="K54" s="152" t="str">
        <f t="shared" si="3"/>
        <v>3. </v>
      </c>
      <c r="L54" s="152" t="str">
        <f t="shared" si="3"/>
        <v>3. </v>
      </c>
      <c r="M54" s="152"/>
      <c r="N54" s="152"/>
      <c r="O54" s="152"/>
      <c r="P54" s="152"/>
      <c r="Q54" s="152"/>
      <c r="R54" s="152"/>
      <c r="S54" s="152"/>
      <c r="T54" s="152"/>
      <c r="U54" s="152"/>
      <c r="V54" s="152"/>
      <c r="W54" s="152"/>
      <c r="X54" s="152"/>
      <c r="Y54" s="152"/>
      <c r="Z54" s="152"/>
    </row>
    <row r="55" hidden="1">
      <c r="A55" s="137" t="s">
        <v>78</v>
      </c>
      <c r="B55" s="138" t="s">
        <v>441</v>
      </c>
      <c r="C55" s="28"/>
      <c r="D55" s="28"/>
      <c r="E55" s="28"/>
      <c r="F55" s="161">
        <v>14.0</v>
      </c>
      <c r="G55" s="152" t="str">
        <f>IFERROR(__xludf.DUMMYFUNCTION("TRIM(REGEXREPLACE(C55, ""[0-9]+[a-f]?\."", """"))"),"")</f>
        <v/>
      </c>
      <c r="H55" s="152" t="str">
        <f>IFERROR(__xludf.DUMMYFUNCTION("TRIM(REGEXREPLACE(D55, ""[0-9]+[a-f]?\."", """"))"),"")</f>
        <v/>
      </c>
      <c r="I55" s="152" t="str">
        <f>IFERROR(__xludf.DUMMYFUNCTION("TRIM(REGEXREPLACE(E55, ""[0-9]+[a-f]?\."", """"))"),"")</f>
        <v/>
      </c>
      <c r="J55" s="152" t="s">
        <v>743</v>
      </c>
      <c r="K55" s="152" t="s">
        <v>744</v>
      </c>
      <c r="L55" s="152" t="s">
        <v>744</v>
      </c>
      <c r="M55" s="152"/>
      <c r="N55" s="152"/>
      <c r="O55" s="152"/>
      <c r="P55" s="152"/>
      <c r="Q55" s="152"/>
      <c r="R55" s="152"/>
      <c r="S55" s="152"/>
      <c r="T55" s="152"/>
      <c r="U55" s="152"/>
      <c r="V55" s="152"/>
      <c r="W55" s="152"/>
      <c r="X55" s="152"/>
      <c r="Y55" s="152"/>
      <c r="Z55" s="152"/>
    </row>
    <row r="56" hidden="1">
      <c r="A56" s="150" t="s">
        <v>78</v>
      </c>
      <c r="B56" s="119" t="s">
        <v>446</v>
      </c>
      <c r="C56" s="28"/>
      <c r="D56" s="28"/>
      <c r="E56" s="28"/>
      <c r="F56" s="161">
        <v>4.0</v>
      </c>
      <c r="G56" s="152" t="str">
        <f>IFERROR(__xludf.DUMMYFUNCTION("TRIM(REGEXREPLACE(C56, ""[0-9]+[a-f]?\."", """"))"),"")</f>
        <v/>
      </c>
      <c r="H56" s="152" t="str">
        <f>IFERROR(__xludf.DUMMYFUNCTION("TRIM(REGEXREPLACE(D56, ""[0-9]+[a-f]?\."", """"))"),"")</f>
        <v/>
      </c>
      <c r="I56" s="152" t="str">
        <f>IFERROR(__xludf.DUMMYFUNCTION("TRIM(REGEXREPLACE(E56, ""[0-9]+[a-f]?\."", """"))"),"")</f>
        <v/>
      </c>
      <c r="J56" s="152" t="str">
        <f t="shared" ref="J56:L56" si="4">$F56 &amp; ". " &amp;G56</f>
        <v>4. </v>
      </c>
      <c r="K56" s="152" t="str">
        <f t="shared" si="4"/>
        <v>4. </v>
      </c>
      <c r="L56" s="152" t="str">
        <f t="shared" si="4"/>
        <v>4. </v>
      </c>
      <c r="M56" s="152"/>
      <c r="N56" s="152"/>
      <c r="O56" s="152"/>
      <c r="P56" s="152"/>
      <c r="Q56" s="152"/>
      <c r="R56" s="152"/>
      <c r="S56" s="152"/>
      <c r="T56" s="152"/>
      <c r="U56" s="152"/>
      <c r="V56" s="152"/>
      <c r="W56" s="152"/>
      <c r="X56" s="152"/>
      <c r="Y56" s="152"/>
      <c r="Z56" s="152"/>
    </row>
    <row r="57" hidden="1">
      <c r="A57" s="90" t="s">
        <v>78</v>
      </c>
      <c r="B57" s="154" t="s">
        <v>451</v>
      </c>
      <c r="C57" s="28"/>
      <c r="D57" s="28"/>
      <c r="E57" s="28"/>
      <c r="F57" s="153"/>
      <c r="G57" s="152" t="str">
        <f>IFERROR(__xludf.DUMMYFUNCTION("TRIM(REGEXREPLACE(C57, ""[0-9]+[a-f]?\."", """"))"),"")</f>
        <v/>
      </c>
      <c r="H57" s="152" t="str">
        <f>IFERROR(__xludf.DUMMYFUNCTION("TRIM(REGEXREPLACE(D57, ""[0-9]+[a-f]?\."", """"))"),"")</f>
        <v/>
      </c>
      <c r="I57" s="152" t="str">
        <f>IFERROR(__xludf.DUMMYFUNCTION("TRIM(REGEXREPLACE(E57, ""[0-9]+[a-f]?\."", """"))"),"")</f>
        <v/>
      </c>
      <c r="J57" s="152" t="s">
        <v>756</v>
      </c>
      <c r="K57" s="152" t="s">
        <v>757</v>
      </c>
      <c r="L57" s="155" t="s">
        <v>758</v>
      </c>
      <c r="M57" s="152"/>
      <c r="N57" s="152"/>
      <c r="O57" s="152"/>
      <c r="P57" s="152"/>
      <c r="Q57" s="152"/>
      <c r="R57" s="152"/>
      <c r="S57" s="152"/>
      <c r="T57" s="152"/>
      <c r="U57" s="152"/>
      <c r="V57" s="152"/>
      <c r="W57" s="152"/>
      <c r="X57" s="152"/>
      <c r="Y57" s="152"/>
      <c r="Z57" s="152"/>
    </row>
    <row r="58" hidden="1">
      <c r="A58" s="156" t="s">
        <v>131</v>
      </c>
      <c r="B58" s="157" t="s">
        <v>458</v>
      </c>
      <c r="C58" s="28"/>
      <c r="D58" s="28"/>
      <c r="E58" s="28"/>
      <c r="F58" s="153"/>
      <c r="G58" s="152" t="str">
        <f>IFERROR(__xludf.DUMMYFUNCTION("TRIM(REGEXREPLACE(C58, ""[0-9]+[a-f]?\."", """"))"),"")</f>
        <v/>
      </c>
      <c r="H58" s="152" t="str">
        <f>IFERROR(__xludf.DUMMYFUNCTION("TRIM(REGEXREPLACE(D58, ""[0-9]+[a-f]?\."", """"))"),"")</f>
        <v/>
      </c>
      <c r="I58" s="152" t="str">
        <f>IFERROR(__xludf.DUMMYFUNCTION("TRIM(REGEXREPLACE(E58, ""[0-9]+[a-f]?\."", """"))"),"")</f>
        <v/>
      </c>
      <c r="J58" s="152" t="s">
        <v>760</v>
      </c>
      <c r="K58" s="152" t="s">
        <v>761</v>
      </c>
      <c r="L58" s="155" t="s">
        <v>762</v>
      </c>
      <c r="M58" s="152"/>
      <c r="N58" s="152"/>
      <c r="O58" s="152"/>
      <c r="P58" s="152"/>
      <c r="Q58" s="152"/>
      <c r="R58" s="152"/>
      <c r="S58" s="152"/>
      <c r="T58" s="152"/>
      <c r="U58" s="152"/>
      <c r="V58" s="152"/>
      <c r="W58" s="152"/>
      <c r="X58" s="152"/>
      <c r="Y58" s="152"/>
      <c r="Z58" s="152"/>
    </row>
    <row r="59">
      <c r="A59" s="58" t="s">
        <v>463</v>
      </c>
      <c r="B59" s="58" t="s">
        <v>464</v>
      </c>
      <c r="C59" s="28" t="s">
        <v>767</v>
      </c>
      <c r="D59" s="28" t="s">
        <v>768</v>
      </c>
      <c r="E59" s="28" t="s">
        <v>769</v>
      </c>
      <c r="F59" s="161">
        <v>8.0</v>
      </c>
      <c r="G59" s="152" t="str">
        <f>IFERROR(__xludf.DUMMYFUNCTION("TRIM(REGEXREPLACE(C59, ""[0-9]+[a-f]?\."", """"))"),"You indicated that you are attempting to interview ${pm_name} (age: ${pm_age}). Is that correct?")</f>
        <v>You indicated that you are attempting to interview ${pm_name} (age: ${pm_age}). Is that correct?</v>
      </c>
      <c r="H59" s="152" t="str">
        <f>IFERROR(__xludf.DUMMYFUNCTION("TRIM(REGEXREPLACE(D59, ""[0-9]+[a-f]?\."", """"))"),"Vous avez indiqué que vous tentez d'interroger ${pm_name} (âge : ${pm_age}). Est-ce exact ?")</f>
        <v>Vous avez indiqué que vous tentez d'interroger ${pm_name} (âge : ${pm_age}). Est-ce exact ?</v>
      </c>
      <c r="I59" s="152" t="str">
        <f>IFERROR(__xludf.DUMMYFUNCTION("TRIM(REGEXREPLACE(E59, ""[0-9]+[a-f]?\."", """"))"),"Kun nuna cewa kuna ƙoƙarin yin hira da ${pm_name} (shekaru: ${pm_age}). Ko hakan daidai ne?")</f>
        <v>Kun nuna cewa kuna ƙoƙarin yin hira da ${pm_name} (shekaru: ${pm_age}). Ko hakan daidai ne?</v>
      </c>
      <c r="J59" s="152" t="s">
        <v>465</v>
      </c>
      <c r="K59" s="152" t="s">
        <v>466</v>
      </c>
      <c r="L59" s="152" t="s">
        <v>467</v>
      </c>
      <c r="M59" s="152"/>
      <c r="N59" s="152"/>
      <c r="O59" s="152"/>
      <c r="P59" s="152"/>
      <c r="Q59" s="152"/>
      <c r="R59" s="152"/>
      <c r="S59" s="152"/>
      <c r="T59" s="152"/>
      <c r="U59" s="152"/>
      <c r="V59" s="152"/>
      <c r="W59" s="152"/>
      <c r="X59" s="152"/>
      <c r="Y59" s="152"/>
      <c r="Z59" s="152"/>
    </row>
    <row r="60">
      <c r="A60" s="58" t="s">
        <v>471</v>
      </c>
      <c r="B60" s="58" t="s">
        <v>472</v>
      </c>
      <c r="C60" s="28" t="s">
        <v>773</v>
      </c>
      <c r="D60" s="28" t="s">
        <v>774</v>
      </c>
      <c r="E60" s="28" t="s">
        <v>775</v>
      </c>
      <c r="F60" s="161">
        <v>9.0</v>
      </c>
      <c r="G60" s="152" t="str">
        <f>IFERROR(__xludf.DUMMYFUNCTION("TRIM(REGEXREPLACE(C60, ""[0-9]+[a-f]?\."", """"))"),"Who are you trying to interview? Here are the other respondents in this household:")</f>
        <v>Who are you trying to interview? Here are the other respondents in this household:</v>
      </c>
      <c r="H60" s="152" t="str">
        <f>IFERROR(__xludf.DUMMYFUNCTION("TRIM(REGEXREPLACE(D60, ""[0-9]+[a-f]?\."", """"))"),"Qui essayez-vous d’interroger ? Voici les autres répondants de ce ménage :")</f>
        <v>Qui essayez-vous d’interroger ? Voici les autres répondants de ce ménage :</v>
      </c>
      <c r="I60" s="152" t="str">
        <f>IFERROR(__xludf.DUMMYFUNCTION("TRIM(REGEXREPLACE(E60, ""[0-9]+[a-f]?\."", """"))"),"Wanene kuke ƙoƙarin yin hira da shi ? Ga sauran masu bada amsa a wannan gidan:")</f>
        <v>Wanene kuke ƙoƙarin yin hira da shi ? Ga sauran masu bada amsa a wannan gidan:</v>
      </c>
      <c r="J60" s="152" t="s">
        <v>473</v>
      </c>
      <c r="K60" s="152" t="s">
        <v>474</v>
      </c>
      <c r="L60" s="152" t="s">
        <v>475</v>
      </c>
      <c r="M60" s="152"/>
      <c r="N60" s="152"/>
      <c r="O60" s="152"/>
      <c r="P60" s="152"/>
      <c r="Q60" s="152"/>
      <c r="R60" s="152"/>
      <c r="S60" s="152"/>
      <c r="T60" s="152"/>
      <c r="U60" s="152"/>
      <c r="V60" s="152"/>
      <c r="W60" s="152"/>
      <c r="X60" s="152"/>
      <c r="Y60" s="152"/>
      <c r="Z60" s="152"/>
    </row>
    <row r="61">
      <c r="A61" s="58" t="s">
        <v>41</v>
      </c>
      <c r="B61" s="58" t="s">
        <v>485</v>
      </c>
      <c r="C61" s="28" t="s">
        <v>778</v>
      </c>
      <c r="D61" s="28" t="s">
        <v>779</v>
      </c>
      <c r="E61" s="28" t="s">
        <v>780</v>
      </c>
      <c r="F61" s="161">
        <v>10.0</v>
      </c>
      <c r="G61" s="152" t="str">
        <f>IFERROR(__xludf.DUMMYFUNCTION("TRIM(REGEXREPLACE(C61, ""[0-9]+[a-f]?\."", """"))"),"End of survey. Please return and fill out the SHM survey to collect survey responses.")</f>
        <v>End of survey. Please return and fill out the SHM survey to collect survey responses.</v>
      </c>
      <c r="H61" s="152" t="str">
        <f>IFERROR(__xludf.DUMMYFUNCTION("TRIM(REGEXREPLACE(D61, ""[0-9]+[a-f]?\."", """"))"),"Fin de l'enquête. Veuillez revenir et remplir l'enquête du SHM pour collecter les réponses aux questions.")</f>
        <v>Fin de l'enquête. Veuillez revenir et remplir l'enquête du SHM pour collecter les réponses aux questions.</v>
      </c>
      <c r="I61" s="152" t="str">
        <f>IFERROR(__xludf.DUMMYFUNCTION("TRIM(REGEXREPLACE(E61, ""[0-9]+[a-f]?\."", """"))"),"Ƙarshen binciken kenan. Da fatan za a dawo baya a cika binciken SHM don tattara amsoshin binciken.")</f>
        <v>Ƙarshen binciken kenan. Da fatan za a dawo baya a cika binciken SHM don tattara amsoshin binciken.</v>
      </c>
      <c r="J61" s="152" t="s">
        <v>487</v>
      </c>
      <c r="K61" s="152" t="s">
        <v>488</v>
      </c>
      <c r="L61" s="152" t="s">
        <v>490</v>
      </c>
      <c r="M61" s="152"/>
      <c r="N61" s="152"/>
      <c r="O61" s="152"/>
      <c r="P61" s="152"/>
      <c r="Q61" s="152"/>
      <c r="R61" s="152"/>
      <c r="S61" s="152"/>
      <c r="T61" s="152"/>
      <c r="U61" s="152"/>
      <c r="V61" s="152"/>
      <c r="W61" s="152"/>
      <c r="X61" s="152"/>
      <c r="Y61" s="152"/>
      <c r="Z61" s="152"/>
    </row>
    <row r="62">
      <c r="A62" s="58" t="s">
        <v>41</v>
      </c>
      <c r="B62" s="58" t="s">
        <v>495</v>
      </c>
      <c r="C62" s="28" t="s">
        <v>782</v>
      </c>
      <c r="D62" s="28" t="s">
        <v>783</v>
      </c>
      <c r="E62" s="28" t="s">
        <v>788</v>
      </c>
      <c r="F62" s="161">
        <v>11.0</v>
      </c>
      <c r="G62" s="152" t="str">
        <f>IFERROR(__xludf.DUMMYFUNCTION("TRIM(REGEXREPLACE(C62, ""[0-9]+[a-f]?\."", """"))"),"End of survey. Please return and fill out the Woman survey to collect survey responses.")</f>
        <v>End of survey. Please return and fill out the Woman survey to collect survey responses.</v>
      </c>
      <c r="H62" s="152" t="str">
        <f>IFERROR(__xludf.DUMMYFUNCTION("TRIM(REGEXREPLACE(D62, ""[0-9]+[a-f]?\."", """"))"),"Fin de l'enquête. Veuillez revenir et remplir l'enquête de la Femme pour collecter les réponses aux questions.")</f>
        <v>Fin de l'enquête. Veuillez revenir et remplir l'enquête de la Femme pour collecter les réponses aux questions.</v>
      </c>
      <c r="I62" s="152" t="str">
        <f>IFERROR(__xludf.DUMMYFUNCTION("TRIM(REGEXREPLACE(E62, ""[0-9]+[a-f]?\."", """"))"),"Ƙarshen binciken. Da fatan za a dawo baya a cika binciken Mace don tattara amsoshin binciken.")</f>
        <v>Ƙarshen binciken. Da fatan za a dawo baya a cika binciken Mace don tattara amsoshin binciken.</v>
      </c>
      <c r="J62" s="152" t="s">
        <v>498</v>
      </c>
      <c r="K62" s="152" t="s">
        <v>499</v>
      </c>
      <c r="L62" s="152" t="s">
        <v>500</v>
      </c>
      <c r="M62" s="152"/>
      <c r="N62" s="152"/>
      <c r="O62" s="152"/>
      <c r="P62" s="152"/>
      <c r="Q62" s="152"/>
      <c r="R62" s="152"/>
      <c r="S62" s="152"/>
      <c r="T62" s="152"/>
      <c r="U62" s="152"/>
      <c r="V62" s="152"/>
      <c r="W62" s="152"/>
      <c r="X62" s="152"/>
      <c r="Y62" s="152"/>
      <c r="Z62" s="152"/>
    </row>
    <row r="63">
      <c r="A63" s="58" t="s">
        <v>463</v>
      </c>
      <c r="B63" s="58" t="s">
        <v>505</v>
      </c>
      <c r="C63" s="28" t="s">
        <v>792</v>
      </c>
      <c r="D63" s="28" t="s">
        <v>793</v>
      </c>
      <c r="E63" s="28" t="s">
        <v>794</v>
      </c>
      <c r="F63" s="161">
        <v>12.0</v>
      </c>
      <c r="G63" s="152" t="str">
        <f>IFERROR(__xludf.DUMMYFUNCTION("TRIM(REGEXREPLACE(C63, ""[0-9]+[a-f]?\."", """"))"),"Is ${pm_name} available to be interviewed?")</f>
        <v>Is ${pm_name} available to be interviewed?</v>
      </c>
      <c r="H63" s="152" t="str">
        <f>IFERROR(__xludf.DUMMYFUNCTION("TRIM(REGEXREPLACE(D63, ""[0-9]+[a-f]?\."", """"))"),"Est-ce que ${pm_name} est disponible pour être interviewé ?")</f>
        <v>Est-ce que ${pm_name} est disponible pour être interviewé ?</v>
      </c>
      <c r="I63" s="152" t="str">
        <f>IFERROR(__xludf.DUMMYFUNCTION("TRIM(REGEXREPLACE(E63, ""[0-9]+[a-f]?\."", """"))"),"Ko ${pm_name} yana da damar yin hira mu?")</f>
        <v>Ko ${pm_name} yana da damar yin hira mu?</v>
      </c>
      <c r="J63" s="152" t="s">
        <v>506</v>
      </c>
      <c r="K63" s="152" t="s">
        <v>507</v>
      </c>
      <c r="L63" s="152" t="s">
        <v>508</v>
      </c>
      <c r="M63" s="152"/>
      <c r="N63" s="152"/>
      <c r="O63" s="152"/>
      <c r="P63" s="152"/>
      <c r="Q63" s="152"/>
      <c r="R63" s="152"/>
      <c r="S63" s="152"/>
      <c r="T63" s="152"/>
      <c r="U63" s="152"/>
      <c r="V63" s="152"/>
      <c r="W63" s="152"/>
      <c r="X63" s="152"/>
      <c r="Y63" s="152"/>
      <c r="Z63" s="152"/>
    </row>
    <row r="64">
      <c r="A64" s="58" t="s">
        <v>516</v>
      </c>
      <c r="B64" s="58" t="s">
        <v>517</v>
      </c>
      <c r="C64" s="28" t="s">
        <v>799</v>
      </c>
      <c r="D64" s="28" t="s">
        <v>800</v>
      </c>
      <c r="E64" s="28" t="s">
        <v>801</v>
      </c>
      <c r="F64" s="161">
        <v>13.0</v>
      </c>
      <c r="G64" s="152" t="str">
        <f>IFERROR(__xludf.DUMMYFUNCTION("TRIM(REGEXREPLACE(C64, ""[0-9]+[a-f]?\."", """"))"),"Enumerator: Please specify why ${pm_name} is not available right now:")</f>
        <v>Enumerator: Please specify why ${pm_name} is not available right now:</v>
      </c>
      <c r="H64" s="152" t="str">
        <f>IFERROR(__xludf.DUMMYFUNCTION("TRIM(REGEXREPLACE(D64, ""[0-9]+[a-f]?\."", """"))"),"Enqueteur: veuillez specifier pourquoi ${pm_name} n'est pas disponible maintenant")</f>
        <v>Enqueteur: veuillez specifier pourquoi ${pm_name} n'est pas disponible maintenant</v>
      </c>
      <c r="I64" s="152" t="str">
        <f>IFERROR(__xludf.DUMMYFUNCTION("TRIM(REGEXREPLACE(E64, ""[0-9]+[a-f]?\."", """"))"),"Dan binkike: dan mine ${pm_name} bai nan a yanzu")</f>
        <v>Dan binkike: dan mine ${pm_name} bai nan a yanzu</v>
      </c>
      <c r="J64" s="152" t="s">
        <v>518</v>
      </c>
      <c r="K64" s="152" t="s">
        <v>519</v>
      </c>
      <c r="L64" s="152" t="s">
        <v>520</v>
      </c>
      <c r="M64" s="152"/>
      <c r="N64" s="152"/>
      <c r="O64" s="152"/>
      <c r="P64" s="152"/>
      <c r="Q64" s="152"/>
      <c r="R64" s="152"/>
      <c r="S64" s="152"/>
      <c r="T64" s="152"/>
      <c r="U64" s="152"/>
      <c r="V64" s="152"/>
      <c r="W64" s="152"/>
      <c r="X64" s="152"/>
      <c r="Y64" s="152"/>
      <c r="Z64" s="152"/>
    </row>
    <row r="65">
      <c r="A65" s="58" t="s">
        <v>246</v>
      </c>
      <c r="B65" s="58" t="s">
        <v>527</v>
      </c>
      <c r="C65" s="28" t="s">
        <v>805</v>
      </c>
      <c r="D65" s="28" t="s">
        <v>807</v>
      </c>
      <c r="E65" s="28" t="s">
        <v>808</v>
      </c>
      <c r="F65" s="161">
        <v>14.0</v>
      </c>
      <c r="G65" s="152" t="str">
        <f>IFERROR(__xludf.DUMMYFUNCTION("TRIM(REGEXREPLACE(C65, ""[0-9]+[a-f]?\."", """"))"),"Other, specify:")</f>
        <v>Other, specify:</v>
      </c>
      <c r="H65" s="152" t="str">
        <f>IFERROR(__xludf.DUMMYFUNCTION("TRIM(REGEXREPLACE(D65, ""[0-9]+[a-f]?\."", """"))"),"Autre précisez:")</f>
        <v>Autre précisez:</v>
      </c>
      <c r="I65" s="152" t="str">
        <f>IFERROR(__xludf.DUMMYFUNCTION("TRIM(REGEXREPLACE(E65, ""[0-9]+[a-f]?\."", """"))"),"Sauran, bayar da cikakkun bayanai:")</f>
        <v>Sauran, bayar da cikakkun bayanai:</v>
      </c>
      <c r="J65" s="152" t="s">
        <v>529</v>
      </c>
      <c r="K65" s="152" t="s">
        <v>531</v>
      </c>
      <c r="L65" s="152" t="s">
        <v>532</v>
      </c>
      <c r="M65" s="152"/>
      <c r="N65" s="152"/>
      <c r="O65" s="152"/>
      <c r="P65" s="152"/>
      <c r="Q65" s="152"/>
      <c r="R65" s="152"/>
      <c r="S65" s="152"/>
      <c r="T65" s="152"/>
      <c r="U65" s="152"/>
      <c r="V65" s="152"/>
      <c r="W65" s="152"/>
      <c r="X65" s="152"/>
      <c r="Y65" s="152"/>
      <c r="Z65" s="152"/>
    </row>
    <row r="66" hidden="1">
      <c r="A66" s="58" t="s">
        <v>237</v>
      </c>
      <c r="B66" s="58" t="s">
        <v>124</v>
      </c>
      <c r="C66" s="28"/>
      <c r="D66" s="28"/>
      <c r="E66" s="28"/>
      <c r="F66" s="161">
        <v>14.0</v>
      </c>
      <c r="G66" s="152" t="str">
        <f>IFERROR(__xludf.DUMMYFUNCTION("TRIM(REGEXREPLACE(C66, ""[0-9]+[a-f]?\."", """"))"),"")</f>
        <v/>
      </c>
      <c r="H66" s="152" t="str">
        <f>IFERROR(__xludf.DUMMYFUNCTION("TRIM(REGEXREPLACE(D66, ""[0-9]+[a-f]?\."", """"))"),"")</f>
        <v/>
      </c>
      <c r="I66" s="152" t="str">
        <f>IFERROR(__xludf.DUMMYFUNCTION("TRIM(REGEXREPLACE(E66, ""[0-9]+[a-f]?\."", """"))"),"")</f>
        <v/>
      </c>
      <c r="J66" s="152" t="s">
        <v>810</v>
      </c>
      <c r="K66" s="152" t="s">
        <v>811</v>
      </c>
      <c r="L66" s="152" t="s">
        <v>812</v>
      </c>
      <c r="M66" s="152"/>
      <c r="N66" s="152"/>
      <c r="O66" s="152"/>
      <c r="P66" s="152"/>
      <c r="Q66" s="152"/>
      <c r="R66" s="152"/>
      <c r="S66" s="152"/>
      <c r="T66" s="152"/>
      <c r="U66" s="152"/>
      <c r="V66" s="152"/>
      <c r="W66" s="152"/>
      <c r="X66" s="152"/>
      <c r="Y66" s="152"/>
      <c r="Z66" s="152"/>
    </row>
    <row r="67">
      <c r="A67" s="58" t="s">
        <v>463</v>
      </c>
      <c r="B67" s="58" t="s">
        <v>552</v>
      </c>
      <c r="C67" s="28" t="s">
        <v>814</v>
      </c>
      <c r="D67" s="28" t="s">
        <v>815</v>
      </c>
      <c r="E67" s="28" t="s">
        <v>816</v>
      </c>
      <c r="F67" s="161">
        <v>15.0</v>
      </c>
      <c r="G67" s="152" t="str">
        <f>IFERROR(__xludf.DUMMYFUNCTION("TRIM(REGEXREPLACE(C67, ""[0-9]+[a-f]?\."", """"))"),"&lt;p&gt;&lt;span style=""color: #ff0000;""&gt;&lt;b&gt;ENUMERATOR: Starting now, you will read the questions out loud.&lt;/b&gt;&lt;/span&gt;
 &lt;br&gt; &lt;br&gt; 
 Great, I am visiting to ask you questions to learn about how you have been since the last time you spoke with us.&lt;br&gt; &lt;br&gt; 
 "&amp;"To remind you, we asked your permission to visit you once every 6 months and reach you by phone between our in-person visits. If you complete each in-person survey, we will send you ${treatment_cfa} in phone credit each time. You are free to skip any ques"&amp;"tions you do not wish to answer or to end the survey at any time. &lt;br&gt;&lt;br&gt;
 &lt;b&gt;Can I ask you these questions now?&lt;/b&gt;")</f>
        <v>&lt;p&gt;&lt;span style="color: #ff0000;"&gt;&lt;b&gt;ENUMERATOR: Starting now, you will read the questions out loud.&lt;/b&gt;&lt;/span&gt;
 &lt;br&gt; &lt;br&gt; 
 Great, I am visiting to ask you questions to learn about how you have been since the last time you spoke with us.&lt;br&gt; &lt;br&gt; 
 To remind you, we asked your permission to visit you once every 6 months and reach you by phone between our in-person visits. If you complete each in-person survey, we will send you ${treatment_cfa} in phone credit each time. You are free to skip any questions you do not wish to answer or to end the survey at any time. &lt;br&gt;&lt;br&gt;
 &lt;b&gt;Can I ask you these questions now?&lt;/b&gt;</v>
      </c>
      <c r="H67" s="152" t="str">
        <f>IFERROR(__xludf.DUMMYFUNCTION("TRIM(REGEXREPLACE(D67, ""[0-9]+[a-f]?\."", """"))"),"&lt;p&gt;&lt;span style=""color: #ff0000;""&gt;&lt;b&gt;ENQUETEUR : À partir de maintenant, vous lirez les questions à haute voix.&lt;/b&gt;&lt;/span&gt;
 &lt;br&gt; &lt;br&gt; 
 Super, je viens vous poser des questions afin de savoir comment vous allez depuis la dernière fois que vous nous ave"&amp;"z parlé.
 &lt;br&gt; &lt;br&gt; 
 Pour rappel, nous avons demandé votre autorisation pour vous rendre visite une fois tous les 6 mois. Si vous répondez à chaque enquête en personne, nous vous enverrons à chaque fois ${treatment_cfa} de crédit téléphonique. Vous ête"&amp;"s libre de sauter les questions auxquelles vous ne souhaitez pas répondre ou de mettre fin à l'enquête à tout moment.&lt;br&gt;&lt;br&gt;
 &lt;b&gt;Puis-je vous poser ces questions maintenant?&lt;/b&gt;")</f>
        <v>&lt;p&gt;&lt;span style="color: #ff0000;"&gt;&lt;b&gt;ENQUETEUR : À partir de maintenant, vous lirez les questions à haute voix.&lt;/b&gt;&lt;/span&gt;
 &lt;br&gt; &lt;br&gt; 
 Super, je viens vous poser des questions afin de savoir comment vous allez depuis la dernière fois que vous nous avez parlé.
 &lt;br&gt; &lt;br&gt; 
 Pour rappel, nous avons demandé votre autorisation pour vous rendre visite une fois tous les 6 mois. Si vous répondez à chaque enquête en personne, nous vous enverrons à chaque fois ${treatment_cfa} de crédit téléphonique. Vous êtes libre de sauter les questions auxquelles vous ne souhaitez pas répondre ou de mettre fin à l'enquête à tout moment.&lt;br&gt;&lt;br&gt;
 &lt;b&gt;Puis-je vous poser ces questions maintenant?&lt;/b&gt;</v>
      </c>
      <c r="I67" s="152" t="str">
        <f>IFERROR(__xludf.DUMMYFUNCTION("TRIM(REGEXREPLACE(E67, ""[0-9]+[a-f]?\."", """"))"),"&lt;p&gt;&lt;span style=""color: #ff0000;""&gt;&lt;b&gt;Mai bincike: Daga yanzu, za ka karanta tambayoyin da babbar murya.&lt;/b&gt;&lt;/span&gt;
 &lt;br&gt; &lt;br&gt; 
 Madalla, na ziyarce ku ne domin in yi muku tambayoyi don sanin yadda kuka kasance tun lokacin da kuka yi magana da mu.&lt;br&gt; &lt;"&amp;"br&gt; 
 Don tunatar da ku, mun nemi izinin ku don ziyartar ku sau ɗaya a kowane watanni Idan kun bada amsa ga kowane binciken na gaba da gaba, za mu aika muku ${treatment_cfa} a kuɗin waya kowane lokaci. Kuna da ƴanci tsallake kowace tambaya idan ba ku so"&amp;" bada amsa ba ko tsaida binciken gaba ɗaya a kowane lokaci.&lt;br&gt;&lt;br&gt;
 &lt;b&gt;Zan iya yi muku wadannan tambayoyin yanzu?&lt;/b&gt;")</f>
        <v>&lt;p&gt;&lt;span style="color: #ff0000;"&gt;&lt;b&gt;Mai bincike: Daga yanzu, za ka karanta tambayoyin da babbar murya.&lt;/b&gt;&lt;/span&gt;
 &lt;br&gt; &lt;br&gt; 
 Madalla, na ziyarce ku ne domin in yi muku tambayoyi don sanin yadda kuka kasance tun lokacin da kuka yi magana da mu.&lt;br&gt; &lt;br&gt; 
 Don tunatar da ku, mun nemi izinin ku don ziyartar ku sau ɗaya a kowane watanni Idan kun bada amsa ga kowane binciken na gaba da gaba, za mu aika muku ${treatment_cfa} a kuɗin waya kowane lokaci. Kuna da ƴanci tsallake kowace tambaya idan ba ku so bada amsa ba ko tsaida binciken gaba ɗaya a kowane lokaci.&lt;br&gt;&lt;br&gt;
 &lt;b&gt;Zan iya yi muku wadannan tambayoyin yanzu?&lt;/b&gt;</v>
      </c>
      <c r="J67" s="152" t="s">
        <v>553</v>
      </c>
      <c r="K67" s="152" t="s">
        <v>554</v>
      </c>
      <c r="L67" s="152" t="s">
        <v>555</v>
      </c>
      <c r="M67" s="152"/>
      <c r="N67" s="152"/>
      <c r="O67" s="152"/>
      <c r="P67" s="152"/>
      <c r="Q67" s="152"/>
      <c r="R67" s="152"/>
      <c r="S67" s="152"/>
      <c r="T67" s="152"/>
      <c r="U67" s="152"/>
      <c r="V67" s="152"/>
      <c r="W67" s="152"/>
      <c r="X67" s="152"/>
      <c r="Y67" s="152"/>
      <c r="Z67" s="152"/>
    </row>
    <row r="68" hidden="1">
      <c r="A68" s="65" t="s">
        <v>134</v>
      </c>
      <c r="B68" s="66" t="s">
        <v>564</v>
      </c>
      <c r="C68" s="28"/>
      <c r="D68" s="28"/>
      <c r="E68" s="28"/>
      <c r="F68" s="161">
        <v>16.0</v>
      </c>
      <c r="G68" s="152" t="str">
        <f>IFERROR(__xludf.DUMMYFUNCTION("TRIM(REGEXREPLACE(C68, ""[0-9]+[a-f]?\."", """"))"),"")</f>
        <v/>
      </c>
      <c r="H68" s="152" t="str">
        <f>IFERROR(__xludf.DUMMYFUNCTION("TRIM(REGEXREPLACE(D68, ""[0-9]+[a-f]?\."", """"))"),"")</f>
        <v/>
      </c>
      <c r="I68" s="152" t="str">
        <f>IFERROR(__xludf.DUMMYFUNCTION("TRIM(REGEXREPLACE(E68, ""[0-9]+[a-f]?\."", """"))"),"")</f>
        <v/>
      </c>
      <c r="J68" s="152" t="s">
        <v>821</v>
      </c>
      <c r="K68" s="152" t="s">
        <v>822</v>
      </c>
      <c r="L68" s="152" t="s">
        <v>823</v>
      </c>
      <c r="M68" s="152"/>
      <c r="N68" s="152"/>
      <c r="O68" s="152"/>
      <c r="P68" s="152"/>
      <c r="Q68" s="152"/>
      <c r="R68" s="152"/>
      <c r="S68" s="152"/>
      <c r="T68" s="152"/>
      <c r="U68" s="152"/>
      <c r="V68" s="152"/>
      <c r="W68" s="152"/>
      <c r="X68" s="152"/>
      <c r="Y68" s="152"/>
      <c r="Z68" s="152"/>
    </row>
    <row r="69" hidden="1">
      <c r="A69" s="58" t="s">
        <v>78</v>
      </c>
      <c r="B69" s="58" t="s">
        <v>569</v>
      </c>
      <c r="C69" s="28"/>
      <c r="D69" s="28"/>
      <c r="E69" s="28"/>
      <c r="F69" s="161">
        <v>17.0</v>
      </c>
      <c r="G69" s="152" t="str">
        <f>IFERROR(__xludf.DUMMYFUNCTION("TRIM(REGEXREPLACE(C69, ""[0-9]+[a-f]?\."", """"))"),"")</f>
        <v/>
      </c>
      <c r="H69" s="152" t="str">
        <f>IFERROR(__xludf.DUMMYFUNCTION("TRIM(REGEXREPLACE(D69, ""[0-9]+[a-f]?\."", """"))"),"")</f>
        <v/>
      </c>
      <c r="I69" s="152" t="str">
        <f>IFERROR(__xludf.DUMMYFUNCTION("TRIM(REGEXREPLACE(E69, ""[0-9]+[a-f]?\."", """"))"),"")</f>
        <v/>
      </c>
      <c r="J69" s="152" t="s">
        <v>825</v>
      </c>
      <c r="K69" s="152" t="s">
        <v>826</v>
      </c>
      <c r="L69" s="152" t="s">
        <v>827</v>
      </c>
      <c r="M69" s="152"/>
      <c r="N69" s="152"/>
      <c r="O69" s="152"/>
      <c r="P69" s="152"/>
      <c r="Q69" s="152"/>
      <c r="R69" s="152"/>
      <c r="S69" s="152"/>
      <c r="T69" s="152"/>
      <c r="U69" s="152"/>
      <c r="V69" s="152"/>
      <c r="W69" s="152"/>
      <c r="X69" s="152"/>
      <c r="Y69" s="152"/>
      <c r="Z69" s="152"/>
    </row>
    <row r="70" hidden="1">
      <c r="A70" s="58" t="s">
        <v>131</v>
      </c>
      <c r="B70" s="58" t="s">
        <v>577</v>
      </c>
      <c r="C70" s="28" t="s">
        <v>579</v>
      </c>
      <c r="D70" s="28"/>
      <c r="E70" s="28"/>
      <c r="F70" s="161">
        <v>5.0</v>
      </c>
      <c r="G70" s="152" t="str">
        <f>IFERROR(__xludf.DUMMYFUNCTION("TRIM(REGEXREPLACE(C70, ""[0-9]+[a-f]?\."", """"))"),"Consent: Yes")</f>
        <v>Consent: Yes</v>
      </c>
      <c r="H70" s="152" t="str">
        <f>IFERROR(__xludf.DUMMYFUNCTION("TRIM(REGEXREPLACE(D70, ""[0-9]+[a-f]?\."", """"))"),"")</f>
        <v/>
      </c>
      <c r="I70" s="152" t="str">
        <f>IFERROR(__xludf.DUMMYFUNCTION("TRIM(REGEXREPLACE(E70, ""[0-9]+[a-f]?\."", """"))"),"")</f>
        <v/>
      </c>
      <c r="J70" s="152" t="str">
        <f t="shared" ref="J70:L70" si="5">$F70 &amp; ". " &amp;G70</f>
        <v>5. Consent: Yes</v>
      </c>
      <c r="K70" s="152" t="str">
        <f t="shared" si="5"/>
        <v>5. </v>
      </c>
      <c r="L70" s="152" t="str">
        <f t="shared" si="5"/>
        <v>5. </v>
      </c>
      <c r="M70" s="152"/>
      <c r="N70" s="152"/>
      <c r="O70" s="152"/>
      <c r="P70" s="152"/>
      <c r="Q70" s="152"/>
      <c r="R70" s="152"/>
      <c r="S70" s="152"/>
      <c r="T70" s="152"/>
      <c r="U70" s="152"/>
      <c r="V70" s="152"/>
      <c r="W70" s="152"/>
      <c r="X70" s="152"/>
      <c r="Y70" s="152"/>
      <c r="Z70" s="152"/>
    </row>
    <row r="71" hidden="1">
      <c r="A71" s="58" t="s">
        <v>131</v>
      </c>
      <c r="B71" s="58" t="s">
        <v>585</v>
      </c>
      <c r="C71" s="28"/>
      <c r="D71" s="28"/>
      <c r="E71" s="28"/>
      <c r="F71" s="161">
        <v>17.0</v>
      </c>
      <c r="G71" s="152" t="str">
        <f>IFERROR(__xludf.DUMMYFUNCTION("TRIM(REGEXREPLACE(C71, ""[0-9]+[a-f]?\."", """"))"),"")</f>
        <v/>
      </c>
      <c r="H71" s="152" t="str">
        <f>IFERROR(__xludf.DUMMYFUNCTION("TRIM(REGEXREPLACE(D71, ""[0-9]+[a-f]?\."", """"))"),"")</f>
        <v/>
      </c>
      <c r="I71" s="152" t="str">
        <f>IFERROR(__xludf.DUMMYFUNCTION("TRIM(REGEXREPLACE(E71, ""[0-9]+[a-f]?\."", """"))"),"")</f>
        <v/>
      </c>
      <c r="J71" s="152" t="s">
        <v>825</v>
      </c>
      <c r="K71" s="152" t="s">
        <v>826</v>
      </c>
      <c r="L71" s="152" t="s">
        <v>827</v>
      </c>
      <c r="M71" s="152"/>
      <c r="N71" s="152"/>
      <c r="O71" s="152"/>
      <c r="P71" s="152"/>
      <c r="Q71" s="152"/>
      <c r="R71" s="152"/>
      <c r="S71" s="152"/>
      <c r="T71" s="152"/>
      <c r="U71" s="152"/>
      <c r="V71" s="152"/>
      <c r="W71" s="152"/>
      <c r="X71" s="152"/>
      <c r="Y71" s="152"/>
      <c r="Z71" s="152"/>
    </row>
    <row r="72" hidden="1">
      <c r="A72" s="58"/>
      <c r="B72" s="58"/>
      <c r="C72" s="28"/>
      <c r="D72" s="28"/>
      <c r="E72" s="28"/>
      <c r="F72" s="161">
        <v>6.0</v>
      </c>
      <c r="G72" s="152" t="str">
        <f>IFERROR(__xludf.DUMMYFUNCTION("TRIM(REGEXREPLACE(C72, ""[0-9]+[a-f]?\."", """"))"),"")</f>
        <v/>
      </c>
      <c r="H72" s="152" t="str">
        <f>IFERROR(__xludf.DUMMYFUNCTION("TRIM(REGEXREPLACE(D72, ""[0-9]+[a-f]?\."", """"))"),"")</f>
        <v/>
      </c>
      <c r="I72" s="152" t="str">
        <f>IFERROR(__xludf.DUMMYFUNCTION("TRIM(REGEXREPLACE(E72, ""[0-9]+[a-f]?\."", """"))"),"")</f>
        <v/>
      </c>
      <c r="J72" s="152" t="str">
        <f t="shared" ref="J72:L72" si="6">$F72 &amp; ". " &amp;G72</f>
        <v>6. </v>
      </c>
      <c r="K72" s="152" t="str">
        <f t="shared" si="6"/>
        <v>6. </v>
      </c>
      <c r="L72" s="152" t="str">
        <f t="shared" si="6"/>
        <v>6. </v>
      </c>
      <c r="M72" s="152"/>
      <c r="N72" s="152"/>
      <c r="O72" s="152"/>
      <c r="P72" s="152"/>
      <c r="Q72" s="152"/>
      <c r="R72" s="152"/>
      <c r="S72" s="152"/>
      <c r="T72" s="152"/>
      <c r="U72" s="152"/>
      <c r="V72" s="152"/>
      <c r="W72" s="152"/>
      <c r="X72" s="152"/>
      <c r="Y72" s="152"/>
      <c r="Z72" s="152"/>
    </row>
    <row r="73" hidden="1">
      <c r="A73" s="65" t="s">
        <v>134</v>
      </c>
      <c r="B73" s="66" t="s">
        <v>601</v>
      </c>
      <c r="C73" s="28"/>
      <c r="D73" s="28"/>
      <c r="E73" s="28"/>
      <c r="F73" s="161">
        <v>18.0</v>
      </c>
      <c r="G73" s="152" t="str">
        <f>IFERROR(__xludf.DUMMYFUNCTION("TRIM(REGEXREPLACE(C73, ""[0-9]+[a-f]?\."", """"))"),"")</f>
        <v/>
      </c>
      <c r="H73" s="152" t="str">
        <f>IFERROR(__xludf.DUMMYFUNCTION("TRIM(REGEXREPLACE(D73, ""[0-9]+[a-f]?\."", """"))"),"")</f>
        <v/>
      </c>
      <c r="I73" s="152" t="str">
        <f>IFERROR(__xludf.DUMMYFUNCTION("TRIM(REGEXREPLACE(E73, ""[0-9]+[a-f]?\."", """"))"),"")</f>
        <v/>
      </c>
      <c r="J73" s="152" t="s">
        <v>841</v>
      </c>
      <c r="K73" s="152" t="s">
        <v>842</v>
      </c>
      <c r="L73" s="152" t="s">
        <v>843</v>
      </c>
      <c r="M73" s="152"/>
      <c r="N73" s="152"/>
      <c r="O73" s="152"/>
      <c r="P73" s="152"/>
      <c r="Q73" s="152"/>
      <c r="R73" s="152"/>
      <c r="S73" s="152"/>
      <c r="T73" s="152"/>
      <c r="U73" s="152"/>
      <c r="V73" s="152"/>
      <c r="W73" s="152"/>
      <c r="X73" s="152"/>
      <c r="Y73" s="152"/>
      <c r="Z73" s="152"/>
    </row>
    <row r="74" hidden="1">
      <c r="A74" s="58" t="s">
        <v>131</v>
      </c>
      <c r="B74" s="58" t="s">
        <v>608</v>
      </c>
      <c r="C74" s="28" t="s">
        <v>609</v>
      </c>
      <c r="D74" s="28"/>
      <c r="E74" s="28"/>
      <c r="F74" s="161">
        <v>19.0</v>
      </c>
      <c r="G74" s="152" t="str">
        <f>IFERROR(__xludf.DUMMYFUNCTION("TRIM(REGEXREPLACE(C74, ""[0-9]+[a-f]?\."", """"))"),"PM Questionnaire")</f>
        <v>PM Questionnaire</v>
      </c>
      <c r="H74" s="152" t="str">
        <f>IFERROR(__xludf.DUMMYFUNCTION("TRIM(REGEXREPLACE(D74, ""[0-9]+[a-f]?\."", """"))"),"")</f>
        <v/>
      </c>
      <c r="I74" s="152" t="str">
        <f>IFERROR(__xludf.DUMMYFUNCTION("TRIM(REGEXREPLACE(E74, ""[0-9]+[a-f]?\."", """"))"),"")</f>
        <v/>
      </c>
      <c r="J74" s="152" t="s">
        <v>846</v>
      </c>
      <c r="K74" s="152" t="s">
        <v>847</v>
      </c>
      <c r="L74" s="152" t="s">
        <v>848</v>
      </c>
      <c r="M74" s="152"/>
      <c r="N74" s="152"/>
      <c r="O74" s="152"/>
      <c r="P74" s="152"/>
      <c r="Q74" s="152"/>
      <c r="R74" s="152"/>
      <c r="S74" s="152"/>
      <c r="T74" s="152"/>
      <c r="U74" s="152"/>
      <c r="V74" s="152"/>
      <c r="W74" s="152"/>
      <c r="X74" s="152"/>
      <c r="Y74" s="152"/>
      <c r="Z74" s="152"/>
    </row>
    <row r="75">
      <c r="A75" s="58" t="s">
        <v>41</v>
      </c>
      <c r="B75" s="58" t="s">
        <v>613</v>
      </c>
      <c r="C75" s="28" t="s">
        <v>853</v>
      </c>
      <c r="D75" s="28" t="s">
        <v>854</v>
      </c>
      <c r="E75" s="28" t="s">
        <v>855</v>
      </c>
      <c r="F75" s="161">
        <v>16.0</v>
      </c>
      <c r="G75" s="152" t="str">
        <f>IFERROR(__xludf.DUMMYFUNCTION("TRIM(REGEXREPLACE(C75, ""[0-9]+[a-f]?\."", """"))"),"PM Questions")</f>
        <v>PM Questions</v>
      </c>
      <c r="H75" s="152" t="str">
        <f>IFERROR(__xludf.DUMMYFUNCTION("TRIM(REGEXREPLACE(D75, ""[0-9]+[a-f]?\."", """"))"),"Questions du Migrant potentiel")</f>
        <v>Questions du Migrant potentiel</v>
      </c>
      <c r="I75" s="152" t="str">
        <f>IFERROR(__xludf.DUMMYFUNCTION("TRIM(REGEXREPLACE(E75, ""[0-9]+[a-f]?\."", """"))"),"Tambayoyin mai zuwa biɗa")</f>
        <v>Tambayoyin mai zuwa biɗa</v>
      </c>
      <c r="J75" s="152" t="s">
        <v>614</v>
      </c>
      <c r="K75" s="152" t="s">
        <v>615</v>
      </c>
      <c r="L75" s="152" t="s">
        <v>616</v>
      </c>
      <c r="M75" s="152"/>
      <c r="N75" s="152"/>
      <c r="O75" s="152"/>
      <c r="P75" s="152"/>
      <c r="Q75" s="152"/>
      <c r="R75" s="152"/>
      <c r="S75" s="152"/>
      <c r="T75" s="152"/>
      <c r="U75" s="152"/>
      <c r="V75" s="152"/>
      <c r="W75" s="152"/>
      <c r="X75" s="152"/>
      <c r="Y75" s="152"/>
      <c r="Z75" s="152"/>
    </row>
    <row r="76" hidden="1">
      <c r="A76" s="140" t="s">
        <v>131</v>
      </c>
      <c r="B76" s="164" t="s">
        <v>623</v>
      </c>
      <c r="C76" s="28" t="s">
        <v>625</v>
      </c>
      <c r="D76" s="28"/>
      <c r="E76" s="28"/>
      <c r="F76" s="161">
        <v>19.0</v>
      </c>
      <c r="G76" s="152" t="str">
        <f>IFERROR(__xludf.DUMMYFUNCTION("TRIM(REGEXREPLACE(C76, ""[0-9]+[a-f]?\."", """"))"),"Missed Previous Followup")</f>
        <v>Missed Previous Followup</v>
      </c>
      <c r="H76" s="152" t="str">
        <f>IFERROR(__xludf.DUMMYFUNCTION("TRIM(REGEXREPLACE(D76, ""[0-9]+[a-f]?\."", """"))"),"")</f>
        <v/>
      </c>
      <c r="I76" s="152" t="str">
        <f>IFERROR(__xludf.DUMMYFUNCTION("TRIM(REGEXREPLACE(E76, ""[0-9]+[a-f]?\."", """"))"),"")</f>
        <v/>
      </c>
      <c r="J76" s="152" t="s">
        <v>846</v>
      </c>
      <c r="K76" s="152" t="s">
        <v>847</v>
      </c>
      <c r="L76" s="152" t="s">
        <v>848</v>
      </c>
      <c r="M76" s="152"/>
      <c r="N76" s="152"/>
      <c r="O76" s="152"/>
      <c r="P76" s="152"/>
      <c r="Q76" s="152"/>
      <c r="R76" s="152"/>
      <c r="S76" s="152"/>
      <c r="T76" s="152"/>
      <c r="U76" s="152"/>
      <c r="V76" s="152"/>
      <c r="W76" s="152"/>
      <c r="X76" s="152"/>
      <c r="Y76" s="152"/>
      <c r="Z76" s="152"/>
    </row>
    <row r="77" hidden="1">
      <c r="A77" s="65" t="s">
        <v>134</v>
      </c>
      <c r="B77" s="66" t="s">
        <v>632</v>
      </c>
      <c r="C77" s="28"/>
      <c r="D77" s="28"/>
      <c r="E77" s="28"/>
      <c r="F77" s="161">
        <v>20.0</v>
      </c>
      <c r="G77" s="152" t="str">
        <f>IFERROR(__xludf.DUMMYFUNCTION("TRIM(REGEXREPLACE(C77, ""[0-9]+[a-f]?\."", """"))"),"")</f>
        <v/>
      </c>
      <c r="H77" s="152" t="str">
        <f>IFERROR(__xludf.DUMMYFUNCTION("TRIM(REGEXREPLACE(D77, ""[0-9]+[a-f]?\."", """"))"),"")</f>
        <v/>
      </c>
      <c r="I77" s="152" t="str">
        <f>IFERROR(__xludf.DUMMYFUNCTION("TRIM(REGEXREPLACE(E77, ""[0-9]+[a-f]?\."", """"))"),"")</f>
        <v/>
      </c>
      <c r="J77" s="152" t="s">
        <v>556</v>
      </c>
      <c r="K77" s="152" t="s">
        <v>557</v>
      </c>
      <c r="L77" s="152" t="s">
        <v>558</v>
      </c>
      <c r="M77" s="152"/>
      <c r="N77" s="152"/>
      <c r="O77" s="152"/>
      <c r="P77" s="152"/>
      <c r="Q77" s="152"/>
      <c r="R77" s="152"/>
      <c r="S77" s="152"/>
      <c r="T77" s="152"/>
      <c r="U77" s="152"/>
      <c r="V77" s="152"/>
      <c r="W77" s="152"/>
      <c r="X77" s="152"/>
      <c r="Y77" s="152"/>
      <c r="Z77" s="152"/>
    </row>
    <row r="78">
      <c r="A78" s="166" t="s">
        <v>41</v>
      </c>
      <c r="B78" s="167" t="s">
        <v>639</v>
      </c>
      <c r="C78" s="28" t="s">
        <v>875</v>
      </c>
      <c r="D78" s="28" t="s">
        <v>877</v>
      </c>
      <c r="E78" s="28" t="s">
        <v>878</v>
      </c>
      <c r="F78" s="161">
        <v>17.0</v>
      </c>
      <c r="G78" s="152" t="str">
        <f>IFERROR(__xludf.DUMMYFUNCTION("TRIM(REGEXREPLACE(C78, ""[0-9]+[a-f]?\."", """"))"),"We were not able to contact you during ${pm_missed_period} and want to ask you a few questions about your life during this time.")</f>
        <v>We were not able to contact you during ${pm_missed_period} and want to ask you a few questions about your life during this time.</v>
      </c>
      <c r="H78" s="152" t="str">
        <f>IFERROR(__xludf.DUMMYFUNCTION("TRIM(REGEXREPLACE(D78, ""[0-9]+[a-f]?\."", """"))"),"Nous n'avons pas pu vous contacter pendant ${pm_missed_period_french} et nous voulons vous poser quelques questions sur votre vie pendant cette période.")</f>
        <v>Nous n'avons pas pu vous contacter pendant ${pm_missed_period_french} et nous voulons vous poser quelques questions sur votre vie pendant cette période.</v>
      </c>
      <c r="I78" s="152" t="str">
        <f>IFERROR(__xludf.DUMMYFUNCTION("TRIM(REGEXREPLACE(E78, ""[0-9]+[a-f]?\."", """"))"),"Ba mu samu tuntuɓar ku yayin ${pm_missed_period_hausa} kuma muna son mu yi muku wasu tambayoyi game da rayuwar ku a wannan lokacin.")</f>
        <v>Ba mu samu tuntuɓar ku yayin ${pm_missed_period_hausa} kuma muna son mu yi muku wasu tambayoyi game da rayuwar ku a wannan lokacin.</v>
      </c>
      <c r="J78" s="152" t="s">
        <v>643</v>
      </c>
      <c r="K78" s="152" t="s">
        <v>644</v>
      </c>
      <c r="L78" s="152" t="s">
        <v>646</v>
      </c>
      <c r="M78" s="152"/>
      <c r="N78" s="152"/>
      <c r="O78" s="152"/>
      <c r="P78" s="152"/>
      <c r="Q78" s="152"/>
      <c r="R78" s="152"/>
      <c r="S78" s="152"/>
      <c r="T78" s="152"/>
      <c r="U78" s="152"/>
      <c r="V78" s="152"/>
      <c r="W78" s="152"/>
      <c r="X78" s="152"/>
      <c r="Y78" s="152"/>
      <c r="Z78" s="152"/>
    </row>
    <row r="79">
      <c r="A79" s="68" t="s">
        <v>463</v>
      </c>
      <c r="B79" s="169" t="s">
        <v>656</v>
      </c>
      <c r="C79" s="28" t="s">
        <v>880</v>
      </c>
      <c r="D79" s="28" t="s">
        <v>881</v>
      </c>
      <c r="E79" s="28" t="s">
        <v>882</v>
      </c>
      <c r="F79" s="161">
        <v>18.0</v>
      </c>
      <c r="G79" s="152" t="str">
        <f>IFERROR(__xludf.DUMMYFUNCTION("TRIM(REGEXREPLACE(C79, ""[0-9]+[a-f]?\."", """"))"),"Think about ${pm_missed_period}. During this time, did you spend at least one week (7 days) anywhere other than ${pm_home_location}?")</f>
        <v>Think about ${pm_missed_period}. During this time, did you spend at least one week (7 days) anywhere other than ${pm_home_location}?</v>
      </c>
      <c r="H79" s="152" t="str">
        <f>IFERROR(__xludf.DUMMYFUNCTION("TRIM(REGEXREPLACE(D79, ""[0-9]+[a-f]?\."", """"))"),"Pensez à ${pm_missed_period_french}. Pendant cette période, avez-vous passé au moins une semaine (7 jours) ailleurs que ${pm_home_location} ?")</f>
        <v>Pensez à ${pm_missed_period_french}. Pendant cette période, avez-vous passé au moins une semaine (7 jours) ailleurs que ${pm_home_location} ?</v>
      </c>
      <c r="I79" s="152" t="str">
        <f>IFERROR(__xludf.DUMMYFUNCTION("TRIM(REGEXREPLACE(E79, ""[0-9]+[a-f]?\."", """"))"),"Ku tuna da lokacin ${pm_missed_period_hausa}. A wannan lokacin, ko kun zauna aƙalla sati ɗaya (kwana 7) a wani wuri banda ${pm_home_location}?")</f>
        <v>Ku tuna da lokacin ${pm_missed_period_hausa}. A wannan lokacin, ko kun zauna aƙalla sati ɗaya (kwana 7) a wani wuri banda ${pm_home_location}?</v>
      </c>
      <c r="J79" s="152" t="s">
        <v>657</v>
      </c>
      <c r="K79" s="152" t="s">
        <v>659</v>
      </c>
      <c r="L79" s="152" t="s">
        <v>661</v>
      </c>
      <c r="M79" s="152"/>
      <c r="N79" s="152"/>
      <c r="O79" s="152"/>
      <c r="P79" s="152"/>
      <c r="Q79" s="152"/>
      <c r="R79" s="152"/>
      <c r="S79" s="152"/>
      <c r="T79" s="152"/>
      <c r="U79" s="152"/>
      <c r="V79" s="152"/>
      <c r="W79" s="152"/>
      <c r="X79" s="152"/>
      <c r="Y79" s="152"/>
      <c r="Z79" s="152"/>
    </row>
    <row r="80">
      <c r="A80" s="170" t="s">
        <v>263</v>
      </c>
      <c r="B80" s="171" t="s">
        <v>677</v>
      </c>
      <c r="C80" s="28" t="s">
        <v>888</v>
      </c>
      <c r="D80" s="28" t="s">
        <v>889</v>
      </c>
      <c r="E80" s="28" t="s">
        <v>890</v>
      </c>
      <c r="F80" s="161">
        <v>19.0</v>
      </c>
      <c r="G80" s="152" t="str">
        <f>IFERROR(__xludf.DUMMYFUNCTION("TRIM(REGEXREPLACE(C80, ""[0-9]+[a-f]?\."", """"))"),"Please list all of the places you spent more than one week during ${pm_missed_period} other than ${pm_home_location}. How many places?")</f>
        <v>Please list all of the places you spent more than one week during ${pm_missed_period} other than ${pm_home_location}. How many places?</v>
      </c>
      <c r="H80" s="152" t="str">
        <f>IFERROR(__xludf.DUMMYFUNCTION("TRIM(REGEXREPLACE(D80, ""[0-9]+[a-f]?\."", """"))"),"Veuillez énumérer tous les lieux où vous avez passé plus d'une semaine entre ${pm_missed_period_french} autre que ${pm_home_location}. Combien de lieux ?")</f>
        <v>Veuillez énumérer tous les lieux où vous avez passé plus d'une semaine entre ${pm_missed_period_french} autre que ${pm_home_location}. Combien de lieux ?</v>
      </c>
      <c r="I80" s="152" t="str">
        <f>IFERROR(__xludf.DUMMYFUNCTION("TRIM(REGEXREPLACE(E80, ""[0-9]+[a-f]?\."", """"))"),"Ko za ku gaya mini duk wuraren da kuka zauna sama da sati guda a lokacin ${pm_missed_period_hausa} da ba ${pm_home_location}. Wuri nawa ne?")</f>
        <v>Ko za ku gaya mini duk wuraren da kuka zauna sama da sati guda a lokacin ${pm_missed_period_hausa} da ba ${pm_home_location}. Wuri nawa ne?</v>
      </c>
      <c r="J80" s="152" t="s">
        <v>678</v>
      </c>
      <c r="K80" s="152" t="s">
        <v>679</v>
      </c>
      <c r="L80" s="152" t="s">
        <v>680</v>
      </c>
      <c r="M80" s="152"/>
      <c r="N80" s="152"/>
      <c r="O80" s="152"/>
      <c r="P80" s="152"/>
      <c r="Q80" s="152"/>
      <c r="R80" s="152"/>
      <c r="S80" s="152"/>
      <c r="T80" s="152"/>
      <c r="U80" s="152"/>
      <c r="V80" s="152"/>
      <c r="W80" s="152"/>
      <c r="X80" s="152"/>
      <c r="Y80" s="152"/>
      <c r="Z80" s="152"/>
    </row>
    <row r="81" hidden="1">
      <c r="A81" s="174" t="s">
        <v>698</v>
      </c>
      <c r="B81" s="175" t="s">
        <v>702</v>
      </c>
      <c r="C81" s="28" t="s">
        <v>705</v>
      </c>
      <c r="D81" s="28"/>
      <c r="E81" s="28"/>
      <c r="F81" s="161">
        <v>23.0</v>
      </c>
      <c r="G81" s="152" t="str">
        <f>IFERROR(__xludf.DUMMYFUNCTION("TRIM(REGEXREPLACE(C81, ""[0-9]+[a-f]?\."", """"))"),"Missed locations")</f>
        <v>Missed locations</v>
      </c>
      <c r="H81" s="152" t="str">
        <f>IFERROR(__xludf.DUMMYFUNCTION("TRIM(REGEXREPLACE(D81, ""[0-9]+[a-f]?\."", """"))"),"")</f>
        <v/>
      </c>
      <c r="I81" s="152" t="str">
        <f>IFERROR(__xludf.DUMMYFUNCTION("TRIM(REGEXREPLACE(E81, ""[0-9]+[a-f]?\."", """"))"),"")</f>
        <v/>
      </c>
      <c r="J81" s="152" t="s">
        <v>896</v>
      </c>
      <c r="K81" s="152" t="s">
        <v>897</v>
      </c>
      <c r="L81" s="152" t="s">
        <v>898</v>
      </c>
      <c r="M81" s="152"/>
      <c r="N81" s="152"/>
      <c r="O81" s="152"/>
      <c r="P81" s="152"/>
      <c r="Q81" s="152"/>
      <c r="R81" s="152"/>
      <c r="S81" s="152"/>
      <c r="T81" s="152"/>
      <c r="U81" s="152"/>
      <c r="V81" s="152"/>
      <c r="W81" s="152"/>
      <c r="X81" s="152"/>
      <c r="Y81" s="152"/>
      <c r="Z81" s="152"/>
    </row>
    <row r="82" hidden="1">
      <c r="A82" s="90" t="s">
        <v>78</v>
      </c>
      <c r="B82" s="92" t="s">
        <v>716</v>
      </c>
      <c r="C82" s="28"/>
      <c r="D82" s="28"/>
      <c r="E82" s="28"/>
      <c r="F82" s="161">
        <v>24.0</v>
      </c>
      <c r="G82" s="152" t="str">
        <f>IFERROR(__xludf.DUMMYFUNCTION("TRIM(REGEXREPLACE(C82, ""[0-9]+[a-f]?\."", """"))"),"")</f>
        <v/>
      </c>
      <c r="H82" s="152" t="str">
        <f>IFERROR(__xludf.DUMMYFUNCTION("TRIM(REGEXREPLACE(D82, ""[0-9]+[a-f]?\."", """"))"),"")</f>
        <v/>
      </c>
      <c r="I82" s="152" t="str">
        <f>IFERROR(__xludf.DUMMYFUNCTION("TRIM(REGEXREPLACE(E82, ""[0-9]+[a-f]?\."", """"))"),"")</f>
        <v/>
      </c>
      <c r="J82" s="152" t="s">
        <v>787</v>
      </c>
      <c r="K82" s="152" t="s">
        <v>789</v>
      </c>
      <c r="L82" s="152" t="s">
        <v>790</v>
      </c>
      <c r="M82" s="152"/>
      <c r="N82" s="152"/>
      <c r="O82" s="152"/>
      <c r="P82" s="152"/>
      <c r="Q82" s="152"/>
      <c r="R82" s="152"/>
      <c r="S82" s="152"/>
      <c r="T82" s="152"/>
      <c r="U82" s="152"/>
      <c r="V82" s="152"/>
      <c r="W82" s="152"/>
      <c r="X82" s="152"/>
      <c r="Y82" s="152"/>
      <c r="Z82" s="152"/>
    </row>
    <row r="83" hidden="1">
      <c r="A83" s="90" t="s">
        <v>78</v>
      </c>
      <c r="B83" s="92" t="s">
        <v>724</v>
      </c>
      <c r="C83" s="28"/>
      <c r="D83" s="28"/>
      <c r="E83" s="28"/>
      <c r="F83" s="161">
        <v>24.0</v>
      </c>
      <c r="G83" s="152" t="str">
        <f>IFERROR(__xludf.DUMMYFUNCTION("TRIM(REGEXREPLACE(C83, ""[0-9]+[a-f]?\."", """"))"),"")</f>
        <v/>
      </c>
      <c r="H83" s="152" t="str">
        <f>IFERROR(__xludf.DUMMYFUNCTION("TRIM(REGEXREPLACE(D83, ""[0-9]+[a-f]?\."", """"))"),"")</f>
        <v/>
      </c>
      <c r="I83" s="152" t="str">
        <f>IFERROR(__xludf.DUMMYFUNCTION("TRIM(REGEXREPLACE(E83, ""[0-9]+[a-f]?\."", """"))"),"")</f>
        <v/>
      </c>
      <c r="J83" s="152" t="s">
        <v>911</v>
      </c>
      <c r="K83" s="152" t="s">
        <v>912</v>
      </c>
      <c r="L83" s="152" t="s">
        <v>913</v>
      </c>
      <c r="M83" s="152"/>
      <c r="N83" s="152"/>
      <c r="O83" s="152"/>
      <c r="P83" s="152"/>
      <c r="Q83" s="152"/>
      <c r="R83" s="152"/>
      <c r="S83" s="152"/>
      <c r="T83" s="152"/>
      <c r="U83" s="152"/>
      <c r="V83" s="152"/>
      <c r="W83" s="152"/>
      <c r="X83" s="152"/>
      <c r="Y83" s="152"/>
      <c r="Z83" s="152"/>
    </row>
    <row r="84">
      <c r="A84" s="68" t="s">
        <v>463</v>
      </c>
      <c r="B84" s="169" t="s">
        <v>732</v>
      </c>
      <c r="C84" s="28" t="s">
        <v>920</v>
      </c>
      <c r="D84" s="28" t="s">
        <v>921</v>
      </c>
      <c r="E84" s="28" t="s">
        <v>922</v>
      </c>
      <c r="F84" s="161">
        <v>20.0</v>
      </c>
      <c r="G84" s="152" t="str">
        <f>IFERROR(__xludf.DUMMYFUNCTION("TRIM(REGEXREPLACE(C84, ""[0-9]+[a-f]?\."", """"))"),"Where were you ${pm_miss_previous_answer}?
 Enumerator: Is location in Niger?")</f>
        <v>Where were you ${pm_miss_previous_answer}?
 Enumerator: Is location in Niger?</v>
      </c>
      <c r="H84" s="152" t="str">
        <f>IFERROR(__xludf.DUMMYFUNCTION("TRIM(REGEXREPLACE(D84, ""[0-9]+[a-f]?\."", """"))"),"Où étiez-vous ${pm_miss_previous_answer} ?
 Enquêteur : La localité est-elle au Niger ?")</f>
        <v>Où étiez-vous ${pm_miss_previous_answer} ?
 Enquêteur : La localité est-elle au Niger ?</v>
      </c>
      <c r="I84" s="152" t="str">
        <f>IFERROR(__xludf.DUMMYFUNCTION("TRIM(REGEXREPLACE(E84, ""[0-9]+[a-f]?\."", """"))"),"A ina kuke ${pm_miss_previous_answer}?
 Ɗan bincike : Ko wurin a Nijar ne?")</f>
        <v>A ina kuke ${pm_miss_previous_answer}?
 Ɗan bincike : Ko wurin a Nijar ne?</v>
      </c>
      <c r="J84" s="152" t="s">
        <v>733</v>
      </c>
      <c r="K84" s="152" t="s">
        <v>734</v>
      </c>
      <c r="L84" s="152" t="s">
        <v>735</v>
      </c>
      <c r="M84" s="152"/>
      <c r="N84" s="152"/>
      <c r="O84" s="152"/>
      <c r="P84" s="152"/>
      <c r="Q84" s="152"/>
      <c r="R84" s="152"/>
      <c r="S84" s="152"/>
      <c r="T84" s="152"/>
      <c r="U84" s="152"/>
      <c r="V84" s="152"/>
      <c r="W84" s="152"/>
      <c r="X84" s="152"/>
      <c r="Y84" s="152"/>
      <c r="Z84" s="152"/>
    </row>
    <row r="85">
      <c r="A85" s="68" t="s">
        <v>738</v>
      </c>
      <c r="B85" s="169" t="s">
        <v>739</v>
      </c>
      <c r="C85" s="28" t="s">
        <v>926</v>
      </c>
      <c r="D85" s="28" t="s">
        <v>927</v>
      </c>
      <c r="E85" s="28" t="s">
        <v>929</v>
      </c>
      <c r="F85" s="161">
        <v>21.0</v>
      </c>
      <c r="G85" s="152" t="str">
        <f>IFERROR(__xludf.DUMMYFUNCTION("TRIM(REGEXREPLACE(C85, ""[0-9]+[a-f]?\."", """"))"),"Enumerator: Select region in Niger")</f>
        <v>Enumerator: Select region in Niger</v>
      </c>
      <c r="H85" s="152" t="str">
        <f>IFERROR(__xludf.DUMMYFUNCTION("TRIM(REGEXREPLACE(D85, ""[0-9]+[a-f]?\."", """"))"),"Enquêteur : Sélectionnez une région au Niger")</f>
        <v>Enquêteur : Sélectionnez une région au Niger</v>
      </c>
      <c r="I85" s="152" t="str">
        <f>IFERROR(__xludf.DUMMYFUNCTION("TRIM(REGEXREPLACE(E85, ""[0-9]+[a-f]?\."", """"))"),"Ɗan bincike: Zaɓi Jaha ɗaya a Nijar")</f>
        <v>Ɗan bincike: Zaɓi Jaha ɗaya a Nijar</v>
      </c>
      <c r="J85" s="152" t="s">
        <v>740</v>
      </c>
      <c r="K85" s="152" t="s">
        <v>741</v>
      </c>
      <c r="L85" s="152" t="s">
        <v>742</v>
      </c>
      <c r="M85" s="152"/>
      <c r="N85" s="152"/>
      <c r="O85" s="152"/>
      <c r="P85" s="152"/>
      <c r="Q85" s="152"/>
      <c r="R85" s="152"/>
      <c r="S85" s="152"/>
      <c r="T85" s="152"/>
      <c r="U85" s="152"/>
      <c r="V85" s="152"/>
      <c r="W85" s="152"/>
      <c r="X85" s="152"/>
      <c r="Y85" s="152"/>
      <c r="Z85" s="152"/>
    </row>
    <row r="86">
      <c r="A86" s="68" t="s">
        <v>749</v>
      </c>
      <c r="B86" s="169" t="s">
        <v>750</v>
      </c>
      <c r="C86" s="28" t="s">
        <v>933</v>
      </c>
      <c r="D86" s="28" t="s">
        <v>934</v>
      </c>
      <c r="E86" s="28" t="s">
        <v>935</v>
      </c>
      <c r="F86" s="161">
        <v>22.0</v>
      </c>
      <c r="G86" s="152" t="str">
        <f>IFERROR(__xludf.DUMMYFUNCTION("TRIM(REGEXREPLACE(C86, ""[0-9]+[a-f]?\."", """"))"),"Enumerator: Select country")</f>
        <v>Enumerator: Select country</v>
      </c>
      <c r="H86" s="152" t="str">
        <f>IFERROR(__xludf.DUMMYFUNCTION("TRIM(REGEXREPLACE(D86, ""[0-9]+[a-f]?\."", """"))"),"Enquêteur : sélectionnez le pays")</f>
        <v>Enquêteur : sélectionnez le pays</v>
      </c>
      <c r="I86" s="152" t="str">
        <f>IFERROR(__xludf.DUMMYFUNCTION("TRIM(REGEXREPLACE(E86, ""[0-9]+[a-f]?\."", """"))"),"Ɗan bincike: Zaɓi ƙasa")</f>
        <v>Ɗan bincike: Zaɓi ƙasa</v>
      </c>
      <c r="J86" s="152" t="s">
        <v>751</v>
      </c>
      <c r="K86" s="152" t="s">
        <v>752</v>
      </c>
      <c r="L86" s="152" t="s">
        <v>753</v>
      </c>
      <c r="M86" s="152"/>
      <c r="N86" s="152"/>
      <c r="O86" s="152"/>
      <c r="P86" s="152"/>
      <c r="Q86" s="152"/>
      <c r="R86" s="152"/>
      <c r="S86" s="152"/>
      <c r="T86" s="152"/>
      <c r="U86" s="152"/>
      <c r="V86" s="152"/>
      <c r="W86" s="152"/>
      <c r="X86" s="152"/>
      <c r="Y86" s="152"/>
      <c r="Z86" s="152"/>
    </row>
    <row r="87">
      <c r="A87" s="179" t="s">
        <v>246</v>
      </c>
      <c r="B87" s="180" t="s">
        <v>763</v>
      </c>
      <c r="C87" s="28" t="s">
        <v>941</v>
      </c>
      <c r="D87" s="28" t="s">
        <v>943</v>
      </c>
      <c r="E87" s="28" t="s">
        <v>945</v>
      </c>
      <c r="F87" s="161">
        <v>23.0</v>
      </c>
      <c r="G87" s="152" t="str">
        <f>IFERROR(__xludf.DUMMYFUNCTION("TRIM(REGEXREPLACE(C87, ""[0-9]+[a-f]?\."", """"))"),"Enumerator: Enter other country")</f>
        <v>Enumerator: Enter other country</v>
      </c>
      <c r="H87" s="152" t="str">
        <f>IFERROR(__xludf.DUMMYFUNCTION("TRIM(REGEXREPLACE(D87, ""[0-9]+[a-f]?\."", """"))"),"Enquêteur : Entrez un autre pays")</f>
        <v>Enquêteur : Entrez un autre pays</v>
      </c>
      <c r="I87" s="152" t="str">
        <f>IFERROR(__xludf.DUMMYFUNCTION("TRIM(REGEXREPLACE(E87, ""[0-9]+[a-f]?\."", """"))"),"Ɗan bincike: Shigar da wata ƙasa")</f>
        <v>Ɗan bincike: Shigar da wata ƙasa</v>
      </c>
      <c r="J87" s="152" t="s">
        <v>764</v>
      </c>
      <c r="K87" s="152" t="s">
        <v>765</v>
      </c>
      <c r="L87" s="152" t="s">
        <v>766</v>
      </c>
      <c r="M87" s="152"/>
      <c r="N87" s="152"/>
      <c r="O87" s="152"/>
      <c r="P87" s="152"/>
      <c r="Q87" s="152"/>
      <c r="R87" s="152"/>
      <c r="S87" s="152"/>
      <c r="T87" s="152"/>
      <c r="U87" s="152"/>
      <c r="V87" s="152"/>
      <c r="W87" s="152"/>
      <c r="X87" s="152"/>
      <c r="Y87" s="152"/>
      <c r="Z87" s="152"/>
    </row>
    <row r="88" hidden="1">
      <c r="A88" s="90" t="s">
        <v>78</v>
      </c>
      <c r="B88" s="92" t="s">
        <v>777</v>
      </c>
      <c r="C88" s="28"/>
      <c r="D88" s="28"/>
      <c r="E88" s="28"/>
      <c r="F88" s="161">
        <v>27.0</v>
      </c>
      <c r="G88" s="152" t="str">
        <f>IFERROR(__xludf.DUMMYFUNCTION("TRIM(REGEXREPLACE(C88, ""[0-9]+[a-f]?\."", """"))"),"")</f>
        <v/>
      </c>
      <c r="H88" s="152" t="str">
        <f>IFERROR(__xludf.DUMMYFUNCTION("TRIM(REGEXREPLACE(D88, ""[0-9]+[a-f]?\."", """"))"),"")</f>
        <v/>
      </c>
      <c r="I88" s="152" t="str">
        <f>IFERROR(__xludf.DUMMYFUNCTION("TRIM(REGEXREPLACE(E88, ""[0-9]+[a-f]?\."", """"))"),"")</f>
        <v/>
      </c>
      <c r="J88" s="152" t="s">
        <v>951</v>
      </c>
      <c r="K88" s="152" t="s">
        <v>953</v>
      </c>
      <c r="L88" s="152" t="s">
        <v>956</v>
      </c>
      <c r="M88" s="152"/>
      <c r="N88" s="152"/>
      <c r="O88" s="152"/>
      <c r="P88" s="152"/>
      <c r="Q88" s="152"/>
      <c r="R88" s="152"/>
      <c r="S88" s="152"/>
      <c r="T88" s="152"/>
      <c r="U88" s="152"/>
      <c r="V88" s="152"/>
      <c r="W88" s="152"/>
      <c r="X88" s="152"/>
      <c r="Y88" s="152"/>
      <c r="Z88" s="152"/>
    </row>
    <row r="89">
      <c r="A89" s="68" t="s">
        <v>785</v>
      </c>
      <c r="B89" s="169" t="s">
        <v>786</v>
      </c>
      <c r="C89" s="28" t="s">
        <v>960</v>
      </c>
      <c r="D89" s="28" t="s">
        <v>961</v>
      </c>
      <c r="E89" s="28" t="s">
        <v>962</v>
      </c>
      <c r="F89" s="161">
        <v>24.0</v>
      </c>
      <c r="G89" s="152" t="str">
        <f>IFERROR(__xludf.DUMMYFUNCTION("TRIM(REGEXREPLACE(C89, ""[0-9]+[a-f]?\."", """"))"),"Enumerator: Select town")</f>
        <v>Enumerator: Select town</v>
      </c>
      <c r="H89" s="152" t="str">
        <f>IFERROR(__xludf.DUMMYFUNCTION("TRIM(REGEXREPLACE(D89, ""[0-9]+[a-f]?\."", """"))"),"Enquêteur : Sélectionnez la ville")</f>
        <v>Enquêteur : Sélectionnez la ville</v>
      </c>
      <c r="I89" s="152" t="str">
        <f>IFERROR(__xludf.DUMMYFUNCTION("TRIM(REGEXREPLACE(E89, ""[0-9]+[a-f]?\."", """"))"),"Ɗan bincike: Zaɓi gari")</f>
        <v>Ɗan bincike: Zaɓi gari</v>
      </c>
      <c r="J89" s="152" t="s">
        <v>787</v>
      </c>
      <c r="K89" s="152" t="s">
        <v>789</v>
      </c>
      <c r="L89" s="152" t="s">
        <v>790</v>
      </c>
      <c r="M89" s="152"/>
      <c r="N89" s="152"/>
      <c r="O89" s="152"/>
      <c r="P89" s="152"/>
      <c r="Q89" s="152"/>
      <c r="R89" s="152"/>
      <c r="S89" s="152"/>
      <c r="T89" s="152"/>
      <c r="U89" s="152"/>
      <c r="V89" s="152"/>
      <c r="W89" s="152"/>
      <c r="X89" s="152"/>
      <c r="Y89" s="152"/>
      <c r="Z89" s="152"/>
    </row>
    <row r="90">
      <c r="A90" s="179" t="s">
        <v>246</v>
      </c>
      <c r="B90" s="180" t="s">
        <v>795</v>
      </c>
      <c r="C90" s="28" t="s">
        <v>971</v>
      </c>
      <c r="D90" s="28" t="s">
        <v>972</v>
      </c>
      <c r="E90" s="28" t="s">
        <v>973</v>
      </c>
      <c r="F90" s="161">
        <v>25.0</v>
      </c>
      <c r="G90" s="152" t="str">
        <f>IFERROR(__xludf.DUMMYFUNCTION("TRIM(REGEXREPLACE(C90, ""[0-9]+[a-f]?\."", """"))"),"Enumerator: Select town")</f>
        <v>Enumerator: Select town</v>
      </c>
      <c r="H90" s="152" t="str">
        <f>IFERROR(__xludf.DUMMYFUNCTION("TRIM(REGEXREPLACE(D90, ""[0-9]+[a-f]?\."", """"))"),"Enquêteur : Sélectionnez la ville")</f>
        <v>Enquêteur : Sélectionnez la ville</v>
      </c>
      <c r="I90" s="152" t="str">
        <f>IFERROR(__xludf.DUMMYFUNCTION("TRIM(REGEXREPLACE(E90, ""[0-9]+[a-f]?\."", """"))"),"Ɗan bincike: Zaɓi gari")</f>
        <v>Ɗan bincike: Zaɓi gari</v>
      </c>
      <c r="J90" s="152" t="s">
        <v>796</v>
      </c>
      <c r="K90" s="152" t="s">
        <v>797</v>
      </c>
      <c r="L90" s="152" t="s">
        <v>798</v>
      </c>
      <c r="M90" s="152"/>
      <c r="N90" s="152"/>
      <c r="O90" s="152"/>
      <c r="P90" s="152"/>
      <c r="Q90" s="152"/>
      <c r="R90" s="152"/>
      <c r="S90" s="152"/>
      <c r="T90" s="152"/>
      <c r="U90" s="152"/>
      <c r="V90" s="152"/>
      <c r="W90" s="152"/>
      <c r="X90" s="152"/>
      <c r="Y90" s="152"/>
      <c r="Z90" s="152"/>
    </row>
    <row r="91" hidden="1">
      <c r="A91" s="90" t="s">
        <v>78</v>
      </c>
      <c r="B91" s="92" t="s">
        <v>806</v>
      </c>
      <c r="C91" s="28"/>
      <c r="D91" s="28"/>
      <c r="E91" s="28"/>
      <c r="F91" s="161">
        <v>29.0</v>
      </c>
      <c r="G91" s="152" t="str">
        <f>IFERROR(__xludf.DUMMYFUNCTION("TRIM(REGEXREPLACE(C91, ""[0-9]+[a-f]?\."", """"))"),"")</f>
        <v/>
      </c>
      <c r="H91" s="152" t="str">
        <f>IFERROR(__xludf.DUMMYFUNCTION("TRIM(REGEXREPLACE(D91, ""[0-9]+[a-f]?\."", """"))"),"")</f>
        <v/>
      </c>
      <c r="I91" s="152" t="str">
        <f>IFERROR(__xludf.DUMMYFUNCTION("TRIM(REGEXREPLACE(E91, ""[0-9]+[a-f]?\."", """"))"),"")</f>
        <v/>
      </c>
      <c r="J91" s="152" t="s">
        <v>985</v>
      </c>
      <c r="K91" s="152" t="s">
        <v>986</v>
      </c>
      <c r="L91" s="152" t="s">
        <v>987</v>
      </c>
      <c r="M91" s="152"/>
      <c r="N91" s="152"/>
      <c r="O91" s="152"/>
      <c r="P91" s="152"/>
      <c r="Q91" s="152"/>
      <c r="R91" s="152"/>
      <c r="S91" s="152"/>
      <c r="T91" s="152"/>
      <c r="U91" s="152"/>
      <c r="V91" s="152"/>
      <c r="W91" s="152"/>
      <c r="X91" s="152"/>
      <c r="Y91" s="152"/>
      <c r="Z91" s="152"/>
    </row>
    <row r="92" hidden="1">
      <c r="A92" s="90" t="s">
        <v>78</v>
      </c>
      <c r="B92" s="92" t="s">
        <v>813</v>
      </c>
      <c r="C92" s="28"/>
      <c r="D92" s="28"/>
      <c r="E92" s="28"/>
      <c r="F92" s="161">
        <v>30.0</v>
      </c>
      <c r="G92" s="152" t="str">
        <f>IFERROR(__xludf.DUMMYFUNCTION("TRIM(REGEXREPLACE(C92, ""[0-9]+[a-f]?\."", """"))"),"")</f>
        <v/>
      </c>
      <c r="H92" s="152" t="str">
        <f>IFERROR(__xludf.DUMMYFUNCTION("TRIM(REGEXREPLACE(D92, ""[0-9]+[a-f]?\."", """"))"),"")</f>
        <v/>
      </c>
      <c r="I92" s="152" t="str">
        <f>IFERROR(__xludf.DUMMYFUNCTION("TRIM(REGEXREPLACE(E92, ""[0-9]+[a-f]?\."", """"))"),"")</f>
        <v/>
      </c>
      <c r="J92" s="152" t="s">
        <v>994</v>
      </c>
      <c r="K92" s="152" t="s">
        <v>996</v>
      </c>
      <c r="L92" s="152" t="s">
        <v>997</v>
      </c>
      <c r="M92" s="152"/>
      <c r="N92" s="152"/>
      <c r="O92" s="152"/>
      <c r="P92" s="152"/>
      <c r="Q92" s="152"/>
      <c r="R92" s="152"/>
      <c r="S92" s="152"/>
      <c r="T92" s="152"/>
      <c r="U92" s="152"/>
      <c r="V92" s="152"/>
      <c r="W92" s="152"/>
      <c r="X92" s="152"/>
      <c r="Y92" s="152"/>
      <c r="Z92" s="152"/>
    </row>
    <row r="93" hidden="1">
      <c r="A93" s="90" t="s">
        <v>78</v>
      </c>
      <c r="B93" s="92" t="s">
        <v>820</v>
      </c>
      <c r="C93" s="28"/>
      <c r="D93" s="28"/>
      <c r="E93" s="28"/>
      <c r="F93" s="161">
        <v>31.0</v>
      </c>
      <c r="G93" s="152" t="str">
        <f>IFERROR(__xludf.DUMMYFUNCTION("TRIM(REGEXREPLACE(C93, ""[0-9]+[a-f]?\."", """"))"),"")</f>
        <v/>
      </c>
      <c r="H93" s="152" t="str">
        <f>IFERROR(__xludf.DUMMYFUNCTION("TRIM(REGEXREPLACE(D93, ""[0-9]+[a-f]?\."", """"))"),"")</f>
        <v/>
      </c>
      <c r="I93" s="152" t="str">
        <f>IFERROR(__xludf.DUMMYFUNCTION("TRIM(REGEXREPLACE(E93, ""[0-9]+[a-f]?\."", """"))"),"")</f>
        <v/>
      </c>
      <c r="J93" s="152" t="s">
        <v>1003</v>
      </c>
      <c r="K93" s="152" t="s">
        <v>1004</v>
      </c>
      <c r="L93" s="152" t="s">
        <v>1005</v>
      </c>
      <c r="M93" s="152"/>
      <c r="N93" s="152"/>
      <c r="O93" s="152"/>
      <c r="P93" s="152"/>
      <c r="Q93" s="152"/>
      <c r="R93" s="152"/>
      <c r="S93" s="152"/>
      <c r="T93" s="152"/>
      <c r="U93" s="152"/>
      <c r="V93" s="152"/>
      <c r="W93" s="152"/>
      <c r="X93" s="152"/>
      <c r="Y93" s="152"/>
      <c r="Z93" s="152"/>
    </row>
    <row r="94">
      <c r="A94" s="170" t="s">
        <v>263</v>
      </c>
      <c r="B94" s="171" t="s">
        <v>837</v>
      </c>
      <c r="C94" s="28" t="s">
        <v>1006</v>
      </c>
      <c r="D94" s="28" t="s">
        <v>1007</v>
      </c>
      <c r="E94" s="28" t="s">
        <v>1008</v>
      </c>
      <c r="F94" s="161">
        <v>26.0</v>
      </c>
      <c r="G94" s="152" t="str">
        <f>IFERROR(__xludf.DUMMYFUNCTION("TRIM(REGEXREPLACE(C94, ""[0-9]+[a-f]?\."", """"))"),"How many weeks did you spend in ${pm_missed_location} during ${pm_missed_period}?")</f>
        <v>How many weeks did you spend in ${pm_missed_location} during ${pm_missed_period}?</v>
      </c>
      <c r="H94" s="152" t="str">
        <f>IFERROR(__xludf.DUMMYFUNCTION("TRIM(REGEXREPLACE(D94, ""[0-9]+[a-f]?\."", """"))"),"Combien de semaines avez-vous passées à ${pm_missed_location} entre ${pm_missed_period_french} ?")</f>
        <v>Combien de semaines avez-vous passées à ${pm_missed_location} entre ${pm_missed_period_french} ?</v>
      </c>
      <c r="I94" s="152" t="str">
        <f>IFERROR(__xludf.DUMMYFUNCTION("TRIM(REGEXREPLACE(E94, ""[0-9]+[a-f]?\."", """"))"),"Tsawon sati nawa ne ka zauna a ${pm_missed_period_hausa} lokacin ${pm_missed_period}?")</f>
        <v>Tsawon sati nawa ne ka zauna a ${pm_missed_period_hausa} lokacin ${pm_missed_period}?</v>
      </c>
      <c r="J94" s="152" t="s">
        <v>838</v>
      </c>
      <c r="K94" s="152" t="s">
        <v>839</v>
      </c>
      <c r="L94" s="152" t="s">
        <v>840</v>
      </c>
      <c r="M94" s="152"/>
      <c r="N94" s="152"/>
      <c r="O94" s="152"/>
      <c r="P94" s="152"/>
      <c r="Q94" s="152"/>
      <c r="R94" s="152"/>
      <c r="S94" s="152"/>
      <c r="T94" s="152"/>
      <c r="U94" s="152"/>
      <c r="V94" s="152"/>
      <c r="W94" s="152"/>
      <c r="X94" s="152"/>
      <c r="Y94" s="152"/>
      <c r="Z94" s="152"/>
    </row>
    <row r="95">
      <c r="A95" s="68" t="s">
        <v>463</v>
      </c>
      <c r="B95" s="169" t="s">
        <v>849</v>
      </c>
      <c r="C95" s="28" t="s">
        <v>1011</v>
      </c>
      <c r="D95" s="28" t="s">
        <v>1012</v>
      </c>
      <c r="E95" s="28" t="s">
        <v>1014</v>
      </c>
      <c r="F95" s="161">
        <v>27.0</v>
      </c>
      <c r="G95" s="152" t="str">
        <f>IFERROR(__xludf.DUMMYFUNCTION("TRIM(REGEXREPLACE(C95, ""[0-9]+[a-f]?\."", """"))"),"Did you work for pay in ${pm_missed_location} during ${pm_missed_period}?")</f>
        <v>Did you work for pay in ${pm_missed_location} during ${pm_missed_period}?</v>
      </c>
      <c r="H95" s="152" t="str">
        <f>IFERROR(__xludf.DUMMYFUNCTION("TRIM(REGEXREPLACE(D95, ""[0-9]+[a-f]?\."", """"))"),"Avez-vous travaillé contre Paiement dans ${pm_missed_location} pendant ${pm_missed_period_french}?")</f>
        <v>Avez-vous travaillé contre Paiement dans ${pm_missed_location} pendant ${pm_missed_period_french}?</v>
      </c>
      <c r="I95" s="152" t="str">
        <f>IFERROR(__xludf.DUMMYFUNCTION("TRIM(REGEXREPLACE(E95, ""[0-9]+[a-f]?\."", """"))"),"Ko kun yi wani aikin biya a ${pm_missed_location} lokacin ${pm_missed_period}?")</f>
        <v>Ko kun yi wani aikin biya a ${pm_missed_location} lokacin ${pm_missed_period}?</v>
      </c>
      <c r="J95" s="152" t="s">
        <v>850</v>
      </c>
      <c r="K95" s="152" t="s">
        <v>851</v>
      </c>
      <c r="L95" s="152" t="s">
        <v>852</v>
      </c>
      <c r="M95" s="152"/>
      <c r="N95" s="152"/>
      <c r="O95" s="152"/>
      <c r="P95" s="152"/>
      <c r="Q95" s="152"/>
      <c r="R95" s="152"/>
      <c r="S95" s="152"/>
      <c r="T95" s="152"/>
      <c r="U95" s="152"/>
      <c r="V95" s="152"/>
      <c r="W95" s="152"/>
      <c r="X95" s="152"/>
      <c r="Y95" s="152"/>
      <c r="Z95" s="152"/>
    </row>
    <row r="96">
      <c r="A96" s="170" t="s">
        <v>263</v>
      </c>
      <c r="B96" s="171" t="s">
        <v>859</v>
      </c>
      <c r="C96" s="28" t="s">
        <v>1019</v>
      </c>
      <c r="D96" s="28" t="s">
        <v>1021</v>
      </c>
      <c r="E96" s="28" t="s">
        <v>1023</v>
      </c>
      <c r="F96" s="161">
        <v>28.0</v>
      </c>
      <c r="G96" s="152" t="str">
        <f>IFERROR(__xludf.DUMMYFUNCTION("TRIM(REGEXREPLACE(C96, ""[0-9]+[a-f]?\."", """"))"),"Thinking about income from all the jobs you worked, in ${pm_missed_location} during ${pm_missed_period}, approximately how much did you earn each week?")</f>
        <v>Thinking about income from all the jobs you worked, in ${pm_missed_location} during ${pm_missed_period}, approximately how much did you earn each week?</v>
      </c>
      <c r="H96" s="152" t="str">
        <f>IFERROR(__xludf.DUMMYFUNCTION("TRIM(REGEXREPLACE(D96, ""[0-9]+[a-f]?\."", """"))"),"En pensant aux revenus de tous les emplois que vous avez occupés, dans ${pm_missed_location} pendant ${pm_missed_period_french}, combien avez-vous gagné chaque semaine?")</f>
        <v>En pensant aux revenus de tous les emplois que vous avez occupés, dans ${pm_missed_location} pendant ${pm_missed_period_french}, combien avez-vous gagné chaque semaine?</v>
      </c>
      <c r="I96" s="152" t="str">
        <f>IFERROR(__xludf.DUMMYFUNCTION("TRIM(REGEXREPLACE(E96, ""[0-9]+[a-f]?\."", """"))"),"Tuna da samun kuɗin da ka yi ga dukkan ayyukan da ka yi, a ${pm_missed_location} a lokacin ${pm_missed_period_hausa}, misalin nawa kake samu a kowane sati?")</f>
        <v>Tuna da samun kuɗin da ka yi ga dukkan ayyukan da ka yi, a ${pm_missed_location} a lokacin ${pm_missed_period_hausa}, misalin nawa kake samu a kowane sati?</v>
      </c>
      <c r="J96" s="152" t="s">
        <v>860</v>
      </c>
      <c r="K96" s="152" t="s">
        <v>861</v>
      </c>
      <c r="L96" s="152" t="s">
        <v>862</v>
      </c>
      <c r="M96" s="152"/>
      <c r="N96" s="152"/>
      <c r="O96" s="152"/>
      <c r="P96" s="152"/>
      <c r="Q96" s="152"/>
      <c r="R96" s="152"/>
      <c r="S96" s="152"/>
      <c r="T96" s="152"/>
      <c r="U96" s="152"/>
      <c r="V96" s="152"/>
      <c r="W96" s="152"/>
      <c r="X96" s="152"/>
      <c r="Y96" s="152"/>
      <c r="Z96" s="152"/>
    </row>
    <row r="97">
      <c r="A97" s="170" t="s">
        <v>263</v>
      </c>
      <c r="B97" s="171" t="s">
        <v>871</v>
      </c>
      <c r="C97" s="28" t="s">
        <v>1029</v>
      </c>
      <c r="D97" s="28" t="s">
        <v>1030</v>
      </c>
      <c r="E97" s="28" t="s">
        <v>1031</v>
      </c>
      <c r="F97" s="161">
        <v>29.0</v>
      </c>
      <c r="G97" s="152" t="str">
        <f>IFERROR(__xludf.DUMMYFUNCTION("TRIM(REGEXREPLACE(C97, ""[0-9]+[a-f]?\."", """"))"),"How many total weeks did you work for pay?")</f>
        <v>How many total weeks did you work for pay?</v>
      </c>
      <c r="H97" s="152" t="str">
        <f>IFERROR(__xludf.DUMMYFUNCTION("TRIM(REGEXREPLACE(D97, ""[0-9]+[a-f]?\."", """"))"),"Combien de semaines au total avez-vous travaillé pour le salaire?")</f>
        <v>Combien de semaines au total avez-vous travaillé pour le salaire?</v>
      </c>
      <c r="I97" s="152" t="str">
        <f>IFERROR(__xludf.DUMMYFUNCTION("TRIM(REGEXREPLACE(E97, ""[0-9]+[a-f]?\."", """"))"),"Gaba ɗaya tsawon sati nawa ka yi aikin albashi?")</f>
        <v>Gaba ɗaya tsawon sati nawa ka yi aikin albashi?</v>
      </c>
      <c r="J97" s="152" t="s">
        <v>872</v>
      </c>
      <c r="K97" s="152" t="s">
        <v>873</v>
      </c>
      <c r="L97" s="152" t="s">
        <v>874</v>
      </c>
      <c r="M97" s="152"/>
      <c r="N97" s="152"/>
      <c r="O97" s="152"/>
      <c r="P97" s="152"/>
      <c r="Q97" s="152"/>
      <c r="R97" s="152"/>
      <c r="S97" s="152"/>
      <c r="T97" s="152"/>
      <c r="U97" s="152"/>
      <c r="V97" s="152"/>
      <c r="W97" s="152"/>
      <c r="X97" s="152"/>
      <c r="Y97" s="152"/>
      <c r="Z97" s="152"/>
    </row>
    <row r="98" hidden="1">
      <c r="A98" s="90" t="s">
        <v>78</v>
      </c>
      <c r="B98" s="92" t="s">
        <v>883</v>
      </c>
      <c r="C98" s="28" t="s">
        <v>884</v>
      </c>
      <c r="D98" s="28"/>
      <c r="E98" s="28"/>
      <c r="F98" s="161">
        <v>35.0</v>
      </c>
      <c r="G98" s="152" t="str">
        <f>IFERROR(__xludf.DUMMYFUNCTION("TRIM(REGEXREPLACE(C98, ""[0-9]+[a-f]?\."", """"))"),"Calculate income total for missed_location")</f>
        <v>Calculate income total for missed_location</v>
      </c>
      <c r="H98" s="152" t="str">
        <f>IFERROR(__xludf.DUMMYFUNCTION("TRIM(REGEXREPLACE(D98, ""[0-9]+[a-f]?\."", """"))"),"")</f>
        <v/>
      </c>
      <c r="I98" s="152" t="str">
        <f>IFERROR(__xludf.DUMMYFUNCTION("TRIM(REGEXREPLACE(E98, ""[0-9]+[a-f]?\."", """"))"),"")</f>
        <v/>
      </c>
      <c r="J98" s="152" t="s">
        <v>966</v>
      </c>
      <c r="K98" s="152" t="s">
        <v>967</v>
      </c>
      <c r="L98" s="152" t="s">
        <v>968</v>
      </c>
      <c r="M98" s="152"/>
      <c r="N98" s="152"/>
      <c r="O98" s="152"/>
      <c r="P98" s="152"/>
      <c r="Q98" s="152"/>
      <c r="R98" s="152"/>
      <c r="S98" s="152"/>
      <c r="T98" s="152"/>
      <c r="U98" s="152"/>
      <c r="V98" s="152"/>
      <c r="W98" s="152"/>
      <c r="X98" s="152"/>
      <c r="Y98" s="152"/>
      <c r="Z98" s="152"/>
    </row>
    <row r="99">
      <c r="A99" s="68" t="s">
        <v>463</v>
      </c>
      <c r="B99" s="169" t="s">
        <v>891</v>
      </c>
      <c r="C99" s="28" t="s">
        <v>1042</v>
      </c>
      <c r="D99" s="28" t="s">
        <v>1043</v>
      </c>
      <c r="E99" s="28" t="s">
        <v>1044</v>
      </c>
      <c r="F99" s="161">
        <v>30.0</v>
      </c>
      <c r="G99" s="152" t="str">
        <f>IFERROR(__xludf.DUMMYFUNCTION("TRIM(REGEXREPLACE(C99, ""[0-9]+[a-f]?\."", """"))"),"In a typical week did you cut the size of meals or skipped meals?")</f>
        <v>In a typical week did you cut the size of meals or skipped meals?</v>
      </c>
      <c r="H99" s="152" t="str">
        <f>IFERROR(__xludf.DUMMYFUNCTION("TRIM(REGEXREPLACE(D99, ""[0-9]+[a-f]?\."", """"))"),"Au cours d'une semaine normale, avez-vous réduit la taille des repas ou sauté des repas ?")</f>
        <v>Au cours d'une semaine normale, avez-vous réduit la taille des repas ou sauté des repas ?</v>
      </c>
      <c r="I99" s="152" t="str">
        <f>IFERROR(__xludf.DUMMYFUNCTION("TRIM(REGEXREPLACE(E99, ""[0-9]+[a-f]?\."", """"))"),"A cikin mako guda ko kun rage yawan abincin da kuka saba ci ko kun tsallake abincin gaba ɗaya?")</f>
        <v>A cikin mako guda ko kun rage yawan abincin da kuka saba ci ko kun tsallake abincin gaba ɗaya?</v>
      </c>
      <c r="J99" s="152" t="s">
        <v>892</v>
      </c>
      <c r="K99" s="152" t="s">
        <v>893</v>
      </c>
      <c r="L99" s="152" t="s">
        <v>895</v>
      </c>
      <c r="M99" s="152"/>
      <c r="N99" s="152"/>
      <c r="O99" s="152"/>
      <c r="P99" s="152"/>
      <c r="Q99" s="152"/>
      <c r="R99" s="152"/>
      <c r="S99" s="152"/>
      <c r="T99" s="152"/>
      <c r="U99" s="152"/>
      <c r="V99" s="152"/>
      <c r="W99" s="152"/>
      <c r="X99" s="152"/>
      <c r="Y99" s="152"/>
      <c r="Z99" s="152"/>
    </row>
    <row r="100">
      <c r="A100" s="170" t="s">
        <v>263</v>
      </c>
      <c r="B100" s="171" t="s">
        <v>902</v>
      </c>
      <c r="C100" s="28" t="s">
        <v>1049</v>
      </c>
      <c r="D100" s="28" t="s">
        <v>1050</v>
      </c>
      <c r="E100" s="28" t="s">
        <v>1051</v>
      </c>
      <c r="F100" s="161">
        <v>31.0</v>
      </c>
      <c r="G100" s="152" t="str">
        <f>IFERROR(__xludf.DUMMYFUNCTION("TRIM(REGEXREPLACE(C100, ""[0-9]+[a-f]?\."", """"))"),"How many days?")</f>
        <v>How many days?</v>
      </c>
      <c r="H100" s="152" t="str">
        <f>IFERROR(__xludf.DUMMYFUNCTION("TRIM(REGEXREPLACE(D100, ""[0-9]+[a-f]?\."", """"))"),"Combien de jours?")</f>
        <v>Combien de jours?</v>
      </c>
      <c r="I100" s="152" t="str">
        <f>IFERROR(__xludf.DUMMYFUNCTION("TRIM(REGEXREPLACE(E100, ""[0-9]+[a-f]?\."", """"))"),"Kwanaki nawa?")</f>
        <v>Kwanaki nawa?</v>
      </c>
      <c r="J100" s="152" t="s">
        <v>904</v>
      </c>
      <c r="K100" s="152" t="s">
        <v>905</v>
      </c>
      <c r="L100" s="152" t="s">
        <v>906</v>
      </c>
      <c r="M100" s="152"/>
      <c r="N100" s="152"/>
      <c r="O100" s="152"/>
      <c r="P100" s="152"/>
      <c r="Q100" s="152"/>
      <c r="R100" s="152"/>
      <c r="S100" s="152"/>
      <c r="T100" s="152"/>
      <c r="U100" s="152"/>
      <c r="V100" s="152"/>
      <c r="W100" s="152"/>
      <c r="X100" s="152"/>
      <c r="Y100" s="152"/>
      <c r="Z100" s="152"/>
    </row>
    <row r="101">
      <c r="A101" s="166" t="s">
        <v>41</v>
      </c>
      <c r="B101" s="167" t="s">
        <v>915</v>
      </c>
      <c r="C101" s="28" t="s">
        <v>1052</v>
      </c>
      <c r="D101" s="28" t="s">
        <v>1053</v>
      </c>
      <c r="E101" s="28" t="s">
        <v>1054</v>
      </c>
      <c r="F101" s="161">
        <v>32.0</v>
      </c>
      <c r="G101" s="152" t="str">
        <f>IFERROR(__xludf.DUMMYFUNCTION("TRIM(REGEXREPLACE(C101, ""[0-9]+[a-f]?\."", """"))"),"Now I will ask about some things that may have happened to you during ${pm_missed_period}. Think about all the time you spent in ${pm_missed_location} during ${pm_missed_period} when answering these questions")</f>
        <v>Now I will ask about some things that may have happened to you during ${pm_missed_period}. Think about all the time you spent in ${pm_missed_location} during ${pm_missed_period} when answering these questions</v>
      </c>
      <c r="H101" s="152" t="str">
        <f>IFERROR(__xludf.DUMMYFUNCTION("TRIM(REGEXREPLACE(D101, ""[0-9]+[a-f]?\."", """"))"),"Maintenant, je vais vous poser des questions sur certaines choses qui pourraient vous être arrivées à ${pm_missed_location} de ${pm_missed_period_french}.
 Pensez à tout le temps que vous avez passé à ${pm_missed_location} de ${pm_missed_period_french} "&amp;"lorsque vous répondez à ces questions")</f>
        <v>Maintenant, je vais vous poser des questions sur certaines choses qui pourraient vous être arrivées à ${pm_missed_location} de ${pm_missed_period_french}.
 Pensez à tout le temps que vous avez passé à ${pm_missed_location} de ${pm_missed_period_french} lorsque vous répondez à ces questions</v>
      </c>
      <c r="I101" s="152" t="str">
        <f>IFERROR(__xludf.DUMMYFUNCTION("TRIM(REGEXREPLACE(E101, ""[0-9]+[a-f]?\."", """"))"),"Yanzu zan yi tambaya game da wasu abubuwa da wataƙila sun faru da ku a cikin ${pm_missed_location} lokacin ${pm_missed_period_hausa}.
 Ka tuna da duk lokacin da ka zauna a ${pm_missed_location} lokacin ${pm_missed_period_hausa} lokacin amsa waɗannan tamba"&amp;"yoyin")</f>
        <v>Yanzu zan yi tambaya game da wasu abubuwa da wataƙila sun faru da ku a cikin ${pm_missed_location} lokacin ${pm_missed_period_hausa}.
 Ka tuna da duk lokacin da ka zauna a ${pm_missed_location} lokacin ${pm_missed_period_hausa} lokacin amsa waɗannan tambayoyin</v>
      </c>
      <c r="J101" s="152" t="s">
        <v>916</v>
      </c>
      <c r="K101" s="152" t="s">
        <v>918</v>
      </c>
      <c r="L101" s="152" t="s">
        <v>919</v>
      </c>
      <c r="M101" s="152"/>
      <c r="N101" s="152"/>
      <c r="O101" s="152"/>
      <c r="P101" s="152"/>
      <c r="Q101" s="152"/>
      <c r="R101" s="152"/>
      <c r="S101" s="152"/>
      <c r="T101" s="152"/>
      <c r="U101" s="152"/>
      <c r="V101" s="152"/>
      <c r="W101" s="152"/>
      <c r="X101" s="152"/>
      <c r="Y101" s="152"/>
      <c r="Z101" s="152"/>
    </row>
    <row r="102" hidden="1">
      <c r="F102" s="161">
        <v>39.0</v>
      </c>
      <c r="G102" s="152" t="str">
        <f>IFERROR(__xludf.DUMMYFUNCTION("TRIM(REGEXREPLACE(C102, ""[0-9]+[a-f]?\."", """"))"),"")</f>
        <v/>
      </c>
      <c r="H102" s="152" t="str">
        <f>IFERROR(__xludf.DUMMYFUNCTION("TRIM(REGEXREPLACE(D102, ""[0-9]+[a-f]?\."", """"))"),"")</f>
        <v/>
      </c>
      <c r="I102" s="152" t="str">
        <f>IFERROR(__xludf.DUMMYFUNCTION("TRIM(REGEXREPLACE(E102, ""[0-9]+[a-f]?\."", """"))"),"")</f>
        <v/>
      </c>
      <c r="J102" s="152" t="s">
        <v>1018</v>
      </c>
      <c r="K102" s="152" t="s">
        <v>1020</v>
      </c>
      <c r="L102" s="152" t="s">
        <v>1062</v>
      </c>
      <c r="M102" s="152"/>
      <c r="N102" s="152"/>
      <c r="O102" s="152"/>
      <c r="P102" s="152"/>
      <c r="Q102" s="152"/>
      <c r="R102" s="152"/>
      <c r="S102" s="152"/>
      <c r="T102" s="152"/>
      <c r="U102" s="152"/>
      <c r="V102" s="152"/>
      <c r="W102" s="152"/>
      <c r="X102" s="152"/>
      <c r="Y102" s="152"/>
      <c r="Z102" s="152"/>
    </row>
    <row r="103" hidden="1">
      <c r="A103" s="140" t="s">
        <v>131</v>
      </c>
      <c r="B103" s="164" t="s">
        <v>930</v>
      </c>
      <c r="C103" s="28"/>
      <c r="D103" s="28"/>
      <c r="E103" s="28"/>
      <c r="F103" s="161">
        <v>40.0</v>
      </c>
      <c r="G103" s="152" t="str">
        <f>IFERROR(__xludf.DUMMYFUNCTION("TRIM(REGEXREPLACE(C103, ""[0-9]+[a-f]?\."", """"))"),"")</f>
        <v/>
      </c>
      <c r="H103" s="152" t="str">
        <f>IFERROR(__xludf.DUMMYFUNCTION("TRIM(REGEXREPLACE(D103, ""[0-9]+[a-f]?\."", """"))"),"")</f>
        <v/>
      </c>
      <c r="I103" s="152" t="str">
        <f>IFERROR(__xludf.DUMMYFUNCTION("TRIM(REGEXREPLACE(E103, ""[0-9]+[a-f]?\."", """"))"),"")</f>
        <v/>
      </c>
      <c r="J103" s="152" t="s">
        <v>1033</v>
      </c>
      <c r="K103" s="152" t="s">
        <v>1034</v>
      </c>
      <c r="L103" s="152" t="s">
        <v>1036</v>
      </c>
      <c r="M103" s="152"/>
      <c r="N103" s="152"/>
      <c r="O103" s="152"/>
      <c r="P103" s="152"/>
      <c r="Q103" s="152"/>
      <c r="R103" s="152"/>
      <c r="S103" s="152"/>
      <c r="T103" s="152"/>
      <c r="U103" s="152"/>
      <c r="V103" s="152"/>
      <c r="W103" s="152"/>
      <c r="X103" s="152"/>
      <c r="Y103" s="152"/>
      <c r="Z103" s="152"/>
    </row>
    <row r="104">
      <c r="A104" s="68" t="s">
        <v>463</v>
      </c>
      <c r="B104" s="169" t="s">
        <v>939</v>
      </c>
      <c r="C104" s="28" t="s">
        <v>1073</v>
      </c>
      <c r="D104" s="28" t="s">
        <v>1075</v>
      </c>
      <c r="E104" s="28" t="s">
        <v>1076</v>
      </c>
      <c r="F104" s="161">
        <v>33.0</v>
      </c>
      <c r="G104" s="152" t="str">
        <f>IFERROR(__xludf.DUMMYFUNCTION("TRIM(REGEXREPLACE(C104, ""[0-9]+[a-f]?\."", """"))"),"Have you experienced any of the following in ${pm_missed_location} during ${pm_missed_period}?")</f>
        <v>Have you experienced any of the following in ${pm_missed_location} during ${pm_missed_period}?</v>
      </c>
      <c r="H104" s="152" t="str">
        <f>IFERROR(__xludf.DUMMYFUNCTION("TRIM(REGEXREPLACE(D104, ""[0-9]+[a-f]?\."", """"))"),"Avez-vous vécu l'une des situations suivantes à cet endroit entre ${pm_missed_period_french} ?")</f>
        <v>Avez-vous vécu l'une des situations suivantes à cet endroit entre ${pm_missed_period_french} ?</v>
      </c>
      <c r="I104" s="152" t="str">
        <f>IFERROR(__xludf.DUMMYFUNCTION("TRIM(REGEXREPLACE(E104, ""[0-9]+[a-f]?\."", """"))"),"Ko ka taɓa fuskantar ɗayan waɗannan abubuwa a wannan wurin, lokacin ${pm_missed_period_hausa}?")</f>
        <v>Ko ka taɓa fuskantar ɗayan waɗannan abubuwa a wannan wurin, lokacin ${pm_missed_period_hausa}?</v>
      </c>
      <c r="J104" s="152" t="s">
        <v>940</v>
      </c>
      <c r="K104" s="152" t="s">
        <v>942</v>
      </c>
      <c r="L104" s="152" t="s">
        <v>944</v>
      </c>
      <c r="M104" s="152"/>
      <c r="N104" s="152"/>
      <c r="O104" s="152"/>
      <c r="P104" s="152"/>
      <c r="Q104" s="152"/>
      <c r="R104" s="152"/>
      <c r="S104" s="152"/>
      <c r="T104" s="152"/>
      <c r="U104" s="152"/>
      <c r="V104" s="152"/>
      <c r="W104" s="152"/>
      <c r="X104" s="152"/>
      <c r="Y104" s="152"/>
      <c r="Z104" s="152"/>
    </row>
    <row r="105">
      <c r="A105" s="68" t="s">
        <v>463</v>
      </c>
      <c r="B105" s="169" t="s">
        <v>949</v>
      </c>
      <c r="C105" s="28" t="s">
        <v>1077</v>
      </c>
      <c r="D105" s="28" t="s">
        <v>1078</v>
      </c>
      <c r="E105" s="28" t="s">
        <v>1079</v>
      </c>
      <c r="F105" s="161">
        <v>34.0</v>
      </c>
      <c r="G105" s="152" t="str">
        <f>IFERROR(__xludf.DUMMYFUNCTION("TRIM(REGEXREPLACE(C105, ""[0-9]+[a-f]?\."", """"))"),"Physical attack")</f>
        <v>Physical attack</v>
      </c>
      <c r="H105" s="152" t="str">
        <f>IFERROR(__xludf.DUMMYFUNCTION("TRIM(REGEXREPLACE(D105, ""[0-9]+[a-f]?\."", """"))"),"Attaque physique")</f>
        <v>Attaque physique</v>
      </c>
      <c r="I105" s="152" t="str">
        <f>IFERROR(__xludf.DUMMYFUNCTION("TRIM(REGEXREPLACE(E105, ""[0-9]+[a-f]?\."", """"))"),"harin jiki")</f>
        <v>harin jiki</v>
      </c>
      <c r="J105" s="152" t="s">
        <v>950</v>
      </c>
      <c r="K105" s="152" t="s">
        <v>952</v>
      </c>
      <c r="L105" s="152" t="s">
        <v>955</v>
      </c>
      <c r="M105" s="152"/>
      <c r="N105" s="152"/>
      <c r="O105" s="152"/>
      <c r="P105" s="152"/>
      <c r="Q105" s="152"/>
      <c r="R105" s="152"/>
      <c r="S105" s="152"/>
      <c r="T105" s="152"/>
      <c r="U105" s="152"/>
      <c r="V105" s="152"/>
      <c r="W105" s="152"/>
      <c r="X105" s="152"/>
      <c r="Y105" s="152"/>
      <c r="Z105" s="152"/>
    </row>
    <row r="106">
      <c r="A106" s="68" t="s">
        <v>463</v>
      </c>
      <c r="B106" s="169" t="s">
        <v>965</v>
      </c>
      <c r="C106" s="28" t="s">
        <v>1089</v>
      </c>
      <c r="D106" s="28" t="s">
        <v>1090</v>
      </c>
      <c r="E106" s="28" t="s">
        <v>1091</v>
      </c>
      <c r="F106" s="161">
        <v>35.0</v>
      </c>
      <c r="G106" s="152" t="str">
        <f>IFERROR(__xludf.DUMMYFUNCTION("TRIM(REGEXREPLACE(C106, ""[0-9]+[a-f]?\."", """"))"),"Threat of physical violence/attack")</f>
        <v>Threat of physical violence/attack</v>
      </c>
      <c r="H106" s="152" t="str">
        <f>IFERROR(__xludf.DUMMYFUNCTION("TRIM(REGEXREPLACE(D106, ""[0-9]+[a-f]?\."", """"))"),"Menace de violence physique/agression")</f>
        <v>Menace de violence physique/agression</v>
      </c>
      <c r="I106" s="152" t="str">
        <f>IFERROR(__xludf.DUMMYFUNCTION("TRIM(REGEXREPLACE(E106, ""[0-9]+[a-f]?\."", """"))"),"Barazanar ​​harin jiki")</f>
        <v>Barazanar ​​harin jiki</v>
      </c>
      <c r="J106" s="152" t="s">
        <v>966</v>
      </c>
      <c r="K106" s="152" t="s">
        <v>967</v>
      </c>
      <c r="L106" s="152" t="s">
        <v>968</v>
      </c>
      <c r="M106" s="152"/>
      <c r="N106" s="152"/>
      <c r="O106" s="152"/>
      <c r="P106" s="152"/>
      <c r="Q106" s="152"/>
      <c r="R106" s="152"/>
      <c r="S106" s="152"/>
      <c r="T106" s="152"/>
      <c r="U106" s="152"/>
      <c r="V106" s="152"/>
      <c r="W106" s="152"/>
      <c r="X106" s="152"/>
      <c r="Y106" s="152"/>
      <c r="Z106" s="152"/>
    </row>
    <row r="107">
      <c r="A107" s="68" t="s">
        <v>463</v>
      </c>
      <c r="B107" s="169" t="s">
        <v>974</v>
      </c>
      <c r="C107" s="28" t="s">
        <v>1095</v>
      </c>
      <c r="D107" s="28" t="s">
        <v>1096</v>
      </c>
      <c r="E107" s="28" t="s">
        <v>1097</v>
      </c>
      <c r="F107" s="161">
        <v>36.0</v>
      </c>
      <c r="G107" s="152" t="str">
        <f>IFERROR(__xludf.DUMMYFUNCTION("TRIM(REGEXREPLACE(C107, ""[0-9]+[a-f]?\."", """"))"),"Theft of either money or property?")</f>
        <v>Theft of either money or property?</v>
      </c>
      <c r="H107" s="152" t="str">
        <f>IFERROR(__xludf.DUMMYFUNCTION("TRIM(REGEXREPLACE(D107, ""[0-9]+[a-f]?\."", """"))"),"Vol d'argent ou de biens ?")</f>
        <v>Vol d'argent ou de biens ?</v>
      </c>
      <c r="I107" s="152" t="str">
        <f>IFERROR(__xludf.DUMMYFUNCTION("TRIM(REGEXREPLACE(E107, ""[0-9]+[a-f]?\."", """"))"),"Satar kudi ko kaya?")</f>
        <v>Satar kudi ko kaya?</v>
      </c>
      <c r="J107" s="152" t="s">
        <v>975</v>
      </c>
      <c r="K107" s="152" t="s">
        <v>977</v>
      </c>
      <c r="L107" s="152" t="s">
        <v>978</v>
      </c>
      <c r="M107" s="152"/>
      <c r="N107" s="152"/>
      <c r="O107" s="152"/>
      <c r="P107" s="152"/>
      <c r="Q107" s="152"/>
      <c r="R107" s="152"/>
      <c r="S107" s="152"/>
      <c r="T107" s="152"/>
      <c r="U107" s="152"/>
      <c r="V107" s="152"/>
      <c r="W107" s="152"/>
      <c r="X107" s="152"/>
      <c r="Y107" s="152"/>
      <c r="Z107" s="152"/>
    </row>
    <row r="108">
      <c r="A108" s="68" t="s">
        <v>463</v>
      </c>
      <c r="B108" s="169" t="s">
        <v>981</v>
      </c>
      <c r="C108" s="28" t="s">
        <v>1102</v>
      </c>
      <c r="D108" s="28" t="s">
        <v>1103</v>
      </c>
      <c r="E108" s="28" t="s">
        <v>1104</v>
      </c>
      <c r="F108" s="161">
        <v>37.0</v>
      </c>
      <c r="G108" s="152" t="str">
        <f>IFERROR(__xludf.DUMMYFUNCTION("TRIM(REGEXREPLACE(C108, ""[0-9]+[a-f]?\."", """"))"),"Detention or arrest by state security forces?")</f>
        <v>Detention or arrest by state security forces?</v>
      </c>
      <c r="H108" s="152" t="str">
        <f>IFERROR(__xludf.DUMMYFUNCTION("TRIM(REGEXREPLACE(D108, ""[0-9]+[a-f]?\."", """"))"),"Détention ou arrestation par les forces de sécurité de l'État ?")</f>
        <v>Détention ou arrestation par les forces de sécurité de l'État ?</v>
      </c>
      <c r="I108" s="152" t="str">
        <f>IFERROR(__xludf.DUMMYFUNCTION("TRIM(REGEXREPLACE(E108, ""[0-9]+[a-f]?\."", """"))"),"Kaso ko kamu daga jami'an tsaron gwamnati?")</f>
        <v>Kaso ko kamu daga jami'an tsaron gwamnati?</v>
      </c>
      <c r="J108" s="152" t="s">
        <v>982</v>
      </c>
      <c r="K108" s="152" t="s">
        <v>983</v>
      </c>
      <c r="L108" s="152" t="s">
        <v>984</v>
      </c>
      <c r="M108" s="152"/>
      <c r="N108" s="152"/>
      <c r="O108" s="152"/>
      <c r="P108" s="152"/>
      <c r="Q108" s="152"/>
      <c r="R108" s="152"/>
      <c r="S108" s="152"/>
      <c r="T108" s="152"/>
      <c r="U108" s="152"/>
      <c r="V108" s="152"/>
      <c r="W108" s="152"/>
      <c r="X108" s="152"/>
      <c r="Y108" s="152"/>
      <c r="Z108" s="152"/>
    </row>
    <row r="109">
      <c r="A109" s="68" t="s">
        <v>463</v>
      </c>
      <c r="B109" s="169" t="s">
        <v>991</v>
      </c>
      <c r="C109" s="28" t="s">
        <v>1110</v>
      </c>
      <c r="D109" s="28" t="s">
        <v>1112</v>
      </c>
      <c r="E109" s="28" t="s">
        <v>1114</v>
      </c>
      <c r="F109" s="161">
        <v>38.0</v>
      </c>
      <c r="G109" s="152" t="str">
        <f>IFERROR(__xludf.DUMMYFUNCTION("TRIM(REGEXREPLACE(C109, ""[0-9]+[a-f]?\."", """"))"),"Illness or injury that disrupted your daily life?")</f>
        <v>Illness or injury that disrupted your daily life?</v>
      </c>
      <c r="H109" s="152" t="str">
        <f>IFERROR(__xludf.DUMMYFUNCTION("TRIM(REGEXREPLACE(D109, ""[0-9]+[a-f]?\."", """"))"),"Une maladie ou une blessure qui a perturbé votre quotidien ?")</f>
        <v>Une maladie ou une blessure qui a perturbé votre quotidien ?</v>
      </c>
      <c r="I109" s="152" t="str">
        <f>IFERROR(__xludf.DUMMYFUNCTION("TRIM(REGEXREPLACE(E109, ""[0-9]+[a-f]?\."", """"))"),"Rashin lafiya ko rauni wanda ya kawo cikas ga rayuwarku ta yau da kullun?")</f>
        <v>Rashin lafiya ko rauni wanda ya kawo cikas ga rayuwarku ta yau da kullun?</v>
      </c>
      <c r="J109" s="152" t="s">
        <v>992</v>
      </c>
      <c r="K109" s="152" t="s">
        <v>993</v>
      </c>
      <c r="L109" s="152" t="s">
        <v>995</v>
      </c>
      <c r="M109" s="152"/>
      <c r="N109" s="152"/>
      <c r="O109" s="152"/>
      <c r="P109" s="152"/>
      <c r="Q109" s="152"/>
      <c r="R109" s="152"/>
      <c r="S109" s="152"/>
      <c r="T109" s="152"/>
      <c r="U109" s="152"/>
      <c r="V109" s="152"/>
      <c r="W109" s="152"/>
      <c r="X109" s="152"/>
      <c r="Y109" s="152"/>
      <c r="Z109" s="152"/>
    </row>
    <row r="110" hidden="1">
      <c r="A110" s="140" t="s">
        <v>237</v>
      </c>
      <c r="B110" s="191" t="s">
        <v>930</v>
      </c>
      <c r="C110" s="28"/>
      <c r="D110" s="28"/>
      <c r="E110" s="28"/>
      <c r="F110" s="161">
        <v>45.0</v>
      </c>
      <c r="G110" s="152" t="str">
        <f>IFERROR(__xludf.DUMMYFUNCTION("TRIM(REGEXREPLACE(C110, ""[0-9]+[a-f]?\."", """"))"),"")</f>
        <v/>
      </c>
      <c r="H110" s="152" t="str">
        <f>IFERROR(__xludf.DUMMYFUNCTION("TRIM(REGEXREPLACE(D110, ""[0-9]+[a-f]?\."", """"))"),"")</f>
        <v/>
      </c>
      <c r="I110" s="152" t="str">
        <f>IFERROR(__xludf.DUMMYFUNCTION("TRIM(REGEXREPLACE(E110, ""[0-9]+[a-f]?\."", """"))"),"")</f>
        <v/>
      </c>
      <c r="J110" s="152" t="s">
        <v>1120</v>
      </c>
      <c r="K110" s="152" t="s">
        <v>1121</v>
      </c>
      <c r="L110" s="152" t="s">
        <v>1122</v>
      </c>
      <c r="M110" s="152"/>
      <c r="N110" s="152"/>
      <c r="O110" s="152"/>
      <c r="P110" s="152"/>
      <c r="Q110" s="152"/>
      <c r="R110" s="152"/>
      <c r="S110" s="152"/>
      <c r="T110" s="152"/>
      <c r="U110" s="152"/>
      <c r="V110" s="152"/>
      <c r="W110" s="152"/>
      <c r="X110" s="152"/>
      <c r="Y110" s="152"/>
      <c r="Z110" s="152"/>
    </row>
    <row r="111" hidden="1">
      <c r="A111" s="140" t="s">
        <v>131</v>
      </c>
      <c r="B111" s="164" t="s">
        <v>1009</v>
      </c>
      <c r="C111" s="28" t="s">
        <v>1010</v>
      </c>
      <c r="D111" s="28"/>
      <c r="E111" s="28"/>
      <c r="F111" s="161">
        <v>46.0</v>
      </c>
      <c r="G111" s="152" t="str">
        <f>IFERROR(__xludf.DUMMYFUNCTION("TRIM(REGEXREPLACE(C111, ""[0-9]+[a-f]?\."", """"))"),"Another location during missed followup")</f>
        <v>Another location during missed followup</v>
      </c>
      <c r="H111" s="152" t="str">
        <f>IFERROR(__xludf.DUMMYFUNCTION("TRIM(REGEXREPLACE(D111, ""[0-9]+[a-f]?\."", """"))"),"")</f>
        <v/>
      </c>
      <c r="I111" s="152" t="str">
        <f>IFERROR(__xludf.DUMMYFUNCTION("TRIM(REGEXREPLACE(E111, ""[0-9]+[a-f]?\."", """"))"),"")</f>
        <v/>
      </c>
      <c r="J111" s="152" t="s">
        <v>1126</v>
      </c>
      <c r="K111" s="152" t="s">
        <v>1127</v>
      </c>
      <c r="L111" s="152" t="s">
        <v>1128</v>
      </c>
      <c r="M111" s="152"/>
      <c r="N111" s="152"/>
      <c r="O111" s="152"/>
      <c r="P111" s="152"/>
      <c r="Q111" s="152"/>
      <c r="R111" s="152"/>
      <c r="S111" s="152"/>
      <c r="T111" s="152"/>
      <c r="U111" s="152"/>
      <c r="V111" s="152"/>
      <c r="W111" s="152"/>
      <c r="X111" s="152"/>
      <c r="Y111" s="152"/>
      <c r="Z111" s="152"/>
    </row>
    <row r="112">
      <c r="A112" s="68" t="s">
        <v>1016</v>
      </c>
      <c r="B112" s="169" t="s">
        <v>1017</v>
      </c>
      <c r="C112" s="28" t="s">
        <v>1132</v>
      </c>
      <c r="D112" s="28" t="s">
        <v>1133</v>
      </c>
      <c r="E112" s="28" t="s">
        <v>1134</v>
      </c>
      <c r="F112" s="161">
        <v>39.0</v>
      </c>
      <c r="G112" s="152" t="str">
        <f>IFERROR(__xludf.DUMMYFUNCTION("TRIM(REGEXREPLACE(C112, ""[0-9]+[a-f]?\."", """"))"),"What was the main reason you spent time in ${pm_missed_location} during ${pm_missed_period}?")</f>
        <v>What was the main reason you spent time in ${pm_missed_location} during ${pm_missed_period}?</v>
      </c>
      <c r="H112" s="152" t="str">
        <f>IFERROR(__xludf.DUMMYFUNCTION("TRIM(REGEXREPLACE(D112, ""[0-9]+[a-f]?\."", """"))"),"Quelle est la principale raison pour laquelle vous avez passé du temps à ${pm_missed_location} pendant ${pm_missed_period_french} ?")</f>
        <v>Quelle est la principale raison pour laquelle vous avez passé du temps à ${pm_missed_location} pendant ${pm_missed_period_french} ?</v>
      </c>
      <c r="I112" s="152" t="str">
        <f>IFERROR(__xludf.DUMMYFUNCTION("TRIM(REGEXREPLACE(E112, ""[0-9]+[a-f]?\."", """"))"),"Menene babban dalilin da ya sa ka zauna tsawon wani lokaci a ${pm_missed_location} lokacin ${pm_missed_period_hausa}?")</f>
        <v>Menene babban dalilin da ya sa ka zauna tsawon wani lokaci a ${pm_missed_location} lokacin ${pm_missed_period_hausa}?</v>
      </c>
      <c r="J112" s="152" t="s">
        <v>1018</v>
      </c>
      <c r="K112" s="152" t="s">
        <v>1020</v>
      </c>
      <c r="L112" s="152" t="s">
        <v>1022</v>
      </c>
      <c r="M112" s="152"/>
      <c r="N112" s="152"/>
      <c r="O112" s="152"/>
      <c r="P112" s="152"/>
      <c r="Q112" s="152"/>
      <c r="R112" s="152"/>
      <c r="S112" s="152"/>
      <c r="T112" s="152"/>
      <c r="U112" s="152"/>
      <c r="V112" s="152"/>
      <c r="W112" s="152"/>
      <c r="X112" s="152"/>
      <c r="Y112" s="152"/>
      <c r="Z112" s="152"/>
    </row>
    <row r="113">
      <c r="A113" s="68" t="s">
        <v>463</v>
      </c>
      <c r="B113" s="169" t="s">
        <v>1032</v>
      </c>
      <c r="C113" s="28" t="s">
        <v>1141</v>
      </c>
      <c r="D113" s="28" t="s">
        <v>1143</v>
      </c>
      <c r="E113" s="28" t="s">
        <v>1144</v>
      </c>
      <c r="F113" s="161">
        <v>40.0</v>
      </c>
      <c r="G113" s="152" t="str">
        <f>IFERROR(__xludf.DUMMYFUNCTION("TRIM(REGEXREPLACE(C113, ""[0-9]+[a-f]?\."", """"))"),"In ${pm_missed_location} during ${pm_missed_period} did you share money with your household in ${pm_home_location}?")</f>
        <v>In ${pm_missed_location} during ${pm_missed_period} did you share money with your household in ${pm_home_location}?</v>
      </c>
      <c r="H113" s="152" t="str">
        <f>IFERROR(__xludf.DUMMYFUNCTION("TRIM(REGEXREPLACE(D113, ""[0-9]+[a-f]?\."", """"))"),"À ${pm_missed_location} pendant ${pm_missed_period_french} avez-vous envoyé de l'argent a votre ménage à ${pm_home_location} ?")</f>
        <v>À ${pm_missed_location} pendant ${pm_missed_period_french} avez-vous envoyé de l'argent a votre ménage à ${pm_home_location} ?</v>
      </c>
      <c r="I113" s="152" t="str">
        <f>IFERROR(__xludf.DUMMYFUNCTION("TRIM(REGEXREPLACE(E113, ""[0-9]+[a-f]?\."", """"))"),"A cikin ${pm_missed_location} lokacin ${pm_missed_period_hausa} kun aika kuɗi zuwa gidanku a ${pm_home_location}?")</f>
        <v>A cikin ${pm_missed_location} lokacin ${pm_missed_period_hausa} kun aika kuɗi zuwa gidanku a ${pm_home_location}?</v>
      </c>
      <c r="J113" s="152" t="s">
        <v>1033</v>
      </c>
      <c r="K113" s="152" t="s">
        <v>1034</v>
      </c>
      <c r="L113" s="152" t="s">
        <v>1036</v>
      </c>
      <c r="M113" s="152"/>
      <c r="N113" s="152"/>
      <c r="O113" s="152"/>
      <c r="P113" s="152"/>
      <c r="Q113" s="152"/>
      <c r="R113" s="152"/>
      <c r="S113" s="152"/>
      <c r="T113" s="152"/>
      <c r="U113" s="152"/>
      <c r="V113" s="152"/>
      <c r="W113" s="152"/>
      <c r="X113" s="152"/>
      <c r="Y113" s="152"/>
      <c r="Z113" s="152"/>
    </row>
    <row r="114" hidden="1">
      <c r="A114" s="140" t="s">
        <v>131</v>
      </c>
      <c r="B114" s="193" t="s">
        <v>1045</v>
      </c>
      <c r="C114" s="183"/>
      <c r="D114" s="183"/>
      <c r="E114" s="183"/>
      <c r="F114" s="161">
        <v>49.0</v>
      </c>
      <c r="G114" s="152" t="str">
        <f>IFERROR(__xludf.DUMMYFUNCTION("TRIM(REGEXREPLACE(C114, ""[0-9]+[a-f]?\."", """"))"),"")</f>
        <v/>
      </c>
      <c r="H114" s="152" t="str">
        <f>IFERROR(__xludf.DUMMYFUNCTION("TRIM(REGEXREPLACE(D114, ""[0-9]+[a-f]?\."", """"))"),"")</f>
        <v/>
      </c>
      <c r="I114" s="152" t="str">
        <f>IFERROR(__xludf.DUMMYFUNCTION("TRIM(REGEXREPLACE(E114, ""[0-9]+[a-f]?\."", """"))"),"")</f>
        <v/>
      </c>
      <c r="J114" s="152" t="s">
        <v>1146</v>
      </c>
      <c r="K114" s="152" t="s">
        <v>1147</v>
      </c>
      <c r="L114" s="152" t="s">
        <v>1148</v>
      </c>
      <c r="M114" s="152"/>
      <c r="N114" s="152"/>
      <c r="O114" s="152"/>
      <c r="P114" s="152"/>
      <c r="Q114" s="152"/>
      <c r="R114" s="152"/>
      <c r="S114" s="152"/>
      <c r="T114" s="152"/>
      <c r="U114" s="152"/>
      <c r="V114" s="152"/>
      <c r="W114" s="152"/>
      <c r="X114" s="152"/>
      <c r="Y114" s="152"/>
      <c r="Z114" s="152"/>
    </row>
    <row r="115">
      <c r="A115" s="68" t="s">
        <v>1055</v>
      </c>
      <c r="B115" s="167" t="s">
        <v>1056</v>
      </c>
      <c r="C115" s="183" t="s">
        <v>1153</v>
      </c>
      <c r="D115" s="183" t="s">
        <v>1154</v>
      </c>
      <c r="E115" s="183" t="s">
        <v>1155</v>
      </c>
      <c r="F115" s="161">
        <v>41.0</v>
      </c>
      <c r="G115" s="152" t="str">
        <f>IFERROR(__xludf.DUMMYFUNCTION("TRIM(REGEXREPLACE(C115, ""[0-9]+[a-f]?\."", """"))"),"In ${pm_missed_location}, did you experienced any of the following situations or been threatened with them in a workplace?")</f>
        <v>In ${pm_missed_location}, did you experienced any of the following situations or been threatened with them in a workplace?</v>
      </c>
      <c r="H115" s="152" t="str">
        <f>IFERROR(__xludf.DUMMYFUNCTION("TRIM(REGEXREPLACE(D115, ""[0-9]+[a-f]?\."", """"))"),"À ${pm_missed_location}, avez-vous vécu l'une des situations suivantes ou en avez-vous été menacé sur votre lieu de travail ?")</f>
        <v>À ${pm_missed_location}, avez-vous vécu l'une des situations suivantes ou en avez-vous été menacé sur votre lieu de travail ?</v>
      </c>
      <c r="I115" s="152" t="str">
        <f>IFERROR(__xludf.DUMMYFUNCTION("TRIM(REGEXREPLACE(E115, ""[0-9]+[a-f]?\."", """"))"),"A ${pm_missed_location}, ko ka fuskanci ɗaya daga cikin waɗannan abubuwa ko an yi muku barazana da su a wurin aikin ku?")</f>
        <v>A ${pm_missed_location}, ko ka fuskanci ɗaya daga cikin waɗannan abubuwa ko an yi muku barazana da su a wurin aikin ku?</v>
      </c>
      <c r="J115" s="152" t="s">
        <v>1057</v>
      </c>
      <c r="K115" s="152" t="s">
        <v>1058</v>
      </c>
      <c r="L115" s="152" t="s">
        <v>1059</v>
      </c>
      <c r="M115" s="152"/>
      <c r="N115" s="152"/>
      <c r="O115" s="152"/>
      <c r="P115" s="152"/>
      <c r="Q115" s="152"/>
      <c r="R115" s="152"/>
      <c r="S115" s="152"/>
      <c r="T115" s="152"/>
      <c r="U115" s="152"/>
      <c r="V115" s="152"/>
      <c r="W115" s="152"/>
      <c r="X115" s="152"/>
      <c r="Y115" s="152"/>
      <c r="Z115" s="152"/>
    </row>
    <row r="116">
      <c r="A116" s="68" t="s">
        <v>1055</v>
      </c>
      <c r="B116" s="169" t="s">
        <v>1066</v>
      </c>
      <c r="C116" s="28" t="s">
        <v>1165</v>
      </c>
      <c r="D116" s="28" t="s">
        <v>1166</v>
      </c>
      <c r="E116" s="28" t="s">
        <v>1168</v>
      </c>
      <c r="F116" s="161">
        <v>42.0</v>
      </c>
      <c r="G116" s="152" t="str">
        <f>IFERROR(__xludf.DUMMYFUNCTION("TRIM(REGEXREPLACE(C116, ""[0-9]+[a-f]?\."", """"))"),"Had passport or other papers taken away")</f>
        <v>Had passport or other papers taken away</v>
      </c>
      <c r="H116" s="152" t="str">
        <f>IFERROR(__xludf.DUMMYFUNCTION("TRIM(REGEXREPLACE(D116, ""[0-9]+[a-f]?\."", """"))"),"confisquer votre Passeport ou autres papiers")</f>
        <v>confisquer votre Passeport ou autres papiers</v>
      </c>
      <c r="I116" s="152" t="str">
        <f>IFERROR(__xludf.DUMMYFUNCTION("TRIM(REGEXREPLACE(E116, ""[0-9]+[a-f]?\."", """"))"),"An karɓe muku fasfo ko wasu takardu")</f>
        <v>An karɓe muku fasfo ko wasu takardu</v>
      </c>
      <c r="J116" s="152" t="s">
        <v>1067</v>
      </c>
      <c r="K116" s="152" t="s">
        <v>1069</v>
      </c>
      <c r="L116" s="152" t="s">
        <v>1070</v>
      </c>
      <c r="M116" s="152"/>
      <c r="N116" s="152"/>
      <c r="O116" s="152"/>
      <c r="P116" s="152"/>
      <c r="Q116" s="152"/>
      <c r="R116" s="152"/>
      <c r="S116" s="152"/>
      <c r="T116" s="152"/>
      <c r="U116" s="152"/>
      <c r="V116" s="152"/>
      <c r="W116" s="152"/>
      <c r="X116" s="152"/>
      <c r="Y116" s="152"/>
      <c r="Z116" s="152"/>
    </row>
    <row r="117">
      <c r="A117" s="68" t="s">
        <v>1055</v>
      </c>
      <c r="B117" s="169" t="s">
        <v>1084</v>
      </c>
      <c r="C117" s="28" t="s">
        <v>1175</v>
      </c>
      <c r="D117" s="28" t="s">
        <v>1176</v>
      </c>
      <c r="E117" s="28" t="s">
        <v>1177</v>
      </c>
      <c r="F117" s="161">
        <v>43.0</v>
      </c>
      <c r="G117" s="152" t="str">
        <f>IFERROR(__xludf.DUMMYFUNCTION("TRIM(REGEXREPLACE(C117, ""[0-9]+[a-f]?\."", """"))"),"Been prevented from contacting friends or family")</f>
        <v>Been prevented from contacting friends or family</v>
      </c>
      <c r="H117" s="152" t="str">
        <f>IFERROR(__xludf.DUMMYFUNCTION("TRIM(REGEXREPLACE(D117, ""[0-9]+[a-f]?\."", """"))"),"Vous avez été empêché de contacter vos amis ou votre famille")</f>
        <v>Vous avez été empêché de contacter vos amis ou votre famille</v>
      </c>
      <c r="I117" s="152" t="str">
        <f>IFERROR(__xludf.DUMMYFUNCTION("TRIM(REGEXREPLACE(E117, ""[0-9]+[a-f]?\."", """"))"),"An hana ku tuntuɓar abokai ko dangi")</f>
        <v>An hana ku tuntuɓar abokai ko dangi</v>
      </c>
      <c r="J117" s="152" t="s">
        <v>1085</v>
      </c>
      <c r="K117" s="152" t="s">
        <v>1087</v>
      </c>
      <c r="L117" s="152" t="s">
        <v>1088</v>
      </c>
      <c r="M117" s="152"/>
      <c r="N117" s="152"/>
      <c r="O117" s="152"/>
      <c r="P117" s="152"/>
      <c r="Q117" s="152"/>
      <c r="R117" s="152"/>
      <c r="S117" s="152"/>
      <c r="T117" s="152"/>
      <c r="U117" s="152"/>
      <c r="V117" s="152"/>
      <c r="W117" s="152"/>
      <c r="X117" s="152"/>
      <c r="Y117" s="152"/>
      <c r="Z117" s="152"/>
    </row>
    <row r="118">
      <c r="A118" s="68" t="s">
        <v>1055</v>
      </c>
      <c r="B118" s="169" t="s">
        <v>1105</v>
      </c>
      <c r="C118" s="28" t="s">
        <v>1189</v>
      </c>
      <c r="D118" s="28" t="s">
        <v>1191</v>
      </c>
      <c r="E118" s="28" t="s">
        <v>1192</v>
      </c>
      <c r="F118" s="161">
        <v>44.0</v>
      </c>
      <c r="G118" s="152" t="str">
        <f>IFERROR(__xludf.DUMMYFUNCTION("TRIM(REGEXREPLACE(C118, ""[0-9]+[a-f]?\."", """"))"),"Been paid less than promised or not paid when promised")</f>
        <v>Been paid less than promised or not paid when promised</v>
      </c>
      <c r="H118" s="152" t="str">
        <f>IFERROR(__xludf.DUMMYFUNCTION("TRIM(REGEXREPLACE(D118, ""[0-9]+[a-f]?\."", """"))"),"A été payé moins que promis ou n'a pas été payé lorsque promis")</f>
        <v>A été payé moins que promis ou n'a pas été payé lorsque promis</v>
      </c>
      <c r="I118" s="152" t="str">
        <f>IFERROR(__xludf.DUMMYFUNCTION("TRIM(REGEXREPLACE(E118, ""[0-9]+[a-f]?\."", """"))"),"An biya ku ƙasa da abin da aka yi muku alkawari ko kuma ba a biya ku ba lokacin da aka yi alkawari")</f>
        <v>An biya ku ƙasa da abin da aka yi muku alkawari ko kuma ba a biya ku ba lokacin da aka yi alkawari</v>
      </c>
      <c r="J118" s="152" t="s">
        <v>1106</v>
      </c>
      <c r="K118" s="152" t="s">
        <v>1107</v>
      </c>
      <c r="L118" s="152" t="s">
        <v>1108</v>
      </c>
      <c r="M118" s="152"/>
      <c r="N118" s="152"/>
      <c r="O118" s="152"/>
      <c r="P118" s="152"/>
      <c r="Q118" s="152"/>
      <c r="R118" s="152"/>
      <c r="S118" s="152"/>
      <c r="T118" s="152"/>
      <c r="U118" s="152"/>
      <c r="V118" s="152"/>
      <c r="W118" s="152"/>
      <c r="X118" s="152"/>
      <c r="Y118" s="152"/>
      <c r="Z118" s="152"/>
    </row>
    <row r="119">
      <c r="A119" s="68" t="s">
        <v>1055</v>
      </c>
      <c r="B119" s="169" t="s">
        <v>1123</v>
      </c>
      <c r="C119" s="28" t="s">
        <v>1209</v>
      </c>
      <c r="D119" s="28" t="s">
        <v>1210</v>
      </c>
      <c r="E119" s="28" t="s">
        <v>1212</v>
      </c>
      <c r="F119" s="161">
        <v>45.0</v>
      </c>
      <c r="G119" s="152" t="str">
        <f>IFERROR(__xludf.DUMMYFUNCTION("TRIM(REGEXREPLACE(C119, ""[0-9]+[a-f]?\."", """"))"),"Been forced to pay off a debt to my employer before I could leave")</f>
        <v>Been forced to pay off a debt to my employer before I could leave</v>
      </c>
      <c r="H119" s="152" t="str">
        <f>IFERROR(__xludf.DUMMYFUNCTION("TRIM(REGEXREPLACE(D119, ""[0-9]+[a-f]?\."", """"))"),"A été obligé de payer une dette à mon employeur avant de pouvoir partir")</f>
        <v>A été obligé de payer une dette à mon employeur avant de pouvoir partir</v>
      </c>
      <c r="I119" s="152" t="str">
        <f>IFERROR(__xludf.DUMMYFUNCTION("TRIM(REGEXREPLACE(E119, ""[0-9]+[a-f]?\."", """"))"),"An tilasta muku biyan bashi ga mai gida kafin ku bar wurin aikin")</f>
        <v>An tilasta muku biyan bashi ga mai gida kafin ku bar wurin aikin</v>
      </c>
      <c r="J119" s="152" t="s">
        <v>1120</v>
      </c>
      <c r="K119" s="152" t="s">
        <v>1121</v>
      </c>
      <c r="L119" s="152" t="s">
        <v>1124</v>
      </c>
      <c r="M119" s="152"/>
      <c r="N119" s="152"/>
      <c r="O119" s="152"/>
      <c r="P119" s="152"/>
      <c r="Q119" s="152"/>
      <c r="R119" s="152"/>
      <c r="S119" s="152"/>
      <c r="T119" s="152"/>
      <c r="U119" s="152"/>
      <c r="V119" s="152"/>
      <c r="W119" s="152"/>
      <c r="X119" s="152"/>
      <c r="Y119" s="152"/>
      <c r="Z119" s="152"/>
    </row>
    <row r="120">
      <c r="A120" s="68" t="s">
        <v>1055</v>
      </c>
      <c r="B120" s="169" t="s">
        <v>1139</v>
      </c>
      <c r="C120" s="28" t="s">
        <v>1222</v>
      </c>
      <c r="D120" s="28" t="s">
        <v>1223</v>
      </c>
      <c r="E120" s="28" t="s">
        <v>1225</v>
      </c>
      <c r="F120" s="161">
        <v>46.0</v>
      </c>
      <c r="G120" s="152" t="str">
        <f>IFERROR(__xludf.DUMMYFUNCTION("TRIM(REGEXREPLACE(C120, ""[0-9]+[a-f]?\."", """"))"),"Experienced violence or physical restraint")</f>
        <v>Experienced violence or physical restraint</v>
      </c>
      <c r="H120" s="152" t="str">
        <f>IFERROR(__xludf.DUMMYFUNCTION("TRIM(REGEXREPLACE(D120, ""[0-9]+[a-f]?\."", """"))"),"A subi des violences ou des contraintes physiques")</f>
        <v>A subi des violences ou des contraintes physiques</v>
      </c>
      <c r="I120" s="152" t="str">
        <f>IFERROR(__xludf.DUMMYFUNCTION("TRIM(REGEXREPLACE(E120, ""[0-9]+[a-f]?\."", """"))"),"An matsa muku ko an kallafa muku abin da ku iyawa")</f>
        <v>An matsa muku ko an kallafa muku abin da ku iyawa</v>
      </c>
      <c r="J120" s="152" t="s">
        <v>1126</v>
      </c>
      <c r="K120" s="152" t="s">
        <v>1140</v>
      </c>
      <c r="L120" s="152" t="s">
        <v>1142</v>
      </c>
      <c r="M120" s="152"/>
      <c r="N120" s="152"/>
      <c r="O120" s="152"/>
      <c r="P120" s="152"/>
      <c r="Q120" s="152"/>
      <c r="R120" s="152"/>
      <c r="S120" s="152"/>
      <c r="T120" s="152"/>
      <c r="U120" s="152"/>
      <c r="V120" s="152"/>
      <c r="W120" s="152"/>
      <c r="X120" s="152"/>
      <c r="Y120" s="152"/>
      <c r="Z120" s="152"/>
    </row>
    <row r="121">
      <c r="A121" s="68" t="s">
        <v>1055</v>
      </c>
      <c r="B121" s="169" t="s">
        <v>1149</v>
      </c>
      <c r="C121" s="28" t="s">
        <v>1240</v>
      </c>
      <c r="D121" s="28" t="s">
        <v>1241</v>
      </c>
      <c r="E121" s="28" t="s">
        <v>1242</v>
      </c>
      <c r="F121" s="161">
        <v>47.0</v>
      </c>
      <c r="G121" s="152" t="str">
        <f>IFERROR(__xludf.DUMMYFUNCTION("TRIM(REGEXREPLACE(C121, ""[0-9]+[a-f]?\."", """"))"),"Forced to engage in actions against my will")</f>
        <v>Forced to engage in actions against my will</v>
      </c>
      <c r="H121" s="152" t="str">
        <f>IFERROR(__xludf.DUMMYFUNCTION("TRIM(REGEXREPLACE(D121, ""[0-9]+[a-f]?\."", """"))"),"Forcé de s'engager dans des actions contre ma volonté")</f>
        <v>Forcé de s'engager dans des actions contre ma volonté</v>
      </c>
      <c r="I121" s="152" t="str">
        <f>IFERROR(__xludf.DUMMYFUNCTION("TRIM(REGEXREPLACE(E121, ""[0-9]+[a-f]?\."", """"))"),"An tilasta muku da aikin ayyukan da ba ku so ba")</f>
        <v>An tilasta muku da aikin ayyukan da ba ku so ba</v>
      </c>
      <c r="J121" s="152" t="s">
        <v>1150</v>
      </c>
      <c r="K121" s="152" t="s">
        <v>1151</v>
      </c>
      <c r="L121" s="152" t="s">
        <v>1152</v>
      </c>
      <c r="M121" s="152"/>
      <c r="N121" s="152"/>
      <c r="O121" s="152"/>
      <c r="P121" s="152"/>
      <c r="Q121" s="152"/>
      <c r="R121" s="152"/>
      <c r="S121" s="152"/>
      <c r="T121" s="152"/>
      <c r="U121" s="152"/>
      <c r="V121" s="152"/>
      <c r="W121" s="152"/>
      <c r="X121" s="152"/>
      <c r="Y121" s="152"/>
      <c r="Z121" s="152"/>
    </row>
    <row r="122" hidden="1">
      <c r="A122" s="140" t="s">
        <v>237</v>
      </c>
      <c r="B122" s="193" t="s">
        <v>1045</v>
      </c>
      <c r="C122" s="28"/>
      <c r="D122" s="28"/>
      <c r="E122" s="28"/>
      <c r="F122" s="161">
        <v>52.0</v>
      </c>
      <c r="G122" s="152" t="str">
        <f>IFERROR(__xludf.DUMMYFUNCTION("TRIM(REGEXREPLACE(C122, ""[0-9]+[a-f]?\."", """"))"),"")</f>
        <v/>
      </c>
      <c r="H122" s="152" t="str">
        <f>IFERROR(__xludf.DUMMYFUNCTION("TRIM(REGEXREPLACE(D122, ""[0-9]+[a-f]?\."", """"))"),"")</f>
        <v/>
      </c>
      <c r="I122" s="152" t="str">
        <f>IFERROR(__xludf.DUMMYFUNCTION("TRIM(REGEXREPLACE(E122, ""[0-9]+[a-f]?\."", """"))"),"")</f>
        <v/>
      </c>
      <c r="J122" s="152" t="s">
        <v>1260</v>
      </c>
      <c r="K122" s="152" t="s">
        <v>1261</v>
      </c>
      <c r="L122" s="152" t="s">
        <v>1261</v>
      </c>
      <c r="M122" s="152"/>
      <c r="N122" s="152"/>
      <c r="O122" s="152"/>
      <c r="P122" s="152"/>
      <c r="Q122" s="152"/>
      <c r="R122" s="152"/>
      <c r="S122" s="152"/>
      <c r="T122" s="152"/>
      <c r="U122" s="152"/>
      <c r="V122" s="152"/>
      <c r="W122" s="152"/>
      <c r="X122" s="152"/>
      <c r="Y122" s="152"/>
      <c r="Z122" s="152"/>
    </row>
    <row r="123" hidden="1">
      <c r="A123" s="140" t="s">
        <v>237</v>
      </c>
      <c r="B123" s="191" t="s">
        <v>1009</v>
      </c>
      <c r="C123" s="28" t="s">
        <v>1010</v>
      </c>
      <c r="D123" s="28"/>
      <c r="E123" s="28"/>
      <c r="F123" s="161">
        <v>51.0</v>
      </c>
      <c r="G123" s="152" t="str">
        <f>IFERROR(__xludf.DUMMYFUNCTION("TRIM(REGEXREPLACE(C123, ""[0-9]+[a-f]?\."", """"))"),"Another location during missed followup")</f>
        <v>Another location during missed followup</v>
      </c>
      <c r="H123" s="152" t="str">
        <f>IFERROR(__xludf.DUMMYFUNCTION("TRIM(REGEXREPLACE(D123, ""[0-9]+[a-f]?\."", """"))"),"")</f>
        <v/>
      </c>
      <c r="I123" s="152" t="str">
        <f>IFERROR(__xludf.DUMMYFUNCTION("TRIM(REGEXREPLACE(E123, ""[0-9]+[a-f]?\."", """"))"),"")</f>
        <v/>
      </c>
      <c r="J123" s="152" t="s">
        <v>1277</v>
      </c>
      <c r="K123" s="152" t="s">
        <v>1278</v>
      </c>
      <c r="L123" s="152" t="s">
        <v>1279</v>
      </c>
      <c r="M123" s="152"/>
      <c r="N123" s="152"/>
      <c r="O123" s="152"/>
      <c r="P123" s="152"/>
      <c r="Q123" s="152"/>
      <c r="R123" s="152"/>
      <c r="S123" s="152"/>
      <c r="T123" s="152"/>
      <c r="U123" s="152"/>
      <c r="V123" s="152"/>
      <c r="W123" s="152"/>
      <c r="X123" s="152"/>
      <c r="Y123" s="152"/>
      <c r="Z123" s="152"/>
    </row>
    <row r="124" hidden="1">
      <c r="A124" s="174" t="s">
        <v>1015</v>
      </c>
      <c r="B124" s="204" t="s">
        <v>702</v>
      </c>
      <c r="C124" s="28" t="s">
        <v>705</v>
      </c>
      <c r="D124" s="28"/>
      <c r="E124" s="28"/>
      <c r="F124" s="161">
        <v>50.0</v>
      </c>
      <c r="G124" s="152" t="str">
        <f>IFERROR(__xludf.DUMMYFUNCTION("TRIM(REGEXREPLACE(C124, ""[0-9]+[a-f]?\."", """"))"),"Missed locations")</f>
        <v>Missed locations</v>
      </c>
      <c r="H124" s="152" t="str">
        <f>IFERROR(__xludf.DUMMYFUNCTION("TRIM(REGEXREPLACE(D124, ""[0-9]+[a-f]?\."", """"))"),"")</f>
        <v/>
      </c>
      <c r="I124" s="152" t="str">
        <f>IFERROR(__xludf.DUMMYFUNCTION("TRIM(REGEXREPLACE(E124, ""[0-9]+[a-f]?\."", """"))"),"")</f>
        <v/>
      </c>
      <c r="J124" s="152" t="s">
        <v>1286</v>
      </c>
      <c r="K124" s="152" t="s">
        <v>1287</v>
      </c>
      <c r="L124" s="152" t="s">
        <v>1289</v>
      </c>
      <c r="M124" s="152"/>
      <c r="N124" s="152"/>
      <c r="O124" s="152"/>
      <c r="P124" s="152"/>
      <c r="Q124" s="152"/>
      <c r="R124" s="152"/>
      <c r="S124" s="152"/>
      <c r="T124" s="152"/>
      <c r="U124" s="152"/>
      <c r="V124" s="152"/>
      <c r="W124" s="152"/>
      <c r="X124" s="152"/>
      <c r="Y124" s="152"/>
      <c r="Z124" s="152"/>
    </row>
    <row r="125">
      <c r="A125" s="68" t="s">
        <v>463</v>
      </c>
      <c r="B125" s="169" t="s">
        <v>1233</v>
      </c>
      <c r="C125" s="28" t="s">
        <v>1296</v>
      </c>
      <c r="D125" s="28" t="s">
        <v>1297</v>
      </c>
      <c r="E125" s="28" t="s">
        <v>1298</v>
      </c>
      <c r="F125" s="161">
        <v>48.0</v>
      </c>
      <c r="G125" s="152" t="str">
        <f>IFERROR(__xludf.DUMMYFUNCTION("TRIM(REGEXREPLACE(C125, ""[0-9]+[a-f]?\."", """"))"),"During ${pm_missed_period}, did you ever plan to migrate but then have to cancel your plans?")</f>
        <v>During ${pm_missed_period}, did you ever plan to migrate but then have to cancel your plans?</v>
      </c>
      <c r="H125" s="152" t="str">
        <f>IFERROR(__xludf.DUMMYFUNCTION("TRIM(REGEXREPLACE(D125, ""[0-9]+[a-f]?\."", """"))"),"Pendant ${pm_missed_period_french}, avez-vous déjà prévu de migrer, mais ensuite vous avez dû annuler votre projet ?")</f>
        <v>Pendant ${pm_missed_period_french}, avez-vous déjà prévu de migrer, mais ensuite vous avez dû annuler votre projet ?</v>
      </c>
      <c r="I125" s="152" t="str">
        <f>IFERROR(__xludf.DUMMYFUNCTION("TRIM(REGEXREPLACE(E125, ""[0-9]+[a-f]?\."", """"))"),"A lokacin ${pm_missed_period_hausa}, ko ka taɓa tsara zuwa biɗa amma sai ka fasa daga baya ?")</f>
        <v>A lokacin ${pm_missed_period_hausa}, ko ka taɓa tsara zuwa biɗa amma sai ka fasa daga baya ?</v>
      </c>
      <c r="J125" s="152" t="s">
        <v>1234</v>
      </c>
      <c r="K125" s="152" t="s">
        <v>1235</v>
      </c>
      <c r="L125" s="152" t="s">
        <v>1236</v>
      </c>
      <c r="M125" s="152"/>
      <c r="N125" s="152"/>
      <c r="O125" s="152"/>
      <c r="P125" s="152"/>
      <c r="Q125" s="152"/>
      <c r="R125" s="152"/>
      <c r="S125" s="152"/>
      <c r="T125" s="152"/>
      <c r="U125" s="152"/>
      <c r="V125" s="152"/>
      <c r="W125" s="152"/>
      <c r="X125" s="152"/>
      <c r="Y125" s="152"/>
      <c r="Z125" s="152"/>
    </row>
    <row r="126">
      <c r="A126" s="68" t="s">
        <v>1250</v>
      </c>
      <c r="B126" s="169" t="s">
        <v>1251</v>
      </c>
      <c r="C126" s="183" t="s">
        <v>1308</v>
      </c>
      <c r="D126" s="183" t="s">
        <v>1309</v>
      </c>
      <c r="E126" s="183" t="s">
        <v>1310</v>
      </c>
      <c r="F126" s="161">
        <v>49.0</v>
      </c>
      <c r="G126" s="152" t="str">
        <f>IFERROR(__xludf.DUMMYFUNCTION("TRIM(REGEXREPLACE(C126, ""[0-9]+[a-f]?\."", """"))"),"I've asked you questions about your life in the ${pm_missed_period} in order to better understand your experiences. Is there anything else that has happened during this time that has changed your life in an important way?
 Enumerator: do not read option"&amp;"s, code based on response")</f>
        <v>I've asked you questions about your life in the ${pm_missed_period} in order to better understand your experiences. Is there anything else that has happened during this time that has changed your life in an important way?
 Enumerator: do not read options, code based on response</v>
      </c>
      <c r="H126" s="152" t="str">
        <f>IFERROR(__xludf.DUMMYFUNCTION("TRIM(REGEXREPLACE(D126, ""[0-9]+[a-f]?\."", """"))"),"Je vous ai posé questions sur votre vie au cours de ${pm_missed_period_french} afin de mieux comprendre vos expériences. Y a-t-il autre chose qui vous est arrivé récemment qui a changé votre vie de manière importante ?")</f>
        <v>Je vous ai posé questions sur votre vie au cours de ${pm_missed_period_french} afin de mieux comprendre vos expériences. Y a-t-il autre chose qui vous est arrivé récemment qui a changé votre vie de manière importante ?</v>
      </c>
      <c r="I126" s="152" t="str">
        <f>IFERROR(__xludf.DUMMYFUNCTION("TRIM(REGEXREPLACE(E126, ""[0-9]+[a-f]?\."", """"))"),"Na yi muku da dama game da rayuwar ku ${pm_missed_period_hausa} don ƙara gane yadda ku ka kware da tafiyar da raywar ku . Ko akwai wani abu da ya faru da ku kwanan nan wanda ya kawo muhimmin canji ga rayuwarku?")</f>
        <v>Na yi muku da dama game da rayuwar ku ${pm_missed_period_hausa} don ƙara gane yadda ku ka kware da tafiyar da raywar ku . Ko akwai wani abu da ya faru da ku kwanan nan wanda ya kawo muhimmin canji ga rayuwarku?</v>
      </c>
      <c r="J126" s="152" t="s">
        <v>1252</v>
      </c>
      <c r="K126" s="152" t="s">
        <v>1253</v>
      </c>
      <c r="L126" s="152" t="s">
        <v>1254</v>
      </c>
      <c r="M126" s="152"/>
      <c r="N126" s="152"/>
      <c r="O126" s="152"/>
      <c r="P126" s="152"/>
      <c r="Q126" s="152"/>
      <c r="R126" s="152"/>
      <c r="S126" s="152"/>
      <c r="T126" s="152"/>
      <c r="U126" s="152"/>
      <c r="V126" s="152"/>
      <c r="W126" s="152"/>
      <c r="X126" s="152"/>
      <c r="Y126" s="152"/>
      <c r="Z126" s="152"/>
    </row>
    <row r="127">
      <c r="A127" s="179" t="s">
        <v>246</v>
      </c>
      <c r="B127" s="180" t="s">
        <v>1268</v>
      </c>
      <c r="C127" s="28" t="s">
        <v>1323</v>
      </c>
      <c r="D127" s="28" t="s">
        <v>1324</v>
      </c>
      <c r="E127" s="28" t="s">
        <v>1326</v>
      </c>
      <c r="F127" s="161">
        <v>50.0</v>
      </c>
      <c r="G127" s="152" t="str">
        <f>IFERROR(__xludf.DUMMYFUNCTION("TRIM(REGEXREPLACE(C127, ""[0-9]+[a-f]?\."", """"))"),"Enumerator: Briefly summarize the changes described by the respondent")</f>
        <v>Enumerator: Briefly summarize the changes described by the respondent</v>
      </c>
      <c r="H127" s="152" t="str">
        <f>IFERROR(__xludf.DUMMYFUNCTION("TRIM(REGEXREPLACE(D127, ""[0-9]+[a-f]?\."", """"))"),"Enquêteur : Résumez brièvement les changements décrits par le répondant")</f>
        <v>Enquêteur : Résumez brièvement les changements décrits par le répondant</v>
      </c>
      <c r="I127" s="152" t="str">
        <f>IFERROR(__xludf.DUMMYFUNCTION("TRIM(REGEXREPLACE(E127, ""[0-9]+[a-f]?\."", """"))"),"Ɗan bincike A taƙaita canje-canjen da mai bada amsa ya baiyana")</f>
        <v>Ɗan bincike A taƙaita canje-canjen da mai bada amsa ya baiyana</v>
      </c>
      <c r="J127" s="152" t="s">
        <v>1269</v>
      </c>
      <c r="K127" s="152" t="s">
        <v>1270</v>
      </c>
      <c r="L127" s="152" t="s">
        <v>1272</v>
      </c>
      <c r="M127" s="152"/>
      <c r="N127" s="152"/>
      <c r="O127" s="152"/>
      <c r="P127" s="152"/>
      <c r="Q127" s="152"/>
      <c r="R127" s="152"/>
      <c r="S127" s="152"/>
      <c r="T127" s="152"/>
      <c r="U127" s="152"/>
      <c r="V127" s="152"/>
      <c r="W127" s="152"/>
      <c r="X127" s="152"/>
      <c r="Y127" s="152"/>
      <c r="Z127" s="152"/>
    </row>
    <row r="128" hidden="1">
      <c r="A128" s="65" t="s">
        <v>134</v>
      </c>
      <c r="B128" s="66" t="s">
        <v>1294</v>
      </c>
      <c r="C128" s="28"/>
      <c r="D128" s="28"/>
      <c r="E128" s="28"/>
      <c r="F128" s="161">
        <v>57.0</v>
      </c>
      <c r="G128" s="152" t="str">
        <f>IFERROR(__xludf.DUMMYFUNCTION("TRIM(REGEXREPLACE(C128, ""[0-9]+[a-f]?\."", """"))"),"")</f>
        <v/>
      </c>
      <c r="H128" s="152" t="str">
        <f>IFERROR(__xludf.DUMMYFUNCTION("TRIM(REGEXREPLACE(D128, ""[0-9]+[a-f]?\."", """"))"),"")</f>
        <v/>
      </c>
      <c r="I128" s="152" t="str">
        <f>IFERROR(__xludf.DUMMYFUNCTION("TRIM(REGEXREPLACE(E128, ""[0-9]+[a-f]?\."", """"))"),"")</f>
        <v/>
      </c>
      <c r="J128" s="152" t="s">
        <v>1335</v>
      </c>
      <c r="K128" s="152" t="s">
        <v>1336</v>
      </c>
      <c r="L128" s="152" t="s">
        <v>1338</v>
      </c>
      <c r="M128" s="152"/>
      <c r="N128" s="152"/>
      <c r="O128" s="152"/>
      <c r="P128" s="152"/>
      <c r="Q128" s="152"/>
      <c r="R128" s="152"/>
      <c r="S128" s="152"/>
      <c r="T128" s="152"/>
      <c r="U128" s="152"/>
      <c r="V128" s="152"/>
      <c r="W128" s="152"/>
      <c r="X128" s="152"/>
      <c r="Y128" s="152"/>
      <c r="Z128" s="152"/>
    </row>
    <row r="129" hidden="1">
      <c r="A129" s="58" t="s">
        <v>78</v>
      </c>
      <c r="B129" s="58" t="s">
        <v>1313</v>
      </c>
      <c r="C129" s="28"/>
      <c r="D129" s="28"/>
      <c r="E129" s="28"/>
      <c r="F129" s="161">
        <v>53.0</v>
      </c>
      <c r="G129" s="152" t="str">
        <f>IFERROR(__xludf.DUMMYFUNCTION("TRIM(REGEXREPLACE(C129, ""[0-9]+[a-f]?\."", """"))"),"")</f>
        <v/>
      </c>
      <c r="H129" s="152" t="str">
        <f>IFERROR(__xludf.DUMMYFUNCTION("TRIM(REGEXREPLACE(D129, ""[0-9]+[a-f]?\."", """"))"),"")</f>
        <v/>
      </c>
      <c r="I129" s="152" t="str">
        <f>IFERROR(__xludf.DUMMYFUNCTION("TRIM(REGEXREPLACE(E129, ""[0-9]+[a-f]?\."", """"))"),"")</f>
        <v/>
      </c>
      <c r="J129" s="152" t="s">
        <v>1344</v>
      </c>
      <c r="K129" s="152" t="s">
        <v>1345</v>
      </c>
      <c r="L129" s="152" t="s">
        <v>1346</v>
      </c>
      <c r="M129" s="152"/>
      <c r="N129" s="152"/>
      <c r="O129" s="152"/>
      <c r="P129" s="152"/>
      <c r="Q129" s="152"/>
      <c r="R129" s="152"/>
      <c r="S129" s="152"/>
      <c r="T129" s="152"/>
      <c r="U129" s="152"/>
      <c r="V129" s="152"/>
      <c r="W129" s="152"/>
      <c r="X129" s="152"/>
      <c r="Y129" s="152"/>
      <c r="Z129" s="152"/>
    </row>
    <row r="130" hidden="1">
      <c r="A130" s="140" t="s">
        <v>237</v>
      </c>
      <c r="B130" s="191" t="s">
        <v>623</v>
      </c>
      <c r="C130" s="28" t="s">
        <v>625</v>
      </c>
      <c r="D130" s="28"/>
      <c r="E130" s="28"/>
      <c r="F130" s="161">
        <v>54.0</v>
      </c>
      <c r="G130" s="152" t="str">
        <f>IFERROR(__xludf.DUMMYFUNCTION("TRIM(REGEXREPLACE(C130, ""[0-9]+[a-f]?\."", """"))"),"Missed Previous Followup")</f>
        <v>Missed Previous Followup</v>
      </c>
      <c r="H130" s="152" t="str">
        <f>IFERROR(__xludf.DUMMYFUNCTION("TRIM(REGEXREPLACE(D130, ""[0-9]+[a-f]?\."", """"))"),"")</f>
        <v/>
      </c>
      <c r="I130" s="152" t="str">
        <f>IFERROR(__xludf.DUMMYFUNCTION("TRIM(REGEXREPLACE(E130, ""[0-9]+[a-f]?\."", """"))"),"")</f>
        <v/>
      </c>
      <c r="J130" s="152" t="s">
        <v>1355</v>
      </c>
      <c r="K130" s="152" t="s">
        <v>1356</v>
      </c>
      <c r="L130" s="152" t="s">
        <v>1358</v>
      </c>
      <c r="M130" s="152"/>
      <c r="N130" s="152"/>
      <c r="O130" s="152"/>
      <c r="P130" s="152"/>
      <c r="Q130" s="152"/>
      <c r="R130" s="152"/>
      <c r="S130" s="152"/>
      <c r="T130" s="152"/>
      <c r="U130" s="152"/>
      <c r="V130" s="152"/>
      <c r="W130" s="152"/>
      <c r="X130" s="152"/>
      <c r="Y130" s="152"/>
      <c r="Z130" s="152"/>
    </row>
    <row r="131" hidden="1">
      <c r="A131" s="140"/>
      <c r="B131" s="164"/>
      <c r="C131" s="28"/>
      <c r="D131" s="28"/>
      <c r="E131" s="28"/>
      <c r="F131" s="161">
        <v>55.0</v>
      </c>
      <c r="G131" s="152" t="str">
        <f>IFERROR(__xludf.DUMMYFUNCTION("TRIM(REGEXREPLACE(C131, ""[0-9]+[a-f]?\."", """"))"),"")</f>
        <v/>
      </c>
      <c r="H131" s="152" t="str">
        <f>IFERROR(__xludf.DUMMYFUNCTION("TRIM(REGEXREPLACE(D131, ""[0-9]+[a-f]?\."", """"))"),"")</f>
        <v/>
      </c>
      <c r="I131" s="152" t="str">
        <f>IFERROR(__xludf.DUMMYFUNCTION("TRIM(REGEXREPLACE(E131, ""[0-9]+[a-f]?\."", """"))"),"")</f>
        <v/>
      </c>
      <c r="J131" s="152" t="s">
        <v>1369</v>
      </c>
      <c r="K131" s="152" t="s">
        <v>1370</v>
      </c>
      <c r="L131" s="152" t="s">
        <v>1371</v>
      </c>
      <c r="M131" s="152"/>
      <c r="N131" s="152"/>
      <c r="O131" s="152"/>
      <c r="P131" s="152"/>
      <c r="Q131" s="152"/>
      <c r="R131" s="152"/>
      <c r="S131" s="152"/>
      <c r="T131" s="152"/>
      <c r="U131" s="152"/>
      <c r="V131" s="152"/>
      <c r="W131" s="152"/>
      <c r="X131" s="152"/>
      <c r="Y131" s="152"/>
      <c r="Z131" s="152"/>
    </row>
    <row r="132" hidden="1">
      <c r="A132" s="140" t="s">
        <v>131</v>
      </c>
      <c r="B132" s="164" t="s">
        <v>1362</v>
      </c>
      <c r="C132" s="28" t="s">
        <v>1364</v>
      </c>
      <c r="D132" s="28" t="s">
        <v>1366</v>
      </c>
      <c r="E132" s="28" t="s">
        <v>1368</v>
      </c>
      <c r="F132" s="161">
        <v>56.0</v>
      </c>
      <c r="G132" s="152" t="str">
        <f>IFERROR(__xludf.DUMMYFUNCTION("TRIM(REGEXREPLACE(C132, ""[0-9]+[a-f]?\."", """"))"),"Periods")</f>
        <v>Periods</v>
      </c>
      <c r="H132" s="152" t="str">
        <f>IFERROR(__xludf.DUMMYFUNCTION("TRIM(REGEXREPLACE(D132, ""[0-9]+[a-f]?\."", """"))"),"Périodes")</f>
        <v>Périodes</v>
      </c>
      <c r="I132" s="152" t="str">
        <f>IFERROR(__xludf.DUMMYFUNCTION("TRIM(REGEXREPLACE(E132, ""[0-9]+[a-f]?\."", """"))"),"Lokaci")</f>
        <v>Lokaci</v>
      </c>
      <c r="J132" s="152" t="s">
        <v>1374</v>
      </c>
      <c r="K132" s="152" t="s">
        <v>1375</v>
      </c>
      <c r="L132" s="152" t="s">
        <v>1376</v>
      </c>
      <c r="M132" s="152"/>
      <c r="N132" s="152"/>
      <c r="O132" s="152"/>
      <c r="P132" s="152"/>
      <c r="Q132" s="152"/>
      <c r="R132" s="152"/>
      <c r="S132" s="152"/>
      <c r="T132" s="152"/>
      <c r="U132" s="152"/>
      <c r="V132" s="152"/>
      <c r="W132" s="152"/>
      <c r="X132" s="152"/>
      <c r="Y132" s="152"/>
      <c r="Z132" s="152"/>
    </row>
    <row r="133" hidden="1">
      <c r="A133" s="65" t="s">
        <v>134</v>
      </c>
      <c r="B133" s="66" t="s">
        <v>1380</v>
      </c>
      <c r="C133" s="28"/>
      <c r="D133" s="28"/>
      <c r="E133" s="28"/>
      <c r="F133" s="161">
        <v>57.0</v>
      </c>
      <c r="G133" s="152" t="str">
        <f>IFERROR(__xludf.DUMMYFUNCTION("TRIM(REGEXREPLACE(C133, ""[0-9]+[a-f]?\."", """"))"),"")</f>
        <v/>
      </c>
      <c r="H133" s="152" t="str">
        <f>IFERROR(__xludf.DUMMYFUNCTION("TRIM(REGEXREPLACE(D133, ""[0-9]+[a-f]?\."", """"))"),"")</f>
        <v/>
      </c>
      <c r="I133" s="152" t="str">
        <f>IFERROR(__xludf.DUMMYFUNCTION("TRIM(REGEXREPLACE(E133, ""[0-9]+[a-f]?\."", """"))"),"")</f>
        <v/>
      </c>
      <c r="J133" s="152" t="s">
        <v>1335</v>
      </c>
      <c r="K133" s="152" t="s">
        <v>1336</v>
      </c>
      <c r="L133" s="152" t="s">
        <v>1338</v>
      </c>
      <c r="M133" s="152"/>
      <c r="N133" s="152"/>
      <c r="O133" s="152"/>
      <c r="P133" s="152"/>
      <c r="Q133" s="152"/>
      <c r="R133" s="152"/>
      <c r="S133" s="152"/>
      <c r="T133" s="152"/>
      <c r="U133" s="152"/>
      <c r="V133" s="152"/>
      <c r="W133" s="152"/>
      <c r="X133" s="152"/>
      <c r="Y133" s="152"/>
      <c r="Z133" s="152"/>
    </row>
    <row r="134" hidden="1">
      <c r="A134" s="214" t="s">
        <v>134</v>
      </c>
      <c r="B134" s="66" t="s">
        <v>1381</v>
      </c>
      <c r="C134" s="28"/>
      <c r="D134" s="28"/>
      <c r="E134" s="28"/>
      <c r="F134" s="161">
        <v>9.0</v>
      </c>
      <c r="G134" s="152" t="str">
        <f>IFERROR(__xludf.DUMMYFUNCTION("TRIM(REGEXREPLACE(C134, ""[0-9]+[a-f]?\."", """"))"),"")</f>
        <v/>
      </c>
      <c r="H134" s="152" t="str">
        <f>IFERROR(__xludf.DUMMYFUNCTION("TRIM(REGEXREPLACE(D134, ""[0-9]+[a-f]?\."", """"))"),"")</f>
        <v/>
      </c>
      <c r="I134" s="152" t="str">
        <f>IFERROR(__xludf.DUMMYFUNCTION("TRIM(REGEXREPLACE(E134, ""[0-9]+[a-f]?\."", """"))"),"")</f>
        <v/>
      </c>
      <c r="J134" s="152" t="str">
        <f t="shared" ref="J134:L134" si="7">$F134 &amp; ". " &amp;G134</f>
        <v>9. </v>
      </c>
      <c r="K134" s="152" t="str">
        <f t="shared" si="7"/>
        <v>9. </v>
      </c>
      <c r="L134" s="152" t="str">
        <f t="shared" si="7"/>
        <v>9. </v>
      </c>
      <c r="M134" s="152"/>
      <c r="N134" s="152"/>
      <c r="O134" s="152"/>
      <c r="P134" s="152"/>
      <c r="Q134" s="152"/>
      <c r="R134" s="152"/>
      <c r="S134" s="152"/>
      <c r="T134" s="152"/>
      <c r="U134" s="152"/>
      <c r="V134" s="152"/>
      <c r="W134" s="152"/>
      <c r="X134" s="152"/>
      <c r="Y134" s="152"/>
      <c r="Z134" s="152"/>
    </row>
    <row r="135" hidden="1">
      <c r="A135" s="90" t="s">
        <v>78</v>
      </c>
      <c r="B135" s="154" t="s">
        <v>1383</v>
      </c>
      <c r="C135" s="28"/>
      <c r="D135" s="28"/>
      <c r="E135" s="28"/>
      <c r="F135" s="161">
        <v>58.0</v>
      </c>
      <c r="G135" s="152" t="str">
        <f>IFERROR(__xludf.DUMMYFUNCTION("TRIM(REGEXREPLACE(C135, ""[0-9]+[a-f]?\."", """"))"),"")</f>
        <v/>
      </c>
      <c r="H135" s="152" t="str">
        <f>IFERROR(__xludf.DUMMYFUNCTION("TRIM(REGEXREPLACE(D135, ""[0-9]+[a-f]?\."", """"))"),"")</f>
        <v/>
      </c>
      <c r="I135" s="152" t="str">
        <f>IFERROR(__xludf.DUMMYFUNCTION("TRIM(REGEXREPLACE(E135, ""[0-9]+[a-f]?\."", """"))"),"")</f>
        <v/>
      </c>
      <c r="J135" s="152" t="s">
        <v>1384</v>
      </c>
      <c r="K135" s="152" t="s">
        <v>1385</v>
      </c>
      <c r="L135" s="152" t="s">
        <v>1386</v>
      </c>
      <c r="M135" s="152"/>
      <c r="N135" s="152"/>
      <c r="O135" s="152"/>
      <c r="P135" s="152"/>
      <c r="Q135" s="152"/>
      <c r="R135" s="152"/>
      <c r="S135" s="152"/>
      <c r="T135" s="152"/>
      <c r="U135" s="152"/>
      <c r="V135" s="152"/>
      <c r="W135" s="152"/>
      <c r="X135" s="152"/>
      <c r="Y135" s="152"/>
      <c r="Z135" s="152"/>
    </row>
    <row r="136" hidden="1">
      <c r="A136" s="174" t="s">
        <v>698</v>
      </c>
      <c r="B136" s="215" t="s">
        <v>1388</v>
      </c>
      <c r="C136" s="28" t="s">
        <v>1389</v>
      </c>
      <c r="D136" s="28"/>
      <c r="E136" s="28"/>
      <c r="F136" s="161">
        <v>60.0</v>
      </c>
      <c r="G136" s="152" t="str">
        <f>IFERROR(__xludf.DUMMYFUNCTION("TRIM(REGEXREPLACE(C136, ""[0-9]+[a-f]?\."", """"))"),"Roster")</f>
        <v>Roster</v>
      </c>
      <c r="H136" s="152" t="str">
        <f>IFERROR(__xludf.DUMMYFUNCTION("TRIM(REGEXREPLACE(D136, ""[0-9]+[a-f]?\."", """"))"),"")</f>
        <v/>
      </c>
      <c r="I136" s="152" t="str">
        <f>IFERROR(__xludf.DUMMYFUNCTION("TRIM(REGEXREPLACE(E136, ""[0-9]+[a-f]?\."", """"))"),"")</f>
        <v/>
      </c>
      <c r="J136" s="152" t="s">
        <v>1392</v>
      </c>
      <c r="K136" s="152" t="s">
        <v>1393</v>
      </c>
      <c r="L136" s="152" t="s">
        <v>1395</v>
      </c>
      <c r="M136" s="152"/>
      <c r="N136" s="152"/>
      <c r="O136" s="152"/>
      <c r="P136" s="152"/>
      <c r="Q136" s="152"/>
      <c r="R136" s="152"/>
      <c r="S136" s="152"/>
      <c r="T136" s="152"/>
      <c r="U136" s="152"/>
      <c r="V136" s="152"/>
      <c r="W136" s="152"/>
      <c r="X136" s="152"/>
      <c r="Y136" s="152"/>
      <c r="Z136" s="152"/>
    </row>
    <row r="137" hidden="1">
      <c r="A137" s="90" t="s">
        <v>78</v>
      </c>
      <c r="B137" s="216" t="s">
        <v>1396</v>
      </c>
      <c r="C137" s="28"/>
      <c r="D137" s="28"/>
      <c r="E137" s="28"/>
      <c r="F137" s="161">
        <v>61.0</v>
      </c>
      <c r="G137" s="152" t="str">
        <f>IFERROR(__xludf.DUMMYFUNCTION("TRIM(REGEXREPLACE(C137, ""[0-9]+[a-f]?\."", """"))"),"")</f>
        <v/>
      </c>
      <c r="H137" s="152" t="str">
        <f>IFERROR(__xludf.DUMMYFUNCTION("TRIM(REGEXREPLACE(D137, ""[0-9]+[a-f]?\."", """"))"),"")</f>
        <v/>
      </c>
      <c r="I137" s="152" t="str">
        <f>IFERROR(__xludf.DUMMYFUNCTION("TRIM(REGEXREPLACE(E137, ""[0-9]+[a-f]?\."", """"))"),"")</f>
        <v/>
      </c>
      <c r="J137" s="152" t="s">
        <v>1397</v>
      </c>
      <c r="K137" s="152" t="s">
        <v>1398</v>
      </c>
      <c r="L137" s="152" t="s">
        <v>1399</v>
      </c>
      <c r="M137" s="152"/>
      <c r="N137" s="152"/>
      <c r="O137" s="152"/>
      <c r="P137" s="152"/>
      <c r="Q137" s="152"/>
      <c r="R137" s="152"/>
      <c r="S137" s="152"/>
      <c r="T137" s="152"/>
      <c r="U137" s="152"/>
      <c r="V137" s="152"/>
      <c r="W137" s="152"/>
      <c r="X137" s="152"/>
      <c r="Y137" s="152"/>
      <c r="Z137" s="152"/>
    </row>
    <row r="138" hidden="1">
      <c r="A138" s="90" t="s">
        <v>78</v>
      </c>
      <c r="B138" s="216" t="s">
        <v>1404</v>
      </c>
      <c r="C138" s="28" t="s">
        <v>1405</v>
      </c>
      <c r="D138" s="28"/>
      <c r="E138" s="28"/>
      <c r="F138" s="161">
        <v>62.0</v>
      </c>
      <c r="G138" s="152" t="str">
        <f>IFERROR(__xludf.DUMMYFUNCTION("TRIM(REGEXREPLACE(C138, ""[0-9]+[a-f]?\."", """"))"),"Member name from case management")</f>
        <v>Member name from case management</v>
      </c>
      <c r="H138" s="152" t="str">
        <f>IFERROR(__xludf.DUMMYFUNCTION("TRIM(REGEXREPLACE(D138, ""[0-9]+[a-f]?\."", """"))"),"")</f>
        <v/>
      </c>
      <c r="I138" s="152" t="str">
        <f>IFERROR(__xludf.DUMMYFUNCTION("TRIM(REGEXREPLACE(E138, ""[0-9]+[a-f]?\."", """"))"),"")</f>
        <v/>
      </c>
      <c r="J138" s="152" t="s">
        <v>1406</v>
      </c>
      <c r="K138" s="152" t="s">
        <v>1407</v>
      </c>
      <c r="L138" s="152" t="s">
        <v>1408</v>
      </c>
      <c r="M138" s="152"/>
      <c r="N138" s="152"/>
      <c r="O138" s="152"/>
      <c r="P138" s="152"/>
      <c r="Q138" s="152"/>
      <c r="R138" s="152"/>
      <c r="S138" s="152"/>
      <c r="T138" s="152"/>
      <c r="U138" s="152"/>
      <c r="V138" s="152"/>
      <c r="W138" s="152"/>
      <c r="X138" s="152"/>
      <c r="Y138" s="152"/>
      <c r="Z138" s="152"/>
    </row>
    <row r="139" hidden="1">
      <c r="A139" s="90" t="s">
        <v>78</v>
      </c>
      <c r="B139" s="216" t="s">
        <v>1412</v>
      </c>
      <c r="C139" s="28" t="s">
        <v>1413</v>
      </c>
      <c r="D139" s="28"/>
      <c r="E139" s="28"/>
      <c r="F139" s="161">
        <v>59.0</v>
      </c>
      <c r="G139" s="152" t="str">
        <f>IFERROR(__xludf.DUMMYFUNCTION("TRIM(REGEXREPLACE(C139, ""[0-9]+[a-f]?\."", """"))"),"Member age from case management")</f>
        <v>Member age from case management</v>
      </c>
      <c r="H139" s="152" t="str">
        <f>IFERROR(__xludf.DUMMYFUNCTION("TRIM(REGEXREPLACE(D139, ""[0-9]+[a-f]?\."", """"))"),"")</f>
        <v/>
      </c>
      <c r="I139" s="152" t="str">
        <f>IFERROR(__xludf.DUMMYFUNCTION("TRIM(REGEXREPLACE(E139, ""[0-9]+[a-f]?\."", """"))"),"")</f>
        <v/>
      </c>
      <c r="J139" s="152" t="s">
        <v>1414</v>
      </c>
      <c r="K139" s="152" t="s">
        <v>1415</v>
      </c>
      <c r="L139" s="152" t="s">
        <v>1416</v>
      </c>
      <c r="M139" s="152"/>
      <c r="N139" s="152"/>
      <c r="O139" s="152"/>
      <c r="P139" s="152"/>
      <c r="Q139" s="152"/>
      <c r="R139" s="152"/>
      <c r="S139" s="152"/>
      <c r="T139" s="152"/>
      <c r="U139" s="152"/>
      <c r="V139" s="152"/>
      <c r="W139" s="152"/>
      <c r="X139" s="152"/>
      <c r="Y139" s="152"/>
      <c r="Z139" s="152"/>
    </row>
    <row r="140" hidden="1">
      <c r="A140" s="90" t="s">
        <v>78</v>
      </c>
      <c r="B140" s="216" t="s">
        <v>1418</v>
      </c>
      <c r="C140" s="28" t="s">
        <v>1420</v>
      </c>
      <c r="D140" s="28"/>
      <c r="E140" s="28"/>
      <c r="F140" s="161">
        <v>64.0</v>
      </c>
      <c r="G140" s="152" t="str">
        <f>IFERROR(__xludf.DUMMYFUNCTION("TRIM(REGEXREPLACE(C140, ""[0-9]+[a-f]?\."", """"))"),"Member sex from case management")</f>
        <v>Member sex from case management</v>
      </c>
      <c r="H140" s="152" t="str">
        <f>IFERROR(__xludf.DUMMYFUNCTION("TRIM(REGEXREPLACE(D140, ""[0-9]+[a-f]?\."", """"))"),"")</f>
        <v/>
      </c>
      <c r="I140" s="152" t="str">
        <f>IFERROR(__xludf.DUMMYFUNCTION("TRIM(REGEXREPLACE(E140, ""[0-9]+[a-f]?\."", """"))"),"")</f>
        <v/>
      </c>
      <c r="J140" s="152" t="s">
        <v>1422</v>
      </c>
      <c r="K140" s="152" t="s">
        <v>1423</v>
      </c>
      <c r="L140" s="152" t="s">
        <v>1424</v>
      </c>
      <c r="M140" s="152"/>
      <c r="N140" s="152"/>
      <c r="O140" s="152"/>
      <c r="P140" s="152"/>
      <c r="Q140" s="152"/>
      <c r="R140" s="152"/>
      <c r="S140" s="152"/>
      <c r="T140" s="152"/>
      <c r="U140" s="152"/>
      <c r="V140" s="152"/>
      <c r="W140" s="152"/>
      <c r="X140" s="152"/>
      <c r="Y140" s="152"/>
      <c r="Z140" s="152"/>
    </row>
    <row r="141" hidden="1">
      <c r="A141" s="65" t="s">
        <v>1015</v>
      </c>
      <c r="B141" s="218" t="s">
        <v>1388</v>
      </c>
      <c r="C141" s="28"/>
      <c r="D141" s="28"/>
      <c r="E141" s="28"/>
      <c r="F141" s="161">
        <v>10.0</v>
      </c>
      <c r="G141" s="152" t="str">
        <f>IFERROR(__xludf.DUMMYFUNCTION("TRIM(REGEXREPLACE(C141, ""[0-9]+[a-f]?\."", """"))"),"")</f>
        <v/>
      </c>
      <c r="H141" s="152" t="str">
        <f>IFERROR(__xludf.DUMMYFUNCTION("TRIM(REGEXREPLACE(D141, ""[0-9]+[a-f]?\."", """"))"),"")</f>
        <v/>
      </c>
      <c r="I141" s="152" t="str">
        <f>IFERROR(__xludf.DUMMYFUNCTION("TRIM(REGEXREPLACE(E141, ""[0-9]+[a-f]?\."", """"))"),"")</f>
        <v/>
      </c>
      <c r="J141" s="152" t="str">
        <f t="shared" ref="J141:L141" si="8">$F141 &amp; ". " &amp;G141</f>
        <v>10. </v>
      </c>
      <c r="K141" s="152" t="str">
        <f t="shared" si="8"/>
        <v>10. </v>
      </c>
      <c r="L141" s="152" t="str">
        <f t="shared" si="8"/>
        <v>10. </v>
      </c>
      <c r="M141" s="152"/>
      <c r="N141" s="152"/>
      <c r="O141" s="152"/>
      <c r="P141" s="152"/>
      <c r="Q141" s="152"/>
      <c r="R141" s="152"/>
      <c r="S141" s="152"/>
      <c r="T141" s="152"/>
      <c r="U141" s="152"/>
      <c r="V141" s="152"/>
      <c r="W141" s="152"/>
      <c r="X141" s="152"/>
      <c r="Y141" s="152"/>
      <c r="Z141" s="152"/>
    </row>
    <row r="142" hidden="1">
      <c r="A142" s="90" t="s">
        <v>78</v>
      </c>
      <c r="B142" s="218" t="s">
        <v>1432</v>
      </c>
      <c r="C142" s="28"/>
      <c r="D142" s="28"/>
      <c r="E142" s="28"/>
      <c r="F142" s="161">
        <v>11.0</v>
      </c>
      <c r="G142" s="152" t="str">
        <f>IFERROR(__xludf.DUMMYFUNCTION("TRIM(REGEXREPLACE(C142, ""[0-9]+[a-f]?\."", """"))"),"")</f>
        <v/>
      </c>
      <c r="H142" s="152" t="str">
        <f>IFERROR(__xludf.DUMMYFUNCTION("TRIM(REGEXREPLACE(D142, ""[0-9]+[a-f]?\."", """"))"),"")</f>
        <v/>
      </c>
      <c r="I142" s="152" t="str">
        <f>IFERROR(__xludf.DUMMYFUNCTION("TRIM(REGEXREPLACE(E142, ""[0-9]+[a-f]?\."", """"))"),"")</f>
        <v/>
      </c>
      <c r="J142" s="152" t="str">
        <f t="shared" ref="J142:L142" si="9">$F142 &amp; ". " &amp;G142</f>
        <v>11. </v>
      </c>
      <c r="K142" s="152" t="str">
        <f t="shared" si="9"/>
        <v>11. </v>
      </c>
      <c r="L142" s="152" t="str">
        <f t="shared" si="9"/>
        <v>11. </v>
      </c>
      <c r="M142" s="152"/>
      <c r="N142" s="152"/>
      <c r="O142" s="152"/>
      <c r="P142" s="152"/>
      <c r="Q142" s="152"/>
      <c r="R142" s="152"/>
      <c r="S142" s="152"/>
      <c r="T142" s="152"/>
      <c r="U142" s="152"/>
      <c r="V142" s="152"/>
      <c r="W142" s="152"/>
      <c r="X142" s="152"/>
      <c r="Y142" s="152"/>
      <c r="Z142" s="152"/>
    </row>
    <row r="143" hidden="1">
      <c r="A143" s="90" t="s">
        <v>78</v>
      </c>
      <c r="B143" s="218" t="s">
        <v>1435</v>
      </c>
      <c r="C143" s="28"/>
      <c r="D143" s="28"/>
      <c r="E143" s="28"/>
      <c r="F143" s="161">
        <v>12.0</v>
      </c>
      <c r="G143" s="152" t="str">
        <f>IFERROR(__xludf.DUMMYFUNCTION("TRIM(REGEXREPLACE(C143, ""[0-9]+[a-f]?\."", """"))"),"")</f>
        <v/>
      </c>
      <c r="H143" s="152" t="str">
        <f>IFERROR(__xludf.DUMMYFUNCTION("TRIM(REGEXREPLACE(D143, ""[0-9]+[a-f]?\."", """"))"),"")</f>
        <v/>
      </c>
      <c r="I143" s="152" t="str">
        <f>IFERROR(__xludf.DUMMYFUNCTION("TRIM(REGEXREPLACE(E143, ""[0-9]+[a-f]?\."", """"))"),"")</f>
        <v/>
      </c>
      <c r="J143" s="152" t="str">
        <f t="shared" ref="J143:L143" si="10">$F143 &amp; ". " &amp;G143</f>
        <v>12. </v>
      </c>
      <c r="K143" s="152" t="str">
        <f t="shared" si="10"/>
        <v>12. </v>
      </c>
      <c r="L143" s="152" t="str">
        <f t="shared" si="10"/>
        <v>12. </v>
      </c>
      <c r="M143" s="152"/>
      <c r="N143" s="152"/>
      <c r="O143" s="152"/>
      <c r="P143" s="152"/>
      <c r="Q143" s="152"/>
      <c r="R143" s="152"/>
      <c r="S143" s="152"/>
      <c r="T143" s="152"/>
      <c r="U143" s="152"/>
      <c r="V143" s="152"/>
      <c r="W143" s="152"/>
      <c r="X143" s="152"/>
      <c r="Y143" s="152"/>
      <c r="Z143" s="152"/>
    </row>
    <row r="144" hidden="1">
      <c r="A144" s="90" t="s">
        <v>78</v>
      </c>
      <c r="B144" s="218" t="s">
        <v>1440</v>
      </c>
      <c r="C144" s="28"/>
      <c r="D144" s="28"/>
      <c r="E144" s="28"/>
      <c r="F144" s="161">
        <v>13.0</v>
      </c>
      <c r="G144" s="152" t="str">
        <f>IFERROR(__xludf.DUMMYFUNCTION("TRIM(REGEXREPLACE(C144, ""[0-9]+[a-f]?\."", """"))"),"")</f>
        <v/>
      </c>
      <c r="H144" s="152" t="str">
        <f>IFERROR(__xludf.DUMMYFUNCTION("TRIM(REGEXREPLACE(D144, ""[0-9]+[a-f]?\."", """"))"),"")</f>
        <v/>
      </c>
      <c r="I144" s="152" t="str">
        <f>IFERROR(__xludf.DUMMYFUNCTION("TRIM(REGEXREPLACE(E144, ""[0-9]+[a-f]?\."", """"))"),"")</f>
        <v/>
      </c>
      <c r="J144" s="152" t="str">
        <f t="shared" ref="J144:L144" si="11">$F144 &amp; ". " &amp;G144</f>
        <v>13. </v>
      </c>
      <c r="K144" s="152" t="str">
        <f t="shared" si="11"/>
        <v>13. </v>
      </c>
      <c r="L144" s="152" t="str">
        <f t="shared" si="11"/>
        <v>13. </v>
      </c>
      <c r="M144" s="152"/>
      <c r="N144" s="152"/>
      <c r="O144" s="152"/>
      <c r="P144" s="152"/>
      <c r="Q144" s="152"/>
      <c r="R144" s="152"/>
      <c r="S144" s="152"/>
      <c r="T144" s="152"/>
      <c r="U144" s="152"/>
      <c r="V144" s="152"/>
      <c r="W144" s="152"/>
      <c r="X144" s="152"/>
      <c r="Y144" s="152"/>
      <c r="Z144" s="152"/>
    </row>
    <row r="145" hidden="1">
      <c r="A145" s="90" t="s">
        <v>78</v>
      </c>
      <c r="B145" s="218" t="s">
        <v>1444</v>
      </c>
      <c r="C145" s="28"/>
      <c r="D145" s="28"/>
      <c r="E145" s="28"/>
      <c r="F145" s="161">
        <v>14.0</v>
      </c>
      <c r="G145" s="152" t="str">
        <f>IFERROR(__xludf.DUMMYFUNCTION("TRIM(REGEXREPLACE(C145, ""[0-9]+[a-f]?\."", """"))"),"")</f>
        <v/>
      </c>
      <c r="H145" s="152" t="str">
        <f>IFERROR(__xludf.DUMMYFUNCTION("TRIM(REGEXREPLACE(D145, ""[0-9]+[a-f]?\."", """"))"),"")</f>
        <v/>
      </c>
      <c r="I145" s="152" t="str">
        <f>IFERROR(__xludf.DUMMYFUNCTION("TRIM(REGEXREPLACE(E145, ""[0-9]+[a-f]?\."", """"))"),"")</f>
        <v/>
      </c>
      <c r="J145" s="152" t="str">
        <f t="shared" ref="J145:L145" si="12">$F145 &amp; ". " &amp;G145</f>
        <v>14. </v>
      </c>
      <c r="K145" s="152" t="str">
        <f t="shared" si="12"/>
        <v>14. </v>
      </c>
      <c r="L145" s="152" t="str">
        <f t="shared" si="12"/>
        <v>14. </v>
      </c>
      <c r="M145" s="152"/>
      <c r="N145" s="152"/>
      <c r="O145" s="152"/>
      <c r="P145" s="152"/>
      <c r="Q145" s="152"/>
      <c r="R145" s="152"/>
      <c r="S145" s="152"/>
      <c r="T145" s="152"/>
      <c r="U145" s="152"/>
      <c r="V145" s="152"/>
      <c r="W145" s="152"/>
      <c r="X145" s="152"/>
      <c r="Y145" s="152"/>
      <c r="Z145" s="152"/>
    </row>
    <row r="146" hidden="1">
      <c r="A146" s="90" t="s">
        <v>78</v>
      </c>
      <c r="B146" s="218" t="s">
        <v>1447</v>
      </c>
      <c r="C146" s="28"/>
      <c r="D146" s="28"/>
      <c r="E146" s="28"/>
      <c r="F146" s="161">
        <v>15.0</v>
      </c>
      <c r="G146" s="152" t="str">
        <f>IFERROR(__xludf.DUMMYFUNCTION("TRIM(REGEXREPLACE(C146, ""[0-9]+[a-f]?\."", """"))"),"")</f>
        <v/>
      </c>
      <c r="H146" s="152" t="str">
        <f>IFERROR(__xludf.DUMMYFUNCTION("TRIM(REGEXREPLACE(D146, ""[0-9]+[a-f]?\."", """"))"),"")</f>
        <v/>
      </c>
      <c r="I146" s="152" t="str">
        <f>IFERROR(__xludf.DUMMYFUNCTION("TRIM(REGEXREPLACE(E146, ""[0-9]+[a-f]?\."", """"))"),"")</f>
        <v/>
      </c>
      <c r="J146" s="152" t="str">
        <f t="shared" ref="J146:L146" si="13">$F146 &amp; ". " &amp;G146</f>
        <v>15. </v>
      </c>
      <c r="K146" s="152" t="str">
        <f t="shared" si="13"/>
        <v>15. </v>
      </c>
      <c r="L146" s="152" t="str">
        <f t="shared" si="13"/>
        <v>15. </v>
      </c>
      <c r="M146" s="152"/>
      <c r="N146" s="152"/>
      <c r="O146" s="152"/>
      <c r="P146" s="152"/>
      <c r="Q146" s="152"/>
      <c r="R146" s="152"/>
      <c r="S146" s="152"/>
      <c r="T146" s="152"/>
      <c r="U146" s="152"/>
      <c r="V146" s="152"/>
      <c r="W146" s="152"/>
      <c r="X146" s="152"/>
      <c r="Y146" s="152"/>
      <c r="Z146" s="152"/>
    </row>
    <row r="147" hidden="1">
      <c r="A147" s="90" t="s">
        <v>78</v>
      </c>
      <c r="B147" s="218" t="s">
        <v>1451</v>
      </c>
      <c r="C147" s="28"/>
      <c r="D147" s="28"/>
      <c r="E147" s="28"/>
      <c r="F147" s="153"/>
      <c r="G147" s="152" t="str">
        <f>IFERROR(__xludf.DUMMYFUNCTION("TRIM(REGEXREPLACE(C147, ""[0-9]+[a-f]?\."", """"))"),"")</f>
        <v/>
      </c>
      <c r="H147" s="152" t="str">
        <f>IFERROR(__xludf.DUMMYFUNCTION("TRIM(REGEXREPLACE(D147, ""[0-9]+[a-f]?\."", """"))"),"")</f>
        <v/>
      </c>
      <c r="I147" s="152" t="str">
        <f>IFERROR(__xludf.DUMMYFUNCTION("TRIM(REGEXREPLACE(E147, ""[0-9]+[a-f]?\."", """"))"),"")</f>
        <v/>
      </c>
      <c r="J147" s="152" t="s">
        <v>1452</v>
      </c>
      <c r="K147" s="152" t="s">
        <v>1453</v>
      </c>
      <c r="L147" s="155" t="s">
        <v>1454</v>
      </c>
      <c r="M147" s="152"/>
      <c r="N147" s="152"/>
      <c r="O147" s="152"/>
      <c r="P147" s="152"/>
      <c r="Q147" s="152"/>
      <c r="R147" s="152"/>
      <c r="S147" s="152"/>
      <c r="T147" s="152"/>
      <c r="U147" s="152"/>
      <c r="V147" s="152"/>
      <c r="W147" s="152"/>
      <c r="X147" s="152"/>
      <c r="Y147" s="152"/>
      <c r="Z147" s="152"/>
    </row>
    <row r="148" hidden="1">
      <c r="A148" s="90" t="s">
        <v>78</v>
      </c>
      <c r="B148" s="218" t="s">
        <v>1456</v>
      </c>
      <c r="C148" s="28"/>
      <c r="D148" s="28"/>
      <c r="E148" s="28"/>
      <c r="F148" s="161">
        <v>62.0</v>
      </c>
      <c r="G148" s="152" t="str">
        <f>IFERROR(__xludf.DUMMYFUNCTION("TRIM(REGEXREPLACE(C148, ""[0-9]+[a-f]?\."", """"))"),"")</f>
        <v/>
      </c>
      <c r="H148" s="152" t="str">
        <f>IFERROR(__xludf.DUMMYFUNCTION("TRIM(REGEXREPLACE(D148, ""[0-9]+[a-f]?\."", """"))"),"")</f>
        <v/>
      </c>
      <c r="I148" s="152" t="str">
        <f>IFERROR(__xludf.DUMMYFUNCTION("TRIM(REGEXREPLACE(E148, ""[0-9]+[a-f]?\."", """"))"),"")</f>
        <v/>
      </c>
      <c r="J148" s="152" t="s">
        <v>1460</v>
      </c>
      <c r="K148" s="152" t="s">
        <v>1461</v>
      </c>
      <c r="L148" s="152" t="s">
        <v>1461</v>
      </c>
      <c r="M148" s="152"/>
      <c r="N148" s="152"/>
      <c r="O148" s="152"/>
      <c r="P148" s="152"/>
      <c r="Q148" s="152"/>
      <c r="R148" s="152"/>
      <c r="S148" s="152"/>
      <c r="T148" s="152"/>
      <c r="U148" s="152"/>
      <c r="V148" s="152"/>
      <c r="W148" s="152"/>
      <c r="X148" s="152"/>
      <c r="Y148" s="152"/>
      <c r="Z148" s="152"/>
    </row>
    <row r="149" hidden="1">
      <c r="A149" s="90" t="s">
        <v>78</v>
      </c>
      <c r="B149" s="218" t="s">
        <v>1462</v>
      </c>
      <c r="C149" s="28"/>
      <c r="D149" s="28"/>
      <c r="E149" s="28"/>
      <c r="F149" s="161">
        <v>63.0</v>
      </c>
      <c r="G149" s="152" t="str">
        <f>IFERROR(__xludf.DUMMYFUNCTION("TRIM(REGEXREPLACE(C149, ""[0-9]+[a-f]?\."", """"))"),"")</f>
        <v/>
      </c>
      <c r="H149" s="152" t="str">
        <f>IFERROR(__xludf.DUMMYFUNCTION("TRIM(REGEXREPLACE(D149, ""[0-9]+[a-f]?\."", """"))"),"")</f>
        <v/>
      </c>
      <c r="I149" s="152" t="str">
        <f>IFERROR(__xludf.DUMMYFUNCTION("TRIM(REGEXREPLACE(E149, ""[0-9]+[a-f]?\."", """"))"),"")</f>
        <v/>
      </c>
      <c r="J149" s="152" t="s">
        <v>1467</v>
      </c>
      <c r="K149" s="152" t="s">
        <v>1468</v>
      </c>
      <c r="L149" s="152" t="s">
        <v>1469</v>
      </c>
      <c r="M149" s="152"/>
      <c r="N149" s="152"/>
      <c r="O149" s="152"/>
      <c r="P149" s="152"/>
      <c r="Q149" s="152"/>
      <c r="R149" s="152"/>
      <c r="S149" s="152"/>
      <c r="T149" s="152"/>
      <c r="U149" s="152"/>
      <c r="V149" s="152"/>
      <c r="W149" s="152"/>
      <c r="X149" s="152"/>
      <c r="Y149" s="152"/>
      <c r="Z149" s="152"/>
    </row>
    <row r="150" hidden="1">
      <c r="A150" s="90" t="s">
        <v>78</v>
      </c>
      <c r="B150" s="219" t="s">
        <v>1470</v>
      </c>
      <c r="C150" s="28"/>
      <c r="D150" s="28"/>
      <c r="E150" s="28"/>
      <c r="F150" s="161">
        <v>64.0</v>
      </c>
      <c r="G150" s="152" t="str">
        <f>IFERROR(__xludf.DUMMYFUNCTION("TRIM(REGEXREPLACE(C150, ""[0-9]+[a-f]?\."", """"))"),"")</f>
        <v/>
      </c>
      <c r="H150" s="152" t="str">
        <f>IFERROR(__xludf.DUMMYFUNCTION("TRIM(REGEXREPLACE(D150, ""[0-9]+[a-f]?\."", """"))"),"")</f>
        <v/>
      </c>
      <c r="I150" s="152" t="str">
        <f>IFERROR(__xludf.DUMMYFUNCTION("TRIM(REGEXREPLACE(E150, ""[0-9]+[a-f]?\."", """"))"),"")</f>
        <v/>
      </c>
      <c r="J150" s="152" t="s">
        <v>1474</v>
      </c>
      <c r="K150" s="152" t="s">
        <v>1475</v>
      </c>
      <c r="L150" s="152" t="s">
        <v>1476</v>
      </c>
      <c r="M150" s="152"/>
      <c r="N150" s="152"/>
      <c r="O150" s="152"/>
      <c r="P150" s="152"/>
      <c r="Q150" s="152"/>
      <c r="R150" s="152"/>
      <c r="S150" s="152"/>
      <c r="T150" s="152"/>
      <c r="U150" s="152"/>
      <c r="V150" s="152"/>
      <c r="W150" s="152"/>
      <c r="X150" s="152"/>
      <c r="Y150" s="152"/>
      <c r="Z150" s="152"/>
    </row>
    <row r="151" hidden="1">
      <c r="A151" s="90" t="s">
        <v>78</v>
      </c>
      <c r="B151" s="219" t="s">
        <v>1478</v>
      </c>
      <c r="C151" s="28"/>
      <c r="D151" s="28"/>
      <c r="E151" s="28"/>
      <c r="F151" s="161">
        <v>66.0</v>
      </c>
      <c r="G151" s="152" t="str">
        <f>IFERROR(__xludf.DUMMYFUNCTION("TRIM(REGEXREPLACE(C151, ""[0-9]+[a-f]?\."", """"))"),"")</f>
        <v/>
      </c>
      <c r="H151" s="152" t="str">
        <f>IFERROR(__xludf.DUMMYFUNCTION("TRIM(REGEXREPLACE(D151, ""[0-9]+[a-f]?\."", """"))"),"")</f>
        <v/>
      </c>
      <c r="I151" s="152" t="str">
        <f>IFERROR(__xludf.DUMMYFUNCTION("TRIM(REGEXREPLACE(E151, ""[0-9]+[a-f]?\."", """"))"),"")</f>
        <v/>
      </c>
      <c r="J151" s="152" t="s">
        <v>1480</v>
      </c>
      <c r="K151" s="152" t="s">
        <v>1482</v>
      </c>
      <c r="L151" s="152" t="s">
        <v>1482</v>
      </c>
      <c r="M151" s="152"/>
      <c r="N151" s="152"/>
      <c r="O151" s="152"/>
      <c r="P151" s="152"/>
      <c r="Q151" s="152"/>
      <c r="R151" s="152"/>
      <c r="S151" s="152"/>
      <c r="T151" s="152"/>
      <c r="U151" s="152"/>
      <c r="V151" s="152"/>
      <c r="W151" s="152"/>
      <c r="X151" s="152"/>
      <c r="Y151" s="152"/>
      <c r="Z151" s="152"/>
    </row>
    <row r="152" hidden="1">
      <c r="A152" s="90" t="s">
        <v>78</v>
      </c>
      <c r="B152" s="219" t="s">
        <v>1484</v>
      </c>
      <c r="C152" s="28"/>
      <c r="D152" s="28"/>
      <c r="E152" s="28"/>
      <c r="F152" s="161">
        <v>67.0</v>
      </c>
      <c r="G152" s="152" t="str">
        <f>IFERROR(__xludf.DUMMYFUNCTION("TRIM(REGEXREPLACE(C152, ""[0-9]+[a-f]?\."", """"))"),"")</f>
        <v/>
      </c>
      <c r="H152" s="152" t="str">
        <f>IFERROR(__xludf.DUMMYFUNCTION("TRIM(REGEXREPLACE(D152, ""[0-9]+[a-f]?\."", """"))"),"")</f>
        <v/>
      </c>
      <c r="I152" s="152" t="str">
        <f>IFERROR(__xludf.DUMMYFUNCTION("TRIM(REGEXREPLACE(E152, ""[0-9]+[a-f]?\."", """"))"),"")</f>
        <v/>
      </c>
      <c r="J152" s="152" t="s">
        <v>1485</v>
      </c>
      <c r="K152" s="152" t="s">
        <v>1486</v>
      </c>
      <c r="L152" s="152" t="s">
        <v>1487</v>
      </c>
      <c r="M152" s="152"/>
      <c r="N152" s="152"/>
      <c r="O152" s="152"/>
      <c r="P152" s="152"/>
      <c r="Q152" s="152"/>
      <c r="R152" s="152"/>
      <c r="S152" s="152"/>
      <c r="T152" s="152"/>
      <c r="U152" s="152"/>
      <c r="V152" s="152"/>
      <c r="W152" s="152"/>
      <c r="X152" s="152"/>
      <c r="Y152" s="152"/>
      <c r="Z152" s="152"/>
    </row>
    <row r="153" hidden="1">
      <c r="A153" s="90" t="s">
        <v>78</v>
      </c>
      <c r="B153" s="219" t="s">
        <v>1492</v>
      </c>
      <c r="C153" s="28"/>
      <c r="D153" s="28"/>
      <c r="E153" s="28"/>
      <c r="F153" s="161">
        <v>68.0</v>
      </c>
      <c r="G153" s="152" t="str">
        <f>IFERROR(__xludf.DUMMYFUNCTION("TRIM(REGEXREPLACE(C153, ""[0-9]+[a-f]?\."", """"))"),"")</f>
        <v/>
      </c>
      <c r="H153" s="152" t="str">
        <f>IFERROR(__xludf.DUMMYFUNCTION("TRIM(REGEXREPLACE(D153, ""[0-9]+[a-f]?\."", """"))"),"")</f>
        <v/>
      </c>
      <c r="I153" s="152" t="str">
        <f>IFERROR(__xludf.DUMMYFUNCTION("TRIM(REGEXREPLACE(E153, ""[0-9]+[a-f]?\."", """"))"),"")</f>
        <v/>
      </c>
      <c r="J153" s="152" t="s">
        <v>1493</v>
      </c>
      <c r="K153" s="152" t="s">
        <v>1494</v>
      </c>
      <c r="L153" s="152" t="s">
        <v>1495</v>
      </c>
      <c r="M153" s="152"/>
      <c r="N153" s="152"/>
      <c r="O153" s="152"/>
      <c r="P153" s="152"/>
      <c r="Q153" s="152"/>
      <c r="R153" s="152"/>
      <c r="S153" s="152"/>
      <c r="T153" s="152"/>
      <c r="U153" s="152"/>
      <c r="V153" s="152"/>
      <c r="W153" s="152"/>
      <c r="X153" s="152"/>
      <c r="Y153" s="152"/>
      <c r="Z153" s="152"/>
    </row>
    <row r="154" hidden="1">
      <c r="A154" s="90" t="s">
        <v>78</v>
      </c>
      <c r="B154" s="219" t="s">
        <v>1499</v>
      </c>
      <c r="C154" s="28"/>
      <c r="D154" s="28"/>
      <c r="E154" s="28"/>
      <c r="F154" s="161">
        <v>69.0</v>
      </c>
      <c r="G154" s="152" t="str">
        <f>IFERROR(__xludf.DUMMYFUNCTION("TRIM(REGEXREPLACE(C154, ""[0-9]+[a-f]?\."", """"))"),"")</f>
        <v/>
      </c>
      <c r="H154" s="152" t="str">
        <f>IFERROR(__xludf.DUMMYFUNCTION("TRIM(REGEXREPLACE(D154, ""[0-9]+[a-f]?\."", """"))"),"")</f>
        <v/>
      </c>
      <c r="I154" s="152" t="str">
        <f>IFERROR(__xludf.DUMMYFUNCTION("TRIM(REGEXREPLACE(E154, ""[0-9]+[a-f]?\."", """"))"),"")</f>
        <v/>
      </c>
      <c r="J154" s="152" t="s">
        <v>1500</v>
      </c>
      <c r="K154" s="152" t="s">
        <v>1501</v>
      </c>
      <c r="L154" s="152" t="s">
        <v>1502</v>
      </c>
      <c r="M154" s="152"/>
      <c r="N154" s="152"/>
      <c r="O154" s="152"/>
      <c r="P154" s="152"/>
      <c r="Q154" s="152"/>
      <c r="R154" s="152"/>
      <c r="S154" s="152"/>
      <c r="T154" s="152"/>
      <c r="U154" s="152"/>
      <c r="V154" s="152"/>
      <c r="W154" s="152"/>
      <c r="X154" s="152"/>
      <c r="Y154" s="152"/>
      <c r="Z154" s="152"/>
    </row>
    <row r="155" hidden="1">
      <c r="A155" s="90" t="s">
        <v>78</v>
      </c>
      <c r="B155" s="219" t="s">
        <v>1504</v>
      </c>
      <c r="C155" s="28"/>
      <c r="D155" s="28"/>
      <c r="E155" s="28"/>
      <c r="F155" s="161">
        <v>70.0</v>
      </c>
      <c r="G155" s="152" t="str">
        <f>IFERROR(__xludf.DUMMYFUNCTION("TRIM(REGEXREPLACE(C155, ""[0-9]+[a-f]?\."", """"))"),"")</f>
        <v/>
      </c>
      <c r="H155" s="152" t="str">
        <f>IFERROR(__xludf.DUMMYFUNCTION("TRIM(REGEXREPLACE(D155, ""[0-9]+[a-f]?\."", """"))"),"")</f>
        <v/>
      </c>
      <c r="I155" s="152" t="str">
        <f>IFERROR(__xludf.DUMMYFUNCTION("TRIM(REGEXREPLACE(E155, ""[0-9]+[a-f]?\."", """"))"),"")</f>
        <v/>
      </c>
      <c r="J155" s="152" t="s">
        <v>1508</v>
      </c>
      <c r="K155" s="152" t="s">
        <v>1509</v>
      </c>
      <c r="L155" s="152" t="s">
        <v>1510</v>
      </c>
      <c r="M155" s="152"/>
      <c r="N155" s="152"/>
      <c r="O155" s="152"/>
      <c r="P155" s="152"/>
      <c r="Q155" s="152"/>
      <c r="R155" s="152"/>
      <c r="S155" s="152"/>
      <c r="T155" s="152"/>
      <c r="U155" s="152"/>
      <c r="V155" s="152"/>
      <c r="W155" s="152"/>
      <c r="X155" s="152"/>
      <c r="Y155" s="152"/>
      <c r="Z155" s="152"/>
    </row>
    <row r="156" hidden="1">
      <c r="A156" s="90" t="s">
        <v>78</v>
      </c>
      <c r="B156" s="219" t="s">
        <v>1511</v>
      </c>
      <c r="C156" s="28"/>
      <c r="D156" s="28"/>
      <c r="E156" s="28"/>
      <c r="F156" s="161">
        <v>16.0</v>
      </c>
      <c r="G156" s="152" t="str">
        <f>IFERROR(__xludf.DUMMYFUNCTION("TRIM(REGEXREPLACE(C156, ""[0-9]+[a-f]?\."", """"))"),"")</f>
        <v/>
      </c>
      <c r="H156" s="152" t="str">
        <f>IFERROR(__xludf.DUMMYFUNCTION("TRIM(REGEXREPLACE(D156, ""[0-9]+[a-f]?\."", """"))"),"")</f>
        <v/>
      </c>
      <c r="I156" s="152" t="str">
        <f>IFERROR(__xludf.DUMMYFUNCTION("TRIM(REGEXREPLACE(E156, ""[0-9]+[a-f]?\."", """"))"),"")</f>
        <v/>
      </c>
      <c r="J156" s="152" t="str">
        <f t="shared" ref="J156:L156" si="14">$F156 &amp; ". " &amp;G156</f>
        <v>16. </v>
      </c>
      <c r="K156" s="152" t="str">
        <f t="shared" si="14"/>
        <v>16. </v>
      </c>
      <c r="L156" s="152" t="str">
        <f t="shared" si="14"/>
        <v>16. </v>
      </c>
      <c r="M156" s="152"/>
      <c r="N156" s="152"/>
      <c r="O156" s="152"/>
      <c r="P156" s="152"/>
      <c r="Q156" s="152"/>
      <c r="R156" s="152"/>
      <c r="S156" s="152"/>
      <c r="T156" s="152"/>
      <c r="U156" s="152"/>
      <c r="V156" s="152"/>
      <c r="W156" s="152"/>
      <c r="X156" s="152"/>
      <c r="Y156" s="152"/>
      <c r="Z156" s="152"/>
    </row>
    <row r="157" hidden="1">
      <c r="A157" s="90" t="s">
        <v>78</v>
      </c>
      <c r="B157" s="219" t="s">
        <v>1519</v>
      </c>
      <c r="C157" s="28"/>
      <c r="D157" s="28"/>
      <c r="E157" s="28"/>
      <c r="F157" s="161">
        <v>67.0</v>
      </c>
      <c r="G157" s="152" t="str">
        <f>IFERROR(__xludf.DUMMYFUNCTION("TRIM(REGEXREPLACE(C157, ""[0-9]+[a-f]?\."", """"))"),"")</f>
        <v/>
      </c>
      <c r="H157" s="152" t="str">
        <f>IFERROR(__xludf.DUMMYFUNCTION("TRIM(REGEXREPLACE(D157, ""[0-9]+[a-f]?\."", """"))"),"")</f>
        <v/>
      </c>
      <c r="I157" s="152" t="str">
        <f>IFERROR(__xludf.DUMMYFUNCTION("TRIM(REGEXREPLACE(E157, ""[0-9]+[a-f]?\."", """"))"),"")</f>
        <v/>
      </c>
      <c r="J157" s="152" t="s">
        <v>1521</v>
      </c>
      <c r="K157" s="152" t="s">
        <v>1486</v>
      </c>
      <c r="L157" s="152" t="s">
        <v>1487</v>
      </c>
      <c r="M157" s="152"/>
      <c r="N157" s="152"/>
      <c r="O157" s="152"/>
      <c r="P157" s="152"/>
      <c r="Q157" s="152"/>
      <c r="R157" s="152"/>
      <c r="S157" s="152"/>
      <c r="T157" s="152"/>
      <c r="U157" s="152"/>
      <c r="V157" s="152"/>
      <c r="W157" s="152"/>
      <c r="X157" s="152"/>
      <c r="Y157" s="152"/>
      <c r="Z157" s="152"/>
    </row>
    <row r="158" hidden="1">
      <c r="A158" s="90" t="s">
        <v>78</v>
      </c>
      <c r="B158" s="219" t="s">
        <v>1525</v>
      </c>
      <c r="C158" s="28"/>
      <c r="D158" s="28"/>
      <c r="E158" s="28"/>
      <c r="F158" s="161">
        <v>17.0</v>
      </c>
      <c r="G158" s="152" t="str">
        <f>IFERROR(__xludf.DUMMYFUNCTION("TRIM(REGEXREPLACE(C158, ""[0-9]+[a-f]?\."", """"))"),"")</f>
        <v/>
      </c>
      <c r="H158" s="152" t="str">
        <f>IFERROR(__xludf.DUMMYFUNCTION("TRIM(REGEXREPLACE(D158, ""[0-9]+[a-f]?\."", """"))"),"")</f>
        <v/>
      </c>
      <c r="I158" s="152" t="str">
        <f>IFERROR(__xludf.DUMMYFUNCTION("TRIM(REGEXREPLACE(E158, ""[0-9]+[a-f]?\."", """"))"),"")</f>
        <v/>
      </c>
      <c r="J158" s="152" t="str">
        <f t="shared" ref="J158:L158" si="15">$F158 &amp; ". " &amp;G158</f>
        <v>17. </v>
      </c>
      <c r="K158" s="152" t="str">
        <f t="shared" si="15"/>
        <v>17. </v>
      </c>
      <c r="L158" s="152" t="str">
        <f t="shared" si="15"/>
        <v>17. </v>
      </c>
      <c r="M158" s="152"/>
      <c r="N158" s="152"/>
      <c r="O158" s="152"/>
      <c r="P158" s="152"/>
      <c r="Q158" s="152"/>
      <c r="R158" s="152"/>
      <c r="S158" s="152"/>
      <c r="T158" s="152"/>
      <c r="U158" s="152"/>
      <c r="V158" s="152"/>
      <c r="W158" s="152"/>
      <c r="X158" s="152"/>
      <c r="Y158" s="152"/>
      <c r="Z158" s="152"/>
    </row>
    <row r="159" hidden="1">
      <c r="A159" s="90" t="s">
        <v>78</v>
      </c>
      <c r="B159" s="219" t="s">
        <v>1528</v>
      </c>
      <c r="C159" s="28"/>
      <c r="D159" s="28"/>
      <c r="E159" s="28"/>
      <c r="F159" s="161">
        <v>18.0</v>
      </c>
      <c r="G159" s="152" t="str">
        <f>IFERROR(__xludf.DUMMYFUNCTION("TRIM(REGEXREPLACE(C159, ""[0-9]+[a-f]?\."", """"))"),"")</f>
        <v/>
      </c>
      <c r="H159" s="152" t="str">
        <f>IFERROR(__xludf.DUMMYFUNCTION("TRIM(REGEXREPLACE(D159, ""[0-9]+[a-f]?\."", """"))"),"")</f>
        <v/>
      </c>
      <c r="I159" s="152" t="str">
        <f>IFERROR(__xludf.DUMMYFUNCTION("TRIM(REGEXREPLACE(E159, ""[0-9]+[a-f]?\."", """"))"),"")</f>
        <v/>
      </c>
      <c r="J159" s="152" t="str">
        <f t="shared" ref="J159:L159" si="16">$F159 &amp; ". " &amp;G159</f>
        <v>18. </v>
      </c>
      <c r="K159" s="152" t="str">
        <f t="shared" si="16"/>
        <v>18. </v>
      </c>
      <c r="L159" s="152" t="str">
        <f t="shared" si="16"/>
        <v>18. </v>
      </c>
      <c r="M159" s="152"/>
      <c r="N159" s="152"/>
      <c r="O159" s="152"/>
      <c r="P159" s="152"/>
      <c r="Q159" s="152"/>
      <c r="R159" s="152"/>
      <c r="S159" s="152"/>
      <c r="T159" s="152"/>
      <c r="U159" s="152"/>
      <c r="V159" s="152"/>
      <c r="W159" s="152"/>
      <c r="X159" s="152"/>
      <c r="Y159" s="152"/>
      <c r="Z159" s="152"/>
    </row>
    <row r="160" hidden="1">
      <c r="A160" s="90" t="s">
        <v>78</v>
      </c>
      <c r="B160" s="219" t="s">
        <v>1534</v>
      </c>
      <c r="C160" s="28"/>
      <c r="D160" s="28"/>
      <c r="E160" s="28"/>
      <c r="F160" s="161">
        <v>70.0</v>
      </c>
      <c r="G160" s="152" t="str">
        <f>IFERROR(__xludf.DUMMYFUNCTION("TRIM(REGEXREPLACE(C160, ""[0-9]+[a-f]?\."", """"))"),"")</f>
        <v/>
      </c>
      <c r="H160" s="152" t="str">
        <f>IFERROR(__xludf.DUMMYFUNCTION("TRIM(REGEXREPLACE(D160, ""[0-9]+[a-f]?\."", """"))"),"")</f>
        <v/>
      </c>
      <c r="I160" s="152" t="str">
        <f>IFERROR(__xludf.DUMMYFUNCTION("TRIM(REGEXREPLACE(E160, ""[0-9]+[a-f]?\."", """"))"),"")</f>
        <v/>
      </c>
      <c r="J160" s="152" t="s">
        <v>1508</v>
      </c>
      <c r="K160" s="152" t="s">
        <v>1509</v>
      </c>
      <c r="L160" s="152" t="s">
        <v>1510</v>
      </c>
      <c r="M160" s="152"/>
      <c r="N160" s="152"/>
      <c r="O160" s="152"/>
      <c r="P160" s="152"/>
      <c r="Q160" s="152"/>
      <c r="R160" s="152"/>
      <c r="S160" s="152"/>
      <c r="T160" s="152"/>
      <c r="U160" s="152"/>
      <c r="V160" s="152"/>
      <c r="W160" s="152"/>
      <c r="X160" s="152"/>
      <c r="Y160" s="152"/>
      <c r="Z160" s="152"/>
    </row>
    <row r="161" hidden="1">
      <c r="A161" s="90" t="s">
        <v>78</v>
      </c>
      <c r="B161" s="219" t="s">
        <v>1536</v>
      </c>
      <c r="C161" s="28"/>
      <c r="D161" s="28"/>
      <c r="E161" s="28"/>
      <c r="F161" s="161">
        <v>71.0</v>
      </c>
      <c r="G161" s="152" t="str">
        <f>IFERROR(__xludf.DUMMYFUNCTION("TRIM(REGEXREPLACE(C161, ""[0-9]+[a-f]?\."", """"))"),"")</f>
        <v/>
      </c>
      <c r="H161" s="152" t="str">
        <f>IFERROR(__xludf.DUMMYFUNCTION("TRIM(REGEXREPLACE(D161, ""[0-9]+[a-f]?\."", """"))"),"")</f>
        <v/>
      </c>
      <c r="I161" s="152" t="str">
        <f>IFERROR(__xludf.DUMMYFUNCTION("TRIM(REGEXREPLACE(E161, ""[0-9]+[a-f]?\."", """"))"),"")</f>
        <v/>
      </c>
      <c r="J161" s="152" t="s">
        <v>1537</v>
      </c>
      <c r="K161" s="152" t="s">
        <v>1538</v>
      </c>
      <c r="L161" s="152" t="s">
        <v>1539</v>
      </c>
      <c r="M161" s="152"/>
      <c r="N161" s="152"/>
      <c r="O161" s="152"/>
      <c r="P161" s="152"/>
      <c r="Q161" s="152"/>
      <c r="R161" s="152"/>
      <c r="S161" s="152"/>
      <c r="T161" s="152"/>
      <c r="U161" s="152"/>
      <c r="V161" s="152"/>
      <c r="W161" s="152"/>
      <c r="X161" s="152"/>
      <c r="Y161" s="152"/>
      <c r="Z161" s="152"/>
    </row>
    <row r="162" hidden="1">
      <c r="A162" s="90" t="s">
        <v>78</v>
      </c>
      <c r="B162" s="219" t="s">
        <v>1543</v>
      </c>
      <c r="C162" s="28"/>
      <c r="D162" s="28"/>
      <c r="E162" s="28"/>
      <c r="F162" s="161">
        <v>72.0</v>
      </c>
      <c r="G162" s="152" t="str">
        <f>IFERROR(__xludf.DUMMYFUNCTION("TRIM(REGEXREPLACE(C162, ""[0-9]+[a-f]?\."", """"))"),"")</f>
        <v/>
      </c>
      <c r="H162" s="152" t="str">
        <f>IFERROR(__xludf.DUMMYFUNCTION("TRIM(REGEXREPLACE(D162, ""[0-9]+[a-f]?\."", """"))"),"")</f>
        <v/>
      </c>
      <c r="I162" s="152" t="str">
        <f>IFERROR(__xludf.DUMMYFUNCTION("TRIM(REGEXREPLACE(E162, ""[0-9]+[a-f]?\."", """"))"),"")</f>
        <v/>
      </c>
      <c r="J162" s="152" t="s">
        <v>1544</v>
      </c>
      <c r="K162" s="152" t="s">
        <v>1545</v>
      </c>
      <c r="L162" s="152" t="s">
        <v>1546</v>
      </c>
      <c r="M162" s="152"/>
      <c r="N162" s="152"/>
      <c r="O162" s="152"/>
      <c r="P162" s="152"/>
      <c r="Q162" s="152"/>
      <c r="R162" s="152"/>
      <c r="S162" s="152"/>
      <c r="T162" s="152"/>
      <c r="U162" s="152"/>
      <c r="V162" s="152"/>
      <c r="W162" s="152"/>
      <c r="X162" s="152"/>
      <c r="Y162" s="152"/>
      <c r="Z162" s="152"/>
    </row>
    <row r="163" hidden="1">
      <c r="A163" s="90" t="s">
        <v>78</v>
      </c>
      <c r="B163" s="219" t="s">
        <v>1548</v>
      </c>
      <c r="C163" s="28"/>
      <c r="D163" s="28"/>
      <c r="E163" s="28"/>
      <c r="F163" s="161">
        <v>73.0</v>
      </c>
      <c r="G163" s="152" t="str">
        <f>IFERROR(__xludf.DUMMYFUNCTION("TRIM(REGEXREPLACE(C163, ""[0-9]+[a-f]?\."", """"))"),"")</f>
        <v/>
      </c>
      <c r="H163" s="152" t="str">
        <f>IFERROR(__xludf.DUMMYFUNCTION("TRIM(REGEXREPLACE(D163, ""[0-9]+[a-f]?\."", """"))"),"")</f>
        <v/>
      </c>
      <c r="I163" s="152" t="str">
        <f>IFERROR(__xludf.DUMMYFUNCTION("TRIM(REGEXREPLACE(E163, ""[0-9]+[a-f]?\."", """"))"),"")</f>
        <v/>
      </c>
      <c r="J163" s="152" t="s">
        <v>1549</v>
      </c>
      <c r="K163" s="152" t="s">
        <v>1550</v>
      </c>
      <c r="L163" s="152" t="s">
        <v>1550</v>
      </c>
      <c r="M163" s="152"/>
      <c r="N163" s="152"/>
      <c r="O163" s="152"/>
      <c r="P163" s="152"/>
      <c r="Q163" s="152"/>
      <c r="R163" s="152"/>
      <c r="S163" s="152"/>
      <c r="T163" s="152"/>
      <c r="U163" s="152"/>
      <c r="V163" s="152"/>
      <c r="W163" s="152"/>
      <c r="X163" s="152"/>
      <c r="Y163" s="152"/>
      <c r="Z163" s="152"/>
    </row>
    <row r="164" hidden="1">
      <c r="A164" s="90" t="s">
        <v>78</v>
      </c>
      <c r="B164" s="219" t="s">
        <v>1551</v>
      </c>
      <c r="C164" s="28"/>
      <c r="D164" s="28"/>
      <c r="E164" s="28"/>
      <c r="F164" s="161">
        <v>74.0</v>
      </c>
      <c r="G164" s="152" t="str">
        <f>IFERROR(__xludf.DUMMYFUNCTION("TRIM(REGEXREPLACE(C164, ""[0-9]+[a-f]?\."", """"))"),"")</f>
        <v/>
      </c>
      <c r="H164" s="152" t="str">
        <f>IFERROR(__xludf.DUMMYFUNCTION("TRIM(REGEXREPLACE(D164, ""[0-9]+[a-f]?\."", """"))"),"")</f>
        <v/>
      </c>
      <c r="I164" s="152" t="str">
        <f>IFERROR(__xludf.DUMMYFUNCTION("TRIM(REGEXREPLACE(E164, ""[0-9]+[a-f]?\."", """"))"),"")</f>
        <v/>
      </c>
      <c r="J164" s="152" t="s">
        <v>1552</v>
      </c>
      <c r="K164" s="152" t="s">
        <v>1553</v>
      </c>
      <c r="L164" s="152" t="s">
        <v>1555</v>
      </c>
      <c r="M164" s="152"/>
      <c r="N164" s="152"/>
      <c r="O164" s="152"/>
      <c r="P164" s="152"/>
      <c r="Q164" s="152"/>
      <c r="R164" s="152"/>
      <c r="S164" s="152"/>
      <c r="T164" s="152"/>
      <c r="U164" s="152"/>
      <c r="V164" s="152"/>
      <c r="W164" s="152"/>
      <c r="X164" s="152"/>
      <c r="Y164" s="152"/>
      <c r="Z164" s="152"/>
    </row>
    <row r="165" hidden="1">
      <c r="A165" s="90" t="s">
        <v>78</v>
      </c>
      <c r="B165" s="219" t="s">
        <v>1556</v>
      </c>
      <c r="C165" s="28"/>
      <c r="D165" s="28"/>
      <c r="E165" s="28"/>
      <c r="F165" s="161">
        <v>77.0</v>
      </c>
      <c r="G165" s="152" t="str">
        <f>IFERROR(__xludf.DUMMYFUNCTION("TRIM(REGEXREPLACE(C165, ""[0-9]+[a-f]?\."", """"))"),"")</f>
        <v/>
      </c>
      <c r="H165" s="152" t="str">
        <f>IFERROR(__xludf.DUMMYFUNCTION("TRIM(REGEXREPLACE(D165, ""[0-9]+[a-f]?\."", """"))"),"")</f>
        <v/>
      </c>
      <c r="I165" s="152" t="str">
        <f>IFERROR(__xludf.DUMMYFUNCTION("TRIM(REGEXREPLACE(E165, ""[0-9]+[a-f]?\."", """"))"),"")</f>
        <v/>
      </c>
      <c r="J165" s="152" t="s">
        <v>1557</v>
      </c>
      <c r="K165" s="152" t="s">
        <v>1558</v>
      </c>
      <c r="L165" s="152" t="s">
        <v>1558</v>
      </c>
      <c r="M165" s="152"/>
      <c r="N165" s="152"/>
      <c r="O165" s="152"/>
      <c r="P165" s="152"/>
      <c r="Q165" s="152"/>
      <c r="R165" s="152"/>
      <c r="S165" s="152"/>
      <c r="T165" s="152"/>
      <c r="U165" s="152"/>
      <c r="V165" s="152"/>
      <c r="W165" s="152"/>
      <c r="X165" s="152"/>
      <c r="Y165" s="152"/>
      <c r="Z165" s="152"/>
    </row>
    <row r="166" hidden="1">
      <c r="A166" s="90" t="s">
        <v>78</v>
      </c>
      <c r="B166" s="219" t="s">
        <v>1559</v>
      </c>
      <c r="C166" s="28"/>
      <c r="D166" s="28"/>
      <c r="E166" s="28"/>
      <c r="F166" s="161">
        <v>78.0</v>
      </c>
      <c r="G166" s="152" t="str">
        <f>IFERROR(__xludf.DUMMYFUNCTION("TRIM(REGEXREPLACE(C166, ""[0-9]+[a-f]?\."", """"))"),"")</f>
        <v/>
      </c>
      <c r="H166" s="152" t="str">
        <f>IFERROR(__xludf.DUMMYFUNCTION("TRIM(REGEXREPLACE(D166, ""[0-9]+[a-f]?\."", """"))"),"")</f>
        <v/>
      </c>
      <c r="I166" s="152" t="str">
        <f>IFERROR(__xludf.DUMMYFUNCTION("TRIM(REGEXREPLACE(E166, ""[0-9]+[a-f]?\."", """"))"),"")</f>
        <v/>
      </c>
      <c r="J166" s="152" t="s">
        <v>1562</v>
      </c>
      <c r="K166" s="152" t="s">
        <v>1563</v>
      </c>
      <c r="L166" s="152" t="s">
        <v>1563</v>
      </c>
      <c r="M166" s="152"/>
      <c r="N166" s="152"/>
      <c r="O166" s="152"/>
      <c r="P166" s="152"/>
      <c r="Q166" s="152"/>
      <c r="R166" s="152"/>
      <c r="S166" s="152"/>
      <c r="T166" s="152"/>
      <c r="U166" s="152"/>
      <c r="V166" s="152"/>
      <c r="W166" s="152"/>
      <c r="X166" s="152"/>
      <c r="Y166" s="152"/>
      <c r="Z166" s="152"/>
    </row>
    <row r="167" hidden="1">
      <c r="A167" s="90" t="s">
        <v>78</v>
      </c>
      <c r="B167" s="219" t="s">
        <v>1567</v>
      </c>
      <c r="C167" s="28"/>
      <c r="D167" s="28"/>
      <c r="E167" s="28"/>
      <c r="F167" s="161">
        <v>79.0</v>
      </c>
      <c r="G167" s="152" t="str">
        <f>IFERROR(__xludf.DUMMYFUNCTION("TRIM(REGEXREPLACE(C167, ""[0-9]+[a-f]?\."", """"))"),"")</f>
        <v/>
      </c>
      <c r="H167" s="152" t="str">
        <f>IFERROR(__xludf.DUMMYFUNCTION("TRIM(REGEXREPLACE(D167, ""[0-9]+[a-f]?\."", """"))"),"")</f>
        <v/>
      </c>
      <c r="I167" s="152" t="str">
        <f>IFERROR(__xludf.DUMMYFUNCTION("TRIM(REGEXREPLACE(E167, ""[0-9]+[a-f]?\."", """"))"),"")</f>
        <v/>
      </c>
      <c r="J167" s="152" t="s">
        <v>1568</v>
      </c>
      <c r="K167" s="152" t="s">
        <v>1569</v>
      </c>
      <c r="L167" s="152" t="s">
        <v>1569</v>
      </c>
      <c r="M167" s="152"/>
      <c r="N167" s="152"/>
      <c r="O167" s="152"/>
      <c r="P167" s="152"/>
      <c r="Q167" s="152"/>
      <c r="R167" s="152"/>
      <c r="S167" s="152"/>
      <c r="T167" s="152"/>
      <c r="U167" s="152"/>
      <c r="V167" s="152"/>
      <c r="W167" s="152"/>
      <c r="X167" s="152"/>
      <c r="Y167" s="152"/>
      <c r="Z167" s="152"/>
    </row>
    <row r="168" hidden="1">
      <c r="A168" s="90" t="s">
        <v>78</v>
      </c>
      <c r="B168" s="219" t="s">
        <v>1570</v>
      </c>
      <c r="C168" s="28"/>
      <c r="D168" s="28"/>
      <c r="E168" s="28"/>
      <c r="F168" s="161">
        <v>80.0</v>
      </c>
      <c r="G168" s="152" t="str">
        <f>IFERROR(__xludf.DUMMYFUNCTION("TRIM(REGEXREPLACE(C168, ""[0-9]+[a-f]?\."", """"))"),"")</f>
        <v/>
      </c>
      <c r="H168" s="152" t="str">
        <f>IFERROR(__xludf.DUMMYFUNCTION("TRIM(REGEXREPLACE(D168, ""[0-9]+[a-f]?\."", """"))"),"")</f>
        <v/>
      </c>
      <c r="I168" s="152" t="str">
        <f>IFERROR(__xludf.DUMMYFUNCTION("TRIM(REGEXREPLACE(E168, ""[0-9]+[a-f]?\."", """"))"),"")</f>
        <v/>
      </c>
      <c r="J168" s="152" t="s">
        <v>1572</v>
      </c>
      <c r="K168" s="152" t="s">
        <v>1573</v>
      </c>
      <c r="L168" s="152" t="s">
        <v>1573</v>
      </c>
      <c r="M168" s="152"/>
      <c r="N168" s="152"/>
      <c r="O168" s="152"/>
      <c r="P168" s="152"/>
      <c r="Q168" s="152"/>
      <c r="R168" s="152"/>
      <c r="S168" s="152"/>
      <c r="T168" s="152"/>
      <c r="U168" s="152"/>
      <c r="V168" s="152"/>
      <c r="W168" s="152"/>
      <c r="X168" s="152"/>
      <c r="Y168" s="152"/>
      <c r="Z168" s="152"/>
    </row>
    <row r="169" hidden="1">
      <c r="A169" s="90" t="s">
        <v>78</v>
      </c>
      <c r="B169" s="219" t="s">
        <v>1577</v>
      </c>
      <c r="C169" s="28"/>
      <c r="D169" s="28"/>
      <c r="E169" s="28"/>
      <c r="F169" s="161">
        <v>81.0</v>
      </c>
      <c r="G169" s="152" t="str">
        <f>IFERROR(__xludf.DUMMYFUNCTION("TRIM(REGEXREPLACE(C169, ""[0-9]+[a-f]?\."", """"))"),"")</f>
        <v/>
      </c>
      <c r="H169" s="152" t="str">
        <f>IFERROR(__xludf.DUMMYFUNCTION("TRIM(REGEXREPLACE(D169, ""[0-9]+[a-f]?\."", """"))"),"")</f>
        <v/>
      </c>
      <c r="I169" s="152" t="str">
        <f>IFERROR(__xludf.DUMMYFUNCTION("TRIM(REGEXREPLACE(E169, ""[0-9]+[a-f]?\."", """"))"),"")</f>
        <v/>
      </c>
      <c r="J169" s="152" t="s">
        <v>1578</v>
      </c>
      <c r="K169" s="152" t="s">
        <v>1579</v>
      </c>
      <c r="L169" s="152" t="s">
        <v>1579</v>
      </c>
      <c r="M169" s="152"/>
      <c r="N169" s="152"/>
      <c r="O169" s="152"/>
      <c r="P169" s="152"/>
      <c r="Q169" s="152"/>
      <c r="R169" s="152"/>
      <c r="S169" s="152"/>
      <c r="T169" s="152"/>
      <c r="U169" s="152"/>
      <c r="V169" s="152"/>
      <c r="W169" s="152"/>
      <c r="X169" s="152"/>
      <c r="Y169" s="152"/>
      <c r="Z169" s="152"/>
    </row>
    <row r="170" hidden="1">
      <c r="A170" s="90" t="s">
        <v>78</v>
      </c>
      <c r="B170" s="219" t="s">
        <v>1580</v>
      </c>
      <c r="C170" s="28"/>
      <c r="D170" s="28"/>
      <c r="E170" s="28"/>
      <c r="F170" s="161">
        <v>75.0</v>
      </c>
      <c r="G170" s="152" t="str">
        <f>IFERROR(__xludf.DUMMYFUNCTION("TRIM(REGEXREPLACE(C170, ""[0-9]+[a-f]?\."", """"))"),"")</f>
        <v/>
      </c>
      <c r="H170" s="152" t="str">
        <f>IFERROR(__xludf.DUMMYFUNCTION("TRIM(REGEXREPLACE(D170, ""[0-9]+[a-f]?\."", """"))"),"")</f>
        <v/>
      </c>
      <c r="I170" s="152" t="str">
        <f>IFERROR(__xludf.DUMMYFUNCTION("TRIM(REGEXREPLACE(E170, ""[0-9]+[a-f]?\."", """"))"),"")</f>
        <v/>
      </c>
      <c r="J170" s="152" t="s">
        <v>1583</v>
      </c>
      <c r="K170" s="152" t="s">
        <v>1584</v>
      </c>
      <c r="L170" s="152" t="s">
        <v>1585</v>
      </c>
      <c r="M170" s="152"/>
      <c r="N170" s="152"/>
      <c r="O170" s="152"/>
      <c r="P170" s="152"/>
      <c r="Q170" s="152"/>
      <c r="R170" s="152"/>
      <c r="S170" s="152"/>
      <c r="T170" s="152"/>
      <c r="U170" s="152"/>
      <c r="V170" s="152"/>
      <c r="W170" s="152"/>
      <c r="X170" s="152"/>
      <c r="Y170" s="152"/>
      <c r="Z170" s="152"/>
    </row>
    <row r="171" hidden="1">
      <c r="A171" s="90" t="s">
        <v>78</v>
      </c>
      <c r="B171" s="219" t="s">
        <v>1587</v>
      </c>
      <c r="C171" s="28"/>
      <c r="D171" s="28"/>
      <c r="E171" s="28"/>
      <c r="F171" s="161">
        <v>76.0</v>
      </c>
      <c r="G171" s="152" t="str">
        <f>IFERROR(__xludf.DUMMYFUNCTION("TRIM(REGEXREPLACE(C171, ""[0-9]+[a-f]?\."", """"))"),"")</f>
        <v/>
      </c>
      <c r="H171" s="152" t="str">
        <f>IFERROR(__xludf.DUMMYFUNCTION("TRIM(REGEXREPLACE(D171, ""[0-9]+[a-f]?\."", """"))"),"")</f>
        <v/>
      </c>
      <c r="I171" s="152" t="str">
        <f>IFERROR(__xludf.DUMMYFUNCTION("TRIM(REGEXREPLACE(E171, ""[0-9]+[a-f]?\."", """"))"),"")</f>
        <v/>
      </c>
      <c r="J171" s="152" t="s">
        <v>1588</v>
      </c>
      <c r="K171" s="152" t="s">
        <v>1589</v>
      </c>
      <c r="L171" s="152" t="s">
        <v>1590</v>
      </c>
      <c r="M171" s="152"/>
      <c r="N171" s="152"/>
      <c r="O171" s="152"/>
      <c r="P171" s="152"/>
      <c r="Q171" s="152"/>
      <c r="R171" s="152"/>
      <c r="S171" s="152"/>
      <c r="T171" s="152"/>
      <c r="U171" s="152"/>
      <c r="V171" s="152"/>
      <c r="W171" s="152"/>
      <c r="X171" s="152"/>
      <c r="Y171" s="152"/>
      <c r="Z171" s="152"/>
    </row>
    <row r="172" hidden="1">
      <c r="A172" s="90" t="s">
        <v>78</v>
      </c>
      <c r="B172" s="219" t="s">
        <v>1592</v>
      </c>
      <c r="C172" s="28"/>
      <c r="D172" s="28"/>
      <c r="E172" s="28"/>
      <c r="F172" s="161">
        <v>19.0</v>
      </c>
      <c r="G172" s="152" t="str">
        <f>IFERROR(__xludf.DUMMYFUNCTION("TRIM(REGEXREPLACE(C172, ""[0-9]+[a-f]?\."", """"))"),"")</f>
        <v/>
      </c>
      <c r="H172" s="152" t="str">
        <f>IFERROR(__xludf.DUMMYFUNCTION("TRIM(REGEXREPLACE(D172, ""[0-9]+[a-f]?\."", """"))"),"")</f>
        <v/>
      </c>
      <c r="I172" s="152" t="str">
        <f>IFERROR(__xludf.DUMMYFUNCTION("TRIM(REGEXREPLACE(E172, ""[0-9]+[a-f]?\."", """"))"),"")</f>
        <v/>
      </c>
      <c r="J172" s="152" t="str">
        <f t="shared" ref="J172:L172" si="17">$F172 &amp; ". " &amp;G172</f>
        <v>19. </v>
      </c>
      <c r="K172" s="152" t="str">
        <f t="shared" si="17"/>
        <v>19. </v>
      </c>
      <c r="L172" s="152" t="str">
        <f t="shared" si="17"/>
        <v>19. </v>
      </c>
      <c r="M172" s="152"/>
      <c r="N172" s="152"/>
      <c r="O172" s="152"/>
      <c r="P172" s="152"/>
      <c r="Q172" s="152"/>
      <c r="R172" s="152"/>
      <c r="S172" s="152"/>
      <c r="T172" s="152"/>
      <c r="U172" s="152"/>
      <c r="V172" s="152"/>
      <c r="W172" s="152"/>
      <c r="X172" s="152"/>
      <c r="Y172" s="152"/>
      <c r="Z172" s="152"/>
    </row>
    <row r="173" hidden="1">
      <c r="A173" s="90" t="s">
        <v>78</v>
      </c>
      <c r="B173" s="219" t="s">
        <v>1598</v>
      </c>
      <c r="C173" s="28"/>
      <c r="D173" s="28"/>
      <c r="E173" s="28"/>
      <c r="F173" s="161">
        <v>78.0</v>
      </c>
      <c r="G173" s="152" t="str">
        <f>IFERROR(__xludf.DUMMYFUNCTION("TRIM(REGEXREPLACE(C173, ""[0-9]+[a-f]?\."", """"))"),"")</f>
        <v/>
      </c>
      <c r="H173" s="152" t="str">
        <f>IFERROR(__xludf.DUMMYFUNCTION("TRIM(REGEXREPLACE(D173, ""[0-9]+[a-f]?\."", """"))"),"")</f>
        <v/>
      </c>
      <c r="I173" s="152" t="str">
        <f>IFERROR(__xludf.DUMMYFUNCTION("TRIM(REGEXREPLACE(E173, ""[0-9]+[a-f]?\."", """"))"),"")</f>
        <v/>
      </c>
      <c r="J173" s="152" t="s">
        <v>1600</v>
      </c>
      <c r="K173" s="152" t="s">
        <v>1601</v>
      </c>
      <c r="L173" s="152" t="s">
        <v>1602</v>
      </c>
      <c r="M173" s="152"/>
      <c r="N173" s="152"/>
      <c r="O173" s="152"/>
      <c r="P173" s="152"/>
      <c r="Q173" s="152"/>
      <c r="R173" s="152"/>
      <c r="S173" s="152"/>
      <c r="T173" s="152"/>
      <c r="U173" s="152"/>
      <c r="V173" s="152"/>
      <c r="W173" s="152"/>
      <c r="X173" s="152"/>
      <c r="Y173" s="152"/>
      <c r="Z173" s="152"/>
    </row>
    <row r="174" hidden="1">
      <c r="A174" s="90" t="s">
        <v>78</v>
      </c>
      <c r="B174" s="219" t="s">
        <v>1603</v>
      </c>
      <c r="C174" s="28"/>
      <c r="D174" s="28"/>
      <c r="E174" s="28"/>
      <c r="F174" s="161">
        <v>79.0</v>
      </c>
      <c r="G174" s="152" t="str">
        <f>IFERROR(__xludf.DUMMYFUNCTION("TRIM(REGEXREPLACE(C174, ""[0-9]+[a-f]?\."", """"))"),"")</f>
        <v/>
      </c>
      <c r="H174" s="152" t="str">
        <f>IFERROR(__xludf.DUMMYFUNCTION("TRIM(REGEXREPLACE(D174, ""[0-9]+[a-f]?\."", """"))"),"")</f>
        <v/>
      </c>
      <c r="I174" s="152" t="str">
        <f>IFERROR(__xludf.DUMMYFUNCTION("TRIM(REGEXREPLACE(E174, ""[0-9]+[a-f]?\."", """"))"),"")</f>
        <v/>
      </c>
      <c r="J174" s="152" t="s">
        <v>1604</v>
      </c>
      <c r="K174" s="152" t="s">
        <v>1605</v>
      </c>
      <c r="L174" s="152" t="s">
        <v>1606</v>
      </c>
      <c r="M174" s="152"/>
      <c r="N174" s="152"/>
      <c r="O174" s="152"/>
      <c r="P174" s="152"/>
      <c r="Q174" s="152"/>
      <c r="R174" s="152"/>
      <c r="S174" s="152"/>
      <c r="T174" s="152"/>
      <c r="U174" s="152"/>
      <c r="V174" s="152"/>
      <c r="W174" s="152"/>
      <c r="X174" s="152"/>
      <c r="Y174" s="152"/>
      <c r="Z174" s="152"/>
    </row>
    <row r="175" hidden="1">
      <c r="A175" s="90" t="s">
        <v>78</v>
      </c>
      <c r="B175" s="219" t="s">
        <v>1610</v>
      </c>
      <c r="C175" s="28"/>
      <c r="D175" s="28"/>
      <c r="E175" s="28"/>
      <c r="F175" s="161">
        <v>20.0</v>
      </c>
      <c r="G175" s="152" t="str">
        <f>IFERROR(__xludf.DUMMYFUNCTION("TRIM(REGEXREPLACE(C175, ""[0-9]+[a-f]?\."", """"))"),"")</f>
        <v/>
      </c>
      <c r="H175" s="152" t="str">
        <f>IFERROR(__xludf.DUMMYFUNCTION("TRIM(REGEXREPLACE(D175, ""[0-9]+[a-f]?\."", """"))"),"")</f>
        <v/>
      </c>
      <c r="I175" s="152" t="str">
        <f>IFERROR(__xludf.DUMMYFUNCTION("TRIM(REGEXREPLACE(E175, ""[0-9]+[a-f]?\."", """"))"),"")</f>
        <v/>
      </c>
      <c r="J175" s="152" t="str">
        <f t="shared" ref="J175:L175" si="18">$F175 &amp; ". " &amp;G175</f>
        <v>20. </v>
      </c>
      <c r="K175" s="152" t="str">
        <f t="shared" si="18"/>
        <v>20. </v>
      </c>
      <c r="L175" s="152" t="str">
        <f t="shared" si="18"/>
        <v>20. </v>
      </c>
      <c r="M175" s="152"/>
      <c r="N175" s="152"/>
      <c r="O175" s="152"/>
      <c r="P175" s="152"/>
      <c r="Q175" s="152"/>
      <c r="R175" s="152"/>
      <c r="S175" s="152"/>
      <c r="T175" s="152"/>
      <c r="U175" s="152"/>
      <c r="V175" s="152"/>
      <c r="W175" s="152"/>
      <c r="X175" s="152"/>
      <c r="Y175" s="152"/>
      <c r="Z175" s="152"/>
    </row>
    <row r="176" hidden="1">
      <c r="A176" s="90" t="s">
        <v>78</v>
      </c>
      <c r="B176" s="219" t="s">
        <v>1615</v>
      </c>
      <c r="C176" s="28"/>
      <c r="D176" s="28"/>
      <c r="E176" s="28"/>
      <c r="F176" s="161">
        <v>21.0</v>
      </c>
      <c r="G176" s="152" t="str">
        <f>IFERROR(__xludf.DUMMYFUNCTION("TRIM(REGEXREPLACE(C176, ""[0-9]+[a-f]?\."", """"))"),"")</f>
        <v/>
      </c>
      <c r="H176" s="152" t="str">
        <f>IFERROR(__xludf.DUMMYFUNCTION("TRIM(REGEXREPLACE(D176, ""[0-9]+[a-f]?\."", """"))"),"")</f>
        <v/>
      </c>
      <c r="I176" s="152" t="str">
        <f>IFERROR(__xludf.DUMMYFUNCTION("TRIM(REGEXREPLACE(E176, ""[0-9]+[a-f]?\."", """"))"),"")</f>
        <v/>
      </c>
      <c r="J176" s="152" t="str">
        <f t="shared" ref="J176:L176" si="19">$F176 &amp; ". " &amp;G176</f>
        <v>21. </v>
      </c>
      <c r="K176" s="152" t="str">
        <f t="shared" si="19"/>
        <v>21. </v>
      </c>
      <c r="L176" s="152" t="str">
        <f t="shared" si="19"/>
        <v>21. </v>
      </c>
      <c r="M176" s="152"/>
      <c r="N176" s="152"/>
      <c r="O176" s="152"/>
      <c r="P176" s="152"/>
      <c r="Q176" s="152"/>
      <c r="R176" s="152"/>
      <c r="S176" s="152"/>
      <c r="T176" s="152"/>
      <c r="U176" s="152"/>
      <c r="V176" s="152"/>
      <c r="W176" s="152"/>
      <c r="X176" s="152"/>
      <c r="Y176" s="152"/>
      <c r="Z176" s="152"/>
    </row>
    <row r="177" hidden="1">
      <c r="A177" s="90" t="s">
        <v>78</v>
      </c>
      <c r="B177" s="219" t="s">
        <v>1619</v>
      </c>
      <c r="C177" s="28"/>
      <c r="D177" s="28"/>
      <c r="E177" s="28"/>
      <c r="F177" s="161">
        <v>22.0</v>
      </c>
      <c r="G177" s="152" t="str">
        <f>IFERROR(__xludf.DUMMYFUNCTION("TRIM(REGEXREPLACE(C177, ""[0-9]+[a-f]?\."", """"))"),"")</f>
        <v/>
      </c>
      <c r="H177" s="152" t="str">
        <f>IFERROR(__xludf.DUMMYFUNCTION("TRIM(REGEXREPLACE(D177, ""[0-9]+[a-f]?\."", """"))"),"")</f>
        <v/>
      </c>
      <c r="I177" s="152" t="str">
        <f>IFERROR(__xludf.DUMMYFUNCTION("TRIM(REGEXREPLACE(E177, ""[0-9]+[a-f]?\."", """"))"),"")</f>
        <v/>
      </c>
      <c r="J177" s="152" t="str">
        <f t="shared" ref="J177:L177" si="20">$F177 &amp; ". " &amp;G177</f>
        <v>22. </v>
      </c>
      <c r="K177" s="152" t="str">
        <f t="shared" si="20"/>
        <v>22. </v>
      </c>
      <c r="L177" s="152" t="str">
        <f t="shared" si="20"/>
        <v>22. </v>
      </c>
      <c r="M177" s="152"/>
      <c r="N177" s="152"/>
      <c r="O177" s="152"/>
      <c r="P177" s="152"/>
      <c r="Q177" s="152"/>
      <c r="R177" s="152"/>
      <c r="S177" s="152"/>
      <c r="T177" s="152"/>
      <c r="U177" s="152"/>
      <c r="V177" s="152"/>
      <c r="W177" s="152"/>
      <c r="X177" s="152"/>
      <c r="Y177" s="152"/>
      <c r="Z177" s="152"/>
    </row>
    <row r="178" hidden="1">
      <c r="A178" s="90" t="s">
        <v>78</v>
      </c>
      <c r="B178" s="219" t="s">
        <v>1622</v>
      </c>
      <c r="C178" s="28"/>
      <c r="D178" s="28"/>
      <c r="E178" s="28"/>
      <c r="F178" s="161">
        <v>83.0</v>
      </c>
      <c r="G178" s="152" t="str">
        <f>IFERROR(__xludf.DUMMYFUNCTION("TRIM(REGEXREPLACE(C178, ""[0-9]+[a-f]?\."", """"))"),"")</f>
        <v/>
      </c>
      <c r="H178" s="152" t="str">
        <f>IFERROR(__xludf.DUMMYFUNCTION("TRIM(REGEXREPLACE(D178, ""[0-9]+[a-f]?\."", """"))"),"")</f>
        <v/>
      </c>
      <c r="I178" s="152" t="str">
        <f>IFERROR(__xludf.DUMMYFUNCTION("TRIM(REGEXREPLACE(E178, ""[0-9]+[a-f]?\."", """"))"),"")</f>
        <v/>
      </c>
      <c r="J178" s="152" t="s">
        <v>1625</v>
      </c>
      <c r="K178" s="152" t="s">
        <v>1626</v>
      </c>
      <c r="L178" s="152" t="s">
        <v>1627</v>
      </c>
      <c r="M178" s="152"/>
      <c r="N178" s="152"/>
      <c r="O178" s="152"/>
      <c r="P178" s="152"/>
      <c r="Q178" s="152"/>
      <c r="R178" s="152"/>
      <c r="S178" s="152"/>
      <c r="T178" s="152"/>
      <c r="U178" s="152"/>
      <c r="V178" s="152"/>
      <c r="W178" s="152"/>
      <c r="X178" s="152"/>
      <c r="Y178" s="152"/>
      <c r="Z178" s="152"/>
    </row>
    <row r="179" hidden="1">
      <c r="A179" s="90" t="s">
        <v>78</v>
      </c>
      <c r="B179" s="219" t="s">
        <v>1629</v>
      </c>
      <c r="C179" s="28"/>
      <c r="D179" s="28"/>
      <c r="E179" s="28"/>
      <c r="F179" s="161">
        <v>84.0</v>
      </c>
      <c r="G179" s="152" t="str">
        <f>IFERROR(__xludf.DUMMYFUNCTION("TRIM(REGEXREPLACE(C179, ""[0-9]+[a-f]?\."", """"))"),"")</f>
        <v/>
      </c>
      <c r="H179" s="152" t="str">
        <f>IFERROR(__xludf.DUMMYFUNCTION("TRIM(REGEXREPLACE(D179, ""[0-9]+[a-f]?\."", """"))"),"")</f>
        <v/>
      </c>
      <c r="I179" s="152" t="str">
        <f>IFERROR(__xludf.DUMMYFUNCTION("TRIM(REGEXREPLACE(E179, ""[0-9]+[a-f]?\."", """"))"),"")</f>
        <v/>
      </c>
      <c r="J179" s="152" t="s">
        <v>1633</v>
      </c>
      <c r="K179" s="152" t="s">
        <v>1634</v>
      </c>
      <c r="L179" s="152" t="s">
        <v>1635</v>
      </c>
      <c r="M179" s="152"/>
      <c r="N179" s="152"/>
      <c r="O179" s="152"/>
      <c r="P179" s="152"/>
      <c r="Q179" s="152"/>
      <c r="R179" s="152"/>
      <c r="S179" s="152"/>
      <c r="T179" s="152"/>
      <c r="U179" s="152"/>
      <c r="V179" s="152"/>
      <c r="W179" s="152"/>
      <c r="X179" s="152"/>
      <c r="Y179" s="152"/>
      <c r="Z179" s="152"/>
    </row>
    <row r="180" hidden="1">
      <c r="A180" s="90" t="s">
        <v>78</v>
      </c>
      <c r="B180" s="219" t="s">
        <v>1636</v>
      </c>
      <c r="C180" s="28"/>
      <c r="D180" s="28"/>
      <c r="E180" s="28"/>
      <c r="F180" s="161">
        <v>85.0</v>
      </c>
      <c r="G180" s="152" t="str">
        <f>IFERROR(__xludf.DUMMYFUNCTION("TRIM(REGEXREPLACE(C180, ""[0-9]+[a-f]?\."", """"))"),"")</f>
        <v/>
      </c>
      <c r="H180" s="152" t="str">
        <f>IFERROR(__xludf.DUMMYFUNCTION("TRIM(REGEXREPLACE(D180, ""[0-9]+[a-f]?\."", """"))"),"")</f>
        <v/>
      </c>
      <c r="I180" s="152" t="str">
        <f>IFERROR(__xludf.DUMMYFUNCTION("TRIM(REGEXREPLACE(E180, ""[0-9]+[a-f]?\."", """"))"),"")</f>
        <v/>
      </c>
      <c r="J180" s="152" t="s">
        <v>1637</v>
      </c>
      <c r="K180" s="152" t="s">
        <v>1638</v>
      </c>
      <c r="L180" s="152" t="s">
        <v>1639</v>
      </c>
      <c r="M180" s="152"/>
      <c r="N180" s="152"/>
      <c r="O180" s="152"/>
      <c r="P180" s="152"/>
      <c r="Q180" s="152"/>
      <c r="R180" s="152"/>
      <c r="S180" s="152"/>
      <c r="T180" s="152"/>
      <c r="U180" s="152"/>
      <c r="V180" s="152"/>
      <c r="W180" s="152"/>
      <c r="X180" s="152"/>
      <c r="Y180" s="152"/>
      <c r="Z180" s="152"/>
    </row>
    <row r="181" hidden="1">
      <c r="A181" s="90" t="s">
        <v>78</v>
      </c>
      <c r="B181" s="219" t="s">
        <v>1644</v>
      </c>
      <c r="C181" s="28"/>
      <c r="D181" s="28"/>
      <c r="E181" s="28"/>
      <c r="F181" s="161">
        <v>91.0</v>
      </c>
      <c r="G181" s="152" t="str">
        <f>IFERROR(__xludf.DUMMYFUNCTION("TRIM(REGEXREPLACE(C181, ""[0-9]+[a-f]?\."", """"))"),"")</f>
        <v/>
      </c>
      <c r="H181" s="152" t="str">
        <f>IFERROR(__xludf.DUMMYFUNCTION("TRIM(REGEXREPLACE(D181, ""[0-9]+[a-f]?\."", """"))"),"")</f>
        <v/>
      </c>
      <c r="I181" s="152" t="str">
        <f>IFERROR(__xludf.DUMMYFUNCTION("TRIM(REGEXREPLACE(E181, ""[0-9]+[a-f]?\."", """"))"),"")</f>
        <v/>
      </c>
      <c r="J181" s="152" t="s">
        <v>1645</v>
      </c>
      <c r="K181" s="152" t="s">
        <v>1646</v>
      </c>
      <c r="L181" s="152" t="s">
        <v>1647</v>
      </c>
      <c r="M181" s="152"/>
      <c r="N181" s="152"/>
      <c r="O181" s="152"/>
      <c r="P181" s="152"/>
      <c r="Q181" s="152"/>
      <c r="R181" s="152"/>
      <c r="S181" s="152"/>
      <c r="T181" s="152"/>
      <c r="U181" s="152"/>
      <c r="V181" s="152"/>
      <c r="W181" s="152"/>
      <c r="X181" s="152"/>
      <c r="Y181" s="152"/>
      <c r="Z181" s="152"/>
    </row>
    <row r="182" hidden="1">
      <c r="A182" s="90" t="s">
        <v>78</v>
      </c>
      <c r="B182" s="219" t="s">
        <v>1651</v>
      </c>
      <c r="C182" s="28"/>
      <c r="D182" s="28"/>
      <c r="E182" s="28"/>
      <c r="F182" s="161">
        <v>23.0</v>
      </c>
      <c r="G182" s="152" t="str">
        <f>IFERROR(__xludf.DUMMYFUNCTION("TRIM(REGEXREPLACE(C182, ""[0-9]+[a-f]?\."", """"))"),"")</f>
        <v/>
      </c>
      <c r="H182" s="152" t="str">
        <f>IFERROR(__xludf.DUMMYFUNCTION("TRIM(REGEXREPLACE(D182, ""[0-9]+[a-f]?\."", """"))"),"")</f>
        <v/>
      </c>
      <c r="I182" s="152" t="str">
        <f>IFERROR(__xludf.DUMMYFUNCTION("TRIM(REGEXREPLACE(E182, ""[0-9]+[a-f]?\."", """"))"),"")</f>
        <v/>
      </c>
      <c r="J182" s="152" t="str">
        <f t="shared" ref="J182:L182" si="21">$F182 &amp; ". " &amp;G182</f>
        <v>23. </v>
      </c>
      <c r="K182" s="152" t="str">
        <f t="shared" si="21"/>
        <v>23. </v>
      </c>
      <c r="L182" s="152" t="str">
        <f t="shared" si="21"/>
        <v>23. </v>
      </c>
      <c r="M182" s="152"/>
      <c r="N182" s="152"/>
      <c r="O182" s="152"/>
      <c r="P182" s="152"/>
      <c r="Q182" s="152"/>
      <c r="R182" s="152"/>
      <c r="S182" s="152"/>
      <c r="T182" s="152"/>
      <c r="U182" s="152"/>
      <c r="V182" s="152"/>
      <c r="W182" s="152"/>
      <c r="X182" s="152"/>
      <c r="Y182" s="152"/>
      <c r="Z182" s="152"/>
    </row>
    <row r="183" hidden="1">
      <c r="A183" s="90" t="s">
        <v>78</v>
      </c>
      <c r="B183" s="219" t="s">
        <v>1652</v>
      </c>
      <c r="C183" s="28"/>
      <c r="D183" s="28"/>
      <c r="E183" s="28"/>
      <c r="F183" s="161">
        <v>24.0</v>
      </c>
      <c r="G183" s="152" t="str">
        <f>IFERROR(__xludf.DUMMYFUNCTION("TRIM(REGEXREPLACE(C183, ""[0-9]+[a-f]?\."", """"))"),"")</f>
        <v/>
      </c>
      <c r="H183" s="152" t="str">
        <f>IFERROR(__xludf.DUMMYFUNCTION("TRIM(REGEXREPLACE(D183, ""[0-9]+[a-f]?\."", """"))"),"")</f>
        <v/>
      </c>
      <c r="I183" s="152" t="str">
        <f>IFERROR(__xludf.DUMMYFUNCTION("TRIM(REGEXREPLACE(E183, ""[0-9]+[a-f]?\."", """"))"),"")</f>
        <v/>
      </c>
      <c r="J183" s="152" t="str">
        <f t="shared" ref="J183:L183" si="22">$F183 &amp; ". " &amp;G183</f>
        <v>24. </v>
      </c>
      <c r="K183" s="152" t="str">
        <f t="shared" si="22"/>
        <v>24. </v>
      </c>
      <c r="L183" s="152" t="str">
        <f t="shared" si="22"/>
        <v>24. </v>
      </c>
      <c r="M183" s="152"/>
      <c r="N183" s="152"/>
      <c r="O183" s="152"/>
      <c r="P183" s="152"/>
      <c r="Q183" s="152"/>
      <c r="R183" s="152"/>
      <c r="S183" s="152"/>
      <c r="T183" s="152"/>
      <c r="U183" s="152"/>
      <c r="V183" s="152"/>
      <c r="W183" s="152"/>
      <c r="X183" s="152"/>
      <c r="Y183" s="152"/>
      <c r="Z183" s="152"/>
    </row>
    <row r="184" hidden="1">
      <c r="A184" s="90" t="s">
        <v>78</v>
      </c>
      <c r="B184" s="219" t="s">
        <v>1654</v>
      </c>
      <c r="C184" s="28"/>
      <c r="D184" s="28"/>
      <c r="E184" s="28"/>
      <c r="F184" s="161">
        <v>25.0</v>
      </c>
      <c r="G184" s="152" t="str">
        <f>IFERROR(__xludf.DUMMYFUNCTION("TRIM(REGEXREPLACE(C184, ""[0-9]+[a-f]?\."", """"))"),"")</f>
        <v/>
      </c>
      <c r="H184" s="152" t="str">
        <f>IFERROR(__xludf.DUMMYFUNCTION("TRIM(REGEXREPLACE(D184, ""[0-9]+[a-f]?\."", """"))"),"")</f>
        <v/>
      </c>
      <c r="I184" s="152" t="str">
        <f>IFERROR(__xludf.DUMMYFUNCTION("TRIM(REGEXREPLACE(E184, ""[0-9]+[a-f]?\."", """"))"),"")</f>
        <v/>
      </c>
      <c r="J184" s="152" t="str">
        <f t="shared" ref="J184:L184" si="23">$F184 &amp; ". " &amp;G184</f>
        <v>25. </v>
      </c>
      <c r="K184" s="152" t="str">
        <f t="shared" si="23"/>
        <v>25. </v>
      </c>
      <c r="L184" s="152" t="str">
        <f t="shared" si="23"/>
        <v>25. </v>
      </c>
      <c r="M184" s="152"/>
      <c r="N184" s="152"/>
      <c r="O184" s="152"/>
      <c r="P184" s="152"/>
      <c r="Q184" s="152"/>
      <c r="R184" s="152"/>
      <c r="S184" s="152"/>
      <c r="T184" s="152"/>
      <c r="U184" s="152"/>
      <c r="V184" s="152"/>
      <c r="W184" s="152"/>
      <c r="X184" s="152"/>
      <c r="Y184" s="152"/>
      <c r="Z184" s="152"/>
    </row>
    <row r="185" hidden="1">
      <c r="A185" s="90" t="s">
        <v>78</v>
      </c>
      <c r="B185" s="219" t="s">
        <v>1655</v>
      </c>
      <c r="C185" s="28"/>
      <c r="D185" s="28"/>
      <c r="E185" s="28"/>
      <c r="F185" s="161">
        <v>26.0</v>
      </c>
      <c r="G185" s="152" t="str">
        <f>IFERROR(__xludf.DUMMYFUNCTION("TRIM(REGEXREPLACE(C185, ""[0-9]+[a-f]?\."", """"))"),"")</f>
        <v/>
      </c>
      <c r="H185" s="152" t="str">
        <f>IFERROR(__xludf.DUMMYFUNCTION("TRIM(REGEXREPLACE(D185, ""[0-9]+[a-f]?\."", """"))"),"")</f>
        <v/>
      </c>
      <c r="I185" s="152" t="str">
        <f>IFERROR(__xludf.DUMMYFUNCTION("TRIM(REGEXREPLACE(E185, ""[0-9]+[a-f]?\."", """"))"),"")</f>
        <v/>
      </c>
      <c r="J185" s="152" t="str">
        <f t="shared" ref="J185:L185" si="24">$F185 &amp; ". " &amp;G185</f>
        <v>26. </v>
      </c>
      <c r="K185" s="152" t="str">
        <f t="shared" si="24"/>
        <v>26. </v>
      </c>
      <c r="L185" s="152" t="str">
        <f t="shared" si="24"/>
        <v>26. </v>
      </c>
      <c r="M185" s="152"/>
      <c r="N185" s="152"/>
      <c r="O185" s="152"/>
      <c r="P185" s="152"/>
      <c r="Q185" s="152"/>
      <c r="R185" s="152"/>
      <c r="S185" s="152"/>
      <c r="T185" s="152"/>
      <c r="U185" s="152"/>
      <c r="V185" s="152"/>
      <c r="W185" s="152"/>
      <c r="X185" s="152"/>
      <c r="Y185" s="152"/>
      <c r="Z185" s="152"/>
    </row>
    <row r="186" hidden="1">
      <c r="A186" s="90" t="s">
        <v>78</v>
      </c>
      <c r="B186" s="219" t="s">
        <v>1661</v>
      </c>
      <c r="C186" s="28"/>
      <c r="D186" s="28"/>
      <c r="E186" s="28"/>
      <c r="F186" s="161">
        <v>90.0</v>
      </c>
      <c r="G186" s="152" t="str">
        <f>IFERROR(__xludf.DUMMYFUNCTION("TRIM(REGEXREPLACE(C186, ""[0-9]+[a-f]?\."", """"))"),"")</f>
        <v/>
      </c>
      <c r="H186" s="152" t="str">
        <f>IFERROR(__xludf.DUMMYFUNCTION("TRIM(REGEXREPLACE(D186, ""[0-9]+[a-f]?\."", """"))"),"")</f>
        <v/>
      </c>
      <c r="I186" s="152" t="str">
        <f>IFERROR(__xludf.DUMMYFUNCTION("TRIM(REGEXREPLACE(E186, ""[0-9]+[a-f]?\."", """"))"),"")</f>
        <v/>
      </c>
      <c r="J186" s="152" t="s">
        <v>1662</v>
      </c>
      <c r="K186" s="152" t="s">
        <v>1663</v>
      </c>
      <c r="L186" s="152" t="s">
        <v>1664</v>
      </c>
      <c r="M186" s="152"/>
      <c r="N186" s="152"/>
      <c r="O186" s="152"/>
      <c r="P186" s="152"/>
      <c r="Q186" s="152"/>
      <c r="R186" s="152"/>
      <c r="S186" s="152"/>
      <c r="T186" s="152"/>
      <c r="U186" s="152"/>
      <c r="V186" s="152"/>
      <c r="W186" s="152"/>
      <c r="X186" s="152"/>
      <c r="Y186" s="152"/>
      <c r="Z186" s="152"/>
    </row>
    <row r="187" hidden="1">
      <c r="A187" s="90" t="s">
        <v>78</v>
      </c>
      <c r="B187" s="219" t="s">
        <v>1668</v>
      </c>
      <c r="C187" s="28"/>
      <c r="D187" s="28"/>
      <c r="E187" s="28"/>
      <c r="F187" s="161">
        <v>27.0</v>
      </c>
      <c r="G187" s="152" t="str">
        <f>IFERROR(__xludf.DUMMYFUNCTION("TRIM(REGEXREPLACE(C187, ""[0-9]+[a-f]?\."", """"))"),"")</f>
        <v/>
      </c>
      <c r="H187" s="152" t="str">
        <f>IFERROR(__xludf.DUMMYFUNCTION("TRIM(REGEXREPLACE(D187, ""[0-9]+[a-f]?\."", """"))"),"")</f>
        <v/>
      </c>
      <c r="I187" s="152" t="str">
        <f>IFERROR(__xludf.DUMMYFUNCTION("TRIM(REGEXREPLACE(E187, ""[0-9]+[a-f]?\."", """"))"),"")</f>
        <v/>
      </c>
      <c r="J187" s="152" t="str">
        <f t="shared" ref="J187:L187" si="25">$F187 &amp; ". " &amp;G187</f>
        <v>27. </v>
      </c>
      <c r="K187" s="152" t="str">
        <f t="shared" si="25"/>
        <v>27. </v>
      </c>
      <c r="L187" s="152" t="str">
        <f t="shared" si="25"/>
        <v>27. </v>
      </c>
      <c r="M187" s="152"/>
      <c r="N187" s="152"/>
      <c r="O187" s="152"/>
      <c r="P187" s="152"/>
      <c r="Q187" s="152"/>
      <c r="R187" s="152"/>
      <c r="S187" s="152"/>
      <c r="T187" s="152"/>
      <c r="U187" s="152"/>
      <c r="V187" s="152"/>
      <c r="W187" s="152"/>
      <c r="X187" s="152"/>
      <c r="Y187" s="152"/>
      <c r="Z187" s="152"/>
    </row>
    <row r="188" hidden="1">
      <c r="A188" s="90" t="s">
        <v>78</v>
      </c>
      <c r="B188" s="219" t="s">
        <v>1670</v>
      </c>
      <c r="C188" s="28"/>
      <c r="D188" s="28"/>
      <c r="E188" s="28"/>
      <c r="F188" s="153"/>
      <c r="G188" s="152" t="str">
        <f>IFERROR(__xludf.DUMMYFUNCTION("TRIM(REGEXREPLACE(C188, ""[0-9]+[a-f]?\."", """"))"),"")</f>
        <v/>
      </c>
      <c r="H188" s="152" t="str">
        <f>IFERROR(__xludf.DUMMYFUNCTION("TRIM(REGEXREPLACE(D188, ""[0-9]+[a-f]?\."", """"))"),"")</f>
        <v/>
      </c>
      <c r="I188" s="152" t="str">
        <f>IFERROR(__xludf.DUMMYFUNCTION("TRIM(REGEXREPLACE(E188, ""[0-9]+[a-f]?\."", """"))"),"")</f>
        <v/>
      </c>
      <c r="J188" s="152" t="s">
        <v>1674</v>
      </c>
      <c r="K188" s="152" t="s">
        <v>1675</v>
      </c>
      <c r="L188" s="155" t="s">
        <v>1677</v>
      </c>
      <c r="M188" s="152"/>
      <c r="N188" s="152"/>
      <c r="O188" s="152"/>
      <c r="P188" s="152"/>
      <c r="Q188" s="152"/>
      <c r="R188" s="152"/>
      <c r="S188" s="152"/>
      <c r="T188" s="152"/>
      <c r="U188" s="152"/>
      <c r="V188" s="152"/>
      <c r="W188" s="152"/>
      <c r="X188" s="152"/>
      <c r="Y188" s="152"/>
      <c r="Z188" s="152"/>
    </row>
    <row r="189" hidden="1">
      <c r="A189" s="90" t="s">
        <v>78</v>
      </c>
      <c r="B189" s="219" t="s">
        <v>1678</v>
      </c>
      <c r="C189" s="28"/>
      <c r="D189" s="28"/>
      <c r="E189" s="28"/>
      <c r="F189" s="153"/>
      <c r="G189" s="152" t="str">
        <f>IFERROR(__xludf.DUMMYFUNCTION("TRIM(REGEXREPLACE(C189, ""[0-9]+[a-f]?\."", """"))"),"")</f>
        <v/>
      </c>
      <c r="H189" s="152" t="str">
        <f>IFERROR(__xludf.DUMMYFUNCTION("TRIM(REGEXREPLACE(D189, ""[0-9]+[a-f]?\."", """"))"),"")</f>
        <v/>
      </c>
      <c r="I189" s="152" t="str">
        <f>IFERROR(__xludf.DUMMYFUNCTION("TRIM(REGEXREPLACE(E189, ""[0-9]+[a-f]?\."", """"))"),"")</f>
        <v/>
      </c>
      <c r="J189" s="152" t="s">
        <v>1682</v>
      </c>
      <c r="K189" s="152" t="s">
        <v>1683</v>
      </c>
      <c r="L189" s="155" t="s">
        <v>1684</v>
      </c>
      <c r="M189" s="152"/>
      <c r="N189" s="152"/>
      <c r="O189" s="152"/>
      <c r="P189" s="152"/>
      <c r="Q189" s="152"/>
      <c r="R189" s="152"/>
      <c r="S189" s="152"/>
      <c r="T189" s="152"/>
      <c r="U189" s="152"/>
      <c r="V189" s="152"/>
      <c r="W189" s="152"/>
      <c r="X189" s="152"/>
      <c r="Y189" s="152"/>
      <c r="Z189" s="152"/>
    </row>
    <row r="190" hidden="1">
      <c r="A190" s="90" t="s">
        <v>78</v>
      </c>
      <c r="B190" s="219" t="s">
        <v>1685</v>
      </c>
      <c r="C190" s="28"/>
      <c r="D190" s="28"/>
      <c r="E190" s="28"/>
      <c r="F190" s="153"/>
      <c r="G190" s="152" t="str">
        <f>IFERROR(__xludf.DUMMYFUNCTION("TRIM(REGEXREPLACE(C190, ""[0-9]+[a-f]?\."", """"))"),"")</f>
        <v/>
      </c>
      <c r="H190" s="152" t="str">
        <f>IFERROR(__xludf.DUMMYFUNCTION("TRIM(REGEXREPLACE(D190, ""[0-9]+[a-f]?\."", """"))"),"")</f>
        <v/>
      </c>
      <c r="I190" s="152" t="str">
        <f>IFERROR(__xludf.DUMMYFUNCTION("TRIM(REGEXREPLACE(E190, ""[0-9]+[a-f]?\."", """"))"),"")</f>
        <v/>
      </c>
      <c r="J190" s="152" t="s">
        <v>1687</v>
      </c>
      <c r="K190" s="152" t="s">
        <v>1688</v>
      </c>
      <c r="L190" s="155" t="s">
        <v>1690</v>
      </c>
      <c r="M190" s="152"/>
      <c r="N190" s="152"/>
      <c r="O190" s="152"/>
      <c r="P190" s="152"/>
      <c r="Q190" s="152"/>
      <c r="R190" s="152"/>
      <c r="S190" s="152"/>
      <c r="T190" s="152"/>
      <c r="U190" s="152"/>
      <c r="V190" s="152"/>
      <c r="W190" s="152"/>
      <c r="X190" s="152"/>
      <c r="Y190" s="152"/>
      <c r="Z190" s="152"/>
    </row>
    <row r="191" hidden="1">
      <c r="A191" s="90" t="s">
        <v>78</v>
      </c>
      <c r="B191" s="219" t="s">
        <v>1693</v>
      </c>
      <c r="C191" s="28"/>
      <c r="D191" s="28"/>
      <c r="E191" s="28"/>
      <c r="F191" s="153"/>
      <c r="G191" s="152" t="str">
        <f>IFERROR(__xludf.DUMMYFUNCTION("TRIM(REGEXREPLACE(C191, ""[0-9]+[a-f]?\."", """"))"),"")</f>
        <v/>
      </c>
      <c r="H191" s="152" t="str">
        <f>IFERROR(__xludf.DUMMYFUNCTION("TRIM(REGEXREPLACE(D191, ""[0-9]+[a-f]?\."", """"))"),"")</f>
        <v/>
      </c>
      <c r="I191" s="152" t="str">
        <f>IFERROR(__xludf.DUMMYFUNCTION("TRIM(REGEXREPLACE(E191, ""[0-9]+[a-f]?\."", """"))"),"")</f>
        <v/>
      </c>
      <c r="J191" s="152" t="s">
        <v>1694</v>
      </c>
      <c r="K191" s="152" t="s">
        <v>1695</v>
      </c>
      <c r="L191" s="155" t="s">
        <v>1696</v>
      </c>
      <c r="M191" s="152"/>
      <c r="N191" s="152"/>
      <c r="O191" s="152"/>
      <c r="P191" s="152"/>
      <c r="Q191" s="152"/>
      <c r="R191" s="152"/>
      <c r="S191" s="152"/>
      <c r="T191" s="152"/>
      <c r="U191" s="152"/>
      <c r="V191" s="152"/>
      <c r="W191" s="152"/>
      <c r="X191" s="152"/>
      <c r="Y191" s="152"/>
      <c r="Z191" s="152"/>
    </row>
    <row r="192" hidden="1">
      <c r="A192" s="90" t="s">
        <v>78</v>
      </c>
      <c r="B192" s="219" t="s">
        <v>1700</v>
      </c>
      <c r="C192" s="28"/>
      <c r="D192" s="28"/>
      <c r="E192" s="28"/>
      <c r="F192" s="161">
        <v>28.0</v>
      </c>
      <c r="G192" s="152" t="str">
        <f>IFERROR(__xludf.DUMMYFUNCTION("TRIM(REGEXREPLACE(C192, ""[0-9]+[a-f]?\."", """"))"),"")</f>
        <v/>
      </c>
      <c r="H192" s="152" t="str">
        <f>IFERROR(__xludf.DUMMYFUNCTION("TRIM(REGEXREPLACE(D192, ""[0-9]+[a-f]?\."", """"))"),"")</f>
        <v/>
      </c>
      <c r="I192" s="152" t="str">
        <f>IFERROR(__xludf.DUMMYFUNCTION("TRIM(REGEXREPLACE(E192, ""[0-9]+[a-f]?\."", """"))"),"")</f>
        <v/>
      </c>
      <c r="J192" s="152" t="str">
        <f t="shared" ref="J192:L192" si="26">$F192 &amp; ". " &amp;G192</f>
        <v>28. </v>
      </c>
      <c r="K192" s="152" t="str">
        <f t="shared" si="26"/>
        <v>28. </v>
      </c>
      <c r="L192" s="152" t="str">
        <f t="shared" si="26"/>
        <v>28. </v>
      </c>
      <c r="M192" s="152"/>
      <c r="N192" s="152"/>
      <c r="O192" s="152"/>
      <c r="P192" s="152"/>
      <c r="Q192" s="152"/>
      <c r="R192" s="152"/>
      <c r="S192" s="152"/>
      <c r="T192" s="152"/>
      <c r="U192" s="152"/>
      <c r="V192" s="152"/>
      <c r="W192" s="152"/>
      <c r="X192" s="152"/>
      <c r="Y192" s="152"/>
      <c r="Z192" s="152"/>
    </row>
    <row r="193" hidden="1">
      <c r="A193" s="90" t="s">
        <v>78</v>
      </c>
      <c r="B193" s="219" t="s">
        <v>1705</v>
      </c>
      <c r="C193" s="28"/>
      <c r="D193" s="28"/>
      <c r="E193" s="28"/>
      <c r="F193" s="153"/>
      <c r="G193" s="152" t="str">
        <f>IFERROR(__xludf.DUMMYFUNCTION("TRIM(REGEXREPLACE(C193, ""[0-9]+[a-f]?\."", """"))"),"")</f>
        <v/>
      </c>
      <c r="H193" s="152" t="str">
        <f>IFERROR(__xludf.DUMMYFUNCTION("TRIM(REGEXREPLACE(D193, ""[0-9]+[a-f]?\."", """"))"),"")</f>
        <v/>
      </c>
      <c r="I193" s="152" t="str">
        <f>IFERROR(__xludf.DUMMYFUNCTION("TRIM(REGEXREPLACE(E193, ""[0-9]+[a-f]?\."", """"))"),"")</f>
        <v/>
      </c>
      <c r="J193" s="152" t="s">
        <v>1706</v>
      </c>
      <c r="K193" s="152" t="s">
        <v>1707</v>
      </c>
      <c r="L193" s="155" t="s">
        <v>1708</v>
      </c>
      <c r="M193" s="152"/>
      <c r="N193" s="152"/>
      <c r="O193" s="152"/>
      <c r="P193" s="152"/>
      <c r="Q193" s="152"/>
      <c r="R193" s="152"/>
      <c r="S193" s="152"/>
      <c r="T193" s="152"/>
      <c r="U193" s="152"/>
      <c r="V193" s="152"/>
      <c r="W193" s="152"/>
      <c r="X193" s="152"/>
      <c r="Y193" s="152"/>
      <c r="Z193" s="152"/>
    </row>
    <row r="194" hidden="1">
      <c r="A194" s="90" t="s">
        <v>78</v>
      </c>
      <c r="B194" s="219" t="s">
        <v>1710</v>
      </c>
      <c r="C194" s="28"/>
      <c r="D194" s="28"/>
      <c r="E194" s="28"/>
      <c r="F194" s="161">
        <v>93.0</v>
      </c>
      <c r="G194" s="152" t="str">
        <f>IFERROR(__xludf.DUMMYFUNCTION("TRIM(REGEXREPLACE(C194, ""[0-9]+[a-f]?\."", """"))"),"")</f>
        <v/>
      </c>
      <c r="H194" s="152" t="str">
        <f>IFERROR(__xludf.DUMMYFUNCTION("TRIM(REGEXREPLACE(D194, ""[0-9]+[a-f]?\."", """"))"),"")</f>
        <v/>
      </c>
      <c r="I194" s="152" t="str">
        <f>IFERROR(__xludf.DUMMYFUNCTION("TRIM(REGEXREPLACE(E194, ""[0-9]+[a-f]?\."", """"))"),"")</f>
        <v/>
      </c>
      <c r="J194" s="152" t="s">
        <v>1711</v>
      </c>
      <c r="K194" s="152" t="s">
        <v>1712</v>
      </c>
      <c r="L194" s="152" t="s">
        <v>1713</v>
      </c>
      <c r="M194" s="152"/>
      <c r="N194" s="152"/>
      <c r="O194" s="152"/>
      <c r="P194" s="152"/>
      <c r="Q194" s="152"/>
      <c r="R194" s="152"/>
      <c r="S194" s="152"/>
      <c r="T194" s="152"/>
      <c r="U194" s="152"/>
      <c r="V194" s="152"/>
      <c r="W194" s="152"/>
      <c r="X194" s="152"/>
      <c r="Y194" s="152"/>
      <c r="Z194" s="152"/>
    </row>
    <row r="195" hidden="1">
      <c r="A195" s="90" t="s">
        <v>78</v>
      </c>
      <c r="B195" s="219" t="s">
        <v>1714</v>
      </c>
      <c r="C195" s="28"/>
      <c r="D195" s="28"/>
      <c r="E195" s="28"/>
      <c r="F195" s="161">
        <v>95.0</v>
      </c>
      <c r="G195" s="152" t="str">
        <f>IFERROR(__xludf.DUMMYFUNCTION("TRIM(REGEXREPLACE(C195, ""[0-9]+[a-f]?\."", """"))"),"")</f>
        <v/>
      </c>
      <c r="H195" s="152" t="str">
        <f>IFERROR(__xludf.DUMMYFUNCTION("TRIM(REGEXREPLACE(D195, ""[0-9]+[a-f]?\."", """"))"),"")</f>
        <v/>
      </c>
      <c r="I195" s="152" t="str">
        <f>IFERROR(__xludf.DUMMYFUNCTION("TRIM(REGEXREPLACE(E195, ""[0-9]+[a-f]?\."", """"))"),"")</f>
        <v/>
      </c>
      <c r="J195" s="152" t="s">
        <v>1715</v>
      </c>
      <c r="K195" s="152" t="s">
        <v>1716</v>
      </c>
      <c r="L195" s="152" t="s">
        <v>1717</v>
      </c>
      <c r="M195" s="152"/>
      <c r="N195" s="152"/>
      <c r="O195" s="152"/>
      <c r="P195" s="152"/>
      <c r="Q195" s="152"/>
      <c r="R195" s="152"/>
      <c r="S195" s="152"/>
      <c r="T195" s="152"/>
      <c r="U195" s="152"/>
      <c r="V195" s="152"/>
      <c r="W195" s="152"/>
      <c r="X195" s="152"/>
      <c r="Y195" s="152"/>
      <c r="Z195" s="152"/>
    </row>
    <row r="196" hidden="1">
      <c r="A196" s="90" t="s">
        <v>78</v>
      </c>
      <c r="B196" s="219" t="s">
        <v>1720</v>
      </c>
      <c r="C196" s="28"/>
      <c r="D196" s="28"/>
      <c r="E196" s="28"/>
      <c r="F196" s="161">
        <v>96.0</v>
      </c>
      <c r="G196" s="152" t="str">
        <f>IFERROR(__xludf.DUMMYFUNCTION("TRIM(REGEXREPLACE(C196, ""[0-9]+[a-f]?\."", """"))"),"")</f>
        <v/>
      </c>
      <c r="H196" s="152" t="str">
        <f>IFERROR(__xludf.DUMMYFUNCTION("TRIM(REGEXREPLACE(D196, ""[0-9]+[a-f]?\."", """"))"),"")</f>
        <v/>
      </c>
      <c r="I196" s="152" t="str">
        <f>IFERROR(__xludf.DUMMYFUNCTION("TRIM(REGEXREPLACE(E196, ""[0-9]+[a-f]?\."", """"))"),"")</f>
        <v/>
      </c>
      <c r="J196" s="152" t="s">
        <v>1724</v>
      </c>
      <c r="K196" s="152" t="s">
        <v>1725</v>
      </c>
      <c r="L196" s="152" t="s">
        <v>1726</v>
      </c>
      <c r="M196" s="152"/>
      <c r="N196" s="152"/>
      <c r="O196" s="152"/>
      <c r="P196" s="152"/>
      <c r="Q196" s="152"/>
      <c r="R196" s="152"/>
      <c r="S196" s="152"/>
      <c r="T196" s="152"/>
      <c r="U196" s="152"/>
      <c r="V196" s="152"/>
      <c r="W196" s="152"/>
      <c r="X196" s="152"/>
      <c r="Y196" s="152"/>
      <c r="Z196" s="152"/>
    </row>
    <row r="197" hidden="1">
      <c r="A197" s="90" t="s">
        <v>78</v>
      </c>
      <c r="B197" s="219" t="s">
        <v>1727</v>
      </c>
      <c r="C197" s="28"/>
      <c r="D197" s="28"/>
      <c r="E197" s="28"/>
      <c r="F197" s="161">
        <v>97.0</v>
      </c>
      <c r="G197" s="152" t="str">
        <f>IFERROR(__xludf.DUMMYFUNCTION("TRIM(REGEXREPLACE(C197, ""[0-9]+[a-f]?\."", """"))"),"")</f>
        <v/>
      </c>
      <c r="H197" s="152" t="str">
        <f>IFERROR(__xludf.DUMMYFUNCTION("TRIM(REGEXREPLACE(D197, ""[0-9]+[a-f]?\."", """"))"),"")</f>
        <v/>
      </c>
      <c r="I197" s="152" t="str">
        <f>IFERROR(__xludf.DUMMYFUNCTION("TRIM(REGEXREPLACE(E197, ""[0-9]+[a-f]?\."", """"))"),"")</f>
        <v/>
      </c>
      <c r="J197" s="152" t="s">
        <v>1728</v>
      </c>
      <c r="K197" s="152" t="s">
        <v>1729</v>
      </c>
      <c r="L197" s="152" t="s">
        <v>1730</v>
      </c>
      <c r="M197" s="152"/>
      <c r="N197" s="152"/>
      <c r="O197" s="152"/>
      <c r="P197" s="152"/>
      <c r="Q197" s="152"/>
      <c r="R197" s="152"/>
      <c r="S197" s="152"/>
      <c r="T197" s="152"/>
      <c r="U197" s="152"/>
      <c r="V197" s="152"/>
      <c r="W197" s="152"/>
      <c r="X197" s="152"/>
      <c r="Y197" s="152"/>
      <c r="Z197" s="152"/>
    </row>
    <row r="198" hidden="1">
      <c r="A198" s="90" t="s">
        <v>78</v>
      </c>
      <c r="B198" s="219" t="s">
        <v>1732</v>
      </c>
      <c r="C198" s="28"/>
      <c r="D198" s="28"/>
      <c r="E198" s="28"/>
      <c r="F198" s="161">
        <v>94.0</v>
      </c>
      <c r="G198" s="152" t="str">
        <f>IFERROR(__xludf.DUMMYFUNCTION("TRIM(REGEXREPLACE(C198, ""[0-9]+[a-f]?\."", """"))"),"")</f>
        <v/>
      </c>
      <c r="H198" s="152" t="str">
        <f>IFERROR(__xludf.DUMMYFUNCTION("TRIM(REGEXREPLACE(D198, ""[0-9]+[a-f]?\."", """"))"),"")</f>
        <v/>
      </c>
      <c r="I198" s="152" t="str">
        <f>IFERROR(__xludf.DUMMYFUNCTION("TRIM(REGEXREPLACE(E198, ""[0-9]+[a-f]?\."", """"))"),"")</f>
        <v/>
      </c>
      <c r="J198" s="152" t="s">
        <v>1736</v>
      </c>
      <c r="K198" s="152" t="s">
        <v>1737</v>
      </c>
      <c r="L198" s="152" t="s">
        <v>1737</v>
      </c>
      <c r="M198" s="152"/>
      <c r="N198" s="152"/>
      <c r="O198" s="152"/>
      <c r="P198" s="152"/>
      <c r="Q198" s="152"/>
      <c r="R198" s="152"/>
      <c r="S198" s="152"/>
      <c r="T198" s="152"/>
      <c r="U198" s="152"/>
      <c r="V198" s="152"/>
      <c r="W198" s="152"/>
      <c r="X198" s="152"/>
      <c r="Y198" s="152"/>
      <c r="Z198" s="152"/>
    </row>
    <row r="199" hidden="1">
      <c r="A199" s="90" t="s">
        <v>78</v>
      </c>
      <c r="B199" s="219" t="s">
        <v>1738</v>
      </c>
      <c r="C199" s="28"/>
      <c r="D199" s="28"/>
      <c r="E199" s="28"/>
      <c r="F199" s="161">
        <v>98.0</v>
      </c>
      <c r="G199" s="152" t="str">
        <f>IFERROR(__xludf.DUMMYFUNCTION("TRIM(REGEXREPLACE(C199, ""[0-9]+[a-f]?\."", """"))"),"")</f>
        <v/>
      </c>
      <c r="H199" s="152" t="str">
        <f>IFERROR(__xludf.DUMMYFUNCTION("TRIM(REGEXREPLACE(D199, ""[0-9]+[a-f]?\."", """"))"),"")</f>
        <v/>
      </c>
      <c r="I199" s="152" t="str">
        <f>IFERROR(__xludf.DUMMYFUNCTION("TRIM(REGEXREPLACE(E199, ""[0-9]+[a-f]?\."", """"))"),"")</f>
        <v/>
      </c>
      <c r="J199" s="152" t="s">
        <v>1739</v>
      </c>
      <c r="K199" s="152" t="s">
        <v>1740</v>
      </c>
      <c r="L199" s="152" t="s">
        <v>1741</v>
      </c>
      <c r="M199" s="152"/>
      <c r="N199" s="152"/>
      <c r="O199" s="152"/>
      <c r="P199" s="152"/>
      <c r="Q199" s="152"/>
      <c r="R199" s="152"/>
      <c r="S199" s="152"/>
      <c r="T199" s="152"/>
      <c r="U199" s="152"/>
      <c r="V199" s="152"/>
      <c r="W199" s="152"/>
      <c r="X199" s="152"/>
      <c r="Y199" s="152"/>
      <c r="Z199" s="152"/>
    </row>
    <row r="200" hidden="1">
      <c r="A200" s="90" t="s">
        <v>78</v>
      </c>
      <c r="B200" s="219" t="s">
        <v>1744</v>
      </c>
      <c r="C200" s="28"/>
      <c r="D200" s="28"/>
      <c r="E200" s="28"/>
      <c r="F200" s="161">
        <v>99.0</v>
      </c>
      <c r="G200" s="152" t="str">
        <f>IFERROR(__xludf.DUMMYFUNCTION("TRIM(REGEXREPLACE(C200, ""[0-9]+[a-f]?\."", """"))"),"")</f>
        <v/>
      </c>
      <c r="H200" s="152" t="str">
        <f>IFERROR(__xludf.DUMMYFUNCTION("TRIM(REGEXREPLACE(D200, ""[0-9]+[a-f]?\."", """"))"),"")</f>
        <v/>
      </c>
      <c r="I200" s="152" t="str">
        <f>IFERROR(__xludf.DUMMYFUNCTION("TRIM(REGEXREPLACE(E200, ""[0-9]+[a-f]?\."", """"))"),"")</f>
        <v/>
      </c>
      <c r="J200" s="152" t="s">
        <v>1747</v>
      </c>
      <c r="K200" s="152" t="s">
        <v>1748</v>
      </c>
      <c r="L200" s="152" t="s">
        <v>1749</v>
      </c>
      <c r="M200" s="152"/>
      <c r="N200" s="152"/>
      <c r="O200" s="152"/>
      <c r="P200" s="152"/>
      <c r="Q200" s="152"/>
      <c r="R200" s="152"/>
      <c r="S200" s="152"/>
      <c r="T200" s="152"/>
      <c r="U200" s="152"/>
      <c r="V200" s="152"/>
      <c r="W200" s="152"/>
      <c r="X200" s="152"/>
      <c r="Y200" s="152"/>
      <c r="Z200" s="152"/>
    </row>
    <row r="201" hidden="1">
      <c r="A201" s="90" t="s">
        <v>78</v>
      </c>
      <c r="B201" s="219" t="s">
        <v>1750</v>
      </c>
      <c r="C201" s="28"/>
      <c r="D201" s="28"/>
      <c r="E201" s="28"/>
      <c r="F201" s="161">
        <v>81.0</v>
      </c>
      <c r="G201" s="152" t="str">
        <f>IFERROR(__xludf.DUMMYFUNCTION("TRIM(REGEXREPLACE(C201, ""[0-9]+[a-f]?\."", """"))"),"")</f>
        <v/>
      </c>
      <c r="H201" s="152" t="str">
        <f>IFERROR(__xludf.DUMMYFUNCTION("TRIM(REGEXREPLACE(D201, ""[0-9]+[a-f]?\."", """"))"),"")</f>
        <v/>
      </c>
      <c r="I201" s="152" t="str">
        <f>IFERROR(__xludf.DUMMYFUNCTION("TRIM(REGEXREPLACE(E201, ""[0-9]+[a-f]?\."", """"))"),"")</f>
        <v/>
      </c>
      <c r="J201" s="152" t="s">
        <v>1755</v>
      </c>
      <c r="K201" s="152" t="s">
        <v>1756</v>
      </c>
      <c r="L201" s="152" t="s">
        <v>1757</v>
      </c>
      <c r="M201" s="152"/>
      <c r="N201" s="152"/>
      <c r="O201" s="152"/>
      <c r="P201" s="152"/>
      <c r="Q201" s="152"/>
      <c r="R201" s="152"/>
      <c r="S201" s="152"/>
      <c r="T201" s="152"/>
      <c r="U201" s="152"/>
      <c r="V201" s="152"/>
      <c r="W201" s="152"/>
      <c r="X201" s="152"/>
      <c r="Y201" s="152"/>
      <c r="Z201" s="152"/>
    </row>
    <row r="202" hidden="1">
      <c r="A202" s="90" t="s">
        <v>78</v>
      </c>
      <c r="B202" s="219" t="s">
        <v>1758</v>
      </c>
      <c r="C202" s="28"/>
      <c r="D202" s="28"/>
      <c r="E202" s="28"/>
      <c r="F202" s="161">
        <v>82.0</v>
      </c>
      <c r="G202" s="152" t="str">
        <f>IFERROR(__xludf.DUMMYFUNCTION("TRIM(REGEXREPLACE(C202, ""[0-9]+[a-f]?\."", """"))"),"")</f>
        <v/>
      </c>
      <c r="H202" s="152" t="str">
        <f>IFERROR(__xludf.DUMMYFUNCTION("TRIM(REGEXREPLACE(D202, ""[0-9]+[a-f]?\."", """"))"),"")</f>
        <v/>
      </c>
      <c r="I202" s="152" t="str">
        <f>IFERROR(__xludf.DUMMYFUNCTION("TRIM(REGEXREPLACE(E202, ""[0-9]+[a-f]?\."", """"))"),"")</f>
        <v/>
      </c>
      <c r="J202" s="152" t="s">
        <v>1761</v>
      </c>
      <c r="K202" s="152" t="s">
        <v>1763</v>
      </c>
      <c r="L202" s="152" t="s">
        <v>1765</v>
      </c>
      <c r="M202" s="152"/>
      <c r="N202" s="152"/>
      <c r="O202" s="152"/>
      <c r="P202" s="152"/>
      <c r="Q202" s="152"/>
      <c r="R202" s="152"/>
      <c r="S202" s="152"/>
      <c r="T202" s="152"/>
      <c r="U202" s="152"/>
      <c r="V202" s="152"/>
      <c r="W202" s="152"/>
      <c r="X202" s="152"/>
      <c r="Y202" s="152"/>
      <c r="Z202" s="152"/>
    </row>
    <row r="203" hidden="1">
      <c r="A203" s="90" t="s">
        <v>78</v>
      </c>
      <c r="B203" s="219" t="s">
        <v>1766</v>
      </c>
      <c r="C203" s="28"/>
      <c r="D203" s="28"/>
      <c r="E203" s="28"/>
      <c r="F203" s="161">
        <v>83.0</v>
      </c>
      <c r="G203" s="152" t="str">
        <f>IFERROR(__xludf.DUMMYFUNCTION("TRIM(REGEXREPLACE(C203, ""[0-9]+[a-f]?\."", """"))"),"")</f>
        <v/>
      </c>
      <c r="H203" s="152" t="str">
        <f>IFERROR(__xludf.DUMMYFUNCTION("TRIM(REGEXREPLACE(D203, ""[0-9]+[a-f]?\."", """"))"),"")</f>
        <v/>
      </c>
      <c r="I203" s="152" t="str">
        <f>IFERROR(__xludf.DUMMYFUNCTION("TRIM(REGEXREPLACE(E203, ""[0-9]+[a-f]?\."", """"))"),"")</f>
        <v/>
      </c>
      <c r="J203" s="152" t="s">
        <v>1767</v>
      </c>
      <c r="K203" s="152" t="s">
        <v>1768</v>
      </c>
      <c r="L203" s="152" t="s">
        <v>1769</v>
      </c>
      <c r="M203" s="152"/>
      <c r="N203" s="152"/>
      <c r="O203" s="152"/>
      <c r="P203" s="152"/>
      <c r="Q203" s="152"/>
      <c r="R203" s="152"/>
      <c r="S203" s="152"/>
      <c r="T203" s="152"/>
      <c r="U203" s="152"/>
      <c r="V203" s="152"/>
      <c r="W203" s="152"/>
      <c r="X203" s="152"/>
      <c r="Y203" s="152"/>
      <c r="Z203" s="152"/>
    </row>
    <row r="204" hidden="1">
      <c r="A204" s="90" t="s">
        <v>78</v>
      </c>
      <c r="B204" s="219" t="s">
        <v>1774</v>
      </c>
      <c r="C204" s="28"/>
      <c r="D204" s="28"/>
      <c r="E204" s="28"/>
      <c r="F204" s="153"/>
      <c r="G204" s="152" t="str">
        <f>IFERROR(__xludf.DUMMYFUNCTION("TRIM(REGEXREPLACE(C204, ""[0-9]+[a-f]?\."", """"))"),"")</f>
        <v/>
      </c>
      <c r="H204" s="152" t="str">
        <f>IFERROR(__xludf.DUMMYFUNCTION("TRIM(REGEXREPLACE(D204, ""[0-9]+[a-f]?\."", """"))"),"")</f>
        <v/>
      </c>
      <c r="I204" s="152" t="str">
        <f>IFERROR(__xludf.DUMMYFUNCTION("TRIM(REGEXREPLACE(E204, ""[0-9]+[a-f]?\."", """"))"),"")</f>
        <v/>
      </c>
      <c r="J204" s="152" t="s">
        <v>1775</v>
      </c>
      <c r="K204" s="152" t="s">
        <v>1776</v>
      </c>
      <c r="L204" s="155" t="s">
        <v>1777</v>
      </c>
      <c r="M204" s="152"/>
      <c r="N204" s="152"/>
      <c r="O204" s="152"/>
      <c r="P204" s="152"/>
      <c r="Q204" s="152"/>
      <c r="R204" s="152"/>
      <c r="S204" s="152"/>
      <c r="T204" s="152"/>
      <c r="U204" s="152"/>
      <c r="V204" s="152"/>
      <c r="W204" s="152"/>
      <c r="X204" s="152"/>
      <c r="Y204" s="152"/>
      <c r="Z204" s="152"/>
    </row>
    <row r="205" hidden="1">
      <c r="A205" s="90" t="s">
        <v>78</v>
      </c>
      <c r="B205" s="219" t="s">
        <v>1781</v>
      </c>
      <c r="C205" s="28"/>
      <c r="D205" s="28"/>
      <c r="E205" s="28"/>
      <c r="F205" s="153"/>
      <c r="G205" s="152" t="str">
        <f>IFERROR(__xludf.DUMMYFUNCTION("TRIM(REGEXREPLACE(C205, ""[0-9]+[a-f]?\."", """"))"),"")</f>
        <v/>
      </c>
      <c r="H205" s="152" t="str">
        <f>IFERROR(__xludf.DUMMYFUNCTION("TRIM(REGEXREPLACE(D205, ""[0-9]+[a-f]?\."", """"))"),"")</f>
        <v/>
      </c>
      <c r="I205" s="152" t="str">
        <f>IFERROR(__xludf.DUMMYFUNCTION("TRIM(REGEXREPLACE(E205, ""[0-9]+[a-f]?\."", """"))"),"")</f>
        <v/>
      </c>
      <c r="J205" s="152" t="s">
        <v>1782</v>
      </c>
      <c r="K205" s="152" t="s">
        <v>1783</v>
      </c>
      <c r="L205" s="155" t="s">
        <v>1784</v>
      </c>
      <c r="M205" s="152"/>
      <c r="N205" s="152"/>
      <c r="O205" s="152"/>
      <c r="P205" s="152"/>
      <c r="Q205" s="152"/>
      <c r="R205" s="152"/>
      <c r="S205" s="152"/>
      <c r="T205" s="152"/>
      <c r="U205" s="152"/>
      <c r="V205" s="152"/>
      <c r="W205" s="152"/>
      <c r="X205" s="152"/>
      <c r="Y205" s="152"/>
      <c r="Z205" s="152"/>
    </row>
    <row r="206" hidden="1">
      <c r="A206" s="90" t="s">
        <v>78</v>
      </c>
      <c r="B206" s="219" t="s">
        <v>1785</v>
      </c>
      <c r="C206" s="28"/>
      <c r="D206" s="28"/>
      <c r="E206" s="28"/>
      <c r="F206" s="161">
        <v>95.0</v>
      </c>
      <c r="G206" s="152" t="str">
        <f>IFERROR(__xludf.DUMMYFUNCTION("TRIM(REGEXREPLACE(C206, ""[0-9]+[a-f]?\."", """"))"),"")</f>
        <v/>
      </c>
      <c r="H206" s="152" t="str">
        <f>IFERROR(__xludf.DUMMYFUNCTION("TRIM(REGEXREPLACE(D206, ""[0-9]+[a-f]?\."", """"))"),"")</f>
        <v/>
      </c>
      <c r="I206" s="152" t="str">
        <f>IFERROR(__xludf.DUMMYFUNCTION("TRIM(REGEXREPLACE(E206, ""[0-9]+[a-f]?\."", """"))"),"")</f>
        <v/>
      </c>
      <c r="J206" s="152" t="s">
        <v>1789</v>
      </c>
      <c r="K206" s="152" t="s">
        <v>1790</v>
      </c>
      <c r="L206" s="152" t="s">
        <v>1791</v>
      </c>
      <c r="M206" s="152"/>
      <c r="N206" s="152"/>
      <c r="O206" s="152"/>
      <c r="P206" s="152"/>
      <c r="Q206" s="152"/>
      <c r="R206" s="152"/>
      <c r="S206" s="152"/>
      <c r="T206" s="152"/>
      <c r="U206" s="152"/>
      <c r="V206" s="152"/>
      <c r="W206" s="152"/>
      <c r="X206" s="152"/>
      <c r="Y206" s="152"/>
      <c r="Z206" s="152"/>
    </row>
    <row r="207" hidden="1">
      <c r="A207" s="90" t="s">
        <v>78</v>
      </c>
      <c r="B207" s="219" t="s">
        <v>1792</v>
      </c>
      <c r="C207" s="28"/>
      <c r="D207" s="28"/>
      <c r="E207" s="28"/>
      <c r="F207" s="161">
        <v>29.0</v>
      </c>
      <c r="G207" s="152" t="str">
        <f>IFERROR(__xludf.DUMMYFUNCTION("TRIM(REGEXREPLACE(C207, ""[0-9]+[a-f]?\."", """"))"),"")</f>
        <v/>
      </c>
      <c r="H207" s="152" t="str">
        <f>IFERROR(__xludf.DUMMYFUNCTION("TRIM(REGEXREPLACE(D207, ""[0-9]+[a-f]?\."", """"))"),"")</f>
        <v/>
      </c>
      <c r="I207" s="152" t="str">
        <f>IFERROR(__xludf.DUMMYFUNCTION("TRIM(REGEXREPLACE(E207, ""[0-9]+[a-f]?\."", """"))"),"")</f>
        <v/>
      </c>
      <c r="J207" s="152" t="str">
        <f t="shared" ref="J207:L207" si="27">$F207 &amp; ". " &amp;G207</f>
        <v>29. </v>
      </c>
      <c r="K207" s="152" t="str">
        <f t="shared" si="27"/>
        <v>29. </v>
      </c>
      <c r="L207" s="152" t="str">
        <f t="shared" si="27"/>
        <v>29. </v>
      </c>
      <c r="M207" s="152"/>
      <c r="N207" s="152"/>
      <c r="O207" s="152"/>
      <c r="P207" s="152"/>
      <c r="Q207" s="152"/>
      <c r="R207" s="152"/>
      <c r="S207" s="152"/>
      <c r="T207" s="152"/>
      <c r="U207" s="152"/>
      <c r="V207" s="152"/>
      <c r="W207" s="152"/>
      <c r="X207" s="152"/>
      <c r="Y207" s="152"/>
      <c r="Z207" s="152"/>
    </row>
    <row r="208" hidden="1">
      <c r="A208" s="90" t="s">
        <v>78</v>
      </c>
      <c r="B208" s="219" t="s">
        <v>1800</v>
      </c>
      <c r="C208" s="28"/>
      <c r="D208" s="28"/>
      <c r="E208" s="28"/>
      <c r="F208" s="161">
        <v>30.0</v>
      </c>
      <c r="G208" s="152" t="str">
        <f>IFERROR(__xludf.DUMMYFUNCTION("TRIM(REGEXREPLACE(C208, ""[0-9]+[a-f]?\."", """"))"),"")</f>
        <v/>
      </c>
      <c r="H208" s="152" t="str">
        <f>IFERROR(__xludf.DUMMYFUNCTION("TRIM(REGEXREPLACE(D208, ""[0-9]+[a-f]?\."", """"))"),"")</f>
        <v/>
      </c>
      <c r="I208" s="152" t="str">
        <f>IFERROR(__xludf.DUMMYFUNCTION("TRIM(REGEXREPLACE(E208, ""[0-9]+[a-f]?\."", """"))"),"")</f>
        <v/>
      </c>
      <c r="J208" s="152" t="str">
        <f t="shared" ref="J208:L208" si="28">$F208 &amp; ". " &amp;G208</f>
        <v>30. </v>
      </c>
      <c r="K208" s="152" t="str">
        <f t="shared" si="28"/>
        <v>30. </v>
      </c>
      <c r="L208" s="152" t="str">
        <f t="shared" si="28"/>
        <v>30. </v>
      </c>
      <c r="M208" s="152"/>
      <c r="N208" s="152"/>
      <c r="O208" s="152"/>
      <c r="P208" s="152"/>
      <c r="Q208" s="152"/>
      <c r="R208" s="152"/>
      <c r="S208" s="152"/>
      <c r="T208" s="152"/>
      <c r="U208" s="152"/>
      <c r="V208" s="152"/>
      <c r="W208" s="152"/>
      <c r="X208" s="152"/>
      <c r="Y208" s="152"/>
      <c r="Z208" s="152"/>
    </row>
    <row r="209" hidden="1">
      <c r="A209" s="90" t="s">
        <v>78</v>
      </c>
      <c r="B209" s="219" t="s">
        <v>1802</v>
      </c>
      <c r="C209" s="28"/>
      <c r="D209" s="28"/>
      <c r="E209" s="28"/>
      <c r="F209" s="161">
        <v>31.0</v>
      </c>
      <c r="G209" s="152" t="str">
        <f>IFERROR(__xludf.DUMMYFUNCTION("TRIM(REGEXREPLACE(C209, ""[0-9]+[a-f]?\."", """"))"),"")</f>
        <v/>
      </c>
      <c r="H209" s="152" t="str">
        <f>IFERROR(__xludf.DUMMYFUNCTION("TRIM(REGEXREPLACE(D209, ""[0-9]+[a-f]?\."", """"))"),"")</f>
        <v/>
      </c>
      <c r="I209" s="152" t="str">
        <f>IFERROR(__xludf.DUMMYFUNCTION("TRIM(REGEXREPLACE(E209, ""[0-9]+[a-f]?\."", """"))"),"")</f>
        <v/>
      </c>
      <c r="J209" s="152" t="str">
        <f t="shared" ref="J209:L209" si="29">$F209 &amp; ". " &amp;G209</f>
        <v>31. </v>
      </c>
      <c r="K209" s="152" t="str">
        <f t="shared" si="29"/>
        <v>31. </v>
      </c>
      <c r="L209" s="152" t="str">
        <f t="shared" si="29"/>
        <v>31. </v>
      </c>
      <c r="M209" s="152"/>
      <c r="N209" s="152"/>
      <c r="O209" s="152"/>
      <c r="P209" s="152"/>
      <c r="Q209" s="152"/>
      <c r="R209" s="152"/>
      <c r="S209" s="152"/>
      <c r="T209" s="152"/>
      <c r="U209" s="152"/>
      <c r="V209" s="152"/>
      <c r="W209" s="152"/>
      <c r="X209" s="152"/>
      <c r="Y209" s="152"/>
      <c r="Z209" s="152"/>
    </row>
    <row r="210" hidden="1">
      <c r="A210" s="221"/>
      <c r="B210" s="222"/>
      <c r="C210" s="28"/>
      <c r="D210" s="28"/>
      <c r="E210" s="28"/>
      <c r="F210" s="161">
        <v>86.0</v>
      </c>
      <c r="G210" s="152" t="str">
        <f>IFERROR(__xludf.DUMMYFUNCTION("TRIM(REGEXREPLACE(C210, ""[0-9]+[a-f]?\."", """"))"),"")</f>
        <v/>
      </c>
      <c r="H210" s="152" t="str">
        <f>IFERROR(__xludf.DUMMYFUNCTION("TRIM(REGEXREPLACE(D210, ""[0-9]+[a-f]?\."", """"))"),"")</f>
        <v/>
      </c>
      <c r="I210" s="152" t="str">
        <f>IFERROR(__xludf.DUMMYFUNCTION("TRIM(REGEXREPLACE(E210, ""[0-9]+[a-f]?\."", """"))"),"")</f>
        <v/>
      </c>
      <c r="J210" s="152" t="s">
        <v>1808</v>
      </c>
      <c r="K210" s="152" t="s">
        <v>1809</v>
      </c>
      <c r="L210" s="152" t="s">
        <v>1811</v>
      </c>
      <c r="M210" s="152"/>
      <c r="N210" s="152"/>
      <c r="O210" s="152"/>
      <c r="P210" s="152"/>
      <c r="Q210" s="152"/>
      <c r="R210" s="152"/>
      <c r="S210" s="152"/>
      <c r="T210" s="152"/>
      <c r="U210" s="152"/>
      <c r="V210" s="152"/>
      <c r="W210" s="152"/>
      <c r="X210" s="152"/>
      <c r="Y210" s="152"/>
      <c r="Z210" s="152"/>
    </row>
    <row r="211" hidden="1">
      <c r="A211" s="90" t="s">
        <v>78</v>
      </c>
      <c r="B211" s="219" t="s">
        <v>1813</v>
      </c>
      <c r="C211" s="28"/>
      <c r="D211" s="28"/>
      <c r="E211" s="28"/>
      <c r="F211" s="161">
        <v>32.0</v>
      </c>
      <c r="G211" s="152" t="str">
        <f>IFERROR(__xludf.DUMMYFUNCTION("TRIM(REGEXREPLACE(C211, ""[0-9]+[a-f]?\."", """"))"),"")</f>
        <v/>
      </c>
      <c r="H211" s="152" t="str">
        <f>IFERROR(__xludf.DUMMYFUNCTION("TRIM(REGEXREPLACE(D211, ""[0-9]+[a-f]?\."", """"))"),"")</f>
        <v/>
      </c>
      <c r="I211" s="152" t="str">
        <f>IFERROR(__xludf.DUMMYFUNCTION("TRIM(REGEXREPLACE(E211, ""[0-9]+[a-f]?\."", """"))"),"")</f>
        <v/>
      </c>
      <c r="J211" s="152" t="str">
        <f t="shared" ref="J211:L211" si="30">$F211 &amp; ". " &amp;G211</f>
        <v>32. </v>
      </c>
      <c r="K211" s="152" t="str">
        <f t="shared" si="30"/>
        <v>32. </v>
      </c>
      <c r="L211" s="152" t="str">
        <f t="shared" si="30"/>
        <v>32. </v>
      </c>
      <c r="M211" s="152"/>
      <c r="N211" s="152"/>
      <c r="O211" s="152"/>
      <c r="P211" s="152"/>
      <c r="Q211" s="152"/>
      <c r="R211" s="152"/>
      <c r="S211" s="152"/>
      <c r="T211" s="152"/>
      <c r="U211" s="152"/>
      <c r="V211" s="152"/>
      <c r="W211" s="152"/>
      <c r="X211" s="152"/>
      <c r="Y211" s="152"/>
      <c r="Z211" s="152"/>
    </row>
    <row r="212" hidden="1">
      <c r="A212" s="90" t="s">
        <v>78</v>
      </c>
      <c r="B212" s="219" t="s">
        <v>1816</v>
      </c>
      <c r="C212" s="28"/>
      <c r="D212" s="28"/>
      <c r="E212" s="28"/>
      <c r="F212" s="161">
        <v>100.0</v>
      </c>
      <c r="G212" s="152" t="str">
        <f>IFERROR(__xludf.DUMMYFUNCTION("TRIM(REGEXREPLACE(C212, ""[0-9]+[a-f]?\."", """"))"),"")</f>
        <v/>
      </c>
      <c r="H212" s="152" t="str">
        <f>IFERROR(__xludf.DUMMYFUNCTION("TRIM(REGEXREPLACE(D212, ""[0-9]+[a-f]?\."", """"))"),"")</f>
        <v/>
      </c>
      <c r="I212" s="152" t="str">
        <f>IFERROR(__xludf.DUMMYFUNCTION("TRIM(REGEXREPLACE(E212, ""[0-9]+[a-f]?\."", """"))"),"")</f>
        <v/>
      </c>
      <c r="J212" s="152" t="s">
        <v>1817</v>
      </c>
      <c r="K212" s="152" t="s">
        <v>1818</v>
      </c>
      <c r="L212" s="152" t="s">
        <v>1819</v>
      </c>
      <c r="M212" s="152"/>
      <c r="N212" s="152"/>
      <c r="O212" s="152"/>
      <c r="P212" s="152"/>
      <c r="Q212" s="152"/>
      <c r="R212" s="152"/>
      <c r="S212" s="152"/>
      <c r="T212" s="152"/>
      <c r="U212" s="152"/>
      <c r="V212" s="152"/>
      <c r="W212" s="152"/>
      <c r="X212" s="152"/>
      <c r="Y212" s="152"/>
      <c r="Z212" s="152"/>
    </row>
    <row r="213" hidden="1">
      <c r="A213" s="90" t="s">
        <v>78</v>
      </c>
      <c r="B213" s="219" t="s">
        <v>1820</v>
      </c>
      <c r="C213" s="28"/>
      <c r="D213" s="28"/>
      <c r="E213" s="28"/>
      <c r="F213" s="161">
        <v>88.0</v>
      </c>
      <c r="G213" s="152" t="str">
        <f>IFERROR(__xludf.DUMMYFUNCTION("TRIM(REGEXREPLACE(C213, ""[0-9]+[a-f]?\."", """"))"),"")</f>
        <v/>
      </c>
      <c r="H213" s="152" t="str">
        <f>IFERROR(__xludf.DUMMYFUNCTION("TRIM(REGEXREPLACE(D213, ""[0-9]+[a-f]?\."", """"))"),"")</f>
        <v/>
      </c>
      <c r="I213" s="152" t="str">
        <f>IFERROR(__xludf.DUMMYFUNCTION("TRIM(REGEXREPLACE(E213, ""[0-9]+[a-f]?\."", """"))"),"")</f>
        <v/>
      </c>
      <c r="J213" s="152" t="s">
        <v>1822</v>
      </c>
      <c r="K213" s="152" t="s">
        <v>1823</v>
      </c>
      <c r="L213" s="152" t="s">
        <v>1824</v>
      </c>
      <c r="M213" s="152"/>
      <c r="N213" s="152"/>
      <c r="O213" s="152"/>
      <c r="P213" s="152"/>
      <c r="Q213" s="152"/>
      <c r="R213" s="152"/>
      <c r="S213" s="152"/>
      <c r="T213" s="152"/>
      <c r="U213" s="152"/>
      <c r="V213" s="152"/>
      <c r="W213" s="152"/>
      <c r="X213" s="152"/>
      <c r="Y213" s="152"/>
      <c r="Z213" s="152"/>
    </row>
    <row r="214" hidden="1">
      <c r="A214" s="90" t="s">
        <v>78</v>
      </c>
      <c r="B214" s="219" t="s">
        <v>1828</v>
      </c>
      <c r="C214" s="28"/>
      <c r="D214" s="28"/>
      <c r="E214" s="28"/>
      <c r="F214" s="161">
        <v>89.0</v>
      </c>
      <c r="G214" s="152" t="str">
        <f>IFERROR(__xludf.DUMMYFUNCTION("TRIM(REGEXREPLACE(C214, ""[0-9]+[a-f]?\."", """"))"),"")</f>
        <v/>
      </c>
      <c r="H214" s="152" t="str">
        <f>IFERROR(__xludf.DUMMYFUNCTION("TRIM(REGEXREPLACE(D214, ""[0-9]+[a-f]?\."", """"))"),"")</f>
        <v/>
      </c>
      <c r="I214" s="152" t="str">
        <f>IFERROR(__xludf.DUMMYFUNCTION("TRIM(REGEXREPLACE(E214, ""[0-9]+[a-f]?\."", """"))"),"")</f>
        <v/>
      </c>
      <c r="J214" s="152" t="s">
        <v>1830</v>
      </c>
      <c r="K214" s="152" t="s">
        <v>1831</v>
      </c>
      <c r="L214" s="152" t="s">
        <v>1832</v>
      </c>
      <c r="M214" s="152"/>
      <c r="N214" s="152"/>
      <c r="O214" s="152"/>
      <c r="P214" s="152"/>
      <c r="Q214" s="152"/>
      <c r="R214" s="152"/>
      <c r="S214" s="152"/>
      <c r="T214" s="152"/>
      <c r="U214" s="152"/>
      <c r="V214" s="152"/>
      <c r="W214" s="152"/>
      <c r="X214" s="152"/>
      <c r="Y214" s="152"/>
      <c r="Z214" s="152"/>
    </row>
    <row r="215" hidden="1">
      <c r="A215" s="90" t="s">
        <v>78</v>
      </c>
      <c r="B215" s="219" t="s">
        <v>1837</v>
      </c>
      <c r="C215" s="28"/>
      <c r="D215" s="28"/>
      <c r="E215" s="28"/>
      <c r="F215" s="161">
        <v>90.0</v>
      </c>
      <c r="G215" s="152" t="str">
        <f>IFERROR(__xludf.DUMMYFUNCTION("TRIM(REGEXREPLACE(C215, ""[0-9]+[a-f]?\."", """"))"),"")</f>
        <v/>
      </c>
      <c r="H215" s="152" t="str">
        <f>IFERROR(__xludf.DUMMYFUNCTION("TRIM(REGEXREPLACE(D215, ""[0-9]+[a-f]?\."", """"))"),"")</f>
        <v/>
      </c>
      <c r="I215" s="152" t="str">
        <f>IFERROR(__xludf.DUMMYFUNCTION("TRIM(REGEXREPLACE(E215, ""[0-9]+[a-f]?\."", """"))"),"")</f>
        <v/>
      </c>
      <c r="J215" s="152" t="s">
        <v>1838</v>
      </c>
      <c r="K215" s="152" t="s">
        <v>1839</v>
      </c>
      <c r="L215" s="152" t="s">
        <v>1840</v>
      </c>
      <c r="M215" s="152"/>
      <c r="N215" s="152"/>
      <c r="O215" s="152"/>
      <c r="P215" s="152"/>
      <c r="Q215" s="152"/>
      <c r="R215" s="152"/>
      <c r="S215" s="152"/>
      <c r="T215" s="152"/>
      <c r="U215" s="152"/>
      <c r="V215" s="152"/>
      <c r="W215" s="152"/>
      <c r="X215" s="152"/>
      <c r="Y215" s="152"/>
      <c r="Z215" s="152"/>
    </row>
    <row r="216" hidden="1">
      <c r="A216" s="90" t="s">
        <v>78</v>
      </c>
      <c r="B216" s="219" t="s">
        <v>1841</v>
      </c>
      <c r="C216" s="28"/>
      <c r="D216" s="28"/>
      <c r="E216" s="28"/>
      <c r="F216" s="161">
        <v>91.0</v>
      </c>
      <c r="G216" s="152" t="str">
        <f>IFERROR(__xludf.DUMMYFUNCTION("TRIM(REGEXREPLACE(C216, ""[0-9]+[a-f]?\."", """"))"),"")</f>
        <v/>
      </c>
      <c r="H216" s="152" t="str">
        <f>IFERROR(__xludf.DUMMYFUNCTION("TRIM(REGEXREPLACE(D216, ""[0-9]+[a-f]?\."", """"))"),"")</f>
        <v/>
      </c>
      <c r="I216" s="152" t="str">
        <f>IFERROR(__xludf.DUMMYFUNCTION("TRIM(REGEXREPLACE(E216, ""[0-9]+[a-f]?\."", """"))"),"")</f>
        <v/>
      </c>
      <c r="J216" s="152" t="s">
        <v>1843</v>
      </c>
      <c r="K216" s="152" t="s">
        <v>1844</v>
      </c>
      <c r="L216" s="152" t="s">
        <v>1846</v>
      </c>
      <c r="M216" s="152"/>
      <c r="N216" s="152"/>
      <c r="O216" s="152"/>
      <c r="P216" s="152"/>
      <c r="Q216" s="152"/>
      <c r="R216" s="152"/>
      <c r="S216" s="152"/>
      <c r="T216" s="152"/>
      <c r="U216" s="152"/>
      <c r="V216" s="152"/>
      <c r="W216" s="152"/>
      <c r="X216" s="152"/>
      <c r="Y216" s="152"/>
      <c r="Z216" s="152"/>
    </row>
    <row r="217" hidden="1">
      <c r="A217" s="90" t="s">
        <v>78</v>
      </c>
      <c r="B217" s="219" t="s">
        <v>1848</v>
      </c>
      <c r="C217" s="28"/>
      <c r="D217" s="28"/>
      <c r="E217" s="28"/>
      <c r="F217" s="161">
        <v>92.0</v>
      </c>
      <c r="G217" s="152" t="str">
        <f>IFERROR(__xludf.DUMMYFUNCTION("TRIM(REGEXREPLACE(C217, ""[0-9]+[a-f]?\."", """"))"),"")</f>
        <v/>
      </c>
      <c r="H217" s="152" t="str">
        <f>IFERROR(__xludf.DUMMYFUNCTION("TRIM(REGEXREPLACE(D217, ""[0-9]+[a-f]?\."", """"))"),"")</f>
        <v/>
      </c>
      <c r="I217" s="152" t="str">
        <f>IFERROR(__xludf.DUMMYFUNCTION("TRIM(REGEXREPLACE(E217, ""[0-9]+[a-f]?\."", """"))"),"")</f>
        <v/>
      </c>
      <c r="J217" s="152" t="s">
        <v>1849</v>
      </c>
      <c r="K217" s="152" t="s">
        <v>1851</v>
      </c>
      <c r="L217" s="152" t="s">
        <v>1852</v>
      </c>
      <c r="M217" s="152"/>
      <c r="N217" s="152"/>
      <c r="O217" s="152"/>
      <c r="P217" s="152"/>
      <c r="Q217" s="152"/>
      <c r="R217" s="152"/>
      <c r="S217" s="152"/>
      <c r="T217" s="152"/>
      <c r="U217" s="152"/>
      <c r="V217" s="152"/>
      <c r="W217" s="152"/>
      <c r="X217" s="152"/>
      <c r="Y217" s="152"/>
      <c r="Z217" s="152"/>
    </row>
    <row r="218" hidden="1">
      <c r="A218" s="90" t="s">
        <v>78</v>
      </c>
      <c r="B218" s="219" t="s">
        <v>1856</v>
      </c>
      <c r="C218" s="28"/>
      <c r="D218" s="28"/>
      <c r="E218" s="28"/>
      <c r="F218" s="161">
        <v>93.0</v>
      </c>
      <c r="G218" s="152" t="str">
        <f>IFERROR(__xludf.DUMMYFUNCTION("TRIM(REGEXREPLACE(C218, ""[0-9]+[a-f]?\."", """"))"),"")</f>
        <v/>
      </c>
      <c r="H218" s="152" t="str">
        <f>IFERROR(__xludf.DUMMYFUNCTION("TRIM(REGEXREPLACE(D218, ""[0-9]+[a-f]?\."", """"))"),"")</f>
        <v/>
      </c>
      <c r="I218" s="152" t="str">
        <f>IFERROR(__xludf.DUMMYFUNCTION("TRIM(REGEXREPLACE(E218, ""[0-9]+[a-f]?\."", """"))"),"")</f>
        <v/>
      </c>
      <c r="J218" s="152" t="s">
        <v>1857</v>
      </c>
      <c r="K218" s="152" t="s">
        <v>1859</v>
      </c>
      <c r="L218" s="152" t="s">
        <v>1861</v>
      </c>
      <c r="M218" s="152"/>
      <c r="N218" s="152"/>
      <c r="O218" s="152"/>
      <c r="P218" s="152"/>
      <c r="Q218" s="152"/>
      <c r="R218" s="152"/>
      <c r="S218" s="152"/>
      <c r="T218" s="152"/>
      <c r="U218" s="152"/>
      <c r="V218" s="152"/>
      <c r="W218" s="152"/>
      <c r="X218" s="152"/>
      <c r="Y218" s="152"/>
      <c r="Z218" s="152"/>
    </row>
    <row r="219" hidden="1">
      <c r="A219" s="90" t="s">
        <v>78</v>
      </c>
      <c r="B219" s="219" t="s">
        <v>1863</v>
      </c>
      <c r="C219" s="28"/>
      <c r="D219" s="28"/>
      <c r="E219" s="28"/>
      <c r="F219" s="161">
        <v>94.0</v>
      </c>
      <c r="G219" s="152" t="str">
        <f>IFERROR(__xludf.DUMMYFUNCTION("TRIM(REGEXREPLACE(C219, ""[0-9]+[a-f]?\."", """"))"),"")</f>
        <v/>
      </c>
      <c r="H219" s="152" t="str">
        <f>IFERROR(__xludf.DUMMYFUNCTION("TRIM(REGEXREPLACE(D219, ""[0-9]+[a-f]?\."", """"))"),"")</f>
        <v/>
      </c>
      <c r="I219" s="152" t="str">
        <f>IFERROR(__xludf.DUMMYFUNCTION("TRIM(REGEXREPLACE(E219, ""[0-9]+[a-f]?\."", """"))"),"")</f>
        <v/>
      </c>
      <c r="J219" s="152" t="s">
        <v>1865</v>
      </c>
      <c r="K219" s="152" t="s">
        <v>1866</v>
      </c>
      <c r="L219" s="152" t="s">
        <v>1867</v>
      </c>
      <c r="M219" s="152"/>
      <c r="N219" s="152"/>
      <c r="O219" s="152"/>
      <c r="P219" s="152"/>
      <c r="Q219" s="152"/>
      <c r="R219" s="152"/>
      <c r="S219" s="152"/>
      <c r="T219" s="152"/>
      <c r="U219" s="152"/>
      <c r="V219" s="152"/>
      <c r="W219" s="152"/>
      <c r="X219" s="152"/>
      <c r="Y219" s="152"/>
      <c r="Z219" s="152"/>
    </row>
    <row r="220" hidden="1">
      <c r="A220" s="90" t="s">
        <v>78</v>
      </c>
      <c r="B220" s="219" t="s">
        <v>1870</v>
      </c>
      <c r="C220" s="28"/>
      <c r="D220" s="28"/>
      <c r="E220" s="28"/>
      <c r="F220" s="161">
        <v>95.0</v>
      </c>
      <c r="G220" s="152" t="str">
        <f>IFERROR(__xludf.DUMMYFUNCTION("TRIM(REGEXREPLACE(C220, ""[0-9]+[a-f]?\."", """"))"),"")</f>
        <v/>
      </c>
      <c r="H220" s="152" t="str">
        <f>IFERROR(__xludf.DUMMYFUNCTION("TRIM(REGEXREPLACE(D220, ""[0-9]+[a-f]?\."", """"))"),"")</f>
        <v/>
      </c>
      <c r="I220" s="152" t="str">
        <f>IFERROR(__xludf.DUMMYFUNCTION("TRIM(REGEXREPLACE(E220, ""[0-9]+[a-f]?\."", """"))"),"")</f>
        <v/>
      </c>
      <c r="J220" s="152" t="s">
        <v>1872</v>
      </c>
      <c r="K220" s="152" t="s">
        <v>1873</v>
      </c>
      <c r="L220" s="152" t="s">
        <v>1874</v>
      </c>
      <c r="M220" s="152"/>
      <c r="N220" s="152"/>
      <c r="O220" s="152"/>
      <c r="P220" s="152"/>
      <c r="Q220" s="152"/>
      <c r="R220" s="152"/>
      <c r="S220" s="152"/>
      <c r="T220" s="152"/>
      <c r="U220" s="152"/>
      <c r="V220" s="152"/>
      <c r="W220" s="152"/>
      <c r="X220" s="152"/>
      <c r="Y220" s="152"/>
      <c r="Z220" s="152"/>
    </row>
    <row r="221" hidden="1">
      <c r="A221" s="90" t="s">
        <v>78</v>
      </c>
      <c r="B221" s="219" t="s">
        <v>1877</v>
      </c>
      <c r="C221" s="28"/>
      <c r="D221" s="28"/>
      <c r="E221" s="28"/>
      <c r="F221" s="161">
        <v>96.0</v>
      </c>
      <c r="G221" s="152" t="str">
        <f>IFERROR(__xludf.DUMMYFUNCTION("TRIM(REGEXREPLACE(C221, ""[0-9]+[a-f]?\."", """"))"),"")</f>
        <v/>
      </c>
      <c r="H221" s="152" t="str">
        <f>IFERROR(__xludf.DUMMYFUNCTION("TRIM(REGEXREPLACE(D221, ""[0-9]+[a-f]?\."", """"))"),"")</f>
        <v/>
      </c>
      <c r="I221" s="152" t="str">
        <f>IFERROR(__xludf.DUMMYFUNCTION("TRIM(REGEXREPLACE(E221, ""[0-9]+[a-f]?\."", """"))"),"")</f>
        <v/>
      </c>
      <c r="J221" s="152" t="s">
        <v>1879</v>
      </c>
      <c r="K221" s="152" t="s">
        <v>1880</v>
      </c>
      <c r="L221" s="152" t="s">
        <v>1881</v>
      </c>
      <c r="M221" s="152"/>
      <c r="N221" s="152"/>
      <c r="O221" s="152"/>
      <c r="P221" s="152"/>
      <c r="Q221" s="152"/>
      <c r="R221" s="152"/>
      <c r="S221" s="152"/>
      <c r="T221" s="152"/>
      <c r="U221" s="152"/>
      <c r="V221" s="152"/>
      <c r="W221" s="152"/>
      <c r="X221" s="152"/>
      <c r="Y221" s="152"/>
      <c r="Z221" s="152"/>
    </row>
    <row r="222" hidden="1">
      <c r="A222" s="90" t="s">
        <v>78</v>
      </c>
      <c r="B222" s="219" t="s">
        <v>1882</v>
      </c>
      <c r="C222" s="28"/>
      <c r="D222" s="28"/>
      <c r="E222" s="28"/>
      <c r="F222" s="161">
        <v>97.0</v>
      </c>
      <c r="G222" s="152" t="str">
        <f>IFERROR(__xludf.DUMMYFUNCTION("TRIM(REGEXREPLACE(C222, ""[0-9]+[a-f]?\."", """"))"),"")</f>
        <v/>
      </c>
      <c r="H222" s="152" t="str">
        <f>IFERROR(__xludf.DUMMYFUNCTION("TRIM(REGEXREPLACE(D222, ""[0-9]+[a-f]?\."", """"))"),"")</f>
        <v/>
      </c>
      <c r="I222" s="152" t="str">
        <f>IFERROR(__xludf.DUMMYFUNCTION("TRIM(REGEXREPLACE(E222, ""[0-9]+[a-f]?\."", """"))"),"")</f>
        <v/>
      </c>
      <c r="J222" s="152" t="s">
        <v>1884</v>
      </c>
      <c r="K222" s="152" t="s">
        <v>1885</v>
      </c>
      <c r="L222" s="152" t="s">
        <v>1886</v>
      </c>
      <c r="M222" s="152"/>
      <c r="N222" s="152"/>
      <c r="O222" s="152"/>
      <c r="P222" s="152"/>
      <c r="Q222" s="152"/>
      <c r="R222" s="152"/>
      <c r="S222" s="152"/>
      <c r="T222" s="152"/>
      <c r="U222" s="152"/>
      <c r="V222" s="152"/>
      <c r="W222" s="152"/>
      <c r="X222" s="152"/>
      <c r="Y222" s="152"/>
      <c r="Z222" s="152"/>
    </row>
    <row r="223" hidden="1">
      <c r="A223" s="90" t="s">
        <v>78</v>
      </c>
      <c r="B223" s="219" t="s">
        <v>1889</v>
      </c>
      <c r="C223" s="28"/>
      <c r="D223" s="28"/>
      <c r="E223" s="28"/>
      <c r="F223" s="161">
        <v>100.0</v>
      </c>
      <c r="G223" s="152" t="str">
        <f>IFERROR(__xludf.DUMMYFUNCTION("TRIM(REGEXREPLACE(C223, ""[0-9]+[a-f]?\."", """"))"),"")</f>
        <v/>
      </c>
      <c r="H223" s="152" t="str">
        <f>IFERROR(__xludf.DUMMYFUNCTION("TRIM(REGEXREPLACE(D223, ""[0-9]+[a-f]?\."", """"))"),"")</f>
        <v/>
      </c>
      <c r="I223" s="152" t="str">
        <f>IFERROR(__xludf.DUMMYFUNCTION("TRIM(REGEXREPLACE(E223, ""[0-9]+[a-f]?\."", """"))"),"")</f>
        <v/>
      </c>
      <c r="J223" s="152" t="s">
        <v>1890</v>
      </c>
      <c r="K223" s="152" t="s">
        <v>1891</v>
      </c>
      <c r="L223" s="152" t="s">
        <v>1892</v>
      </c>
      <c r="M223" s="152"/>
      <c r="N223" s="152"/>
      <c r="O223" s="152"/>
      <c r="P223" s="152"/>
      <c r="Q223" s="152"/>
      <c r="R223" s="152"/>
      <c r="S223" s="152"/>
      <c r="T223" s="152"/>
      <c r="U223" s="152"/>
      <c r="V223" s="152"/>
      <c r="W223" s="152"/>
      <c r="X223" s="152"/>
      <c r="Y223" s="152"/>
      <c r="Z223" s="152"/>
    </row>
    <row r="224" hidden="1">
      <c r="A224" s="90" t="s">
        <v>78</v>
      </c>
      <c r="B224" s="219" t="s">
        <v>1893</v>
      </c>
      <c r="C224" s="28"/>
      <c r="D224" s="28"/>
      <c r="E224" s="28"/>
      <c r="F224" s="161">
        <v>101.0</v>
      </c>
      <c r="G224" s="152" t="str">
        <f>IFERROR(__xludf.DUMMYFUNCTION("TRIM(REGEXREPLACE(C224, ""[0-9]+[a-f]?\."", """"))"),"")</f>
        <v/>
      </c>
      <c r="H224" s="152" t="str">
        <f>IFERROR(__xludf.DUMMYFUNCTION("TRIM(REGEXREPLACE(D224, ""[0-9]+[a-f]?\."", """"))"),"")</f>
        <v/>
      </c>
      <c r="I224" s="152" t="str">
        <f>IFERROR(__xludf.DUMMYFUNCTION("TRIM(REGEXREPLACE(E224, ""[0-9]+[a-f]?\."", """"))"),"")</f>
        <v/>
      </c>
      <c r="J224" s="152" t="s">
        <v>1894</v>
      </c>
      <c r="K224" s="152" t="s">
        <v>1895</v>
      </c>
      <c r="L224" s="152" t="s">
        <v>1896</v>
      </c>
      <c r="M224" s="152"/>
      <c r="N224" s="152"/>
      <c r="O224" s="152"/>
      <c r="P224" s="152"/>
      <c r="Q224" s="152"/>
      <c r="R224" s="152"/>
      <c r="S224" s="152"/>
      <c r="T224" s="152"/>
      <c r="U224" s="152"/>
      <c r="V224" s="152"/>
      <c r="W224" s="152"/>
      <c r="X224" s="152"/>
      <c r="Y224" s="152"/>
      <c r="Z224" s="152"/>
    </row>
    <row r="225" hidden="1">
      <c r="A225" s="90" t="s">
        <v>78</v>
      </c>
      <c r="B225" s="219" t="s">
        <v>1898</v>
      </c>
      <c r="C225" s="28"/>
      <c r="D225" s="28"/>
      <c r="E225" s="28"/>
      <c r="F225" s="161">
        <v>102.0</v>
      </c>
      <c r="G225" s="152" t="str">
        <f>IFERROR(__xludf.DUMMYFUNCTION("TRIM(REGEXREPLACE(C225, ""[0-9]+[a-f]?\."", """"))"),"")</f>
        <v/>
      </c>
      <c r="H225" s="152" t="str">
        <f>IFERROR(__xludf.DUMMYFUNCTION("TRIM(REGEXREPLACE(D225, ""[0-9]+[a-f]?\."", """"))"),"")</f>
        <v/>
      </c>
      <c r="I225" s="152" t="str">
        <f>IFERROR(__xludf.DUMMYFUNCTION("TRIM(REGEXREPLACE(E225, ""[0-9]+[a-f]?\."", """"))"),"")</f>
        <v/>
      </c>
      <c r="J225" s="152" t="s">
        <v>1899</v>
      </c>
      <c r="K225" s="152" t="s">
        <v>1900</v>
      </c>
      <c r="L225" s="152" t="s">
        <v>1901</v>
      </c>
      <c r="M225" s="152"/>
      <c r="N225" s="152"/>
      <c r="O225" s="152"/>
      <c r="P225" s="152"/>
      <c r="Q225" s="152"/>
      <c r="R225" s="152"/>
      <c r="S225" s="152"/>
      <c r="T225" s="152"/>
      <c r="U225" s="152"/>
      <c r="V225" s="152"/>
      <c r="W225" s="152"/>
      <c r="X225" s="152"/>
      <c r="Y225" s="152"/>
      <c r="Z225" s="152"/>
    </row>
    <row r="226" hidden="1">
      <c r="A226" s="90" t="s">
        <v>78</v>
      </c>
      <c r="B226" s="219" t="s">
        <v>1905</v>
      </c>
      <c r="C226" s="28"/>
      <c r="D226" s="28"/>
      <c r="E226" s="28"/>
      <c r="F226" s="161">
        <v>103.0</v>
      </c>
      <c r="G226" s="152" t="str">
        <f>IFERROR(__xludf.DUMMYFUNCTION("TRIM(REGEXREPLACE(C226, ""[0-9]+[a-f]?\."", """"))"),"")</f>
        <v/>
      </c>
      <c r="H226" s="152" t="str">
        <f>IFERROR(__xludf.DUMMYFUNCTION("TRIM(REGEXREPLACE(D226, ""[0-9]+[a-f]?\."", """"))"),"")</f>
        <v/>
      </c>
      <c r="I226" s="152" t="str">
        <f>IFERROR(__xludf.DUMMYFUNCTION("TRIM(REGEXREPLACE(E226, ""[0-9]+[a-f]?\."", """"))"),"")</f>
        <v/>
      </c>
      <c r="J226" s="152" t="s">
        <v>1907</v>
      </c>
      <c r="K226" s="152" t="s">
        <v>1908</v>
      </c>
      <c r="L226" s="152" t="s">
        <v>1909</v>
      </c>
      <c r="M226" s="152"/>
      <c r="N226" s="152"/>
      <c r="O226" s="152"/>
      <c r="P226" s="152"/>
      <c r="Q226" s="152"/>
      <c r="R226" s="152"/>
      <c r="S226" s="152"/>
      <c r="T226" s="152"/>
      <c r="U226" s="152"/>
      <c r="V226" s="152"/>
      <c r="W226" s="152"/>
      <c r="X226" s="152"/>
      <c r="Y226" s="152"/>
      <c r="Z226" s="152"/>
    </row>
    <row r="227" hidden="1">
      <c r="A227" s="90" t="s">
        <v>78</v>
      </c>
      <c r="B227" s="219" t="s">
        <v>1910</v>
      </c>
      <c r="C227" s="28"/>
      <c r="D227" s="28"/>
      <c r="E227" s="28"/>
      <c r="F227" s="153"/>
      <c r="G227" s="152" t="str">
        <f>IFERROR(__xludf.DUMMYFUNCTION("TRIM(REGEXREPLACE(C227, ""[0-9]+[a-f]?\."", """"))"),"")</f>
        <v/>
      </c>
      <c r="H227" s="152" t="str">
        <f>IFERROR(__xludf.DUMMYFUNCTION("TRIM(REGEXREPLACE(D227, ""[0-9]+[a-f]?\."", """"))"),"")</f>
        <v/>
      </c>
      <c r="I227" s="152" t="str">
        <f>IFERROR(__xludf.DUMMYFUNCTION("TRIM(REGEXREPLACE(E227, ""[0-9]+[a-f]?\."", """"))"),"")</f>
        <v/>
      </c>
      <c r="J227" s="152" t="s">
        <v>1912</v>
      </c>
      <c r="K227" s="152" t="s">
        <v>1913</v>
      </c>
      <c r="L227" s="155" t="s">
        <v>1914</v>
      </c>
      <c r="M227" s="152"/>
      <c r="N227" s="152"/>
      <c r="O227" s="152"/>
      <c r="P227" s="152"/>
      <c r="Q227" s="152"/>
      <c r="R227" s="152"/>
      <c r="S227" s="152"/>
      <c r="T227" s="152"/>
      <c r="U227" s="152"/>
      <c r="V227" s="152"/>
      <c r="W227" s="152"/>
      <c r="X227" s="152"/>
      <c r="Y227" s="152"/>
      <c r="Z227" s="152"/>
    </row>
    <row r="228" hidden="1">
      <c r="A228" s="90" t="s">
        <v>78</v>
      </c>
      <c r="B228" s="219" t="s">
        <v>1916</v>
      </c>
      <c r="C228" s="28"/>
      <c r="D228" s="28"/>
      <c r="E228" s="28"/>
      <c r="F228" s="161">
        <v>101.0</v>
      </c>
      <c r="G228" s="152" t="str">
        <f>IFERROR(__xludf.DUMMYFUNCTION("TRIM(REGEXREPLACE(C228, ""[0-9]+[a-f]?\."", """"))"),"")</f>
        <v/>
      </c>
      <c r="H228" s="152" t="str">
        <f>IFERROR(__xludf.DUMMYFUNCTION("TRIM(REGEXREPLACE(D228, ""[0-9]+[a-f]?\."", """"))"),"")</f>
        <v/>
      </c>
      <c r="I228" s="152" t="str">
        <f>IFERROR(__xludf.DUMMYFUNCTION("TRIM(REGEXREPLACE(E228, ""[0-9]+[a-f]?\."", """"))"),"")</f>
        <v/>
      </c>
      <c r="J228" s="152" t="s">
        <v>1917</v>
      </c>
      <c r="K228" s="152" t="s">
        <v>1918</v>
      </c>
      <c r="L228" s="152" t="s">
        <v>1919</v>
      </c>
      <c r="M228" s="152"/>
      <c r="N228" s="152"/>
      <c r="O228" s="152"/>
      <c r="P228" s="152"/>
      <c r="Q228" s="152"/>
      <c r="R228" s="152"/>
      <c r="S228" s="152"/>
      <c r="T228" s="152"/>
      <c r="U228" s="152"/>
      <c r="V228" s="152"/>
      <c r="W228" s="152"/>
      <c r="X228" s="152"/>
      <c r="Y228" s="152"/>
      <c r="Z228" s="152"/>
    </row>
    <row r="229" hidden="1">
      <c r="A229" s="90" t="s">
        <v>78</v>
      </c>
      <c r="B229" s="219" t="s">
        <v>1921</v>
      </c>
      <c r="C229" s="28"/>
      <c r="D229" s="28"/>
      <c r="E229" s="28"/>
      <c r="F229" s="161">
        <v>102.0</v>
      </c>
      <c r="G229" s="152" t="str">
        <f>IFERROR(__xludf.DUMMYFUNCTION("TRIM(REGEXREPLACE(C229, ""[0-9]+[a-f]?\."", """"))"),"")</f>
        <v/>
      </c>
      <c r="H229" s="152" t="str">
        <f>IFERROR(__xludf.DUMMYFUNCTION("TRIM(REGEXREPLACE(D229, ""[0-9]+[a-f]?\."", """"))"),"")</f>
        <v/>
      </c>
      <c r="I229" s="152" t="str">
        <f>IFERROR(__xludf.DUMMYFUNCTION("TRIM(REGEXREPLACE(E229, ""[0-9]+[a-f]?\."", """"))"),"")</f>
        <v/>
      </c>
      <c r="J229" s="152" t="s">
        <v>1922</v>
      </c>
      <c r="K229" s="152" t="s">
        <v>1923</v>
      </c>
      <c r="L229" s="152" t="s">
        <v>1924</v>
      </c>
      <c r="M229" s="152"/>
      <c r="N229" s="152"/>
      <c r="O229" s="152"/>
      <c r="P229" s="152"/>
      <c r="Q229" s="152"/>
      <c r="R229" s="152"/>
      <c r="S229" s="152"/>
      <c r="T229" s="152"/>
      <c r="U229" s="152"/>
      <c r="V229" s="152"/>
      <c r="W229" s="152"/>
      <c r="X229" s="152"/>
      <c r="Y229" s="152"/>
      <c r="Z229" s="152"/>
    </row>
    <row r="230" hidden="1">
      <c r="A230" s="90" t="s">
        <v>78</v>
      </c>
      <c r="B230" s="219" t="s">
        <v>1925</v>
      </c>
      <c r="C230" s="28"/>
      <c r="D230" s="28"/>
      <c r="E230" s="28"/>
      <c r="F230" s="161">
        <v>103.0</v>
      </c>
      <c r="G230" s="152" t="str">
        <f>IFERROR(__xludf.DUMMYFUNCTION("TRIM(REGEXREPLACE(C230, ""[0-9]+[a-f]?\."", """"))"),"")</f>
        <v/>
      </c>
      <c r="H230" s="152" t="str">
        <f>IFERROR(__xludf.DUMMYFUNCTION("TRIM(REGEXREPLACE(D230, ""[0-9]+[a-f]?\."", """"))"),"")</f>
        <v/>
      </c>
      <c r="I230" s="152" t="str">
        <f>IFERROR(__xludf.DUMMYFUNCTION("TRIM(REGEXREPLACE(E230, ""[0-9]+[a-f]?\."", """"))"),"")</f>
        <v/>
      </c>
      <c r="J230" s="152" t="s">
        <v>1927</v>
      </c>
      <c r="K230" s="152" t="s">
        <v>1928</v>
      </c>
      <c r="L230" s="152" t="s">
        <v>1929</v>
      </c>
      <c r="M230" s="152"/>
      <c r="N230" s="152"/>
      <c r="O230" s="152"/>
      <c r="P230" s="152"/>
      <c r="Q230" s="152"/>
      <c r="R230" s="152"/>
      <c r="S230" s="152"/>
      <c r="T230" s="152"/>
      <c r="U230" s="152"/>
      <c r="V230" s="152"/>
      <c r="W230" s="152"/>
      <c r="X230" s="152"/>
      <c r="Y230" s="152"/>
      <c r="Z230" s="152"/>
    </row>
    <row r="231" hidden="1">
      <c r="A231" s="90" t="s">
        <v>78</v>
      </c>
      <c r="B231" s="219" t="s">
        <v>1930</v>
      </c>
      <c r="C231" s="28"/>
      <c r="D231" s="28"/>
      <c r="E231" s="28"/>
      <c r="F231" s="161">
        <v>104.0</v>
      </c>
      <c r="G231" s="152" t="str">
        <f>IFERROR(__xludf.DUMMYFUNCTION("TRIM(REGEXREPLACE(C231, ""[0-9]+[a-f]?\."", """"))"),"")</f>
        <v/>
      </c>
      <c r="H231" s="152" t="str">
        <f>IFERROR(__xludf.DUMMYFUNCTION("TRIM(REGEXREPLACE(D231, ""[0-9]+[a-f]?\."", """"))"),"")</f>
        <v/>
      </c>
      <c r="I231" s="152" t="str">
        <f>IFERROR(__xludf.DUMMYFUNCTION("TRIM(REGEXREPLACE(E231, ""[0-9]+[a-f]?\."", """"))"),"")</f>
        <v/>
      </c>
      <c r="J231" s="152" t="s">
        <v>1931</v>
      </c>
      <c r="K231" s="152" t="s">
        <v>1932</v>
      </c>
      <c r="L231" s="152" t="s">
        <v>1933</v>
      </c>
      <c r="M231" s="152"/>
      <c r="N231" s="152"/>
      <c r="O231" s="152"/>
      <c r="P231" s="152"/>
      <c r="Q231" s="152"/>
      <c r="R231" s="152"/>
      <c r="S231" s="152"/>
      <c r="T231" s="152"/>
      <c r="U231" s="152"/>
      <c r="V231" s="152"/>
      <c r="W231" s="152"/>
      <c r="X231" s="152"/>
      <c r="Y231" s="152"/>
      <c r="Z231" s="152"/>
    </row>
    <row r="232" hidden="1">
      <c r="A232" s="90" t="s">
        <v>78</v>
      </c>
      <c r="B232" s="219" t="s">
        <v>1934</v>
      </c>
      <c r="C232" s="28"/>
      <c r="D232" s="28"/>
      <c r="E232" s="28"/>
      <c r="F232" s="161">
        <v>105.0</v>
      </c>
      <c r="G232" s="152" t="str">
        <f>IFERROR(__xludf.DUMMYFUNCTION("TRIM(REGEXREPLACE(C232, ""[0-9]+[a-f]?\."", """"))"),"")</f>
        <v/>
      </c>
      <c r="H232" s="152" t="str">
        <f>IFERROR(__xludf.DUMMYFUNCTION("TRIM(REGEXREPLACE(D232, ""[0-9]+[a-f]?\."", """"))"),"")</f>
        <v/>
      </c>
      <c r="I232" s="152" t="str">
        <f>IFERROR(__xludf.DUMMYFUNCTION("TRIM(REGEXREPLACE(E232, ""[0-9]+[a-f]?\."", """"))"),"")</f>
        <v/>
      </c>
      <c r="J232" s="152" t="s">
        <v>1936</v>
      </c>
      <c r="K232" s="152" t="s">
        <v>1937</v>
      </c>
      <c r="L232" s="152" t="s">
        <v>1939</v>
      </c>
      <c r="M232" s="152"/>
      <c r="N232" s="152"/>
      <c r="O232" s="152"/>
      <c r="P232" s="152"/>
      <c r="Q232" s="152"/>
      <c r="R232" s="152"/>
      <c r="S232" s="152"/>
      <c r="T232" s="152"/>
      <c r="U232" s="152"/>
      <c r="V232" s="152"/>
      <c r="W232" s="152"/>
      <c r="X232" s="152"/>
      <c r="Y232" s="152"/>
      <c r="Z232" s="152"/>
    </row>
    <row r="233" hidden="1">
      <c r="A233" s="90" t="s">
        <v>78</v>
      </c>
      <c r="B233" s="219" t="s">
        <v>1940</v>
      </c>
      <c r="C233" s="28"/>
      <c r="D233" s="28"/>
      <c r="E233" s="28"/>
      <c r="F233" s="161">
        <v>106.0</v>
      </c>
      <c r="G233" s="152" t="str">
        <f>IFERROR(__xludf.DUMMYFUNCTION("TRIM(REGEXREPLACE(C233, ""[0-9]+[a-f]?\."", """"))"),"")</f>
        <v/>
      </c>
      <c r="H233" s="152" t="str">
        <f>IFERROR(__xludf.DUMMYFUNCTION("TRIM(REGEXREPLACE(D233, ""[0-9]+[a-f]?\."", """"))"),"")</f>
        <v/>
      </c>
      <c r="I233" s="152" t="str">
        <f>IFERROR(__xludf.DUMMYFUNCTION("TRIM(REGEXREPLACE(E233, ""[0-9]+[a-f]?\."", """"))"),"")</f>
        <v/>
      </c>
      <c r="J233" s="152" t="s">
        <v>1941</v>
      </c>
      <c r="K233" s="152" t="s">
        <v>1942</v>
      </c>
      <c r="L233" s="152" t="s">
        <v>1943</v>
      </c>
      <c r="M233" s="152"/>
      <c r="N233" s="152"/>
      <c r="O233" s="152"/>
      <c r="P233" s="152"/>
      <c r="Q233" s="152"/>
      <c r="R233" s="152"/>
      <c r="S233" s="152"/>
      <c r="T233" s="152"/>
      <c r="U233" s="152"/>
      <c r="V233" s="152"/>
      <c r="W233" s="152"/>
      <c r="X233" s="152"/>
      <c r="Y233" s="152"/>
      <c r="Z233" s="152"/>
    </row>
    <row r="234" hidden="1">
      <c r="A234" s="90" t="s">
        <v>78</v>
      </c>
      <c r="B234" s="219" t="s">
        <v>1944</v>
      </c>
      <c r="C234" s="28"/>
      <c r="D234" s="28"/>
      <c r="E234" s="28"/>
      <c r="F234" s="161">
        <v>107.0</v>
      </c>
      <c r="G234" s="152" t="str">
        <f>IFERROR(__xludf.DUMMYFUNCTION("TRIM(REGEXREPLACE(C234, ""[0-9]+[a-f]?\."", """"))"),"")</f>
        <v/>
      </c>
      <c r="H234" s="152" t="str">
        <f>IFERROR(__xludf.DUMMYFUNCTION("TRIM(REGEXREPLACE(D234, ""[0-9]+[a-f]?\."", """"))"),"")</f>
        <v/>
      </c>
      <c r="I234" s="152" t="str">
        <f>IFERROR(__xludf.DUMMYFUNCTION("TRIM(REGEXREPLACE(E234, ""[0-9]+[a-f]?\."", """"))"),"")</f>
        <v/>
      </c>
      <c r="J234" s="152" t="s">
        <v>1948</v>
      </c>
      <c r="K234" s="152" t="s">
        <v>1949</v>
      </c>
      <c r="L234" s="152" t="s">
        <v>1950</v>
      </c>
      <c r="M234" s="152"/>
      <c r="N234" s="152"/>
      <c r="O234" s="152"/>
      <c r="P234" s="152"/>
      <c r="Q234" s="152"/>
      <c r="R234" s="152"/>
      <c r="S234" s="152"/>
      <c r="T234" s="152"/>
      <c r="U234" s="152"/>
      <c r="V234" s="152"/>
      <c r="W234" s="152"/>
      <c r="X234" s="152"/>
      <c r="Y234" s="152"/>
      <c r="Z234" s="152"/>
    </row>
    <row r="235" hidden="1">
      <c r="A235" s="90" t="s">
        <v>78</v>
      </c>
      <c r="B235" s="219" t="s">
        <v>1951</v>
      </c>
      <c r="C235" s="28"/>
      <c r="D235" s="28"/>
      <c r="E235" s="28"/>
      <c r="F235" s="161">
        <v>108.0</v>
      </c>
      <c r="G235" s="152" t="str">
        <f>IFERROR(__xludf.DUMMYFUNCTION("TRIM(REGEXREPLACE(C235, ""[0-9]+[a-f]?\."", """"))"),"")</f>
        <v/>
      </c>
      <c r="H235" s="152" t="str">
        <f>IFERROR(__xludf.DUMMYFUNCTION("TRIM(REGEXREPLACE(D235, ""[0-9]+[a-f]?\."", """"))"),"")</f>
        <v/>
      </c>
      <c r="I235" s="152" t="str">
        <f>IFERROR(__xludf.DUMMYFUNCTION("TRIM(REGEXREPLACE(E235, ""[0-9]+[a-f]?\."", """"))"),"")</f>
        <v/>
      </c>
      <c r="J235" s="152" t="s">
        <v>1953</v>
      </c>
      <c r="K235" s="152" t="s">
        <v>1955</v>
      </c>
      <c r="L235" s="152" t="s">
        <v>1955</v>
      </c>
      <c r="M235" s="152"/>
      <c r="N235" s="152"/>
      <c r="O235" s="152"/>
      <c r="P235" s="152"/>
      <c r="Q235" s="152"/>
      <c r="R235" s="152"/>
      <c r="S235" s="152"/>
      <c r="T235" s="152"/>
      <c r="U235" s="152"/>
      <c r="V235" s="152"/>
      <c r="W235" s="152"/>
      <c r="X235" s="152"/>
      <c r="Y235" s="152"/>
      <c r="Z235" s="152"/>
    </row>
    <row r="236" hidden="1">
      <c r="A236" s="90" t="s">
        <v>78</v>
      </c>
      <c r="B236" s="219" t="s">
        <v>1957</v>
      </c>
      <c r="C236" s="28"/>
      <c r="D236" s="28"/>
      <c r="E236" s="28"/>
      <c r="F236" s="161">
        <v>107.0</v>
      </c>
      <c r="G236" s="152" t="str">
        <f>IFERROR(__xludf.DUMMYFUNCTION("TRIM(REGEXREPLACE(C236, ""[0-9]+[a-f]?\."", """"))"),"")</f>
        <v/>
      </c>
      <c r="H236" s="152" t="str">
        <f>IFERROR(__xludf.DUMMYFUNCTION("TRIM(REGEXREPLACE(D236, ""[0-9]+[a-f]?\."", """"))"),"")</f>
        <v/>
      </c>
      <c r="I236" s="152" t="str">
        <f>IFERROR(__xludf.DUMMYFUNCTION("TRIM(REGEXREPLACE(E236, ""[0-9]+[a-f]?\."", """"))"),"")</f>
        <v/>
      </c>
      <c r="J236" s="152" t="s">
        <v>1959</v>
      </c>
      <c r="K236" s="152" t="s">
        <v>1960</v>
      </c>
      <c r="L236" s="152" t="s">
        <v>1961</v>
      </c>
      <c r="M236" s="152"/>
      <c r="N236" s="152"/>
      <c r="O236" s="152"/>
      <c r="P236" s="152"/>
      <c r="Q236" s="152"/>
      <c r="R236" s="152"/>
      <c r="S236" s="152"/>
      <c r="T236" s="152"/>
      <c r="U236" s="152"/>
      <c r="V236" s="152"/>
      <c r="W236" s="152"/>
      <c r="X236" s="152"/>
      <c r="Y236" s="152"/>
      <c r="Z236" s="152"/>
    </row>
    <row r="237" hidden="1">
      <c r="A237" s="90" t="s">
        <v>78</v>
      </c>
      <c r="B237" s="219" t="s">
        <v>1965</v>
      </c>
      <c r="C237" s="28"/>
      <c r="D237" s="28"/>
      <c r="E237" s="28"/>
      <c r="F237" s="161">
        <v>33.0</v>
      </c>
      <c r="G237" s="152" t="str">
        <f>IFERROR(__xludf.DUMMYFUNCTION("TRIM(REGEXREPLACE(C237, ""[0-9]+[a-f]?\."", """"))"),"")</f>
        <v/>
      </c>
      <c r="H237" s="152" t="str">
        <f>IFERROR(__xludf.DUMMYFUNCTION("TRIM(REGEXREPLACE(D237, ""[0-9]+[a-f]?\."", """"))"),"")</f>
        <v/>
      </c>
      <c r="I237" s="152" t="str">
        <f>IFERROR(__xludf.DUMMYFUNCTION("TRIM(REGEXREPLACE(E237, ""[0-9]+[a-f]?\."", """"))"),"")</f>
        <v/>
      </c>
      <c r="J237" s="152" t="str">
        <f t="shared" ref="J237:L237" si="31">$F237 &amp; ". " &amp;G237</f>
        <v>33. </v>
      </c>
      <c r="K237" s="152" t="str">
        <f t="shared" si="31"/>
        <v>33. </v>
      </c>
      <c r="L237" s="152" t="str">
        <f t="shared" si="31"/>
        <v>33. </v>
      </c>
      <c r="M237" s="152"/>
      <c r="N237" s="152"/>
      <c r="O237" s="152"/>
      <c r="P237" s="152"/>
      <c r="Q237" s="152"/>
      <c r="R237" s="152"/>
      <c r="S237" s="152"/>
      <c r="T237" s="152"/>
      <c r="U237" s="152"/>
      <c r="V237" s="152"/>
      <c r="W237" s="152"/>
      <c r="X237" s="152"/>
      <c r="Y237" s="152"/>
      <c r="Z237" s="152"/>
    </row>
    <row r="238" hidden="1">
      <c r="A238" s="90" t="s">
        <v>78</v>
      </c>
      <c r="B238" s="219" t="s">
        <v>1967</v>
      </c>
      <c r="C238" s="28"/>
      <c r="D238" s="28"/>
      <c r="E238" s="28"/>
      <c r="F238" s="161">
        <v>34.0</v>
      </c>
      <c r="G238" s="152" t="str">
        <f>IFERROR(__xludf.DUMMYFUNCTION("TRIM(REGEXREPLACE(C238, ""[0-9]+[a-f]?\."", """"))"),"")</f>
        <v/>
      </c>
      <c r="H238" s="152" t="str">
        <f>IFERROR(__xludf.DUMMYFUNCTION("TRIM(REGEXREPLACE(D238, ""[0-9]+[a-f]?\."", """"))"),"")</f>
        <v/>
      </c>
      <c r="I238" s="152" t="str">
        <f>IFERROR(__xludf.DUMMYFUNCTION("TRIM(REGEXREPLACE(E238, ""[0-9]+[a-f]?\."", """"))"),"")</f>
        <v/>
      </c>
      <c r="J238" s="152" t="str">
        <f t="shared" ref="J238:L238" si="32">$F238 &amp; ". " &amp;G238</f>
        <v>34. </v>
      </c>
      <c r="K238" s="152" t="str">
        <f t="shared" si="32"/>
        <v>34. </v>
      </c>
      <c r="L238" s="152" t="str">
        <f t="shared" si="32"/>
        <v>34. </v>
      </c>
      <c r="M238" s="152"/>
      <c r="N238" s="152"/>
      <c r="O238" s="152"/>
      <c r="P238" s="152"/>
      <c r="Q238" s="152"/>
      <c r="R238" s="152"/>
      <c r="S238" s="152"/>
      <c r="T238" s="152"/>
      <c r="U238" s="152"/>
      <c r="V238" s="152"/>
      <c r="W238" s="152"/>
      <c r="X238" s="152"/>
      <c r="Y238" s="152"/>
      <c r="Z238" s="152"/>
    </row>
    <row r="239" hidden="1">
      <c r="A239" s="90" t="s">
        <v>78</v>
      </c>
      <c r="B239" s="219" t="s">
        <v>1971</v>
      </c>
      <c r="C239" s="28"/>
      <c r="D239" s="28"/>
      <c r="E239" s="28"/>
      <c r="F239" s="161">
        <v>35.0</v>
      </c>
      <c r="G239" s="152" t="str">
        <f>IFERROR(__xludf.DUMMYFUNCTION("TRIM(REGEXREPLACE(C239, ""[0-9]+[a-f]?\."", """"))"),"")</f>
        <v/>
      </c>
      <c r="H239" s="152" t="str">
        <f>IFERROR(__xludf.DUMMYFUNCTION("TRIM(REGEXREPLACE(D239, ""[0-9]+[a-f]?\."", """"))"),"")</f>
        <v/>
      </c>
      <c r="I239" s="152" t="str">
        <f>IFERROR(__xludf.DUMMYFUNCTION("TRIM(REGEXREPLACE(E239, ""[0-9]+[a-f]?\."", """"))"),"")</f>
        <v/>
      </c>
      <c r="J239" s="152" t="str">
        <f t="shared" ref="J239:L239" si="33">$F239 &amp; ". " &amp;G239</f>
        <v>35. </v>
      </c>
      <c r="K239" s="152" t="str">
        <f t="shared" si="33"/>
        <v>35. </v>
      </c>
      <c r="L239" s="152" t="str">
        <f t="shared" si="33"/>
        <v>35. </v>
      </c>
      <c r="M239" s="152"/>
      <c r="N239" s="152"/>
      <c r="O239" s="152"/>
      <c r="P239" s="152"/>
      <c r="Q239" s="152"/>
      <c r="R239" s="152"/>
      <c r="S239" s="152"/>
      <c r="T239" s="152"/>
      <c r="U239" s="152"/>
      <c r="V239" s="152"/>
      <c r="W239" s="152"/>
      <c r="X239" s="152"/>
      <c r="Y239" s="152"/>
      <c r="Z239" s="152"/>
    </row>
    <row r="240" hidden="1">
      <c r="A240" s="90" t="s">
        <v>78</v>
      </c>
      <c r="B240" s="219" t="s">
        <v>1975</v>
      </c>
      <c r="C240" s="28"/>
      <c r="D240" s="28"/>
      <c r="E240" s="28"/>
      <c r="F240" s="161">
        <v>36.0</v>
      </c>
      <c r="G240" s="152" t="str">
        <f>IFERROR(__xludf.DUMMYFUNCTION("TRIM(REGEXREPLACE(C240, ""[0-9]+[a-f]?\."", """"))"),"")</f>
        <v/>
      </c>
      <c r="H240" s="152" t="str">
        <f>IFERROR(__xludf.DUMMYFUNCTION("TRIM(REGEXREPLACE(D240, ""[0-9]+[a-f]?\."", """"))"),"")</f>
        <v/>
      </c>
      <c r="I240" s="152" t="str">
        <f>IFERROR(__xludf.DUMMYFUNCTION("TRIM(REGEXREPLACE(E240, ""[0-9]+[a-f]?\."", """"))"),"")</f>
        <v/>
      </c>
      <c r="J240" s="152" t="str">
        <f t="shared" ref="J240:L240" si="34">$F240 &amp; ". " &amp;G240</f>
        <v>36. </v>
      </c>
      <c r="K240" s="152" t="str">
        <f t="shared" si="34"/>
        <v>36. </v>
      </c>
      <c r="L240" s="152" t="str">
        <f t="shared" si="34"/>
        <v>36. </v>
      </c>
      <c r="M240" s="152"/>
      <c r="N240" s="152"/>
      <c r="O240" s="152"/>
      <c r="P240" s="152"/>
      <c r="Q240" s="152"/>
      <c r="R240" s="152"/>
      <c r="S240" s="152"/>
      <c r="T240" s="152"/>
      <c r="U240" s="152"/>
      <c r="V240" s="152"/>
      <c r="W240" s="152"/>
      <c r="X240" s="152"/>
      <c r="Y240" s="152"/>
      <c r="Z240" s="152"/>
    </row>
    <row r="241" hidden="1">
      <c r="A241" s="90" t="s">
        <v>78</v>
      </c>
      <c r="B241" s="219" t="s">
        <v>1977</v>
      </c>
      <c r="C241" s="28"/>
      <c r="D241" s="28"/>
      <c r="E241" s="28"/>
      <c r="F241" s="161">
        <v>113.0</v>
      </c>
      <c r="G241" s="152" t="str">
        <f>IFERROR(__xludf.DUMMYFUNCTION("TRIM(REGEXREPLACE(C241, ""[0-9]+[a-f]?\."", """"))"),"")</f>
        <v/>
      </c>
      <c r="H241" s="152" t="str">
        <f>IFERROR(__xludf.DUMMYFUNCTION("TRIM(REGEXREPLACE(D241, ""[0-9]+[a-f]?\."", """"))"),"")</f>
        <v/>
      </c>
      <c r="I241" s="152" t="str">
        <f>IFERROR(__xludf.DUMMYFUNCTION("TRIM(REGEXREPLACE(E241, ""[0-9]+[a-f]?\."", """"))"),"")</f>
        <v/>
      </c>
      <c r="J241" s="152" t="s">
        <v>1981</v>
      </c>
      <c r="K241" s="152" t="s">
        <v>1982</v>
      </c>
      <c r="L241" s="152" t="s">
        <v>1983</v>
      </c>
      <c r="M241" s="152"/>
      <c r="N241" s="152"/>
      <c r="O241" s="152"/>
      <c r="P241" s="152"/>
      <c r="Q241" s="152"/>
      <c r="R241" s="152"/>
      <c r="S241" s="152"/>
      <c r="T241" s="152"/>
      <c r="U241" s="152"/>
      <c r="V241" s="152"/>
      <c r="W241" s="152"/>
      <c r="X241" s="152"/>
      <c r="Y241" s="152"/>
      <c r="Z241" s="152"/>
    </row>
    <row r="242" hidden="1">
      <c r="A242" s="90" t="s">
        <v>78</v>
      </c>
      <c r="B242" s="219" t="s">
        <v>1984</v>
      </c>
      <c r="C242" s="28"/>
      <c r="D242" s="28"/>
      <c r="E242" s="28"/>
      <c r="F242" s="161">
        <v>114.0</v>
      </c>
      <c r="G242" s="152" t="str">
        <f>IFERROR(__xludf.DUMMYFUNCTION("TRIM(REGEXREPLACE(C242, ""[0-9]+[a-f]?\."", """"))"),"")</f>
        <v/>
      </c>
      <c r="H242" s="152" t="str">
        <f>IFERROR(__xludf.DUMMYFUNCTION("TRIM(REGEXREPLACE(D242, ""[0-9]+[a-f]?\."", """"))"),"")</f>
        <v/>
      </c>
      <c r="I242" s="152" t="str">
        <f>IFERROR(__xludf.DUMMYFUNCTION("TRIM(REGEXREPLACE(E242, ""[0-9]+[a-f]?\."", """"))"),"")</f>
        <v/>
      </c>
      <c r="J242" s="152" t="s">
        <v>1988</v>
      </c>
      <c r="K242" s="152" t="s">
        <v>1989</v>
      </c>
      <c r="L242" s="152" t="s">
        <v>1990</v>
      </c>
      <c r="M242" s="152"/>
      <c r="N242" s="152"/>
      <c r="O242" s="152"/>
      <c r="P242" s="152"/>
      <c r="Q242" s="152"/>
      <c r="R242" s="152"/>
      <c r="S242" s="152"/>
      <c r="T242" s="152"/>
      <c r="U242" s="152"/>
      <c r="V242" s="152"/>
      <c r="W242" s="152"/>
      <c r="X242" s="152"/>
      <c r="Y242" s="152"/>
      <c r="Z242" s="152"/>
    </row>
    <row r="243" hidden="1">
      <c r="A243" s="90" t="s">
        <v>78</v>
      </c>
      <c r="B243" s="219" t="s">
        <v>1992</v>
      </c>
      <c r="C243" s="28"/>
      <c r="D243" s="28"/>
      <c r="E243" s="28"/>
      <c r="F243" s="161">
        <v>115.0</v>
      </c>
      <c r="G243" s="152" t="str">
        <f>IFERROR(__xludf.DUMMYFUNCTION("TRIM(REGEXREPLACE(C243, ""[0-9]+[a-f]?\."", """"))"),"")</f>
        <v/>
      </c>
      <c r="H243" s="152" t="str">
        <f>IFERROR(__xludf.DUMMYFUNCTION("TRIM(REGEXREPLACE(D243, ""[0-9]+[a-f]?\."", """"))"),"")</f>
        <v/>
      </c>
      <c r="I243" s="152" t="str">
        <f>IFERROR(__xludf.DUMMYFUNCTION("TRIM(REGEXREPLACE(E243, ""[0-9]+[a-f]?\."", """"))"),"")</f>
        <v/>
      </c>
      <c r="J243" s="152" t="s">
        <v>1993</v>
      </c>
      <c r="K243" s="152" t="s">
        <v>1994</v>
      </c>
      <c r="L243" s="152" t="s">
        <v>1995</v>
      </c>
      <c r="M243" s="152"/>
      <c r="N243" s="152"/>
      <c r="O243" s="152"/>
      <c r="P243" s="152"/>
      <c r="Q243" s="152"/>
      <c r="R243" s="152"/>
      <c r="S243" s="152"/>
      <c r="T243" s="152"/>
      <c r="U243" s="152"/>
      <c r="V243" s="152"/>
      <c r="W243" s="152"/>
      <c r="X243" s="152"/>
      <c r="Y243" s="152"/>
      <c r="Z243" s="152"/>
    </row>
    <row r="244" hidden="1">
      <c r="A244" s="90" t="s">
        <v>78</v>
      </c>
      <c r="B244" s="219" t="s">
        <v>1999</v>
      </c>
      <c r="C244" s="28"/>
      <c r="D244" s="28"/>
      <c r="E244" s="28"/>
      <c r="F244" s="161">
        <v>116.0</v>
      </c>
      <c r="G244" s="152" t="str">
        <f>IFERROR(__xludf.DUMMYFUNCTION("TRIM(REGEXREPLACE(C244, ""[0-9]+[a-f]?\."", """"))"),"")</f>
        <v/>
      </c>
      <c r="H244" s="152" t="str">
        <f>IFERROR(__xludf.DUMMYFUNCTION("TRIM(REGEXREPLACE(D244, ""[0-9]+[a-f]?\."", """"))"),"")</f>
        <v/>
      </c>
      <c r="I244" s="152" t="str">
        <f>IFERROR(__xludf.DUMMYFUNCTION("TRIM(REGEXREPLACE(E244, ""[0-9]+[a-f]?\."", """"))"),"")</f>
        <v/>
      </c>
      <c r="J244" s="152" t="s">
        <v>2000</v>
      </c>
      <c r="K244" s="152" t="s">
        <v>2001</v>
      </c>
      <c r="L244" s="152" t="s">
        <v>2002</v>
      </c>
      <c r="M244" s="152"/>
      <c r="N244" s="152"/>
      <c r="O244" s="152"/>
      <c r="P244" s="152"/>
      <c r="Q244" s="152"/>
      <c r="R244" s="152"/>
      <c r="S244" s="152"/>
      <c r="T244" s="152"/>
      <c r="U244" s="152"/>
      <c r="V244" s="152"/>
      <c r="W244" s="152"/>
      <c r="X244" s="152"/>
      <c r="Y244" s="152"/>
      <c r="Z244" s="152"/>
    </row>
    <row r="245" hidden="1">
      <c r="A245" s="90" t="s">
        <v>78</v>
      </c>
      <c r="B245" s="219" t="s">
        <v>2004</v>
      </c>
      <c r="C245" s="28"/>
      <c r="D245" s="28"/>
      <c r="E245" s="28"/>
      <c r="F245" s="161">
        <v>117.0</v>
      </c>
      <c r="G245" s="152" t="str">
        <f>IFERROR(__xludf.DUMMYFUNCTION("TRIM(REGEXREPLACE(C245, ""[0-9]+[a-f]?\."", """"))"),"")</f>
        <v/>
      </c>
      <c r="H245" s="152" t="str">
        <f>IFERROR(__xludf.DUMMYFUNCTION("TRIM(REGEXREPLACE(D245, ""[0-9]+[a-f]?\."", """"))"),"")</f>
        <v/>
      </c>
      <c r="I245" s="152" t="str">
        <f>IFERROR(__xludf.DUMMYFUNCTION("TRIM(REGEXREPLACE(E245, ""[0-9]+[a-f]?\."", """"))"),"")</f>
        <v/>
      </c>
      <c r="J245" s="152" t="s">
        <v>2008</v>
      </c>
      <c r="K245" s="152" t="s">
        <v>2009</v>
      </c>
      <c r="L245" s="152" t="s">
        <v>2010</v>
      </c>
      <c r="M245" s="152"/>
      <c r="N245" s="152"/>
      <c r="O245" s="152"/>
      <c r="P245" s="152"/>
      <c r="Q245" s="152"/>
      <c r="R245" s="152"/>
      <c r="S245" s="152"/>
      <c r="T245" s="152"/>
      <c r="U245" s="152"/>
      <c r="V245" s="152"/>
      <c r="W245" s="152"/>
      <c r="X245" s="152"/>
      <c r="Y245" s="152"/>
      <c r="Z245" s="152"/>
    </row>
    <row r="246" hidden="1">
      <c r="A246" s="90" t="s">
        <v>78</v>
      </c>
      <c r="B246" s="219" t="s">
        <v>2011</v>
      </c>
      <c r="C246" s="28"/>
      <c r="D246" s="28"/>
      <c r="E246" s="28"/>
      <c r="F246" s="161">
        <v>105.0</v>
      </c>
      <c r="G246" s="152" t="str">
        <f>IFERROR(__xludf.DUMMYFUNCTION("TRIM(REGEXREPLACE(C246, ""[0-9]+[a-f]?\."", """"))"),"")</f>
        <v/>
      </c>
      <c r="H246" s="152" t="str">
        <f>IFERROR(__xludf.DUMMYFUNCTION("TRIM(REGEXREPLACE(D246, ""[0-9]+[a-f]?\."", """"))"),"")</f>
        <v/>
      </c>
      <c r="I246" s="152" t="str">
        <f>IFERROR(__xludf.DUMMYFUNCTION("TRIM(REGEXREPLACE(E246, ""[0-9]+[a-f]?\."", """"))"),"")</f>
        <v/>
      </c>
      <c r="J246" s="152" t="s">
        <v>2015</v>
      </c>
      <c r="K246" s="152" t="s">
        <v>2016</v>
      </c>
      <c r="L246" s="152" t="s">
        <v>2017</v>
      </c>
      <c r="M246" s="152"/>
      <c r="N246" s="152"/>
      <c r="O246" s="152"/>
      <c r="P246" s="152"/>
      <c r="Q246" s="152"/>
      <c r="R246" s="152"/>
      <c r="S246" s="152"/>
      <c r="T246" s="152"/>
      <c r="U246" s="152"/>
      <c r="V246" s="152"/>
      <c r="W246" s="152"/>
      <c r="X246" s="152"/>
      <c r="Y246" s="152"/>
      <c r="Z246" s="152"/>
    </row>
    <row r="247" hidden="1">
      <c r="A247" s="90" t="s">
        <v>78</v>
      </c>
      <c r="B247" s="219" t="s">
        <v>2018</v>
      </c>
      <c r="C247" s="28"/>
      <c r="D247" s="28"/>
      <c r="E247" s="28"/>
      <c r="F247" s="161">
        <v>37.0</v>
      </c>
      <c r="G247" s="152" t="str">
        <f>IFERROR(__xludf.DUMMYFUNCTION("TRIM(REGEXREPLACE(C247, ""[0-9]+[a-f]?\."", """"))"),"")</f>
        <v/>
      </c>
      <c r="H247" s="152" t="str">
        <f>IFERROR(__xludf.DUMMYFUNCTION("TRIM(REGEXREPLACE(D247, ""[0-9]+[a-f]?\."", """"))"),"")</f>
        <v/>
      </c>
      <c r="I247" s="152" t="str">
        <f>IFERROR(__xludf.DUMMYFUNCTION("TRIM(REGEXREPLACE(E247, ""[0-9]+[a-f]?\."", """"))"),"")</f>
        <v/>
      </c>
      <c r="J247" s="152" t="str">
        <f t="shared" ref="J247:L247" si="35">$F247 &amp; ". " &amp;G247</f>
        <v>37. </v>
      </c>
      <c r="K247" s="152" t="str">
        <f t="shared" si="35"/>
        <v>37. </v>
      </c>
      <c r="L247" s="152" t="str">
        <f t="shared" si="35"/>
        <v>37. </v>
      </c>
      <c r="M247" s="152"/>
      <c r="N247" s="152"/>
      <c r="O247" s="152"/>
      <c r="P247" s="152"/>
      <c r="Q247" s="152"/>
      <c r="R247" s="152"/>
      <c r="S247" s="152"/>
      <c r="T247" s="152"/>
      <c r="U247" s="152"/>
      <c r="V247" s="152"/>
      <c r="W247" s="152"/>
      <c r="X247" s="152"/>
      <c r="Y247" s="152"/>
      <c r="Z247" s="152"/>
    </row>
    <row r="248" hidden="1">
      <c r="A248" s="90" t="s">
        <v>78</v>
      </c>
      <c r="B248" s="219" t="s">
        <v>2023</v>
      </c>
      <c r="C248" s="28"/>
      <c r="D248" s="28"/>
      <c r="E248" s="28"/>
      <c r="F248" s="161">
        <v>38.0</v>
      </c>
      <c r="G248" s="152" t="str">
        <f>IFERROR(__xludf.DUMMYFUNCTION("TRIM(REGEXREPLACE(C248, ""[0-9]+[a-f]?\."", """"))"),"")</f>
        <v/>
      </c>
      <c r="H248" s="152" t="str">
        <f>IFERROR(__xludf.DUMMYFUNCTION("TRIM(REGEXREPLACE(D248, ""[0-9]+[a-f]?\."", """"))"),"")</f>
        <v/>
      </c>
      <c r="I248" s="152" t="str">
        <f>IFERROR(__xludf.DUMMYFUNCTION("TRIM(REGEXREPLACE(E248, ""[0-9]+[a-f]?\."", """"))"),"")</f>
        <v/>
      </c>
      <c r="J248" s="152" t="str">
        <f t="shared" ref="J248:L248" si="36">$F248 &amp; ". " &amp;G248</f>
        <v>38. </v>
      </c>
      <c r="K248" s="152" t="str">
        <f t="shared" si="36"/>
        <v>38. </v>
      </c>
      <c r="L248" s="152" t="str">
        <f t="shared" si="36"/>
        <v>38. </v>
      </c>
      <c r="M248" s="152"/>
      <c r="N248" s="152"/>
      <c r="O248" s="152"/>
      <c r="P248" s="152"/>
      <c r="Q248" s="152"/>
      <c r="R248" s="152"/>
      <c r="S248" s="152"/>
      <c r="T248" s="152"/>
      <c r="U248" s="152"/>
      <c r="V248" s="152"/>
      <c r="W248" s="152"/>
      <c r="X248" s="152"/>
      <c r="Y248" s="152"/>
      <c r="Z248" s="152"/>
    </row>
    <row r="249" hidden="1">
      <c r="A249" s="90" t="s">
        <v>78</v>
      </c>
      <c r="B249" s="219" t="s">
        <v>2027</v>
      </c>
      <c r="C249" s="28"/>
      <c r="D249" s="28"/>
      <c r="E249" s="28"/>
      <c r="F249" s="161">
        <v>39.0</v>
      </c>
      <c r="G249" s="152" t="str">
        <f>IFERROR(__xludf.DUMMYFUNCTION("TRIM(REGEXREPLACE(C249, ""[0-9]+[a-f]?\."", """"))"),"")</f>
        <v/>
      </c>
      <c r="H249" s="152" t="str">
        <f>IFERROR(__xludf.DUMMYFUNCTION("TRIM(REGEXREPLACE(D249, ""[0-9]+[a-f]?\."", """"))"),"")</f>
        <v/>
      </c>
      <c r="I249" s="152" t="str">
        <f>IFERROR(__xludf.DUMMYFUNCTION("TRIM(REGEXREPLACE(E249, ""[0-9]+[a-f]?\."", """"))"),"")</f>
        <v/>
      </c>
      <c r="J249" s="152" t="str">
        <f t="shared" ref="J249:L249" si="37">$F249 &amp; ". " &amp;G249</f>
        <v>39. </v>
      </c>
      <c r="K249" s="152" t="str">
        <f t="shared" si="37"/>
        <v>39. </v>
      </c>
      <c r="L249" s="152" t="str">
        <f t="shared" si="37"/>
        <v>39. </v>
      </c>
      <c r="M249" s="152"/>
      <c r="N249" s="152"/>
      <c r="O249" s="152"/>
      <c r="P249" s="152"/>
      <c r="Q249" s="152"/>
      <c r="R249" s="152"/>
      <c r="S249" s="152"/>
      <c r="T249" s="152"/>
      <c r="U249" s="152"/>
      <c r="V249" s="152"/>
      <c r="W249" s="152"/>
      <c r="X249" s="152"/>
      <c r="Y249" s="152"/>
      <c r="Z249" s="152"/>
    </row>
    <row r="250" hidden="1">
      <c r="A250" s="90" t="s">
        <v>78</v>
      </c>
      <c r="B250" s="219" t="s">
        <v>2029</v>
      </c>
      <c r="C250" s="28"/>
      <c r="D250" s="28"/>
      <c r="E250" s="28"/>
      <c r="F250" s="161">
        <v>40.0</v>
      </c>
      <c r="G250" s="152" t="str">
        <f>IFERROR(__xludf.DUMMYFUNCTION("TRIM(REGEXREPLACE(C250, ""[0-9]+[a-f]?\."", """"))"),"")</f>
        <v/>
      </c>
      <c r="H250" s="152" t="str">
        <f>IFERROR(__xludf.DUMMYFUNCTION("TRIM(REGEXREPLACE(D250, ""[0-9]+[a-f]?\."", """"))"),"")</f>
        <v/>
      </c>
      <c r="I250" s="152" t="str">
        <f>IFERROR(__xludf.DUMMYFUNCTION("TRIM(REGEXREPLACE(E250, ""[0-9]+[a-f]?\."", """"))"),"")</f>
        <v/>
      </c>
      <c r="J250" s="152" t="str">
        <f t="shared" ref="J250:L250" si="38">$F250 &amp; ". " &amp;G250</f>
        <v>40. </v>
      </c>
      <c r="K250" s="152" t="str">
        <f t="shared" si="38"/>
        <v>40. </v>
      </c>
      <c r="L250" s="152" t="str">
        <f t="shared" si="38"/>
        <v>40. </v>
      </c>
      <c r="M250" s="152"/>
      <c r="N250" s="152"/>
      <c r="O250" s="152"/>
      <c r="P250" s="152"/>
      <c r="Q250" s="152"/>
      <c r="R250" s="152"/>
      <c r="S250" s="152"/>
      <c r="T250" s="152"/>
      <c r="U250" s="152"/>
      <c r="V250" s="152"/>
      <c r="W250" s="152"/>
      <c r="X250" s="152"/>
      <c r="Y250" s="152"/>
      <c r="Z250" s="152"/>
    </row>
    <row r="251" hidden="1">
      <c r="A251" s="90" t="s">
        <v>78</v>
      </c>
      <c r="B251" s="219" t="s">
        <v>2030</v>
      </c>
      <c r="C251" s="28"/>
      <c r="D251" s="28"/>
      <c r="E251" s="28"/>
      <c r="F251" s="161">
        <v>116.0</v>
      </c>
      <c r="G251" s="152" t="str">
        <f>IFERROR(__xludf.DUMMYFUNCTION("TRIM(REGEXREPLACE(C251, ""[0-9]+[a-f]?\."", """"))"),"")</f>
        <v/>
      </c>
      <c r="H251" s="152" t="str">
        <f>IFERROR(__xludf.DUMMYFUNCTION("TRIM(REGEXREPLACE(D251, ""[0-9]+[a-f]?\."", """"))"),"")</f>
        <v/>
      </c>
      <c r="I251" s="152" t="str">
        <f>IFERROR(__xludf.DUMMYFUNCTION("TRIM(REGEXREPLACE(E251, ""[0-9]+[a-f]?\."", """"))"),"")</f>
        <v/>
      </c>
      <c r="J251" s="152" t="s">
        <v>2031</v>
      </c>
      <c r="K251" s="152" t="s">
        <v>2032</v>
      </c>
      <c r="L251" s="152" t="s">
        <v>2033</v>
      </c>
      <c r="M251" s="152"/>
      <c r="N251" s="152"/>
      <c r="O251" s="152"/>
      <c r="P251" s="152"/>
      <c r="Q251" s="152"/>
      <c r="R251" s="152"/>
      <c r="S251" s="152"/>
      <c r="T251" s="152"/>
      <c r="U251" s="152"/>
      <c r="V251" s="152"/>
      <c r="W251" s="152"/>
      <c r="X251" s="152"/>
      <c r="Y251" s="152"/>
      <c r="Z251" s="152"/>
    </row>
    <row r="252" hidden="1">
      <c r="A252" s="90" t="s">
        <v>78</v>
      </c>
      <c r="B252" s="219" t="s">
        <v>2039</v>
      </c>
      <c r="C252" s="28"/>
      <c r="D252" s="28"/>
      <c r="E252" s="28"/>
      <c r="F252" s="161">
        <v>41.0</v>
      </c>
      <c r="G252" s="152" t="str">
        <f>IFERROR(__xludf.DUMMYFUNCTION("TRIM(REGEXREPLACE(C252, ""[0-9]+[a-f]?\."", """"))"),"")</f>
        <v/>
      </c>
      <c r="H252" s="152" t="str">
        <f>IFERROR(__xludf.DUMMYFUNCTION("TRIM(REGEXREPLACE(D252, ""[0-9]+[a-f]?\."", """"))"),"")</f>
        <v/>
      </c>
      <c r="I252" s="152" t="str">
        <f>IFERROR(__xludf.DUMMYFUNCTION("TRIM(REGEXREPLACE(E252, ""[0-9]+[a-f]?\."", """"))"),"")</f>
        <v/>
      </c>
      <c r="J252" s="152" t="str">
        <f t="shared" ref="J252:L252" si="39">$F252 &amp; ". " &amp;G252</f>
        <v>41. </v>
      </c>
      <c r="K252" s="152" t="str">
        <f t="shared" si="39"/>
        <v>41. </v>
      </c>
      <c r="L252" s="152" t="str">
        <f t="shared" si="39"/>
        <v>41. </v>
      </c>
      <c r="M252" s="152"/>
      <c r="N252" s="152"/>
      <c r="O252" s="152"/>
      <c r="P252" s="152"/>
      <c r="Q252" s="152"/>
      <c r="R252" s="152"/>
      <c r="S252" s="152"/>
      <c r="T252" s="152"/>
      <c r="U252" s="152"/>
      <c r="V252" s="152"/>
      <c r="W252" s="152"/>
      <c r="X252" s="152"/>
      <c r="Y252" s="152"/>
      <c r="Z252" s="152"/>
    </row>
    <row r="253" hidden="1">
      <c r="A253" s="90" t="s">
        <v>78</v>
      </c>
      <c r="B253" s="219" t="s">
        <v>2042</v>
      </c>
      <c r="C253" s="28"/>
      <c r="D253" s="28"/>
      <c r="E253" s="28"/>
      <c r="F253" s="161">
        <v>42.0</v>
      </c>
      <c r="G253" s="152" t="str">
        <f>IFERROR(__xludf.DUMMYFUNCTION("TRIM(REGEXREPLACE(C253, ""[0-9]+[a-f]?\."", """"))"),"")</f>
        <v/>
      </c>
      <c r="H253" s="152" t="str">
        <f>IFERROR(__xludf.DUMMYFUNCTION("TRIM(REGEXREPLACE(D253, ""[0-9]+[a-f]?\."", """"))"),"")</f>
        <v/>
      </c>
      <c r="I253" s="152" t="str">
        <f>IFERROR(__xludf.DUMMYFUNCTION("TRIM(REGEXREPLACE(E253, ""[0-9]+[a-f]?\."", """"))"),"")</f>
        <v/>
      </c>
      <c r="J253" s="152" t="str">
        <f t="shared" ref="J253:L253" si="40">$F253 &amp; ". " &amp;G253</f>
        <v>42. </v>
      </c>
      <c r="K253" s="152" t="str">
        <f t="shared" si="40"/>
        <v>42. </v>
      </c>
      <c r="L253" s="152" t="str">
        <f t="shared" si="40"/>
        <v>42. </v>
      </c>
      <c r="M253" s="152"/>
      <c r="N253" s="152"/>
      <c r="O253" s="152"/>
      <c r="P253" s="152"/>
      <c r="Q253" s="152"/>
      <c r="R253" s="152"/>
      <c r="S253" s="152"/>
      <c r="T253" s="152"/>
      <c r="U253" s="152"/>
      <c r="V253" s="152"/>
      <c r="W253" s="152"/>
      <c r="X253" s="152"/>
      <c r="Y253" s="152"/>
      <c r="Z253" s="152"/>
    </row>
    <row r="254" hidden="1">
      <c r="A254" s="90" t="s">
        <v>78</v>
      </c>
      <c r="B254" s="219" t="s">
        <v>2045</v>
      </c>
      <c r="C254" s="28"/>
      <c r="D254" s="28"/>
      <c r="E254" s="28"/>
      <c r="F254" s="161">
        <v>112.0</v>
      </c>
      <c r="G254" s="152" t="str">
        <f>IFERROR(__xludf.DUMMYFUNCTION("TRIM(REGEXREPLACE(C254, ""[0-9]+[a-f]?\."", """"))"),"")</f>
        <v/>
      </c>
      <c r="H254" s="152" t="str">
        <f>IFERROR(__xludf.DUMMYFUNCTION("TRIM(REGEXREPLACE(D254, ""[0-9]+[a-f]?\."", """"))"),"")</f>
        <v/>
      </c>
      <c r="I254" s="152" t="str">
        <f>IFERROR(__xludf.DUMMYFUNCTION("TRIM(REGEXREPLACE(E254, ""[0-9]+[a-f]?\."", """"))"),"")</f>
        <v/>
      </c>
      <c r="J254" s="152" t="s">
        <v>2049</v>
      </c>
      <c r="K254" s="152" t="s">
        <v>2050</v>
      </c>
      <c r="L254" s="152" t="s">
        <v>2051</v>
      </c>
      <c r="M254" s="152"/>
      <c r="N254" s="152"/>
      <c r="O254" s="152"/>
      <c r="P254" s="152"/>
      <c r="Q254" s="152"/>
      <c r="R254" s="152"/>
      <c r="S254" s="152"/>
      <c r="T254" s="152"/>
      <c r="U254" s="152"/>
      <c r="V254" s="152"/>
      <c r="W254" s="152"/>
      <c r="X254" s="152"/>
      <c r="Y254" s="152"/>
      <c r="Z254" s="152"/>
    </row>
    <row r="255" hidden="1">
      <c r="A255" s="90" t="s">
        <v>78</v>
      </c>
      <c r="B255" s="219" t="s">
        <v>2052</v>
      </c>
      <c r="C255" s="28"/>
      <c r="D255" s="28"/>
      <c r="E255" s="28"/>
      <c r="F255" s="161">
        <v>113.0</v>
      </c>
      <c r="G255" s="152" t="str">
        <f>IFERROR(__xludf.DUMMYFUNCTION("TRIM(REGEXREPLACE(C255, ""[0-9]+[a-f]?\."", """"))"),"")</f>
        <v/>
      </c>
      <c r="H255" s="152" t="str">
        <f>IFERROR(__xludf.DUMMYFUNCTION("TRIM(REGEXREPLACE(D255, ""[0-9]+[a-f]?\."", """"))"),"")</f>
        <v/>
      </c>
      <c r="I255" s="152" t="str">
        <f>IFERROR(__xludf.DUMMYFUNCTION("TRIM(REGEXREPLACE(E255, ""[0-9]+[a-f]?\."", """"))"),"")</f>
        <v/>
      </c>
      <c r="J255" s="152" t="s">
        <v>2056</v>
      </c>
      <c r="K255" s="152" t="s">
        <v>2057</v>
      </c>
      <c r="L255" s="152" t="s">
        <v>2058</v>
      </c>
      <c r="M255" s="152"/>
      <c r="N255" s="152"/>
      <c r="O255" s="152"/>
      <c r="P255" s="152"/>
      <c r="Q255" s="152"/>
      <c r="R255" s="152"/>
      <c r="S255" s="152"/>
      <c r="T255" s="152"/>
      <c r="U255" s="152"/>
      <c r="V255" s="152"/>
      <c r="W255" s="152"/>
      <c r="X255" s="152"/>
      <c r="Y255" s="152"/>
      <c r="Z255" s="152"/>
    </row>
    <row r="256" hidden="1">
      <c r="A256" s="90" t="s">
        <v>78</v>
      </c>
      <c r="B256" s="219" t="s">
        <v>2059</v>
      </c>
      <c r="C256" s="28"/>
      <c r="D256" s="28"/>
      <c r="E256" s="28"/>
      <c r="F256" s="161">
        <v>43.0</v>
      </c>
      <c r="G256" s="152" t="str">
        <f>IFERROR(__xludf.DUMMYFUNCTION("TRIM(REGEXREPLACE(C256, ""[0-9]+[a-f]?\."", """"))"),"")</f>
        <v/>
      </c>
      <c r="H256" s="152" t="str">
        <f>IFERROR(__xludf.DUMMYFUNCTION("TRIM(REGEXREPLACE(D256, ""[0-9]+[a-f]?\."", """"))"),"")</f>
        <v/>
      </c>
      <c r="I256" s="152" t="str">
        <f>IFERROR(__xludf.DUMMYFUNCTION("TRIM(REGEXREPLACE(E256, ""[0-9]+[a-f]?\."", """"))"),"")</f>
        <v/>
      </c>
      <c r="J256" s="152" t="str">
        <f t="shared" ref="J256:L256" si="41">$F256 &amp; ". " &amp;G256</f>
        <v>43. </v>
      </c>
      <c r="K256" s="152" t="str">
        <f t="shared" si="41"/>
        <v>43. </v>
      </c>
      <c r="L256" s="152" t="str">
        <f t="shared" si="41"/>
        <v>43. </v>
      </c>
      <c r="M256" s="152"/>
      <c r="N256" s="152"/>
      <c r="O256" s="152"/>
      <c r="P256" s="152"/>
      <c r="Q256" s="152"/>
      <c r="R256" s="152"/>
      <c r="S256" s="152"/>
      <c r="T256" s="152"/>
      <c r="U256" s="152"/>
      <c r="V256" s="152"/>
      <c r="W256" s="152"/>
      <c r="X256" s="152"/>
      <c r="Y256" s="152"/>
      <c r="Z256" s="152"/>
    </row>
    <row r="257" hidden="1">
      <c r="A257" s="90" t="s">
        <v>78</v>
      </c>
      <c r="B257" s="219" t="s">
        <v>2064</v>
      </c>
      <c r="C257" s="28"/>
      <c r="D257" s="28"/>
      <c r="E257" s="28"/>
      <c r="F257" s="161">
        <v>44.0</v>
      </c>
      <c r="G257" s="152" t="str">
        <f>IFERROR(__xludf.DUMMYFUNCTION("TRIM(REGEXREPLACE(C257, ""[0-9]+[a-f]?\."", """"))"),"")</f>
        <v/>
      </c>
      <c r="H257" s="152" t="str">
        <f>IFERROR(__xludf.DUMMYFUNCTION("TRIM(REGEXREPLACE(D257, ""[0-9]+[a-f]?\."", """"))"),"")</f>
        <v/>
      </c>
      <c r="I257" s="152" t="str">
        <f>IFERROR(__xludf.DUMMYFUNCTION("TRIM(REGEXREPLACE(E257, ""[0-9]+[a-f]?\."", """"))"),"")</f>
        <v/>
      </c>
      <c r="J257" s="152" t="str">
        <f t="shared" ref="J257:L257" si="42">$F257 &amp; ". " &amp;G257</f>
        <v>44. </v>
      </c>
      <c r="K257" s="152" t="str">
        <f t="shared" si="42"/>
        <v>44. </v>
      </c>
      <c r="L257" s="152" t="str">
        <f t="shared" si="42"/>
        <v>44. </v>
      </c>
      <c r="M257" s="152"/>
      <c r="N257" s="152"/>
      <c r="O257" s="152"/>
      <c r="P257" s="152"/>
      <c r="Q257" s="152"/>
      <c r="R257" s="152"/>
      <c r="S257" s="152"/>
      <c r="T257" s="152"/>
      <c r="U257" s="152"/>
      <c r="V257" s="152"/>
      <c r="W257" s="152"/>
      <c r="X257" s="152"/>
      <c r="Y257" s="152"/>
      <c r="Z257" s="152"/>
    </row>
    <row r="258" hidden="1">
      <c r="A258" s="90" t="s">
        <v>78</v>
      </c>
      <c r="B258" s="219" t="s">
        <v>2065</v>
      </c>
      <c r="C258" s="28"/>
      <c r="D258" s="28"/>
      <c r="E258" s="28"/>
      <c r="F258" s="161">
        <v>45.0</v>
      </c>
      <c r="G258" s="152" t="str">
        <f>IFERROR(__xludf.DUMMYFUNCTION("TRIM(REGEXREPLACE(C258, ""[0-9]+[a-f]?\."", """"))"),"")</f>
        <v/>
      </c>
      <c r="H258" s="152" t="str">
        <f>IFERROR(__xludf.DUMMYFUNCTION("TRIM(REGEXREPLACE(D258, ""[0-9]+[a-f]?\."", """"))"),"")</f>
        <v/>
      </c>
      <c r="I258" s="152" t="str">
        <f>IFERROR(__xludf.DUMMYFUNCTION("TRIM(REGEXREPLACE(E258, ""[0-9]+[a-f]?\."", """"))"),"")</f>
        <v/>
      </c>
      <c r="J258" s="152" t="str">
        <f t="shared" ref="J258:L258" si="43">$F258 &amp; ". " &amp;G258</f>
        <v>45. </v>
      </c>
      <c r="K258" s="152" t="str">
        <f t="shared" si="43"/>
        <v>45. </v>
      </c>
      <c r="L258" s="152" t="str">
        <f t="shared" si="43"/>
        <v>45. </v>
      </c>
      <c r="M258" s="152"/>
      <c r="N258" s="152"/>
      <c r="O258" s="152"/>
      <c r="P258" s="152"/>
      <c r="Q258" s="152"/>
      <c r="R258" s="152"/>
      <c r="S258" s="152"/>
      <c r="T258" s="152"/>
      <c r="U258" s="152"/>
      <c r="V258" s="152"/>
      <c r="W258" s="152"/>
      <c r="X258" s="152"/>
      <c r="Y258" s="152"/>
      <c r="Z258" s="152"/>
    </row>
    <row r="259" hidden="1">
      <c r="A259" s="90" t="s">
        <v>78</v>
      </c>
      <c r="B259" s="219" t="s">
        <v>2067</v>
      </c>
      <c r="C259" s="28"/>
      <c r="D259" s="28"/>
      <c r="E259" s="28"/>
      <c r="F259" s="161">
        <v>46.0</v>
      </c>
      <c r="G259" s="152" t="str">
        <f>IFERROR(__xludf.DUMMYFUNCTION("TRIM(REGEXREPLACE(C259, ""[0-9]+[a-f]?\."", """"))"),"")</f>
        <v/>
      </c>
      <c r="H259" s="152" t="str">
        <f>IFERROR(__xludf.DUMMYFUNCTION("TRIM(REGEXREPLACE(D259, ""[0-9]+[a-f]?\."", """"))"),"")</f>
        <v/>
      </c>
      <c r="I259" s="152" t="str">
        <f>IFERROR(__xludf.DUMMYFUNCTION("TRIM(REGEXREPLACE(E259, ""[0-9]+[a-f]?\."", """"))"),"")</f>
        <v/>
      </c>
      <c r="J259" s="152" t="str">
        <f t="shared" ref="J259:L259" si="44">$F259 &amp; ". " &amp;G259</f>
        <v>46. </v>
      </c>
      <c r="K259" s="152" t="str">
        <f t="shared" si="44"/>
        <v>46. </v>
      </c>
      <c r="L259" s="152" t="str">
        <f t="shared" si="44"/>
        <v>46. </v>
      </c>
      <c r="M259" s="152"/>
      <c r="N259" s="152"/>
      <c r="O259" s="152"/>
      <c r="P259" s="152"/>
      <c r="Q259" s="152"/>
      <c r="R259" s="152"/>
      <c r="S259" s="152"/>
      <c r="T259" s="152"/>
      <c r="U259" s="152"/>
      <c r="V259" s="152"/>
      <c r="W259" s="152"/>
      <c r="X259" s="152"/>
      <c r="Y259" s="152"/>
      <c r="Z259" s="152"/>
    </row>
    <row r="260" hidden="1">
      <c r="A260" s="90" t="s">
        <v>78</v>
      </c>
      <c r="B260" s="219" t="s">
        <v>2068</v>
      </c>
      <c r="C260" s="28"/>
      <c r="D260" s="28"/>
      <c r="E260" s="28"/>
      <c r="F260" s="161">
        <v>47.0</v>
      </c>
      <c r="G260" s="152" t="str">
        <f>IFERROR(__xludf.DUMMYFUNCTION("TRIM(REGEXREPLACE(C260, ""[0-9]+[a-f]?\."", """"))"),"")</f>
        <v/>
      </c>
      <c r="H260" s="152" t="str">
        <f>IFERROR(__xludf.DUMMYFUNCTION("TRIM(REGEXREPLACE(D260, ""[0-9]+[a-f]?\."", """"))"),"")</f>
        <v/>
      </c>
      <c r="I260" s="152" t="str">
        <f>IFERROR(__xludf.DUMMYFUNCTION("TRIM(REGEXREPLACE(E260, ""[0-9]+[a-f]?\."", """"))"),"")</f>
        <v/>
      </c>
      <c r="J260" s="152" t="str">
        <f t="shared" ref="J260:L260" si="45">$F260 &amp; ". " &amp;G260</f>
        <v>47. </v>
      </c>
      <c r="K260" s="152" t="str">
        <f t="shared" si="45"/>
        <v>47. </v>
      </c>
      <c r="L260" s="152" t="str">
        <f t="shared" si="45"/>
        <v>47. </v>
      </c>
      <c r="M260" s="152"/>
      <c r="N260" s="152"/>
      <c r="O260" s="152"/>
      <c r="P260" s="152"/>
      <c r="Q260" s="152"/>
      <c r="R260" s="152"/>
      <c r="S260" s="152"/>
      <c r="T260" s="152"/>
      <c r="U260" s="152"/>
      <c r="V260" s="152"/>
      <c r="W260" s="152"/>
      <c r="X260" s="152"/>
      <c r="Y260" s="152"/>
      <c r="Z260" s="152"/>
    </row>
    <row r="261" hidden="1">
      <c r="A261" s="90" t="s">
        <v>78</v>
      </c>
      <c r="B261" s="219" t="s">
        <v>2074</v>
      </c>
      <c r="C261" s="28"/>
      <c r="D261" s="28"/>
      <c r="E261" s="28"/>
      <c r="F261" s="161">
        <v>48.0</v>
      </c>
      <c r="G261" s="152" t="str">
        <f>IFERROR(__xludf.DUMMYFUNCTION("TRIM(REGEXREPLACE(C261, ""[0-9]+[a-f]?\."", """"))"),"")</f>
        <v/>
      </c>
      <c r="H261" s="152" t="str">
        <f>IFERROR(__xludf.DUMMYFUNCTION("TRIM(REGEXREPLACE(D261, ""[0-9]+[a-f]?\."", """"))"),"")</f>
        <v/>
      </c>
      <c r="I261" s="152" t="str">
        <f>IFERROR(__xludf.DUMMYFUNCTION("TRIM(REGEXREPLACE(E261, ""[0-9]+[a-f]?\."", """"))"),"")</f>
        <v/>
      </c>
      <c r="J261" s="152" t="str">
        <f t="shared" ref="J261:L261" si="46">$F261 &amp; ". " &amp;G261</f>
        <v>48. </v>
      </c>
      <c r="K261" s="152" t="str">
        <f t="shared" si="46"/>
        <v>48. </v>
      </c>
      <c r="L261" s="152" t="str">
        <f t="shared" si="46"/>
        <v>48. </v>
      </c>
      <c r="M261" s="152"/>
      <c r="N261" s="152"/>
      <c r="O261" s="152"/>
      <c r="P261" s="152"/>
      <c r="Q261" s="152"/>
      <c r="R261" s="152"/>
      <c r="S261" s="152"/>
      <c r="T261" s="152"/>
      <c r="U261" s="152"/>
      <c r="V261" s="152"/>
      <c r="W261" s="152"/>
      <c r="X261" s="152"/>
      <c r="Y261" s="152"/>
      <c r="Z261" s="152"/>
    </row>
    <row r="262" hidden="1">
      <c r="A262" s="90" t="s">
        <v>78</v>
      </c>
      <c r="B262" s="219" t="s">
        <v>2078</v>
      </c>
      <c r="C262" s="28"/>
      <c r="D262" s="28"/>
      <c r="E262" s="28"/>
      <c r="F262" s="161">
        <v>49.0</v>
      </c>
      <c r="G262" s="152" t="str">
        <f>IFERROR(__xludf.DUMMYFUNCTION("TRIM(REGEXREPLACE(C262, ""[0-9]+[a-f]?\."", """"))"),"")</f>
        <v/>
      </c>
      <c r="H262" s="152" t="str">
        <f>IFERROR(__xludf.DUMMYFUNCTION("TRIM(REGEXREPLACE(D262, ""[0-9]+[a-f]?\."", """"))"),"")</f>
        <v/>
      </c>
      <c r="I262" s="152" t="str">
        <f>IFERROR(__xludf.DUMMYFUNCTION("TRIM(REGEXREPLACE(E262, ""[0-9]+[a-f]?\."", """"))"),"")</f>
        <v/>
      </c>
      <c r="J262" s="152" t="str">
        <f t="shared" ref="J262:L262" si="47">$F262 &amp; ". " &amp;G262</f>
        <v>49. </v>
      </c>
      <c r="K262" s="152" t="str">
        <f t="shared" si="47"/>
        <v>49. </v>
      </c>
      <c r="L262" s="152" t="str">
        <f t="shared" si="47"/>
        <v>49. </v>
      </c>
      <c r="M262" s="152"/>
      <c r="N262" s="152"/>
      <c r="O262" s="152"/>
      <c r="P262" s="152"/>
      <c r="Q262" s="152"/>
      <c r="R262" s="152"/>
      <c r="S262" s="152"/>
      <c r="T262" s="152"/>
      <c r="U262" s="152"/>
      <c r="V262" s="152"/>
      <c r="W262" s="152"/>
      <c r="X262" s="152"/>
      <c r="Y262" s="152"/>
      <c r="Z262" s="152"/>
    </row>
    <row r="263" hidden="1">
      <c r="A263" s="90" t="s">
        <v>78</v>
      </c>
      <c r="B263" s="219" t="s">
        <v>2080</v>
      </c>
      <c r="C263" s="28"/>
      <c r="D263" s="28"/>
      <c r="E263" s="28"/>
      <c r="F263" s="161">
        <v>50.0</v>
      </c>
      <c r="G263" s="152" t="str">
        <f>IFERROR(__xludf.DUMMYFUNCTION("TRIM(REGEXREPLACE(C263, ""[0-9]+[a-f]?\."", """"))"),"")</f>
        <v/>
      </c>
      <c r="H263" s="152" t="str">
        <f>IFERROR(__xludf.DUMMYFUNCTION("TRIM(REGEXREPLACE(D263, ""[0-9]+[a-f]?\."", """"))"),"")</f>
        <v/>
      </c>
      <c r="I263" s="152" t="str">
        <f>IFERROR(__xludf.DUMMYFUNCTION("TRIM(REGEXREPLACE(E263, ""[0-9]+[a-f]?\."", """"))"),"")</f>
        <v/>
      </c>
      <c r="J263" s="152" t="str">
        <f t="shared" ref="J263:L263" si="48">$F263 &amp; ". " &amp;G263</f>
        <v>50. </v>
      </c>
      <c r="K263" s="152" t="str">
        <f t="shared" si="48"/>
        <v>50. </v>
      </c>
      <c r="L263" s="152" t="str">
        <f t="shared" si="48"/>
        <v>50. </v>
      </c>
      <c r="M263" s="152"/>
      <c r="N263" s="152"/>
      <c r="O263" s="152"/>
      <c r="P263" s="152"/>
      <c r="Q263" s="152"/>
      <c r="R263" s="152"/>
      <c r="S263" s="152"/>
      <c r="T263" s="152"/>
      <c r="U263" s="152"/>
      <c r="V263" s="152"/>
      <c r="W263" s="152"/>
      <c r="X263" s="152"/>
      <c r="Y263" s="152"/>
      <c r="Z263" s="152"/>
    </row>
    <row r="264" hidden="1">
      <c r="A264" s="90" t="s">
        <v>78</v>
      </c>
      <c r="B264" s="219" t="s">
        <v>2084</v>
      </c>
      <c r="C264" s="28"/>
      <c r="D264" s="28"/>
      <c r="E264" s="28"/>
      <c r="F264" s="161">
        <v>51.0</v>
      </c>
      <c r="G264" s="152" t="str">
        <f>IFERROR(__xludf.DUMMYFUNCTION("TRIM(REGEXREPLACE(C264, ""[0-9]+[a-f]?\."", """"))"),"")</f>
        <v/>
      </c>
      <c r="H264" s="152" t="str">
        <f>IFERROR(__xludf.DUMMYFUNCTION("TRIM(REGEXREPLACE(D264, ""[0-9]+[a-f]?\."", """"))"),"")</f>
        <v/>
      </c>
      <c r="I264" s="152" t="str">
        <f>IFERROR(__xludf.DUMMYFUNCTION("TRIM(REGEXREPLACE(E264, ""[0-9]+[a-f]?\."", """"))"),"")</f>
        <v/>
      </c>
      <c r="J264" s="152" t="str">
        <f t="shared" ref="J264:L264" si="49">$F264 &amp; ". " &amp;G264</f>
        <v>51. </v>
      </c>
      <c r="K264" s="152" t="str">
        <f t="shared" si="49"/>
        <v>51. </v>
      </c>
      <c r="L264" s="152" t="str">
        <f t="shared" si="49"/>
        <v>51. </v>
      </c>
      <c r="M264" s="152"/>
      <c r="N264" s="152"/>
      <c r="O264" s="152"/>
      <c r="P264" s="152"/>
      <c r="Q264" s="152"/>
      <c r="R264" s="152"/>
      <c r="S264" s="152"/>
      <c r="T264" s="152"/>
      <c r="U264" s="152"/>
      <c r="V264" s="152"/>
      <c r="W264" s="152"/>
      <c r="X264" s="152"/>
      <c r="Y264" s="152"/>
      <c r="Z264" s="152"/>
    </row>
    <row r="265" hidden="1">
      <c r="A265" s="90" t="s">
        <v>78</v>
      </c>
      <c r="B265" s="219" t="s">
        <v>2088</v>
      </c>
      <c r="C265" s="28"/>
      <c r="D265" s="28"/>
      <c r="E265" s="28"/>
      <c r="F265" s="153"/>
      <c r="G265" s="152" t="str">
        <f>IFERROR(__xludf.DUMMYFUNCTION("TRIM(REGEXREPLACE(C265, ""[0-9]+[a-f]?\."", """"))"),"")</f>
        <v/>
      </c>
      <c r="H265" s="152" t="str">
        <f>IFERROR(__xludf.DUMMYFUNCTION("TRIM(REGEXREPLACE(D265, ""[0-9]+[a-f]?\."", """"))"),"")</f>
        <v/>
      </c>
      <c r="I265" s="152" t="str">
        <f>IFERROR(__xludf.DUMMYFUNCTION("TRIM(REGEXREPLACE(E265, ""[0-9]+[a-f]?\."", """"))"),"")</f>
        <v/>
      </c>
      <c r="J265" s="152" t="s">
        <v>2089</v>
      </c>
      <c r="K265" s="152" t="s">
        <v>2090</v>
      </c>
      <c r="L265" s="152" t="s">
        <v>2091</v>
      </c>
      <c r="M265" s="152"/>
      <c r="N265" s="152"/>
      <c r="O265" s="152"/>
      <c r="P265" s="152"/>
      <c r="Q265" s="152"/>
      <c r="R265" s="152"/>
      <c r="S265" s="152"/>
      <c r="T265" s="152"/>
      <c r="U265" s="152"/>
      <c r="V265" s="152"/>
      <c r="W265" s="152"/>
      <c r="X265" s="152"/>
      <c r="Y265" s="152"/>
      <c r="Z265" s="152"/>
    </row>
    <row r="266" hidden="1">
      <c r="A266" s="90" t="s">
        <v>78</v>
      </c>
      <c r="B266" s="219" t="s">
        <v>2096</v>
      </c>
      <c r="C266" s="28"/>
      <c r="D266" s="28"/>
      <c r="E266" s="28"/>
      <c r="F266" s="161">
        <v>132.0</v>
      </c>
      <c r="G266" s="152" t="str">
        <f>IFERROR(__xludf.DUMMYFUNCTION("TRIM(REGEXREPLACE(C266, ""[0-9]+[a-f]?\."", """"))"),"")</f>
        <v/>
      </c>
      <c r="H266" s="152" t="str">
        <f>IFERROR(__xludf.DUMMYFUNCTION("TRIM(REGEXREPLACE(D266, ""[0-9]+[a-f]?\."", """"))"),"")</f>
        <v/>
      </c>
      <c r="I266" s="152" t="str">
        <f>IFERROR(__xludf.DUMMYFUNCTION("TRIM(REGEXREPLACE(E266, ""[0-9]+[a-f]?\."", """"))"),"")</f>
        <v/>
      </c>
      <c r="J266" s="152" t="s">
        <v>2097</v>
      </c>
      <c r="K266" s="152" t="s">
        <v>2098</v>
      </c>
      <c r="L266" s="152" t="s">
        <v>2099</v>
      </c>
    </row>
    <row r="267" hidden="1">
      <c r="A267" s="90" t="s">
        <v>78</v>
      </c>
      <c r="B267" s="219" t="s">
        <v>2100</v>
      </c>
      <c r="C267" s="28"/>
      <c r="D267" s="28"/>
      <c r="E267" s="28"/>
      <c r="F267" s="161">
        <v>123.0</v>
      </c>
      <c r="G267" s="152" t="str">
        <f>IFERROR(__xludf.DUMMYFUNCTION("TRIM(REGEXREPLACE(C267, ""[0-9]+[a-f]?\."", """"))"),"")</f>
        <v/>
      </c>
      <c r="H267" s="152" t="str">
        <f>IFERROR(__xludf.DUMMYFUNCTION("TRIM(REGEXREPLACE(D267, ""[0-9]+[a-f]?\."", """"))"),"")</f>
        <v/>
      </c>
      <c r="I267" s="152" t="str">
        <f>IFERROR(__xludf.DUMMYFUNCTION("TRIM(REGEXREPLACE(E267, ""[0-9]+[a-f]?\."", """"))"),"")</f>
        <v/>
      </c>
      <c r="J267" s="152" t="s">
        <v>2104</v>
      </c>
      <c r="K267" s="152" t="s">
        <v>2105</v>
      </c>
      <c r="L267" s="152" t="s">
        <v>2106</v>
      </c>
      <c r="M267" s="152"/>
    </row>
    <row r="268" hidden="1">
      <c r="A268" s="90" t="s">
        <v>78</v>
      </c>
      <c r="B268" s="219" t="s">
        <v>2107</v>
      </c>
      <c r="C268" s="28"/>
      <c r="D268" s="28"/>
      <c r="E268" s="28"/>
      <c r="F268" s="161">
        <v>124.0</v>
      </c>
      <c r="G268" s="152" t="str">
        <f>IFERROR(__xludf.DUMMYFUNCTION("TRIM(REGEXREPLACE(C268, ""[0-9]+[a-f]?\."", """"))"),"")</f>
        <v/>
      </c>
      <c r="H268" s="152" t="str">
        <f>IFERROR(__xludf.DUMMYFUNCTION("TRIM(REGEXREPLACE(D268, ""[0-9]+[a-f]?\."", """"))"),"")</f>
        <v/>
      </c>
      <c r="I268" s="152" t="str">
        <f>IFERROR(__xludf.DUMMYFUNCTION("TRIM(REGEXREPLACE(E268, ""[0-9]+[a-f]?\."", """"))"),"")</f>
        <v/>
      </c>
      <c r="J268" s="152" t="s">
        <v>2108</v>
      </c>
      <c r="K268" s="152" t="s">
        <v>2109</v>
      </c>
      <c r="L268" s="152" t="s">
        <v>2110</v>
      </c>
    </row>
    <row r="269" hidden="1">
      <c r="A269" s="90" t="s">
        <v>78</v>
      </c>
      <c r="B269" s="219" t="s">
        <v>2111</v>
      </c>
      <c r="C269" s="28"/>
      <c r="D269" s="28"/>
      <c r="E269" s="28"/>
      <c r="F269" s="161">
        <v>52.0</v>
      </c>
      <c r="G269" s="152" t="str">
        <f>IFERROR(__xludf.DUMMYFUNCTION("TRIM(REGEXREPLACE(C269, ""[0-9]+[a-f]?\."", """"))"),"")</f>
        <v/>
      </c>
      <c r="H269" s="152" t="str">
        <f>IFERROR(__xludf.DUMMYFUNCTION("TRIM(REGEXREPLACE(D269, ""[0-9]+[a-f]?\."", """"))"),"")</f>
        <v/>
      </c>
      <c r="I269" s="152" t="str">
        <f>IFERROR(__xludf.DUMMYFUNCTION("TRIM(REGEXREPLACE(E269, ""[0-9]+[a-f]?\."", """"))"),"")</f>
        <v/>
      </c>
      <c r="J269" s="152" t="str">
        <f t="shared" ref="J269:L269" si="50">$F269 &amp; ". " &amp;G269</f>
        <v>52. </v>
      </c>
      <c r="K269" s="152" t="str">
        <f t="shared" si="50"/>
        <v>52. </v>
      </c>
      <c r="L269" s="152" t="str">
        <f t="shared" si="50"/>
        <v>52. </v>
      </c>
    </row>
    <row r="270" hidden="1">
      <c r="A270" s="90" t="s">
        <v>78</v>
      </c>
      <c r="B270" s="219" t="s">
        <v>2113</v>
      </c>
      <c r="C270" s="28"/>
      <c r="D270" s="28"/>
      <c r="E270" s="28"/>
      <c r="F270" s="161">
        <v>53.0</v>
      </c>
      <c r="G270" s="152" t="str">
        <f>IFERROR(__xludf.DUMMYFUNCTION("TRIM(REGEXREPLACE(C270, ""[0-9]+[a-f]?\."", """"))"),"")</f>
        <v/>
      </c>
      <c r="H270" s="152" t="str">
        <f>IFERROR(__xludf.DUMMYFUNCTION("TRIM(REGEXREPLACE(D270, ""[0-9]+[a-f]?\."", """"))"),"")</f>
        <v/>
      </c>
      <c r="I270" s="152" t="str">
        <f>IFERROR(__xludf.DUMMYFUNCTION("TRIM(REGEXREPLACE(E270, ""[0-9]+[a-f]?\."", """"))"),"")</f>
        <v/>
      </c>
      <c r="J270" s="152" t="str">
        <f t="shared" ref="J270:L270" si="51">$F270 &amp; ". " &amp;G270</f>
        <v>53. </v>
      </c>
      <c r="K270" s="152" t="str">
        <f t="shared" si="51"/>
        <v>53. </v>
      </c>
      <c r="L270" s="152" t="str">
        <f t="shared" si="51"/>
        <v>53. </v>
      </c>
    </row>
    <row r="271" hidden="1">
      <c r="A271" s="174" t="s">
        <v>698</v>
      </c>
      <c r="B271" s="226" t="s">
        <v>2114</v>
      </c>
      <c r="C271" s="28" t="s">
        <v>2115</v>
      </c>
      <c r="D271" s="28"/>
      <c r="E271" s="28"/>
      <c r="F271" s="161">
        <v>127.0</v>
      </c>
      <c r="G271" s="152" t="str">
        <f>IFERROR(__xludf.DUMMYFUNCTION("TRIM(REGEXREPLACE(C271, ""[0-9]+[a-f]?\."", """"))"),"Create line separate list of hh members")</f>
        <v>Create line separate list of hh members</v>
      </c>
      <c r="H271" s="152" t="str">
        <f>IFERROR(__xludf.DUMMYFUNCTION("TRIM(REGEXREPLACE(D271, ""[0-9]+[a-f]?\."", """"))"),"")</f>
        <v/>
      </c>
      <c r="I271" s="152" t="str">
        <f>IFERROR(__xludf.DUMMYFUNCTION("TRIM(REGEXREPLACE(E271, ""[0-9]+[a-f]?\."", """"))"),"")</f>
        <v/>
      </c>
      <c r="J271" s="152" t="s">
        <v>2116</v>
      </c>
      <c r="K271" s="152" t="s">
        <v>2117</v>
      </c>
      <c r="L271" s="152" t="s">
        <v>2118</v>
      </c>
      <c r="M271" s="152"/>
    </row>
    <row r="272" hidden="1">
      <c r="A272" s="90" t="s">
        <v>78</v>
      </c>
      <c r="B272" s="154" t="s">
        <v>2120</v>
      </c>
      <c r="C272" s="28"/>
      <c r="D272" s="28"/>
      <c r="E272" s="28"/>
      <c r="F272" s="161">
        <v>134.0</v>
      </c>
      <c r="G272" s="152" t="str">
        <f>IFERROR(__xludf.DUMMYFUNCTION("TRIM(REGEXREPLACE(C272, ""[0-9]+[a-f]?\."", """"))"),"")</f>
        <v/>
      </c>
      <c r="H272" s="152" t="str">
        <f>IFERROR(__xludf.DUMMYFUNCTION("TRIM(REGEXREPLACE(D272, ""[0-9]+[a-f]?\."", """"))"),"")</f>
        <v/>
      </c>
      <c r="I272" s="152" t="str">
        <f>IFERROR(__xludf.DUMMYFUNCTION("TRIM(REGEXREPLACE(E272, ""[0-9]+[a-f]?\."", """"))"),"")</f>
        <v/>
      </c>
      <c r="J272" s="152" t="s">
        <v>2122</v>
      </c>
      <c r="K272" s="152" t="s">
        <v>2123</v>
      </c>
      <c r="L272" s="152" t="s">
        <v>2124</v>
      </c>
      <c r="M272" s="152"/>
    </row>
    <row r="273" hidden="1">
      <c r="A273" s="90" t="s">
        <v>78</v>
      </c>
      <c r="B273" s="154" t="s">
        <v>2125</v>
      </c>
      <c r="C273" s="28"/>
      <c r="D273" s="28"/>
      <c r="E273" s="28"/>
      <c r="F273" s="161">
        <v>135.0</v>
      </c>
      <c r="G273" s="152" t="str">
        <f>IFERROR(__xludf.DUMMYFUNCTION("TRIM(REGEXREPLACE(C273, ""[0-9]+[a-f]?\."", """"))"),"")</f>
        <v/>
      </c>
      <c r="H273" s="152" t="str">
        <f>IFERROR(__xludf.DUMMYFUNCTION("TRIM(REGEXREPLACE(D273, ""[0-9]+[a-f]?\."", """"))"),"")</f>
        <v/>
      </c>
      <c r="I273" s="152" t="str">
        <f>IFERROR(__xludf.DUMMYFUNCTION("TRIM(REGEXREPLACE(E273, ""[0-9]+[a-f]?\."", """"))"),"")</f>
        <v/>
      </c>
      <c r="J273" s="152" t="s">
        <v>2126</v>
      </c>
      <c r="K273" s="152" t="s">
        <v>2127</v>
      </c>
      <c r="L273" s="152" t="s">
        <v>2128</v>
      </c>
      <c r="M273" s="152"/>
    </row>
    <row r="274" hidden="1">
      <c r="A274" s="90" t="s">
        <v>78</v>
      </c>
      <c r="B274" s="154" t="s">
        <v>2129</v>
      </c>
      <c r="C274" s="28"/>
      <c r="D274" s="28"/>
      <c r="E274" s="28"/>
      <c r="F274" s="161">
        <v>128.0</v>
      </c>
      <c r="G274" s="152" t="str">
        <f>IFERROR(__xludf.DUMMYFUNCTION("TRIM(REGEXREPLACE(C274, ""[0-9]+[a-f]?\."", """"))"),"")</f>
        <v/>
      </c>
      <c r="H274" s="152" t="str">
        <f>IFERROR(__xludf.DUMMYFUNCTION("TRIM(REGEXREPLACE(D274, ""[0-9]+[a-f]?\."", """"))"),"")</f>
        <v/>
      </c>
      <c r="I274" s="152" t="str">
        <f>IFERROR(__xludf.DUMMYFUNCTION("TRIM(REGEXREPLACE(E274, ""[0-9]+[a-f]?\."", """"))"),"")</f>
        <v/>
      </c>
      <c r="J274" s="152" t="s">
        <v>2131</v>
      </c>
      <c r="K274" s="152" t="s">
        <v>2132</v>
      </c>
      <c r="L274" s="152" t="s">
        <v>2133</v>
      </c>
      <c r="M274" s="152"/>
    </row>
    <row r="275" hidden="1">
      <c r="A275" s="90" t="s">
        <v>78</v>
      </c>
      <c r="B275" s="154" t="s">
        <v>2135</v>
      </c>
      <c r="C275" s="28"/>
      <c r="D275" s="28"/>
      <c r="E275" s="28"/>
      <c r="F275" s="161">
        <v>129.0</v>
      </c>
      <c r="G275" s="152" t="str">
        <f>IFERROR(__xludf.DUMMYFUNCTION("TRIM(REGEXREPLACE(C275, ""[0-9]+[a-f]?\."", """"))"),"")</f>
        <v/>
      </c>
      <c r="H275" s="152" t="str">
        <f>IFERROR(__xludf.DUMMYFUNCTION("TRIM(REGEXREPLACE(D275, ""[0-9]+[a-f]?\."", """"))"),"")</f>
        <v/>
      </c>
      <c r="I275" s="152" t="str">
        <f>IFERROR(__xludf.DUMMYFUNCTION("TRIM(REGEXREPLACE(E275, ""[0-9]+[a-f]?\."", """"))"),"")</f>
        <v/>
      </c>
      <c r="J275" s="152" t="s">
        <v>2136</v>
      </c>
      <c r="K275" s="152" t="s">
        <v>2137</v>
      </c>
      <c r="L275" s="152" t="s">
        <v>2138</v>
      </c>
      <c r="M275" s="152"/>
    </row>
    <row r="276" hidden="1">
      <c r="A276" s="90" t="s">
        <v>78</v>
      </c>
      <c r="B276" s="154" t="s">
        <v>2139</v>
      </c>
      <c r="C276" s="28"/>
      <c r="D276" s="28"/>
      <c r="E276" s="28"/>
      <c r="F276" s="161">
        <v>130.0</v>
      </c>
      <c r="G276" s="152" t="str">
        <f>IFERROR(__xludf.DUMMYFUNCTION("TRIM(REGEXREPLACE(C276, ""[0-9]+[a-f]?\."", """"))"),"")</f>
        <v/>
      </c>
      <c r="H276" s="152" t="str">
        <f>IFERROR(__xludf.DUMMYFUNCTION("TRIM(REGEXREPLACE(D276, ""[0-9]+[a-f]?\."", """"))"),"")</f>
        <v/>
      </c>
      <c r="I276" s="152" t="str">
        <f>IFERROR(__xludf.DUMMYFUNCTION("TRIM(REGEXREPLACE(E276, ""[0-9]+[a-f]?\."", """"))"),"")</f>
        <v/>
      </c>
      <c r="J276" s="152" t="s">
        <v>2140</v>
      </c>
      <c r="K276" s="152" t="s">
        <v>2141</v>
      </c>
      <c r="L276" s="152" t="s">
        <v>2142</v>
      </c>
      <c r="M276" s="152"/>
    </row>
    <row r="277" hidden="1">
      <c r="A277" s="174" t="s">
        <v>1015</v>
      </c>
      <c r="B277" s="174" t="s">
        <v>2114</v>
      </c>
      <c r="C277" s="28"/>
      <c r="D277" s="28"/>
      <c r="E277" s="28"/>
      <c r="F277" s="161">
        <v>131.0</v>
      </c>
      <c r="G277" s="152" t="str">
        <f>IFERROR(__xludf.DUMMYFUNCTION("TRIM(REGEXREPLACE(C277, ""[0-9]+[a-f]?\."", """"))"),"")</f>
        <v/>
      </c>
      <c r="H277" s="152" t="str">
        <f>IFERROR(__xludf.DUMMYFUNCTION("TRIM(REGEXREPLACE(D277, ""[0-9]+[a-f]?\."", """"))"),"")</f>
        <v/>
      </c>
      <c r="I277" s="152" t="str">
        <f>IFERROR(__xludf.DUMMYFUNCTION("TRIM(REGEXREPLACE(E277, ""[0-9]+[a-f]?\."", """"))"),"")</f>
        <v/>
      </c>
      <c r="J277" s="152" t="s">
        <v>2144</v>
      </c>
      <c r="K277" s="152" t="s">
        <v>2146</v>
      </c>
      <c r="L277" s="152" t="s">
        <v>2147</v>
      </c>
      <c r="M277" s="152"/>
    </row>
    <row r="278" hidden="1">
      <c r="A278" s="90" t="s">
        <v>78</v>
      </c>
      <c r="B278" s="154" t="s">
        <v>2148</v>
      </c>
      <c r="C278" s="28"/>
      <c r="D278" s="28"/>
      <c r="E278" s="28"/>
      <c r="F278" s="161">
        <v>132.0</v>
      </c>
      <c r="G278" s="152" t="str">
        <f>IFERROR(__xludf.DUMMYFUNCTION("TRIM(REGEXREPLACE(C278, ""[0-9]+[a-f]?\."", """"))"),"")</f>
        <v/>
      </c>
      <c r="H278" s="152" t="str">
        <f>IFERROR(__xludf.DUMMYFUNCTION("TRIM(REGEXREPLACE(D278, ""[0-9]+[a-f]?\."", """"))"),"")</f>
        <v/>
      </c>
      <c r="I278" s="152" t="str">
        <f>IFERROR(__xludf.DUMMYFUNCTION("TRIM(REGEXREPLACE(E278, ""[0-9]+[a-f]?\."", """"))"),"")</f>
        <v/>
      </c>
      <c r="J278" s="152" t="s">
        <v>2149</v>
      </c>
      <c r="K278" s="152" t="s">
        <v>2150</v>
      </c>
      <c r="L278" s="152" t="s">
        <v>2151</v>
      </c>
      <c r="M278" s="152"/>
    </row>
    <row r="279" hidden="1">
      <c r="A279" s="90" t="s">
        <v>78</v>
      </c>
      <c r="B279" s="119" t="s">
        <v>2152</v>
      </c>
      <c r="C279" s="28"/>
      <c r="D279" s="28"/>
      <c r="E279" s="28"/>
      <c r="F279" s="161">
        <v>139.0</v>
      </c>
      <c r="G279" s="152" t="str">
        <f>IFERROR(__xludf.DUMMYFUNCTION("TRIM(REGEXREPLACE(C279, ""[0-9]+[a-f]?\."", """"))"),"")</f>
        <v/>
      </c>
      <c r="H279" s="152" t="str">
        <f>IFERROR(__xludf.DUMMYFUNCTION("TRIM(REGEXREPLACE(D279, ""[0-9]+[a-f]?\."", """"))"),"")</f>
        <v/>
      </c>
      <c r="I279" s="152" t="str">
        <f>IFERROR(__xludf.DUMMYFUNCTION("TRIM(REGEXREPLACE(E279, ""[0-9]+[a-f]?\."", """"))"),"")</f>
        <v/>
      </c>
      <c r="J279" s="152" t="s">
        <v>2154</v>
      </c>
      <c r="K279" s="152" t="s">
        <v>2155</v>
      </c>
      <c r="L279" s="152" t="s">
        <v>2156</v>
      </c>
      <c r="M279" s="152"/>
    </row>
    <row r="280" hidden="1">
      <c r="A280" s="65"/>
      <c r="B280" s="218"/>
      <c r="C280" s="28"/>
      <c r="D280" s="28"/>
      <c r="E280" s="28"/>
      <c r="F280" s="161">
        <v>140.0</v>
      </c>
      <c r="G280" s="152" t="str">
        <f>IFERROR(__xludf.DUMMYFUNCTION("TRIM(REGEXREPLACE(C280, ""[0-9]+[a-f]?\."", """"))"),"")</f>
        <v/>
      </c>
      <c r="H280" s="152" t="str">
        <f>IFERROR(__xludf.DUMMYFUNCTION("TRIM(REGEXREPLACE(D280, ""[0-9]+[a-f]?\."", """"))"),"")</f>
        <v/>
      </c>
      <c r="I280" s="152" t="str">
        <f>IFERROR(__xludf.DUMMYFUNCTION("TRIM(REGEXREPLACE(E280, ""[0-9]+[a-f]?\."", """"))"),"")</f>
        <v/>
      </c>
      <c r="J280" s="152" t="s">
        <v>2157</v>
      </c>
      <c r="K280" s="152" t="s">
        <v>2158</v>
      </c>
      <c r="L280" s="152" t="s">
        <v>2159</v>
      </c>
      <c r="M280" s="152"/>
    </row>
    <row r="281" hidden="1">
      <c r="A281" s="65" t="s">
        <v>78</v>
      </c>
      <c r="B281" s="218" t="s">
        <v>2160</v>
      </c>
      <c r="C281" s="28"/>
      <c r="D281" s="28"/>
      <c r="E281" s="28"/>
      <c r="F281" s="161">
        <v>134.0</v>
      </c>
      <c r="G281" s="152" t="str">
        <f>IFERROR(__xludf.DUMMYFUNCTION("TRIM(REGEXREPLACE(C281, ""[0-9]+[a-f]?\."", """"))"),"")</f>
        <v/>
      </c>
      <c r="H281" s="152" t="str">
        <f>IFERROR(__xludf.DUMMYFUNCTION("TRIM(REGEXREPLACE(D281, ""[0-9]+[a-f]?\."", """"))"),"")</f>
        <v/>
      </c>
      <c r="I281" s="152" t="str">
        <f>IFERROR(__xludf.DUMMYFUNCTION("TRIM(REGEXREPLACE(E281, ""[0-9]+[a-f]?\."", """"))"),"")</f>
        <v/>
      </c>
      <c r="J281" s="152" t="s">
        <v>2163</v>
      </c>
      <c r="K281" s="152" t="s">
        <v>2164</v>
      </c>
      <c r="L281" s="152" t="s">
        <v>2165</v>
      </c>
      <c r="M281" s="152"/>
    </row>
    <row r="282" hidden="1">
      <c r="A282" s="65" t="s">
        <v>78</v>
      </c>
      <c r="B282" s="218" t="s">
        <v>2166</v>
      </c>
      <c r="C282" s="28"/>
      <c r="D282" s="28"/>
      <c r="E282" s="28"/>
      <c r="F282" s="161">
        <v>141.0</v>
      </c>
      <c r="G282" s="152" t="str">
        <f>IFERROR(__xludf.DUMMYFUNCTION("TRIM(REGEXREPLACE(C282, ""[0-9]+[a-f]?\."", """"))"),"")</f>
        <v/>
      </c>
      <c r="H282" s="152" t="str">
        <f>IFERROR(__xludf.DUMMYFUNCTION("TRIM(REGEXREPLACE(D282, ""[0-9]+[a-f]?\."", """"))"),"")</f>
        <v/>
      </c>
      <c r="I282" s="152" t="str">
        <f>IFERROR(__xludf.DUMMYFUNCTION("TRIM(REGEXREPLACE(E282, ""[0-9]+[a-f]?\."", """"))"),"")</f>
        <v/>
      </c>
      <c r="J282" s="152" t="s">
        <v>2167</v>
      </c>
      <c r="K282" s="152" t="s">
        <v>2168</v>
      </c>
      <c r="L282" s="152" t="s">
        <v>2169</v>
      </c>
      <c r="M282" s="152"/>
    </row>
    <row r="283" hidden="1">
      <c r="A283" s="65" t="s">
        <v>78</v>
      </c>
      <c r="B283" s="218" t="s">
        <v>2170</v>
      </c>
      <c r="C283" s="28"/>
      <c r="D283" s="28"/>
      <c r="E283" s="28"/>
      <c r="F283" s="161">
        <v>142.0</v>
      </c>
      <c r="G283" s="152" t="str">
        <f>IFERROR(__xludf.DUMMYFUNCTION("TRIM(REGEXREPLACE(C283, ""[0-9]+[a-f]?\."", """"))"),"")</f>
        <v/>
      </c>
      <c r="H283" s="152" t="str">
        <f>IFERROR(__xludf.DUMMYFUNCTION("TRIM(REGEXREPLACE(D283, ""[0-9]+[a-f]?\."", """"))"),"")</f>
        <v/>
      </c>
      <c r="I283" s="152" t="str">
        <f>IFERROR(__xludf.DUMMYFUNCTION("TRIM(REGEXREPLACE(E283, ""[0-9]+[a-f]?\."", """"))"),"")</f>
        <v/>
      </c>
      <c r="J283" s="152" t="s">
        <v>2172</v>
      </c>
      <c r="K283" s="152" t="s">
        <v>2173</v>
      </c>
      <c r="L283" s="152" t="s">
        <v>2174</v>
      </c>
      <c r="M283" s="152"/>
    </row>
    <row r="284" hidden="1">
      <c r="A284" s="65" t="s">
        <v>78</v>
      </c>
      <c r="B284" s="218" t="s">
        <v>2175</v>
      </c>
      <c r="C284" s="28"/>
      <c r="D284" s="28"/>
      <c r="E284" s="28"/>
      <c r="F284" s="161">
        <v>143.0</v>
      </c>
      <c r="G284" s="152" t="str">
        <f>IFERROR(__xludf.DUMMYFUNCTION("TRIM(REGEXREPLACE(C284, ""[0-9]+[a-f]?\."", """"))"),"")</f>
        <v/>
      </c>
      <c r="H284" s="152" t="str">
        <f>IFERROR(__xludf.DUMMYFUNCTION("TRIM(REGEXREPLACE(D284, ""[0-9]+[a-f]?\."", """"))"),"")</f>
        <v/>
      </c>
      <c r="I284" s="152" t="str">
        <f>IFERROR(__xludf.DUMMYFUNCTION("TRIM(REGEXREPLACE(E284, ""[0-9]+[a-f]?\."", """"))"),"")</f>
        <v/>
      </c>
      <c r="J284" s="152" t="s">
        <v>2176</v>
      </c>
      <c r="K284" s="152" t="s">
        <v>2177</v>
      </c>
      <c r="L284" s="152" t="s">
        <v>2178</v>
      </c>
    </row>
    <row r="285" hidden="1">
      <c r="A285" s="65" t="s">
        <v>78</v>
      </c>
      <c r="B285" s="218" t="s">
        <v>2179</v>
      </c>
      <c r="C285" s="28"/>
      <c r="D285" s="28"/>
      <c r="E285" s="28"/>
      <c r="F285" s="161">
        <v>133.0</v>
      </c>
      <c r="G285" s="152" t="str">
        <f>IFERROR(__xludf.DUMMYFUNCTION("TRIM(REGEXREPLACE(C285, ""[0-9]+[a-f]?\."", """"))"),"")</f>
        <v/>
      </c>
      <c r="H285" s="152" t="str">
        <f>IFERROR(__xludf.DUMMYFUNCTION("TRIM(REGEXREPLACE(D285, ""[0-9]+[a-f]?\."", """"))"),"")</f>
        <v/>
      </c>
      <c r="I285" s="152" t="str">
        <f>IFERROR(__xludf.DUMMYFUNCTION("TRIM(REGEXREPLACE(E285, ""[0-9]+[a-f]?\."", """"))"),"")</f>
        <v/>
      </c>
      <c r="J285" s="152" t="s">
        <v>2181</v>
      </c>
      <c r="K285" s="152" t="s">
        <v>2182</v>
      </c>
      <c r="L285" s="152" t="s">
        <v>2183</v>
      </c>
    </row>
    <row r="286" hidden="1">
      <c r="A286" s="65" t="s">
        <v>78</v>
      </c>
      <c r="B286" s="218" t="s">
        <v>2184</v>
      </c>
      <c r="C286" s="28"/>
      <c r="D286" s="28"/>
      <c r="E286" s="28"/>
    </row>
    <row r="287" hidden="1">
      <c r="A287" s="65" t="s">
        <v>78</v>
      </c>
      <c r="B287" s="218" t="s">
        <v>2185</v>
      </c>
      <c r="C287" s="28"/>
      <c r="D287" s="28"/>
      <c r="E287" s="28"/>
    </row>
    <row r="288" hidden="1">
      <c r="A288" s="65" t="s">
        <v>78</v>
      </c>
      <c r="B288" s="218" t="s">
        <v>2186</v>
      </c>
      <c r="C288" s="28"/>
      <c r="D288" s="28"/>
      <c r="E288" s="28"/>
    </row>
    <row r="289" hidden="1">
      <c r="A289" s="65" t="s">
        <v>78</v>
      </c>
      <c r="B289" s="218" t="s">
        <v>2188</v>
      </c>
      <c r="C289" s="28"/>
      <c r="D289" s="28"/>
      <c r="E289" s="28"/>
    </row>
    <row r="290" hidden="1">
      <c r="A290" s="65" t="s">
        <v>78</v>
      </c>
      <c r="B290" s="218" t="s">
        <v>2189</v>
      </c>
      <c r="C290" s="28"/>
      <c r="D290" s="28"/>
      <c r="E290" s="28"/>
      <c r="F290" s="161">
        <v>54.0</v>
      </c>
      <c r="G290" s="152" t="str">
        <f>IFERROR(__xludf.DUMMYFUNCTION("TRIM(REGEXREPLACE(C290, ""[0-9]+[a-f]?\."", """"))"),"")</f>
        <v/>
      </c>
      <c r="H290" s="152" t="str">
        <f>IFERROR(__xludf.DUMMYFUNCTION("TRIM(REGEXREPLACE(D290, ""[0-9]+[a-f]?\."", """"))"),"")</f>
        <v/>
      </c>
      <c r="I290" s="152" t="str">
        <f>IFERROR(__xludf.DUMMYFUNCTION("TRIM(REGEXREPLACE(E290, ""[0-9]+[a-f]?\."", """"))"),"")</f>
        <v/>
      </c>
      <c r="J290" s="152" t="str">
        <f t="shared" ref="J290:L290" si="52">$F290 &amp; ". " &amp;G290</f>
        <v>54. </v>
      </c>
      <c r="K290" s="152" t="str">
        <f t="shared" si="52"/>
        <v>54. </v>
      </c>
      <c r="L290" s="152" t="str">
        <f t="shared" si="52"/>
        <v>54. </v>
      </c>
    </row>
    <row r="291" hidden="1">
      <c r="A291" s="65" t="s">
        <v>78</v>
      </c>
      <c r="B291" s="218" t="s">
        <v>2191</v>
      </c>
      <c r="C291" s="28"/>
      <c r="D291" s="28"/>
      <c r="E291" s="28"/>
      <c r="F291" s="161">
        <v>135.0</v>
      </c>
      <c r="G291" s="152" t="str">
        <f>IFERROR(__xludf.DUMMYFUNCTION("TRIM(REGEXREPLACE(C291, ""[0-9]+[a-f]?\."", """"))"),"")</f>
        <v/>
      </c>
      <c r="H291" s="152" t="str">
        <f>IFERROR(__xludf.DUMMYFUNCTION("TRIM(REGEXREPLACE(D291, ""[0-9]+[a-f]?\."", """"))"),"")</f>
        <v/>
      </c>
      <c r="I291" s="152" t="str">
        <f>IFERROR(__xludf.DUMMYFUNCTION("TRIM(REGEXREPLACE(E291, ""[0-9]+[a-f]?\."", """"))"),"")</f>
        <v/>
      </c>
      <c r="J291" s="152" t="s">
        <v>2193</v>
      </c>
      <c r="K291" s="152" t="s">
        <v>2194</v>
      </c>
      <c r="L291" s="152" t="s">
        <v>2195</v>
      </c>
    </row>
    <row r="292" hidden="1">
      <c r="A292" s="65" t="s">
        <v>78</v>
      </c>
      <c r="B292" s="218" t="s">
        <v>2196</v>
      </c>
      <c r="C292" s="28"/>
      <c r="D292" s="28"/>
      <c r="E292" s="28"/>
      <c r="F292" s="161">
        <v>136.0</v>
      </c>
      <c r="G292" s="152" t="str">
        <f>IFERROR(__xludf.DUMMYFUNCTION("TRIM(REGEXREPLACE(C292, ""[0-9]+[a-f]?\."", """"))"),"")</f>
        <v/>
      </c>
      <c r="H292" s="152" t="str">
        <f>IFERROR(__xludf.DUMMYFUNCTION("TRIM(REGEXREPLACE(D292, ""[0-9]+[a-f]?\."", """"))"),"")</f>
        <v/>
      </c>
      <c r="I292" s="152" t="str">
        <f>IFERROR(__xludf.DUMMYFUNCTION("TRIM(REGEXREPLACE(E292, ""[0-9]+[a-f]?\."", """"))"),"")</f>
        <v/>
      </c>
      <c r="J292" s="152" t="s">
        <v>2197</v>
      </c>
      <c r="K292" s="152" t="s">
        <v>2198</v>
      </c>
      <c r="L292" s="152" t="s">
        <v>2199</v>
      </c>
      <c r="M292" s="152"/>
    </row>
    <row r="293" hidden="1">
      <c r="A293" s="65" t="s">
        <v>78</v>
      </c>
      <c r="B293" s="218" t="s">
        <v>2200</v>
      </c>
      <c r="C293" s="28"/>
      <c r="D293" s="28"/>
      <c r="E293" s="28"/>
      <c r="F293" s="161">
        <v>137.0</v>
      </c>
      <c r="G293" s="152" t="str">
        <f>IFERROR(__xludf.DUMMYFUNCTION("TRIM(REGEXREPLACE(C293, ""[0-9]+[a-f]?\."", """"))"),"")</f>
        <v/>
      </c>
      <c r="H293" s="152" t="str">
        <f>IFERROR(__xludf.DUMMYFUNCTION("TRIM(REGEXREPLACE(D293, ""[0-9]+[a-f]?\."", """"))"),"")</f>
        <v/>
      </c>
      <c r="I293" s="152" t="str">
        <f>IFERROR(__xludf.DUMMYFUNCTION("TRIM(REGEXREPLACE(E293, ""[0-9]+[a-f]?\."", """"))"),"")</f>
        <v/>
      </c>
      <c r="J293" s="152" t="s">
        <v>2201</v>
      </c>
      <c r="K293" s="152" t="s">
        <v>2202</v>
      </c>
      <c r="L293" s="152" t="s">
        <v>2204</v>
      </c>
    </row>
    <row r="294" hidden="1">
      <c r="A294" s="65" t="s">
        <v>78</v>
      </c>
      <c r="B294" s="218" t="s">
        <v>2205</v>
      </c>
      <c r="C294" s="28"/>
      <c r="D294" s="28"/>
      <c r="E294" s="28"/>
      <c r="F294" s="161">
        <v>138.0</v>
      </c>
      <c r="G294" s="152" t="str">
        <f>IFERROR(__xludf.DUMMYFUNCTION("TRIM(REGEXREPLACE(C294, ""[0-9]+[a-f]?\."", """"))"),"")</f>
        <v/>
      </c>
      <c r="H294" s="152" t="str">
        <f>IFERROR(__xludf.DUMMYFUNCTION("TRIM(REGEXREPLACE(D294, ""[0-9]+[a-f]?\."", """"))"),"")</f>
        <v/>
      </c>
      <c r="I294" s="152" t="str">
        <f>IFERROR(__xludf.DUMMYFUNCTION("TRIM(REGEXREPLACE(E294, ""[0-9]+[a-f]?\."", """"))"),"")</f>
        <v/>
      </c>
      <c r="J294" s="152" t="s">
        <v>2206</v>
      </c>
      <c r="K294" s="152" t="s">
        <v>2207</v>
      </c>
      <c r="L294" s="152" t="s">
        <v>2208</v>
      </c>
      <c r="M294" s="152"/>
    </row>
    <row r="295" hidden="1">
      <c r="A295" s="65" t="s">
        <v>78</v>
      </c>
      <c r="B295" s="218" t="s">
        <v>2209</v>
      </c>
      <c r="C295" s="28"/>
      <c r="D295" s="28"/>
      <c r="E295" s="28"/>
      <c r="F295" s="161">
        <v>139.0</v>
      </c>
      <c r="G295" s="152" t="str">
        <f>IFERROR(__xludf.DUMMYFUNCTION("TRIM(REGEXREPLACE(C295, ""[0-9]+[a-f]?\."", """"))"),"")</f>
        <v/>
      </c>
      <c r="H295" s="152" t="str">
        <f>IFERROR(__xludf.DUMMYFUNCTION("TRIM(REGEXREPLACE(D295, ""[0-9]+[a-f]?\."", """"))"),"")</f>
        <v/>
      </c>
      <c r="I295" s="152" t="str">
        <f>IFERROR(__xludf.DUMMYFUNCTION("TRIM(REGEXREPLACE(E295, ""[0-9]+[a-f]?\."", """"))"),"")</f>
        <v/>
      </c>
      <c r="J295" s="152" t="s">
        <v>2211</v>
      </c>
      <c r="K295" s="152" t="s">
        <v>2213</v>
      </c>
      <c r="L295" s="152" t="s">
        <v>2214</v>
      </c>
      <c r="M295" s="152"/>
    </row>
    <row r="296" hidden="1">
      <c r="A296" s="65" t="s">
        <v>78</v>
      </c>
      <c r="B296" s="218" t="s">
        <v>2215</v>
      </c>
      <c r="C296" s="28"/>
      <c r="D296" s="28"/>
      <c r="E296" s="28"/>
      <c r="F296" s="161">
        <v>146.0</v>
      </c>
      <c r="G296" s="152" t="str">
        <f>IFERROR(__xludf.DUMMYFUNCTION("TRIM(REGEXREPLACE(C296, ""[0-9]+[a-f]?\."", """"))"),"")</f>
        <v/>
      </c>
      <c r="H296" s="152" t="str">
        <f>IFERROR(__xludf.DUMMYFUNCTION("TRIM(REGEXREPLACE(D296, ""[0-9]+[a-f]?\."", """"))"),"")</f>
        <v/>
      </c>
      <c r="I296" s="152" t="str">
        <f>IFERROR(__xludf.DUMMYFUNCTION("TRIM(REGEXREPLACE(E296, ""[0-9]+[a-f]?\."", """"))"),"")</f>
        <v/>
      </c>
      <c r="J296" s="152" t="s">
        <v>2216</v>
      </c>
      <c r="K296" s="152" t="s">
        <v>2217</v>
      </c>
      <c r="L296" s="152" t="s">
        <v>2218</v>
      </c>
      <c r="M296" s="152"/>
    </row>
    <row r="297" hidden="1">
      <c r="A297" s="65" t="s">
        <v>78</v>
      </c>
      <c r="B297" s="218" t="s">
        <v>2219</v>
      </c>
      <c r="C297" s="28"/>
      <c r="D297" s="28"/>
      <c r="E297" s="28"/>
      <c r="F297" s="161">
        <v>147.0</v>
      </c>
      <c r="G297" s="152" t="str">
        <f>IFERROR(__xludf.DUMMYFUNCTION("TRIM(REGEXREPLACE(C297, ""[0-9]+[a-f]?\."", """"))"),"")</f>
        <v/>
      </c>
      <c r="H297" s="152" t="str">
        <f>IFERROR(__xludf.DUMMYFUNCTION("TRIM(REGEXREPLACE(D297, ""[0-9]+[a-f]?\."", """"))"),"")</f>
        <v/>
      </c>
      <c r="I297" s="152" t="str">
        <f>IFERROR(__xludf.DUMMYFUNCTION("TRIM(REGEXREPLACE(E297, ""[0-9]+[a-f]?\."", """"))"),"")</f>
        <v/>
      </c>
      <c r="J297" s="152" t="s">
        <v>2221</v>
      </c>
      <c r="K297" s="152" t="s">
        <v>2222</v>
      </c>
      <c r="L297" s="152" t="s">
        <v>2223</v>
      </c>
      <c r="M297" s="152"/>
    </row>
    <row r="298" hidden="1">
      <c r="A298" s="65" t="s">
        <v>78</v>
      </c>
      <c r="B298" s="218" t="s">
        <v>2224</v>
      </c>
      <c r="C298" s="28"/>
      <c r="D298" s="28"/>
      <c r="E298" s="28"/>
      <c r="F298" s="161">
        <v>148.0</v>
      </c>
      <c r="G298" s="152" t="str">
        <f>IFERROR(__xludf.DUMMYFUNCTION("TRIM(REGEXREPLACE(C298, ""[0-9]+[a-f]?\."", """"))"),"")</f>
        <v/>
      </c>
      <c r="H298" s="152" t="str">
        <f>IFERROR(__xludf.DUMMYFUNCTION("TRIM(REGEXREPLACE(D298, ""[0-9]+[a-f]?\."", """"))"),"")</f>
        <v/>
      </c>
      <c r="I298" s="152" t="str">
        <f>IFERROR(__xludf.DUMMYFUNCTION("TRIM(REGEXREPLACE(E298, ""[0-9]+[a-f]?\."", """"))"),"")</f>
        <v/>
      </c>
      <c r="J298" s="152" t="s">
        <v>2225</v>
      </c>
      <c r="K298" s="152" t="s">
        <v>2227</v>
      </c>
      <c r="L298" s="152" t="s">
        <v>2228</v>
      </c>
      <c r="M298" s="152"/>
    </row>
    <row r="299" hidden="1">
      <c r="A299" s="65" t="s">
        <v>78</v>
      </c>
      <c r="B299" s="218" t="s">
        <v>2229</v>
      </c>
      <c r="C299" s="28"/>
      <c r="D299" s="28"/>
      <c r="E299" s="28"/>
      <c r="F299" s="161">
        <v>140.0</v>
      </c>
      <c r="G299" s="152" t="str">
        <f>IFERROR(__xludf.DUMMYFUNCTION("TRIM(REGEXREPLACE(C299, ""[0-9]+[a-f]?\."", """"))"),"")</f>
        <v/>
      </c>
      <c r="H299" s="152" t="str">
        <f>IFERROR(__xludf.DUMMYFUNCTION("TRIM(REGEXREPLACE(D299, ""[0-9]+[a-f]?\."", """"))"),"")</f>
        <v/>
      </c>
      <c r="I299" s="152" t="str">
        <f>IFERROR(__xludf.DUMMYFUNCTION("TRIM(REGEXREPLACE(E299, ""[0-9]+[a-f]?\."", """"))"),"")</f>
        <v/>
      </c>
      <c r="J299" s="152" t="s">
        <v>2231</v>
      </c>
      <c r="K299" s="152" t="s">
        <v>2232</v>
      </c>
      <c r="L299" s="152" t="s">
        <v>2233</v>
      </c>
    </row>
    <row r="300" hidden="1">
      <c r="A300" s="65" t="s">
        <v>78</v>
      </c>
      <c r="B300" s="218" t="s">
        <v>2234</v>
      </c>
      <c r="C300" s="28"/>
      <c r="D300" s="28"/>
      <c r="E300" s="28"/>
      <c r="F300" s="161">
        <v>141.0</v>
      </c>
      <c r="G300" s="152" t="str">
        <f>IFERROR(__xludf.DUMMYFUNCTION("TRIM(REGEXREPLACE(C300, ""[0-9]+[a-f]?\."", """"))"),"")</f>
        <v/>
      </c>
      <c r="H300" s="152" t="str">
        <f>IFERROR(__xludf.DUMMYFUNCTION("TRIM(REGEXREPLACE(D300, ""[0-9]+[a-f]?\."", """"))"),"")</f>
        <v/>
      </c>
      <c r="I300" s="152" t="str">
        <f>IFERROR(__xludf.DUMMYFUNCTION("TRIM(REGEXREPLACE(E300, ""[0-9]+[a-f]?\."", """"))"),"")</f>
        <v/>
      </c>
      <c r="J300" s="152" t="s">
        <v>2235</v>
      </c>
      <c r="K300" s="152" t="s">
        <v>2236</v>
      </c>
      <c r="L300" s="152" t="s">
        <v>2237</v>
      </c>
    </row>
    <row r="301" hidden="1">
      <c r="A301" s="65" t="s">
        <v>78</v>
      </c>
      <c r="B301" s="218" t="s">
        <v>2238</v>
      </c>
      <c r="C301" s="28"/>
      <c r="D301" s="28"/>
      <c r="E301" s="28"/>
      <c r="F301" s="161">
        <v>151.0</v>
      </c>
      <c r="G301" s="152" t="str">
        <f>IFERROR(__xludf.DUMMYFUNCTION("TRIM(REGEXREPLACE(C301, ""[0-9]+[a-f]?\."", """"))"),"")</f>
        <v/>
      </c>
      <c r="H301" s="152" t="str">
        <f>IFERROR(__xludf.DUMMYFUNCTION("TRIM(REGEXREPLACE(D301, ""[0-9]+[a-f]?\."", """"))"),"")</f>
        <v/>
      </c>
      <c r="I301" s="152" t="str">
        <f>IFERROR(__xludf.DUMMYFUNCTION("TRIM(REGEXREPLACE(E301, ""[0-9]+[a-f]?\."", """"))"),"")</f>
        <v/>
      </c>
      <c r="J301" s="152" t="s">
        <v>2240</v>
      </c>
      <c r="K301" s="152" t="s">
        <v>2241</v>
      </c>
      <c r="L301" s="152" t="s">
        <v>2242</v>
      </c>
      <c r="M301" s="152"/>
    </row>
    <row r="302" hidden="1">
      <c r="A302" s="65" t="s">
        <v>78</v>
      </c>
      <c r="B302" s="218" t="s">
        <v>2244</v>
      </c>
      <c r="C302" s="28"/>
      <c r="D302" s="28"/>
      <c r="E302" s="28"/>
      <c r="F302" s="161">
        <v>142.0</v>
      </c>
      <c r="G302" s="152" t="str">
        <f>IFERROR(__xludf.DUMMYFUNCTION("TRIM(REGEXREPLACE(C302, ""[0-9]+[a-f]?\."", """"))"),"")</f>
        <v/>
      </c>
      <c r="H302" s="152" t="str">
        <f>IFERROR(__xludf.DUMMYFUNCTION("TRIM(REGEXREPLACE(D302, ""[0-9]+[a-f]?\."", """"))"),"")</f>
        <v/>
      </c>
      <c r="I302" s="152" t="str">
        <f>IFERROR(__xludf.DUMMYFUNCTION("TRIM(REGEXREPLACE(E302, ""[0-9]+[a-f]?\."", """"))"),"")</f>
        <v/>
      </c>
      <c r="J302" s="152" t="s">
        <v>2245</v>
      </c>
      <c r="K302" s="152" t="s">
        <v>2246</v>
      </c>
      <c r="L302" s="152" t="s">
        <v>2247</v>
      </c>
    </row>
    <row r="303" hidden="1">
      <c r="A303" s="65" t="s">
        <v>78</v>
      </c>
      <c r="B303" s="218" t="s">
        <v>2248</v>
      </c>
      <c r="C303" s="28"/>
      <c r="D303" s="28"/>
      <c r="E303" s="28"/>
      <c r="F303" s="161">
        <v>143.0</v>
      </c>
      <c r="G303" s="152" t="str">
        <f>IFERROR(__xludf.DUMMYFUNCTION("TRIM(REGEXREPLACE(C303, ""[0-9]+[a-f]?\."", """"))"),"")</f>
        <v/>
      </c>
      <c r="H303" s="152" t="str">
        <f>IFERROR(__xludf.DUMMYFUNCTION("TRIM(REGEXREPLACE(D303, ""[0-9]+[a-f]?\."", """"))"),"")</f>
        <v/>
      </c>
      <c r="I303" s="152" t="str">
        <f>IFERROR(__xludf.DUMMYFUNCTION("TRIM(REGEXREPLACE(E303, ""[0-9]+[a-f]?\."", """"))"),"")</f>
        <v/>
      </c>
      <c r="J303" s="152" t="s">
        <v>2250</v>
      </c>
      <c r="K303" s="152" t="s">
        <v>2251</v>
      </c>
      <c r="L303" s="152" t="s">
        <v>2252</v>
      </c>
    </row>
    <row r="304" hidden="1">
      <c r="A304" s="65" t="s">
        <v>78</v>
      </c>
      <c r="B304" s="218" t="s">
        <v>2254</v>
      </c>
      <c r="C304" s="28"/>
      <c r="D304" s="28"/>
      <c r="E304" s="28"/>
      <c r="F304" s="161">
        <v>144.0</v>
      </c>
      <c r="G304" s="152" t="str">
        <f>IFERROR(__xludf.DUMMYFUNCTION("TRIM(REGEXREPLACE(C304, ""[0-9]+[a-f]?\."", """"))"),"")</f>
        <v/>
      </c>
      <c r="H304" s="152" t="str">
        <f>IFERROR(__xludf.DUMMYFUNCTION("TRIM(REGEXREPLACE(D304, ""[0-9]+[a-f]?\."", """"))"),"")</f>
        <v/>
      </c>
      <c r="I304" s="152" t="str">
        <f>IFERROR(__xludf.DUMMYFUNCTION("TRIM(REGEXREPLACE(E304, ""[0-9]+[a-f]?\."", """"))"),"")</f>
        <v/>
      </c>
      <c r="J304" s="152" t="s">
        <v>2255</v>
      </c>
      <c r="K304" s="152" t="s">
        <v>2256</v>
      </c>
      <c r="L304" s="152" t="s">
        <v>2257</v>
      </c>
    </row>
    <row r="305" hidden="1">
      <c r="A305" s="65" t="s">
        <v>78</v>
      </c>
      <c r="B305" s="218" t="s">
        <v>2258</v>
      </c>
      <c r="C305" s="28"/>
      <c r="D305" s="28"/>
      <c r="E305" s="28"/>
      <c r="F305" s="161">
        <v>155.0</v>
      </c>
      <c r="G305" s="152" t="str">
        <f>IFERROR(__xludf.DUMMYFUNCTION("TRIM(REGEXREPLACE(C305, ""[0-9]+[a-f]?\."", """"))"),"")</f>
        <v/>
      </c>
      <c r="H305" s="152" t="str">
        <f>IFERROR(__xludf.DUMMYFUNCTION("TRIM(REGEXREPLACE(D305, ""[0-9]+[a-f]?\."", """"))"),"")</f>
        <v/>
      </c>
      <c r="I305" s="152" t="str">
        <f>IFERROR(__xludf.DUMMYFUNCTION("TRIM(REGEXREPLACE(E305, ""[0-9]+[a-f]?\."", """"))"),"")</f>
        <v/>
      </c>
      <c r="J305" s="152" t="s">
        <v>2260</v>
      </c>
      <c r="K305" s="152" t="s">
        <v>2261</v>
      </c>
      <c r="L305" s="152" t="s">
        <v>2262</v>
      </c>
      <c r="M305" s="152"/>
    </row>
    <row r="306" hidden="1">
      <c r="A306" s="65" t="s">
        <v>78</v>
      </c>
      <c r="B306" s="218" t="s">
        <v>2263</v>
      </c>
      <c r="C306" s="28"/>
      <c r="D306" s="28"/>
      <c r="E306" s="28"/>
      <c r="F306" s="161">
        <v>156.0</v>
      </c>
      <c r="G306" s="152" t="str">
        <f>IFERROR(__xludf.DUMMYFUNCTION("TRIM(REGEXREPLACE(C306, ""[0-9]+[a-f]?\."", """"))"),"")</f>
        <v/>
      </c>
      <c r="H306" s="152" t="str">
        <f>IFERROR(__xludf.DUMMYFUNCTION("TRIM(REGEXREPLACE(D306, ""[0-9]+[a-f]?\."", """"))"),"")</f>
        <v/>
      </c>
      <c r="I306" s="152" t="str">
        <f>IFERROR(__xludf.DUMMYFUNCTION("TRIM(REGEXREPLACE(E306, ""[0-9]+[a-f]?\."", """"))"),"")</f>
        <v/>
      </c>
      <c r="J306" s="152" t="s">
        <v>2265</v>
      </c>
      <c r="K306" s="152" t="s">
        <v>2267</v>
      </c>
      <c r="L306" s="152" t="s">
        <v>2268</v>
      </c>
      <c r="M306" s="152"/>
    </row>
    <row r="307" hidden="1">
      <c r="A307" s="65" t="s">
        <v>78</v>
      </c>
      <c r="B307" s="218" t="s">
        <v>2269</v>
      </c>
      <c r="C307" s="28"/>
      <c r="D307" s="28"/>
      <c r="E307" s="28"/>
      <c r="F307" s="161">
        <v>157.0</v>
      </c>
      <c r="G307" s="152" t="str">
        <f>IFERROR(__xludf.DUMMYFUNCTION("TRIM(REGEXREPLACE(C307, ""[0-9]+[a-f]?\."", """"))"),"")</f>
        <v/>
      </c>
      <c r="H307" s="152" t="str">
        <f>IFERROR(__xludf.DUMMYFUNCTION("TRIM(REGEXREPLACE(D307, ""[0-9]+[a-f]?\."", """"))"),"")</f>
        <v/>
      </c>
      <c r="I307" s="152" t="str">
        <f>IFERROR(__xludf.DUMMYFUNCTION("TRIM(REGEXREPLACE(E307, ""[0-9]+[a-f]?\."", """"))"),"")</f>
        <v/>
      </c>
      <c r="J307" s="152" t="s">
        <v>2270</v>
      </c>
      <c r="K307" s="152" t="s">
        <v>2271</v>
      </c>
      <c r="L307" s="152" t="s">
        <v>2272</v>
      </c>
      <c r="M307" s="152"/>
    </row>
    <row r="308" hidden="1">
      <c r="A308" s="65" t="s">
        <v>78</v>
      </c>
      <c r="B308" s="218" t="s">
        <v>2273</v>
      </c>
      <c r="C308" s="28"/>
      <c r="D308" s="28"/>
      <c r="E308" s="28"/>
      <c r="F308" s="161">
        <v>148.0</v>
      </c>
      <c r="G308" s="152" t="str">
        <f>IFERROR(__xludf.DUMMYFUNCTION("TRIM(REGEXREPLACE(C308, ""[0-9]+[a-f]?\."", """"))"),"")</f>
        <v/>
      </c>
      <c r="H308" s="152" t="str">
        <f>IFERROR(__xludf.DUMMYFUNCTION("TRIM(REGEXREPLACE(D308, ""[0-9]+[a-f]?\."", """"))"),"")</f>
        <v/>
      </c>
      <c r="I308" s="152" t="str">
        <f>IFERROR(__xludf.DUMMYFUNCTION("TRIM(REGEXREPLACE(E308, ""[0-9]+[a-f]?\."", """"))"),"")</f>
        <v/>
      </c>
      <c r="J308" s="152" t="s">
        <v>2276</v>
      </c>
      <c r="K308" s="152" t="s">
        <v>2277</v>
      </c>
      <c r="L308" s="152" t="s">
        <v>2278</v>
      </c>
      <c r="M308" s="152"/>
    </row>
    <row r="309" hidden="1">
      <c r="A309" s="65" t="s">
        <v>78</v>
      </c>
      <c r="B309" s="218" t="s">
        <v>2279</v>
      </c>
      <c r="C309" s="28"/>
      <c r="D309" s="28"/>
      <c r="E309" s="28"/>
      <c r="F309" s="161">
        <v>149.0</v>
      </c>
      <c r="G309" s="152" t="str">
        <f>IFERROR(__xludf.DUMMYFUNCTION("TRIM(REGEXREPLACE(C309, ""[0-9]+[a-f]?\."", """"))"),"")</f>
        <v/>
      </c>
      <c r="H309" s="152" t="str">
        <f>IFERROR(__xludf.DUMMYFUNCTION("TRIM(REGEXREPLACE(D309, ""[0-9]+[a-f]?\."", """"))"),"")</f>
        <v/>
      </c>
      <c r="I309" s="152" t="str">
        <f>IFERROR(__xludf.DUMMYFUNCTION("TRIM(REGEXREPLACE(E309, ""[0-9]+[a-f]?\."", """"))"),"")</f>
        <v/>
      </c>
      <c r="J309" s="152" t="s">
        <v>2280</v>
      </c>
      <c r="K309" s="152" t="s">
        <v>2281</v>
      </c>
      <c r="L309" s="152" t="s">
        <v>2282</v>
      </c>
      <c r="M309" s="152"/>
    </row>
    <row r="310" hidden="1">
      <c r="A310" s="65"/>
      <c r="B310" s="218"/>
      <c r="C310" s="28"/>
      <c r="D310" s="28"/>
      <c r="E310" s="28"/>
      <c r="F310" s="161">
        <v>150.0</v>
      </c>
      <c r="G310" s="152" t="str">
        <f>IFERROR(__xludf.DUMMYFUNCTION("TRIM(REGEXREPLACE(C310, ""[0-9]+[a-f]?\."", """"))"),"")</f>
        <v/>
      </c>
      <c r="H310" s="152" t="str">
        <f>IFERROR(__xludf.DUMMYFUNCTION("TRIM(REGEXREPLACE(D310, ""[0-9]+[a-f]?\."", """"))"),"")</f>
        <v/>
      </c>
      <c r="I310" s="152" t="str">
        <f>IFERROR(__xludf.DUMMYFUNCTION("TRIM(REGEXREPLACE(E310, ""[0-9]+[a-f]?\."", """"))"),"")</f>
        <v/>
      </c>
      <c r="J310" s="152" t="s">
        <v>2284</v>
      </c>
      <c r="K310" s="152" t="s">
        <v>2285</v>
      </c>
      <c r="L310" s="152" t="s">
        <v>2286</v>
      </c>
      <c r="M310" s="152"/>
    </row>
    <row r="311" hidden="1">
      <c r="A311" s="65" t="s">
        <v>131</v>
      </c>
      <c r="B311" s="218" t="s">
        <v>2287</v>
      </c>
      <c r="C311" s="28"/>
      <c r="D311" s="28"/>
      <c r="E311" s="28"/>
      <c r="F311" s="161">
        <v>151.0</v>
      </c>
      <c r="G311" s="152" t="str">
        <f>IFERROR(__xludf.DUMMYFUNCTION("TRIM(REGEXREPLACE(C311, ""[0-9]+[a-f]?\."", """"))"),"")</f>
        <v/>
      </c>
      <c r="H311" s="152" t="str">
        <f>IFERROR(__xludf.DUMMYFUNCTION("TRIM(REGEXREPLACE(D311, ""[0-9]+[a-f]?\."", """"))"),"")</f>
        <v/>
      </c>
      <c r="I311" s="152" t="str">
        <f>IFERROR(__xludf.DUMMYFUNCTION("TRIM(REGEXREPLACE(E311, ""[0-9]+[a-f]?\."", """"))"),"")</f>
        <v/>
      </c>
      <c r="J311" s="152" t="s">
        <v>2289</v>
      </c>
      <c r="K311" s="152" t="s">
        <v>2290</v>
      </c>
      <c r="L311" s="152" t="s">
        <v>2291</v>
      </c>
      <c r="M311" s="152"/>
    </row>
    <row r="312">
      <c r="A312" s="65" t="s">
        <v>41</v>
      </c>
      <c r="B312" s="218" t="s">
        <v>2293</v>
      </c>
      <c r="C312" s="28" t="s">
        <v>2294</v>
      </c>
      <c r="D312" s="28" t="s">
        <v>2295</v>
      </c>
      <c r="E312" s="28" t="s">
        <v>2296</v>
      </c>
      <c r="F312" s="161">
        <v>51.0</v>
      </c>
      <c r="G312" s="152" t="str">
        <f>IFERROR(__xludf.DUMMYFUNCTION("TRIM(REGEXREPLACE(C312, ""[0-9]+[a-f]?\."", """"))"),"Before we begin, we'd like to ask you a few questions about your immediate family.")</f>
        <v>Before we begin, we'd like to ask you a few questions about your immediate family.</v>
      </c>
      <c r="H312" s="152" t="str">
        <f>IFERROR(__xludf.DUMMYFUNCTION("TRIM(REGEXREPLACE(D312, ""[0-9]+[a-f]?\."", """"))"),"Avant de commencer, nous aimerions vous poser quelques questions sur votre famille immédiate.")</f>
        <v>Avant de commencer, nous aimerions vous poser quelques questions sur votre famille immédiate.</v>
      </c>
      <c r="I312" s="152" t="str">
        <f>IFERROR(__xludf.DUMMYFUNCTION("TRIM(REGEXREPLACE(E312, ""[0-9]+[a-f]?\."", """"))"),"Kafin mu fara, muna so mu yi muku ƴan tambayoyi game da ƴan gidan ku ma kusata.")</f>
        <v>Kafin mu fara, muna so mu yi muku ƴan tambayoyi game da ƴan gidan ku ma kusata.</v>
      </c>
      <c r="J312" s="152" t="s">
        <v>2297</v>
      </c>
      <c r="K312" s="152" t="s">
        <v>2298</v>
      </c>
      <c r="L312" s="152" t="s">
        <v>2299</v>
      </c>
      <c r="M312" s="152"/>
    </row>
    <row r="313">
      <c r="A313" s="68" t="s">
        <v>463</v>
      </c>
      <c r="B313" s="66" t="s">
        <v>2300</v>
      </c>
      <c r="C313" s="28" t="s">
        <v>2301</v>
      </c>
      <c r="D313" s="28" t="s">
        <v>2302</v>
      </c>
      <c r="E313" s="28" t="s">
        <v>2303</v>
      </c>
      <c r="F313" s="161">
        <v>52.0</v>
      </c>
      <c r="G313" s="152" t="str">
        <f>IFERROR(__xludf.DUMMYFUNCTION("TRIM(REGEXREPLACE(C313, ""[0-9]+[a-f]?\."", """"))"),"Do you have children?")</f>
        <v>Do you have children?</v>
      </c>
      <c r="H313" s="152" t="str">
        <f>IFERROR(__xludf.DUMMYFUNCTION("TRIM(REGEXREPLACE(D313, ""[0-9]+[a-f]?\."", """"))"),"Avez-vous des enfants?")</f>
        <v>Avez-vous des enfants?</v>
      </c>
      <c r="I313" s="152" t="str">
        <f>IFERROR(__xludf.DUMMYFUNCTION("TRIM(REGEXREPLACE(E313, ""[0-9]+[a-f]?\."", """"))"),"Ko kuna da yara?")</f>
        <v>Ko kuna da yara?</v>
      </c>
      <c r="J313" s="152" t="s">
        <v>2306</v>
      </c>
      <c r="K313" s="152" t="s">
        <v>2307</v>
      </c>
      <c r="L313" s="152" t="s">
        <v>2308</v>
      </c>
    </row>
    <row r="314">
      <c r="A314" s="65" t="s">
        <v>2309</v>
      </c>
      <c r="B314" s="218" t="s">
        <v>2310</v>
      </c>
      <c r="C314" s="28" t="s">
        <v>2311</v>
      </c>
      <c r="D314" s="28" t="s">
        <v>2312</v>
      </c>
      <c r="E314" s="28" t="s">
        <v>2313</v>
      </c>
      <c r="F314" s="161">
        <v>53.0</v>
      </c>
      <c r="G314" s="152" t="str">
        <f>IFERROR(__xludf.DUMMYFUNCTION("TRIM(REGEXREPLACE(C314, ""[0-9]+[a-f]?\."", """"))"),"Please identify your children from the following list of household members:")</f>
        <v>Please identify your children from the following list of household members:</v>
      </c>
      <c r="H314" s="152" t="str">
        <f>IFERROR(__xludf.DUMMYFUNCTION("TRIM(REGEXREPLACE(D314, ""[0-9]+[a-f]?\."", """"))"),"Veuillez identifier vos enfants à partir de la liste suivante des membres du ménage :")</f>
        <v>Veuillez identifier vos enfants à partir de la liste suivante des membres du ménage :</v>
      </c>
      <c r="I314" s="152" t="str">
        <f>IFERROR(__xludf.DUMMYFUNCTION("TRIM(REGEXREPLACE(E314, ""[0-9]+[a-f]?\."", """"))"),"Da fatan za ku gano yaranku daga jerin sunayen ƴan gida masu zuwa:")</f>
        <v>Da fatan za ku gano yaranku daga jerin sunayen ƴan gida masu zuwa:</v>
      </c>
      <c r="J314" s="152" t="s">
        <v>2314</v>
      </c>
      <c r="K314" s="152" t="s">
        <v>2315</v>
      </c>
      <c r="L314" s="152" t="s">
        <v>2316</v>
      </c>
    </row>
    <row r="315">
      <c r="A315" s="65" t="s">
        <v>263</v>
      </c>
      <c r="B315" s="219" t="s">
        <v>2317</v>
      </c>
      <c r="C315" s="28" t="s">
        <v>2318</v>
      </c>
      <c r="D315" s="28" t="s">
        <v>2319</v>
      </c>
      <c r="E315" s="28" t="s">
        <v>2320</v>
      </c>
      <c r="F315" s="161">
        <v>54.0</v>
      </c>
      <c r="G315" s="152" t="str">
        <f>IFERROR(__xludf.DUMMYFUNCTION("TRIM(REGEXREPLACE(C315, ""[0-9]+[a-f]?\."", """"))"),"How many children were not in the list?")</f>
        <v>How many children were not in the list?</v>
      </c>
      <c r="H315" s="152" t="str">
        <f>IFERROR(__xludf.DUMMYFUNCTION("TRIM(REGEXREPLACE(D315, ""[0-9]+[a-f]?\."", """"))"),"Combien d’enfants ne figuraient pas sur la liste ?")</f>
        <v>Combien d’enfants ne figuraient pas sur la liste ?</v>
      </c>
      <c r="I315" s="152" t="str">
        <f>IFERROR(__xludf.DUMMYFUNCTION("TRIM(REGEXREPLACE(E315, ""[0-9]+[a-f]?\."", """"))"),"Yara nawa ne ba su cikin jerin sunayen?")</f>
        <v>Yara nawa ne ba su cikin jerin sunayen?</v>
      </c>
      <c r="J315" s="152" t="s">
        <v>2322</v>
      </c>
      <c r="K315" s="152" t="s">
        <v>2323</v>
      </c>
      <c r="L315" s="152" t="s">
        <v>2324</v>
      </c>
    </row>
    <row r="316" hidden="1">
      <c r="A316" s="65" t="s">
        <v>698</v>
      </c>
      <c r="B316" s="218" t="s">
        <v>2325</v>
      </c>
      <c r="C316" s="28" t="s">
        <v>2326</v>
      </c>
      <c r="D316" s="28"/>
      <c r="E316" s="28"/>
      <c r="F316" s="161">
        <v>158.0</v>
      </c>
      <c r="G316" s="152" t="str">
        <f>IFERROR(__xludf.DUMMYFUNCTION("TRIM(REGEXREPLACE(C316, ""[0-9]+[a-f]?\."", """"))"),"Children not in list")</f>
        <v>Children not in list</v>
      </c>
      <c r="H316" s="152" t="str">
        <f>IFERROR(__xludf.DUMMYFUNCTION("TRIM(REGEXREPLACE(D316, ""[0-9]+[a-f]?\."", """"))"),"")</f>
        <v/>
      </c>
      <c r="I316" s="152" t="str">
        <f>IFERROR(__xludf.DUMMYFUNCTION("TRIM(REGEXREPLACE(E316, ""[0-9]+[a-f]?\."", """"))"),"")</f>
        <v/>
      </c>
      <c r="J316" s="152" t="s">
        <v>2328</v>
      </c>
      <c r="K316" s="152" t="s">
        <v>2329</v>
      </c>
      <c r="L316" s="152" t="s">
        <v>2331</v>
      </c>
    </row>
    <row r="317" hidden="1">
      <c r="A317" s="65" t="s">
        <v>78</v>
      </c>
      <c r="B317" s="218" t="s">
        <v>2332</v>
      </c>
      <c r="C317" s="28"/>
      <c r="D317" s="28"/>
      <c r="E317" s="28"/>
      <c r="F317" s="161">
        <v>159.0</v>
      </c>
      <c r="G317" s="152" t="str">
        <f>IFERROR(__xludf.DUMMYFUNCTION("TRIM(REGEXREPLACE(C317, ""[0-9]+[a-f]?\."", """"))"),"")</f>
        <v/>
      </c>
      <c r="H317" s="152" t="str">
        <f>IFERROR(__xludf.DUMMYFUNCTION("TRIM(REGEXREPLACE(D317, ""[0-9]+[a-f]?\."", """"))"),"")</f>
        <v/>
      </c>
      <c r="I317" s="152" t="str">
        <f>IFERROR(__xludf.DUMMYFUNCTION("TRIM(REGEXREPLACE(E317, ""[0-9]+[a-f]?\."", """"))"),"")</f>
        <v/>
      </c>
      <c r="J317" s="152" t="s">
        <v>2333</v>
      </c>
      <c r="K317" s="152" t="s">
        <v>2334</v>
      </c>
      <c r="L317" s="152" t="s">
        <v>2335</v>
      </c>
      <c r="M317" s="152"/>
    </row>
    <row r="318">
      <c r="A318" s="65" t="s">
        <v>246</v>
      </c>
      <c r="B318" s="227" t="s">
        <v>2336</v>
      </c>
      <c r="C318" s="28" t="s">
        <v>2338</v>
      </c>
      <c r="D318" s="28" t="s">
        <v>2339</v>
      </c>
      <c r="E318" s="28" t="s">
        <v>2340</v>
      </c>
      <c r="F318" s="161">
        <v>55.0</v>
      </c>
      <c r="G318" s="152" t="str">
        <f>IFERROR(__xludf.DUMMYFUNCTION("TRIM(REGEXREPLACE(C318, ""[0-9]+[a-f]?\."", """"))"),"What is the name of child #${pm_child_not_in_list_index}?")</f>
        <v>What is the name of child #${pm_child_not_in_list_index}?</v>
      </c>
      <c r="H318" s="152" t="str">
        <f>IFERROR(__xludf.DUMMYFUNCTION("TRIM(REGEXREPLACE(D318, ""[0-9]+[a-f]?\."", """"))"),"Quel est le nom de l'enfant #${pm_child_not_in_list_index} ?")</f>
        <v>Quel est le nom de l'enfant #${pm_child_not_in_list_index} ?</v>
      </c>
      <c r="I318" s="152" t="str">
        <f>IFERROR(__xludf.DUMMYFUNCTION("TRIM(REGEXREPLACE(E318, ""[0-9]+[a-f]?\."", """"))"),"Menene sunan yaro #${pm_child_not_in_list_index}?")</f>
        <v>Menene sunan yaro #${pm_child_not_in_list_index}?</v>
      </c>
      <c r="J318" s="152" t="s">
        <v>2342</v>
      </c>
      <c r="K318" s="152" t="s">
        <v>2343</v>
      </c>
      <c r="L318" s="152" t="s">
        <v>2344</v>
      </c>
      <c r="M318" s="152"/>
    </row>
    <row r="319">
      <c r="A319" s="65" t="s">
        <v>263</v>
      </c>
      <c r="B319" s="227" t="s">
        <v>2345</v>
      </c>
      <c r="C319" s="28" t="s">
        <v>2346</v>
      </c>
      <c r="D319" s="28" t="s">
        <v>2347</v>
      </c>
      <c r="E319" s="28" t="s">
        <v>2348</v>
      </c>
      <c r="F319" s="161">
        <v>56.0</v>
      </c>
      <c r="G319" s="152" t="str">
        <f>IFERROR(__xludf.DUMMYFUNCTION("TRIM(REGEXREPLACE(C319, ""[0-9]+[a-f]?\."", """"))"),"How old is ${pm_child_o_name}?")</f>
        <v>How old is ${pm_child_o_name}?</v>
      </c>
      <c r="H319" s="152" t="str">
        <f>IFERROR(__xludf.DUMMYFUNCTION("TRIM(REGEXREPLACE(D319, ""[0-9]+[a-f]?\."", """"))"),"Quel âge a ${pm_child_o_name} ?")</f>
        <v>Quel âge a ${pm_child_o_name} ?</v>
      </c>
      <c r="I319" s="152" t="str">
        <f>IFERROR(__xludf.DUMMYFUNCTION("TRIM(REGEXREPLACE(E319, ""[0-9]+[a-f]?\."", """"))"),"Shekarun ${pm_child_o_name} nawa?")</f>
        <v>Shekarun ${pm_child_o_name} nawa?</v>
      </c>
      <c r="J319" s="152" t="s">
        <v>2350</v>
      </c>
      <c r="K319" s="152" t="s">
        <v>2351</v>
      </c>
      <c r="L319" s="152" t="s">
        <v>2352</v>
      </c>
    </row>
    <row r="320" hidden="1">
      <c r="A320" s="65" t="s">
        <v>1015</v>
      </c>
      <c r="B320" s="218" t="s">
        <v>2325</v>
      </c>
      <c r="C320" s="28"/>
      <c r="D320" s="28"/>
      <c r="E320" s="28"/>
      <c r="F320" s="161">
        <v>148.0</v>
      </c>
      <c r="G320" s="152" t="str">
        <f>IFERROR(__xludf.DUMMYFUNCTION("TRIM(REGEXREPLACE(C320, ""[0-9]+[a-f]?\."", """"))"),"")</f>
        <v/>
      </c>
      <c r="H320" s="152" t="str">
        <f>IFERROR(__xludf.DUMMYFUNCTION("TRIM(REGEXREPLACE(D320, ""[0-9]+[a-f]?\."", """"))"),"")</f>
        <v/>
      </c>
      <c r="I320" s="152" t="str">
        <f>IFERROR(__xludf.DUMMYFUNCTION("TRIM(REGEXREPLACE(E320, ""[0-9]+[a-f]?\."", """"))"),"")</f>
        <v/>
      </c>
      <c r="J320" s="152" t="s">
        <v>2353</v>
      </c>
      <c r="K320" s="152" t="s">
        <v>2354</v>
      </c>
      <c r="L320" s="152" t="s">
        <v>2355</v>
      </c>
    </row>
    <row r="321">
      <c r="A321" s="68" t="s">
        <v>463</v>
      </c>
      <c r="B321" s="69" t="s">
        <v>2356</v>
      </c>
      <c r="C321" s="28" t="s">
        <v>2357</v>
      </c>
      <c r="D321" s="28" t="s">
        <v>2358</v>
      </c>
      <c r="E321" s="28" t="s">
        <v>2359</v>
      </c>
      <c r="F321" s="161">
        <v>57.0</v>
      </c>
      <c r="G321" s="152" t="str">
        <f>IFERROR(__xludf.DUMMYFUNCTION("TRIM(REGEXREPLACE(C321, ""[0-9]+[a-f]?\."", """"))"),"Are you married?")</f>
        <v>Are you married?</v>
      </c>
      <c r="H321" s="152" t="str">
        <f>IFERROR(__xludf.DUMMYFUNCTION("TRIM(REGEXREPLACE(D321, ""[0-9]+[a-f]?\."", """"))"),"Êtes-vous marié?")</f>
        <v>Êtes-vous marié?</v>
      </c>
      <c r="I321" s="152" t="str">
        <f>IFERROR(__xludf.DUMMYFUNCTION("TRIM(REGEXREPLACE(E321, ""[0-9]+[a-f]?\."", """"))"),"Ko kana da aure?")</f>
        <v>Ko kana da aure?</v>
      </c>
      <c r="J321" s="152" t="s">
        <v>2362</v>
      </c>
      <c r="K321" s="152" t="s">
        <v>2363</v>
      </c>
      <c r="L321" s="152" t="s">
        <v>2364</v>
      </c>
      <c r="M321" s="152"/>
    </row>
    <row r="322">
      <c r="A322" s="65" t="s">
        <v>2365</v>
      </c>
      <c r="B322" s="218" t="s">
        <v>2366</v>
      </c>
      <c r="C322" s="28" t="s">
        <v>2367</v>
      </c>
      <c r="D322" s="28" t="s">
        <v>2368</v>
      </c>
      <c r="E322" s="28" t="s">
        <v>2369</v>
      </c>
      <c r="F322" s="161">
        <v>58.0</v>
      </c>
      <c r="G322" s="152" t="str">
        <f>IFERROR(__xludf.DUMMYFUNCTION("TRIM(REGEXREPLACE(C322, ""[0-9]+[a-f]?\."", """"))"),"Please identify your spouse from the following list of female household members:")</f>
        <v>Please identify your spouse from the following list of female household members:</v>
      </c>
      <c r="H322" s="152" t="str">
        <f>IFERROR(__xludf.DUMMYFUNCTION("TRIM(REGEXREPLACE(D322, ""[0-9]+[a-f]?\."", """"))"),"Veuillez identifier votre conjoint à partir de la liste des membres féminins suivants du ménage :")</f>
        <v>Veuillez identifier votre conjoint à partir de la liste des membres féminins suivants du ménage :</v>
      </c>
      <c r="I322" s="152" t="str">
        <f>IFERROR(__xludf.DUMMYFUNCTION("TRIM(REGEXREPLACE(E322, ""[0-9]+[a-f]?\."", """"))"),"Da fatan za ka bayyana sunan matar ka daga cikin jerin sunayen ƴan gidan ku mata masu zuwa:")</f>
        <v>Da fatan za ka bayyana sunan matar ka daga cikin jerin sunayen ƴan gidan ku mata masu zuwa:</v>
      </c>
      <c r="J322" s="152" t="s">
        <v>2370</v>
      </c>
      <c r="K322" s="152" t="s">
        <v>2371</v>
      </c>
      <c r="L322" s="152" t="s">
        <v>2372</v>
      </c>
      <c r="M322" s="152"/>
    </row>
    <row r="323">
      <c r="A323" s="65" t="s">
        <v>263</v>
      </c>
      <c r="B323" s="219" t="s">
        <v>2373</v>
      </c>
      <c r="C323" s="28" t="s">
        <v>2374</v>
      </c>
      <c r="D323" s="28" t="s">
        <v>2375</v>
      </c>
      <c r="E323" s="28" t="s">
        <v>2376</v>
      </c>
      <c r="F323" s="161">
        <v>59.0</v>
      </c>
      <c r="G323" s="152" t="str">
        <f>IFERROR(__xludf.DUMMYFUNCTION("TRIM(REGEXREPLACE(C323, ""[0-9]+[a-f]?\."", """"))"),"How many spouse were not in the list?")</f>
        <v>How many spouse were not in the list?</v>
      </c>
      <c r="H323" s="152" t="str">
        <f>IFERROR(__xludf.DUMMYFUNCTION("TRIM(REGEXREPLACE(D323, ""[0-9]+[a-f]?\."", """"))"),"Combien de conjoints ne figuraient pas sur la liste ?")</f>
        <v>Combien de conjoints ne figuraient pas sur la liste ?</v>
      </c>
      <c r="I323" s="152" t="str">
        <f>IFERROR(__xludf.DUMMYFUNCTION("TRIM(REGEXREPLACE(E323, ""[0-9]+[a-f]?\."", """"))"),"Ma'aurata nawa ne babu su cikin jerin sunayen?")</f>
        <v>Ma'aurata nawa ne babu su cikin jerin sunayen?</v>
      </c>
      <c r="J323" s="152" t="s">
        <v>2379</v>
      </c>
      <c r="K323" s="152" t="s">
        <v>2380</v>
      </c>
      <c r="L323" s="152" t="s">
        <v>2381</v>
      </c>
      <c r="M323" s="152"/>
    </row>
    <row r="324" hidden="1">
      <c r="A324" s="65" t="s">
        <v>698</v>
      </c>
      <c r="B324" s="218" t="s">
        <v>2382</v>
      </c>
      <c r="C324" s="28" t="s">
        <v>2383</v>
      </c>
      <c r="D324" s="28"/>
      <c r="E324" s="28"/>
      <c r="F324" s="161">
        <v>152.0</v>
      </c>
      <c r="G324" s="152" t="str">
        <f>IFERROR(__xludf.DUMMYFUNCTION("TRIM(REGEXREPLACE(C324, ""[0-9]+[a-f]?\."", """"))"),"Spouse not in list")</f>
        <v>Spouse not in list</v>
      </c>
      <c r="H324" s="152" t="str">
        <f>IFERROR(__xludf.DUMMYFUNCTION("TRIM(REGEXREPLACE(D324, ""[0-9]+[a-f]?\."", """"))"),"")</f>
        <v/>
      </c>
      <c r="I324" s="152" t="str">
        <f>IFERROR(__xludf.DUMMYFUNCTION("TRIM(REGEXREPLACE(E324, ""[0-9]+[a-f]?\."", """"))"),"")</f>
        <v/>
      </c>
      <c r="J324" s="152" t="s">
        <v>2384</v>
      </c>
      <c r="K324" s="152" t="s">
        <v>2385</v>
      </c>
      <c r="L324" s="152" t="s">
        <v>2386</v>
      </c>
      <c r="M324" s="152"/>
    </row>
    <row r="325" hidden="1">
      <c r="A325" s="65" t="s">
        <v>78</v>
      </c>
      <c r="B325" s="218" t="s">
        <v>2387</v>
      </c>
      <c r="C325" s="28"/>
      <c r="D325" s="28"/>
      <c r="E325" s="28"/>
      <c r="F325" s="161">
        <v>153.0</v>
      </c>
      <c r="G325" s="152" t="str">
        <f>IFERROR(__xludf.DUMMYFUNCTION("TRIM(REGEXREPLACE(C325, ""[0-9]+[a-f]?\."", """"))"),"")</f>
        <v/>
      </c>
      <c r="H325" s="152" t="str">
        <f>IFERROR(__xludf.DUMMYFUNCTION("TRIM(REGEXREPLACE(D325, ""[0-9]+[a-f]?\."", """"))"),"")</f>
        <v/>
      </c>
      <c r="I325" s="152" t="str">
        <f>IFERROR(__xludf.DUMMYFUNCTION("TRIM(REGEXREPLACE(E325, ""[0-9]+[a-f]?\."", """"))"),"")</f>
        <v/>
      </c>
      <c r="J325" s="152" t="s">
        <v>2389</v>
      </c>
      <c r="K325" s="152" t="s">
        <v>2390</v>
      </c>
      <c r="L325" s="152" t="s">
        <v>2391</v>
      </c>
      <c r="M325" s="152"/>
    </row>
    <row r="326">
      <c r="A326" s="65" t="s">
        <v>246</v>
      </c>
      <c r="B326" s="227" t="s">
        <v>2392</v>
      </c>
      <c r="C326" s="28" t="s">
        <v>2393</v>
      </c>
      <c r="D326" s="28" t="s">
        <v>2394</v>
      </c>
      <c r="E326" s="28" t="s">
        <v>2396</v>
      </c>
      <c r="F326" s="161">
        <v>60.0</v>
      </c>
      <c r="G326" s="152" t="str">
        <f>IFERROR(__xludf.DUMMYFUNCTION("TRIM(REGEXREPLACE(C326, ""[0-9]+[a-f]?\."", """"))"),"What is the name of spouse #${pm_spouse_not_in_list_index}?")</f>
        <v>What is the name of spouse #${pm_spouse_not_in_list_index}?</v>
      </c>
      <c r="H326" s="152" t="str">
        <f>IFERROR(__xludf.DUMMYFUNCTION("TRIM(REGEXREPLACE(D326, ""[0-9]+[a-f]?\."", """"))"),"Quel est le nom du conjoint #${pm_spouse_not_in_list_index} ?")</f>
        <v>Quel est le nom du conjoint #${pm_spouse_not_in_list_index} ?</v>
      </c>
      <c r="I326" s="152" t="str">
        <f>IFERROR(__xludf.DUMMYFUNCTION("TRIM(REGEXREPLACE(E326, ""[0-9]+[a-f]?\."", """"))"),"Menene sunan matar #${pm_spouse_not_in_list_index}?")</f>
        <v>Menene sunan matar #${pm_spouse_not_in_list_index}?</v>
      </c>
      <c r="J326" s="152" t="s">
        <v>2397</v>
      </c>
      <c r="K326" s="152" t="s">
        <v>2398</v>
      </c>
      <c r="L326" s="152" t="s">
        <v>2399</v>
      </c>
    </row>
    <row r="327">
      <c r="A327" s="65" t="s">
        <v>263</v>
      </c>
      <c r="B327" s="227" t="s">
        <v>2401</v>
      </c>
      <c r="C327" s="28" t="s">
        <v>2402</v>
      </c>
      <c r="D327" s="28" t="s">
        <v>2403</v>
      </c>
      <c r="E327" s="28" t="s">
        <v>2404</v>
      </c>
      <c r="F327" s="161">
        <v>61.0</v>
      </c>
      <c r="G327" s="152" t="str">
        <f>IFERROR(__xludf.DUMMYFUNCTION("TRIM(REGEXREPLACE(C327, ""[0-9]+[a-f]?\."", """"))"),"How old is ${pm_spouse_o_name}?")</f>
        <v>How old is ${pm_spouse_o_name}?</v>
      </c>
      <c r="H327" s="152" t="str">
        <f>IFERROR(__xludf.DUMMYFUNCTION("TRIM(REGEXREPLACE(D327, ""[0-9]+[a-f]?\."", """"))"),"Quel âge a ${pm_spouse_o_name} ?")</f>
        <v>Quel âge a ${pm_spouse_o_name} ?</v>
      </c>
      <c r="I327" s="152" t="str">
        <f>IFERROR(__xludf.DUMMYFUNCTION("TRIM(REGEXREPLACE(E327, ""[0-9]+[a-f]?\."", """"))"),"Shekarun ${pm_spouse_o_name} nawa2?")</f>
        <v>Shekarun ${pm_spouse_o_name} nawa2?</v>
      </c>
      <c r="J327" s="152" t="s">
        <v>2405</v>
      </c>
      <c r="K327" s="152" t="s">
        <v>2406</v>
      </c>
      <c r="L327" s="152" t="s">
        <v>2407</v>
      </c>
    </row>
    <row r="328" hidden="1">
      <c r="A328" s="65" t="s">
        <v>1015</v>
      </c>
      <c r="B328" s="218" t="s">
        <v>2382</v>
      </c>
      <c r="C328" s="28"/>
      <c r="D328" s="28"/>
      <c r="E328" s="28"/>
      <c r="F328" s="161">
        <v>156.0</v>
      </c>
      <c r="G328" s="152" t="str">
        <f>IFERROR(__xludf.DUMMYFUNCTION("TRIM(REGEXREPLACE(C328, ""[0-9]+[a-f]?\."", """"))"),"")</f>
        <v/>
      </c>
      <c r="H328" s="152" t="str">
        <f>IFERROR(__xludf.DUMMYFUNCTION("TRIM(REGEXREPLACE(D328, ""[0-9]+[a-f]?\."", """"))"),"")</f>
        <v/>
      </c>
      <c r="I328" s="152" t="str">
        <f>IFERROR(__xludf.DUMMYFUNCTION("TRIM(REGEXREPLACE(E328, ""[0-9]+[a-f]?\."", """"))"),"")</f>
        <v/>
      </c>
      <c r="J328" s="152" t="s">
        <v>2408</v>
      </c>
      <c r="K328" s="152" t="s">
        <v>2409</v>
      </c>
      <c r="L328" s="152" t="s">
        <v>2411</v>
      </c>
      <c r="M328" s="152"/>
    </row>
    <row r="329" hidden="1">
      <c r="A329" s="65" t="s">
        <v>237</v>
      </c>
      <c r="B329" s="218" t="s">
        <v>2287</v>
      </c>
      <c r="C329" s="28"/>
      <c r="D329" s="28"/>
      <c r="E329" s="28"/>
      <c r="F329" s="161">
        <v>157.0</v>
      </c>
      <c r="G329" s="152" t="str">
        <f>IFERROR(__xludf.DUMMYFUNCTION("TRIM(REGEXREPLACE(C329, ""[0-9]+[a-f]?\."", """"))"),"")</f>
        <v/>
      </c>
      <c r="H329" s="152" t="str">
        <f>IFERROR(__xludf.DUMMYFUNCTION("TRIM(REGEXREPLACE(D329, ""[0-9]+[a-f]?\."", """"))"),"")</f>
        <v/>
      </c>
      <c r="I329" s="152" t="str">
        <f>IFERROR(__xludf.DUMMYFUNCTION("TRIM(REGEXREPLACE(E329, ""[0-9]+[a-f]?\."", """"))"),"")</f>
        <v/>
      </c>
      <c r="J329" s="152" t="s">
        <v>2413</v>
      </c>
      <c r="K329" s="152" t="s">
        <v>2414</v>
      </c>
      <c r="L329" s="152" t="s">
        <v>2415</v>
      </c>
    </row>
    <row r="330" hidden="1">
      <c r="A330" s="65" t="s">
        <v>134</v>
      </c>
      <c r="B330" s="66" t="s">
        <v>2416</v>
      </c>
      <c r="C330" s="28"/>
      <c r="D330" s="28"/>
      <c r="E330" s="28"/>
      <c r="F330" s="161">
        <v>158.0</v>
      </c>
      <c r="G330" s="152" t="str">
        <f>IFERROR(__xludf.DUMMYFUNCTION("TRIM(REGEXREPLACE(C330, ""[0-9]+[a-f]?\."", """"))"),"")</f>
        <v/>
      </c>
      <c r="H330" s="152" t="str">
        <f>IFERROR(__xludf.DUMMYFUNCTION("TRIM(REGEXREPLACE(D330, ""[0-9]+[a-f]?\."", """"))"),"")</f>
        <v/>
      </c>
      <c r="I330" s="152" t="str">
        <f>IFERROR(__xludf.DUMMYFUNCTION("TRIM(REGEXREPLACE(E330, ""[0-9]+[a-f]?\."", """"))"),"")</f>
        <v/>
      </c>
      <c r="J330" s="152" t="s">
        <v>2417</v>
      </c>
      <c r="K330" s="152" t="s">
        <v>2418</v>
      </c>
      <c r="L330" s="152" t="s">
        <v>2419</v>
      </c>
      <c r="M330" s="152"/>
    </row>
    <row r="331" hidden="1">
      <c r="A331" s="58" t="s">
        <v>78</v>
      </c>
      <c r="B331" s="58" t="s">
        <v>2421</v>
      </c>
      <c r="C331" s="28"/>
      <c r="D331" s="28"/>
      <c r="E331" s="28"/>
      <c r="F331" s="161">
        <v>168.0</v>
      </c>
      <c r="G331" s="152" t="str">
        <f>IFERROR(__xludf.DUMMYFUNCTION("TRIM(REGEXREPLACE(C331, ""[0-9]+[a-f]?\."", """"))"),"")</f>
        <v/>
      </c>
      <c r="H331" s="152" t="str">
        <f>IFERROR(__xludf.DUMMYFUNCTION("TRIM(REGEXREPLACE(D331, ""[0-9]+[a-f]?\."", """"))"),"")</f>
        <v/>
      </c>
      <c r="I331" s="152" t="str">
        <f>IFERROR(__xludf.DUMMYFUNCTION("TRIM(REGEXREPLACE(E331, ""[0-9]+[a-f]?\."", """"))"),"")</f>
        <v/>
      </c>
      <c r="J331" s="152" t="s">
        <v>2423</v>
      </c>
      <c r="K331" s="152" t="s">
        <v>2424</v>
      </c>
      <c r="L331" s="152" t="s">
        <v>2425</v>
      </c>
      <c r="M331" s="152"/>
    </row>
    <row r="332" hidden="1">
      <c r="A332" s="214"/>
      <c r="B332" s="66"/>
      <c r="C332" s="28"/>
      <c r="D332" s="28"/>
      <c r="E332" s="28"/>
      <c r="F332" s="161">
        <v>169.0</v>
      </c>
      <c r="G332" s="152" t="str">
        <f>IFERROR(__xludf.DUMMYFUNCTION("TRIM(REGEXREPLACE(C332, ""[0-9]+[a-f]?\."", """"))"),"")</f>
        <v/>
      </c>
      <c r="H332" s="152" t="str">
        <f>IFERROR(__xludf.DUMMYFUNCTION("TRIM(REGEXREPLACE(D332, ""[0-9]+[a-f]?\."", """"))"),"")</f>
        <v/>
      </c>
      <c r="I332" s="152" t="str">
        <f>IFERROR(__xludf.DUMMYFUNCTION("TRIM(REGEXREPLACE(E332, ""[0-9]+[a-f]?\."", """"))"),"")</f>
        <v/>
      </c>
      <c r="J332" s="152" t="s">
        <v>2426</v>
      </c>
      <c r="K332" s="152" t="s">
        <v>2427</v>
      </c>
      <c r="L332" s="152" t="s">
        <v>2428</v>
      </c>
    </row>
    <row r="333" hidden="1">
      <c r="A333" s="214" t="s">
        <v>134</v>
      </c>
      <c r="B333" s="66" t="s">
        <v>2430</v>
      </c>
      <c r="C333" s="28"/>
      <c r="D333" s="28"/>
      <c r="E333" s="28"/>
      <c r="F333" s="161">
        <v>170.0</v>
      </c>
      <c r="G333" s="152" t="str">
        <f>IFERROR(__xludf.DUMMYFUNCTION("TRIM(REGEXREPLACE(C333, ""[0-9]+[a-f]?\."", """"))"),"")</f>
        <v/>
      </c>
      <c r="H333" s="152" t="str">
        <f>IFERROR(__xludf.DUMMYFUNCTION("TRIM(REGEXREPLACE(D333, ""[0-9]+[a-f]?\."", """"))"),"")</f>
        <v/>
      </c>
      <c r="I333" s="152" t="str">
        <f>IFERROR(__xludf.DUMMYFUNCTION("TRIM(REGEXREPLACE(E333, ""[0-9]+[a-f]?\."", """"))"),"")</f>
        <v/>
      </c>
      <c r="J333" s="152" t="s">
        <v>2431</v>
      </c>
      <c r="K333" s="152" t="s">
        <v>2432</v>
      </c>
      <c r="L333" s="152" t="s">
        <v>2433</v>
      </c>
      <c r="M333" s="152"/>
    </row>
    <row r="334">
      <c r="A334" s="166" t="s">
        <v>41</v>
      </c>
      <c r="B334" s="167" t="s">
        <v>2435</v>
      </c>
      <c r="C334" s="28" t="s">
        <v>2436</v>
      </c>
      <c r="D334" s="28" t="s">
        <v>2437</v>
      </c>
      <c r="E334" s="28" t="s">
        <v>2438</v>
      </c>
      <c r="F334" s="161">
        <v>62.0</v>
      </c>
      <c r="G334" s="152" t="str">
        <f>IFERROR(__xludf.DUMMYFUNCTION("TRIM(REGEXREPLACE(C334, ""[0-9]+[a-f]?\."", """"))"),"We would like to ask you some questions about your life and activities during the period from ${period}. Think about the period from ${period} when answering the following questions.")</f>
        <v>We would like to ask you some questions about your life and activities during the period from ${period}. Think about the period from ${period} when answering the following questions.</v>
      </c>
      <c r="H334" s="152" t="str">
        <f>IFERROR(__xludf.DUMMYFUNCTION("TRIM(REGEXREPLACE(D334, ""[0-9]+[a-f]?\."", """"))"),"Nous aimerions vous poser quelques questions sur votre vie et vos activités pendant la période du ${period_french}. Pensez à la période à partir de ${period_french} lorsque vous répondez aux questions suivantes.")</f>
        <v>Nous aimerions vous poser quelques questions sur votre vie et vos activités pendant la période du ${period_french}. Pensez à la période à partir de ${period_french} lorsque vous répondez aux questions suivantes.</v>
      </c>
      <c r="I334" s="152" t="str">
        <f>IFERROR(__xludf.DUMMYFUNCTION("TRIM(REGEXREPLACE(E334, ""[0-9]+[a-f]?\."", """"))"),"Muna son mu yi muku wasu tambayoyi bisa rayuwarku da ayyukanku a cikin lokacin ${period_hausa}. Ku tuna da lokacin ${period_hausa} in zaku bada amsar tambayoyin nan masu zuwa.")</f>
        <v>Muna son mu yi muku wasu tambayoyi bisa rayuwarku da ayyukanku a cikin lokacin ${period_hausa}. Ku tuna da lokacin ${period_hausa} in zaku bada amsar tambayoyin nan masu zuwa.</v>
      </c>
      <c r="J334" s="152" t="s">
        <v>2439</v>
      </c>
      <c r="K334" s="152" t="s">
        <v>2440</v>
      </c>
      <c r="L334" s="152" t="s">
        <v>2441</v>
      </c>
      <c r="M334" s="152"/>
    </row>
    <row r="335">
      <c r="A335" s="65" t="s">
        <v>41</v>
      </c>
      <c r="B335" s="65" t="s">
        <v>2443</v>
      </c>
      <c r="C335" s="28" t="s">
        <v>2444</v>
      </c>
      <c r="D335" s="28" t="s">
        <v>2445</v>
      </c>
      <c r="E335" s="28" t="s">
        <v>2446</v>
      </c>
      <c r="F335" s="161">
        <v>63.0</v>
      </c>
      <c r="G335" s="152" t="str">
        <f>IFERROR(__xludf.DUMMYFUNCTION("TRIM(REGEXREPLACE(C335, ""[0-9]+[a-f]?\."", """"))"),"Now we'd like to ask you about your whereabouts.")</f>
        <v>Now we'd like to ask you about your whereabouts.</v>
      </c>
      <c r="H335" s="152" t="str">
        <f>IFERROR(__xludf.DUMMYFUNCTION("TRIM(REGEXREPLACE(D335, ""[0-9]+[a-f]?\."", """"))"),"Nous aimerions maintenant vous demander où vous vous trouvez.")</f>
        <v>Nous aimerions maintenant vous demander où vous vous trouvez.</v>
      </c>
      <c r="I335" s="152" t="str">
        <f>IFERROR(__xludf.DUMMYFUNCTION("TRIM(REGEXREPLACE(E335, ""[0-9]+[a-f]?\."", """"))"),"Yanzu muna so mu tambaye ku game da inda kuke.")</f>
        <v>Yanzu muna so mu tambaye ku game da inda kuke.</v>
      </c>
      <c r="J335" s="152" t="s">
        <v>2447</v>
      </c>
      <c r="K335" s="152" t="s">
        <v>2448</v>
      </c>
      <c r="L335" s="152" t="s">
        <v>2450</v>
      </c>
      <c r="M335" s="152"/>
    </row>
    <row r="336">
      <c r="A336" s="68" t="s">
        <v>463</v>
      </c>
      <c r="B336" s="169" t="s">
        <v>2451</v>
      </c>
      <c r="C336" s="28" t="s">
        <v>2452</v>
      </c>
      <c r="D336" s="28" t="s">
        <v>2453</v>
      </c>
      <c r="E336" s="28" t="s">
        <v>2454</v>
      </c>
      <c r="F336" s="161">
        <v>64.0</v>
      </c>
      <c r="G336" s="152" t="str">
        <f>IFERROR(__xludf.DUMMYFUNCTION("TRIM(REGEXREPLACE(C336, ""[0-9]+[a-f]?\."", """"))"),"Think back to the beginning of ${period}, were you living at home in ${pm_home_location}?")</f>
        <v>Think back to the beginning of ${period}, were you living at home in ${pm_home_location}?</v>
      </c>
      <c r="H336" s="152" t="str">
        <f>IFERROR(__xludf.DUMMYFUNCTION("TRIM(REGEXREPLACE(D336, ""[0-9]+[a-f]?\."", """"))"),"Repensez au début de ${period_french}, étiez-vous chez vous à ${pm_home_location} ?")</f>
        <v>Repensez au début de ${period_french}, étiez-vous chez vous à ${pm_home_location} ?</v>
      </c>
      <c r="I336" s="152" t="str">
        <f>IFERROR(__xludf.DUMMYFUNCTION("TRIM(REGEXREPLACE(E336, ""[0-9]+[a-f]?\."", """"))"),"Ku tunada watanni a farkon ${period_hausa}, ko kana nan gida a garin ${pm_home_location}?")</f>
        <v>Ku tunada watanni a farkon ${period_hausa}, ko kana nan gida a garin ${pm_home_location}?</v>
      </c>
      <c r="J336" s="152" t="s">
        <v>2456</v>
      </c>
      <c r="K336" s="152" t="s">
        <v>2457</v>
      </c>
      <c r="L336" s="152" t="s">
        <v>2458</v>
      </c>
      <c r="M336" s="152"/>
    </row>
    <row r="337">
      <c r="A337" s="68" t="s">
        <v>463</v>
      </c>
      <c r="B337" s="169" t="s">
        <v>2459</v>
      </c>
      <c r="C337" s="28" t="s">
        <v>2460</v>
      </c>
      <c r="D337" s="28" t="s">
        <v>2461</v>
      </c>
      <c r="E337" s="28" t="s">
        <v>2462</v>
      </c>
      <c r="F337" s="161">
        <v>65.0</v>
      </c>
      <c r="G337" s="152" t="str">
        <f>IFERROR(__xludf.DUMMYFUNCTION("TRIM(REGEXREPLACE(C337, ""[0-9]+[a-f]?\."", """"))"),"Where were you living at this time?
 Enumerator: Is location in Niger?")</f>
        <v>Where were you living at this time?
 Enumerator: Is location in Niger?</v>
      </c>
      <c r="H337" s="152" t="str">
        <f>IFERROR(__xludf.DUMMYFUNCTION("TRIM(REGEXREPLACE(D337, ""[0-9]+[a-f]?\."", """"))"),"Où étiez-vous à cette époque ?
 Enquêteur : La localité est-elle au Niger ?")</f>
        <v>Où étiez-vous à cette époque ?
 Enquêteur : La localité est-elle au Niger ?</v>
      </c>
      <c r="I337" s="152" t="str">
        <f>IFERROR(__xludf.DUMMYFUNCTION("TRIM(REGEXREPLACE(E337, ""[0-9]+[a-f]?\."", """"))"),"A ina kake a wannan lokacin?
 Ɗan bincike : Ko wurin a cikin Nijar ne?")</f>
        <v>A ina kake a wannan lokacin?
 Ɗan bincike : Ko wurin a cikin Nijar ne?</v>
      </c>
      <c r="J337" s="152" t="s">
        <v>2463</v>
      </c>
      <c r="K337" s="152" t="s">
        <v>2464</v>
      </c>
      <c r="L337" s="152" t="s">
        <v>2465</v>
      </c>
      <c r="M337" s="152"/>
    </row>
    <row r="338">
      <c r="A338" s="68" t="s">
        <v>738</v>
      </c>
      <c r="B338" s="169" t="s">
        <v>2466</v>
      </c>
      <c r="C338" s="28" t="s">
        <v>2467</v>
      </c>
      <c r="D338" s="28" t="s">
        <v>2469</v>
      </c>
      <c r="E338" s="28" t="s">
        <v>2471</v>
      </c>
      <c r="F338" s="161">
        <v>66.0</v>
      </c>
      <c r="G338" s="152" t="str">
        <f>IFERROR(__xludf.DUMMYFUNCTION("TRIM(REGEXREPLACE(C338, ""[0-9]+[a-f]?\."", """"))"),"Enumerator: Select region in Niger")</f>
        <v>Enumerator: Select region in Niger</v>
      </c>
      <c r="H338" s="152" t="str">
        <f>IFERROR(__xludf.DUMMYFUNCTION("TRIM(REGEXREPLACE(D338, ""[0-9]+[a-f]?\."", """"))"),"Enquêteur : Sélectionnez une région au Niger")</f>
        <v>Enquêteur : Sélectionnez une région au Niger</v>
      </c>
      <c r="I338" s="152" t="str">
        <f>IFERROR(__xludf.DUMMYFUNCTION("TRIM(REGEXREPLACE(E338, ""[0-9]+[a-f]?\."", """"))"),"Ɗan bincike: Zaɓi Jaha ɗaya a Nijar")</f>
        <v>Ɗan bincike: Zaɓi Jaha ɗaya a Nijar</v>
      </c>
      <c r="J338" s="152" t="s">
        <v>2472</v>
      </c>
      <c r="K338" s="152" t="s">
        <v>2473</v>
      </c>
      <c r="L338" s="152" t="s">
        <v>2474</v>
      </c>
      <c r="M338" s="152"/>
    </row>
    <row r="339">
      <c r="A339" s="68" t="s">
        <v>749</v>
      </c>
      <c r="B339" s="169" t="s">
        <v>2475</v>
      </c>
      <c r="C339" s="28" t="s">
        <v>2476</v>
      </c>
      <c r="D339" s="28" t="s">
        <v>2477</v>
      </c>
      <c r="E339" s="28" t="s">
        <v>2478</v>
      </c>
      <c r="F339" s="161">
        <v>67.0</v>
      </c>
      <c r="G339" s="152" t="str">
        <f>IFERROR(__xludf.DUMMYFUNCTION("TRIM(REGEXREPLACE(C339, ""[0-9]+[a-f]?\."", """"))"),"Enumerator: Select country")</f>
        <v>Enumerator: Select country</v>
      </c>
      <c r="H339" s="152" t="str">
        <f>IFERROR(__xludf.DUMMYFUNCTION("TRIM(REGEXREPLACE(D339, ""[0-9]+[a-f]?\."", """"))"),"Enquêteur : sélectionnez le pays")</f>
        <v>Enquêteur : sélectionnez le pays</v>
      </c>
      <c r="I339" s="152" t="str">
        <f>IFERROR(__xludf.DUMMYFUNCTION("TRIM(REGEXREPLACE(E339, ""[0-9]+[a-f]?\."", """"))"),"Ɗan bincike: Zaɓi ƙasa")</f>
        <v>Ɗan bincike: Zaɓi ƙasa</v>
      </c>
      <c r="J339" s="152" t="s">
        <v>2479</v>
      </c>
      <c r="K339" s="152" t="s">
        <v>2481</v>
      </c>
      <c r="L339" s="152" t="s">
        <v>2482</v>
      </c>
    </row>
    <row r="340">
      <c r="A340" s="179" t="s">
        <v>246</v>
      </c>
      <c r="B340" s="180" t="s">
        <v>2483</v>
      </c>
      <c r="C340" s="28" t="s">
        <v>2484</v>
      </c>
      <c r="D340" s="28" t="s">
        <v>2485</v>
      </c>
      <c r="E340" s="28" t="s">
        <v>2486</v>
      </c>
      <c r="F340" s="161">
        <v>68.0</v>
      </c>
      <c r="G340" s="152" t="str">
        <f>IFERROR(__xludf.DUMMYFUNCTION("TRIM(REGEXREPLACE(C340, ""[0-9]+[a-f]?\."", """"))"),"Enumerator: Enter other country")</f>
        <v>Enumerator: Enter other country</v>
      </c>
      <c r="H340" s="152" t="str">
        <f>IFERROR(__xludf.DUMMYFUNCTION("TRIM(REGEXREPLACE(D340, ""[0-9]+[a-f]?\."", """"))"),"Enquêteur : Entrez un autre pays")</f>
        <v>Enquêteur : Entrez un autre pays</v>
      </c>
      <c r="I340" s="152" t="str">
        <f>IFERROR(__xludf.DUMMYFUNCTION("TRIM(REGEXREPLACE(E340, ""[0-9]+[a-f]?\."", """"))"),"Ɗan bincike: Shigar da wata ƙasa")</f>
        <v>Ɗan bincike: Shigar da wata ƙasa</v>
      </c>
      <c r="J340" s="152" t="s">
        <v>2488</v>
      </c>
      <c r="K340" s="152" t="s">
        <v>2489</v>
      </c>
      <c r="L340" s="152" t="s">
        <v>2490</v>
      </c>
    </row>
    <row r="341">
      <c r="A341" s="68" t="s">
        <v>785</v>
      </c>
      <c r="B341" s="169" t="s">
        <v>2491</v>
      </c>
      <c r="C341" s="28" t="s">
        <v>2492</v>
      </c>
      <c r="D341" s="28" t="s">
        <v>2493</v>
      </c>
      <c r="E341" s="28" t="s">
        <v>2494</v>
      </c>
      <c r="F341" s="161">
        <v>69.0</v>
      </c>
      <c r="G341" s="152" t="str">
        <f>IFERROR(__xludf.DUMMYFUNCTION("TRIM(REGEXREPLACE(C341, ""[0-9]+[a-f]?\."", """"))"),"Enumerator: Select town")</f>
        <v>Enumerator: Select town</v>
      </c>
      <c r="H341" s="152" t="str">
        <f>IFERROR(__xludf.DUMMYFUNCTION("TRIM(REGEXREPLACE(D341, ""[0-9]+[a-f]?\."", """"))"),"Enquêteur : Sélectionnez la ville")</f>
        <v>Enquêteur : Sélectionnez la ville</v>
      </c>
      <c r="I341" s="152" t="str">
        <f>IFERROR(__xludf.DUMMYFUNCTION("TRIM(REGEXREPLACE(E341, ""[0-9]+[a-f]?\."", """"))"),"Ɗan bincike: Zaɓi gari")</f>
        <v>Ɗan bincike: Zaɓi gari</v>
      </c>
      <c r="J341" s="152" t="s">
        <v>2496</v>
      </c>
      <c r="K341" s="152" t="s">
        <v>2497</v>
      </c>
      <c r="L341" s="152" t="s">
        <v>2498</v>
      </c>
    </row>
    <row r="342">
      <c r="A342" s="179" t="s">
        <v>246</v>
      </c>
      <c r="B342" s="180" t="s">
        <v>2499</v>
      </c>
      <c r="C342" s="28" t="s">
        <v>2500</v>
      </c>
      <c r="D342" s="28" t="s">
        <v>2501</v>
      </c>
      <c r="E342" s="28" t="s">
        <v>2502</v>
      </c>
      <c r="F342" s="161">
        <v>70.0</v>
      </c>
      <c r="G342" s="152" t="str">
        <f>IFERROR(__xludf.DUMMYFUNCTION("TRIM(REGEXREPLACE(C342, ""[0-9]+[a-f]?\."", """"))"),"Other, specify:")</f>
        <v>Other, specify:</v>
      </c>
      <c r="H342" s="152" t="str">
        <f>IFERROR(__xludf.DUMMYFUNCTION("TRIM(REGEXREPLACE(D342, ""[0-9]+[a-f]?\."", """"))"),"Autre précisez:")</f>
        <v>Autre précisez:</v>
      </c>
      <c r="I342" s="152" t="str">
        <f>IFERROR(__xludf.DUMMYFUNCTION("TRIM(REGEXREPLACE(E342, ""[0-9]+[a-f]?\."", """"))"),"Wani daban baiyana:")</f>
        <v>Wani daban baiyana:</v>
      </c>
      <c r="J342" s="152" t="s">
        <v>2503</v>
      </c>
      <c r="K342" s="152" t="s">
        <v>2504</v>
      </c>
      <c r="L342" s="152" t="s">
        <v>2505</v>
      </c>
      <c r="M342" s="152"/>
    </row>
    <row r="343" hidden="1">
      <c r="A343" s="90" t="s">
        <v>78</v>
      </c>
      <c r="B343" s="92" t="s">
        <v>2506</v>
      </c>
      <c r="C343" s="28"/>
      <c r="D343" s="28"/>
      <c r="E343" s="28"/>
      <c r="F343" s="161">
        <v>163.0</v>
      </c>
      <c r="G343" s="152" t="str">
        <f>IFERROR(__xludf.DUMMYFUNCTION("TRIM(REGEXREPLACE(C343, ""[0-9]+[a-f]?\."", """"))"),"")</f>
        <v/>
      </c>
      <c r="H343" s="152" t="str">
        <f>IFERROR(__xludf.DUMMYFUNCTION("TRIM(REGEXREPLACE(D343, ""[0-9]+[a-f]?\."", """"))"),"")</f>
        <v/>
      </c>
      <c r="I343" s="152" t="str">
        <f>IFERROR(__xludf.DUMMYFUNCTION("TRIM(REGEXREPLACE(E343, ""[0-9]+[a-f]?\."", """"))"),"")</f>
        <v/>
      </c>
      <c r="J343" s="152" t="s">
        <v>2507</v>
      </c>
      <c r="K343" s="152" t="s">
        <v>2508</v>
      </c>
      <c r="L343" s="152" t="s">
        <v>2509</v>
      </c>
      <c r="M343" s="152"/>
    </row>
    <row r="344" hidden="1">
      <c r="A344" s="90" t="s">
        <v>78</v>
      </c>
      <c r="B344" s="92" t="s">
        <v>2510</v>
      </c>
      <c r="C344" s="28"/>
      <c r="D344" s="28"/>
      <c r="E344" s="28"/>
      <c r="F344" s="161">
        <v>164.0</v>
      </c>
      <c r="G344" s="152" t="str">
        <f>IFERROR(__xludf.DUMMYFUNCTION("TRIM(REGEXREPLACE(C344, ""[0-9]+[a-f]?\."", """"))"),"")</f>
        <v/>
      </c>
      <c r="H344" s="152" t="str">
        <f>IFERROR(__xludf.DUMMYFUNCTION("TRIM(REGEXREPLACE(D344, ""[0-9]+[a-f]?\."", """"))"),"")</f>
        <v/>
      </c>
      <c r="I344" s="152" t="str">
        <f>IFERROR(__xludf.DUMMYFUNCTION("TRIM(REGEXREPLACE(E344, ""[0-9]+[a-f]?\."", """"))"),"")</f>
        <v/>
      </c>
      <c r="J344" s="152" t="s">
        <v>2512</v>
      </c>
      <c r="K344" s="152" t="s">
        <v>2514</v>
      </c>
      <c r="L344" s="152" t="s">
        <v>2515</v>
      </c>
      <c r="M344" s="152"/>
    </row>
    <row r="345" hidden="1">
      <c r="A345" s="90" t="s">
        <v>78</v>
      </c>
      <c r="B345" s="92" t="s">
        <v>2516</v>
      </c>
      <c r="C345" s="28"/>
      <c r="D345" s="28"/>
      <c r="E345" s="28"/>
      <c r="F345" s="161">
        <v>165.0</v>
      </c>
      <c r="G345" s="152" t="str">
        <f>IFERROR(__xludf.DUMMYFUNCTION("TRIM(REGEXREPLACE(C345, ""[0-9]+[a-f]?\."", """"))"),"")</f>
        <v/>
      </c>
      <c r="H345" s="152" t="str">
        <f>IFERROR(__xludf.DUMMYFUNCTION("TRIM(REGEXREPLACE(D345, ""[0-9]+[a-f]?\."", """"))"),"")</f>
        <v/>
      </c>
      <c r="I345" s="152" t="str">
        <f>IFERROR(__xludf.DUMMYFUNCTION("TRIM(REGEXREPLACE(E345, ""[0-9]+[a-f]?\."", """"))"),"")</f>
        <v/>
      </c>
      <c r="J345" s="152" t="s">
        <v>2517</v>
      </c>
      <c r="K345" s="152" t="s">
        <v>2518</v>
      </c>
      <c r="L345" s="152" t="s">
        <v>2519</v>
      </c>
      <c r="M345" s="152"/>
    </row>
    <row r="346" hidden="1">
      <c r="A346" s="90" t="s">
        <v>78</v>
      </c>
      <c r="B346" s="92" t="s">
        <v>2520</v>
      </c>
      <c r="C346" s="28"/>
      <c r="D346" s="28"/>
      <c r="E346" s="28"/>
      <c r="F346" s="161">
        <v>179.0</v>
      </c>
      <c r="G346" s="152" t="str">
        <f>IFERROR(__xludf.DUMMYFUNCTION("TRIM(REGEXREPLACE(C346, ""[0-9]+[a-f]?\."", """"))"),"")</f>
        <v/>
      </c>
      <c r="H346" s="152" t="str">
        <f>IFERROR(__xludf.DUMMYFUNCTION("TRIM(REGEXREPLACE(D346, ""[0-9]+[a-f]?\."", """"))"),"")</f>
        <v/>
      </c>
      <c r="I346" s="152" t="str">
        <f>IFERROR(__xludf.DUMMYFUNCTION("TRIM(REGEXREPLACE(E346, ""[0-9]+[a-f]?\."", """"))"),"")</f>
        <v/>
      </c>
      <c r="J346" s="152" t="s">
        <v>2522</v>
      </c>
      <c r="K346" s="152" t="s">
        <v>2523</v>
      </c>
      <c r="L346" s="152" t="s">
        <v>2524</v>
      </c>
      <c r="M346" s="152"/>
    </row>
    <row r="347" hidden="1">
      <c r="A347" s="150" t="s">
        <v>78</v>
      </c>
      <c r="B347" s="216" t="s">
        <v>2525</v>
      </c>
      <c r="C347" s="28"/>
      <c r="D347" s="28"/>
      <c r="E347" s="28"/>
      <c r="F347" s="161">
        <v>180.0</v>
      </c>
      <c r="G347" s="152" t="str">
        <f>IFERROR(__xludf.DUMMYFUNCTION("TRIM(REGEXREPLACE(C347, ""[0-9]+[a-f]?\."", """"))"),"")</f>
        <v/>
      </c>
      <c r="H347" s="152" t="str">
        <f>IFERROR(__xludf.DUMMYFUNCTION("TRIM(REGEXREPLACE(D347, ""[0-9]+[a-f]?\."", """"))"),"")</f>
        <v/>
      </c>
      <c r="I347" s="152" t="str">
        <f>IFERROR(__xludf.DUMMYFUNCTION("TRIM(REGEXREPLACE(E347, ""[0-9]+[a-f]?\."", """"))"),"")</f>
        <v/>
      </c>
      <c r="J347" s="152" t="s">
        <v>2526</v>
      </c>
      <c r="K347" s="152" t="s">
        <v>2527</v>
      </c>
      <c r="L347" s="152" t="s">
        <v>2528</v>
      </c>
      <c r="M347" s="152"/>
    </row>
    <row r="348">
      <c r="A348" s="68" t="s">
        <v>463</v>
      </c>
      <c r="B348" s="169" t="s">
        <v>2529</v>
      </c>
      <c r="C348" s="28" t="s">
        <v>2530</v>
      </c>
      <c r="D348" s="28" t="s">
        <v>2531</v>
      </c>
      <c r="E348" s="28" t="s">
        <v>2532</v>
      </c>
      <c r="F348" s="161">
        <v>71.0</v>
      </c>
      <c r="G348" s="152" t="str">
        <f>IFERROR(__xludf.DUMMYFUNCTION("TRIM(REGEXREPLACE(C348, ""[0-9]+[a-f]?\."", """"))"),"Are you living in the same location now?")</f>
        <v>Are you living in the same location now?</v>
      </c>
      <c r="H348" s="152" t="str">
        <f>IFERROR(__xludf.DUMMYFUNCTION("TRIM(REGEXREPLACE(D348, ""[0-9]+[a-f]?\."", """"))"),"Vivez-vous au même endroit maintenant?")</f>
        <v>Vivez-vous au même endroit maintenant?</v>
      </c>
      <c r="I348" s="152" t="str">
        <f>IFERROR(__xludf.DUMMYFUNCTION("TRIM(REGEXREPLACE(E348, ""[0-9]+[a-f]?\."", """"))"),"Ko kana zaune a wurin na da a yanzu?")</f>
        <v>Ko kana zaune a wurin na da a yanzu?</v>
      </c>
      <c r="J348" s="152" t="s">
        <v>2534</v>
      </c>
      <c r="K348" s="152" t="s">
        <v>2535</v>
      </c>
      <c r="L348" s="152" t="s">
        <v>2536</v>
      </c>
      <c r="M348" s="152"/>
    </row>
    <row r="349">
      <c r="A349" s="68" t="s">
        <v>463</v>
      </c>
      <c r="B349" s="169" t="s">
        <v>2537</v>
      </c>
      <c r="C349" s="28" t="s">
        <v>2538</v>
      </c>
      <c r="D349" s="28" t="s">
        <v>2539</v>
      </c>
      <c r="E349" s="28" t="s">
        <v>2540</v>
      </c>
      <c r="F349" s="161">
        <v>72.0</v>
      </c>
      <c r="G349" s="152" t="str">
        <f>IFERROR(__xludf.DUMMYFUNCTION("TRIM(REGEXREPLACE(C349, ""[0-9]+[a-f]?\."", """"))"),"Where are you living?
 Enumerator: Is location in Niger?")</f>
        <v>Where are you living?
 Enumerator: Is location in Niger?</v>
      </c>
      <c r="H349" s="152" t="str">
        <f>IFERROR(__xludf.DUMMYFUNCTION("TRIM(REGEXREPLACE(D349, ""[0-9]+[a-f]?\."", """"))"),"Où habites-tu?
 Énquêteur: le lieu est-il au Niger?")</f>
        <v>Où habites-tu?
 Énquêteur: le lieu est-il au Niger?</v>
      </c>
      <c r="I349" s="152" t="str">
        <f>IFERROR(__xludf.DUMMYFUNCTION("TRIM(REGEXREPLACE(E349, ""[0-9]+[a-f]?\."", """"))"),"Ina kake zaune?
 Dan bincike: Ko wurin a Nijar ne?")</f>
        <v>Ina kake zaune?
 Dan bincike: Ko wurin a Nijar ne?</v>
      </c>
      <c r="J349" s="152" t="s">
        <v>2542</v>
      </c>
      <c r="K349" s="152" t="s">
        <v>2543</v>
      </c>
      <c r="L349" s="152" t="s">
        <v>2545</v>
      </c>
    </row>
    <row r="350">
      <c r="A350" s="68" t="s">
        <v>738</v>
      </c>
      <c r="B350" s="169" t="s">
        <v>2546</v>
      </c>
      <c r="C350" s="28" t="s">
        <v>2547</v>
      </c>
      <c r="D350" s="28" t="s">
        <v>2548</v>
      </c>
      <c r="E350" s="28" t="s">
        <v>2549</v>
      </c>
      <c r="F350" s="161">
        <v>73.0</v>
      </c>
      <c r="G350" s="152" t="str">
        <f>IFERROR(__xludf.DUMMYFUNCTION("TRIM(REGEXREPLACE(C350, ""[0-9]+[a-f]?\."", """"))"),"Enumerator: Select region in Niger")</f>
        <v>Enumerator: Select region in Niger</v>
      </c>
      <c r="H350" s="152" t="str">
        <f>IFERROR(__xludf.DUMMYFUNCTION("TRIM(REGEXREPLACE(D350, ""[0-9]+[a-f]?\."", """"))"),"Enquêteur : Sélectionnez une région au Niger")</f>
        <v>Enquêteur : Sélectionnez une région au Niger</v>
      </c>
      <c r="I350" s="152" t="str">
        <f>IFERROR(__xludf.DUMMYFUNCTION("TRIM(REGEXREPLACE(E350, ""[0-9]+[a-f]?\."", """"))"),"Ɗan bincike: Zaɓi Jaha ɗaya a Nijar")</f>
        <v>Ɗan bincike: Zaɓi Jaha ɗaya a Nijar</v>
      </c>
      <c r="J350" s="152" t="s">
        <v>2550</v>
      </c>
      <c r="K350" s="152" t="s">
        <v>2551</v>
      </c>
      <c r="L350" s="152" t="s">
        <v>2552</v>
      </c>
    </row>
    <row r="351">
      <c r="A351" s="68" t="s">
        <v>749</v>
      </c>
      <c r="B351" s="169" t="s">
        <v>2553</v>
      </c>
      <c r="C351" s="28" t="s">
        <v>2554</v>
      </c>
      <c r="D351" s="28" t="s">
        <v>2555</v>
      </c>
      <c r="E351" s="28" t="s">
        <v>2556</v>
      </c>
      <c r="F351" s="161">
        <v>74.0</v>
      </c>
      <c r="G351" s="152" t="str">
        <f>IFERROR(__xludf.DUMMYFUNCTION("TRIM(REGEXREPLACE(C351, ""[0-9]+[a-f]?\."", """"))"),"Enumerator: Select country")</f>
        <v>Enumerator: Select country</v>
      </c>
      <c r="H351" s="152" t="str">
        <f>IFERROR(__xludf.DUMMYFUNCTION("TRIM(REGEXREPLACE(D351, ""[0-9]+[a-f]?\."", """"))"),"Enquêteur : sélectionnez le pays")</f>
        <v>Enquêteur : sélectionnez le pays</v>
      </c>
      <c r="I351" s="152" t="str">
        <f>IFERROR(__xludf.DUMMYFUNCTION("TRIM(REGEXREPLACE(E351, ""[0-9]+[a-f]?\."", """"))"),"Ɗan bincike: Zaɓi ƙasa")</f>
        <v>Ɗan bincike: Zaɓi ƙasa</v>
      </c>
      <c r="J351" s="152" t="s">
        <v>2557</v>
      </c>
      <c r="K351" s="152" t="s">
        <v>2559</v>
      </c>
      <c r="L351" s="152" t="s">
        <v>2560</v>
      </c>
    </row>
    <row r="352">
      <c r="A352" s="179" t="s">
        <v>246</v>
      </c>
      <c r="B352" s="180" t="s">
        <v>2561</v>
      </c>
      <c r="C352" s="28" t="s">
        <v>2562</v>
      </c>
      <c r="D352" s="28" t="s">
        <v>2563</v>
      </c>
      <c r="E352" s="28" t="s">
        <v>2564</v>
      </c>
      <c r="F352" s="161">
        <v>75.0</v>
      </c>
      <c r="G352" s="152" t="str">
        <f>IFERROR(__xludf.DUMMYFUNCTION("TRIM(REGEXREPLACE(C352, ""[0-9]+[a-f]?\."", """"))"),"Enumerator: Enter other country")</f>
        <v>Enumerator: Enter other country</v>
      </c>
      <c r="H352" s="152" t="str">
        <f>IFERROR(__xludf.DUMMYFUNCTION("TRIM(REGEXREPLACE(D352, ""[0-9]+[a-f]?\."", """"))"),"Enquêteur : Entrez un autre pays")</f>
        <v>Enquêteur : Entrez un autre pays</v>
      </c>
      <c r="I352" s="152" t="str">
        <f>IFERROR(__xludf.DUMMYFUNCTION("TRIM(REGEXREPLACE(E352, ""[0-9]+[a-f]?\."", """"))"),"Ɗan bincike: Shigar da wata ƙasa")</f>
        <v>Ɗan bincike: Shigar da wata ƙasa</v>
      </c>
      <c r="J352" s="152" t="s">
        <v>2565</v>
      </c>
      <c r="K352" s="152" t="s">
        <v>2566</v>
      </c>
      <c r="L352" s="152" t="s">
        <v>2567</v>
      </c>
    </row>
    <row r="353">
      <c r="A353" s="68" t="s">
        <v>785</v>
      </c>
      <c r="B353" s="169" t="s">
        <v>2568</v>
      </c>
      <c r="C353" s="28" t="s">
        <v>2569</v>
      </c>
      <c r="D353" s="28" t="s">
        <v>2570</v>
      </c>
      <c r="E353" s="28" t="s">
        <v>2571</v>
      </c>
      <c r="F353" s="161">
        <v>76.0</v>
      </c>
      <c r="G353" s="152" t="str">
        <f>IFERROR(__xludf.DUMMYFUNCTION("TRIM(REGEXREPLACE(C353, ""[0-9]+[a-f]?\."", """"))"),"Enumerator: Select town")</f>
        <v>Enumerator: Select town</v>
      </c>
      <c r="H353" s="152" t="str">
        <f>IFERROR(__xludf.DUMMYFUNCTION("TRIM(REGEXREPLACE(D353, ""[0-9]+[a-f]?\."", """"))"),"Enquêteur : Sélectionnez la ville")</f>
        <v>Enquêteur : Sélectionnez la ville</v>
      </c>
      <c r="I353" s="152" t="str">
        <f>IFERROR(__xludf.DUMMYFUNCTION("TRIM(REGEXREPLACE(E353, ""[0-9]+[a-f]?\."", """"))"),"Ɗan bincike: Zaɓi gari")</f>
        <v>Ɗan bincike: Zaɓi gari</v>
      </c>
      <c r="J353" s="152" t="s">
        <v>2573</v>
      </c>
      <c r="K353" s="152" t="s">
        <v>2574</v>
      </c>
      <c r="L353" s="152" t="s">
        <v>2575</v>
      </c>
      <c r="M353" s="152"/>
    </row>
    <row r="354">
      <c r="A354" s="179" t="s">
        <v>246</v>
      </c>
      <c r="B354" s="180" t="s">
        <v>2577</v>
      </c>
      <c r="C354" s="28" t="s">
        <v>2578</v>
      </c>
      <c r="D354" s="28" t="s">
        <v>2579</v>
      </c>
      <c r="E354" s="28" t="s">
        <v>2580</v>
      </c>
      <c r="F354" s="161">
        <v>77.0</v>
      </c>
      <c r="G354" s="152" t="str">
        <f>IFERROR(__xludf.DUMMYFUNCTION("TRIM(REGEXREPLACE(C354, ""[0-9]+[a-f]?\."", """"))"),"Other, specify:")</f>
        <v>Other, specify:</v>
      </c>
      <c r="H354" s="152" t="str">
        <f>IFERROR(__xludf.DUMMYFUNCTION("TRIM(REGEXREPLACE(D354, ""[0-9]+[a-f]?\."", """"))"),"Autre précisez:")</f>
        <v>Autre précisez:</v>
      </c>
      <c r="I354" s="152" t="str">
        <f>IFERROR(__xludf.DUMMYFUNCTION("TRIM(REGEXREPLACE(E354, ""[0-9]+[a-f]?\."", """"))"),"Wani daba baiyana:")</f>
        <v>Wani daba baiyana:</v>
      </c>
      <c r="J354" s="152" t="s">
        <v>2581</v>
      </c>
      <c r="K354" s="152" t="s">
        <v>2582</v>
      </c>
      <c r="L354" s="152" t="s">
        <v>2583</v>
      </c>
      <c r="M354" s="152"/>
    </row>
    <row r="355" hidden="1">
      <c r="A355" s="90" t="s">
        <v>78</v>
      </c>
      <c r="B355" s="92" t="s">
        <v>2584</v>
      </c>
      <c r="C355" s="28"/>
      <c r="D355" s="28"/>
      <c r="E355" s="28"/>
      <c r="F355" s="161">
        <v>186.0</v>
      </c>
      <c r="G355" s="152" t="str">
        <f>IFERROR(__xludf.DUMMYFUNCTION("TRIM(REGEXREPLACE(C355, ""[0-9]+[a-f]?\."", """"))"),"")</f>
        <v/>
      </c>
      <c r="H355" s="152" t="str">
        <f>IFERROR(__xludf.DUMMYFUNCTION("TRIM(REGEXREPLACE(D355, ""[0-9]+[a-f]?\."", """"))"),"")</f>
        <v/>
      </c>
      <c r="I355" s="152" t="str">
        <f>IFERROR(__xludf.DUMMYFUNCTION("TRIM(REGEXREPLACE(E355, ""[0-9]+[a-f]?\."", """"))"),"")</f>
        <v/>
      </c>
      <c r="J355" s="152" t="s">
        <v>2585</v>
      </c>
      <c r="K355" s="152" t="s">
        <v>2586</v>
      </c>
      <c r="L355" s="152" t="s">
        <v>2587</v>
      </c>
    </row>
    <row r="356" hidden="1">
      <c r="A356" s="90" t="s">
        <v>78</v>
      </c>
      <c r="B356" s="92" t="s">
        <v>2589</v>
      </c>
      <c r="C356" s="28"/>
      <c r="D356" s="28"/>
      <c r="E356" s="28"/>
      <c r="F356" s="161">
        <v>167.0</v>
      </c>
      <c r="G356" s="152" t="str">
        <f>IFERROR(__xludf.DUMMYFUNCTION("TRIM(REGEXREPLACE(C356, ""[0-9]+[a-f]?\."", """"))"),"")</f>
        <v/>
      </c>
      <c r="H356" s="152" t="str">
        <f>IFERROR(__xludf.DUMMYFUNCTION("TRIM(REGEXREPLACE(D356, ""[0-9]+[a-f]?\."", """"))"),"")</f>
        <v/>
      </c>
      <c r="I356" s="152" t="str">
        <f>IFERROR(__xludf.DUMMYFUNCTION("TRIM(REGEXREPLACE(E356, ""[0-9]+[a-f]?\."", """"))"),"")</f>
        <v/>
      </c>
      <c r="J356" s="152" t="s">
        <v>2590</v>
      </c>
      <c r="K356" s="152" t="s">
        <v>2591</v>
      </c>
      <c r="L356" s="152" t="s">
        <v>2592</v>
      </c>
    </row>
    <row r="357" hidden="1">
      <c r="A357" s="90" t="s">
        <v>78</v>
      </c>
      <c r="B357" s="92" t="s">
        <v>2593</v>
      </c>
      <c r="C357" s="28" t="s">
        <v>2594</v>
      </c>
      <c r="D357" s="28"/>
      <c r="E357" s="28"/>
      <c r="F357" s="161">
        <v>168.0</v>
      </c>
      <c r="G357" s="152" t="str">
        <f>IFERROR(__xludf.DUMMYFUNCTION("TRIM(REGEXREPLACE(C357, ""[0-9]+[a-f]?\."", """"))"),"Calculate current location")</f>
        <v>Calculate current location</v>
      </c>
      <c r="H357" s="152" t="str">
        <f>IFERROR(__xludf.DUMMYFUNCTION("TRIM(REGEXREPLACE(D357, ""[0-9]+[a-f]?\."", """"))"),"")</f>
        <v/>
      </c>
      <c r="I357" s="152" t="str">
        <f>IFERROR(__xludf.DUMMYFUNCTION("TRIM(REGEXREPLACE(E357, ""[0-9]+[a-f]?\."", """"))"),"")</f>
        <v/>
      </c>
      <c r="J357" s="152" t="s">
        <v>2596</v>
      </c>
      <c r="K357" s="152" t="s">
        <v>2597</v>
      </c>
      <c r="L357" s="152" t="s">
        <v>2598</v>
      </c>
      <c r="M357" s="152"/>
    </row>
    <row r="358" hidden="1">
      <c r="A358" s="90" t="s">
        <v>78</v>
      </c>
      <c r="B358" s="92" t="s">
        <v>2599</v>
      </c>
      <c r="C358" s="28"/>
      <c r="D358" s="28"/>
      <c r="E358" s="28"/>
      <c r="F358" s="161">
        <v>169.0</v>
      </c>
      <c r="G358" s="152" t="str">
        <f>IFERROR(__xludf.DUMMYFUNCTION("TRIM(REGEXREPLACE(C358, ""[0-9]+[a-f]?\."", """"))"),"")</f>
        <v/>
      </c>
      <c r="H358" s="152" t="str">
        <f>IFERROR(__xludf.DUMMYFUNCTION("TRIM(REGEXREPLACE(D358, ""[0-9]+[a-f]?\."", """"))"),"")</f>
        <v/>
      </c>
      <c r="I358" s="152" t="str">
        <f>IFERROR(__xludf.DUMMYFUNCTION("TRIM(REGEXREPLACE(E358, ""[0-9]+[a-f]?\."", """"))"),"")</f>
        <v/>
      </c>
      <c r="J358" s="152" t="s">
        <v>2600</v>
      </c>
      <c r="K358" s="152" t="s">
        <v>2601</v>
      </c>
      <c r="L358" s="152" t="s">
        <v>2603</v>
      </c>
      <c r="M358" s="152"/>
    </row>
    <row r="359" hidden="1">
      <c r="A359" s="150" t="s">
        <v>78</v>
      </c>
      <c r="B359" s="216" t="s">
        <v>2604</v>
      </c>
      <c r="C359" s="28"/>
      <c r="D359" s="28"/>
      <c r="E359" s="28"/>
      <c r="F359" s="161">
        <v>170.0</v>
      </c>
      <c r="G359" s="152" t="str">
        <f>IFERROR(__xludf.DUMMYFUNCTION("TRIM(REGEXREPLACE(C359, ""[0-9]+[a-f]?\."", """"))"),"")</f>
        <v/>
      </c>
      <c r="H359" s="152" t="str">
        <f>IFERROR(__xludf.DUMMYFUNCTION("TRIM(REGEXREPLACE(D359, ""[0-9]+[a-f]?\."", """"))"),"")</f>
        <v/>
      </c>
      <c r="I359" s="152" t="str">
        <f>IFERROR(__xludf.DUMMYFUNCTION("TRIM(REGEXREPLACE(E359, ""[0-9]+[a-f]?\."", """"))"),"")</f>
        <v/>
      </c>
      <c r="J359" s="152" t="s">
        <v>2605</v>
      </c>
      <c r="K359" s="152" t="s">
        <v>2606</v>
      </c>
      <c r="L359" s="152" t="s">
        <v>2607</v>
      </c>
      <c r="M359" s="152"/>
    </row>
    <row r="360" hidden="1">
      <c r="A360" s="90" t="s">
        <v>78</v>
      </c>
      <c r="B360" s="92" t="s">
        <v>2608</v>
      </c>
      <c r="C360" s="28"/>
      <c r="D360" s="28"/>
      <c r="E360" s="28"/>
      <c r="F360" s="161">
        <v>171.0</v>
      </c>
      <c r="G360" s="152" t="str">
        <f>IFERROR(__xludf.DUMMYFUNCTION("TRIM(REGEXREPLACE(C360, ""[0-9]+[a-f]?\."", """"))"),"")</f>
        <v/>
      </c>
      <c r="H360" s="152" t="str">
        <f>IFERROR(__xludf.DUMMYFUNCTION("TRIM(REGEXREPLACE(D360, ""[0-9]+[a-f]?\."", """"))"),"")</f>
        <v/>
      </c>
      <c r="I360" s="152" t="str">
        <f>IFERROR(__xludf.DUMMYFUNCTION("TRIM(REGEXREPLACE(E360, ""[0-9]+[a-f]?\."", """"))"),"")</f>
        <v/>
      </c>
      <c r="J360" s="152" t="s">
        <v>2609</v>
      </c>
      <c r="K360" s="152" t="s">
        <v>2610</v>
      </c>
      <c r="L360" s="152" t="s">
        <v>2611</v>
      </c>
      <c r="M360" s="152"/>
    </row>
    <row r="361" hidden="1">
      <c r="A361" s="90" t="s">
        <v>78</v>
      </c>
      <c r="B361" s="92" t="s">
        <v>2612</v>
      </c>
      <c r="C361" s="28"/>
      <c r="D361" s="28"/>
      <c r="E361" s="28"/>
      <c r="F361" s="161">
        <v>172.0</v>
      </c>
      <c r="G361" s="152" t="str">
        <f>IFERROR(__xludf.DUMMYFUNCTION("TRIM(REGEXREPLACE(C361, ""[0-9]+[a-f]?\."", """"))"),"")</f>
        <v/>
      </c>
      <c r="H361" s="152" t="str">
        <f>IFERROR(__xludf.DUMMYFUNCTION("TRIM(REGEXREPLACE(D361, ""[0-9]+[a-f]?\."", """"))"),"")</f>
        <v/>
      </c>
      <c r="I361" s="152" t="str">
        <f>IFERROR(__xludf.DUMMYFUNCTION("TRIM(REGEXREPLACE(E361, ""[0-9]+[a-f]?\."", """"))"),"")</f>
        <v/>
      </c>
      <c r="J361" s="152" t="s">
        <v>2614</v>
      </c>
      <c r="K361" s="152" t="s">
        <v>2615</v>
      </c>
      <c r="L361" s="152" t="s">
        <v>2616</v>
      </c>
      <c r="M361" s="152"/>
    </row>
    <row r="362" hidden="1">
      <c r="A362" s="90" t="s">
        <v>78</v>
      </c>
      <c r="B362" s="92" t="s">
        <v>2617</v>
      </c>
      <c r="C362" s="28"/>
      <c r="D362" s="28"/>
      <c r="E362" s="28"/>
      <c r="F362" s="161">
        <v>173.0</v>
      </c>
      <c r="G362" s="152" t="str">
        <f>IFERROR(__xludf.DUMMYFUNCTION("TRIM(REGEXREPLACE(C362, ""[0-9]+[a-f]?\."", """"))"),"")</f>
        <v/>
      </c>
      <c r="H362" s="152" t="str">
        <f>IFERROR(__xludf.DUMMYFUNCTION("TRIM(REGEXREPLACE(D362, ""[0-9]+[a-f]?\."", """"))"),"")</f>
        <v/>
      </c>
      <c r="I362" s="152" t="str">
        <f>IFERROR(__xludf.DUMMYFUNCTION("TRIM(REGEXREPLACE(E362, ""[0-9]+[a-f]?\."", """"))"),"")</f>
        <v/>
      </c>
      <c r="J362" s="152" t="s">
        <v>2618</v>
      </c>
      <c r="K362" s="152" t="s">
        <v>2619</v>
      </c>
      <c r="L362" s="152" t="s">
        <v>2620</v>
      </c>
      <c r="M362" s="152"/>
    </row>
    <row r="363" hidden="1">
      <c r="A363" s="136"/>
      <c r="B363" s="136"/>
      <c r="C363" s="28"/>
      <c r="D363" s="28"/>
      <c r="E363" s="28"/>
      <c r="F363" s="161">
        <v>174.0</v>
      </c>
      <c r="G363" s="152" t="str">
        <f>IFERROR(__xludf.DUMMYFUNCTION("TRIM(REGEXREPLACE(C363, ""[0-9]+[a-f]?\."", """"))"),"")</f>
        <v/>
      </c>
      <c r="H363" s="152" t="str">
        <f>IFERROR(__xludf.DUMMYFUNCTION("TRIM(REGEXREPLACE(D363, ""[0-9]+[a-f]?\."", """"))"),"")</f>
        <v/>
      </c>
      <c r="I363" s="152" t="str">
        <f>IFERROR(__xludf.DUMMYFUNCTION("TRIM(REGEXREPLACE(E363, ""[0-9]+[a-f]?\."", """"))"),"")</f>
        <v/>
      </c>
      <c r="J363" s="152" t="s">
        <v>2621</v>
      </c>
      <c r="K363" s="152" t="s">
        <v>2622</v>
      </c>
      <c r="L363" s="152" t="s">
        <v>2623</v>
      </c>
      <c r="M363" s="152"/>
    </row>
    <row r="364">
      <c r="A364" s="66" t="s">
        <v>2625</v>
      </c>
      <c r="B364" s="169" t="s">
        <v>2626</v>
      </c>
      <c r="C364" s="28" t="s">
        <v>2627</v>
      </c>
      <c r="D364" s="28" t="s">
        <v>2628</v>
      </c>
      <c r="E364" s="28" t="s">
        <v>2629</v>
      </c>
      <c r="F364" s="161">
        <v>78.0</v>
      </c>
      <c r="G364" s="152" t="str">
        <f>IFERROR(__xludf.DUMMYFUNCTION("TRIM(REGEXREPLACE(C364, ""[0-9]+[a-f]?\."", """"))"),"Is ${shm_name} currently living in your household?")</f>
        <v>Is ${shm_name} currently living in your household?</v>
      </c>
      <c r="H364" s="152" t="str">
        <f>IFERROR(__xludf.DUMMYFUNCTION("TRIM(REGEXREPLACE(D364, ""[0-9]+[a-f]?\."", """"))"),"Est-ce que ${shm_name} vit actuellement dans votre ménage?")</f>
        <v>Est-ce que ${shm_name} vit actuellement dans votre ménage?</v>
      </c>
      <c r="I364" s="152" t="str">
        <f>IFERROR(__xludf.DUMMYFUNCTION("TRIM(REGEXREPLACE(E364, ""[0-9]+[a-f]?\."", """"))"),"Ko ${shm_name} yana zaune a gidan ku a halin yanzu?")</f>
        <v>Ko ${shm_name} yana zaune a gidan ku a halin yanzu?</v>
      </c>
      <c r="J364" s="152" t="s">
        <v>2630</v>
      </c>
      <c r="K364" s="152" t="s">
        <v>2631</v>
      </c>
      <c r="L364" s="152" t="s">
        <v>2632</v>
      </c>
    </row>
    <row r="365">
      <c r="A365" s="68" t="s">
        <v>463</v>
      </c>
      <c r="B365" s="218" t="s">
        <v>2633</v>
      </c>
      <c r="C365" s="28" t="s">
        <v>2634</v>
      </c>
      <c r="D365" s="28" t="s">
        <v>2635</v>
      </c>
      <c r="E365" s="28" t="s">
        <v>2636</v>
      </c>
      <c r="F365" s="161">
        <v>79.0</v>
      </c>
      <c r="G365" s="152" t="str">
        <f>IFERROR(__xludf.DUMMYFUNCTION("TRIM(REGEXREPLACE(C365, ""[0-9]+[a-f]?\."", """"))"),"Is ${shm_name} currently living in Niger?")</f>
        <v>Is ${shm_name} currently living in Niger?</v>
      </c>
      <c r="H365" s="152" t="str">
        <f>IFERROR(__xludf.DUMMYFUNCTION("TRIM(REGEXREPLACE(D365, ""[0-9]+[a-f]?\."", """"))"),"Où habites-tu?
 Énquêteur: le lieu est-il au Niger?")</f>
        <v>Où habites-tu?
 Énquêteur: le lieu est-il au Niger?</v>
      </c>
      <c r="I365" s="152" t="str">
        <f>IFERROR(__xludf.DUMMYFUNCTION("TRIM(REGEXREPLACE(E365, ""[0-9]+[a-f]?\."", """"))"),"Ina kake zaune?
 Dan bincike: Ko wurin a Nijar ne?")</f>
        <v>Ina kake zaune?
 Dan bincike: Ko wurin a Nijar ne?</v>
      </c>
      <c r="J365" s="152" t="s">
        <v>2637</v>
      </c>
      <c r="K365" s="152" t="s">
        <v>2638</v>
      </c>
      <c r="L365" s="152" t="s">
        <v>2639</v>
      </c>
    </row>
    <row r="366">
      <c r="A366" s="68" t="s">
        <v>738</v>
      </c>
      <c r="B366" s="218" t="s">
        <v>2640</v>
      </c>
      <c r="C366" s="28" t="s">
        <v>2641</v>
      </c>
      <c r="D366" s="28" t="s">
        <v>2642</v>
      </c>
      <c r="E366" s="28" t="s">
        <v>2643</v>
      </c>
      <c r="F366" s="161">
        <v>80.0</v>
      </c>
      <c r="G366" s="152" t="str">
        <f>IFERROR(__xludf.DUMMYFUNCTION("TRIM(REGEXREPLACE(C366, ""[0-9]+[a-f]?\."", """"))"),"Enumerator: Select region in Niger")</f>
        <v>Enumerator: Select region in Niger</v>
      </c>
      <c r="H366" s="152" t="str">
        <f>IFERROR(__xludf.DUMMYFUNCTION("TRIM(REGEXREPLACE(D366, ""[0-9]+[a-f]?\."", """"))"),"Enquêteur : Sélectionnez une région au Niger")</f>
        <v>Enquêteur : Sélectionnez une région au Niger</v>
      </c>
      <c r="I366" s="152" t="str">
        <f>IFERROR(__xludf.DUMMYFUNCTION("TRIM(REGEXREPLACE(E366, ""[0-9]+[a-f]?\."", """"))"),"Ɗan bincike: Zaɓi Jaha ɗaya a Nijar")</f>
        <v>Ɗan bincike: Zaɓi Jaha ɗaya a Nijar</v>
      </c>
      <c r="J366" s="152" t="s">
        <v>2644</v>
      </c>
      <c r="K366" s="152" t="s">
        <v>2645</v>
      </c>
      <c r="L366" s="152" t="s">
        <v>2646</v>
      </c>
      <c r="M366" s="152"/>
    </row>
    <row r="367">
      <c r="A367" s="68" t="s">
        <v>749</v>
      </c>
      <c r="B367" s="218" t="s">
        <v>2647</v>
      </c>
      <c r="C367" s="28" t="s">
        <v>2648</v>
      </c>
      <c r="D367" s="28" t="s">
        <v>2650</v>
      </c>
      <c r="E367" s="28" t="s">
        <v>2651</v>
      </c>
      <c r="F367" s="161">
        <v>81.0</v>
      </c>
      <c r="G367" s="152" t="str">
        <f>IFERROR(__xludf.DUMMYFUNCTION("TRIM(REGEXREPLACE(C367, ""[0-9]+[a-f]?\."", """"))"),"Enumerator: Select country")</f>
        <v>Enumerator: Select country</v>
      </c>
      <c r="H367" s="152" t="str">
        <f>IFERROR(__xludf.DUMMYFUNCTION("TRIM(REGEXREPLACE(D367, ""[0-9]+[a-f]?\."", """"))"),"Enquêteur : sélectionnez le pays")</f>
        <v>Enquêteur : sélectionnez le pays</v>
      </c>
      <c r="I367" s="152" t="str">
        <f>IFERROR(__xludf.DUMMYFUNCTION("TRIM(REGEXREPLACE(E367, ""[0-9]+[a-f]?\."", """"))"),"Ɗan bincike: Zaɓi ƙasa")</f>
        <v>Ɗan bincike: Zaɓi ƙasa</v>
      </c>
      <c r="J367" s="152" t="s">
        <v>2652</v>
      </c>
      <c r="K367" s="152" t="s">
        <v>2653</v>
      </c>
      <c r="L367" s="152" t="s">
        <v>2654</v>
      </c>
      <c r="M367" s="152"/>
    </row>
    <row r="368">
      <c r="A368" s="179" t="s">
        <v>246</v>
      </c>
      <c r="B368" s="228" t="s">
        <v>2655</v>
      </c>
      <c r="C368" s="28" t="s">
        <v>2656</v>
      </c>
      <c r="D368" s="28" t="s">
        <v>2657</v>
      </c>
      <c r="E368" s="28" t="s">
        <v>2658</v>
      </c>
      <c r="F368" s="161">
        <v>82.0</v>
      </c>
      <c r="G368" s="152" t="str">
        <f>IFERROR(__xludf.DUMMYFUNCTION("TRIM(REGEXREPLACE(C368, ""[0-9]+[a-f]?\."", """"))"),"Enumerator: Enter other country")</f>
        <v>Enumerator: Enter other country</v>
      </c>
      <c r="H368" s="152" t="str">
        <f>IFERROR(__xludf.DUMMYFUNCTION("TRIM(REGEXREPLACE(D368, ""[0-9]+[a-f]?\."", """"))"),"Enquêteur : Entrez un autre pays")</f>
        <v>Enquêteur : Entrez un autre pays</v>
      </c>
      <c r="I368" s="152" t="str">
        <f>IFERROR(__xludf.DUMMYFUNCTION("TRIM(REGEXREPLACE(E368, ""[0-9]+[a-f]?\."", """"))"),"Ɗan bincike: Shigar da wata ƙasa")</f>
        <v>Ɗan bincike: Shigar da wata ƙasa</v>
      </c>
      <c r="J368" s="152" t="s">
        <v>2659</v>
      </c>
      <c r="K368" s="152" t="s">
        <v>2660</v>
      </c>
      <c r="L368" s="152" t="s">
        <v>2661</v>
      </c>
      <c r="M368" s="152"/>
    </row>
    <row r="369">
      <c r="A369" s="68" t="s">
        <v>785</v>
      </c>
      <c r="B369" s="218" t="s">
        <v>2662</v>
      </c>
      <c r="C369" s="28" t="s">
        <v>2663</v>
      </c>
      <c r="D369" s="28" t="s">
        <v>2664</v>
      </c>
      <c r="E369" s="28" t="s">
        <v>2666</v>
      </c>
      <c r="F369" s="161">
        <v>83.0</v>
      </c>
      <c r="G369" s="152" t="str">
        <f>IFERROR(__xludf.DUMMYFUNCTION("TRIM(REGEXREPLACE(C369, ""[0-9]+[a-f]?\."", """"))"),"Enumerator: Select town")</f>
        <v>Enumerator: Select town</v>
      </c>
      <c r="H369" s="152" t="str">
        <f>IFERROR(__xludf.DUMMYFUNCTION("TRIM(REGEXREPLACE(D369, ""[0-9]+[a-f]?\."", """"))"),"Enquêteur : Sélectionnez la ville")</f>
        <v>Enquêteur : Sélectionnez la ville</v>
      </c>
      <c r="I369" s="152" t="str">
        <f>IFERROR(__xludf.DUMMYFUNCTION("TRIM(REGEXREPLACE(E369, ""[0-9]+[a-f]?\."", """"))"),"Ɗan bincike: Zaɓi gari")</f>
        <v>Ɗan bincike: Zaɓi gari</v>
      </c>
      <c r="J369" s="152" t="s">
        <v>2667</v>
      </c>
      <c r="K369" s="152" t="s">
        <v>2668</v>
      </c>
      <c r="L369" s="152" t="s">
        <v>2669</v>
      </c>
      <c r="M369" s="152"/>
    </row>
    <row r="370">
      <c r="A370" s="179" t="s">
        <v>246</v>
      </c>
      <c r="B370" s="228" t="s">
        <v>2670</v>
      </c>
      <c r="C370" s="28" t="s">
        <v>2671</v>
      </c>
      <c r="D370" s="28" t="s">
        <v>2672</v>
      </c>
      <c r="E370" s="28" t="s">
        <v>2673</v>
      </c>
      <c r="F370" s="161">
        <v>84.0</v>
      </c>
      <c r="G370" s="152" t="str">
        <f>IFERROR(__xludf.DUMMYFUNCTION("TRIM(REGEXREPLACE(C370, ""[0-9]+[a-f]?\."", """"))"),"Enumerator: Enter other town")</f>
        <v>Enumerator: Enter other town</v>
      </c>
      <c r="H370" s="152" t="str">
        <f>IFERROR(__xludf.DUMMYFUNCTION("TRIM(REGEXREPLACE(D370, ""[0-9]+[a-f]?\."", """"))"),"Enquêteur : Entrez un autre ville")</f>
        <v>Enquêteur : Entrez un autre ville</v>
      </c>
      <c r="I370" s="152" t="str">
        <f>IFERROR(__xludf.DUMMYFUNCTION("TRIM(REGEXREPLACE(E370, ""[0-9]+[a-f]?\."", """"))"),"Ɗan bincike: Shigar da wata gari")</f>
        <v>Ɗan bincike: Shigar da wata gari</v>
      </c>
      <c r="J370" s="152" t="s">
        <v>2674</v>
      </c>
      <c r="K370" s="152" t="s">
        <v>2675</v>
      </c>
      <c r="L370" s="152" t="s">
        <v>2676</v>
      </c>
      <c r="M370" s="152"/>
    </row>
    <row r="371">
      <c r="A371" s="179" t="s">
        <v>2625</v>
      </c>
      <c r="B371" s="228" t="s">
        <v>2677</v>
      </c>
      <c r="C371" s="28" t="s">
        <v>2678</v>
      </c>
      <c r="D371" s="28" t="s">
        <v>2679</v>
      </c>
      <c r="E371" s="28" t="s">
        <v>2680</v>
      </c>
      <c r="F371" s="161">
        <v>85.0</v>
      </c>
      <c r="G371" s="152" t="str">
        <f>IFERROR(__xludf.DUMMYFUNCTION("TRIM(REGEXREPLACE(C371, ""[0-9]+[a-f]?\."", """"))"),"Will ${shm_name} be in the household within the next two weeks?")</f>
        <v>Will ${shm_name} be in the household within the next two weeks?</v>
      </c>
      <c r="H371" s="152" t="str">
        <f>IFERROR(__xludf.DUMMYFUNCTION("TRIM(REGEXREPLACE(D371, ""[0-9]+[a-f]?\."", """"))"),"Est-ce que ${shm_name} sera dans le ménage au cours des deux prochaines semaines ?")</f>
        <v>Est-ce que ${shm_name} sera dans le ménage au cours des deux prochaines semaines ?</v>
      </c>
      <c r="I371" s="152" t="str">
        <f>IFERROR(__xludf.DUMMYFUNCTION("TRIM(REGEXREPLACE(E371, ""[0-9]+[a-f]?\."", """"))"),"Ko ${shm_name} zai kasance a gidan nan a cikin sati biyu masu zuwa?")</f>
        <v>Ko ${shm_name} zai kasance a gidan nan a cikin sati biyu masu zuwa?</v>
      </c>
      <c r="J371" s="152" t="s">
        <v>2682</v>
      </c>
      <c r="K371" s="152" t="s">
        <v>2683</v>
      </c>
      <c r="L371" s="152" t="s">
        <v>2684</v>
      </c>
      <c r="M371" s="152"/>
    </row>
    <row r="372">
      <c r="A372" s="218" t="s">
        <v>2685</v>
      </c>
      <c r="B372" s="218" t="s">
        <v>2686</v>
      </c>
      <c r="C372" s="28" t="s">
        <v>2687</v>
      </c>
      <c r="D372" s="28" t="s">
        <v>2688</v>
      </c>
      <c r="E372" s="28" t="s">
        <v>2689</v>
      </c>
      <c r="F372" s="161">
        <v>86.0</v>
      </c>
      <c r="G372" s="152" t="str">
        <f>IFERROR(__xludf.DUMMYFUNCTION("TRIM(REGEXREPLACE(C372, ""[0-9]+[a-f]?\."", """"))"),"If the ${shm_name} moved out of the household, who would be in the best position to answer the Secondary Household Member (SHM) survey?")</f>
        <v>If the ${shm_name} moved out of the household, who would be in the best position to answer the Secondary Household Member (SHM) survey?</v>
      </c>
      <c r="H372" s="152" t="str">
        <f>IFERROR(__xludf.DUMMYFUNCTION("TRIM(REGEXREPLACE(D372, ""[0-9]+[a-f]?\."", """"))"),"Si ${shm_name} quittait le ménage, qui serait le mieux placé pour répondre à l'enquête du second membre du ménage(SHM) ?")</f>
        <v>Si ${shm_name} quittait le ménage, qui serait le mieux placé pour répondre à l'enquête du second membre du ménage(SHM) ?</v>
      </c>
      <c r="I372" s="152" t="str">
        <f>IFERROR(__xludf.DUMMYFUNCTION("TRIM(REGEXREPLACE(E372, ""[0-9]+[a-f]?\."", """"))"),"Idan ${shm_name} ba ya gidan, wa zai fi dacewa ya bada amsa ga binciken ɗan gida na biyu (SHM)?")</f>
        <v>Idan ${shm_name} ba ya gidan, wa zai fi dacewa ya bada amsa ga binciken ɗan gida na biyu (SHM)?</v>
      </c>
      <c r="J372" s="152" t="s">
        <v>2690</v>
      </c>
      <c r="K372" s="152" t="s">
        <v>2691</v>
      </c>
      <c r="L372" s="152" t="s">
        <v>2692</v>
      </c>
      <c r="M372" s="152"/>
    </row>
    <row r="373">
      <c r="A373" s="169" t="s">
        <v>463</v>
      </c>
      <c r="B373" s="169" t="s">
        <v>2693</v>
      </c>
      <c r="C373" s="28" t="s">
        <v>2694</v>
      </c>
      <c r="D373" s="28" t="s">
        <v>2695</v>
      </c>
      <c r="E373" s="28" t="s">
        <v>2696</v>
      </c>
      <c r="F373" s="161">
        <v>87.0</v>
      </c>
      <c r="G373" s="152" t="str">
        <f>IFERROR(__xludf.DUMMYFUNCTION("TRIM(REGEXREPLACE(C373, ""[0-9]+[a-f]?\."", """"))"),"Have you spoken with ${shm_name} or other members of your household at home in the past month?")</f>
        <v>Have you spoken with ${shm_name} or other members of your household at home in the past month?</v>
      </c>
      <c r="H373" s="152" t="str">
        <f>IFERROR(__xludf.DUMMYFUNCTION("TRIM(REGEXREPLACE(D373, ""[0-9]+[a-f]?\."", """"))"),"Avez-vous parlé avec ${shm_name} ou d'autres membres de votre ménage au cours du mois dernier ?")</f>
        <v>Avez-vous parlé avec ${shm_name} ou d'autres membres de votre ménage au cours du mois dernier ?</v>
      </c>
      <c r="I373" s="152" t="str">
        <f>IFERROR(__xludf.DUMMYFUNCTION("TRIM(REGEXREPLACE(E373, ""[0-9]+[a-f]?\."", """"))"),"Shin ko kun yi magana da ${shm_name} ko wasu ƴan gidanku a cikin watan da ya gabata?")</f>
        <v>Shin ko kun yi magana da ${shm_name} ko wasu ƴan gidanku a cikin watan da ya gabata?</v>
      </c>
      <c r="J373" s="152" t="s">
        <v>2698</v>
      </c>
      <c r="K373" s="152" t="s">
        <v>2699</v>
      </c>
      <c r="L373" s="152" t="s">
        <v>2700</v>
      </c>
    </row>
    <row r="374" hidden="1">
      <c r="A374" s="65" t="s">
        <v>134</v>
      </c>
      <c r="B374" s="66" t="s">
        <v>2701</v>
      </c>
      <c r="C374" s="28"/>
      <c r="D374" s="28"/>
      <c r="E374" s="28"/>
      <c r="F374" s="161">
        <v>178.0</v>
      </c>
      <c r="G374" s="152" t="str">
        <f>IFERROR(__xludf.DUMMYFUNCTION("TRIM(REGEXREPLACE(C374, ""[0-9]+[a-f]?\."", """"))"),"")</f>
        <v/>
      </c>
      <c r="H374" s="152" t="str">
        <f>IFERROR(__xludf.DUMMYFUNCTION("TRIM(REGEXREPLACE(D374, ""[0-9]+[a-f]?\."", """"))"),"")</f>
        <v/>
      </c>
      <c r="I374" s="152" t="str">
        <f>IFERROR(__xludf.DUMMYFUNCTION("TRIM(REGEXREPLACE(E374, ""[0-9]+[a-f]?\."", """"))"),"")</f>
        <v/>
      </c>
      <c r="J374" s="152" t="s">
        <v>2702</v>
      </c>
      <c r="K374" s="152" t="s">
        <v>2703</v>
      </c>
      <c r="L374" s="152" t="s">
        <v>2704</v>
      </c>
    </row>
    <row r="375" hidden="1">
      <c r="A375" s="58" t="s">
        <v>78</v>
      </c>
      <c r="B375" s="58" t="s">
        <v>2705</v>
      </c>
      <c r="C375" s="28"/>
      <c r="D375" s="28"/>
      <c r="E375" s="28"/>
      <c r="F375" s="161">
        <v>179.0</v>
      </c>
      <c r="G375" s="152" t="str">
        <f>IFERROR(__xludf.DUMMYFUNCTION("TRIM(REGEXREPLACE(C375, ""[0-9]+[a-f]?\."", """"))"),"")</f>
        <v/>
      </c>
      <c r="H375" s="152" t="str">
        <f>IFERROR(__xludf.DUMMYFUNCTION("TRIM(REGEXREPLACE(D375, ""[0-9]+[a-f]?\."", """"))"),"")</f>
        <v/>
      </c>
      <c r="I375" s="152" t="str">
        <f>IFERROR(__xludf.DUMMYFUNCTION("TRIM(REGEXREPLACE(E375, ""[0-9]+[a-f]?\."", """"))"),"")</f>
        <v/>
      </c>
      <c r="J375" s="152" t="s">
        <v>2707</v>
      </c>
      <c r="K375" s="152" t="s">
        <v>2708</v>
      </c>
      <c r="L375" s="152" t="s">
        <v>2709</v>
      </c>
    </row>
    <row r="376" hidden="1">
      <c r="A376" s="136"/>
      <c r="B376" s="136"/>
      <c r="C376" s="28"/>
      <c r="D376" s="28"/>
      <c r="E376" s="28"/>
      <c r="F376" s="161">
        <v>180.0</v>
      </c>
      <c r="G376" s="152" t="str">
        <f>IFERROR(__xludf.DUMMYFUNCTION("TRIM(REGEXREPLACE(C376, ""[0-9]+[a-f]?\."", """"))"),"")</f>
        <v/>
      </c>
      <c r="H376" s="152" t="str">
        <f>IFERROR(__xludf.DUMMYFUNCTION("TRIM(REGEXREPLACE(D376, ""[0-9]+[a-f]?\."", """"))"),"")</f>
        <v/>
      </c>
      <c r="I376" s="152" t="str">
        <f>IFERROR(__xludf.DUMMYFUNCTION("TRIM(REGEXREPLACE(E376, ""[0-9]+[a-f]?\."", """"))"),"")</f>
        <v/>
      </c>
      <c r="J376" s="152" t="s">
        <v>2710</v>
      </c>
      <c r="K376" s="152" t="s">
        <v>2711</v>
      </c>
      <c r="L376" s="152" t="s">
        <v>2712</v>
      </c>
      <c r="M376" s="152"/>
    </row>
    <row r="377" hidden="1">
      <c r="A377" s="65" t="s">
        <v>131</v>
      </c>
      <c r="B377" s="218" t="s">
        <v>2713</v>
      </c>
      <c r="C377" s="28"/>
      <c r="D377" s="28"/>
      <c r="E377" s="28"/>
      <c r="F377" s="161">
        <v>181.0</v>
      </c>
      <c r="G377" s="152" t="str">
        <f>IFERROR(__xludf.DUMMYFUNCTION("TRIM(REGEXREPLACE(C377, ""[0-9]+[a-f]?\."", """"))"),"")</f>
        <v/>
      </c>
      <c r="H377" s="152" t="str">
        <f>IFERROR(__xludf.DUMMYFUNCTION("TRIM(REGEXREPLACE(D377, ""[0-9]+[a-f]?\."", """"))"),"")</f>
        <v/>
      </c>
      <c r="I377" s="152" t="str">
        <f>IFERROR(__xludf.DUMMYFUNCTION("TRIM(REGEXREPLACE(E377, ""[0-9]+[a-f]?\."", """"))"),"")</f>
        <v/>
      </c>
      <c r="J377" s="152" t="s">
        <v>2714</v>
      </c>
      <c r="K377" s="152" t="s">
        <v>2715</v>
      </c>
      <c r="L377" s="152" t="s">
        <v>2716</v>
      </c>
      <c r="M377" s="152"/>
    </row>
    <row r="378" hidden="1">
      <c r="A378" s="65" t="s">
        <v>134</v>
      </c>
      <c r="B378" s="66" t="s">
        <v>2717</v>
      </c>
      <c r="C378" s="28"/>
      <c r="D378" s="28"/>
      <c r="E378" s="28"/>
      <c r="F378" s="161">
        <v>182.0</v>
      </c>
      <c r="G378" s="152" t="str">
        <f>IFERROR(__xludf.DUMMYFUNCTION("TRIM(REGEXREPLACE(C378, ""[0-9]+[a-f]?\."", """"))"),"")</f>
        <v/>
      </c>
      <c r="H378" s="152" t="str">
        <f>IFERROR(__xludf.DUMMYFUNCTION("TRIM(REGEXREPLACE(D378, ""[0-9]+[a-f]?\."", """"))"),"")</f>
        <v/>
      </c>
      <c r="I378" s="152" t="str">
        <f>IFERROR(__xludf.DUMMYFUNCTION("TRIM(REGEXREPLACE(E378, ""[0-9]+[a-f]?\."", """"))"),"")</f>
        <v/>
      </c>
      <c r="J378" s="152" t="s">
        <v>2718</v>
      </c>
      <c r="K378" s="152" t="s">
        <v>2719</v>
      </c>
      <c r="L378" s="152" t="s">
        <v>2720</v>
      </c>
      <c r="M378" s="152"/>
    </row>
    <row r="379">
      <c r="A379" s="65" t="s">
        <v>463</v>
      </c>
      <c r="B379" s="218" t="s">
        <v>2721</v>
      </c>
      <c r="C379" s="28" t="s">
        <v>2722</v>
      </c>
      <c r="D379" s="28" t="s">
        <v>2723</v>
      </c>
      <c r="E379" s="28" t="s">
        <v>2724</v>
      </c>
      <c r="F379" s="161">
        <v>88.0</v>
      </c>
      <c r="G379" s="152" t="str">
        <f>IFERROR(__xludf.DUMMYFUNCTION("TRIM(REGEXREPLACE(C379, ""[0-9]+[a-f]?\."", """"))"),"You told us when we visited you in during our first in-person survey conducted last year during the hot season that you were interested in migrating. In the past six months, as you considered whether to migrate, were you very concerned that:")</f>
        <v>You told us when we visited you in during our first in-person survey conducted last year during the hot season that you were interested in migrating. In the past six months, as you considered whether to migrate, were you very concerned that:</v>
      </c>
      <c r="H379" s="152" t="str">
        <f>IFERROR(__xludf.DUMMYFUNCTION("TRIM(REGEXREPLACE(D379, ""[0-9]+[a-f]?\."", """"))"),"Lors de notre première enquête en face à face qui a eu lieu l'année dernière pendant la saison chaude, vous nous avez dit que vous souhaitiez migrer. Au cours des six derniers mois, quand vous pensez à la migration, vous sentez vous préoccupé par les ques"&amp;"tions suivantes :")</f>
        <v>Lors de notre première enquête en face à face qui a eu lieu l'année dernière pendant la saison chaude, vous nous avez dit que vous souhaitiez migrer. Au cours des six derniers mois, quand vous pensez à la migration, vous sentez vous préoccupé par les questions suivantes :</v>
      </c>
      <c r="I379" s="152" t="str">
        <f>IFERROR(__xludf.DUMMYFUNCTION("TRIM(REGEXREPLACE(E379, ""[0-9]+[a-f]?\."", """"))"),"Lokacin da muka ziyarce ku a bincikenmu na farko ido-da-ido da aka gudanar a shekarar da ta gabata a lokacin bazara, kun gaya mana kuna sha'awar ƙaura. A cikin watanni shida da suka gabata, yayin da kuke tunanin ko za ku je biɗa, ko kun damu da:")</f>
        <v>Lokacin da muka ziyarce ku a bincikenmu na farko ido-da-ido da aka gudanar a shekarar da ta gabata a lokacin bazara, kun gaya mana kuna sha'awar ƙaura. A cikin watanni shida da suka gabata, yayin da kuke tunanin ko za ku je biɗa, ko kun damu da:</v>
      </c>
      <c r="J379" s="152" t="s">
        <v>2726</v>
      </c>
      <c r="K379" s="152" t="s">
        <v>2727</v>
      </c>
      <c r="L379" s="152" t="s">
        <v>2728</v>
      </c>
      <c r="M379" s="152"/>
    </row>
    <row r="380">
      <c r="A380" s="65" t="s">
        <v>463</v>
      </c>
      <c r="B380" s="218" t="s">
        <v>2729</v>
      </c>
      <c r="C380" s="28" t="s">
        <v>2730</v>
      </c>
      <c r="D380" s="28" t="s">
        <v>2731</v>
      </c>
      <c r="E380" s="28" t="s">
        <v>2732</v>
      </c>
      <c r="F380" s="161">
        <v>89.0</v>
      </c>
      <c r="G380" s="152" t="str">
        <f>IFERROR(__xludf.DUMMYFUNCTION("TRIM(REGEXREPLACE(C380, ""[0-9]+[a-f]?\."", """"))"),"you would not have sufficient funds to support migration")</f>
        <v>you would not have sufficient funds to support migration</v>
      </c>
      <c r="H380" s="152" t="str">
        <f>IFERROR(__xludf.DUMMYFUNCTION("TRIM(REGEXREPLACE(D380, ""[0-9]+[a-f]?\."", """"))"),"vous n'auriez pas suffisamment de fonds pour supporter les dépenses liées à la migration")</f>
        <v>vous n'auriez pas suffisamment de fonds pour supporter les dépenses liées à la migration</v>
      </c>
      <c r="I380" s="152" t="str">
        <f>IFERROR(__xludf.DUMMYFUNCTION("TRIM(REGEXREPLACE(E380, ""[0-9]+[a-f]?\."", """"))"),"Ba za ku sami isassun kuɗi ba don ɗaukan nauyin kashe kashen kuɗin da ya ta'allaƙa da zuwa biɗan ba")</f>
        <v>Ba za ku sami isassun kuɗi ba don ɗaukan nauyin kashe kashen kuɗin da ya ta'allaƙa da zuwa biɗan ba</v>
      </c>
      <c r="J380" s="152" t="s">
        <v>2733</v>
      </c>
      <c r="K380" s="152" t="s">
        <v>2734</v>
      </c>
      <c r="L380" s="152" t="s">
        <v>2735</v>
      </c>
      <c r="M380" s="152"/>
    </row>
    <row r="381">
      <c r="A381" s="65" t="s">
        <v>463</v>
      </c>
      <c r="B381" s="218" t="s">
        <v>2736</v>
      </c>
      <c r="C381" s="28" t="s">
        <v>2737</v>
      </c>
      <c r="D381" s="28" t="s">
        <v>2738</v>
      </c>
      <c r="E381" s="28" t="s">
        <v>2739</v>
      </c>
      <c r="F381" s="161">
        <v>90.0</v>
      </c>
      <c r="G381" s="152" t="str">
        <f>IFERROR(__xludf.DUMMYFUNCTION("TRIM(REGEXREPLACE(C381, ""[0-9]+[a-f]?\."", """"))"),"you thought you would have enough funds, but couldn’t access the cash you needed to migrate in time to travel")</f>
        <v>you thought you would have enough funds, but couldn’t access the cash you needed to migrate in time to travel</v>
      </c>
      <c r="H381" s="152" t="str">
        <f>IFERROR(__xludf.DUMMYFUNCTION("TRIM(REGEXREPLACE(D381, ""[0-9]+[a-f]?\."", """"))"),"vous pensiez avoir suffisamment de fonds, mais vous n’avez pas pu accéder à l’argent dont vous aviez besoin pour migrer à temps.")</f>
        <v>vous pensiez avoir suffisamment de fonds, mais vous n’avez pas pu accéder à l’argent dont vous aviez besoin pour migrer à temps.</v>
      </c>
      <c r="I381" s="152" t="str">
        <f>IFERROR(__xludf.DUMMYFUNCTION("TRIM(REGEXREPLACE(E381, ""[0-9]+[a-f]?\."", """"))"),"Kun yi tunanin za ku samu isassun kuɗi, amma ba ku samun dama ba kuɗin suka shiga hannu a lokacin tafiyar.")</f>
        <v>Kun yi tunanin za ku samu isassun kuɗi, amma ba ku samun dama ba kuɗin suka shiga hannu a lokacin tafiyar.</v>
      </c>
      <c r="J381" s="152" t="s">
        <v>2741</v>
      </c>
      <c r="K381" s="152" t="s">
        <v>2742</v>
      </c>
      <c r="L381" s="152" t="s">
        <v>2743</v>
      </c>
      <c r="M381" s="152"/>
    </row>
    <row r="382">
      <c r="A382" s="65" t="s">
        <v>463</v>
      </c>
      <c r="B382" s="218" t="s">
        <v>2744</v>
      </c>
      <c r="C382" s="28" t="s">
        <v>2745</v>
      </c>
      <c r="D382" s="28" t="s">
        <v>2746</v>
      </c>
      <c r="E382" s="28" t="s">
        <v>2747</v>
      </c>
      <c r="F382" s="161">
        <v>91.0</v>
      </c>
      <c r="G382" s="152" t="str">
        <f>IFERROR(__xludf.DUMMYFUNCTION("TRIM(REGEXREPLACE(C382, ""[0-9]+[a-f]?\."", """"))"),"your family would not support your decision to migrate")</f>
        <v>your family would not support your decision to migrate</v>
      </c>
      <c r="H382" s="152" t="str">
        <f>IFERROR(__xludf.DUMMYFUNCTION("TRIM(REGEXREPLACE(D382, ""[0-9]+[a-f]?\."", """"))"),"votre famille ne soutiendrait pas votre décision de migrer")</f>
        <v>votre famille ne soutiendrait pas votre décision de migrer</v>
      </c>
      <c r="I382" s="152" t="str">
        <f>IFERROR(__xludf.DUMMYFUNCTION("TRIM(REGEXREPLACE(E382, ""[0-9]+[a-f]?\."", """"))"),"Ƴan gidan ku ba za su goyi bayan zuwa biɗan ka ba")</f>
        <v>Ƴan gidan ku ba za su goyi bayan zuwa biɗan ka ba</v>
      </c>
      <c r="J382" s="152" t="s">
        <v>2748</v>
      </c>
      <c r="K382" s="152" t="s">
        <v>2749</v>
      </c>
      <c r="L382" s="152" t="s">
        <v>2750</v>
      </c>
      <c r="M382" s="152"/>
    </row>
    <row r="383">
      <c r="A383" s="65" t="s">
        <v>463</v>
      </c>
      <c r="B383" s="218" t="s">
        <v>2751</v>
      </c>
      <c r="C383" s="28" t="s">
        <v>2752</v>
      </c>
      <c r="D383" s="28" t="s">
        <v>2753</v>
      </c>
      <c r="E383" s="28" t="s">
        <v>2754</v>
      </c>
      <c r="F383" s="161">
        <v>92.0</v>
      </c>
      <c r="G383" s="152" t="str">
        <f>IFERROR(__xludf.DUMMYFUNCTION("TRIM(REGEXREPLACE(C383, ""[0-9]+[a-f]?\."", """"))"),"members of your community would not support your decision to migrate")</f>
        <v>members of your community would not support your decision to migrate</v>
      </c>
      <c r="H383" s="152" t="str">
        <f>IFERROR(__xludf.DUMMYFUNCTION("TRIM(REGEXREPLACE(D383, ""[0-9]+[a-f]?\."", """"))"),"Les membres de votre communauté ne soutiendraient pas votre décision de migrer")</f>
        <v>Les membres de votre communauté ne soutiendraient pas votre décision de migrer</v>
      </c>
      <c r="I383" s="152" t="str">
        <f>IFERROR(__xludf.DUMMYFUNCTION("TRIM(REGEXREPLACE(E383, ""[0-9]+[a-f]?\."", """"))"),"Al'ummar yankinku ba za su goyi bayan sha'awarar ka na zuwa biɗa ba")</f>
        <v>Al'ummar yankinku ba za su goyi bayan sha'awarar ka na zuwa biɗa ba</v>
      </c>
      <c r="J383" s="152" t="s">
        <v>2755</v>
      </c>
      <c r="K383" s="152" t="s">
        <v>2756</v>
      </c>
      <c r="L383" s="152" t="s">
        <v>2758</v>
      </c>
    </row>
    <row r="384">
      <c r="A384" s="65" t="s">
        <v>463</v>
      </c>
      <c r="B384" s="218" t="s">
        <v>2759</v>
      </c>
      <c r="C384" s="28" t="s">
        <v>2760</v>
      </c>
      <c r="D384" s="28" t="s">
        <v>2761</v>
      </c>
      <c r="E384" s="28" t="s">
        <v>2762</v>
      </c>
      <c r="F384" s="161">
        <v>93.0</v>
      </c>
      <c r="G384" s="152" t="str">
        <f>IFERROR(__xludf.DUMMYFUNCTION("TRIM(REGEXREPLACE(C384, ""[0-9]+[a-f]?\."", """"))"),"it would be dangerous for you on the route")</f>
        <v>it would be dangerous for you on the route</v>
      </c>
      <c r="H384" s="152" t="str">
        <f>IFERROR(__xludf.DUMMYFUNCTION("TRIM(REGEXREPLACE(D384, ""[0-9]+[a-f]?\."", """"))"),"ce serait dangereux pour vous sur la route")</f>
        <v>ce serait dangereux pour vous sur la route</v>
      </c>
      <c r="I384" s="152" t="str">
        <f>IFERROR(__xludf.DUMMYFUNCTION("TRIM(REGEXREPLACE(E384, ""[0-9]+[a-f]?\."", """"))"),"Zai iya zame muku haɗari a kan hanya")</f>
        <v>Zai iya zame muku haɗari a kan hanya</v>
      </c>
      <c r="J384" s="152" t="s">
        <v>2763</v>
      </c>
      <c r="K384" s="152" t="s">
        <v>2764</v>
      </c>
      <c r="L384" s="152" t="s">
        <v>2765</v>
      </c>
    </row>
    <row r="385">
      <c r="A385" s="65" t="s">
        <v>463</v>
      </c>
      <c r="B385" s="218" t="s">
        <v>2766</v>
      </c>
      <c r="C385" s="28" t="s">
        <v>2767</v>
      </c>
      <c r="D385" s="28" t="s">
        <v>2768</v>
      </c>
      <c r="E385" s="28" t="s">
        <v>2769</v>
      </c>
      <c r="F385" s="161">
        <v>94.0</v>
      </c>
      <c r="G385" s="152" t="str">
        <f>IFERROR(__xludf.DUMMYFUNCTION("TRIM(REGEXREPLACE(C385, ""[0-9]+[a-f]?\."", """"))"),"it would be dangerous for you at your preferred destination")</f>
        <v>it would be dangerous for you at your preferred destination</v>
      </c>
      <c r="H385" s="152" t="str">
        <f>IFERROR(__xludf.DUMMYFUNCTION("TRIM(REGEXREPLACE(D385, ""[0-9]+[a-f]?\."", """"))"),"ce serait dangereux pour vous à votre destination préférée")</f>
        <v>ce serait dangereux pour vous à votre destination préférée</v>
      </c>
      <c r="I385" s="152" t="str">
        <f>IFERROR(__xludf.DUMMYFUNCTION("TRIM(REGEXREPLACE(E385, ""[0-9]+[a-f]?\."", """"))"),"Zai iya zama hadari gare ku a wurin da kuka fi so")</f>
        <v>Zai iya zama hadari gare ku a wurin da kuka fi so</v>
      </c>
      <c r="J385" s="152" t="s">
        <v>2770</v>
      </c>
      <c r="K385" s="152" t="s">
        <v>2771</v>
      </c>
      <c r="L385" s="152" t="s">
        <v>2772</v>
      </c>
      <c r="M385" s="152"/>
    </row>
    <row r="386">
      <c r="A386" s="65" t="s">
        <v>463</v>
      </c>
      <c r="B386" s="218" t="s">
        <v>2774</v>
      </c>
      <c r="C386" s="28" t="s">
        <v>2775</v>
      </c>
      <c r="D386" s="28" t="s">
        <v>2776</v>
      </c>
      <c r="E386" s="28" t="s">
        <v>2777</v>
      </c>
      <c r="F386" s="161">
        <v>95.0</v>
      </c>
      <c r="G386" s="152" t="str">
        <f>IFERROR(__xludf.DUMMYFUNCTION("TRIM(REGEXREPLACE(C386, ""[0-9]+[a-f]?\."", """"))"),"the border would be closed and I would not be able to leave Niger")</f>
        <v>the border would be closed and I would not be able to leave Niger</v>
      </c>
      <c r="H386" s="152" t="str">
        <f>IFERROR(__xludf.DUMMYFUNCTION("TRIM(REGEXREPLACE(D386, ""[0-9]+[a-f]?\."", """"))"),"la frontière serait fermée et je ne pourrais pas quitter le Niger")</f>
        <v>la frontière serait fermée et je ne pourrais pas quitter le Niger</v>
      </c>
      <c r="I386" s="152" t="str">
        <f>IFERROR(__xludf.DUMMYFUNCTION("TRIM(REGEXREPLACE(E386, ""[0-9]+[a-f]?\."", """"))"),"Za a rufe iyaka, Ba zan iya barin Nijar ba")</f>
        <v>Za a rufe iyaka, Ba zan iya barin Nijar ba</v>
      </c>
      <c r="J386" s="152" t="s">
        <v>2778</v>
      </c>
      <c r="K386" s="152" t="s">
        <v>2779</v>
      </c>
      <c r="L386" s="152" t="s">
        <v>2780</v>
      </c>
      <c r="M386" s="152"/>
    </row>
    <row r="387">
      <c r="A387" s="65" t="s">
        <v>463</v>
      </c>
      <c r="B387" s="218" t="s">
        <v>2781</v>
      </c>
      <c r="C387" s="28" t="s">
        <v>2782</v>
      </c>
      <c r="D387" s="28" t="s">
        <v>2783</v>
      </c>
      <c r="E387" s="28" t="s">
        <v>2784</v>
      </c>
      <c r="F387" s="161">
        <v>96.0</v>
      </c>
      <c r="G387" s="152" t="str">
        <f>IFERROR(__xludf.DUMMYFUNCTION("TRIM(REGEXREPLACE(C387, ""[0-9]+[a-f]?\."", """"))"),"you would not be able to find housing or work at your preferred destination")</f>
        <v>you would not be able to find housing or work at your preferred destination</v>
      </c>
      <c r="H387" s="152" t="str">
        <f>IFERROR(__xludf.DUMMYFUNCTION("TRIM(REGEXREPLACE(D387, ""[0-9]+[a-f]?\."", """"))"),"vous ne seriez pas en mesure de trouver un logement ou de travailler dans votre destination préférée")</f>
        <v>vous ne seriez pas en mesure de trouver un logement ou de travailler dans votre destination préférée</v>
      </c>
      <c r="I387" s="152" t="str">
        <f>IFERROR(__xludf.DUMMYFUNCTION("TRIM(REGEXREPLACE(E387, ""[0-9]+[a-f]?\."", """"))"),"Ba za ku iya samun wurin zama ko aiki ba a wurin da kuka fi so.")</f>
        <v>Ba za ku iya samun wurin zama ko aiki ba a wurin da kuka fi so.</v>
      </c>
      <c r="J387" s="152" t="s">
        <v>2785</v>
      </c>
      <c r="K387" s="152" t="s">
        <v>2786</v>
      </c>
      <c r="L387" s="152" t="s">
        <v>2787</v>
      </c>
    </row>
    <row r="388">
      <c r="A388" s="65" t="s">
        <v>463</v>
      </c>
      <c r="B388" s="218" t="s">
        <v>2788</v>
      </c>
      <c r="C388" s="28" t="s">
        <v>2789</v>
      </c>
      <c r="D388" s="28" t="s">
        <v>2790</v>
      </c>
      <c r="E388" s="28" t="s">
        <v>2791</v>
      </c>
      <c r="F388" s="161">
        <v>97.0</v>
      </c>
      <c r="G388" s="152" t="str">
        <f>IFERROR(__xludf.DUMMYFUNCTION("TRIM(REGEXREPLACE(C388, ""[0-9]+[a-f]?\."", """"))"),"members of your family would would not have enough food without you in Tahoua")</f>
        <v>members of your family would would not have enough food without you in Tahoua</v>
      </c>
      <c r="H388" s="152" t="str">
        <f>IFERROR(__xludf.DUMMYFUNCTION("TRIM(REGEXREPLACE(D388, ""[0-9]+[a-f]?\."", """"))"),"Les membres de votre famille n'auraient pas assez de nourriture sans vous à Tahoua")</f>
        <v>Les membres de votre famille n'auraient pas assez de nourriture sans vous à Tahoua</v>
      </c>
      <c r="I388" s="152" t="str">
        <f>IFERROR(__xludf.DUMMYFUNCTION("TRIM(REGEXREPLACE(E388, ""[0-9]+[a-f]?\."", """"))"),"Ƴan gidanku ba za su samu isasshen abinci ba idan babu kai a Tahoua.")</f>
        <v>Ƴan gidanku ba za su samu isasshen abinci ba idan babu kai a Tahoua.</v>
      </c>
      <c r="J388" s="152" t="s">
        <v>2793</v>
      </c>
      <c r="K388" s="152" t="s">
        <v>2794</v>
      </c>
      <c r="L388" s="152" t="s">
        <v>2795</v>
      </c>
    </row>
    <row r="389">
      <c r="A389" s="65" t="s">
        <v>463</v>
      </c>
      <c r="B389" s="218" t="s">
        <v>2796</v>
      </c>
      <c r="C389" s="28" t="s">
        <v>2797</v>
      </c>
      <c r="D389" s="28" t="s">
        <v>2798</v>
      </c>
      <c r="E389" s="28" t="s">
        <v>2799</v>
      </c>
      <c r="F389" s="161">
        <v>98.0</v>
      </c>
      <c r="G389" s="152" t="str">
        <f>IFERROR(__xludf.DUMMYFUNCTION("TRIM(REGEXREPLACE(C389, ""[0-9]+[a-f]?\."", """"))"),"your family would not have enough people to work without you in Tahoua")</f>
        <v>your family would not have enough people to work without you in Tahoua</v>
      </c>
      <c r="H389" s="152" t="str">
        <f>IFERROR(__xludf.DUMMYFUNCTION("TRIM(REGEXREPLACE(D389, ""[0-9]+[a-f]?\."", """"))"),"votre famille n'aurait pas assez de bras valides pour travailler sans vous à Tahoua")</f>
        <v>votre famille n'aurait pas assez de bras valides pour travailler sans vous à Tahoua</v>
      </c>
      <c r="I389" s="152" t="str">
        <f>IFERROR(__xludf.DUMMYFUNCTION("TRIM(REGEXREPLACE(E389, ""[0-9]+[a-f]?\."", """"))"),"Ƴan gidan ku ba za su samu isassun mutanen da za su yi aiki ba a Tahoua idan ba ka nan")</f>
        <v>Ƴan gidan ku ba za su samu isassun mutanen da za su yi aiki ba a Tahoua idan ba ka nan</v>
      </c>
      <c r="J389" s="152" t="s">
        <v>2800</v>
      </c>
      <c r="K389" s="152" t="s">
        <v>2801</v>
      </c>
      <c r="L389" s="152" t="s">
        <v>2802</v>
      </c>
      <c r="M389" s="152"/>
    </row>
    <row r="390" hidden="1">
      <c r="A390" s="65" t="s">
        <v>237</v>
      </c>
      <c r="B390" s="218" t="s">
        <v>2713</v>
      </c>
      <c r="C390" s="28"/>
      <c r="D390" s="28"/>
      <c r="E390" s="28"/>
      <c r="F390" s="161">
        <v>191.0</v>
      </c>
      <c r="G390" s="152" t="str">
        <f>IFERROR(__xludf.DUMMYFUNCTION("TRIM(REGEXREPLACE(C390, ""[0-9]+[a-f]?\."", """"))"),"")</f>
        <v/>
      </c>
      <c r="H390" s="152" t="str">
        <f>IFERROR(__xludf.DUMMYFUNCTION("TRIM(REGEXREPLACE(D390, ""[0-9]+[a-f]?\."", """"))"),"")</f>
        <v/>
      </c>
      <c r="I390" s="152" t="str">
        <f>IFERROR(__xludf.DUMMYFUNCTION("TRIM(REGEXREPLACE(E390, ""[0-9]+[a-f]?\."", """"))"),"")</f>
        <v/>
      </c>
      <c r="J390" s="152" t="s">
        <v>2804</v>
      </c>
      <c r="K390" s="152" t="s">
        <v>2805</v>
      </c>
      <c r="L390" s="152" t="s">
        <v>2806</v>
      </c>
    </row>
    <row r="391">
      <c r="A391" s="65" t="s">
        <v>463</v>
      </c>
      <c r="B391" s="218" t="s">
        <v>2807</v>
      </c>
      <c r="C391" s="28" t="s">
        <v>2808</v>
      </c>
      <c r="D391" s="28" t="s">
        <v>2809</v>
      </c>
      <c r="E391" s="28" t="s">
        <v>2810</v>
      </c>
      <c r="F391" s="161">
        <v>99.0</v>
      </c>
      <c r="G391" s="152" t="str">
        <f>IFERROR(__xludf.DUMMYFUNCTION("TRIM(REGEXREPLACE(C391, ""[0-9]+[a-f]?\."", """"))"),"Did your family actually object to your potential migration?")</f>
        <v>Did your family actually object to your potential migration?</v>
      </c>
      <c r="H391" s="152" t="str">
        <f>IFERROR(__xludf.DUMMYFUNCTION("TRIM(REGEXREPLACE(D391, ""[0-9]+[a-f]?\."", """"))"),"Votre famille s’est-elle réellement opposée à votre éventuelle migration ?")</f>
        <v>Votre famille s’est-elle réellement opposée à votre éventuelle migration ?</v>
      </c>
      <c r="I391" s="152" t="str">
        <f>IFERROR(__xludf.DUMMYFUNCTION("TRIM(REGEXREPLACE(E391, ""[0-9]+[a-f]?\."", """"))"),"Ko lalle da gaske ƴan gidan ku sun ƙi amincewa da zuwa biɗar ka ?")</f>
        <v>Ko lalle da gaske ƴan gidan ku sun ƙi amincewa da zuwa biɗar ka ?</v>
      </c>
      <c r="J391" s="152" t="s">
        <v>2811</v>
      </c>
      <c r="K391" s="152" t="s">
        <v>2812</v>
      </c>
      <c r="L391" s="152" t="s">
        <v>2813</v>
      </c>
      <c r="M391" s="152"/>
    </row>
    <row r="392">
      <c r="A392" s="65" t="s">
        <v>2815</v>
      </c>
      <c r="B392" s="218" t="s">
        <v>2816</v>
      </c>
      <c r="C392" s="28" t="s">
        <v>2817</v>
      </c>
      <c r="D392" s="28" t="s">
        <v>2818</v>
      </c>
      <c r="E392" s="28" t="s">
        <v>2819</v>
      </c>
      <c r="F392" s="161">
        <v>100.0</v>
      </c>
      <c r="G392" s="152" t="str">
        <f>IFERROR(__xludf.DUMMYFUNCTION("TRIM(REGEXREPLACE(C392, ""[0-9]+[a-f]?\."", """"))"),"Why did they object to this decision?")</f>
        <v>Why did they object to this decision?</v>
      </c>
      <c r="H392" s="152" t="str">
        <f>IFERROR(__xludf.DUMMYFUNCTION("TRIM(REGEXREPLACE(D392, ""[0-9]+[a-f]?\."", """"))"),"Pourquoi se sont-ils opposés à cette décision ?")</f>
        <v>Pourquoi se sont-ils opposés à cette décision ?</v>
      </c>
      <c r="I392" s="152" t="str">
        <f>IFERROR(__xludf.DUMMYFUNCTION("TRIM(REGEXREPLACE(E392, ""[0-9]+[a-f]?\."", """"))"),"Me ya sa suka ƙi wannan shawarar?")</f>
        <v>Me ya sa suka ƙi wannan shawarar?</v>
      </c>
      <c r="J392" s="152" t="s">
        <v>2820</v>
      </c>
      <c r="K392" s="152" t="s">
        <v>2821</v>
      </c>
      <c r="L392" s="152" t="s">
        <v>2822</v>
      </c>
    </row>
    <row r="393">
      <c r="A393" s="65" t="s">
        <v>246</v>
      </c>
      <c r="B393" s="218" t="s">
        <v>2823</v>
      </c>
      <c r="C393" s="28" t="s">
        <v>2824</v>
      </c>
      <c r="D393" s="28" t="s">
        <v>2825</v>
      </c>
      <c r="E393" s="28" t="s">
        <v>2826</v>
      </c>
      <c r="F393" s="161">
        <v>101.0</v>
      </c>
      <c r="G393" s="152" t="str">
        <f>IFERROR(__xludf.DUMMYFUNCTION("TRIM(REGEXREPLACE(C393, ""[0-9]+[a-f]?\."", """"))"),"Other, specify:")</f>
        <v>Other, specify:</v>
      </c>
      <c r="H393" s="152" t="str">
        <f>IFERROR(__xludf.DUMMYFUNCTION("TRIM(REGEXREPLACE(D393, ""[0-9]+[a-f]?\."", """"))"),"Autre précisez:")</f>
        <v>Autre précisez:</v>
      </c>
      <c r="I393" s="152" t="str">
        <f>IFERROR(__xludf.DUMMYFUNCTION("TRIM(REGEXREPLACE(E393, ""[0-9]+[a-f]?\."", """"))"),"Wani daban, baiyana:")</f>
        <v>Wani daban, baiyana:</v>
      </c>
      <c r="J393" s="152" t="s">
        <v>2827</v>
      </c>
      <c r="K393" s="152" t="s">
        <v>2828</v>
      </c>
      <c r="L393" s="152" t="s">
        <v>2829</v>
      </c>
    </row>
    <row r="394">
      <c r="A394" s="65" t="s">
        <v>2830</v>
      </c>
      <c r="B394" s="218" t="s">
        <v>2831</v>
      </c>
      <c r="C394" s="28" t="s">
        <v>2832</v>
      </c>
      <c r="D394" s="28" t="s">
        <v>2834</v>
      </c>
      <c r="E394" s="28" t="s">
        <v>2835</v>
      </c>
      <c r="F394" s="161">
        <v>102.0</v>
      </c>
      <c r="G394" s="152" t="str">
        <f>IFERROR(__xludf.DUMMYFUNCTION("TRIM(REGEXREPLACE(C394, ""[0-9]+[a-f]?\."", """"))"),"Who in your family was most concerned?")</f>
        <v>Who in your family was most concerned?</v>
      </c>
      <c r="H394" s="152" t="str">
        <f>IFERROR(__xludf.DUMMYFUNCTION("TRIM(REGEXREPLACE(D394, ""[0-9]+[a-f]?\."", """"))"),"Qui dans votre famille était le plus inquiet ?")</f>
        <v>Qui dans votre famille était le plus inquiet ?</v>
      </c>
      <c r="I394" s="152" t="str">
        <f>IFERROR(__xludf.DUMMYFUNCTION("TRIM(REGEXREPLACE(E394, ""[0-9]+[a-f]?\."", """"))"),"Wanene ya fi damuwa a cikin gidan ku?")</f>
        <v>Wanene ya fi damuwa a cikin gidan ku?</v>
      </c>
      <c r="J394" s="152" t="s">
        <v>2836</v>
      </c>
      <c r="K394" s="152" t="s">
        <v>2837</v>
      </c>
      <c r="L394" s="152" t="s">
        <v>2838</v>
      </c>
      <c r="M394" s="152"/>
    </row>
    <row r="395">
      <c r="A395" s="65" t="s">
        <v>2839</v>
      </c>
      <c r="B395" s="218" t="s">
        <v>2840</v>
      </c>
      <c r="C395" s="28" t="s">
        <v>2841</v>
      </c>
      <c r="D395" s="28" t="s">
        <v>2842</v>
      </c>
      <c r="E395" s="28" t="s">
        <v>2843</v>
      </c>
      <c r="F395" s="161">
        <v>103.0</v>
      </c>
      <c r="G395" s="152" t="str">
        <f>IFERROR(__xludf.DUMMYFUNCTION("TRIM(REGEXREPLACE(C395, ""[0-9]+[a-f]?\."", """"))"),"Who in your community would be against your decision?")</f>
        <v>Who in your community would be against your decision?</v>
      </c>
      <c r="H395" s="152" t="str">
        <f>IFERROR(__xludf.DUMMYFUNCTION("TRIM(REGEXREPLACE(D395, ""[0-9]+[a-f]?\."", """"))"),"Qui dans votre communauté serait contre votre décision ?")</f>
        <v>Qui dans votre communauté serait contre votre décision ?</v>
      </c>
      <c r="I395" s="152" t="str">
        <f>IFERROR(__xludf.DUMMYFUNCTION("TRIM(REGEXREPLACE(E395, ""[0-9]+[a-f]?\."", """"))"),"Wanene a cikin al'ummarku zai yi adawa da shawararka?")</f>
        <v>Wanene a cikin al'ummarku zai yi adawa da shawararka?</v>
      </c>
      <c r="J395" s="152" t="s">
        <v>2844</v>
      </c>
      <c r="K395" s="152" t="s">
        <v>2845</v>
      </c>
      <c r="L395" s="152" t="s">
        <v>2846</v>
      </c>
      <c r="M395" s="152"/>
    </row>
    <row r="396">
      <c r="A396" s="229" t="s">
        <v>246</v>
      </c>
      <c r="B396" s="218" t="s">
        <v>2847</v>
      </c>
      <c r="C396" s="28" t="s">
        <v>2848</v>
      </c>
      <c r="D396" s="28" t="s">
        <v>2849</v>
      </c>
      <c r="E396" s="28" t="s">
        <v>2850</v>
      </c>
      <c r="F396" s="161">
        <v>104.0</v>
      </c>
      <c r="G396" s="152" t="str">
        <f>IFERROR(__xludf.DUMMYFUNCTION("TRIM(REGEXREPLACE(C396, ""[0-9]+[a-f]?\."", """"))"),"Other, specify:")</f>
        <v>Other, specify:</v>
      </c>
      <c r="H396" s="152" t="str">
        <f>IFERROR(__xludf.DUMMYFUNCTION("TRIM(REGEXREPLACE(D396, ""[0-9]+[a-f]?\."", """"))"),"Autre précisez:")</f>
        <v>Autre précisez:</v>
      </c>
      <c r="I396" s="152" t="str">
        <f>IFERROR(__xludf.DUMMYFUNCTION("TRIM(REGEXREPLACE(E396, ""[0-9]+[a-f]?\."", """"))"),"Wani daban, baiyana:")</f>
        <v>Wani daban, baiyana:</v>
      </c>
      <c r="J396" s="152" t="s">
        <v>2824</v>
      </c>
      <c r="K396" s="152" t="s">
        <v>2825</v>
      </c>
      <c r="L396" s="152" t="s">
        <v>2826</v>
      </c>
      <c r="M396" s="152"/>
    </row>
    <row r="397" hidden="1">
      <c r="A397" s="65" t="s">
        <v>134</v>
      </c>
      <c r="B397" s="66" t="s">
        <v>2852</v>
      </c>
      <c r="C397" s="28"/>
      <c r="D397" s="28"/>
      <c r="E397" s="28"/>
      <c r="F397" s="161">
        <v>196.0</v>
      </c>
      <c r="G397" s="152" t="str">
        <f>IFERROR(__xludf.DUMMYFUNCTION("TRIM(REGEXREPLACE(C397, ""[0-9]+[a-f]?\."", """"))"),"")</f>
        <v/>
      </c>
      <c r="H397" s="152" t="str">
        <f>IFERROR(__xludf.DUMMYFUNCTION("TRIM(REGEXREPLACE(D397, ""[0-9]+[a-f]?\."", """"))"),"")</f>
        <v/>
      </c>
      <c r="I397" s="152" t="str">
        <f>IFERROR(__xludf.DUMMYFUNCTION("TRIM(REGEXREPLACE(E397, ""[0-9]+[a-f]?\."", """"))"),"")</f>
        <v/>
      </c>
      <c r="J397" s="152" t="s">
        <v>2853</v>
      </c>
      <c r="K397" s="152" t="s">
        <v>2854</v>
      </c>
      <c r="L397" s="152" t="s">
        <v>2855</v>
      </c>
      <c r="M397" s="152"/>
    </row>
    <row r="398" hidden="1">
      <c r="A398" s="58" t="s">
        <v>78</v>
      </c>
      <c r="B398" s="58" t="s">
        <v>2857</v>
      </c>
      <c r="C398" s="28"/>
      <c r="D398" s="28"/>
      <c r="E398" s="28"/>
      <c r="F398" s="161">
        <v>197.0</v>
      </c>
      <c r="G398" s="152" t="str">
        <f>IFERROR(__xludf.DUMMYFUNCTION("TRIM(REGEXREPLACE(C398, ""[0-9]+[a-f]?\."", """"))"),"")</f>
        <v/>
      </c>
      <c r="H398" s="152" t="str">
        <f>IFERROR(__xludf.DUMMYFUNCTION("TRIM(REGEXREPLACE(D398, ""[0-9]+[a-f]?\."", """"))"),"")</f>
        <v/>
      </c>
      <c r="I398" s="152" t="str">
        <f>IFERROR(__xludf.DUMMYFUNCTION("TRIM(REGEXREPLACE(E398, ""[0-9]+[a-f]?\."", """"))"),"")</f>
        <v/>
      </c>
      <c r="J398" s="152" t="s">
        <v>2860</v>
      </c>
      <c r="K398" s="152" t="s">
        <v>2861</v>
      </c>
      <c r="L398" s="152" t="s">
        <v>2862</v>
      </c>
    </row>
    <row r="399" hidden="1">
      <c r="A399" s="221"/>
      <c r="B399" s="222"/>
      <c r="C399" s="28"/>
      <c r="D399" s="28"/>
      <c r="E399" s="28"/>
      <c r="F399" s="161">
        <v>198.0</v>
      </c>
      <c r="G399" s="152" t="str">
        <f>IFERROR(__xludf.DUMMYFUNCTION("TRIM(REGEXREPLACE(C399, ""[0-9]+[a-f]?\."", """"))"),"")</f>
        <v/>
      </c>
      <c r="H399" s="152" t="str">
        <f>IFERROR(__xludf.DUMMYFUNCTION("TRIM(REGEXREPLACE(D399, ""[0-9]+[a-f]?\."", """"))"),"")</f>
        <v/>
      </c>
      <c r="I399" s="152" t="str">
        <f>IFERROR(__xludf.DUMMYFUNCTION("TRIM(REGEXREPLACE(E399, ""[0-9]+[a-f]?\."", """"))"),"")</f>
        <v/>
      </c>
      <c r="J399" s="152" t="s">
        <v>2864</v>
      </c>
      <c r="K399" s="152" t="s">
        <v>2865</v>
      </c>
      <c r="L399" s="152" t="s">
        <v>2866</v>
      </c>
      <c r="M399" s="152"/>
    </row>
    <row r="400" hidden="1">
      <c r="A400" s="65" t="s">
        <v>134</v>
      </c>
      <c r="B400" s="66" t="s">
        <v>2867</v>
      </c>
      <c r="C400" s="28"/>
      <c r="D400" s="28"/>
      <c r="E400" s="28"/>
      <c r="F400" s="161">
        <v>199.0</v>
      </c>
      <c r="G400" s="152" t="str">
        <f>IFERROR(__xludf.DUMMYFUNCTION("TRIM(REGEXREPLACE(C400, ""[0-9]+[a-f]?\."", """"))"),"")</f>
        <v/>
      </c>
      <c r="H400" s="152" t="str">
        <f>IFERROR(__xludf.DUMMYFUNCTION("TRIM(REGEXREPLACE(D400, ""[0-9]+[a-f]?\."", """"))"),"")</f>
        <v/>
      </c>
      <c r="I400" s="152" t="str">
        <f>IFERROR(__xludf.DUMMYFUNCTION("TRIM(REGEXREPLACE(E400, ""[0-9]+[a-f]?\."", """"))"),"")</f>
        <v/>
      </c>
      <c r="J400" s="152" t="s">
        <v>2870</v>
      </c>
      <c r="K400" s="152" t="s">
        <v>2871</v>
      </c>
      <c r="L400" s="152" t="s">
        <v>2872</v>
      </c>
      <c r="M400" s="152"/>
    </row>
    <row r="401" hidden="1">
      <c r="A401" s="65" t="s">
        <v>134</v>
      </c>
      <c r="B401" s="66" t="s">
        <v>2873</v>
      </c>
      <c r="C401" s="28"/>
      <c r="D401" s="28"/>
      <c r="E401" s="28"/>
      <c r="F401" s="161">
        <v>200.0</v>
      </c>
      <c r="G401" s="152" t="str">
        <f>IFERROR(__xludf.DUMMYFUNCTION("TRIM(REGEXREPLACE(C401, ""[0-9]+[a-f]?\."", """"))"),"")</f>
        <v/>
      </c>
      <c r="H401" s="152" t="str">
        <f>IFERROR(__xludf.DUMMYFUNCTION("TRIM(REGEXREPLACE(D401, ""[0-9]+[a-f]?\."", """"))"),"")</f>
        <v/>
      </c>
      <c r="I401" s="152" t="str">
        <f>IFERROR(__xludf.DUMMYFUNCTION("TRIM(REGEXREPLACE(E401, ""[0-9]+[a-f]?\."", """"))"),"")</f>
        <v/>
      </c>
      <c r="J401" s="152" t="s">
        <v>2874</v>
      </c>
      <c r="K401" s="152" t="s">
        <v>2875</v>
      </c>
      <c r="L401" s="152" t="s">
        <v>2876</v>
      </c>
      <c r="M401" s="152"/>
    </row>
    <row r="402" hidden="1">
      <c r="A402" s="231" t="s">
        <v>78</v>
      </c>
      <c r="B402" s="92" t="s">
        <v>2880</v>
      </c>
      <c r="C402" s="28"/>
      <c r="D402" s="28"/>
      <c r="E402" s="28"/>
      <c r="F402" s="161">
        <v>201.0</v>
      </c>
      <c r="G402" s="152" t="str">
        <f>IFERROR(__xludf.DUMMYFUNCTION("TRIM(REGEXREPLACE(C402, ""[0-9]+[a-f]?\."", """"))"),"")</f>
        <v/>
      </c>
      <c r="H402" s="152" t="str">
        <f>IFERROR(__xludf.DUMMYFUNCTION("TRIM(REGEXREPLACE(D402, ""[0-9]+[a-f]?\."", """"))"),"")</f>
        <v/>
      </c>
      <c r="I402" s="152" t="str">
        <f>IFERROR(__xludf.DUMMYFUNCTION("TRIM(REGEXREPLACE(E402, ""[0-9]+[a-f]?\."", """"))"),"")</f>
        <v/>
      </c>
      <c r="J402" s="152" t="s">
        <v>2882</v>
      </c>
      <c r="K402" s="152" t="s">
        <v>2883</v>
      </c>
      <c r="L402" s="152" t="s">
        <v>2884</v>
      </c>
      <c r="M402" s="152"/>
    </row>
    <row r="403" hidden="1">
      <c r="A403" s="231" t="s">
        <v>78</v>
      </c>
      <c r="B403" s="92" t="s">
        <v>2885</v>
      </c>
      <c r="C403" s="28"/>
      <c r="D403" s="28"/>
      <c r="E403" s="28"/>
      <c r="F403" s="161">
        <v>217.0</v>
      </c>
      <c r="G403" s="152" t="str">
        <f>IFERROR(__xludf.DUMMYFUNCTION("TRIM(REGEXREPLACE(C403, ""[0-9]+[a-f]?\."", """"))"),"")</f>
        <v/>
      </c>
      <c r="H403" s="152" t="str">
        <f>IFERROR(__xludf.DUMMYFUNCTION("TRIM(REGEXREPLACE(D403, ""[0-9]+[a-f]?\."", """"))"),"")</f>
        <v/>
      </c>
      <c r="I403" s="152" t="str">
        <f>IFERROR(__xludf.DUMMYFUNCTION("TRIM(REGEXREPLACE(E403, ""[0-9]+[a-f]?\."", """"))"),"")</f>
        <v/>
      </c>
      <c r="J403" s="152" t="s">
        <v>2886</v>
      </c>
      <c r="K403" s="152" t="s">
        <v>2888</v>
      </c>
      <c r="L403" s="152" t="s">
        <v>2889</v>
      </c>
      <c r="M403" s="152"/>
    </row>
    <row r="404" hidden="1">
      <c r="A404" s="231" t="s">
        <v>78</v>
      </c>
      <c r="B404" s="92" t="s">
        <v>2892</v>
      </c>
      <c r="C404" s="28"/>
      <c r="D404" s="28"/>
      <c r="E404" s="28"/>
      <c r="F404" s="161">
        <v>216.0</v>
      </c>
      <c r="G404" s="152" t="str">
        <f>IFERROR(__xludf.DUMMYFUNCTION("TRIM(REGEXREPLACE(C404, ""[0-9]+[a-f]?\."", """"))"),"")</f>
        <v/>
      </c>
      <c r="H404" s="152" t="str">
        <f>IFERROR(__xludf.DUMMYFUNCTION("TRIM(REGEXREPLACE(D404, ""[0-9]+[a-f]?\."", """"))"),"")</f>
        <v/>
      </c>
      <c r="I404" s="152" t="str">
        <f>IFERROR(__xludf.DUMMYFUNCTION("TRIM(REGEXREPLACE(E404, ""[0-9]+[a-f]?\."", """"))"),"")</f>
        <v/>
      </c>
      <c r="J404" s="152" t="s">
        <v>2893</v>
      </c>
      <c r="K404" s="152" t="s">
        <v>2894</v>
      </c>
      <c r="L404" s="152" t="s">
        <v>2894</v>
      </c>
      <c r="M404" s="152"/>
    </row>
    <row r="405" hidden="1">
      <c r="A405" s="231" t="s">
        <v>78</v>
      </c>
      <c r="B405" s="92" t="s">
        <v>2895</v>
      </c>
      <c r="C405" s="28"/>
      <c r="D405" s="28"/>
      <c r="E405" s="28"/>
      <c r="F405" s="161">
        <v>219.0</v>
      </c>
      <c r="G405" s="152" t="str">
        <f>IFERROR(__xludf.DUMMYFUNCTION("TRIM(REGEXREPLACE(C405, ""[0-9]+[a-f]?\."", """"))"),"")</f>
        <v/>
      </c>
      <c r="H405" s="152" t="str">
        <f>IFERROR(__xludf.DUMMYFUNCTION("TRIM(REGEXREPLACE(D405, ""[0-9]+[a-f]?\."", """"))"),"")</f>
        <v/>
      </c>
      <c r="I405" s="152" t="str">
        <f>IFERROR(__xludf.DUMMYFUNCTION("TRIM(REGEXREPLACE(E405, ""[0-9]+[a-f]?\."", """"))"),"")</f>
        <v/>
      </c>
      <c r="J405" s="152" t="s">
        <v>2897</v>
      </c>
      <c r="K405" s="152" t="s">
        <v>2898</v>
      </c>
      <c r="L405" s="152" t="s">
        <v>2900</v>
      </c>
      <c r="M405" s="152"/>
    </row>
    <row r="406" hidden="1">
      <c r="A406" s="231" t="s">
        <v>78</v>
      </c>
      <c r="B406" s="92" t="s">
        <v>2902</v>
      </c>
      <c r="C406" s="28"/>
      <c r="D406" s="28"/>
      <c r="E406" s="28"/>
      <c r="F406" s="161">
        <v>220.0</v>
      </c>
      <c r="G406" s="152" t="str">
        <f>IFERROR(__xludf.DUMMYFUNCTION("TRIM(REGEXREPLACE(C406, ""[0-9]+[a-f]?\."", """"))"),"")</f>
        <v/>
      </c>
      <c r="H406" s="152" t="str">
        <f>IFERROR(__xludf.DUMMYFUNCTION("TRIM(REGEXREPLACE(D406, ""[0-9]+[a-f]?\."", """"))"),"")</f>
        <v/>
      </c>
      <c r="I406" s="152" t="str">
        <f>IFERROR(__xludf.DUMMYFUNCTION("TRIM(REGEXREPLACE(E406, ""[0-9]+[a-f]?\."", """"))"),"")</f>
        <v/>
      </c>
      <c r="J406" s="152" t="s">
        <v>2903</v>
      </c>
      <c r="K406" s="152" t="s">
        <v>2904</v>
      </c>
      <c r="L406" s="152" t="s">
        <v>2905</v>
      </c>
      <c r="M406" s="152"/>
    </row>
    <row r="407" hidden="1">
      <c r="A407" s="231" t="s">
        <v>78</v>
      </c>
      <c r="B407" s="92" t="s">
        <v>2906</v>
      </c>
      <c r="C407" s="28"/>
      <c r="D407" s="28"/>
      <c r="E407" s="28"/>
      <c r="F407" s="161">
        <v>221.0</v>
      </c>
      <c r="G407" s="152" t="str">
        <f>IFERROR(__xludf.DUMMYFUNCTION("TRIM(REGEXREPLACE(C407, ""[0-9]+[a-f]?\."", """"))"),"")</f>
        <v/>
      </c>
      <c r="H407" s="152" t="str">
        <f>IFERROR(__xludf.DUMMYFUNCTION("TRIM(REGEXREPLACE(D407, ""[0-9]+[a-f]?\."", """"))"),"")</f>
        <v/>
      </c>
      <c r="I407" s="152" t="str">
        <f>IFERROR(__xludf.DUMMYFUNCTION("TRIM(REGEXREPLACE(E407, ""[0-9]+[a-f]?\."", """"))"),"")</f>
        <v/>
      </c>
      <c r="J407" s="152" t="s">
        <v>2908</v>
      </c>
      <c r="K407" s="152" t="s">
        <v>2909</v>
      </c>
      <c r="L407" s="152" t="s">
        <v>2910</v>
      </c>
      <c r="M407" s="152"/>
    </row>
    <row r="408" hidden="1">
      <c r="A408" s="231" t="s">
        <v>78</v>
      </c>
      <c r="B408" s="216" t="s">
        <v>2911</v>
      </c>
      <c r="C408" s="28"/>
      <c r="D408" s="28"/>
      <c r="E408" s="28"/>
      <c r="F408" s="161">
        <v>217.0</v>
      </c>
      <c r="G408" s="152" t="str">
        <f>IFERROR(__xludf.DUMMYFUNCTION("TRIM(REGEXREPLACE(C408, ""[0-9]+[a-f]?\."", """"))"),"")</f>
        <v/>
      </c>
      <c r="H408" s="152" t="str">
        <f>IFERROR(__xludf.DUMMYFUNCTION("TRIM(REGEXREPLACE(D408, ""[0-9]+[a-f]?\."", """"))"),"")</f>
        <v/>
      </c>
      <c r="I408" s="152" t="str">
        <f>IFERROR(__xludf.DUMMYFUNCTION("TRIM(REGEXREPLACE(E408, ""[0-9]+[a-f]?\."", """"))"),"")</f>
        <v/>
      </c>
      <c r="J408" s="152" t="s">
        <v>2912</v>
      </c>
      <c r="K408" s="152" t="s">
        <v>2913</v>
      </c>
      <c r="L408" s="152" t="s">
        <v>2914</v>
      </c>
    </row>
    <row r="409">
      <c r="A409" s="233" t="s">
        <v>41</v>
      </c>
      <c r="B409" s="218" t="s">
        <v>2915</v>
      </c>
      <c r="C409" s="28" t="s">
        <v>2916</v>
      </c>
      <c r="D409" s="28" t="s">
        <v>2917</v>
      </c>
      <c r="E409" s="28" t="s">
        <v>2919</v>
      </c>
      <c r="F409" s="161">
        <v>105.0</v>
      </c>
      <c r="G409" s="152" t="str">
        <f>IFERROR(__xludf.DUMMYFUNCTION("TRIM(REGEXREPLACE(C409, ""[0-9]+[a-f]?\."", """"))"),"ENUMERATOR: Please notify the respondent that he will be answering the following questions for the period ${period}.")</f>
        <v>ENUMERATOR: Please notify the respondent that he will be answering the following questions for the period ${period}.</v>
      </c>
      <c r="H409" s="152" t="str">
        <f>IFERROR(__xludf.DUMMYFUNCTION("TRIM(REGEXREPLACE(D409, ""[0-9]+[a-f]?\."", """"))"),"ÉNUMÉRATEUR : Veuillez informer le répondant qu'il répondra aux questions suivantes pour la période ${period_french}.")</f>
        <v>ÉNUMÉRATEUR : Veuillez informer le répondant qu'il répondra aux questions suivantes pour la période ${period_french}.</v>
      </c>
      <c r="I409" s="152" t="str">
        <f>IFERROR(__xludf.DUMMYFUNCTION("TRIM(REGEXREPLACE(E409, ""[0-9]+[a-f]?\."", """"))"),"ENUMERATOR: Da fatan za a sanar da mai bada amsa da zai bada amsa ga tambayoyin masu zuwa a kan lokacin ${period_hausa}.")</f>
        <v>ENUMERATOR: Da fatan za a sanar da mai bada amsa da zai bada amsa ga tambayoyin masu zuwa a kan lokacin ${period_hausa}.</v>
      </c>
      <c r="J409" s="152" t="s">
        <v>2924</v>
      </c>
      <c r="K409" s="152" t="s">
        <v>2925</v>
      </c>
      <c r="L409" s="152" t="s">
        <v>2926</v>
      </c>
    </row>
    <row r="410">
      <c r="A410" s="234" t="s">
        <v>463</v>
      </c>
      <c r="B410" s="169" t="s">
        <v>2927</v>
      </c>
      <c r="C410" s="28" t="s">
        <v>2928</v>
      </c>
      <c r="D410" s="28" t="s">
        <v>2929</v>
      </c>
      <c r="E410" s="28" t="s">
        <v>2930</v>
      </c>
      <c r="F410" s="161">
        <v>106.0</v>
      </c>
      <c r="G410" s="152" t="str">
        <f>IFERROR(__xludf.DUMMYFUNCTION("TRIM(REGEXREPLACE(C410, ""[0-9]+[a-f]?\."", """"))"),"Did you spend at least one week (7 days) anywhere other than ${pm_loc_beg_initial} since ${period}?")</f>
        <v>Did you spend at least one week (7 days) anywhere other than ${pm_loc_beg_initial} since ${period}?</v>
      </c>
      <c r="H410" s="152" t="str">
        <f>IFERROR(__xludf.DUMMYFUNCTION("TRIM(REGEXREPLACE(D410, ""[0-9]+[a-f]?\."", """"))"),"Avez-vous passé au moins une semaine (7 jours) ailleurs que ${pm_loc_beg_initial} depuis ${period_french} ?")</f>
        <v>Avez-vous passé au moins une semaine (7 jours) ailleurs que ${pm_loc_beg_initial} depuis ${period_french} ?</v>
      </c>
      <c r="I410" s="152" t="str">
        <f>IFERROR(__xludf.DUMMYFUNCTION("TRIM(REGEXREPLACE(E410, ""[0-9]+[a-f]?\."", """"))"),"Shin kun kashe aƙalla mako ɗaya (kwana 7) a ko'ina ban da ${pm_loc_beg_initial} tun daga ${period_hausa}?")</f>
        <v>Shin kun kashe aƙalla mako ɗaya (kwana 7) a ko'ina ban da ${pm_loc_beg_initial} tun daga ${period_hausa}?</v>
      </c>
      <c r="J410" s="152" t="s">
        <v>2931</v>
      </c>
      <c r="K410" s="152" t="s">
        <v>2933</v>
      </c>
      <c r="L410" s="152" t="s">
        <v>2935</v>
      </c>
      <c r="M410" s="152"/>
    </row>
    <row r="411" hidden="1">
      <c r="A411" s="235"/>
      <c r="B411" s="236"/>
      <c r="C411" s="28"/>
      <c r="D411" s="28"/>
      <c r="E411" s="28"/>
      <c r="F411" s="161">
        <v>204.0</v>
      </c>
      <c r="G411" s="152" t="str">
        <f>IFERROR(__xludf.DUMMYFUNCTION("TRIM(REGEXREPLACE(C411, ""[0-9]+[a-f]?\."", """"))"),"")</f>
        <v/>
      </c>
      <c r="H411" s="152" t="str">
        <f>IFERROR(__xludf.DUMMYFUNCTION("TRIM(REGEXREPLACE(D411, ""[0-9]+[a-f]?\."", """"))"),"")</f>
        <v/>
      </c>
      <c r="I411" s="152" t="str">
        <f>IFERROR(__xludf.DUMMYFUNCTION("TRIM(REGEXREPLACE(E411, ""[0-9]+[a-f]?\."", """"))"),"")</f>
        <v/>
      </c>
      <c r="J411" s="152" t="s">
        <v>2938</v>
      </c>
      <c r="K411" s="152" t="s">
        <v>2939</v>
      </c>
      <c r="L411" s="152" t="s">
        <v>2940</v>
      </c>
      <c r="M411" s="152"/>
    </row>
    <row r="412">
      <c r="A412" s="237" t="s">
        <v>263</v>
      </c>
      <c r="B412" s="171" t="s">
        <v>2942</v>
      </c>
      <c r="C412" s="28" t="s">
        <v>2944</v>
      </c>
      <c r="D412" s="28" t="s">
        <v>2945</v>
      </c>
      <c r="E412" s="28" t="s">
        <v>2947</v>
      </c>
      <c r="F412" s="161">
        <v>107.0</v>
      </c>
      <c r="G412" s="152" t="str">
        <f>IFERROR(__xludf.DUMMYFUNCTION("TRIM(REGEXREPLACE(C412, ""[0-9]+[a-f]?\."", """"))"),"Please list all of the places you spent more than one week during ${period} other than ${pm_loc_beg_initial}. How many places?")</f>
        <v>Please list all of the places you spent more than one week during ${period} other than ${pm_loc_beg_initial}. How many places?</v>
      </c>
      <c r="H412" s="152" t="str">
        <f>IFERROR(__xludf.DUMMYFUNCTION("TRIM(REGEXREPLACE(D412, ""[0-9]+[a-f]?\."", """"))"),"Veuillez énumérer tous les lieux où vous avez passé plus d'une semaine entre ${period_french} autre que ${pm_loc_beg_initial_fr}. Combien de lieux ?")</f>
        <v>Veuillez énumérer tous les lieux où vous avez passé plus d'une semaine entre ${period_french} autre que ${pm_loc_beg_initial_fr}. Combien de lieux ?</v>
      </c>
      <c r="I412" s="152" t="str">
        <f>IFERROR(__xludf.DUMMYFUNCTION("TRIM(REGEXREPLACE(E412, ""[0-9]+[a-f]?\."", """"))"),"Ko za ku gaya mini duk wuraren da kuka zauna sama da sati guda a lokacin ${period_hausa} da ba ${pm_loc_beg_initial_hausa}. Wurare nawa?")</f>
        <v>Ko za ku gaya mini duk wuraren da kuka zauna sama da sati guda a lokacin ${period_hausa} da ba ${pm_loc_beg_initial_hausa}. Wurare nawa?</v>
      </c>
      <c r="J412" s="152" t="s">
        <v>2948</v>
      </c>
      <c r="K412" s="152" t="s">
        <v>2949</v>
      </c>
      <c r="L412" s="152" t="s">
        <v>2950</v>
      </c>
      <c r="M412" s="152"/>
    </row>
    <row r="413" hidden="1">
      <c r="A413" s="231" t="s">
        <v>78</v>
      </c>
      <c r="B413" s="238" t="s">
        <v>2951</v>
      </c>
      <c r="C413" s="28"/>
      <c r="D413" s="28"/>
      <c r="E413" s="28"/>
      <c r="F413" s="161">
        <v>206.0</v>
      </c>
      <c r="G413" s="152" t="str">
        <f>IFERROR(__xludf.DUMMYFUNCTION("TRIM(REGEXREPLACE(C413, ""[0-9]+[a-f]?\."", """"))"),"")</f>
        <v/>
      </c>
      <c r="H413" s="152" t="str">
        <f>IFERROR(__xludf.DUMMYFUNCTION("TRIM(REGEXREPLACE(D413, ""[0-9]+[a-f]?\."", """"))"),"")</f>
        <v/>
      </c>
      <c r="I413" s="152" t="str">
        <f>IFERROR(__xludf.DUMMYFUNCTION("TRIM(REGEXREPLACE(E413, ""[0-9]+[a-f]?\."", """"))"),"")</f>
        <v/>
      </c>
      <c r="J413" s="152" t="s">
        <v>2954</v>
      </c>
      <c r="K413" s="152" t="s">
        <v>2956</v>
      </c>
      <c r="L413" s="152" t="s">
        <v>2957</v>
      </c>
      <c r="M413" s="152"/>
    </row>
    <row r="414" hidden="1">
      <c r="A414" s="231" t="s">
        <v>78</v>
      </c>
      <c r="B414" s="238" t="s">
        <v>2959</v>
      </c>
      <c r="C414" s="28"/>
      <c r="D414" s="28"/>
      <c r="E414" s="28"/>
      <c r="F414" s="161">
        <v>207.0</v>
      </c>
      <c r="G414" s="152" t="str">
        <f>IFERROR(__xludf.DUMMYFUNCTION("TRIM(REGEXREPLACE(C414, ""[0-9]+[a-f]?\."", """"))"),"")</f>
        <v/>
      </c>
      <c r="H414" s="152" t="str">
        <f>IFERROR(__xludf.DUMMYFUNCTION("TRIM(REGEXREPLACE(D414, ""[0-9]+[a-f]?\."", """"))"),"")</f>
        <v/>
      </c>
      <c r="I414" s="152" t="str">
        <f>IFERROR(__xludf.DUMMYFUNCTION("TRIM(REGEXREPLACE(E414, ""[0-9]+[a-f]?\."", """"))"),"")</f>
        <v/>
      </c>
      <c r="J414" s="152" t="s">
        <v>2960</v>
      </c>
      <c r="K414" s="152" t="s">
        <v>2961</v>
      </c>
      <c r="L414" s="152" t="s">
        <v>2962</v>
      </c>
    </row>
    <row r="415" hidden="1">
      <c r="A415" s="231" t="s">
        <v>78</v>
      </c>
      <c r="B415" s="238" t="s">
        <v>2963</v>
      </c>
      <c r="C415" s="28"/>
      <c r="D415" s="28"/>
      <c r="E415" s="28"/>
      <c r="F415" s="161">
        <v>208.0</v>
      </c>
      <c r="G415" s="152" t="str">
        <f>IFERROR(__xludf.DUMMYFUNCTION("TRIM(REGEXREPLACE(C415, ""[0-9]+[a-f]?\."", """"))"),"")</f>
        <v/>
      </c>
      <c r="H415" s="152" t="str">
        <f>IFERROR(__xludf.DUMMYFUNCTION("TRIM(REGEXREPLACE(D415, ""[0-9]+[a-f]?\."", """"))"),"")</f>
        <v/>
      </c>
      <c r="I415" s="152" t="str">
        <f>IFERROR(__xludf.DUMMYFUNCTION("TRIM(REGEXREPLACE(E415, ""[0-9]+[a-f]?\."", """"))"),"")</f>
        <v/>
      </c>
      <c r="J415" s="152" t="s">
        <v>2964</v>
      </c>
      <c r="K415" s="152" t="s">
        <v>2965</v>
      </c>
      <c r="L415" s="152" t="s">
        <v>2966</v>
      </c>
      <c r="M415" s="152"/>
    </row>
    <row r="416" hidden="1">
      <c r="A416" s="231" t="s">
        <v>78</v>
      </c>
      <c r="B416" s="238" t="s">
        <v>2967</v>
      </c>
      <c r="C416" s="28"/>
      <c r="D416" s="28"/>
      <c r="E416" s="28"/>
      <c r="F416" s="161">
        <v>225.0</v>
      </c>
      <c r="G416" s="152" t="str">
        <f>IFERROR(__xludf.DUMMYFUNCTION("TRIM(REGEXREPLACE(C416, ""[0-9]+[a-f]?\."", """"))"),"")</f>
        <v/>
      </c>
      <c r="H416" s="152" t="str">
        <f>IFERROR(__xludf.DUMMYFUNCTION("TRIM(REGEXREPLACE(D416, ""[0-9]+[a-f]?\."", """"))"),"")</f>
        <v/>
      </c>
      <c r="I416" s="152" t="str">
        <f>IFERROR(__xludf.DUMMYFUNCTION("TRIM(REGEXREPLACE(E416, ""[0-9]+[a-f]?\."", """"))"),"")</f>
        <v/>
      </c>
      <c r="J416" s="152" t="s">
        <v>2969</v>
      </c>
      <c r="K416" s="152" t="s">
        <v>2970</v>
      </c>
      <c r="L416" s="152" t="s">
        <v>2971</v>
      </c>
      <c r="M416" s="152"/>
    </row>
    <row r="417">
      <c r="A417" s="234" t="s">
        <v>463</v>
      </c>
      <c r="B417" s="240" t="s">
        <v>2972</v>
      </c>
      <c r="C417" s="28" t="s">
        <v>2973</v>
      </c>
      <c r="D417" s="28" t="s">
        <v>2974</v>
      </c>
      <c r="E417" s="28" t="s">
        <v>2975</v>
      </c>
      <c r="F417" s="161">
        <v>108.0</v>
      </c>
      <c r="G417" s="152" t="str">
        <f>IFERROR(__xludf.DUMMYFUNCTION("TRIM(REGEXREPLACE(C417, ""[0-9]+[a-f]?\."", """"))"),"We will ask you questions about each of these locations. Can you confirm that you spent more than one week in ${pm_locations_new} locations since ${period}? ${pm_loc_confirm_label}")</f>
        <v>We will ask you questions about each of these locations. Can you confirm that you spent more than one week in ${pm_locations_new} locations since ${period}? ${pm_loc_confirm_label}</v>
      </c>
      <c r="H417" s="152" t="str">
        <f>IFERROR(__xludf.DUMMYFUNCTION("TRIM(REGEXREPLACE(D417, ""[0-9]+[a-f]?\."", """"))"),"Nous vous poserons des questions sur chacun de ces endroits. Pouvez-vous confirmer que vous avez passé plus d'une semaine dans ${pm_locations_new} endroit depuis ${period_french}? ${pm_loc_confirm_label_fr}")</f>
        <v>Nous vous poserons des questions sur chacun de ces endroits. Pouvez-vous confirmer que vous avez passé plus d'une semaine dans ${pm_locations_new} endroit depuis ${period_french}? ${pm_loc_confirm_label_fr}</v>
      </c>
      <c r="I417" s="152" t="str">
        <f>IFERROR(__xludf.DUMMYFUNCTION("TRIM(REGEXREPLACE(E417, ""[0-9]+[a-f]?\."", """"))"),"Za mu yi muku tambayoyi game da kowane ɗayan waɗannan wuraren. Shin za ku iya tabbatar da cewa kun zauna a wurare ${pm_locations_new} fiye da mako guda tun ${period_french}? ${pm_loc_confirm_label_ha}")</f>
        <v>Za mu yi muku tambayoyi game da kowane ɗayan waɗannan wuraren. Shin za ku iya tabbatar da cewa kun zauna a wurare ${pm_locations_new} fiye da mako guda tun ${period_french}? ${pm_loc_confirm_label_ha}</v>
      </c>
      <c r="J417" s="152" t="s">
        <v>2976</v>
      </c>
      <c r="K417" s="152" t="s">
        <v>2977</v>
      </c>
      <c r="L417" s="152" t="s">
        <v>2978</v>
      </c>
      <c r="M417" s="152"/>
    </row>
    <row r="418">
      <c r="A418" s="233" t="s">
        <v>41</v>
      </c>
      <c r="B418" s="218" t="s">
        <v>2979</v>
      </c>
      <c r="C418" s="183" t="s">
        <v>2980</v>
      </c>
      <c r="D418" s="183" t="s">
        <v>2981</v>
      </c>
      <c r="E418" s="183" t="s">
        <v>2982</v>
      </c>
      <c r="F418" s="161">
        <v>109.0</v>
      </c>
      <c r="G418" s="152" t="str">
        <f>IFERROR(__xludf.DUMMYFUNCTION("TRIM(REGEXREPLACE(C418, ""[0-9]+[a-f]?\."", """"))"),"&lt;b&gt;ENUMERATOR: Now, please notify the respondent that we would like them to answer the following questions for the period ${period_bl_fu5}. &lt;/b&gt;
&lt;br&gt;
Moving forward, we will be switching periods in a few locations in the survey. Please make sure that the "&amp;"respondent is thinking about the coprrect period, as referenced in the question.")</f>
        <v>&lt;b&gt;ENUMERATOR: Now, please notify the respondent that we would like them to answer the following questions for the period ${period_bl_fu5}. &lt;/b&gt;
&lt;br&gt;
Moving forward, we will be switching periods in a few locations in the survey. Please make sure that the respondent is thinking about the coprrect period, as referenced in the question.</v>
      </c>
      <c r="H418" s="152" t="str">
        <f>IFERROR(__xludf.DUMMYFUNCTION("TRIM(REGEXREPLACE(D418, ""[0-9]+[a-f]?\."", """"))"),"&lt;b&gt;ENUMÉRATEUR : Maintenant ! Veuillez informer le répondant que nous aimerions qu'il réponde aux questions suivantes pour la période ${period_french_bl_fu5}. &lt;/b&gt;
 &lt;br&gt;
 À l’avenir, nous changerons de période à quelques endroits du questionnaire. Veuille"&amp;"z vous assurer que le répondant pense à la période correcte, telle qu'elle est mentionnée dans la question.")</f>
        <v>&lt;b&gt;ENUMÉRATEUR : Maintenant ! Veuillez informer le répondant que nous aimerions qu'il réponde aux questions suivantes pour la période ${period_french_bl_fu5}. &lt;/b&gt;
 &lt;br&gt;
 À l’avenir, nous changerons de période à quelques endroits du questionnaire. Veuillez vous assurer que le répondant pense à la période correcte, telle qu'elle est mentionnée dans la question.</v>
      </c>
      <c r="I418" s="152" t="str">
        <f>IFERROR(__xludf.DUMMYFUNCTION("TRIM(REGEXREPLACE(E418, ""[0-9]+[a-f]?\."", """"))"),"&lt;b&gt;ENUMERATOR: Yanzu, a sanar da mai bada amsa cewa muna son ya bada amsar tambayoyin nan masu zuwa a kan lokacin ${period_hausa_bl_fu5}. &lt;/b&gt;
 &lt;br&gt;
 A nan gaba, za mu canza lokaci a wasu wurare a cikin tambayoyin. Da fatan za a tabbatar cewa mai bada ams"&amp;"a zai tuna da lokacin daidai, kamar yadda aka yi nuni a cikin tambayar.")</f>
        <v>&lt;b&gt;ENUMERATOR: Yanzu, a sanar da mai bada amsa cewa muna son ya bada amsar tambayoyin nan masu zuwa a kan lokacin ${period_hausa_bl_fu5}. &lt;/b&gt;
 &lt;br&gt;
 A nan gaba, za mu canza lokaci a wasu wurare a cikin tambayoyin. Da fatan za a tabbatar cewa mai bada amsa zai tuna da lokacin daidai, kamar yadda aka yi nuni a cikin tambayar.</v>
      </c>
      <c r="J418" s="152" t="s">
        <v>2985</v>
      </c>
      <c r="K418" s="152" t="s">
        <v>2986</v>
      </c>
      <c r="L418" s="152" t="s">
        <v>2987</v>
      </c>
      <c r="M418" s="152"/>
    </row>
    <row r="419">
      <c r="A419" s="241" t="s">
        <v>2988</v>
      </c>
      <c r="B419" s="169" t="s">
        <v>2989</v>
      </c>
      <c r="C419" s="183" t="s">
        <v>2990</v>
      </c>
      <c r="D419" s="183" t="s">
        <v>2991</v>
      </c>
      <c r="E419" s="183" t="s">
        <v>2992</v>
      </c>
      <c r="F419" s="161">
        <v>110.0</v>
      </c>
      <c r="G419" s="152" t="str">
        <f>IFERROR(__xludf.DUMMYFUNCTION("TRIM(REGEXREPLACE(C419, ""[0-9]+[a-f]?\."", """"))"),"You mentioned previously that you travelled to ${pm_prev_locations}, ${period_bl_fu5}. Notice that we are referring to a different time period. 
Please confirm that you stayed for at least a week (7 days) in the locations you previously reported:")</f>
        <v>You mentioned previously that you travelled to ${pm_prev_locations}, ${period_bl_fu5}. Notice that we are referring to a different time period. 
Please confirm that you stayed for at least a week (7 days) in the locations you previously reported:</v>
      </c>
      <c r="H419" s="152" t="str">
        <f>IFERROR(__xludf.DUMMYFUNCTION("TRIM(REGEXREPLACE(D419, ""[0-9]+[a-f]?\."", """"))"),"Vous avez précédemment mentionné que vous aviez voyagé à ${pm_prev_locations}, ${period_french_bl_fu5}. Notez que nous faisons référence à une période différente.
Veuillez confirmer que vous avez séjourné au moins une semaine (7 jours) dans les endroits"&amp;" que vous avez précédemment signalés :")</f>
        <v>Vous avez précédemment mentionné que vous aviez voyagé à ${pm_prev_locations}, ${period_french_bl_fu5}. Notez que nous faisons référence à une période différente.
Veuillez confirmer que vous avez séjourné au moins une semaine (7 jours) dans les endroits que vous avez précédemment signalés :</v>
      </c>
      <c r="I419" s="152" t="str">
        <f>IFERROR(__xludf.DUMMYFUNCTION("TRIM(REGEXREPLACE(E419, ""[0-9]+[a-f]?\."", """"))"),"Kun faɗi cewa a baya kun yi tafiya zuwa ${pm_prev_locations}, ${period_hausa_bl_fu5}. Ka lura cewa muna magana ne akan wani lokaci dabam.
Za ku tabbatar da cewa kun zauna aƙalla mako guda (kwana 7) a wuraren da kuka zana a baya:")</f>
        <v>Kun faɗi cewa a baya kun yi tafiya zuwa ${pm_prev_locations}, ${period_hausa_bl_fu5}. Ka lura cewa muna magana ne akan wani lokaci dabam.
Za ku tabbatar da cewa kun zauna aƙalla mako guda (kwana 7) a wuraren da kuka zana a baya:</v>
      </c>
      <c r="J419" s="152" t="s">
        <v>2996</v>
      </c>
      <c r="K419" s="152" t="s">
        <v>2997</v>
      </c>
      <c r="L419" s="152" t="s">
        <v>2998</v>
      </c>
    </row>
    <row r="420">
      <c r="A420" s="242" t="s">
        <v>246</v>
      </c>
      <c r="B420" s="180" t="s">
        <v>3000</v>
      </c>
      <c r="C420" s="28" t="s">
        <v>3001</v>
      </c>
      <c r="D420" s="28" t="s">
        <v>3002</v>
      </c>
      <c r="E420" s="28" t="s">
        <v>3003</v>
      </c>
      <c r="F420" s="161">
        <v>111.0</v>
      </c>
      <c r="G420" s="152" t="str">
        <f>IFERROR(__xludf.DUMMYFUNCTION("TRIM(REGEXREPLACE(C420, ""[0-9]+[a-f]?\."", """"))"),"Please explain why you reported locations in previous surveys that you did not travel to:")</f>
        <v>Please explain why you reported locations in previous surveys that you did not travel to:</v>
      </c>
      <c r="H420" s="152" t="str">
        <f>IFERROR(__xludf.DUMMYFUNCTION("TRIM(REGEXREPLACE(D420, ""[0-9]+[a-f]?\."", """"))"),"Veuillez expliquer pourquoi vous avez indiqué des lieux dans des enquêtes précédentes où vous ne vous êtes pas rendu :")</f>
        <v>Veuillez expliquer pourquoi vous avez indiqué des lieux dans des enquêtes précédentes où vous ne vous êtes pas rendu :</v>
      </c>
      <c r="I420" s="152" t="str">
        <f>IFERROR(__xludf.DUMMYFUNCTION("TRIM(REGEXREPLACE(E420, ""[0-9]+[a-f]?\."", """"))"),"Da fatan za a bayyana dalilin da ya sa kuka ba da rahoton wurare a cikin binciken da ba ku yi tafiya zuwa ba:")</f>
        <v>Da fatan za a bayyana dalilin da ya sa kuka ba da rahoton wurare a cikin binciken da ba ku yi tafiya zuwa ba:</v>
      </c>
      <c r="J420" s="152" t="s">
        <v>3007</v>
      </c>
      <c r="K420" s="152" t="s">
        <v>3008</v>
      </c>
      <c r="L420" s="152" t="s">
        <v>3009</v>
      </c>
      <c r="M420" s="152"/>
    </row>
    <row r="421" hidden="1">
      <c r="A421" s="231" t="s">
        <v>78</v>
      </c>
      <c r="B421" s="92" t="s">
        <v>3010</v>
      </c>
      <c r="C421" s="28"/>
      <c r="D421" s="28"/>
      <c r="E421" s="28"/>
      <c r="F421" s="161">
        <v>212.0</v>
      </c>
      <c r="G421" s="152" t="str">
        <f>IFERROR(__xludf.DUMMYFUNCTION("TRIM(REGEXREPLACE(C421, ""[0-9]+[a-f]?\."", """"))"),"")</f>
        <v/>
      </c>
      <c r="H421" s="152" t="str">
        <f>IFERROR(__xludf.DUMMYFUNCTION("TRIM(REGEXREPLACE(D421, ""[0-9]+[a-f]?\."", """"))"),"")</f>
        <v/>
      </c>
      <c r="I421" s="152" t="str">
        <f>IFERROR(__xludf.DUMMYFUNCTION("TRIM(REGEXREPLACE(E421, ""[0-9]+[a-f]?\."", """"))"),"")</f>
        <v/>
      </c>
      <c r="J421" s="152" t="s">
        <v>3013</v>
      </c>
      <c r="K421" s="152" t="s">
        <v>3015</v>
      </c>
      <c r="L421" s="152" t="s">
        <v>3017</v>
      </c>
      <c r="M421" s="152"/>
    </row>
    <row r="422" hidden="1">
      <c r="A422" s="231" t="s">
        <v>78</v>
      </c>
      <c r="B422" s="92" t="s">
        <v>3018</v>
      </c>
      <c r="C422" s="28"/>
      <c r="D422" s="28"/>
      <c r="E422" s="28"/>
      <c r="F422" s="161">
        <v>213.0</v>
      </c>
      <c r="G422" s="152" t="str">
        <f>IFERROR(__xludf.DUMMYFUNCTION("TRIM(REGEXREPLACE(C422, ""[0-9]+[a-f]?\."", """"))"),"")</f>
        <v/>
      </c>
      <c r="H422" s="152" t="str">
        <f>IFERROR(__xludf.DUMMYFUNCTION("TRIM(REGEXREPLACE(D422, ""[0-9]+[a-f]?\."", """"))"),"")</f>
        <v/>
      </c>
      <c r="I422" s="152" t="str">
        <f>IFERROR(__xludf.DUMMYFUNCTION("TRIM(REGEXREPLACE(E422, ""[0-9]+[a-f]?\."", """"))"),"")</f>
        <v/>
      </c>
      <c r="J422" s="152" t="s">
        <v>3023</v>
      </c>
      <c r="K422" s="152" t="s">
        <v>3024</v>
      </c>
      <c r="L422" s="152" t="s">
        <v>3025</v>
      </c>
      <c r="M422" s="152"/>
    </row>
    <row r="423" hidden="1">
      <c r="A423" s="231" t="s">
        <v>78</v>
      </c>
      <c r="B423" s="92" t="s">
        <v>3026</v>
      </c>
      <c r="C423" s="28"/>
      <c r="D423" s="28"/>
      <c r="E423" s="28"/>
      <c r="F423" s="161">
        <v>214.0</v>
      </c>
      <c r="G423" s="152" t="str">
        <f>IFERROR(__xludf.DUMMYFUNCTION("TRIM(REGEXREPLACE(C423, ""[0-9]+[a-f]?\."", """"))"),"")</f>
        <v/>
      </c>
      <c r="H423" s="152" t="str">
        <f>IFERROR(__xludf.DUMMYFUNCTION("TRIM(REGEXREPLACE(D423, ""[0-9]+[a-f]?\."", """"))"),"")</f>
        <v/>
      </c>
      <c r="I423" s="152" t="str">
        <f>IFERROR(__xludf.DUMMYFUNCTION("TRIM(REGEXREPLACE(E423, ""[0-9]+[a-f]?\."", """"))"),"")</f>
        <v/>
      </c>
      <c r="J423" s="152" t="s">
        <v>3030</v>
      </c>
      <c r="K423" s="152" t="s">
        <v>3031</v>
      </c>
      <c r="L423" s="152" t="s">
        <v>3032</v>
      </c>
      <c r="M423" s="152"/>
    </row>
    <row r="424">
      <c r="A424" s="241" t="s">
        <v>463</v>
      </c>
      <c r="B424" s="169" t="s">
        <v>3033</v>
      </c>
      <c r="C424" s="28" t="s">
        <v>3034</v>
      </c>
      <c r="D424" s="28" t="s">
        <v>3035</v>
      </c>
      <c r="E424" s="28" t="s">
        <v>3036</v>
      </c>
      <c r="F424" s="161">
        <v>112.0</v>
      </c>
      <c r="G424" s="152" t="str">
        <f>IFERROR(__xludf.DUMMYFUNCTION("TRIM(REGEXREPLACE(C424, ""[0-9]+[a-f]?\."", """"))"),"${pm_prev_add_lab}")</f>
        <v>${pm_prev_add_lab}</v>
      </c>
      <c r="H424" s="152" t="str">
        <f>IFERROR(__xludf.DUMMYFUNCTION("TRIM(REGEXREPLACE(D424, ""[0-9]+[a-f]?\."", """"))"),"${pm_prev_add_lab_fr}")</f>
        <v>${pm_prev_add_lab_fr}</v>
      </c>
      <c r="I424" s="152" t="str">
        <f>IFERROR(__xludf.DUMMYFUNCTION("TRIM(REGEXREPLACE(E424, ""[0-9]+[a-f]?\."", """"))"),"${pm_prev_add_lab_ha}")</f>
        <v>${pm_prev_add_lab_ha}</v>
      </c>
      <c r="J424" s="152" t="s">
        <v>3041</v>
      </c>
      <c r="K424" s="152" t="s">
        <v>3042</v>
      </c>
      <c r="L424" s="152" t="s">
        <v>3043</v>
      </c>
      <c r="M424" s="152"/>
    </row>
    <row r="425">
      <c r="A425" s="243" t="s">
        <v>263</v>
      </c>
      <c r="B425" s="171" t="s">
        <v>3044</v>
      </c>
      <c r="C425" s="28" t="s">
        <v>3045</v>
      </c>
      <c r="D425" s="28" t="s">
        <v>3046</v>
      </c>
      <c r="E425" s="28" t="s">
        <v>3047</v>
      </c>
      <c r="F425" s="161">
        <v>113.0</v>
      </c>
      <c r="G425" s="152" t="str">
        <f>IFERROR(__xludf.DUMMYFUNCTION("TRIM(REGEXREPLACE(C425, ""[0-9]+[a-f]?\."", """"))"),"How many places?")</f>
        <v>How many places?</v>
      </c>
      <c r="H425" s="152" t="str">
        <f>IFERROR(__xludf.DUMMYFUNCTION("TRIM(REGEXREPLACE(D425, ""[0-9]+[a-f]?\."", """"))"),"Combien de places ?")</f>
        <v>Combien de places ?</v>
      </c>
      <c r="I425" s="152" t="str">
        <f>IFERROR(__xludf.DUMMYFUNCTION("TRIM(REGEXREPLACE(E425, ""[0-9]+[a-f]?\."", """"))"),"Wurare nawa?")</f>
        <v>Wurare nawa?</v>
      </c>
      <c r="J425" s="152" t="s">
        <v>3048</v>
      </c>
      <c r="K425" s="152" t="s">
        <v>3049</v>
      </c>
      <c r="L425" s="152" t="s">
        <v>3050</v>
      </c>
      <c r="M425" s="152"/>
    </row>
    <row r="426">
      <c r="A426" s="241" t="s">
        <v>463</v>
      </c>
      <c r="B426" s="240" t="s">
        <v>3051</v>
      </c>
      <c r="C426" s="183" t="s">
        <v>3052</v>
      </c>
      <c r="D426" s="183" t="s">
        <v>3053</v>
      </c>
      <c r="E426" s="183" t="s">
        <v>3054</v>
      </c>
      <c r="F426" s="161">
        <v>114.0</v>
      </c>
      <c r="G426" s="152" t="str">
        <f>IFERROR(__xludf.DUMMYFUNCTION("TRIM(REGEXREPLACE(C426, ""[0-9]+[a-f]?\."", """"))"),"Can you confirm that there were exactly ${pm_prev_add_num} locations that you traveled to ${period_bl_fu5} that you failed to report in previous surveys?")</f>
        <v>Can you confirm that there were exactly ${pm_prev_add_num} locations that you traveled to ${period_bl_fu5} that you failed to report in previous surveys?</v>
      </c>
      <c r="H426" s="152" t="str">
        <f>IFERROR(__xludf.DUMMYFUNCTION("TRIM(REGEXREPLACE(D426, ""[0-9]+[a-f]?\."", """"))"),"Pouvez-vous confirmer qu'il y avait exactement ${pm_prev_add_num} endroits où vous avez voyagé ${period_french_bl_fu5} que vous n'avez pas signalés dans les enquêtes précédentes ?")</f>
        <v>Pouvez-vous confirmer qu'il y avait exactement ${pm_prev_add_num} endroits où vous avez voyagé ${period_french_bl_fu5} que vous n'avez pas signalés dans les enquêtes précédentes ?</v>
      </c>
      <c r="I426" s="152" t="str">
        <f>IFERROR(__xludf.DUMMYFUNCTION("TRIM(REGEXREPLACE(E426, ""[0-9]+[a-f]?\."", """"))"),"Shin za ku iya tabbatar da cewa akwai daidai wuraren ${pm_prev_add_num} da kuka yi tafiya ${period_hausa_bl_fu5} da kuka kasa bayar da rahoto a binciken da aka yi a baya?")</f>
        <v>Shin za ku iya tabbatar da cewa akwai daidai wuraren ${pm_prev_add_num} da kuka yi tafiya ${period_hausa_bl_fu5} da kuka kasa bayar da rahoto a binciken da aka yi a baya?</v>
      </c>
      <c r="J426" s="152" t="s">
        <v>3056</v>
      </c>
      <c r="K426" s="152" t="s">
        <v>3057</v>
      </c>
      <c r="L426" s="152" t="s">
        <v>3058</v>
      </c>
      <c r="M426" s="152"/>
    </row>
    <row r="427" hidden="1">
      <c r="A427" s="244"/>
      <c r="B427" s="245"/>
      <c r="C427" s="28"/>
      <c r="D427" s="28"/>
      <c r="E427" s="28"/>
      <c r="F427" s="161">
        <v>231.0</v>
      </c>
      <c r="G427" s="152" t="str">
        <f>IFERROR(__xludf.DUMMYFUNCTION("TRIM(REGEXREPLACE(C427, ""[0-9]+[a-f]?\."", """"))"),"")</f>
        <v/>
      </c>
      <c r="H427" s="152" t="str">
        <f>IFERROR(__xludf.DUMMYFUNCTION("TRIM(REGEXREPLACE(D427, ""[0-9]+[a-f]?\."", """"))"),"")</f>
        <v/>
      </c>
      <c r="I427" s="152" t="str">
        <f>IFERROR(__xludf.DUMMYFUNCTION("TRIM(REGEXREPLACE(E427, ""[0-9]+[a-f]?\."", """"))"),"")</f>
        <v/>
      </c>
      <c r="J427" s="152" t="s">
        <v>3060</v>
      </c>
      <c r="K427" s="152" t="s">
        <v>3061</v>
      </c>
      <c r="L427" s="152" t="s">
        <v>3062</v>
      </c>
      <c r="M427" s="152"/>
    </row>
    <row r="428" hidden="1">
      <c r="A428" s="246" t="s">
        <v>698</v>
      </c>
      <c r="B428" s="247" t="s">
        <v>3063</v>
      </c>
      <c r="C428" s="28" t="s">
        <v>3064</v>
      </c>
      <c r="D428" s="28"/>
      <c r="E428" s="28"/>
      <c r="F428" s="161">
        <v>232.0</v>
      </c>
      <c r="G428" s="152" t="str">
        <f>IFERROR(__xludf.DUMMYFUNCTION("TRIM(REGEXREPLACE(C428, ""[0-9]+[a-f]?\."", """"))"),"Locations")</f>
        <v>Locations</v>
      </c>
      <c r="H428" s="152" t="str">
        <f>IFERROR(__xludf.DUMMYFUNCTION("TRIM(REGEXREPLACE(D428, ""[0-9]+[a-f]?\."", """"))"),"")</f>
        <v/>
      </c>
      <c r="I428" s="152" t="str">
        <f>IFERROR(__xludf.DUMMYFUNCTION("TRIM(REGEXREPLACE(E428, ""[0-9]+[a-f]?\."", """"))"),"")</f>
        <v/>
      </c>
      <c r="J428" s="152" t="s">
        <v>3065</v>
      </c>
      <c r="K428" s="152" t="s">
        <v>3066</v>
      </c>
      <c r="L428" s="152" t="s">
        <v>3067</v>
      </c>
    </row>
    <row r="429" hidden="1">
      <c r="A429" s="231" t="s">
        <v>78</v>
      </c>
      <c r="B429" s="238" t="s">
        <v>3068</v>
      </c>
      <c r="C429" s="28"/>
      <c r="D429" s="28"/>
      <c r="E429" s="28"/>
      <c r="F429" s="161">
        <v>216.0</v>
      </c>
      <c r="G429" s="152" t="str">
        <f>IFERROR(__xludf.DUMMYFUNCTION("TRIM(REGEXREPLACE(C429, ""[0-9]+[a-f]?\."", """"))"),"")</f>
        <v/>
      </c>
      <c r="H429" s="152" t="str">
        <f>IFERROR(__xludf.DUMMYFUNCTION("TRIM(REGEXREPLACE(D429, ""[0-9]+[a-f]?\."", """"))"),"")</f>
        <v/>
      </c>
      <c r="I429" s="152" t="str">
        <f>IFERROR(__xludf.DUMMYFUNCTION("TRIM(REGEXREPLACE(E429, ""[0-9]+[a-f]?\."", """"))"),"")</f>
        <v/>
      </c>
      <c r="J429" s="152" t="s">
        <v>3070</v>
      </c>
      <c r="K429" s="152" t="s">
        <v>3071</v>
      </c>
      <c r="L429" s="152" t="s">
        <v>3072</v>
      </c>
    </row>
    <row r="430" hidden="1">
      <c r="A430" s="231" t="s">
        <v>78</v>
      </c>
      <c r="B430" s="238" t="s">
        <v>3074</v>
      </c>
      <c r="C430" s="28"/>
      <c r="D430" s="28"/>
      <c r="E430" s="28"/>
      <c r="F430" s="161">
        <v>217.0</v>
      </c>
      <c r="G430" s="152" t="str">
        <f>IFERROR(__xludf.DUMMYFUNCTION("TRIM(REGEXREPLACE(C430, ""[0-9]+[a-f]?\."", """"))"),"")</f>
        <v/>
      </c>
      <c r="H430" s="152" t="str">
        <f>IFERROR(__xludf.DUMMYFUNCTION("TRIM(REGEXREPLACE(D430, ""[0-9]+[a-f]?\."", """"))"),"")</f>
        <v/>
      </c>
      <c r="I430" s="152" t="str">
        <f>IFERROR(__xludf.DUMMYFUNCTION("TRIM(REGEXREPLACE(E430, ""[0-9]+[a-f]?\."", """"))"),"")</f>
        <v/>
      </c>
      <c r="J430" s="152" t="s">
        <v>3078</v>
      </c>
      <c r="K430" s="152" t="s">
        <v>3079</v>
      </c>
      <c r="L430" s="152" t="s">
        <v>3080</v>
      </c>
      <c r="M430" s="152"/>
    </row>
    <row r="431" hidden="1">
      <c r="A431" s="231" t="s">
        <v>78</v>
      </c>
      <c r="B431" s="238" t="s">
        <v>3082</v>
      </c>
      <c r="C431" s="28"/>
      <c r="D431" s="28"/>
      <c r="E431" s="28"/>
      <c r="F431" s="161">
        <v>218.0</v>
      </c>
      <c r="G431" s="152" t="str">
        <f>IFERROR(__xludf.DUMMYFUNCTION("TRIM(REGEXREPLACE(C431, ""[0-9]+[a-f]?\."", """"))"),"")</f>
        <v/>
      </c>
      <c r="H431" s="152" t="str">
        <f>IFERROR(__xludf.DUMMYFUNCTION("TRIM(REGEXREPLACE(D431, ""[0-9]+[a-f]?\."", """"))"),"")</f>
        <v/>
      </c>
      <c r="I431" s="152" t="str">
        <f>IFERROR(__xludf.DUMMYFUNCTION("TRIM(REGEXREPLACE(E431, ""[0-9]+[a-f]?\."", """"))"),"")</f>
        <v/>
      </c>
      <c r="J431" s="152" t="s">
        <v>3083</v>
      </c>
      <c r="K431" s="152" t="s">
        <v>3084</v>
      </c>
      <c r="L431" s="152" t="s">
        <v>3085</v>
      </c>
      <c r="M431" s="152"/>
    </row>
    <row r="432" hidden="1">
      <c r="A432" s="231" t="s">
        <v>78</v>
      </c>
      <c r="B432" s="238" t="s">
        <v>3087</v>
      </c>
      <c r="C432" s="28"/>
      <c r="D432" s="28"/>
      <c r="E432" s="28"/>
      <c r="F432" s="161">
        <v>242.0</v>
      </c>
      <c r="G432" s="152" t="str">
        <f>IFERROR(__xludf.DUMMYFUNCTION("TRIM(REGEXREPLACE(C432, ""[0-9]+[a-f]?\."", """"))"),"")</f>
        <v/>
      </c>
      <c r="H432" s="152" t="str">
        <f>IFERROR(__xludf.DUMMYFUNCTION("TRIM(REGEXREPLACE(D432, ""[0-9]+[a-f]?\."", """"))"),"")</f>
        <v/>
      </c>
      <c r="I432" s="152" t="str">
        <f>IFERROR(__xludf.DUMMYFUNCTION("TRIM(REGEXREPLACE(E432, ""[0-9]+[a-f]?\."", """"))"),"")</f>
        <v/>
      </c>
      <c r="J432" s="152" t="s">
        <v>3090</v>
      </c>
      <c r="K432" s="152" t="s">
        <v>3091</v>
      </c>
      <c r="L432" s="152" t="s">
        <v>3092</v>
      </c>
      <c r="M432" s="152"/>
    </row>
    <row r="433" hidden="1">
      <c r="A433" s="231" t="s">
        <v>78</v>
      </c>
      <c r="B433" s="238" t="s">
        <v>3093</v>
      </c>
      <c r="C433" s="28"/>
      <c r="D433" s="28"/>
      <c r="E433" s="28"/>
      <c r="F433" s="161">
        <v>235.0</v>
      </c>
      <c r="G433" s="152" t="str">
        <f>IFERROR(__xludf.DUMMYFUNCTION("TRIM(REGEXREPLACE(C433, ""[0-9]+[a-f]?\."", """"))"),"")</f>
        <v/>
      </c>
      <c r="H433" s="152" t="str">
        <f>IFERROR(__xludf.DUMMYFUNCTION("TRIM(REGEXREPLACE(D433, ""[0-9]+[a-f]?\."", """"))"),"")</f>
        <v/>
      </c>
      <c r="I433" s="152" t="str">
        <f>IFERROR(__xludf.DUMMYFUNCTION("TRIM(REGEXREPLACE(E433, ""[0-9]+[a-f]?\."", """"))"),"")</f>
        <v/>
      </c>
      <c r="J433" s="152" t="s">
        <v>3096</v>
      </c>
      <c r="K433" s="152" t="s">
        <v>3098</v>
      </c>
      <c r="L433" s="152" t="s">
        <v>3099</v>
      </c>
    </row>
    <row r="434" hidden="1">
      <c r="A434" s="231" t="s">
        <v>78</v>
      </c>
      <c r="B434" s="238" t="s">
        <v>3100</v>
      </c>
      <c r="C434" s="28"/>
      <c r="D434" s="28"/>
      <c r="E434" s="28"/>
      <c r="F434" s="161">
        <v>236.0</v>
      </c>
      <c r="G434" s="152" t="str">
        <f>IFERROR(__xludf.DUMMYFUNCTION("TRIM(REGEXREPLACE(C434, ""[0-9]+[a-f]?\."", """"))"),"")</f>
        <v/>
      </c>
      <c r="H434" s="152" t="str">
        <f>IFERROR(__xludf.DUMMYFUNCTION("TRIM(REGEXREPLACE(D434, ""[0-9]+[a-f]?\."", """"))"),"")</f>
        <v/>
      </c>
      <c r="I434" s="152" t="str">
        <f>IFERROR(__xludf.DUMMYFUNCTION("TRIM(REGEXREPLACE(E434, ""[0-9]+[a-f]?\."", """"))"),"")</f>
        <v/>
      </c>
      <c r="J434" s="152" t="s">
        <v>3102</v>
      </c>
      <c r="K434" s="152" t="s">
        <v>3103</v>
      </c>
      <c r="L434" s="152" t="s">
        <v>3104</v>
      </c>
      <c r="M434" s="152"/>
    </row>
    <row r="435">
      <c r="A435" s="234" t="s">
        <v>463</v>
      </c>
      <c r="B435" s="240" t="s">
        <v>3108</v>
      </c>
      <c r="C435" s="28" t="s">
        <v>3109</v>
      </c>
      <c r="D435" s="28" t="s">
        <v>3110</v>
      </c>
      <c r="E435" s="28" t="s">
        <v>3111</v>
      </c>
      <c r="F435" s="161">
        <v>115.0</v>
      </c>
      <c r="G435" s="152" t="str">
        <f>IFERROR(__xludf.DUMMYFUNCTION("TRIM(REGEXREPLACE(C435, ""[0-9]+[a-f]?\."", """"))"),"Where were you ${pm_previous_answer}
Enumerator: Is location in Niger?")</f>
        <v>Where were you ${pm_previous_answer}
Enumerator: Is location in Niger?</v>
      </c>
      <c r="H435" s="152" t="str">
        <f>IFERROR(__xludf.DUMMYFUNCTION("TRIM(REGEXREPLACE(D435, ""[0-9]+[a-f]?\."", """"))"),"Où étiez-vous ${pm_previous_answer_fr} 
Enquêteur : La localité est-elle au Niger ?")</f>
        <v>Où étiez-vous ${pm_previous_answer_fr} 
Enquêteur : La localité est-elle au Niger ?</v>
      </c>
      <c r="I435" s="152" t="str">
        <f>IFERROR(__xludf.DUMMYFUNCTION("TRIM(REGEXREPLACE(E435, ""[0-9]+[a-f]?\."", """"))"),"A ina kuka ${pm_previous_answer_hausa}
Ɗan bincike : Ko wurin a Nijar ne?")</f>
        <v>A ina kuka ${pm_previous_answer_hausa}
Ɗan bincike : Ko wurin a Nijar ne?</v>
      </c>
      <c r="J435" s="152" t="s">
        <v>3112</v>
      </c>
      <c r="K435" s="152" t="s">
        <v>3113</v>
      </c>
      <c r="L435" s="152" t="s">
        <v>3114</v>
      </c>
    </row>
    <row r="436">
      <c r="A436" s="234" t="s">
        <v>738</v>
      </c>
      <c r="B436" s="240" t="s">
        <v>3118</v>
      </c>
      <c r="C436" s="28" t="s">
        <v>3119</v>
      </c>
      <c r="D436" s="28" t="s">
        <v>3120</v>
      </c>
      <c r="E436" s="28" t="s">
        <v>3121</v>
      </c>
      <c r="F436" s="161">
        <v>116.0</v>
      </c>
      <c r="G436" s="152" t="str">
        <f>IFERROR(__xludf.DUMMYFUNCTION("TRIM(REGEXREPLACE(C436, ""[0-9]+[a-f]?\."", """"))"),"Enumerator: Select region in Niger")</f>
        <v>Enumerator: Select region in Niger</v>
      </c>
      <c r="H436" s="152" t="str">
        <f>IFERROR(__xludf.DUMMYFUNCTION("TRIM(REGEXREPLACE(D436, ""[0-9]+[a-f]?\."", """"))"),"Enquêteur : Sélectionnez une région au Niger")</f>
        <v>Enquêteur : Sélectionnez une région au Niger</v>
      </c>
      <c r="I436" s="152" t="str">
        <f>IFERROR(__xludf.DUMMYFUNCTION("TRIM(REGEXREPLACE(E436, ""[0-9]+[a-f]?\."", """"))"),"Ɗan bincike: Zaɓi Jaha ɗaya a Nijar")</f>
        <v>Ɗan bincike: Zaɓi Jaha ɗaya a Nijar</v>
      </c>
      <c r="J436" s="152" t="s">
        <v>3123</v>
      </c>
      <c r="K436" s="152" t="s">
        <v>3124</v>
      </c>
      <c r="L436" s="152" t="s">
        <v>3125</v>
      </c>
    </row>
    <row r="437">
      <c r="A437" s="234" t="s">
        <v>749</v>
      </c>
      <c r="B437" s="240" t="s">
        <v>3126</v>
      </c>
      <c r="C437" s="28" t="s">
        <v>3127</v>
      </c>
      <c r="D437" s="28" t="s">
        <v>3128</v>
      </c>
      <c r="E437" s="28" t="s">
        <v>3129</v>
      </c>
      <c r="F437" s="161">
        <v>117.0</v>
      </c>
      <c r="G437" s="152" t="str">
        <f>IFERROR(__xludf.DUMMYFUNCTION("TRIM(REGEXREPLACE(C437, ""[0-9]+[a-f]?\."", """"))"),"Enumerator: Select country")</f>
        <v>Enumerator: Select country</v>
      </c>
      <c r="H437" s="152" t="str">
        <f>IFERROR(__xludf.DUMMYFUNCTION("TRIM(REGEXREPLACE(D437, ""[0-9]+[a-f]?\."", """"))"),"Enquêteur : sélectionnez le pays")</f>
        <v>Enquêteur : sélectionnez le pays</v>
      </c>
      <c r="I437" s="152" t="str">
        <f>IFERROR(__xludf.DUMMYFUNCTION("TRIM(REGEXREPLACE(E437, ""[0-9]+[a-f]?\."", """"))"),"Ɗan bincike: Zaɓi ƙasa")</f>
        <v>Ɗan bincike: Zaɓi ƙasa</v>
      </c>
      <c r="J437" s="152" t="s">
        <v>3130</v>
      </c>
      <c r="K437" s="152" t="s">
        <v>3131</v>
      </c>
      <c r="L437" s="152" t="s">
        <v>3132</v>
      </c>
      <c r="M437" s="152"/>
    </row>
    <row r="438">
      <c r="A438" s="248" t="s">
        <v>246</v>
      </c>
      <c r="B438" s="249" t="s">
        <v>3134</v>
      </c>
      <c r="C438" s="28" t="s">
        <v>3135</v>
      </c>
      <c r="D438" s="28" t="s">
        <v>3136</v>
      </c>
      <c r="E438" s="28" t="s">
        <v>3137</v>
      </c>
      <c r="F438" s="161">
        <v>118.0</v>
      </c>
      <c r="G438" s="152" t="str">
        <f>IFERROR(__xludf.DUMMYFUNCTION("TRIM(REGEXREPLACE(C438, ""[0-9]+[a-f]?\."", """"))"),"Enumerator: Enter other country")</f>
        <v>Enumerator: Enter other country</v>
      </c>
      <c r="H438" s="152" t="str">
        <f>IFERROR(__xludf.DUMMYFUNCTION("TRIM(REGEXREPLACE(D438, ""[0-9]+[a-f]?\."", """"))"),"Enquêteur : Entrez un autre pays")</f>
        <v>Enquêteur : Entrez un autre pays</v>
      </c>
      <c r="I438" s="152" t="str">
        <f>IFERROR(__xludf.DUMMYFUNCTION("TRIM(REGEXREPLACE(E438, ""[0-9]+[a-f]?\."", """"))"),"Ɗan bincike: Shigar da wata ƙasa")</f>
        <v>Ɗan bincike: Shigar da wata ƙasa</v>
      </c>
      <c r="J438" s="152" t="s">
        <v>3138</v>
      </c>
      <c r="K438" s="152" t="s">
        <v>3139</v>
      </c>
      <c r="L438" s="152" t="s">
        <v>3140</v>
      </c>
      <c r="M438" s="152"/>
    </row>
    <row r="439" hidden="1">
      <c r="A439" s="231" t="s">
        <v>78</v>
      </c>
      <c r="B439" s="238" t="s">
        <v>3141</v>
      </c>
      <c r="C439" s="28"/>
      <c r="D439" s="28"/>
      <c r="E439" s="28"/>
      <c r="F439" s="161">
        <v>222.0</v>
      </c>
      <c r="G439" s="152" t="str">
        <f>IFERROR(__xludf.DUMMYFUNCTION("TRIM(REGEXREPLACE(C439, ""[0-9]+[a-f]?\."", """"))"),"")</f>
        <v/>
      </c>
      <c r="H439" s="152" t="str">
        <f>IFERROR(__xludf.DUMMYFUNCTION("TRIM(REGEXREPLACE(D439, ""[0-9]+[a-f]?\."", """"))"),"")</f>
        <v/>
      </c>
      <c r="I439" s="152" t="str">
        <f>IFERROR(__xludf.DUMMYFUNCTION("TRIM(REGEXREPLACE(E439, ""[0-9]+[a-f]?\."", """"))"),"")</f>
        <v/>
      </c>
      <c r="J439" s="152" t="s">
        <v>3142</v>
      </c>
      <c r="K439" s="152" t="s">
        <v>3143</v>
      </c>
      <c r="L439" s="152" t="s">
        <v>3144</v>
      </c>
    </row>
    <row r="440">
      <c r="A440" s="234" t="s">
        <v>785</v>
      </c>
      <c r="B440" s="240" t="s">
        <v>3145</v>
      </c>
      <c r="C440" s="28" t="s">
        <v>3146</v>
      </c>
      <c r="D440" s="28" t="s">
        <v>3147</v>
      </c>
      <c r="E440" s="28" t="s">
        <v>3148</v>
      </c>
      <c r="F440" s="161">
        <v>119.0</v>
      </c>
      <c r="G440" s="152" t="str">
        <f>IFERROR(__xludf.DUMMYFUNCTION("TRIM(REGEXREPLACE(C440, ""[0-9]+[a-f]?\."", """"))"),"Enumerator: Select town")</f>
        <v>Enumerator: Select town</v>
      </c>
      <c r="H440" s="152" t="str">
        <f>IFERROR(__xludf.DUMMYFUNCTION("TRIM(REGEXREPLACE(D440, ""[0-9]+[a-f]?\."", """"))"),"Enquêteur : Sélectionnez la ville")</f>
        <v>Enquêteur : Sélectionnez la ville</v>
      </c>
      <c r="I440" s="152" t="str">
        <f>IFERROR(__xludf.DUMMYFUNCTION("TRIM(REGEXREPLACE(E440, ""[0-9]+[a-f]?\."", """"))"),"Ɗan bincike: Zaɓi gari")</f>
        <v>Ɗan bincike: Zaɓi gari</v>
      </c>
      <c r="J440" s="152" t="s">
        <v>3150</v>
      </c>
      <c r="K440" s="152" t="s">
        <v>3152</v>
      </c>
      <c r="L440" s="152" t="s">
        <v>3153</v>
      </c>
      <c r="M440" s="152"/>
    </row>
    <row r="441">
      <c r="A441" s="248" t="s">
        <v>246</v>
      </c>
      <c r="B441" s="249" t="s">
        <v>3156</v>
      </c>
      <c r="C441" s="28" t="s">
        <v>3157</v>
      </c>
      <c r="D441" s="28" t="s">
        <v>3158</v>
      </c>
      <c r="E441" s="28" t="s">
        <v>3159</v>
      </c>
      <c r="F441" s="161">
        <v>120.0</v>
      </c>
      <c r="G441" s="152" t="str">
        <f>IFERROR(__xludf.DUMMYFUNCTION("TRIM(REGEXREPLACE(C441, ""[0-9]+[a-f]?\."", """"))"),"Enumerator: enter town")</f>
        <v>Enumerator: enter town</v>
      </c>
      <c r="H441" s="152" t="str">
        <f>IFERROR(__xludf.DUMMYFUNCTION("TRIM(REGEXREPLACE(D441, ""[0-9]+[a-f]?\."", """"))"),"Enquêteur : indiquez la ville")</f>
        <v>Enquêteur : indiquez la ville</v>
      </c>
      <c r="I441" s="152" t="str">
        <f>IFERROR(__xludf.DUMMYFUNCTION("TRIM(REGEXREPLACE(E441, ""[0-9]+[a-f]?\."", """"))"),"Mai bincike: bayyana gari")</f>
        <v>Mai bincike: bayyana gari</v>
      </c>
      <c r="J441" s="152" t="s">
        <v>3160</v>
      </c>
      <c r="K441" s="152" t="s">
        <v>3161</v>
      </c>
      <c r="L441" s="152" t="s">
        <v>3162</v>
      </c>
      <c r="M441" s="152"/>
    </row>
    <row r="442" hidden="1">
      <c r="A442" s="231" t="s">
        <v>78</v>
      </c>
      <c r="B442" s="238" t="s">
        <v>3163</v>
      </c>
      <c r="C442" s="28"/>
      <c r="D442" s="28"/>
      <c r="E442" s="28"/>
      <c r="F442" s="161">
        <v>225.0</v>
      </c>
      <c r="G442" s="152" t="str">
        <f>IFERROR(__xludf.DUMMYFUNCTION("TRIM(REGEXREPLACE(C442, ""[0-9]+[a-f]?\."", """"))"),"")</f>
        <v/>
      </c>
      <c r="H442" s="152" t="str">
        <f>IFERROR(__xludf.DUMMYFUNCTION("TRIM(REGEXREPLACE(D442, ""[0-9]+[a-f]?\."", """"))"),"")</f>
        <v/>
      </c>
      <c r="I442" s="152" t="str">
        <f>IFERROR(__xludf.DUMMYFUNCTION("TRIM(REGEXREPLACE(E442, ""[0-9]+[a-f]?\."", """"))"),"")</f>
        <v/>
      </c>
      <c r="J442" s="152" t="s">
        <v>3164</v>
      </c>
      <c r="K442" s="152" t="s">
        <v>3165</v>
      </c>
      <c r="L442" s="152" t="s">
        <v>3166</v>
      </c>
    </row>
    <row r="443" hidden="1">
      <c r="A443" s="231" t="s">
        <v>78</v>
      </c>
      <c r="B443" s="238" t="s">
        <v>3167</v>
      </c>
      <c r="C443" s="28"/>
      <c r="D443" s="28"/>
      <c r="E443" s="28"/>
      <c r="F443" s="161">
        <v>242.0</v>
      </c>
      <c r="G443" s="152" t="str">
        <f>IFERROR(__xludf.DUMMYFUNCTION("TRIM(REGEXREPLACE(C443, ""[0-9]+[a-f]?\."", """"))"),"")</f>
        <v/>
      </c>
      <c r="H443" s="152" t="str">
        <f>IFERROR(__xludf.DUMMYFUNCTION("TRIM(REGEXREPLACE(D443, ""[0-9]+[a-f]?\."", """"))"),"")</f>
        <v/>
      </c>
      <c r="I443" s="152" t="str">
        <f>IFERROR(__xludf.DUMMYFUNCTION("TRIM(REGEXREPLACE(E443, ""[0-9]+[a-f]?\."", """"))"),"")</f>
        <v/>
      </c>
      <c r="J443" s="152" t="s">
        <v>3171</v>
      </c>
      <c r="K443" s="152" t="s">
        <v>3172</v>
      </c>
      <c r="L443" s="152" t="s">
        <v>3173</v>
      </c>
    </row>
    <row r="444" hidden="1">
      <c r="A444" s="231" t="s">
        <v>78</v>
      </c>
      <c r="B444" s="238" t="s">
        <v>3174</v>
      </c>
      <c r="C444" s="28"/>
      <c r="D444" s="28"/>
      <c r="E444" s="28"/>
      <c r="F444" s="161">
        <v>243.0</v>
      </c>
      <c r="G444" s="152" t="str">
        <f>IFERROR(__xludf.DUMMYFUNCTION("TRIM(REGEXREPLACE(C444, ""[0-9]+[a-f]?\."", """"))"),"")</f>
        <v/>
      </c>
      <c r="H444" s="152" t="str">
        <f>IFERROR(__xludf.DUMMYFUNCTION("TRIM(REGEXREPLACE(D444, ""[0-9]+[a-f]?\."", """"))"),"")</f>
        <v/>
      </c>
      <c r="I444" s="152" t="str">
        <f>IFERROR(__xludf.DUMMYFUNCTION("TRIM(REGEXREPLACE(E444, ""[0-9]+[a-f]?\."", """"))"),"")</f>
        <v/>
      </c>
      <c r="J444" s="152" t="s">
        <v>3175</v>
      </c>
      <c r="K444" s="152" t="s">
        <v>3176</v>
      </c>
      <c r="L444" s="152" t="s">
        <v>3177</v>
      </c>
    </row>
    <row r="445" hidden="1">
      <c r="A445" s="90" t="s">
        <v>78</v>
      </c>
      <c r="B445" s="92" t="s">
        <v>3179</v>
      </c>
      <c r="C445" s="28"/>
      <c r="D445" s="28"/>
      <c r="E445" s="28"/>
      <c r="F445" s="161">
        <v>244.0</v>
      </c>
      <c r="G445" s="152" t="str">
        <f>IFERROR(__xludf.DUMMYFUNCTION("TRIM(REGEXREPLACE(C445, ""[0-9]+[a-f]?\."", """"))"),"")</f>
        <v/>
      </c>
      <c r="H445" s="152" t="str">
        <f>IFERROR(__xludf.DUMMYFUNCTION("TRIM(REGEXREPLACE(D445, ""[0-9]+[a-f]?\."", """"))"),"")</f>
        <v/>
      </c>
      <c r="I445" s="152" t="str">
        <f>IFERROR(__xludf.DUMMYFUNCTION("TRIM(REGEXREPLACE(E445, ""[0-9]+[a-f]?\."", """"))"),"")</f>
        <v/>
      </c>
      <c r="J445" s="152" t="s">
        <v>3184</v>
      </c>
      <c r="K445" s="152" t="s">
        <v>3185</v>
      </c>
      <c r="L445" s="152" t="s">
        <v>3186</v>
      </c>
      <c r="M445" s="152"/>
    </row>
    <row r="446" hidden="1">
      <c r="A446" s="90" t="s">
        <v>78</v>
      </c>
      <c r="B446" s="92" t="s">
        <v>3187</v>
      </c>
      <c r="C446" s="28"/>
      <c r="D446" s="28"/>
      <c r="E446" s="28"/>
      <c r="F446" s="161">
        <v>245.0</v>
      </c>
      <c r="G446" s="152" t="str">
        <f>IFERROR(__xludf.DUMMYFUNCTION("TRIM(REGEXREPLACE(C446, ""[0-9]+[a-f]?\."", """"))"),"")</f>
        <v/>
      </c>
      <c r="H446" s="152" t="str">
        <f>IFERROR(__xludf.DUMMYFUNCTION("TRIM(REGEXREPLACE(D446, ""[0-9]+[a-f]?\."", """"))"),"")</f>
        <v/>
      </c>
      <c r="I446" s="152" t="str">
        <f>IFERROR(__xludf.DUMMYFUNCTION("TRIM(REGEXREPLACE(E446, ""[0-9]+[a-f]?\."", """"))"),"")</f>
        <v/>
      </c>
      <c r="J446" s="152" t="s">
        <v>3188</v>
      </c>
      <c r="K446" s="152" t="s">
        <v>3189</v>
      </c>
      <c r="L446" s="152" t="s">
        <v>3190</v>
      </c>
      <c r="M446" s="152"/>
    </row>
    <row r="447" hidden="1">
      <c r="A447" s="90" t="s">
        <v>78</v>
      </c>
      <c r="B447" s="92" t="s">
        <v>3191</v>
      </c>
      <c r="C447" s="28"/>
      <c r="D447" s="28"/>
      <c r="E447" s="28"/>
      <c r="F447" s="161">
        <v>253.0</v>
      </c>
      <c r="G447" s="152" t="str">
        <f>IFERROR(__xludf.DUMMYFUNCTION("TRIM(REGEXREPLACE(C447, ""[0-9]+[a-f]?\."", """"))"),"")</f>
        <v/>
      </c>
      <c r="H447" s="152" t="str">
        <f>IFERROR(__xludf.DUMMYFUNCTION("TRIM(REGEXREPLACE(D447, ""[0-9]+[a-f]?\."", """"))"),"")</f>
        <v/>
      </c>
      <c r="I447" s="152" t="str">
        <f>IFERROR(__xludf.DUMMYFUNCTION("TRIM(REGEXREPLACE(E447, ""[0-9]+[a-f]?\."", """"))"),"")</f>
        <v/>
      </c>
      <c r="J447" s="152" t="s">
        <v>3195</v>
      </c>
      <c r="K447" s="152" t="s">
        <v>3196</v>
      </c>
      <c r="L447" s="152" t="s">
        <v>3197</v>
      </c>
      <c r="M447" s="152"/>
    </row>
    <row r="448" hidden="1">
      <c r="A448" s="246" t="s">
        <v>1015</v>
      </c>
      <c r="B448" s="250" t="s">
        <v>3063</v>
      </c>
      <c r="C448" s="28" t="s">
        <v>3064</v>
      </c>
      <c r="D448" s="28"/>
      <c r="E448" s="28"/>
      <c r="F448" s="161">
        <v>254.0</v>
      </c>
      <c r="G448" s="152" t="str">
        <f>IFERROR(__xludf.DUMMYFUNCTION("TRIM(REGEXREPLACE(C448, ""[0-9]+[a-f]?\."", """"))"),"Locations")</f>
        <v>Locations</v>
      </c>
      <c r="H448" s="152" t="str">
        <f>IFERROR(__xludf.DUMMYFUNCTION("TRIM(REGEXREPLACE(D448, ""[0-9]+[a-f]?\."", """"))"),"")</f>
        <v/>
      </c>
      <c r="I448" s="152" t="str">
        <f>IFERROR(__xludf.DUMMYFUNCTION("TRIM(REGEXREPLACE(E448, ""[0-9]+[a-f]?\."", """"))"),"")</f>
        <v/>
      </c>
      <c r="J448" s="152" t="s">
        <v>3201</v>
      </c>
      <c r="K448" s="152" t="s">
        <v>3202</v>
      </c>
      <c r="L448" s="152" t="s">
        <v>3204</v>
      </c>
      <c r="M448" s="152"/>
    </row>
    <row r="449" hidden="1">
      <c r="A449" s="231" t="s">
        <v>134</v>
      </c>
      <c r="B449" s="66" t="s">
        <v>3205</v>
      </c>
      <c r="C449" s="28"/>
      <c r="D449" s="28"/>
      <c r="E449" s="28"/>
      <c r="F449" s="161">
        <v>246.0</v>
      </c>
      <c r="G449" s="152" t="str">
        <f>IFERROR(__xludf.DUMMYFUNCTION("TRIM(REGEXREPLACE(C449, ""[0-9]+[a-f]?\."", """"))"),"")</f>
        <v/>
      </c>
      <c r="H449" s="152" t="str">
        <f>IFERROR(__xludf.DUMMYFUNCTION("TRIM(REGEXREPLACE(D449, ""[0-9]+[a-f]?\."", """"))"),"")</f>
        <v/>
      </c>
      <c r="I449" s="152" t="str">
        <f>IFERROR(__xludf.DUMMYFUNCTION("TRIM(REGEXREPLACE(E449, ""[0-9]+[a-f]?\."", """"))"),"")</f>
        <v/>
      </c>
      <c r="J449" s="152" t="s">
        <v>3206</v>
      </c>
      <c r="K449" s="152" t="s">
        <v>3207</v>
      </c>
      <c r="L449" s="152" t="s">
        <v>3208</v>
      </c>
      <c r="M449" s="152"/>
    </row>
    <row r="450" hidden="1">
      <c r="A450" s="231" t="s">
        <v>78</v>
      </c>
      <c r="B450" s="251" t="s">
        <v>3209</v>
      </c>
      <c r="C450" s="28"/>
      <c r="D450" s="28"/>
      <c r="E450" s="28"/>
      <c r="F450" s="161">
        <v>226.0</v>
      </c>
      <c r="G450" s="152" t="str">
        <f>IFERROR(__xludf.DUMMYFUNCTION("TRIM(REGEXREPLACE(C450, ""[0-9]+[a-f]?\."", """"))"),"")</f>
        <v/>
      </c>
      <c r="H450" s="152" t="str">
        <f>IFERROR(__xludf.DUMMYFUNCTION("TRIM(REGEXREPLACE(D450, ""[0-9]+[a-f]?\."", """"))"),"")</f>
        <v/>
      </c>
      <c r="I450" s="152" t="str">
        <f>IFERROR(__xludf.DUMMYFUNCTION("TRIM(REGEXREPLACE(E450, ""[0-9]+[a-f]?\."", """"))"),"")</f>
        <v/>
      </c>
      <c r="J450" s="152" t="s">
        <v>3210</v>
      </c>
      <c r="K450" s="152" t="s">
        <v>3211</v>
      </c>
      <c r="L450" s="152" t="s">
        <v>3212</v>
      </c>
    </row>
    <row r="451" hidden="1">
      <c r="A451" s="231" t="s">
        <v>78</v>
      </c>
      <c r="B451" s="238" t="s">
        <v>3213</v>
      </c>
      <c r="C451" s="28"/>
      <c r="D451" s="28"/>
      <c r="E451" s="28"/>
      <c r="F451" s="161">
        <v>227.0</v>
      </c>
      <c r="G451" s="152" t="str">
        <f>IFERROR(__xludf.DUMMYFUNCTION("TRIM(REGEXREPLACE(C451, ""[0-9]+[a-f]?\."", """"))"),"")</f>
        <v/>
      </c>
      <c r="H451" s="152" t="str">
        <f>IFERROR(__xludf.DUMMYFUNCTION("TRIM(REGEXREPLACE(D451, ""[0-9]+[a-f]?\."", """"))"),"")</f>
        <v/>
      </c>
      <c r="I451" s="152" t="str">
        <f>IFERROR(__xludf.DUMMYFUNCTION("TRIM(REGEXREPLACE(E451, ""[0-9]+[a-f]?\."", """"))"),"")</f>
        <v/>
      </c>
      <c r="J451" s="152" t="s">
        <v>3215</v>
      </c>
      <c r="K451" s="152" t="s">
        <v>3216</v>
      </c>
      <c r="L451" s="152" t="s">
        <v>3217</v>
      </c>
    </row>
    <row r="452" hidden="1">
      <c r="A452" s="231" t="s">
        <v>78</v>
      </c>
      <c r="B452" s="238" t="s">
        <v>3218</v>
      </c>
      <c r="C452" s="28"/>
      <c r="D452" s="28"/>
      <c r="E452" s="28"/>
      <c r="F452" s="161">
        <v>228.0</v>
      </c>
      <c r="G452" s="152" t="str">
        <f>IFERROR(__xludf.DUMMYFUNCTION("TRIM(REGEXREPLACE(C452, ""[0-9]+[a-f]?\."", """"))"),"")</f>
        <v/>
      </c>
      <c r="H452" s="152" t="str">
        <f>IFERROR(__xludf.DUMMYFUNCTION("TRIM(REGEXREPLACE(D452, ""[0-9]+[a-f]?\."", """"))"),"")</f>
        <v/>
      </c>
      <c r="I452" s="152" t="str">
        <f>IFERROR(__xludf.DUMMYFUNCTION("TRIM(REGEXREPLACE(E452, ""[0-9]+[a-f]?\."", """"))"),"")</f>
        <v/>
      </c>
      <c r="J452" s="152" t="s">
        <v>3219</v>
      </c>
      <c r="K452" s="152" t="s">
        <v>3220</v>
      </c>
      <c r="L452" s="152" t="s">
        <v>3221</v>
      </c>
    </row>
    <row r="453" hidden="1">
      <c r="A453" s="231" t="s">
        <v>78</v>
      </c>
      <c r="B453" s="238" t="s">
        <v>3222</v>
      </c>
      <c r="C453" s="28"/>
      <c r="D453" s="28"/>
      <c r="E453" s="28"/>
      <c r="F453" s="161">
        <v>229.0</v>
      </c>
      <c r="G453" s="152" t="str">
        <f>IFERROR(__xludf.DUMMYFUNCTION("TRIM(REGEXREPLACE(C453, ""[0-9]+[a-f]?\."", """"))"),"")</f>
        <v/>
      </c>
      <c r="H453" s="152" t="str">
        <f>IFERROR(__xludf.DUMMYFUNCTION("TRIM(REGEXREPLACE(D453, ""[0-9]+[a-f]?\."", """"))"),"")</f>
        <v/>
      </c>
      <c r="I453" s="152" t="str">
        <f>IFERROR(__xludf.DUMMYFUNCTION("TRIM(REGEXREPLACE(E453, ""[0-9]+[a-f]?\."", """"))"),"")</f>
        <v/>
      </c>
      <c r="J453" s="152" t="s">
        <v>3223</v>
      </c>
      <c r="K453" s="152" t="s">
        <v>3224</v>
      </c>
      <c r="L453" s="152" t="s">
        <v>3225</v>
      </c>
    </row>
    <row r="454" hidden="1">
      <c r="A454" s="231" t="s">
        <v>78</v>
      </c>
      <c r="B454" s="238" t="s">
        <v>3227</v>
      </c>
      <c r="C454" s="28"/>
      <c r="D454" s="28"/>
      <c r="E454" s="28"/>
      <c r="F454" s="161">
        <v>251.0</v>
      </c>
      <c r="G454" s="152" t="str">
        <f>IFERROR(__xludf.DUMMYFUNCTION("TRIM(REGEXREPLACE(C454, ""[0-9]+[a-f]?\."", """"))"),"")</f>
        <v/>
      </c>
      <c r="H454" s="152" t="str">
        <f>IFERROR(__xludf.DUMMYFUNCTION("TRIM(REGEXREPLACE(D454, ""[0-9]+[a-f]?\."", """"))"),"")</f>
        <v/>
      </c>
      <c r="I454" s="152" t="str">
        <f>IFERROR(__xludf.DUMMYFUNCTION("TRIM(REGEXREPLACE(E454, ""[0-9]+[a-f]?\."", """"))"),"")</f>
        <v/>
      </c>
      <c r="J454" s="152" t="s">
        <v>3231</v>
      </c>
      <c r="K454" s="152" t="s">
        <v>3232</v>
      </c>
      <c r="L454" s="152" t="s">
        <v>3233</v>
      </c>
      <c r="M454" s="152"/>
    </row>
    <row r="455" hidden="1">
      <c r="A455" s="252"/>
      <c r="B455" s="253"/>
      <c r="C455" s="28"/>
      <c r="D455" s="28"/>
      <c r="E455" s="28"/>
      <c r="F455" s="161">
        <v>252.0</v>
      </c>
      <c r="G455" s="152" t="str">
        <f>IFERROR(__xludf.DUMMYFUNCTION("TRIM(REGEXREPLACE(C455, ""[0-9]+[a-f]?\."", """"))"),"")</f>
        <v/>
      </c>
      <c r="H455" s="152" t="str">
        <f>IFERROR(__xludf.DUMMYFUNCTION("TRIM(REGEXREPLACE(D455, ""[0-9]+[a-f]?\."", """"))"),"")</f>
        <v/>
      </c>
      <c r="I455" s="152" t="str">
        <f>IFERROR(__xludf.DUMMYFUNCTION("TRIM(REGEXREPLACE(E455, ""[0-9]+[a-f]?\."", """"))"),"")</f>
        <v/>
      </c>
      <c r="J455" s="152" t="s">
        <v>3236</v>
      </c>
      <c r="K455" s="152" t="s">
        <v>3238</v>
      </c>
      <c r="L455" s="152" t="s">
        <v>3239</v>
      </c>
      <c r="M455" s="152"/>
    </row>
    <row r="456" hidden="1">
      <c r="A456" s="231" t="s">
        <v>78</v>
      </c>
      <c r="B456" s="238" t="s">
        <v>3241</v>
      </c>
      <c r="C456" s="28" t="s">
        <v>3242</v>
      </c>
      <c r="D456" s="28"/>
      <c r="E456" s="28"/>
      <c r="F456" s="161">
        <v>259.0</v>
      </c>
      <c r="G456" s="152" t="str">
        <f>IFERROR(__xludf.DUMMYFUNCTION("TRIM(REGEXREPLACE(C456, ""[0-9]+[a-f]?\."", """"))"),"list of most recent to beginning of period locations")</f>
        <v>list of most recent to beginning of period locations</v>
      </c>
      <c r="H456" s="152" t="str">
        <f>IFERROR(__xludf.DUMMYFUNCTION("TRIM(REGEXREPLACE(D456, ""[0-9]+[a-f]?\."", """"))"),"")</f>
        <v/>
      </c>
      <c r="I456" s="152" t="str">
        <f>IFERROR(__xludf.DUMMYFUNCTION("TRIM(REGEXREPLACE(E456, ""[0-9]+[a-f]?\."", """"))"),"")</f>
        <v/>
      </c>
      <c r="J456" s="152" t="s">
        <v>3243</v>
      </c>
      <c r="K456" s="152" t="s">
        <v>3244</v>
      </c>
      <c r="L456" s="152" t="s">
        <v>3245</v>
      </c>
      <c r="M456" s="152"/>
    </row>
    <row r="457" hidden="1">
      <c r="A457" s="231" t="s">
        <v>78</v>
      </c>
      <c r="B457" s="238" t="s">
        <v>3246</v>
      </c>
      <c r="C457" s="28" t="s">
        <v>3247</v>
      </c>
      <c r="D457" s="28"/>
      <c r="E457" s="28"/>
      <c r="F457" s="161">
        <v>260.0</v>
      </c>
      <c r="G457" s="152" t="str">
        <f>IFERROR(__xludf.DUMMYFUNCTION("TRIM(REGEXREPLACE(C457, ""[0-9]+[a-f]?\."", """"))"),"list of locations countries")</f>
        <v>list of locations countries</v>
      </c>
      <c r="H457" s="152" t="str">
        <f>IFERROR(__xludf.DUMMYFUNCTION("TRIM(REGEXREPLACE(D457, ""[0-9]+[a-f]?\."", """"))"),"")</f>
        <v/>
      </c>
      <c r="I457" s="152" t="str">
        <f>IFERROR(__xludf.DUMMYFUNCTION("TRIM(REGEXREPLACE(E457, ""[0-9]+[a-f]?\."", """"))"),"")</f>
        <v/>
      </c>
      <c r="J457" s="152" t="s">
        <v>3251</v>
      </c>
      <c r="K457" s="152" t="s">
        <v>3252</v>
      </c>
      <c r="L457" s="152" t="s">
        <v>3253</v>
      </c>
      <c r="M457" s="152"/>
    </row>
    <row r="458" hidden="1">
      <c r="A458" s="231" t="s">
        <v>78</v>
      </c>
      <c r="B458" s="238" t="s">
        <v>3254</v>
      </c>
      <c r="C458" s="28"/>
      <c r="D458" s="28"/>
      <c r="E458" s="28"/>
      <c r="F458" s="161">
        <v>253.0</v>
      </c>
      <c r="G458" s="152" t="str">
        <f>IFERROR(__xludf.DUMMYFUNCTION("TRIM(REGEXREPLACE(C458, ""[0-9]+[a-f]?\."", """"))"),"")</f>
        <v/>
      </c>
      <c r="H458" s="152" t="str">
        <f>IFERROR(__xludf.DUMMYFUNCTION("TRIM(REGEXREPLACE(D458, ""[0-9]+[a-f]?\."", """"))"),"")</f>
        <v/>
      </c>
      <c r="I458" s="152" t="str">
        <f>IFERROR(__xludf.DUMMYFUNCTION("TRIM(REGEXREPLACE(E458, ""[0-9]+[a-f]?\."", """"))"),"")</f>
        <v/>
      </c>
      <c r="J458" s="152" t="s">
        <v>3255</v>
      </c>
      <c r="K458" s="152" t="s">
        <v>3256</v>
      </c>
      <c r="L458" s="152" t="s">
        <v>3257</v>
      </c>
      <c r="M458" s="152"/>
    </row>
    <row r="459" hidden="1">
      <c r="A459" s="231" t="s">
        <v>78</v>
      </c>
      <c r="B459" s="238" t="s">
        <v>3260</v>
      </c>
      <c r="C459" s="28"/>
      <c r="D459" s="28"/>
      <c r="E459" s="28"/>
      <c r="F459" s="161">
        <v>230.0</v>
      </c>
      <c r="G459" s="152" t="str">
        <f>IFERROR(__xludf.DUMMYFUNCTION("TRIM(REGEXREPLACE(C459, ""[0-9]+[a-f]?\."", """"))"),"")</f>
        <v/>
      </c>
      <c r="H459" s="152" t="str">
        <f>IFERROR(__xludf.DUMMYFUNCTION("TRIM(REGEXREPLACE(D459, ""[0-9]+[a-f]?\."", """"))"),"")</f>
        <v/>
      </c>
      <c r="I459" s="152" t="str">
        <f>IFERROR(__xludf.DUMMYFUNCTION("TRIM(REGEXREPLACE(E459, ""[0-9]+[a-f]?\."", """"))"),"")</f>
        <v/>
      </c>
      <c r="J459" s="152" t="s">
        <v>3263</v>
      </c>
      <c r="K459" s="152" t="s">
        <v>3264</v>
      </c>
      <c r="L459" s="152" t="s">
        <v>3265</v>
      </c>
    </row>
    <row r="460" hidden="1">
      <c r="A460" s="231" t="s">
        <v>78</v>
      </c>
      <c r="B460" s="238" t="s">
        <v>3266</v>
      </c>
      <c r="C460" s="28"/>
      <c r="D460" s="28"/>
      <c r="E460" s="28"/>
      <c r="F460" s="161">
        <v>255.0</v>
      </c>
      <c r="G460" s="152" t="str">
        <f>IFERROR(__xludf.DUMMYFUNCTION("TRIM(REGEXREPLACE(C460, ""[0-9]+[a-f]?\."", """"))"),"")</f>
        <v/>
      </c>
      <c r="H460" s="152" t="str">
        <f>IFERROR(__xludf.DUMMYFUNCTION("TRIM(REGEXREPLACE(D460, ""[0-9]+[a-f]?\."", """"))"),"")</f>
        <v/>
      </c>
      <c r="I460" s="152" t="str">
        <f>IFERROR(__xludf.DUMMYFUNCTION("TRIM(REGEXREPLACE(E460, ""[0-9]+[a-f]?\."", """"))"),"")</f>
        <v/>
      </c>
      <c r="J460" s="152" t="s">
        <v>3267</v>
      </c>
      <c r="K460" s="152" t="s">
        <v>3268</v>
      </c>
      <c r="L460" s="152" t="s">
        <v>3269</v>
      </c>
    </row>
    <row r="461" hidden="1">
      <c r="A461" s="231" t="s">
        <v>78</v>
      </c>
      <c r="B461" s="238" t="s">
        <v>3270</v>
      </c>
      <c r="C461" s="28"/>
      <c r="D461" s="28"/>
      <c r="E461" s="28"/>
      <c r="F461" s="161">
        <v>231.0</v>
      </c>
      <c r="G461" s="152" t="str">
        <f>IFERROR(__xludf.DUMMYFUNCTION("TRIM(REGEXREPLACE(C461, ""[0-9]+[a-f]?\."", """"))"),"")</f>
        <v/>
      </c>
      <c r="H461" s="152" t="str">
        <f>IFERROR(__xludf.DUMMYFUNCTION("TRIM(REGEXREPLACE(D461, ""[0-9]+[a-f]?\."", """"))"),"")</f>
        <v/>
      </c>
      <c r="I461" s="152" t="str">
        <f>IFERROR(__xludf.DUMMYFUNCTION("TRIM(REGEXREPLACE(E461, ""[0-9]+[a-f]?\."", """"))"),"")</f>
        <v/>
      </c>
      <c r="J461" s="152" t="s">
        <v>3272</v>
      </c>
      <c r="K461" s="152" t="s">
        <v>3273</v>
      </c>
      <c r="L461" s="152" t="s">
        <v>3273</v>
      </c>
      <c r="M461" s="152"/>
    </row>
    <row r="462" hidden="1">
      <c r="A462" s="231" t="s">
        <v>78</v>
      </c>
      <c r="B462" s="238" t="s">
        <v>3274</v>
      </c>
      <c r="C462" s="28"/>
      <c r="D462" s="28"/>
      <c r="E462" s="28"/>
      <c r="F462" s="161">
        <v>257.0</v>
      </c>
      <c r="G462" s="152" t="str">
        <f>IFERROR(__xludf.DUMMYFUNCTION("TRIM(REGEXREPLACE(C462, ""[0-9]+[a-f]?\."", """"))"),"")</f>
        <v/>
      </c>
      <c r="H462" s="152" t="str">
        <f>IFERROR(__xludf.DUMMYFUNCTION("TRIM(REGEXREPLACE(D462, ""[0-9]+[a-f]?\."", """"))"),"")</f>
        <v/>
      </c>
      <c r="I462" s="152" t="str">
        <f>IFERROR(__xludf.DUMMYFUNCTION("TRIM(REGEXREPLACE(E462, ""[0-9]+[a-f]?\."", """"))"),"")</f>
        <v/>
      </c>
      <c r="J462" s="152" t="s">
        <v>3275</v>
      </c>
      <c r="K462" s="152" t="s">
        <v>3277</v>
      </c>
      <c r="L462" s="152" t="s">
        <v>3278</v>
      </c>
      <c r="M462" s="152"/>
    </row>
    <row r="463" hidden="1">
      <c r="A463" s="231" t="s">
        <v>78</v>
      </c>
      <c r="B463" s="238" t="s">
        <v>3282</v>
      </c>
      <c r="C463" s="28"/>
      <c r="D463" s="28"/>
      <c r="E463" s="28"/>
      <c r="F463" s="161">
        <v>258.0</v>
      </c>
      <c r="G463" s="152" t="str">
        <f>IFERROR(__xludf.DUMMYFUNCTION("TRIM(REGEXREPLACE(C463, ""[0-9]+[a-f]?\."", """"))"),"")</f>
        <v/>
      </c>
      <c r="H463" s="152" t="str">
        <f>IFERROR(__xludf.DUMMYFUNCTION("TRIM(REGEXREPLACE(D463, ""[0-9]+[a-f]?\."", """"))"),"")</f>
        <v/>
      </c>
      <c r="I463" s="152" t="str">
        <f>IFERROR(__xludf.DUMMYFUNCTION("TRIM(REGEXREPLACE(E463, ""[0-9]+[a-f]?\."", """"))"),"")</f>
        <v/>
      </c>
      <c r="J463" s="152" t="s">
        <v>3283</v>
      </c>
      <c r="K463" s="152" t="s">
        <v>3284</v>
      </c>
      <c r="L463" s="152" t="s">
        <v>3285</v>
      </c>
      <c r="M463" s="152"/>
    </row>
    <row r="464" hidden="1">
      <c r="A464" s="231" t="s">
        <v>78</v>
      </c>
      <c r="B464" s="238" t="s">
        <v>3286</v>
      </c>
      <c r="C464" s="28"/>
      <c r="D464" s="28"/>
      <c r="E464" s="28"/>
      <c r="F464" s="161">
        <v>259.0</v>
      </c>
      <c r="G464" s="152" t="str">
        <f>IFERROR(__xludf.DUMMYFUNCTION("TRIM(REGEXREPLACE(C464, ""[0-9]+[a-f]?\."", """"))"),"")</f>
        <v/>
      </c>
      <c r="H464" s="152" t="str">
        <f>IFERROR(__xludf.DUMMYFUNCTION("TRIM(REGEXREPLACE(D464, ""[0-9]+[a-f]?\."", """"))"),"")</f>
        <v/>
      </c>
      <c r="I464" s="152" t="str">
        <f>IFERROR(__xludf.DUMMYFUNCTION("TRIM(REGEXREPLACE(E464, ""[0-9]+[a-f]?\."", """"))"),"")</f>
        <v/>
      </c>
      <c r="J464" s="152" t="s">
        <v>3287</v>
      </c>
      <c r="K464" s="152" t="s">
        <v>3288</v>
      </c>
      <c r="L464" s="152" t="s">
        <v>3289</v>
      </c>
      <c r="M464" s="152"/>
    </row>
    <row r="465" hidden="1">
      <c r="A465" s="231" t="s">
        <v>78</v>
      </c>
      <c r="B465" s="238" t="s">
        <v>3291</v>
      </c>
      <c r="C465" s="28"/>
      <c r="D465" s="28"/>
      <c r="E465" s="28"/>
      <c r="F465" s="161">
        <v>232.0</v>
      </c>
      <c r="G465" s="152" t="str">
        <f>IFERROR(__xludf.DUMMYFUNCTION("TRIM(REGEXREPLACE(C465, ""[0-9]+[a-f]?\."", """"))"),"")</f>
        <v/>
      </c>
      <c r="H465" s="152" t="str">
        <f>IFERROR(__xludf.DUMMYFUNCTION("TRIM(REGEXREPLACE(D465, ""[0-9]+[a-f]?\."", """"))"),"")</f>
        <v/>
      </c>
      <c r="I465" s="152" t="str">
        <f>IFERROR(__xludf.DUMMYFUNCTION("TRIM(REGEXREPLACE(E465, ""[0-9]+[a-f]?\."", """"))"),"")</f>
        <v/>
      </c>
      <c r="J465" s="152" t="s">
        <v>3295</v>
      </c>
      <c r="K465" s="152" t="s">
        <v>3296</v>
      </c>
      <c r="L465" s="152" t="s">
        <v>3297</v>
      </c>
    </row>
    <row r="466" hidden="1">
      <c r="A466" s="231" t="s">
        <v>78</v>
      </c>
      <c r="B466" s="238" t="s">
        <v>3298</v>
      </c>
      <c r="C466" s="28"/>
      <c r="D466" s="28"/>
      <c r="E466" s="28"/>
      <c r="F466" s="161">
        <v>233.0</v>
      </c>
      <c r="G466" s="152" t="str">
        <f>IFERROR(__xludf.DUMMYFUNCTION("TRIM(REGEXREPLACE(C466, ""[0-9]+[a-f]?\."", """"))"),"")</f>
        <v/>
      </c>
      <c r="H466" s="152" t="str">
        <f>IFERROR(__xludf.DUMMYFUNCTION("TRIM(REGEXREPLACE(D466, ""[0-9]+[a-f]?\."", """"))"),"")</f>
        <v/>
      </c>
      <c r="I466" s="152" t="str">
        <f>IFERROR(__xludf.DUMMYFUNCTION("TRIM(REGEXREPLACE(E466, ""[0-9]+[a-f]?\."", """"))"),"")</f>
        <v/>
      </c>
      <c r="J466" s="152" t="s">
        <v>3299</v>
      </c>
      <c r="K466" s="152" t="s">
        <v>3300</v>
      </c>
      <c r="L466" s="152" t="s">
        <v>3302</v>
      </c>
    </row>
    <row r="467" hidden="1">
      <c r="A467" s="231" t="s">
        <v>78</v>
      </c>
      <c r="B467" s="238" t="s">
        <v>3304</v>
      </c>
      <c r="C467" s="28"/>
      <c r="D467" s="28"/>
      <c r="E467" s="28"/>
      <c r="F467" s="161">
        <v>234.0</v>
      </c>
      <c r="G467" s="152" t="str">
        <f>IFERROR(__xludf.DUMMYFUNCTION("TRIM(REGEXREPLACE(C467, ""[0-9]+[a-f]?\."", """"))"),"")</f>
        <v/>
      </c>
      <c r="H467" s="152" t="str">
        <f>IFERROR(__xludf.DUMMYFUNCTION("TRIM(REGEXREPLACE(D467, ""[0-9]+[a-f]?\."", """"))"),"")</f>
        <v/>
      </c>
      <c r="I467" s="152" t="str">
        <f>IFERROR(__xludf.DUMMYFUNCTION("TRIM(REGEXREPLACE(E467, ""[0-9]+[a-f]?\."", """"))"),"")</f>
        <v/>
      </c>
      <c r="J467" s="152" t="s">
        <v>3307</v>
      </c>
      <c r="K467" s="152" t="s">
        <v>3308</v>
      </c>
      <c r="L467" s="152" t="s">
        <v>3309</v>
      </c>
    </row>
    <row r="468" hidden="1">
      <c r="A468" s="231" t="s">
        <v>78</v>
      </c>
      <c r="B468" s="238" t="s">
        <v>3310</v>
      </c>
      <c r="C468" s="28"/>
      <c r="D468" s="28"/>
      <c r="E468" s="28"/>
      <c r="F468" s="161">
        <v>235.0</v>
      </c>
      <c r="G468" s="152" t="str">
        <f>IFERROR(__xludf.DUMMYFUNCTION("TRIM(REGEXREPLACE(C468, ""[0-9]+[a-f]?\."", """"))"),"")</f>
        <v/>
      </c>
      <c r="H468" s="152" t="str">
        <f>IFERROR(__xludf.DUMMYFUNCTION("TRIM(REGEXREPLACE(D468, ""[0-9]+[a-f]?\."", """"))"),"")</f>
        <v/>
      </c>
      <c r="I468" s="152" t="str">
        <f>IFERROR(__xludf.DUMMYFUNCTION("TRIM(REGEXREPLACE(E468, ""[0-9]+[a-f]?\."", """"))"),"")</f>
        <v/>
      </c>
      <c r="J468" s="152" t="s">
        <v>3314</v>
      </c>
      <c r="K468" s="152" t="s">
        <v>3315</v>
      </c>
      <c r="L468" s="152" t="s">
        <v>3316</v>
      </c>
    </row>
    <row r="469" hidden="1">
      <c r="A469" s="231" t="s">
        <v>78</v>
      </c>
      <c r="B469" s="238" t="s">
        <v>3317</v>
      </c>
      <c r="C469" s="28"/>
      <c r="D469" s="28"/>
      <c r="E469" s="28"/>
      <c r="F469" s="161">
        <v>236.0</v>
      </c>
      <c r="G469" s="152" t="str">
        <f>IFERROR(__xludf.DUMMYFUNCTION("TRIM(REGEXREPLACE(C469, ""[0-9]+[a-f]?\."", """"))"),"")</f>
        <v/>
      </c>
      <c r="H469" s="152" t="str">
        <f>IFERROR(__xludf.DUMMYFUNCTION("TRIM(REGEXREPLACE(D469, ""[0-9]+[a-f]?\."", """"))"),"")</f>
        <v/>
      </c>
      <c r="I469" s="152" t="str">
        <f>IFERROR(__xludf.DUMMYFUNCTION("TRIM(REGEXREPLACE(E469, ""[0-9]+[a-f]?\."", """"))"),"")</f>
        <v/>
      </c>
      <c r="J469" s="152" t="s">
        <v>3318</v>
      </c>
      <c r="K469" s="152" t="s">
        <v>3319</v>
      </c>
      <c r="L469" s="152" t="s">
        <v>3320</v>
      </c>
    </row>
    <row r="470" hidden="1">
      <c r="A470" s="231" t="s">
        <v>78</v>
      </c>
      <c r="B470" s="238" t="s">
        <v>3321</v>
      </c>
      <c r="C470" s="28"/>
      <c r="D470" s="28"/>
      <c r="E470" s="28"/>
      <c r="F470" s="161">
        <v>237.0</v>
      </c>
      <c r="G470" s="152" t="str">
        <f>IFERROR(__xludf.DUMMYFUNCTION("TRIM(REGEXREPLACE(C470, ""[0-9]+[a-f]?\."", """"))"),"")</f>
        <v/>
      </c>
      <c r="H470" s="152" t="str">
        <f>IFERROR(__xludf.DUMMYFUNCTION("TRIM(REGEXREPLACE(D470, ""[0-9]+[a-f]?\."", """"))"),"")</f>
        <v/>
      </c>
      <c r="I470" s="152" t="str">
        <f>IFERROR(__xludf.DUMMYFUNCTION("TRIM(REGEXREPLACE(E470, ""[0-9]+[a-f]?\."", """"))"),"")</f>
        <v/>
      </c>
      <c r="J470" s="152" t="s">
        <v>3325</v>
      </c>
      <c r="K470" s="152" t="s">
        <v>3326</v>
      </c>
      <c r="L470" s="152" t="s">
        <v>3327</v>
      </c>
    </row>
    <row r="471" hidden="1">
      <c r="A471" s="231" t="s">
        <v>78</v>
      </c>
      <c r="B471" s="238" t="s">
        <v>3328</v>
      </c>
      <c r="C471" s="28"/>
      <c r="D471" s="28"/>
      <c r="E471" s="28"/>
      <c r="F471" s="161">
        <v>238.0</v>
      </c>
      <c r="G471" s="152" t="str">
        <f>IFERROR(__xludf.DUMMYFUNCTION("TRIM(REGEXREPLACE(C471, ""[0-9]+[a-f]?\."", """"))"),"")</f>
        <v/>
      </c>
      <c r="H471" s="152" t="str">
        <f>IFERROR(__xludf.DUMMYFUNCTION("TRIM(REGEXREPLACE(D471, ""[0-9]+[a-f]?\."", """"))"),"")</f>
        <v/>
      </c>
      <c r="I471" s="152" t="str">
        <f>IFERROR(__xludf.DUMMYFUNCTION("TRIM(REGEXREPLACE(E471, ""[0-9]+[a-f]?\."", """"))"),"")</f>
        <v/>
      </c>
      <c r="J471" s="152" t="s">
        <v>3332</v>
      </c>
      <c r="K471" s="152" t="s">
        <v>3333</v>
      </c>
      <c r="L471" s="152" t="s">
        <v>3334</v>
      </c>
    </row>
    <row r="472" hidden="1">
      <c r="A472" s="231" t="s">
        <v>78</v>
      </c>
      <c r="B472" s="238" t="s">
        <v>3335</v>
      </c>
      <c r="C472" s="28"/>
      <c r="D472" s="28"/>
      <c r="E472" s="28"/>
      <c r="F472" s="161">
        <v>239.0</v>
      </c>
      <c r="G472" s="152" t="str">
        <f>IFERROR(__xludf.DUMMYFUNCTION("TRIM(REGEXREPLACE(C472, ""[0-9]+[a-f]?\."", """"))"),"")</f>
        <v/>
      </c>
      <c r="H472" s="152" t="str">
        <f>IFERROR(__xludf.DUMMYFUNCTION("TRIM(REGEXREPLACE(D472, ""[0-9]+[a-f]?\."", """"))"),"")</f>
        <v/>
      </c>
      <c r="I472" s="152" t="str">
        <f>IFERROR(__xludf.DUMMYFUNCTION("TRIM(REGEXREPLACE(E472, ""[0-9]+[a-f]?\."", """"))"),"")</f>
        <v/>
      </c>
      <c r="J472" s="152" t="s">
        <v>3336</v>
      </c>
      <c r="K472" s="152" t="s">
        <v>3337</v>
      </c>
      <c r="L472" s="152" t="s">
        <v>3338</v>
      </c>
    </row>
    <row r="473" hidden="1">
      <c r="A473" s="231" t="s">
        <v>78</v>
      </c>
      <c r="B473" s="238" t="s">
        <v>3341</v>
      </c>
      <c r="C473" s="28"/>
      <c r="D473" s="28"/>
      <c r="E473" s="28"/>
      <c r="F473" s="161">
        <v>240.0</v>
      </c>
      <c r="G473" s="152" t="str">
        <f>IFERROR(__xludf.DUMMYFUNCTION("TRIM(REGEXREPLACE(C473, ""[0-9]+[a-f]?\."", """"))"),"")</f>
        <v/>
      </c>
      <c r="H473" s="152" t="str">
        <f>IFERROR(__xludf.DUMMYFUNCTION("TRIM(REGEXREPLACE(D473, ""[0-9]+[a-f]?\."", """"))"),"")</f>
        <v/>
      </c>
      <c r="I473" s="152" t="str">
        <f>IFERROR(__xludf.DUMMYFUNCTION("TRIM(REGEXREPLACE(E473, ""[0-9]+[a-f]?\."", """"))"),"")</f>
        <v/>
      </c>
      <c r="J473" s="152" t="s">
        <v>3343</v>
      </c>
      <c r="K473" s="152" t="s">
        <v>3344</v>
      </c>
      <c r="L473" s="152" t="s">
        <v>3345</v>
      </c>
      <c r="M473" s="152"/>
    </row>
    <row r="474" hidden="1">
      <c r="A474" s="231" t="s">
        <v>78</v>
      </c>
      <c r="B474" s="238" t="s">
        <v>3346</v>
      </c>
      <c r="C474" s="28"/>
      <c r="D474" s="28"/>
      <c r="E474" s="28"/>
      <c r="F474" s="161">
        <v>241.0</v>
      </c>
      <c r="G474" s="152" t="str">
        <f>IFERROR(__xludf.DUMMYFUNCTION("TRIM(REGEXREPLACE(C474, ""[0-9]+[a-f]?\."", """"))"),"")</f>
        <v/>
      </c>
      <c r="H474" s="152" t="str">
        <f>IFERROR(__xludf.DUMMYFUNCTION("TRIM(REGEXREPLACE(D474, ""[0-9]+[a-f]?\."", """"))"),"")</f>
        <v/>
      </c>
      <c r="I474" s="152" t="str">
        <f>IFERROR(__xludf.DUMMYFUNCTION("TRIM(REGEXREPLACE(E474, ""[0-9]+[a-f]?\."", """"))"),"")</f>
        <v/>
      </c>
      <c r="J474" s="152" t="s">
        <v>3347</v>
      </c>
      <c r="K474" s="152" t="s">
        <v>3348</v>
      </c>
      <c r="L474" s="152" t="s">
        <v>3349</v>
      </c>
      <c r="M474" s="152"/>
    </row>
    <row r="475" hidden="1">
      <c r="A475" s="231" t="s">
        <v>78</v>
      </c>
      <c r="B475" s="238" t="s">
        <v>3350</v>
      </c>
      <c r="C475" s="28"/>
      <c r="D475" s="28"/>
      <c r="E475" s="28"/>
      <c r="F475" s="161">
        <v>242.0</v>
      </c>
      <c r="G475" s="152" t="str">
        <f>IFERROR(__xludf.DUMMYFUNCTION("TRIM(REGEXREPLACE(C475, ""[0-9]+[a-f]?\."", """"))"),"")</f>
        <v/>
      </c>
      <c r="H475" s="152" t="str">
        <f>IFERROR(__xludf.DUMMYFUNCTION("TRIM(REGEXREPLACE(D475, ""[0-9]+[a-f]?\."", """"))"),"")</f>
        <v/>
      </c>
      <c r="I475" s="152" t="str">
        <f>IFERROR(__xludf.DUMMYFUNCTION("TRIM(REGEXREPLACE(E475, ""[0-9]+[a-f]?\."", """"))"),"")</f>
        <v/>
      </c>
      <c r="J475" s="152" t="s">
        <v>3351</v>
      </c>
      <c r="K475" s="152" t="s">
        <v>3352</v>
      </c>
      <c r="L475" s="152" t="s">
        <v>3353</v>
      </c>
      <c r="M475" s="152"/>
    </row>
    <row r="476" hidden="1">
      <c r="A476" s="231" t="s">
        <v>78</v>
      </c>
      <c r="B476" s="238" t="s">
        <v>3354</v>
      </c>
      <c r="C476" s="28"/>
      <c r="D476" s="28"/>
      <c r="E476" s="28"/>
      <c r="F476" s="161">
        <v>271.0</v>
      </c>
      <c r="G476" s="152" t="str">
        <f>IFERROR(__xludf.DUMMYFUNCTION("TRIM(REGEXREPLACE(C476, ""[0-9]+[a-f]?\."", """"))"),"")</f>
        <v/>
      </c>
      <c r="H476" s="152" t="str">
        <f>IFERROR(__xludf.DUMMYFUNCTION("TRIM(REGEXREPLACE(D476, ""[0-9]+[a-f]?\."", """"))"),"")</f>
        <v/>
      </c>
      <c r="I476" s="152" t="str">
        <f>IFERROR(__xludf.DUMMYFUNCTION("TRIM(REGEXREPLACE(E476, ""[0-9]+[a-f]?\."", """"))"),"")</f>
        <v/>
      </c>
      <c r="J476" s="152" t="s">
        <v>3357</v>
      </c>
      <c r="K476" s="152" t="s">
        <v>3358</v>
      </c>
      <c r="L476" s="152" t="s">
        <v>3360</v>
      </c>
      <c r="M476" s="152"/>
    </row>
    <row r="477" hidden="1">
      <c r="A477" s="231" t="s">
        <v>78</v>
      </c>
      <c r="B477" s="238" t="s">
        <v>3363</v>
      </c>
      <c r="C477" s="28"/>
      <c r="D477" s="28"/>
      <c r="E477" s="28"/>
      <c r="F477" s="161">
        <v>266.0</v>
      </c>
      <c r="G477" s="152" t="str">
        <f>IFERROR(__xludf.DUMMYFUNCTION("TRIM(REGEXREPLACE(C477, ""[0-9]+[a-f]?\."", """"))"),"")</f>
        <v/>
      </c>
      <c r="H477" s="152" t="str">
        <f>IFERROR(__xludf.DUMMYFUNCTION("TRIM(REGEXREPLACE(D477, ""[0-9]+[a-f]?\."", """"))"),"")</f>
        <v/>
      </c>
      <c r="I477" s="152" t="str">
        <f>IFERROR(__xludf.DUMMYFUNCTION("TRIM(REGEXREPLACE(E477, ""[0-9]+[a-f]?\."", """"))"),"")</f>
        <v/>
      </c>
      <c r="J477" s="152" t="s">
        <v>3364</v>
      </c>
      <c r="K477" s="152" t="s">
        <v>3365</v>
      </c>
      <c r="L477" s="152" t="s">
        <v>3366</v>
      </c>
      <c r="M477" s="152"/>
    </row>
    <row r="478" hidden="1">
      <c r="A478" s="231" t="s">
        <v>78</v>
      </c>
      <c r="B478" s="238" t="s">
        <v>3367</v>
      </c>
      <c r="C478" s="28"/>
      <c r="D478" s="28"/>
      <c r="E478" s="28"/>
      <c r="F478" s="161">
        <v>243.0</v>
      </c>
      <c r="G478" s="152" t="str">
        <f>IFERROR(__xludf.DUMMYFUNCTION("TRIM(REGEXREPLACE(C478, ""[0-9]+[a-f]?\."", """"))"),"")</f>
        <v/>
      </c>
      <c r="H478" s="152" t="str">
        <f>IFERROR(__xludf.DUMMYFUNCTION("TRIM(REGEXREPLACE(D478, ""[0-9]+[a-f]?\."", """"))"),"")</f>
        <v/>
      </c>
      <c r="I478" s="152" t="str">
        <f>IFERROR(__xludf.DUMMYFUNCTION("TRIM(REGEXREPLACE(E478, ""[0-9]+[a-f]?\."", """"))"),"")</f>
        <v/>
      </c>
      <c r="J478" s="152" t="s">
        <v>3368</v>
      </c>
      <c r="K478" s="152" t="s">
        <v>3371</v>
      </c>
      <c r="L478" s="152" t="s">
        <v>3373</v>
      </c>
      <c r="M478" s="152"/>
    </row>
    <row r="479" hidden="1">
      <c r="A479" s="231" t="s">
        <v>78</v>
      </c>
      <c r="B479" s="238" t="s">
        <v>3374</v>
      </c>
      <c r="C479" s="28"/>
      <c r="D479" s="28"/>
      <c r="E479" s="28"/>
      <c r="F479" s="161">
        <v>244.0</v>
      </c>
      <c r="G479" s="152" t="str">
        <f>IFERROR(__xludf.DUMMYFUNCTION("TRIM(REGEXREPLACE(C479, ""[0-9]+[a-f]?\."", """"))"),"")</f>
        <v/>
      </c>
      <c r="H479" s="152" t="str">
        <f>IFERROR(__xludf.DUMMYFUNCTION("TRIM(REGEXREPLACE(D479, ""[0-9]+[a-f]?\."", """"))"),"")</f>
        <v/>
      </c>
      <c r="I479" s="152" t="str">
        <f>IFERROR(__xludf.DUMMYFUNCTION("TRIM(REGEXREPLACE(E479, ""[0-9]+[a-f]?\."", """"))"),"")</f>
        <v/>
      </c>
      <c r="J479" s="152" t="s">
        <v>3376</v>
      </c>
      <c r="K479" s="152" t="s">
        <v>3377</v>
      </c>
      <c r="L479" s="152" t="s">
        <v>3378</v>
      </c>
      <c r="M479" s="152"/>
    </row>
    <row r="480" hidden="1">
      <c r="A480" s="231" t="s">
        <v>78</v>
      </c>
      <c r="B480" s="238" t="s">
        <v>3379</v>
      </c>
      <c r="C480" s="28"/>
      <c r="D480" s="28"/>
      <c r="E480" s="28"/>
      <c r="F480" s="161">
        <v>269.0</v>
      </c>
      <c r="G480" s="152" t="str">
        <f>IFERROR(__xludf.DUMMYFUNCTION("TRIM(REGEXREPLACE(C480, ""[0-9]+[a-f]?\."", """"))"),"")</f>
        <v/>
      </c>
      <c r="H480" s="152" t="str">
        <f>IFERROR(__xludf.DUMMYFUNCTION("TRIM(REGEXREPLACE(D480, ""[0-9]+[a-f]?\."", """"))"),"")</f>
        <v/>
      </c>
      <c r="I480" s="152" t="str">
        <f>IFERROR(__xludf.DUMMYFUNCTION("TRIM(REGEXREPLACE(E480, ""[0-9]+[a-f]?\."", """"))"),"")</f>
        <v/>
      </c>
      <c r="J480" s="152" t="s">
        <v>3383</v>
      </c>
      <c r="K480" s="152" t="s">
        <v>3384</v>
      </c>
      <c r="L480" s="152" t="s">
        <v>3385</v>
      </c>
      <c r="M480" s="152"/>
    </row>
    <row r="481" hidden="1">
      <c r="A481" s="231" t="s">
        <v>78</v>
      </c>
      <c r="B481" s="238" t="s">
        <v>3386</v>
      </c>
      <c r="C481" s="28"/>
      <c r="D481" s="28"/>
      <c r="E481" s="28"/>
      <c r="F481" s="161">
        <v>276.0</v>
      </c>
      <c r="G481" s="152" t="str">
        <f>IFERROR(__xludf.DUMMYFUNCTION("TRIM(REGEXREPLACE(C481, ""[0-9]+[a-f]?\."", """"))"),"")</f>
        <v/>
      </c>
      <c r="H481" s="152" t="str">
        <f>IFERROR(__xludf.DUMMYFUNCTION("TRIM(REGEXREPLACE(D481, ""[0-9]+[a-f]?\."", """"))"),"")</f>
        <v/>
      </c>
      <c r="I481" s="152" t="str">
        <f>IFERROR(__xludf.DUMMYFUNCTION("TRIM(REGEXREPLACE(E481, ""[0-9]+[a-f]?\."", """"))"),"")</f>
        <v/>
      </c>
      <c r="J481" s="152" t="s">
        <v>3390</v>
      </c>
      <c r="K481" s="152" t="s">
        <v>3391</v>
      </c>
      <c r="L481" s="152" t="s">
        <v>3392</v>
      </c>
      <c r="M481" s="152"/>
    </row>
    <row r="482" hidden="1">
      <c r="A482" s="231" t="s">
        <v>78</v>
      </c>
      <c r="B482" s="238" t="s">
        <v>3393</v>
      </c>
      <c r="C482" s="28"/>
      <c r="D482" s="28"/>
      <c r="E482" s="28"/>
      <c r="F482" s="161">
        <v>270.0</v>
      </c>
      <c r="G482" s="152" t="str">
        <f>IFERROR(__xludf.DUMMYFUNCTION("TRIM(REGEXREPLACE(C482, ""[0-9]+[a-f]?\."", """"))"),"")</f>
        <v/>
      </c>
      <c r="H482" s="152" t="str">
        <f>IFERROR(__xludf.DUMMYFUNCTION("TRIM(REGEXREPLACE(D482, ""[0-9]+[a-f]?\."", """"))"),"")</f>
        <v/>
      </c>
      <c r="I482" s="152" t="str">
        <f>IFERROR(__xludf.DUMMYFUNCTION("TRIM(REGEXREPLACE(E482, ""[0-9]+[a-f]?\."", """"))"),"")</f>
        <v/>
      </c>
      <c r="J482" s="152" t="s">
        <v>3394</v>
      </c>
      <c r="K482" s="152" t="s">
        <v>3395</v>
      </c>
      <c r="L482" s="152" t="s">
        <v>3396</v>
      </c>
      <c r="M482" s="152"/>
    </row>
    <row r="483" hidden="1">
      <c r="A483" s="231" t="s">
        <v>78</v>
      </c>
      <c r="B483" s="238" t="s">
        <v>3400</v>
      </c>
      <c r="C483" s="28"/>
      <c r="D483" s="28"/>
      <c r="E483" s="28"/>
      <c r="F483" s="161">
        <v>245.0</v>
      </c>
      <c r="G483" s="152" t="str">
        <f>IFERROR(__xludf.DUMMYFUNCTION("TRIM(REGEXREPLACE(C483, ""[0-9]+[a-f]?\."", """"))"),"")</f>
        <v/>
      </c>
      <c r="H483" s="152" t="str">
        <f>IFERROR(__xludf.DUMMYFUNCTION("TRIM(REGEXREPLACE(D483, ""[0-9]+[a-f]?\."", """"))"),"")</f>
        <v/>
      </c>
      <c r="I483" s="152" t="str">
        <f>IFERROR(__xludf.DUMMYFUNCTION("TRIM(REGEXREPLACE(E483, ""[0-9]+[a-f]?\."", """"))"),"")</f>
        <v/>
      </c>
      <c r="J483" s="152" t="s">
        <v>3401</v>
      </c>
      <c r="K483" s="152" t="s">
        <v>3403</v>
      </c>
      <c r="L483" s="152" t="s">
        <v>3404</v>
      </c>
      <c r="M483" s="152"/>
    </row>
    <row r="484" hidden="1">
      <c r="A484" s="231" t="s">
        <v>78</v>
      </c>
      <c r="B484" s="238" t="s">
        <v>3405</v>
      </c>
      <c r="C484" s="28"/>
      <c r="D484" s="28"/>
      <c r="E484" s="28"/>
      <c r="F484" s="161">
        <v>246.0</v>
      </c>
      <c r="G484" s="152" t="str">
        <f>IFERROR(__xludf.DUMMYFUNCTION("TRIM(REGEXREPLACE(C484, ""[0-9]+[a-f]?\."", """"))"),"")</f>
        <v/>
      </c>
      <c r="H484" s="152" t="str">
        <f>IFERROR(__xludf.DUMMYFUNCTION("TRIM(REGEXREPLACE(D484, ""[0-9]+[a-f]?\."", """"))"),"")</f>
        <v/>
      </c>
      <c r="I484" s="152" t="str">
        <f>IFERROR(__xludf.DUMMYFUNCTION("TRIM(REGEXREPLACE(E484, ""[0-9]+[a-f]?\."", """"))"),"")</f>
        <v/>
      </c>
      <c r="J484" s="152" t="s">
        <v>3409</v>
      </c>
      <c r="K484" s="152" t="s">
        <v>3410</v>
      </c>
      <c r="L484" s="152" t="s">
        <v>3411</v>
      </c>
      <c r="M484" s="152"/>
    </row>
    <row r="485" hidden="1">
      <c r="A485" s="231" t="s">
        <v>78</v>
      </c>
      <c r="B485" s="238" t="s">
        <v>3412</v>
      </c>
      <c r="C485" s="28"/>
      <c r="D485" s="28"/>
      <c r="E485" s="28"/>
      <c r="F485" s="161">
        <v>247.0</v>
      </c>
      <c r="G485" s="152" t="str">
        <f>IFERROR(__xludf.DUMMYFUNCTION("TRIM(REGEXREPLACE(C485, ""[0-9]+[a-f]?\."", """"))"),"")</f>
        <v/>
      </c>
      <c r="H485" s="152" t="str">
        <f>IFERROR(__xludf.DUMMYFUNCTION("TRIM(REGEXREPLACE(D485, ""[0-9]+[a-f]?\."", """"))"),"")</f>
        <v/>
      </c>
      <c r="I485" s="152" t="str">
        <f>IFERROR(__xludf.DUMMYFUNCTION("TRIM(REGEXREPLACE(E485, ""[0-9]+[a-f]?\."", """"))"),"")</f>
        <v/>
      </c>
      <c r="J485" s="152" t="s">
        <v>3413</v>
      </c>
      <c r="K485" s="152" t="s">
        <v>3415</v>
      </c>
      <c r="L485" s="152" t="s">
        <v>3416</v>
      </c>
    </row>
    <row r="486" hidden="1">
      <c r="A486" s="231" t="s">
        <v>78</v>
      </c>
      <c r="B486" s="251" t="s">
        <v>3419</v>
      </c>
      <c r="C486" s="28"/>
      <c r="D486" s="28"/>
      <c r="E486" s="28"/>
      <c r="F486" s="161">
        <v>248.0</v>
      </c>
      <c r="G486" s="152" t="str">
        <f>IFERROR(__xludf.DUMMYFUNCTION("TRIM(REGEXREPLACE(C486, ""[0-9]+[a-f]?\."", """"))"),"")</f>
        <v/>
      </c>
      <c r="H486" s="152" t="str">
        <f>IFERROR(__xludf.DUMMYFUNCTION("TRIM(REGEXREPLACE(D486, ""[0-9]+[a-f]?\."", """"))"),"")</f>
        <v/>
      </c>
      <c r="I486" s="152" t="str">
        <f>IFERROR(__xludf.DUMMYFUNCTION("TRIM(REGEXREPLACE(E486, ""[0-9]+[a-f]?\."", """"))"),"")</f>
        <v/>
      </c>
      <c r="J486" s="152" t="s">
        <v>3421</v>
      </c>
      <c r="K486" s="152" t="s">
        <v>3422</v>
      </c>
      <c r="L486" s="152" t="s">
        <v>3423</v>
      </c>
    </row>
    <row r="487" hidden="1">
      <c r="A487" s="231" t="s">
        <v>78</v>
      </c>
      <c r="B487" s="251" t="s">
        <v>3424</v>
      </c>
      <c r="C487" s="28"/>
      <c r="D487" s="28"/>
      <c r="E487" s="28"/>
      <c r="F487" s="161">
        <v>249.0</v>
      </c>
      <c r="G487" s="152" t="str">
        <f>IFERROR(__xludf.DUMMYFUNCTION("TRIM(REGEXREPLACE(C487, ""[0-9]+[a-f]?\."", """"))"),"")</f>
        <v/>
      </c>
      <c r="H487" s="152" t="str">
        <f>IFERROR(__xludf.DUMMYFUNCTION("TRIM(REGEXREPLACE(D487, ""[0-9]+[a-f]?\."", """"))"),"")</f>
        <v/>
      </c>
      <c r="I487" s="152" t="str">
        <f>IFERROR(__xludf.DUMMYFUNCTION("TRIM(REGEXREPLACE(E487, ""[0-9]+[a-f]?\."", """"))"),"")</f>
        <v/>
      </c>
      <c r="J487" s="152" t="s">
        <v>3425</v>
      </c>
      <c r="K487" s="152" t="s">
        <v>3426</v>
      </c>
      <c r="L487" s="152" t="s">
        <v>3427</v>
      </c>
    </row>
    <row r="488" hidden="1">
      <c r="A488" s="231" t="s">
        <v>78</v>
      </c>
      <c r="B488" s="238" t="s">
        <v>3429</v>
      </c>
      <c r="C488" s="28"/>
      <c r="D488" s="28"/>
      <c r="E488" s="28"/>
      <c r="F488" s="161">
        <v>276.0</v>
      </c>
      <c r="G488" s="152" t="str">
        <f>IFERROR(__xludf.DUMMYFUNCTION("TRIM(REGEXREPLACE(C488, ""[0-9]+[a-f]?\."", """"))"),"")</f>
        <v/>
      </c>
      <c r="H488" s="152" t="str">
        <f>IFERROR(__xludf.DUMMYFUNCTION("TRIM(REGEXREPLACE(D488, ""[0-9]+[a-f]?\."", """"))"),"")</f>
        <v/>
      </c>
      <c r="I488" s="152" t="str">
        <f>IFERROR(__xludf.DUMMYFUNCTION("TRIM(REGEXREPLACE(E488, ""[0-9]+[a-f]?\."", """"))"),"")</f>
        <v/>
      </c>
      <c r="J488" s="152" t="s">
        <v>3433</v>
      </c>
      <c r="K488" s="152" t="s">
        <v>3434</v>
      </c>
      <c r="L488" s="152" t="s">
        <v>3435</v>
      </c>
      <c r="M488" s="152"/>
    </row>
    <row r="489" hidden="1">
      <c r="A489" s="231" t="s">
        <v>78</v>
      </c>
      <c r="B489" s="238" t="s">
        <v>3436</v>
      </c>
      <c r="C489" s="28"/>
      <c r="D489" s="28"/>
      <c r="E489" s="28"/>
      <c r="F489" s="161">
        <v>277.0</v>
      </c>
      <c r="G489" s="152" t="str">
        <f>IFERROR(__xludf.DUMMYFUNCTION("TRIM(REGEXREPLACE(C489, ""[0-9]+[a-f]?\."", """"))"),"")</f>
        <v/>
      </c>
      <c r="H489" s="152" t="str">
        <f>IFERROR(__xludf.DUMMYFUNCTION("TRIM(REGEXREPLACE(D489, ""[0-9]+[a-f]?\."", """"))"),"")</f>
        <v/>
      </c>
      <c r="I489" s="152" t="str">
        <f>IFERROR(__xludf.DUMMYFUNCTION("TRIM(REGEXREPLACE(E489, ""[0-9]+[a-f]?\."", """"))"),"")</f>
        <v/>
      </c>
      <c r="J489" s="152" t="s">
        <v>3437</v>
      </c>
      <c r="K489" s="152" t="s">
        <v>3438</v>
      </c>
      <c r="L489" s="152" t="s">
        <v>3439</v>
      </c>
      <c r="M489" s="152"/>
    </row>
    <row r="490" hidden="1">
      <c r="A490" s="231" t="s">
        <v>78</v>
      </c>
      <c r="B490" s="238" t="s">
        <v>3440</v>
      </c>
      <c r="C490" s="28"/>
      <c r="D490" s="28"/>
      <c r="E490" s="28"/>
      <c r="F490" s="161">
        <v>250.0</v>
      </c>
      <c r="G490" s="152" t="str">
        <f>IFERROR(__xludf.DUMMYFUNCTION("TRIM(REGEXREPLACE(C490, ""[0-9]+[a-f]?\."", """"))"),"")</f>
        <v/>
      </c>
      <c r="H490" s="152" t="str">
        <f>IFERROR(__xludf.DUMMYFUNCTION("TRIM(REGEXREPLACE(D490, ""[0-9]+[a-f]?\."", """"))"),"")</f>
        <v/>
      </c>
      <c r="I490" s="152" t="str">
        <f>IFERROR(__xludf.DUMMYFUNCTION("TRIM(REGEXREPLACE(E490, ""[0-9]+[a-f]?\."", """"))"),"")</f>
        <v/>
      </c>
      <c r="J490" s="152" t="s">
        <v>3441</v>
      </c>
      <c r="K490" s="152" t="s">
        <v>3442</v>
      </c>
      <c r="L490" s="152" t="s">
        <v>3443</v>
      </c>
    </row>
    <row r="491" hidden="1">
      <c r="A491" s="231" t="s">
        <v>78</v>
      </c>
      <c r="B491" s="238" t="s">
        <v>3444</v>
      </c>
      <c r="C491" s="28"/>
      <c r="D491" s="28"/>
      <c r="E491" s="28"/>
      <c r="F491" s="161">
        <v>251.0</v>
      </c>
      <c r="G491" s="152" t="str">
        <f>IFERROR(__xludf.DUMMYFUNCTION("TRIM(REGEXREPLACE(C491, ""[0-9]+[a-f]?\."", """"))"),"")</f>
        <v/>
      </c>
      <c r="H491" s="152" t="str">
        <f>IFERROR(__xludf.DUMMYFUNCTION("TRIM(REGEXREPLACE(D491, ""[0-9]+[a-f]?\."", """"))"),"")</f>
        <v/>
      </c>
      <c r="I491" s="152" t="str">
        <f>IFERROR(__xludf.DUMMYFUNCTION("TRIM(REGEXREPLACE(E491, ""[0-9]+[a-f]?\."", """"))"),"")</f>
        <v/>
      </c>
      <c r="J491" s="152" t="s">
        <v>3446</v>
      </c>
      <c r="K491" s="152" t="s">
        <v>3447</v>
      </c>
      <c r="L491" s="152" t="s">
        <v>3448</v>
      </c>
    </row>
    <row r="492" hidden="1">
      <c r="A492" s="231" t="s">
        <v>78</v>
      </c>
      <c r="B492" s="238" t="s">
        <v>3449</v>
      </c>
      <c r="C492" s="28"/>
      <c r="D492" s="28"/>
      <c r="E492" s="28"/>
      <c r="F492" s="161">
        <v>279.0</v>
      </c>
      <c r="G492" s="152" t="str">
        <f>IFERROR(__xludf.DUMMYFUNCTION("TRIM(REGEXREPLACE(C492, ""[0-9]+[a-f]?\."", """"))"),"")</f>
        <v/>
      </c>
      <c r="H492" s="152" t="str">
        <f>IFERROR(__xludf.DUMMYFUNCTION("TRIM(REGEXREPLACE(D492, ""[0-9]+[a-f]?\."", """"))"),"")</f>
        <v/>
      </c>
      <c r="I492" s="152" t="str">
        <f>IFERROR(__xludf.DUMMYFUNCTION("TRIM(REGEXREPLACE(E492, ""[0-9]+[a-f]?\."", """"))"),"")</f>
        <v/>
      </c>
      <c r="J492" s="152" t="s">
        <v>3453</v>
      </c>
      <c r="K492" s="152" t="s">
        <v>3454</v>
      </c>
      <c r="L492" s="152" t="s">
        <v>3455</v>
      </c>
    </row>
    <row r="493" hidden="1">
      <c r="A493" s="231" t="s">
        <v>78</v>
      </c>
      <c r="B493" s="238" t="s">
        <v>3456</v>
      </c>
      <c r="C493" s="28"/>
      <c r="D493" s="28"/>
      <c r="E493" s="28"/>
      <c r="F493" s="161">
        <v>280.0</v>
      </c>
      <c r="G493" s="152" t="str">
        <f>IFERROR(__xludf.DUMMYFUNCTION("TRIM(REGEXREPLACE(C493, ""[0-9]+[a-f]?\."", """"))"),"")</f>
        <v/>
      </c>
      <c r="H493" s="152" t="str">
        <f>IFERROR(__xludf.DUMMYFUNCTION("TRIM(REGEXREPLACE(D493, ""[0-9]+[a-f]?\."", """"))"),"")</f>
        <v/>
      </c>
      <c r="I493" s="152" t="str">
        <f>IFERROR(__xludf.DUMMYFUNCTION("TRIM(REGEXREPLACE(E493, ""[0-9]+[a-f]?\."", """"))"),"")</f>
        <v/>
      </c>
      <c r="J493" s="152" t="s">
        <v>3457</v>
      </c>
      <c r="K493" s="152" t="s">
        <v>3458</v>
      </c>
      <c r="L493" s="152" t="s">
        <v>3459</v>
      </c>
      <c r="M493" s="152"/>
    </row>
    <row r="494" hidden="1">
      <c r="A494" s="231" t="s">
        <v>134</v>
      </c>
      <c r="B494" s="66" t="s">
        <v>3464</v>
      </c>
      <c r="C494" s="28"/>
      <c r="D494" s="28"/>
      <c r="E494" s="28"/>
      <c r="F494" s="161">
        <v>281.0</v>
      </c>
      <c r="G494" s="152" t="str">
        <f>IFERROR(__xludf.DUMMYFUNCTION("TRIM(REGEXREPLACE(C494, ""[0-9]+[a-f]?\."", """"))"),"")</f>
        <v/>
      </c>
      <c r="H494" s="152" t="str">
        <f>IFERROR(__xludf.DUMMYFUNCTION("TRIM(REGEXREPLACE(D494, ""[0-9]+[a-f]?\."", """"))"),"")</f>
        <v/>
      </c>
      <c r="I494" s="152" t="str">
        <f>IFERROR(__xludf.DUMMYFUNCTION("TRIM(REGEXREPLACE(E494, ""[0-9]+[a-f]?\."", """"))"),"")</f>
        <v/>
      </c>
      <c r="J494" s="152" t="s">
        <v>3465</v>
      </c>
      <c r="K494" s="152" t="s">
        <v>3466</v>
      </c>
      <c r="L494" s="152" t="s">
        <v>3467</v>
      </c>
    </row>
    <row r="495">
      <c r="A495" s="254" t="s">
        <v>41</v>
      </c>
      <c r="B495" s="255" t="s">
        <v>3468</v>
      </c>
      <c r="C495" s="28" t="s">
        <v>3469</v>
      </c>
      <c r="D495" s="28" t="s">
        <v>3470</v>
      </c>
      <c r="E495" s="28" t="s">
        <v>3472</v>
      </c>
      <c r="F495" s="161">
        <v>121.0</v>
      </c>
      <c r="G495" s="152" t="str">
        <f>IFERROR(__xludf.DUMMYFUNCTION("TRIM(REGEXREPLACE(C495, ""[0-9]+[a-f]?\."", """"))"),"EUMERATOR: We will now ask about the trips that the respondent made in ${period}. If the respondent returned to ${pm_beginning_location} at the end of this period, we will not ask about their return journey.")</f>
        <v>EUMERATOR: We will now ask about the trips that the respondent made in ${period}. If the respondent returned to ${pm_beginning_location} at the end of this period, we will not ask about their return journey.</v>
      </c>
      <c r="H495" s="152" t="str">
        <f>IFERROR(__xludf.DUMMYFUNCTION("TRIM(REGEXREPLACE(D495, ""[0-9]+[a-f]?\."", """"))"),"ENQUETEUR : Nous allons maintenant poser des questions sur les déplacements effectués par le répondant en ${period_french}. Si le répondant est revenu à ${pm_beginning_location} à la fin de cette période, nous ne poserons pas de questions sur son voyage r"&amp;"etour.")</f>
        <v>ENQUETEUR : Nous allons maintenant poser des questions sur les déplacements effectués par le répondant en ${period_french}. Si le répondant est revenu à ${pm_beginning_location} à la fin de cette période, nous ne poserons pas de questions sur son voyage retour.</v>
      </c>
      <c r="I495" s="152" t="str">
        <f>IFERROR(__xludf.DUMMYFUNCTION("TRIM(REGEXREPLACE(E495, ""[0-9]+[a-f]?\."", """"))"),"Ɗan bincike: Yanzu za mu yi tambaya game da tafiye-tafiyen da mai bada amsa ya yi a ${period_hausa}. Idan mai bada amsa ya koma ${pm_beginning_location} a ƙarshen wannan lokacin, ba za mu yi tambaya game da tafiya ta dawowa ba.")</f>
        <v>Ɗan bincike: Yanzu za mu yi tambaya game da tafiye-tafiyen da mai bada amsa ya yi a ${period_hausa}. Idan mai bada amsa ya koma ${pm_beginning_location} a ƙarshen wannan lokacin, ba za mu yi tambaya game da tafiya ta dawowa ba.</v>
      </c>
      <c r="J495" s="152" t="s">
        <v>3476</v>
      </c>
      <c r="K495" s="152" t="s">
        <v>3477</v>
      </c>
      <c r="L495" s="152" t="s">
        <v>3478</v>
      </c>
      <c r="M495" s="152"/>
    </row>
    <row r="496" hidden="1">
      <c r="A496" s="68"/>
      <c r="B496" s="169"/>
      <c r="C496" s="28"/>
      <c r="D496" s="28"/>
      <c r="E496" s="28"/>
      <c r="F496" s="161">
        <v>252.0</v>
      </c>
      <c r="G496" s="152" t="str">
        <f>IFERROR(__xludf.DUMMYFUNCTION("TRIM(REGEXREPLACE(C496, ""[0-9]+[a-f]?\."", """"))"),"")</f>
        <v/>
      </c>
      <c r="H496" s="152" t="str">
        <f>IFERROR(__xludf.DUMMYFUNCTION("TRIM(REGEXREPLACE(D496, ""[0-9]+[a-f]?\."", """"))"),"")</f>
        <v/>
      </c>
      <c r="I496" s="152" t="str">
        <f>IFERROR(__xludf.DUMMYFUNCTION("TRIM(REGEXREPLACE(E496, ""[0-9]+[a-f]?\."", """"))"),"")</f>
        <v/>
      </c>
      <c r="J496" s="152" t="s">
        <v>3479</v>
      </c>
      <c r="K496" s="152" t="s">
        <v>3480</v>
      </c>
      <c r="L496" s="152" t="s">
        <v>3481</v>
      </c>
      <c r="M496" s="152"/>
    </row>
    <row r="497" hidden="1">
      <c r="A497" s="90" t="s">
        <v>78</v>
      </c>
      <c r="B497" s="216" t="s">
        <v>3482</v>
      </c>
      <c r="C497" s="28"/>
      <c r="D497" s="28"/>
      <c r="E497" s="28"/>
      <c r="F497" s="161">
        <v>253.0</v>
      </c>
      <c r="G497" s="152" t="str">
        <f>IFERROR(__xludf.DUMMYFUNCTION("TRIM(REGEXREPLACE(C497, ""[0-9]+[a-f]?\."", """"))"),"")</f>
        <v/>
      </c>
      <c r="H497" s="152" t="str">
        <f>IFERROR(__xludf.DUMMYFUNCTION("TRIM(REGEXREPLACE(D497, ""[0-9]+[a-f]?\."", """"))"),"")</f>
        <v/>
      </c>
      <c r="I497" s="152" t="str">
        <f>IFERROR(__xludf.DUMMYFUNCTION("TRIM(REGEXREPLACE(E497, ""[0-9]+[a-f]?\."", """"))"),"")</f>
        <v/>
      </c>
      <c r="J497" s="152" t="s">
        <v>3484</v>
      </c>
      <c r="K497" s="152" t="s">
        <v>3485</v>
      </c>
      <c r="L497" s="152" t="s">
        <v>3486</v>
      </c>
      <c r="M497" s="152"/>
    </row>
    <row r="498" hidden="1">
      <c r="A498" s="90" t="s">
        <v>78</v>
      </c>
      <c r="B498" s="216" t="s">
        <v>3487</v>
      </c>
      <c r="C498" s="28"/>
      <c r="D498" s="28"/>
      <c r="E498" s="28"/>
      <c r="F498" s="161">
        <v>285.0</v>
      </c>
      <c r="G498" s="152" t="str">
        <f>IFERROR(__xludf.DUMMYFUNCTION("TRIM(REGEXREPLACE(C498, ""[0-9]+[a-f]?\."", """"))"),"")</f>
        <v/>
      </c>
      <c r="H498" s="152" t="str">
        <f>IFERROR(__xludf.DUMMYFUNCTION("TRIM(REGEXREPLACE(D498, ""[0-9]+[a-f]?\."", """"))"),"")</f>
        <v/>
      </c>
      <c r="I498" s="152" t="str">
        <f>IFERROR(__xludf.DUMMYFUNCTION("TRIM(REGEXREPLACE(E498, ""[0-9]+[a-f]?\."", """"))"),"")</f>
        <v/>
      </c>
      <c r="J498" s="152" t="s">
        <v>3488</v>
      </c>
      <c r="K498" s="152" t="s">
        <v>3489</v>
      </c>
      <c r="L498" s="152" t="s">
        <v>3491</v>
      </c>
      <c r="M498" s="152"/>
    </row>
    <row r="499" hidden="1">
      <c r="A499" s="90" t="s">
        <v>78</v>
      </c>
      <c r="B499" s="216" t="s">
        <v>3493</v>
      </c>
      <c r="C499" s="28"/>
      <c r="D499" s="28"/>
      <c r="E499" s="28"/>
      <c r="F499" s="161">
        <v>286.0</v>
      </c>
      <c r="G499" s="152" t="str">
        <f>IFERROR(__xludf.DUMMYFUNCTION("TRIM(REGEXREPLACE(C499, ""[0-9]+[a-f]?\."", """"))"),"")</f>
        <v/>
      </c>
      <c r="H499" s="152" t="str">
        <f>IFERROR(__xludf.DUMMYFUNCTION("TRIM(REGEXREPLACE(D499, ""[0-9]+[a-f]?\."", """"))"),"")</f>
        <v/>
      </c>
      <c r="I499" s="152" t="str">
        <f>IFERROR(__xludf.DUMMYFUNCTION("TRIM(REGEXREPLACE(E499, ""[0-9]+[a-f]?\."", """"))"),"")</f>
        <v/>
      </c>
      <c r="J499" s="152" t="s">
        <v>3496</v>
      </c>
      <c r="K499" s="152" t="s">
        <v>3497</v>
      </c>
      <c r="L499" s="152" t="s">
        <v>3498</v>
      </c>
      <c r="M499" s="152"/>
    </row>
    <row r="500" hidden="1">
      <c r="A500" s="65" t="s">
        <v>78</v>
      </c>
      <c r="B500" s="218" t="s">
        <v>3499</v>
      </c>
      <c r="C500" s="28"/>
      <c r="D500" s="28"/>
      <c r="E500" s="28"/>
      <c r="F500" s="161">
        <v>287.0</v>
      </c>
      <c r="G500" s="152" t="str">
        <f>IFERROR(__xludf.DUMMYFUNCTION("TRIM(REGEXREPLACE(C500, ""[0-9]+[a-f]?\."", """"))"),"")</f>
        <v/>
      </c>
      <c r="H500" s="152" t="str">
        <f>IFERROR(__xludf.DUMMYFUNCTION("TRIM(REGEXREPLACE(D500, ""[0-9]+[a-f]?\."", """"))"),"")</f>
        <v/>
      </c>
      <c r="I500" s="152" t="str">
        <f>IFERROR(__xludf.DUMMYFUNCTION("TRIM(REGEXREPLACE(E500, ""[0-9]+[a-f]?\."", """"))"),"")</f>
        <v/>
      </c>
      <c r="J500" s="152" t="s">
        <v>3501</v>
      </c>
      <c r="K500" s="152" t="s">
        <v>3502</v>
      </c>
      <c r="L500" s="152" t="s">
        <v>3503</v>
      </c>
      <c r="M500" s="152"/>
    </row>
    <row r="501">
      <c r="A501" s="234" t="s">
        <v>463</v>
      </c>
      <c r="B501" s="256" t="s">
        <v>3506</v>
      </c>
      <c r="C501" s="28" t="s">
        <v>3508</v>
      </c>
      <c r="D501" s="28" t="s">
        <v>3509</v>
      </c>
      <c r="E501" s="28" t="s">
        <v>3510</v>
      </c>
      <c r="F501" s="161">
        <v>122.0</v>
      </c>
      <c r="G501" s="152" t="str">
        <f>IFERROR(__xludf.DUMMYFUNCTION("TRIM(REGEXREPLACE(C501, ""[0-9]+[a-f]?\."", """"))"),"Based on your answers it sounds like you started in ${pm_new_location7} and traveled to ${pm_new_location6} since ${period}, is that correct?")</f>
        <v>Based on your answers it sounds like you started in ${pm_new_location7} and traveled to ${pm_new_location6} since ${period}, is that correct?</v>
      </c>
      <c r="H501" s="152" t="str">
        <f>IFERROR(__xludf.DUMMYFUNCTION("TRIM(REGEXREPLACE(D501, ""[0-9]+[a-f]?\."", """"))"),"D'après vos réponses, il semble que vous ayez commencé à ${pm_new_location7} et que vous vous soyez rendu à ${pm_new_location6} depuis ${period_french}, n'est-ce pas ?")</f>
        <v>D'après vos réponses, il semble que vous ayez commencé à ${pm_new_location7} et que vous vous soyez rendu à ${pm_new_location6} depuis ${period_french}, n'est-ce pas ?</v>
      </c>
      <c r="I501" s="152" t="str">
        <f>IFERROR(__xludf.DUMMYFUNCTION("TRIM(REGEXREPLACE(E501, ""[0-9]+[a-f]?\."", """"))"),"Dangance da amsoshinku ina jin kamar kun fara a ${pm_new_location7} kuma kuka yi tafiya zuwa ${pm_new_location6} lokacin ${period_hausa}, daidai ne?")</f>
        <v>Dangance da amsoshinku ina jin kamar kun fara a ${pm_new_location7} kuma kuka yi tafiya zuwa ${pm_new_location6} lokacin ${period_hausa}, daidai ne?</v>
      </c>
      <c r="J501" s="152" t="s">
        <v>3511</v>
      </c>
      <c r="K501" s="152" t="s">
        <v>3512</v>
      </c>
      <c r="L501" s="152" t="s">
        <v>3513</v>
      </c>
      <c r="M501" s="152"/>
    </row>
    <row r="502">
      <c r="A502" s="234" t="s">
        <v>463</v>
      </c>
      <c r="B502" s="256" t="s">
        <v>3514</v>
      </c>
      <c r="C502" s="28" t="s">
        <v>3515</v>
      </c>
      <c r="D502" s="28" t="s">
        <v>3517</v>
      </c>
      <c r="E502" s="28" t="s">
        <v>3518</v>
      </c>
      <c r="F502" s="161">
        <v>123.0</v>
      </c>
      <c r="G502" s="152" t="str">
        <f>IFERROR(__xludf.DUMMYFUNCTION("TRIM(REGEXREPLACE(C502, ""[0-9]+[a-f]?\."", """"))"),"Based on your answers it sounds like you started in ${pm_new_location6} and traveled to ${pm_new_location5} since ${period}, is that correct?")</f>
        <v>Based on your answers it sounds like you started in ${pm_new_location6} and traveled to ${pm_new_location5} since ${period}, is that correct?</v>
      </c>
      <c r="H502" s="152" t="str">
        <f>IFERROR(__xludf.DUMMYFUNCTION("TRIM(REGEXREPLACE(D502, ""[0-9]+[a-f]?\."", """"))"),"D'après vos réponses, il semble que vous ayez commencé à ${pm_new_location6} et que vous vous soyez rendu à ${pm_new_location5} depuis ${period_french}, n'est-ce pas ?")</f>
        <v>D'après vos réponses, il semble que vous ayez commencé à ${pm_new_location6} et que vous vous soyez rendu à ${pm_new_location5} depuis ${period_french}, n'est-ce pas ?</v>
      </c>
      <c r="I502" s="152" t="str">
        <f>IFERROR(__xludf.DUMMYFUNCTION("TRIM(REGEXREPLACE(E502, ""[0-9]+[a-f]?\."", """"))"),"Dangance da amsoshinku ina jin kamar kun fara a ${pm_new_location6} kuma kuka yi tafiya zuwa ${pm_new_location5} lokacin ${period_hausa}, daidai ne?")</f>
        <v>Dangance da amsoshinku ina jin kamar kun fara a ${pm_new_location6} kuma kuka yi tafiya zuwa ${pm_new_location5} lokacin ${period_hausa}, daidai ne?</v>
      </c>
      <c r="J502" s="152" t="s">
        <v>3519</v>
      </c>
      <c r="K502" s="152" t="s">
        <v>3521</v>
      </c>
      <c r="L502" s="152" t="s">
        <v>3522</v>
      </c>
    </row>
    <row r="503">
      <c r="A503" s="234" t="s">
        <v>463</v>
      </c>
      <c r="B503" s="240" t="s">
        <v>3525</v>
      </c>
      <c r="C503" s="28" t="s">
        <v>3526</v>
      </c>
      <c r="D503" s="28" t="s">
        <v>3527</v>
      </c>
      <c r="E503" s="28" t="s">
        <v>3528</v>
      </c>
      <c r="F503" s="161">
        <v>124.0</v>
      </c>
      <c r="G503" s="152" t="str">
        <f>IFERROR(__xludf.DUMMYFUNCTION("TRIM(REGEXREPLACE(C503, ""[0-9]+[a-f]?\."", """"))"),"Based on your answers it sounds like you started in ${pm_new_location5} and traveled to ${pm_new_location4} since ${period}, is that correct?")</f>
        <v>Based on your answers it sounds like you started in ${pm_new_location5} and traveled to ${pm_new_location4} since ${period}, is that correct?</v>
      </c>
      <c r="H503" s="152" t="str">
        <f>IFERROR(__xludf.DUMMYFUNCTION("TRIM(REGEXREPLACE(D503, ""[0-9]+[a-f]?\."", """"))"),"D'après vos réponses, il semble que vous ayez commencé à ${pm_new_location5} et que vous vous soyez rendu à ${pm_new_location4} depuis ${period_french}, n'est-ce pas ?")</f>
        <v>D'après vos réponses, il semble que vous ayez commencé à ${pm_new_location5} et que vous vous soyez rendu à ${pm_new_location4} depuis ${period_french}, n'est-ce pas ?</v>
      </c>
      <c r="I503" s="152" t="str">
        <f>IFERROR(__xludf.DUMMYFUNCTION("TRIM(REGEXREPLACE(E503, ""[0-9]+[a-f]?\."", """"))"),"Dangance da amsoshinku ina jin kamar kun fara a ${pm_new_location5} kuma kuka yi tafiya zuwa ${pm_new_location4} lokacin ${period_hausa}, daidai ne?")</f>
        <v>Dangance da amsoshinku ina jin kamar kun fara a ${pm_new_location5} kuma kuka yi tafiya zuwa ${pm_new_location4} lokacin ${period_hausa}, daidai ne?</v>
      </c>
      <c r="J503" s="152" t="s">
        <v>3529</v>
      </c>
      <c r="K503" s="152" t="s">
        <v>3530</v>
      </c>
      <c r="L503" s="152" t="s">
        <v>3531</v>
      </c>
    </row>
    <row r="504">
      <c r="A504" s="234" t="s">
        <v>463</v>
      </c>
      <c r="B504" s="240" t="s">
        <v>3532</v>
      </c>
      <c r="C504" s="28" t="s">
        <v>3533</v>
      </c>
      <c r="D504" s="28" t="s">
        <v>3534</v>
      </c>
      <c r="E504" s="28" t="s">
        <v>3535</v>
      </c>
      <c r="F504" s="161">
        <v>125.0</v>
      </c>
      <c r="G504" s="152" t="str">
        <f>IFERROR(__xludf.DUMMYFUNCTION("TRIM(REGEXREPLACE(C504, ""[0-9]+[a-f]?\."", """"))"),"Based on your answers it sounds like you started in ${pm_new_location4} and traveled to ${pm_new_location3} since ${period}, is that correct?")</f>
        <v>Based on your answers it sounds like you started in ${pm_new_location4} and traveled to ${pm_new_location3} since ${period}, is that correct?</v>
      </c>
      <c r="H504" s="152" t="str">
        <f>IFERROR(__xludf.DUMMYFUNCTION("TRIM(REGEXREPLACE(D504, ""[0-9]+[a-f]?\."", """"))"),"D'après vos réponses, il semble que vous ayez commencé à ${pm_new_location4} et que vous vous soyez rendu à ${pm_new_location3} depuis ${period_french}, n'est-ce pas ?")</f>
        <v>D'après vos réponses, il semble que vous ayez commencé à ${pm_new_location4} et que vous vous soyez rendu à ${pm_new_location3} depuis ${period_french}, n'est-ce pas ?</v>
      </c>
      <c r="I504" s="152" t="str">
        <f>IFERROR(__xludf.DUMMYFUNCTION("TRIM(REGEXREPLACE(E504, ""[0-9]+[a-f]?\."", """"))"),"Dangance da amsoshinku ina jin kamar kun fara a ${pm_new_location4} kuma kuka yi tafiya zuwa ${pm_new_location3} lokacin ${period_hausa}, daidai ne?")</f>
        <v>Dangance da amsoshinku ina jin kamar kun fara a ${pm_new_location4} kuma kuka yi tafiya zuwa ${pm_new_location3} lokacin ${period_hausa}, daidai ne?</v>
      </c>
      <c r="J504" s="152" t="s">
        <v>3537</v>
      </c>
      <c r="K504" s="152" t="s">
        <v>3538</v>
      </c>
      <c r="L504" s="152" t="s">
        <v>3539</v>
      </c>
    </row>
    <row r="505">
      <c r="A505" s="234" t="s">
        <v>463</v>
      </c>
      <c r="B505" s="240" t="s">
        <v>3540</v>
      </c>
      <c r="C505" s="28" t="s">
        <v>3541</v>
      </c>
      <c r="D505" s="28" t="s">
        <v>3542</v>
      </c>
      <c r="E505" s="28" t="s">
        <v>3543</v>
      </c>
      <c r="F505" s="161">
        <v>126.0</v>
      </c>
      <c r="G505" s="152" t="str">
        <f>IFERROR(__xludf.DUMMYFUNCTION("TRIM(REGEXREPLACE(C505, ""[0-9]+[a-f]?\."", """"))"),"Based on your answers it sounds like you started in ${pm_new_location3} and traveled to ${pm_new_location2} since ${period}, is that correct?")</f>
        <v>Based on your answers it sounds like you started in ${pm_new_location3} and traveled to ${pm_new_location2} since ${period}, is that correct?</v>
      </c>
      <c r="H505" s="152" t="str">
        <f>IFERROR(__xludf.DUMMYFUNCTION("TRIM(REGEXREPLACE(D505, ""[0-9]+[a-f]?\."", """"))"),"D'après vos réponses, il semble que vous ayez commencé à ${pm_new_location3} et que vous vous soyez rendu à ${pm_new_location2} depuis ${period_french}, n'est-ce pas ?")</f>
        <v>D'après vos réponses, il semble que vous ayez commencé à ${pm_new_location3} et que vous vous soyez rendu à ${pm_new_location2} depuis ${period_french}, n'est-ce pas ?</v>
      </c>
      <c r="I505" s="152" t="str">
        <f>IFERROR(__xludf.DUMMYFUNCTION("TRIM(REGEXREPLACE(E505, ""[0-9]+[a-f]?\."", """"))"),"Dangance da amsoshinku ina jin kamar kun fara a ${pm_new_location3} kuma kuka yi tafiya zuwa ${pm_new_location2} lokacin ${period_hausa}, daidai ne?")</f>
        <v>Dangance da amsoshinku ina jin kamar kun fara a ${pm_new_location3} kuma kuka yi tafiya zuwa ${pm_new_location2} lokacin ${period_hausa}, daidai ne?</v>
      </c>
      <c r="J505" s="152" t="s">
        <v>3544</v>
      </c>
      <c r="K505" s="152" t="s">
        <v>3545</v>
      </c>
      <c r="L505" s="152" t="s">
        <v>3546</v>
      </c>
    </row>
    <row r="506">
      <c r="A506" s="234" t="s">
        <v>463</v>
      </c>
      <c r="B506" s="240" t="s">
        <v>3547</v>
      </c>
      <c r="C506" s="28" t="s">
        <v>3548</v>
      </c>
      <c r="D506" s="28" t="s">
        <v>3549</v>
      </c>
      <c r="E506" s="28" t="s">
        <v>3550</v>
      </c>
      <c r="F506" s="161">
        <v>127.0</v>
      </c>
      <c r="G506" s="152" t="str">
        <f>IFERROR(__xludf.DUMMYFUNCTION("TRIM(REGEXREPLACE(C506, ""[0-9]+[a-f]?\."", """"))"),"Based on your answers it sounds like you started in ${pm_new_location2} and traveled to ${pm_new_location1} since ${period}, is that correct?")</f>
        <v>Based on your answers it sounds like you started in ${pm_new_location2} and traveled to ${pm_new_location1} since ${period}, is that correct?</v>
      </c>
      <c r="H506" s="152" t="str">
        <f>IFERROR(__xludf.DUMMYFUNCTION("TRIM(REGEXREPLACE(D506, ""[0-9]+[a-f]?\."", """"))"),"D'après vos réponses, il semble que vous ayez commencé à ${pm_new_location2} et que vous vous soyez rendu à ${pm_new_location1} depuis ${period_french}, n'est-ce pas ?")</f>
        <v>D'après vos réponses, il semble que vous ayez commencé à ${pm_new_location2} et que vous vous soyez rendu à ${pm_new_location1} depuis ${period_french}, n'est-ce pas ?</v>
      </c>
      <c r="I506" s="152" t="str">
        <f>IFERROR(__xludf.DUMMYFUNCTION("TRIM(REGEXREPLACE(E506, ""[0-9]+[a-f]?\."", """"))"),"Dangance da amsoshinku ina jin kamar kun fara a ${pm_new_location2} kuma kuka yi tafiya zuwa ${pm_new_location1} lokacin ${period_hausa}, daidai ne?")</f>
        <v>Dangance da amsoshinku ina jin kamar kun fara a ${pm_new_location2} kuma kuka yi tafiya zuwa ${pm_new_location1} lokacin ${period_hausa}, daidai ne?</v>
      </c>
      <c r="J506" s="152" t="s">
        <v>3551</v>
      </c>
      <c r="K506" s="152" t="s">
        <v>3553</v>
      </c>
      <c r="L506" s="152" t="s">
        <v>3554</v>
      </c>
      <c r="M506" s="152"/>
    </row>
    <row r="507" hidden="1">
      <c r="A507" s="246" t="s">
        <v>698</v>
      </c>
      <c r="B507" s="247" t="s">
        <v>3558</v>
      </c>
      <c r="C507" s="28" t="s">
        <v>3560</v>
      </c>
      <c r="D507" s="28"/>
      <c r="E507" s="28" t="s">
        <v>3561</v>
      </c>
      <c r="F507" s="161">
        <v>260.0</v>
      </c>
      <c r="G507" s="152" t="str">
        <f>IFERROR(__xludf.DUMMYFUNCTION("TRIM(REGEXREPLACE(C507, ""[0-9]+[a-f]?\."", """"))"),"Transits")</f>
        <v>Transits</v>
      </c>
      <c r="H507" s="152" t="str">
        <f>IFERROR(__xludf.DUMMYFUNCTION("TRIM(REGEXREPLACE(D507, ""[0-9]+[a-f]?\."", """"))"),"")</f>
        <v/>
      </c>
      <c r="I507" s="152" t="str">
        <f>IFERROR(__xludf.DUMMYFUNCTION("TRIM(REGEXREPLACE(E507, ""[0-9]+[a-f]?\."", """"))"),"Hanya")</f>
        <v>Hanya</v>
      </c>
      <c r="J507" s="152" t="s">
        <v>3562</v>
      </c>
      <c r="K507" s="152" t="s">
        <v>3563</v>
      </c>
      <c r="L507" s="152" t="s">
        <v>3564</v>
      </c>
      <c r="M507" s="152"/>
    </row>
    <row r="508" hidden="1">
      <c r="A508" s="231" t="s">
        <v>78</v>
      </c>
      <c r="B508" s="238" t="s">
        <v>3565</v>
      </c>
      <c r="C508" s="28"/>
      <c r="D508" s="28"/>
      <c r="E508" s="28"/>
      <c r="F508" s="161">
        <v>261.0</v>
      </c>
      <c r="G508" s="152" t="str">
        <f>IFERROR(__xludf.DUMMYFUNCTION("TRIM(REGEXREPLACE(C508, ""[0-9]+[a-f]?\."", """"))"),"")</f>
        <v/>
      </c>
      <c r="H508" s="152" t="str">
        <f>IFERROR(__xludf.DUMMYFUNCTION("TRIM(REGEXREPLACE(D508, ""[0-9]+[a-f]?\."", """"))"),"")</f>
        <v/>
      </c>
      <c r="I508" s="152" t="str">
        <f>IFERROR(__xludf.DUMMYFUNCTION("TRIM(REGEXREPLACE(E508, ""[0-9]+[a-f]?\."", """"))"),"")</f>
        <v/>
      </c>
      <c r="J508" s="152" t="s">
        <v>3566</v>
      </c>
      <c r="K508" s="152" t="s">
        <v>3567</v>
      </c>
      <c r="L508" s="152" t="s">
        <v>3568</v>
      </c>
      <c r="M508" s="152"/>
    </row>
    <row r="509" hidden="1">
      <c r="A509" s="231" t="s">
        <v>78</v>
      </c>
      <c r="B509" s="238" t="s">
        <v>3571</v>
      </c>
      <c r="C509" s="28"/>
      <c r="D509" s="28"/>
      <c r="E509" s="28"/>
      <c r="F509" s="161">
        <v>295.0</v>
      </c>
      <c r="G509" s="152" t="str">
        <f>IFERROR(__xludf.DUMMYFUNCTION("TRIM(REGEXREPLACE(C509, ""[0-9]+[a-f]?\."", """"))"),"")</f>
        <v/>
      </c>
      <c r="H509" s="152" t="str">
        <f>IFERROR(__xludf.DUMMYFUNCTION("TRIM(REGEXREPLACE(D509, ""[0-9]+[a-f]?\."", """"))"),"")</f>
        <v/>
      </c>
      <c r="I509" s="152" t="str">
        <f>IFERROR(__xludf.DUMMYFUNCTION("TRIM(REGEXREPLACE(E509, ""[0-9]+[a-f]?\."", """"))"),"")</f>
        <v/>
      </c>
      <c r="J509" s="152" t="s">
        <v>3574</v>
      </c>
      <c r="K509" s="152" t="s">
        <v>3575</v>
      </c>
      <c r="L509" s="152" t="s">
        <v>3576</v>
      </c>
      <c r="M509" s="152"/>
    </row>
    <row r="510" hidden="1">
      <c r="A510" s="231" t="s">
        <v>78</v>
      </c>
      <c r="B510" s="238" t="s">
        <v>3577</v>
      </c>
      <c r="C510" s="28"/>
      <c r="D510" s="28"/>
      <c r="E510" s="28"/>
      <c r="F510" s="161">
        <v>296.0</v>
      </c>
      <c r="G510" s="152" t="str">
        <f>IFERROR(__xludf.DUMMYFUNCTION("TRIM(REGEXREPLACE(C510, ""[0-9]+[a-f]?\."", """"))"),"")</f>
        <v/>
      </c>
      <c r="H510" s="152" t="str">
        <f>IFERROR(__xludf.DUMMYFUNCTION("TRIM(REGEXREPLACE(D510, ""[0-9]+[a-f]?\."", """"))"),"")</f>
        <v/>
      </c>
      <c r="I510" s="152" t="str">
        <f>IFERROR(__xludf.DUMMYFUNCTION("TRIM(REGEXREPLACE(E510, ""[0-9]+[a-f]?\."", """"))"),"")</f>
        <v/>
      </c>
      <c r="J510" s="152" t="s">
        <v>3578</v>
      </c>
      <c r="K510" s="152" t="s">
        <v>3579</v>
      </c>
      <c r="L510" s="152" t="s">
        <v>3580</v>
      </c>
      <c r="M510" s="152"/>
    </row>
    <row r="511" hidden="1">
      <c r="A511" s="231" t="s">
        <v>78</v>
      </c>
      <c r="B511" s="238" t="s">
        <v>3581</v>
      </c>
      <c r="C511" s="28"/>
      <c r="D511" s="28"/>
      <c r="E511" s="28"/>
      <c r="F511" s="161">
        <v>262.0</v>
      </c>
      <c r="G511" s="152" t="str">
        <f>IFERROR(__xludf.DUMMYFUNCTION("TRIM(REGEXREPLACE(C511, ""[0-9]+[a-f]?\."", """"))"),"")</f>
        <v/>
      </c>
      <c r="H511" s="152" t="str">
        <f>IFERROR(__xludf.DUMMYFUNCTION("TRIM(REGEXREPLACE(D511, ""[0-9]+[a-f]?\."", """"))"),"")</f>
        <v/>
      </c>
      <c r="I511" s="152" t="str">
        <f>IFERROR(__xludf.DUMMYFUNCTION("TRIM(REGEXREPLACE(E511, ""[0-9]+[a-f]?\."", """"))"),"")</f>
        <v/>
      </c>
      <c r="J511" s="152" t="s">
        <v>3586</v>
      </c>
      <c r="K511" s="152" t="s">
        <v>3587</v>
      </c>
      <c r="L511" s="152" t="s">
        <v>3588</v>
      </c>
      <c r="M511" s="152"/>
    </row>
    <row r="512" hidden="1">
      <c r="A512" s="257" t="s">
        <v>78</v>
      </c>
      <c r="B512" s="238" t="s">
        <v>3589</v>
      </c>
      <c r="C512" s="28"/>
      <c r="D512" s="28"/>
      <c r="E512" s="28"/>
      <c r="F512" s="161">
        <v>263.0</v>
      </c>
      <c r="G512" s="152" t="str">
        <f>IFERROR(__xludf.DUMMYFUNCTION("TRIM(REGEXREPLACE(C512, ""[0-9]+[a-f]?\."", """"))"),"")</f>
        <v/>
      </c>
      <c r="H512" s="152" t="str">
        <f>IFERROR(__xludf.DUMMYFUNCTION("TRIM(REGEXREPLACE(D512, ""[0-9]+[a-f]?\."", """"))"),"")</f>
        <v/>
      </c>
      <c r="I512" s="152" t="str">
        <f>IFERROR(__xludf.DUMMYFUNCTION("TRIM(REGEXREPLACE(E512, ""[0-9]+[a-f]?\."", """"))"),"")</f>
        <v/>
      </c>
      <c r="J512" s="152" t="s">
        <v>3590</v>
      </c>
      <c r="K512" s="152" t="s">
        <v>3591</v>
      </c>
      <c r="L512" s="152" t="s">
        <v>3592</v>
      </c>
      <c r="M512" s="152"/>
    </row>
    <row r="513">
      <c r="A513" s="166" t="s">
        <v>41</v>
      </c>
      <c r="B513" s="167" t="s">
        <v>3595</v>
      </c>
      <c r="C513" s="28" t="s">
        <v>3596</v>
      </c>
      <c r="D513" s="28" t="s">
        <v>3598</v>
      </c>
      <c r="E513" s="28" t="s">
        <v>3600</v>
      </c>
      <c r="F513" s="161">
        <v>128.0</v>
      </c>
      <c r="G513" s="152" t="str">
        <f>IFERROR(__xludf.DUMMYFUNCTION("TRIM(REGEXREPLACE(C513, ""[0-9]+[a-f]?\."", """"))"),"We would like to learn more about your experience traveling from ${pm_from_location} to ${pm_to_location}.")</f>
        <v>We would like to learn more about your experience traveling from ${pm_from_location} to ${pm_to_location}.</v>
      </c>
      <c r="H513" s="152" t="str">
        <f>IFERROR(__xludf.DUMMYFUNCTION("TRIM(REGEXREPLACE(D513, ""[0-9]+[a-f]?\."", """"))"),"Nous aimerions en savoir plus sur votre expérience de voyage entre ${pm_from_location} et ${pm_to_location}.")</f>
        <v>Nous aimerions en savoir plus sur votre expérience de voyage entre ${pm_from_location} et ${pm_to_location}.</v>
      </c>
      <c r="I513" s="152" t="str">
        <f>IFERROR(__xludf.DUMMYFUNCTION("TRIM(REGEXREPLACE(E513, ""[0-9]+[a-f]?\."", """"))"),"Muna son mu ƙara sanin abubuwan da suka faru a kan tafiyarku daga ${pm_from_location} zuwa ${pm_to_location}.")</f>
        <v>Muna son mu ƙara sanin abubuwan da suka faru a kan tafiyarku daga ${pm_from_location} zuwa ${pm_to_location}.</v>
      </c>
      <c r="J513" s="152" t="s">
        <v>3601</v>
      </c>
      <c r="K513" s="152" t="s">
        <v>3602</v>
      </c>
      <c r="L513" s="152" t="s">
        <v>3603</v>
      </c>
      <c r="M513" s="152"/>
    </row>
    <row r="514">
      <c r="A514" s="68" t="s">
        <v>3604</v>
      </c>
      <c r="B514" s="169" t="s">
        <v>3605</v>
      </c>
      <c r="C514" s="28" t="s">
        <v>3606</v>
      </c>
      <c r="D514" s="28" t="s">
        <v>3607</v>
      </c>
      <c r="E514" s="28" t="s">
        <v>3608</v>
      </c>
      <c r="F514" s="161">
        <v>129.0</v>
      </c>
      <c r="G514" s="152" t="str">
        <f>IFERROR(__xludf.DUMMYFUNCTION("TRIM(REGEXREPLACE(C514, ""[0-9]+[a-f]?\."", """"))"),"How did you travel between ${pm_from_location} and ${pm_to_location}?")</f>
        <v>How did you travel between ${pm_from_location} and ${pm_to_location}?</v>
      </c>
      <c r="H514" s="152" t="str">
        <f>IFERROR(__xludf.DUMMYFUNCTION("TRIM(REGEXREPLACE(D514, ""[0-9]+[a-f]?\."", """"))"),"Comment vous êtes-vous déplacé entre ${pm_from_location} et ${pm_to_location} ?")</f>
        <v>Comment vous êtes-vous déplacé entre ${pm_from_location} et ${pm_to_location} ?</v>
      </c>
      <c r="I514" s="152" t="str">
        <f>IFERROR(__xludf.DUMMYFUNCTION("TRIM(REGEXREPLACE(E514, ""[0-9]+[a-f]?\."", """"))"),"Yaya kuka yi tafiyar (ko bisa abun hawa) tsakanin ${pm_from_location} da ${pm_to_location}?")</f>
        <v>Yaya kuka yi tafiyar (ko bisa abun hawa) tsakanin ${pm_from_location} da ${pm_to_location}?</v>
      </c>
      <c r="J514" s="152" t="s">
        <v>3609</v>
      </c>
      <c r="K514" s="152" t="s">
        <v>3610</v>
      </c>
      <c r="L514" s="152" t="s">
        <v>3611</v>
      </c>
    </row>
    <row r="515">
      <c r="A515" s="179" t="s">
        <v>246</v>
      </c>
      <c r="B515" s="180" t="s">
        <v>3612</v>
      </c>
      <c r="C515" s="28" t="s">
        <v>3613</v>
      </c>
      <c r="D515" s="28" t="s">
        <v>3614</v>
      </c>
      <c r="E515" s="28" t="s">
        <v>3615</v>
      </c>
      <c r="F515" s="161">
        <v>130.0</v>
      </c>
      <c r="G515" s="152" t="str">
        <f>IFERROR(__xludf.DUMMYFUNCTION("TRIM(REGEXREPLACE(C515, ""[0-9]+[a-f]?\."", """"))"),"Other, specify:")</f>
        <v>Other, specify:</v>
      </c>
      <c r="H515" s="152" t="str">
        <f>IFERROR(__xludf.DUMMYFUNCTION("TRIM(REGEXREPLACE(D515, ""[0-9]+[a-f]?\."", """"))"),"Autre précisez:")</f>
        <v>Autre précisez:</v>
      </c>
      <c r="I515" s="152" t="str">
        <f>IFERROR(__xludf.DUMMYFUNCTION("TRIM(REGEXREPLACE(E515, ""[0-9]+[a-f]?\."", """"))"),"Wani daban, baiyana:")</f>
        <v>Wani daban, baiyana:</v>
      </c>
      <c r="J515" s="152" t="s">
        <v>3617</v>
      </c>
      <c r="K515" s="152" t="s">
        <v>3618</v>
      </c>
      <c r="L515" s="152" t="s">
        <v>3619</v>
      </c>
    </row>
    <row r="516">
      <c r="A516" s="170" t="s">
        <v>263</v>
      </c>
      <c r="B516" s="171" t="s">
        <v>3620</v>
      </c>
      <c r="C516" s="28" t="s">
        <v>3621</v>
      </c>
      <c r="D516" s="28" t="s">
        <v>3622</v>
      </c>
      <c r="E516" s="28" t="s">
        <v>3623</v>
      </c>
      <c r="F516" s="161">
        <v>131.0</v>
      </c>
      <c r="G516" s="152" t="str">
        <f>IFERROR(__xludf.DUMMYFUNCTION("TRIM(REGEXREPLACE(C516, ""[0-9]+[a-f]?\."", """"))"),"How many people traveled with you (in the same travel group) from ${pm_from_location} to ${pm_to_location}, if any?")</f>
        <v>How many people traveled with you (in the same travel group) from ${pm_from_location} to ${pm_to_location}, if any?</v>
      </c>
      <c r="H516" s="152" t="str">
        <f>IFERROR(__xludf.DUMMYFUNCTION("TRIM(REGEXREPLACE(D516, ""[0-9]+[a-f]?\."", """"))"),"Combien de personnes ont voyagé avec vous (dans le même groupe de voyage) du ${pm_from_location} à ${pm_to_location}, si c'est le cas ?")</f>
        <v>Combien de personnes ont voyagé avec vous (dans le même groupe de voyage) du ${pm_from_location} à ${pm_to_location}, si c'est le cas ?</v>
      </c>
      <c r="I516" s="152" t="str">
        <f>IFERROR(__xludf.DUMMYFUNCTION("TRIM(REGEXREPLACE(E516, ""[0-9]+[a-f]?\."", """"))"),"Mutane nawa ne suka yi tafiya tare da ku (a cikin gungu ɗaya) daga ${pm_from_location} zuwa ${pm_to_location}, idan haka ya kasance?")</f>
        <v>Mutane nawa ne suka yi tafiya tare da ku (a cikin gungu ɗaya) daga ${pm_from_location} zuwa ${pm_to_location}, idan haka ya kasance?</v>
      </c>
      <c r="J516" s="152" t="s">
        <v>3628</v>
      </c>
      <c r="K516" s="152" t="s">
        <v>3629</v>
      </c>
      <c r="L516" s="152" t="s">
        <v>3630</v>
      </c>
    </row>
    <row r="517">
      <c r="A517" s="137" t="s">
        <v>2625</v>
      </c>
      <c r="B517" s="193" t="s">
        <v>3631</v>
      </c>
      <c r="C517" s="258" t="s">
        <v>3632</v>
      </c>
      <c r="D517" s="258" t="s">
        <v>3634</v>
      </c>
      <c r="E517" s="258" t="s">
        <v>3635</v>
      </c>
      <c r="F517" s="161">
        <v>132.0</v>
      </c>
      <c r="G517" s="152" t="str">
        <f>IFERROR(__xludf.DUMMYFUNCTION("TRIM(REGEXREPLACE(C517, ""[0-9]+[a-f]?\."", """"))"),"Did any of the people you travelled with participate in the TSARI training program?")</f>
        <v>Did any of the people you travelled with participate in the TSARI training program?</v>
      </c>
      <c r="H517" s="152" t="str">
        <f>IFERROR(__xludf.DUMMYFUNCTION("TRIM(REGEXREPLACE(D517, ""[0-9]+[a-f]?\."", """"))"),"L'une des personnes avec lesquelles vous avez voyagé a-t-elle participé à la formation TSARI ?")</f>
        <v>L'une des personnes avec lesquelles vous avez voyagé a-t-elle participé à la formation TSARI ?</v>
      </c>
      <c r="I517" s="152" t="str">
        <f>IFERROR(__xludf.DUMMYFUNCTION("TRIM(REGEXREPLACE(E517, ""[0-9]+[a-f]?\."", """"))"),"Shin ko wani cikin mutanen da kuka yi tafiya tare da su ya halarci horon shirin TSARI?")</f>
        <v>Shin ko wani cikin mutanen da kuka yi tafiya tare da su ya halarci horon shirin TSARI?</v>
      </c>
      <c r="J517" s="152" t="s">
        <v>3636</v>
      </c>
      <c r="K517" s="152" t="s">
        <v>3637</v>
      </c>
      <c r="L517" s="152" t="s">
        <v>3638</v>
      </c>
    </row>
    <row r="518" hidden="1">
      <c r="A518" s="140" t="s">
        <v>131</v>
      </c>
      <c r="B518" s="164" t="s">
        <v>3641</v>
      </c>
      <c r="C518" s="28" t="s">
        <v>3643</v>
      </c>
      <c r="D518" s="28" t="s">
        <v>3644</v>
      </c>
      <c r="E518" s="28" t="s">
        <v>3645</v>
      </c>
      <c r="F518" s="161">
        <v>266.0</v>
      </c>
      <c r="G518" s="152" t="str">
        <f>IFERROR(__xludf.DUMMYFUNCTION("TRIM(REGEXREPLACE(C518, ""[0-9]+[a-f]?\."", """"))"),"Crossed a border")</f>
        <v>Crossed a border</v>
      </c>
      <c r="H518" s="152" t="str">
        <f>IFERROR(__xludf.DUMMYFUNCTION("TRIM(REGEXREPLACE(D518, ""[0-9]+[a-f]?\."", """"))"),"Traverser une frontière")</f>
        <v>Traverser une frontière</v>
      </c>
      <c r="I518" s="152" t="str">
        <f>IFERROR(__xludf.DUMMYFUNCTION("TRIM(REGEXREPLACE(E518, ""[0-9]+[a-f]?\."", """"))"),"Ketare iyaka")</f>
        <v>Ketare iyaka</v>
      </c>
      <c r="J518" s="152" t="s">
        <v>3646</v>
      </c>
      <c r="K518" s="152" t="s">
        <v>3647</v>
      </c>
      <c r="L518" s="152" t="s">
        <v>3648</v>
      </c>
    </row>
    <row r="519">
      <c r="A519" s="166" t="s">
        <v>41</v>
      </c>
      <c r="B519" s="167" t="s">
        <v>3649</v>
      </c>
      <c r="C519" s="28" t="s">
        <v>3650</v>
      </c>
      <c r="D519" s="28" t="s">
        <v>3651</v>
      </c>
      <c r="E519" s="28" t="s">
        <v>3652</v>
      </c>
      <c r="F519" s="161">
        <v>133.0</v>
      </c>
      <c r="G519" s="152" t="str">
        <f>IFERROR(__xludf.DUMMYFUNCTION("TRIM(REGEXREPLACE(C519, ""[0-9]+[a-f]?\."", """"))"),"The next few questions focus on your experience crossing the border from ${pm_from_location} to ${pm_to_location}.")</f>
        <v>The next few questions focus on your experience crossing the border from ${pm_from_location} to ${pm_to_location}.</v>
      </c>
      <c r="H519" s="152" t="str">
        <f>IFERROR(__xludf.DUMMYFUNCTION("TRIM(REGEXREPLACE(D519, ""[0-9]+[a-f]?\."", """"))"),"Les prochaines questions portent sur votre expérience de passage de la frontière de ${pm_from_location} à ${pm_to_location}.")</f>
        <v>Les prochaines questions portent sur votre expérience de passage de la frontière de ${pm_from_location} à ${pm_to_location}.</v>
      </c>
      <c r="I519" s="152" t="str">
        <f>IFERROR(__xludf.DUMMYFUNCTION("TRIM(REGEXREPLACE(E519, ""[0-9]+[a-f]?\."", """"))"),"Tambayoyi na gaba sun ta allaƙa ne bisa sininku kan ketare iyaka daga ${pm_from_location} zuwa ${pm_to_location}.")</f>
        <v>Tambayoyi na gaba sun ta allaƙa ne bisa sininku kan ketare iyaka daga ${pm_from_location} zuwa ${pm_to_location}.</v>
      </c>
      <c r="J519" s="152" t="s">
        <v>3654</v>
      </c>
      <c r="K519" s="152" t="s">
        <v>3655</v>
      </c>
      <c r="L519" s="152" t="s">
        <v>3656</v>
      </c>
      <c r="M519" s="152"/>
    </row>
    <row r="520">
      <c r="A520" s="68" t="s">
        <v>3604</v>
      </c>
      <c r="B520" s="169" t="s">
        <v>3657</v>
      </c>
      <c r="C520" s="28" t="s">
        <v>3658</v>
      </c>
      <c r="D520" s="28" t="s">
        <v>3659</v>
      </c>
      <c r="E520" s="28" t="s">
        <v>3660</v>
      </c>
      <c r="F520" s="161">
        <v>134.0</v>
      </c>
      <c r="G520" s="152" t="str">
        <f>IFERROR(__xludf.DUMMYFUNCTION("TRIM(REGEXREPLACE(C520, ""[0-9]+[a-f]?\."", """"))"),"How did you cross the border from ${pm_from_location} to ${pm_to_location}?")</f>
        <v>How did you cross the border from ${pm_from_location} to ${pm_to_location}?</v>
      </c>
      <c r="H520" s="152" t="str">
        <f>IFERROR(__xludf.DUMMYFUNCTION("TRIM(REGEXREPLACE(D520, ""[0-9]+[a-f]?\."", """"))"),"Comment avez-vous traversé la frontière entre ${pm_from_location} et ${pm_to_location} ?")</f>
        <v>Comment avez-vous traversé la frontière entre ${pm_from_location} et ${pm_to_location} ?</v>
      </c>
      <c r="I520" s="152" t="str">
        <f>IFERROR(__xludf.DUMMYFUNCTION("TRIM(REGEXREPLACE(E520, ""[0-9]+[a-f]?\."", """"))"),"Yaya kuka ketare iyaka daga ${pm_from_location} zuwa ${pm_to_location}?")</f>
        <v>Yaya kuka ketare iyaka daga ${pm_from_location} zuwa ${pm_to_location}?</v>
      </c>
      <c r="J520" s="152" t="s">
        <v>3661</v>
      </c>
      <c r="K520" s="152" t="s">
        <v>3662</v>
      </c>
      <c r="L520" s="152" t="s">
        <v>3663</v>
      </c>
      <c r="M520" s="152"/>
    </row>
    <row r="521">
      <c r="A521" s="179" t="s">
        <v>246</v>
      </c>
      <c r="B521" s="180" t="s">
        <v>3664</v>
      </c>
      <c r="C521" s="28" t="s">
        <v>3665</v>
      </c>
      <c r="D521" s="28" t="s">
        <v>3666</v>
      </c>
      <c r="E521" s="28" t="s">
        <v>3668</v>
      </c>
      <c r="F521" s="161">
        <v>135.0</v>
      </c>
      <c r="G521" s="152" t="str">
        <f>IFERROR(__xludf.DUMMYFUNCTION("TRIM(REGEXREPLACE(C521, ""[0-9]+[a-f]?\."", """"))"),"Other, specify:")</f>
        <v>Other, specify:</v>
      </c>
      <c r="H521" s="152" t="str">
        <f>IFERROR(__xludf.DUMMYFUNCTION("TRIM(REGEXREPLACE(D521, ""[0-9]+[a-f]?\."", """"))"),"Autre précisez:")</f>
        <v>Autre précisez:</v>
      </c>
      <c r="I521" s="152" t="str">
        <f>IFERROR(__xludf.DUMMYFUNCTION("TRIM(REGEXREPLACE(E521, ""[0-9]+[a-f]?\."", """"))"),"Wani daban, baiyana:")</f>
        <v>Wani daban, baiyana:</v>
      </c>
      <c r="J521" s="152" t="s">
        <v>3671</v>
      </c>
      <c r="K521" s="152" t="s">
        <v>3672</v>
      </c>
      <c r="L521" s="152" t="s">
        <v>3674</v>
      </c>
      <c r="M521" s="152"/>
    </row>
    <row r="522">
      <c r="A522" s="170" t="s">
        <v>263</v>
      </c>
      <c r="B522" s="171" t="s">
        <v>3676</v>
      </c>
      <c r="C522" s="28" t="s">
        <v>3677</v>
      </c>
      <c r="D522" s="28" t="s">
        <v>3678</v>
      </c>
      <c r="E522" s="28" t="s">
        <v>3679</v>
      </c>
      <c r="F522" s="161">
        <v>136.0</v>
      </c>
      <c r="G522" s="152" t="str">
        <f>IFERROR(__xludf.DUMMYFUNCTION("TRIM(REGEXREPLACE(C522, ""[0-9]+[a-f]?\."", """"))"),"How many people crossed the border with you (in the same travel group) from ${pm_from_location} to ${pm_to_location}, if any?")</f>
        <v>How many people crossed the border with you (in the same travel group) from ${pm_from_location} to ${pm_to_location}, if any?</v>
      </c>
      <c r="H522" s="152" t="str">
        <f>IFERROR(__xludf.DUMMYFUNCTION("TRIM(REGEXREPLACE(D522, ""[0-9]+[a-f]?\."", """"))"),"Combien de personnes ont traversé la frontière avec vous (dans le même groupe de voyage) du ${pm_from_location} à ${pm_to_location}, si c'est le cas?")</f>
        <v>Combien de personnes ont traversé la frontière avec vous (dans le même groupe de voyage) du ${pm_from_location} à ${pm_to_location}, si c'est le cas?</v>
      </c>
      <c r="I522" s="152" t="str">
        <f>IFERROR(__xludf.DUMMYFUNCTION("TRIM(REGEXREPLACE(E522, ""[0-9]+[a-f]?\."", """"))"),"Mutane nawa ne suka ketare iyaka da ku (a cikin rukuni ɗaya) daga ${pm_from_location} zuwa ${pm_to_location}, idan akwai?")</f>
        <v>Mutane nawa ne suka ketare iyaka da ku (a cikin rukuni ɗaya) daga ${pm_from_location} zuwa ${pm_to_location}, idan akwai?</v>
      </c>
      <c r="J522" s="152" t="s">
        <v>3680</v>
      </c>
      <c r="K522" s="152" t="s">
        <v>3681</v>
      </c>
      <c r="L522" s="152" t="s">
        <v>3682</v>
      </c>
      <c r="M522" s="152"/>
    </row>
    <row r="523">
      <c r="A523" s="68" t="s">
        <v>463</v>
      </c>
      <c r="B523" s="169" t="s">
        <v>3683</v>
      </c>
      <c r="C523" s="28" t="s">
        <v>3684</v>
      </c>
      <c r="D523" s="28" t="s">
        <v>3685</v>
      </c>
      <c r="E523" s="28" t="s">
        <v>3686</v>
      </c>
      <c r="F523" s="161">
        <v>137.0</v>
      </c>
      <c r="G523" s="152" t="str">
        <f>IFERROR(__xludf.DUMMYFUNCTION("TRIM(REGEXREPLACE(C523, ""[0-9]+[a-f]?\."", """"))"),"Was there an official checkpoint or building where you crossed the border from ${pm_from_location} to ${pm_to_location}?")</f>
        <v>Was there an official checkpoint or building where you crossed the border from ${pm_from_location} to ${pm_to_location}?</v>
      </c>
      <c r="H523" s="152" t="str">
        <f>IFERROR(__xludf.DUMMYFUNCTION("TRIM(REGEXREPLACE(D523, ""[0-9]+[a-f]?\."", """"))"),"Y avait-il un point de contrôle ou un bâtiment officiel à l'endroit où vous avez traversé la frontière entre ${pm_from_location} et ${pm_to_location} ?")</f>
        <v>Y avait-il un point de contrôle ou un bâtiment officiel à l'endroit où vous avez traversé la frontière entre ${pm_from_location} et ${pm_to_location} ?</v>
      </c>
      <c r="I523" s="152" t="str">
        <f>IFERROR(__xludf.DUMMYFUNCTION("TRIM(REGEXREPLACE(E523, ""[0-9]+[a-f]?\."", """"))"),"Ko akwai wurin bincike ko wata ma'aikata na gwamnati a inda kuka ketara iyaka daga ${pm_from_location} zuwa ${pm_to_location}?")</f>
        <v>Ko akwai wurin bincike ko wata ma'aikata na gwamnati a inda kuka ketara iyaka daga ${pm_from_location} zuwa ${pm_to_location}?</v>
      </c>
      <c r="J523" s="152" t="s">
        <v>3687</v>
      </c>
      <c r="K523" s="152" t="s">
        <v>3688</v>
      </c>
      <c r="L523" s="152" t="s">
        <v>3691</v>
      </c>
      <c r="M523" s="152"/>
    </row>
    <row r="524">
      <c r="A524" s="68" t="s">
        <v>463</v>
      </c>
      <c r="B524" s="169" t="s">
        <v>3694</v>
      </c>
      <c r="C524" s="28" t="s">
        <v>3695</v>
      </c>
      <c r="D524" s="28" t="s">
        <v>3696</v>
      </c>
      <c r="E524" s="28" t="s">
        <v>3697</v>
      </c>
      <c r="F524" s="161">
        <v>138.0</v>
      </c>
      <c r="G524" s="152" t="str">
        <f>IFERROR(__xludf.DUMMYFUNCTION("TRIM(REGEXREPLACE(C524, ""[0-9]+[a-f]?\."", """"))"),"Did you/your vehicle encounter border police or migration officials at the border from ${pm_from_location} to ${pm_to_location}?")</f>
        <v>Did you/your vehicle encounter border police or migration officials at the border from ${pm_from_location} to ${pm_to_location}?</v>
      </c>
      <c r="H524" s="152" t="str">
        <f>IFERROR(__xludf.DUMMYFUNCTION("TRIM(REGEXREPLACE(D524, ""[0-9]+[a-f]?\."", """"))"),"Avez-vous/votre véhicule a-t-il rencontré la police des frontières ou des agents de l'immigration à la frontière entre ${pm_from_location} et ${pm_to_location} ?")</f>
        <v>Avez-vous/votre véhicule a-t-il rencontré la police des frontières ou des agents de l'immigration à la frontière entre ${pm_from_location} et ${pm_to_location} ?</v>
      </c>
      <c r="I524" s="152" t="str">
        <f>IFERROR(__xludf.DUMMYFUNCTION("TRIM(REGEXREPLACE(E524, ""[0-9]+[a-f]?\."", """"))"),"Ko kun haɗu ƴan sandan iyaka ko jami'an imagreshin a kan iyaka daga ${pm_from_location} zuwa ${pm_to_location}?")</f>
        <v>Ko kun haɗu ƴan sandan iyaka ko jami'an imagreshin a kan iyaka daga ${pm_from_location} zuwa ${pm_to_location}?</v>
      </c>
      <c r="J524" s="152" t="s">
        <v>3698</v>
      </c>
      <c r="K524" s="152" t="s">
        <v>3699</v>
      </c>
      <c r="L524" s="152" t="s">
        <v>3700</v>
      </c>
      <c r="M524" s="152"/>
    </row>
    <row r="525">
      <c r="A525" s="68" t="s">
        <v>463</v>
      </c>
      <c r="B525" s="169" t="s">
        <v>3704</v>
      </c>
      <c r="C525" s="28" t="s">
        <v>3705</v>
      </c>
      <c r="D525" s="28" t="s">
        <v>3706</v>
      </c>
      <c r="E525" s="28" t="s">
        <v>3707</v>
      </c>
      <c r="F525" s="161">
        <v>139.0</v>
      </c>
      <c r="G525" s="152" t="str">
        <f>IFERROR(__xludf.DUMMYFUNCTION("TRIM(REGEXREPLACE(C525, ""[0-9]+[a-f]?\."", """"))"),"Were you asked to show any documents when you crossed the border from ${pm_from_location} to ${pm_to_location}?")</f>
        <v>Were you asked to show any documents when you crossed the border from ${pm_from_location} to ${pm_to_location}?</v>
      </c>
      <c r="H525" s="152" t="str">
        <f>IFERROR(__xludf.DUMMYFUNCTION("TRIM(REGEXREPLACE(D525, ""[0-9]+[a-f]?\."", """"))"),"Vous a-t-on demandé de montrer des documents lorsque vous avez traversé la frontière de ${pm_from_location} à ${pm_to_location} ?")</f>
        <v>Vous a-t-on demandé de montrer des documents lorsque vous avez traversé la frontière de ${pm_from_location} à ${pm_to_location} ?</v>
      </c>
      <c r="I525" s="152" t="str">
        <f>IFERROR(__xludf.DUMMYFUNCTION("TRIM(REGEXREPLACE(E525, ""[0-9]+[a-f]?\."", """"))"),"Ko an tambayeku ku nuna wasu takardu lokacin da kuka ketare iyaka daga ${pm_from_location} zuwa ${pm_to_location}?")</f>
        <v>Ko an tambayeku ku nuna wasu takardu lokacin da kuka ketare iyaka daga ${pm_from_location} zuwa ${pm_to_location}?</v>
      </c>
      <c r="J525" s="152" t="s">
        <v>3708</v>
      </c>
      <c r="K525" s="152" t="s">
        <v>3709</v>
      </c>
      <c r="L525" s="152" t="s">
        <v>3710</v>
      </c>
      <c r="M525" s="152"/>
    </row>
    <row r="526">
      <c r="A526" s="68" t="s">
        <v>3712</v>
      </c>
      <c r="B526" s="169" t="s">
        <v>3713</v>
      </c>
      <c r="C526" s="28" t="s">
        <v>3714</v>
      </c>
      <c r="D526" s="28" t="s">
        <v>3715</v>
      </c>
      <c r="E526" s="28" t="s">
        <v>3716</v>
      </c>
      <c r="F526" s="161">
        <v>140.0</v>
      </c>
      <c r="G526" s="152" t="str">
        <f>IFERROR(__xludf.DUMMYFUNCTION("TRIM(REGEXREPLACE(C526, ""[0-9]+[a-f]?\."", """"))"),"Which documents were you asked to show when you crossed the border from ${pm_from_location} to ${pm_to_location}?")</f>
        <v>Which documents were you asked to show when you crossed the border from ${pm_from_location} to ${pm_to_location}?</v>
      </c>
      <c r="H526" s="152" t="str">
        <f>IFERROR(__xludf.DUMMYFUNCTION("TRIM(REGEXREPLACE(D526, ""[0-9]+[a-f]?\."", """"))"),"Quels documents vous a-t-on demandé de présenter lorsque vous avez traversé la frontière entre ${pm_from_location} et ${pm_to_location} ?")</f>
        <v>Quels documents vous a-t-on demandé de présenter lorsque vous avez traversé la frontière entre ${pm_from_location} et ${pm_to_location} ?</v>
      </c>
      <c r="I526" s="152" t="str">
        <f>IFERROR(__xludf.DUMMYFUNCTION("TRIM(REGEXREPLACE(E526, ""[0-9]+[a-f]?\."", """"))"),"Waɗanne takardu aka tambayeku nunawa lokacin da kuka ketare iyaka daga ${pm_from_location} zuwa ${pm_to_location}?")</f>
        <v>Waɗanne takardu aka tambayeku nunawa lokacin da kuka ketare iyaka daga ${pm_from_location} zuwa ${pm_to_location}?</v>
      </c>
      <c r="J526" s="152" t="s">
        <v>3717</v>
      </c>
      <c r="K526" s="152" t="s">
        <v>3718</v>
      </c>
      <c r="L526" s="152" t="s">
        <v>3719</v>
      </c>
      <c r="M526" s="152"/>
    </row>
    <row r="527">
      <c r="A527" s="179" t="s">
        <v>246</v>
      </c>
      <c r="B527" s="180" t="s">
        <v>3720</v>
      </c>
      <c r="C527" s="28" t="s">
        <v>3721</v>
      </c>
      <c r="D527" s="28" t="s">
        <v>3722</v>
      </c>
      <c r="E527" s="28" t="s">
        <v>3723</v>
      </c>
      <c r="F527" s="161">
        <v>141.0</v>
      </c>
      <c r="G527" s="152" t="str">
        <f>IFERROR(__xludf.DUMMYFUNCTION("TRIM(REGEXREPLACE(C527, ""[0-9]+[a-f]?\."", """"))"),"Specify other")</f>
        <v>Specify other</v>
      </c>
      <c r="H527" s="152" t="str">
        <f>IFERROR(__xludf.DUMMYFUNCTION("TRIM(REGEXREPLACE(D527, ""[0-9]+[a-f]?\."", """"))"),"Autre à préciser")</f>
        <v>Autre à préciser</v>
      </c>
      <c r="I527" s="152" t="str">
        <f>IFERROR(__xludf.DUMMYFUNCTION("TRIM(REGEXREPLACE(E527, ""[0-9]+[a-f]?\."", """"))"),"Wani daban a baiyana")</f>
        <v>Wani daban a baiyana</v>
      </c>
      <c r="J527" s="152" t="s">
        <v>3724</v>
      </c>
      <c r="K527" s="152" t="s">
        <v>3725</v>
      </c>
      <c r="L527" s="152" t="s">
        <v>3726</v>
      </c>
      <c r="M527" s="152"/>
    </row>
    <row r="528">
      <c r="A528" s="170" t="s">
        <v>263</v>
      </c>
      <c r="B528" s="171" t="s">
        <v>3727</v>
      </c>
      <c r="C528" s="28" t="s">
        <v>3728</v>
      </c>
      <c r="D528" s="28" t="s">
        <v>3729</v>
      </c>
      <c r="E528" s="28" t="s">
        <v>3731</v>
      </c>
      <c r="F528" s="161">
        <v>142.0</v>
      </c>
      <c r="G528" s="152" t="str">
        <f>IFERROR(__xludf.DUMMYFUNCTION("TRIM(REGEXREPLACE(C528, ""[0-9]+[a-f]?\."", """"))"),"How much money, if any were you asked to pay to cross the border (in CFA) from ${pm_from_location} to ${pm_to_location}?")</f>
        <v>How much money, if any were you asked to pay to cross the border (in CFA) from ${pm_from_location} to ${pm_to_location}?</v>
      </c>
      <c r="H528" s="152" t="str">
        <f>IFERROR(__xludf.DUMMYFUNCTION("TRIM(REGEXREPLACE(D528, ""[0-9]+[a-f]?\."", """"))"),"Combien d'argent, si c'est arrivé, vous a-t-on demandé de payer pour traverser la frontière (en CFA) de ${pm_from_location} à ${pm_to_location} ?")</f>
        <v>Combien d'argent, si c'est arrivé, vous a-t-on demandé de payer pour traverser la frontière (en CFA) de ${pm_from_location} à ${pm_to_location} ?</v>
      </c>
      <c r="I528" s="152" t="str">
        <f>IFERROR(__xludf.DUMMYFUNCTION("TRIM(REGEXREPLACE(E528, ""[0-9]+[a-f]?\."", """"))"),"Nawa ne kuɗin da kuka bada, idan an nemi ku biya don ketare iyaka (a cikin kuɗin CFA) daga ${pm_from_location} zuwa ${pm_to_location}?")</f>
        <v>Nawa ne kuɗin da kuka bada, idan an nemi ku biya don ketare iyaka (a cikin kuɗin CFA) daga ${pm_from_location} zuwa ${pm_to_location}?</v>
      </c>
      <c r="J528" s="152" t="s">
        <v>3732</v>
      </c>
      <c r="K528" s="152" t="s">
        <v>3733</v>
      </c>
      <c r="L528" s="152" t="s">
        <v>3734</v>
      </c>
      <c r="M528" s="152"/>
    </row>
    <row r="529">
      <c r="A529" s="170" t="s">
        <v>263</v>
      </c>
      <c r="B529" s="171" t="s">
        <v>3735</v>
      </c>
      <c r="C529" s="28" t="s">
        <v>3736</v>
      </c>
      <c r="D529" s="28" t="s">
        <v>3737</v>
      </c>
      <c r="E529" s="28" t="s">
        <v>3738</v>
      </c>
      <c r="F529" s="161">
        <v>143.0</v>
      </c>
      <c r="G529" s="152" t="str">
        <f>IFERROR(__xludf.DUMMYFUNCTION("TRIM(REGEXREPLACE(C529, ""[0-9]+[a-f]?\."", """"))"),"Separately, how much money, if any, did you pay someone who helped you cross the border from ${pm_from_location} to ${pm_to_location}?")</f>
        <v>Separately, how much money, if any, did you pay someone who helped you cross the border from ${pm_from_location} to ${pm_to_location}?</v>
      </c>
      <c r="H529" s="152" t="str">
        <f>IFERROR(__xludf.DUMMYFUNCTION("TRIM(REGEXREPLACE(D529, ""[0-9]+[a-f]?\."", """"))"),"combien d'argent, si c'est arrivé, avez-vous aussi payé à quelqu'un qui vous a aidé à traverser la frontière de ${pm_from_location} à ${pm_to_location} ?")</f>
        <v>combien d'argent, si c'est arrivé, avez-vous aussi payé à quelqu'un qui vous a aidé à traverser la frontière de ${pm_from_location} à ${pm_to_location} ?</v>
      </c>
      <c r="I529" s="152" t="str">
        <f>IFERROR(__xludf.DUMMYFUNCTION("TRIM(REGEXREPLACE(E529, ""[0-9]+[a-f]?\."", """"))"),"Nawa, idan akwai, kuka biya wanda ya taimaka muku ketare iyaka daga ${pm_from_location} zuwa ${pm_to_location}?")</f>
        <v>Nawa, idan akwai, kuka biya wanda ya taimaka muku ketare iyaka daga ${pm_from_location} zuwa ${pm_to_location}?</v>
      </c>
      <c r="J529" s="152" t="s">
        <v>3739</v>
      </c>
      <c r="K529" s="152" t="s">
        <v>3741</v>
      </c>
      <c r="L529" s="152" t="s">
        <v>3742</v>
      </c>
      <c r="M529" s="152"/>
    </row>
    <row r="530">
      <c r="A530" s="170" t="s">
        <v>263</v>
      </c>
      <c r="B530" s="171" t="s">
        <v>3743</v>
      </c>
      <c r="C530" s="28" t="s">
        <v>3744</v>
      </c>
      <c r="D530" s="28" t="s">
        <v>3745</v>
      </c>
      <c r="E530" s="28" t="s">
        <v>3746</v>
      </c>
      <c r="F530" s="161">
        <v>144.0</v>
      </c>
      <c r="G530" s="152" t="str">
        <f>IFERROR(__xludf.DUMMYFUNCTION("TRIM(REGEXREPLACE(C530, ""[0-9]+[a-f]?\."", """"))"),"How much did you pay for transportation (seat in vehicle + luggage) from ${pm_from_location} to ${pm_to_location}?")</f>
        <v>How much did you pay for transportation (seat in vehicle + luggage) from ${pm_from_location} to ${pm_to_location}?</v>
      </c>
      <c r="H530" s="152" t="str">
        <f>IFERROR(__xludf.DUMMYFUNCTION("TRIM(REGEXREPLACE(D530, ""[0-9]+[a-f]?\."", """"))"),"Combien avez-vous payé pour le transport (siège dans le véhicule + bagages) de ${pm_from_location} à ${pm_to_location} ?")</f>
        <v>Combien avez-vous payé pour le transport (siège dans le véhicule + bagages) de ${pm_from_location} à ${pm_to_location} ?</v>
      </c>
      <c r="I530" s="152" t="str">
        <f>IFERROR(__xludf.DUMMYFUNCTION("TRIM(REGEXREPLACE(E530, ""[0-9]+[a-f]?\."", """"))"),"Nawa kuka biya kuɗin mota (kai da kayanka) daga ${pm_from_location} zuwa ${pm_to_location}?")</f>
        <v>Nawa kuka biya kuɗin mota (kai da kayanka) daga ${pm_from_location} zuwa ${pm_to_location}?</v>
      </c>
      <c r="J530" s="152" t="s">
        <v>3748</v>
      </c>
      <c r="K530" s="152" t="s">
        <v>3749</v>
      </c>
      <c r="L530" s="152" t="s">
        <v>3751</v>
      </c>
    </row>
    <row r="531">
      <c r="A531" s="170" t="s">
        <v>263</v>
      </c>
      <c r="B531" s="171" t="s">
        <v>3754</v>
      </c>
      <c r="C531" s="28" t="s">
        <v>3755</v>
      </c>
      <c r="D531" s="28" t="s">
        <v>3756</v>
      </c>
      <c r="E531" s="28" t="s">
        <v>3757</v>
      </c>
      <c r="F531" s="161">
        <v>145.0</v>
      </c>
      <c r="G531" s="152" t="str">
        <f>IFERROR(__xludf.DUMMYFUNCTION("TRIM(REGEXREPLACE(C531, ""[0-9]+[a-f]?\."", """"))"),"How much did you pay in fees at checkpoints/roadblocks during this trip from ${pm_from_location} to ${pm_to_location}?")</f>
        <v>How much did you pay in fees at checkpoints/roadblocks during this trip from ${pm_from_location} to ${pm_to_location}?</v>
      </c>
      <c r="H531" s="152" t="str">
        <f>IFERROR(__xludf.DUMMYFUNCTION("TRIM(REGEXREPLACE(D531, ""[0-9]+[a-f]?\."", """"))"),"Combien avez-vous payé comme frais aux points de contrôle des barrages routiers pendant ce voyage de ${pm_from_location} à ${pm_to_location} ?")</f>
        <v>Combien avez-vous payé comme frais aux points de contrôle des barrages routiers pendant ce voyage de ${pm_from_location} à ${pm_to_location} ?</v>
      </c>
      <c r="I531" s="152" t="str">
        <f>IFERROR(__xludf.DUMMYFUNCTION("TRIM(REGEXREPLACE(E531, ""[0-9]+[a-f]?\."", """"))"),"Nawa kuka biya kuɗin bincika kayan hanya yayin wannan tafiya daga ${pm_from_location} zuwa ${pm_to_location}?")</f>
        <v>Nawa kuka biya kuɗin bincika kayan hanya yayin wannan tafiya daga ${pm_from_location} zuwa ${pm_to_location}?</v>
      </c>
      <c r="J531" s="152" t="s">
        <v>3758</v>
      </c>
      <c r="K531" s="152" t="s">
        <v>3759</v>
      </c>
      <c r="L531" s="152" t="s">
        <v>3760</v>
      </c>
    </row>
    <row r="532" hidden="1">
      <c r="A532" s="140" t="s">
        <v>237</v>
      </c>
      <c r="B532" s="191" t="s">
        <v>3641</v>
      </c>
      <c r="C532" s="28" t="s">
        <v>3643</v>
      </c>
      <c r="D532" s="28" t="s">
        <v>3644</v>
      </c>
      <c r="E532" s="28" t="s">
        <v>3645</v>
      </c>
      <c r="F532" s="161">
        <v>274.0</v>
      </c>
      <c r="G532" s="152" t="str">
        <f>IFERROR(__xludf.DUMMYFUNCTION("TRIM(REGEXREPLACE(C532, ""[0-9]+[a-f]?\."", """"))"),"Crossed a border")</f>
        <v>Crossed a border</v>
      </c>
      <c r="H532" s="152" t="str">
        <f>IFERROR(__xludf.DUMMYFUNCTION("TRIM(REGEXREPLACE(D532, ""[0-9]+[a-f]?\."", """"))"),"Traverser une frontière")</f>
        <v>Traverser une frontière</v>
      </c>
      <c r="I532" s="152" t="str">
        <f>IFERROR(__xludf.DUMMYFUNCTION("TRIM(REGEXREPLACE(E532, ""[0-9]+[a-f]?\."", """"))"),"Ketare iyaka")</f>
        <v>Ketare iyaka</v>
      </c>
      <c r="J532" s="152" t="s">
        <v>3761</v>
      </c>
      <c r="K532" s="152" t="s">
        <v>3762</v>
      </c>
      <c r="L532" s="152" t="s">
        <v>3763</v>
      </c>
    </row>
    <row r="533" hidden="1">
      <c r="A533" s="140" t="s">
        <v>131</v>
      </c>
      <c r="B533" s="164" t="s">
        <v>3765</v>
      </c>
      <c r="C533" s="28"/>
      <c r="D533" s="28"/>
      <c r="E533" s="28"/>
      <c r="F533" s="161">
        <v>275.0</v>
      </c>
      <c r="G533" s="152" t="str">
        <f>IFERROR(__xludf.DUMMYFUNCTION("TRIM(REGEXREPLACE(C533, ""[0-9]+[a-f]?\."", """"))"),"")</f>
        <v/>
      </c>
      <c r="H533" s="152" t="str">
        <f>IFERROR(__xludf.DUMMYFUNCTION("TRIM(REGEXREPLACE(D533, ""[0-9]+[a-f]?\."", """"))"),"")</f>
        <v/>
      </c>
      <c r="I533" s="152" t="str">
        <f>IFERROR(__xludf.DUMMYFUNCTION("TRIM(REGEXREPLACE(E533, ""[0-9]+[a-f]?\."", """"))"),"")</f>
        <v/>
      </c>
      <c r="J533" s="152" t="s">
        <v>3769</v>
      </c>
      <c r="K533" s="152" t="s">
        <v>3770</v>
      </c>
      <c r="L533" s="152" t="s">
        <v>3771</v>
      </c>
    </row>
    <row r="534">
      <c r="A534" s="68" t="s">
        <v>463</v>
      </c>
      <c r="B534" s="169" t="s">
        <v>3772</v>
      </c>
      <c r="C534" s="28" t="s">
        <v>3773</v>
      </c>
      <c r="D534" s="28" t="s">
        <v>3774</v>
      </c>
      <c r="E534" s="28" t="s">
        <v>3775</v>
      </c>
      <c r="F534" s="161">
        <v>146.0</v>
      </c>
      <c r="G534" s="152" t="str">
        <f>IFERROR(__xludf.DUMMYFUNCTION("TRIM(REGEXREPLACE(C534, ""[0-9]+[a-f]?\."", """"))"),"Did you experience any of the following during your travel from ${pm_from_location} to ${pm_to_location}?")</f>
        <v>Did you experience any of the following during your travel from ${pm_from_location} to ${pm_to_location}?</v>
      </c>
      <c r="H534" s="152" t="str">
        <f>IFERROR(__xludf.DUMMYFUNCTION("TRIM(REGEXREPLACE(D534, ""[0-9]+[a-f]?\."", """"))"),"Avez-vous vécu l'une des situations suivantes lors de votre voyage de ${pm_from_location} à ${pm_to_location} ?")</f>
        <v>Avez-vous vécu l'une des situations suivantes lors de votre voyage de ${pm_from_location} à ${pm_to_location} ?</v>
      </c>
      <c r="I534" s="152" t="str">
        <f>IFERROR(__xludf.DUMMYFUNCTION("TRIM(REGEXREPLACE(E534, ""[0-9]+[a-f]?\."", """"))"),"Ko kun fuskanci ɗayan waɗannan abubuwan yayin tafiyarku daga ${pm_from_location} zuwa ${pm_to_location}?")</f>
        <v>Ko kun fuskanci ɗayan waɗannan abubuwan yayin tafiyarku daga ${pm_from_location} zuwa ${pm_to_location}?</v>
      </c>
      <c r="J534" s="152" t="s">
        <v>3776</v>
      </c>
      <c r="K534" s="152" t="s">
        <v>3777</v>
      </c>
      <c r="L534" s="152" t="s">
        <v>3778</v>
      </c>
    </row>
    <row r="535">
      <c r="A535" s="68" t="s">
        <v>463</v>
      </c>
      <c r="B535" s="169" t="s">
        <v>3779</v>
      </c>
      <c r="C535" s="28" t="s">
        <v>3780</v>
      </c>
      <c r="D535" s="28" t="s">
        <v>3781</v>
      </c>
      <c r="E535" s="28" t="s">
        <v>3783</v>
      </c>
      <c r="F535" s="161">
        <v>147.0</v>
      </c>
      <c r="G535" s="152" t="str">
        <f>IFERROR(__xludf.DUMMYFUNCTION("TRIM(REGEXREPLACE(C535, ""[0-9]+[a-f]?\."", """"))"),"Physical attack")</f>
        <v>Physical attack</v>
      </c>
      <c r="H535" s="152" t="str">
        <f>IFERROR(__xludf.DUMMYFUNCTION("TRIM(REGEXREPLACE(D535, ""[0-9]+[a-f]?\."", """"))"),"Attaque physique")</f>
        <v>Attaque physique</v>
      </c>
      <c r="I535" s="152" t="str">
        <f>IFERROR(__xludf.DUMMYFUNCTION("TRIM(REGEXREPLACE(E535, ""[0-9]+[a-f]?\."", """"))"),"Harin jiki")</f>
        <v>Harin jiki</v>
      </c>
      <c r="J535" s="152" t="s">
        <v>3786</v>
      </c>
      <c r="K535" s="152" t="s">
        <v>3787</v>
      </c>
      <c r="L535" s="152" t="s">
        <v>3788</v>
      </c>
      <c r="M535" s="152"/>
    </row>
    <row r="536">
      <c r="A536" s="68" t="s">
        <v>463</v>
      </c>
      <c r="B536" s="169" t="s">
        <v>3789</v>
      </c>
      <c r="C536" s="28" t="s">
        <v>3790</v>
      </c>
      <c r="D536" s="28" t="s">
        <v>3791</v>
      </c>
      <c r="E536" s="28" t="s">
        <v>3792</v>
      </c>
      <c r="F536" s="161">
        <v>148.0</v>
      </c>
      <c r="G536" s="152" t="str">
        <f>IFERROR(__xludf.DUMMYFUNCTION("TRIM(REGEXREPLACE(C536, ""[0-9]+[a-f]?\."", """"))"),"Threat of physical violence/attack")</f>
        <v>Threat of physical violence/attack</v>
      </c>
      <c r="H536" s="152" t="str">
        <f>IFERROR(__xludf.DUMMYFUNCTION("TRIM(REGEXREPLACE(D536, ""[0-9]+[a-f]?\."", """"))"),"Menace de violence physique/agression")</f>
        <v>Menace de violence physique/agression</v>
      </c>
      <c r="I536" s="152" t="str">
        <f>IFERROR(__xludf.DUMMYFUNCTION("TRIM(REGEXREPLACE(E536, ""[0-9]+[a-f]?\."", """"))"),"Barazanar ​​harin jiki")</f>
        <v>Barazanar ​​harin jiki</v>
      </c>
      <c r="J536" s="152" t="s">
        <v>3793</v>
      </c>
      <c r="K536" s="152" t="s">
        <v>3794</v>
      </c>
      <c r="L536" s="152" t="s">
        <v>3795</v>
      </c>
    </row>
    <row r="537">
      <c r="A537" s="68" t="s">
        <v>463</v>
      </c>
      <c r="B537" s="169" t="s">
        <v>3796</v>
      </c>
      <c r="C537" s="28" t="s">
        <v>3797</v>
      </c>
      <c r="D537" s="28" t="s">
        <v>3798</v>
      </c>
      <c r="E537" s="28" t="s">
        <v>3799</v>
      </c>
      <c r="F537" s="161">
        <v>149.0</v>
      </c>
      <c r="G537" s="152" t="str">
        <f>IFERROR(__xludf.DUMMYFUNCTION("TRIM(REGEXREPLACE(C537, ""[0-9]+[a-f]?\."", """"))"),"Theft of either money or property?")</f>
        <v>Theft of either money or property?</v>
      </c>
      <c r="H537" s="152" t="str">
        <f>IFERROR(__xludf.DUMMYFUNCTION("TRIM(REGEXREPLACE(D537, ""[0-9]+[a-f]?\."", """"))"),"Vol d'argent ou de biens ?")</f>
        <v>Vol d'argent ou de biens ?</v>
      </c>
      <c r="I537" s="152" t="str">
        <f>IFERROR(__xludf.DUMMYFUNCTION("TRIM(REGEXREPLACE(E537, ""[0-9]+[a-f]?\."", """"))"),"Satar kuɗi ko kaya?")</f>
        <v>Satar kuɗi ko kaya?</v>
      </c>
      <c r="J537" s="152" t="s">
        <v>3800</v>
      </c>
      <c r="K537" s="152" t="s">
        <v>3801</v>
      </c>
      <c r="L537" s="152" t="s">
        <v>3802</v>
      </c>
      <c r="M537" s="152"/>
    </row>
    <row r="538">
      <c r="A538" s="68" t="s">
        <v>463</v>
      </c>
      <c r="B538" s="169" t="s">
        <v>3804</v>
      </c>
      <c r="C538" s="28" t="s">
        <v>3805</v>
      </c>
      <c r="D538" s="28" t="s">
        <v>3806</v>
      </c>
      <c r="E538" s="28" t="s">
        <v>3807</v>
      </c>
      <c r="F538" s="161">
        <v>150.0</v>
      </c>
      <c r="G538" s="152" t="str">
        <f>IFERROR(__xludf.DUMMYFUNCTION("TRIM(REGEXREPLACE(C538, ""[0-9]+[a-f]?\."", """"))"),"Detention or arrest by state security forces?")</f>
        <v>Detention or arrest by state security forces?</v>
      </c>
      <c r="H538" s="152" t="str">
        <f>IFERROR(__xludf.DUMMYFUNCTION("TRIM(REGEXREPLACE(D538, ""[0-9]+[a-f]?\."", """"))"),"Détention ou arrestation par les forces de sécurité de l'État ?")</f>
        <v>Détention ou arrestation par les forces de sécurité de l'État ?</v>
      </c>
      <c r="I538" s="152" t="str">
        <f>IFERROR(__xludf.DUMMYFUNCTION("TRIM(REGEXREPLACE(E538, ""[0-9]+[a-f]?\."", """"))"),"Kaso ko kamu daga jami'an tsaron gwamnati?")</f>
        <v>Kaso ko kamu daga jami'an tsaron gwamnati?</v>
      </c>
      <c r="J538" s="152" t="s">
        <v>3809</v>
      </c>
      <c r="K538" s="152" t="s">
        <v>3810</v>
      </c>
      <c r="L538" s="152" t="s">
        <v>3811</v>
      </c>
    </row>
    <row r="539" hidden="1">
      <c r="A539" s="140" t="s">
        <v>237</v>
      </c>
      <c r="B539" s="191" t="s">
        <v>3765</v>
      </c>
      <c r="C539" s="28"/>
      <c r="D539" s="28"/>
      <c r="E539" s="28"/>
      <c r="F539" s="161">
        <v>315.0</v>
      </c>
      <c r="G539" s="152" t="str">
        <f>IFERROR(__xludf.DUMMYFUNCTION("TRIM(REGEXREPLACE(C539, ""[0-9]+[a-f]?\."", """"))"),"")</f>
        <v/>
      </c>
      <c r="H539" s="152" t="str">
        <f>IFERROR(__xludf.DUMMYFUNCTION("TRIM(REGEXREPLACE(D539, ""[0-9]+[a-f]?\."", """"))"),"")</f>
        <v/>
      </c>
      <c r="I539" s="152" t="str">
        <f>IFERROR(__xludf.DUMMYFUNCTION("TRIM(REGEXREPLACE(E539, ""[0-9]+[a-f]?\."", """"))"),"")</f>
        <v/>
      </c>
      <c r="J539" s="152" t="s">
        <v>3812</v>
      </c>
      <c r="K539" s="152" t="s">
        <v>3813</v>
      </c>
      <c r="L539" s="152" t="s">
        <v>3814</v>
      </c>
      <c r="M539" s="152"/>
    </row>
    <row r="540" hidden="1">
      <c r="A540" s="140" t="s">
        <v>131</v>
      </c>
      <c r="B540" s="164" t="s">
        <v>3815</v>
      </c>
      <c r="C540" s="28"/>
      <c r="D540" s="28"/>
      <c r="E540" s="28"/>
      <c r="F540" s="161">
        <v>316.0</v>
      </c>
      <c r="G540" s="152" t="str">
        <f>IFERROR(__xludf.DUMMYFUNCTION("TRIM(REGEXREPLACE(C540, ""[0-9]+[a-f]?\."", """"))"),"")</f>
        <v/>
      </c>
      <c r="H540" s="152" t="str">
        <f>IFERROR(__xludf.DUMMYFUNCTION("TRIM(REGEXREPLACE(D540, ""[0-9]+[a-f]?\."", """"))"),"")</f>
        <v/>
      </c>
      <c r="I540" s="152" t="str">
        <f>IFERROR(__xludf.DUMMYFUNCTION("TRIM(REGEXREPLACE(E540, ""[0-9]+[a-f]?\."", """"))"),"")</f>
        <v/>
      </c>
      <c r="J540" s="152" t="s">
        <v>3817</v>
      </c>
      <c r="K540" s="152" t="s">
        <v>3818</v>
      </c>
      <c r="L540" s="152" t="s">
        <v>3819</v>
      </c>
      <c r="M540" s="152"/>
    </row>
    <row r="541">
      <c r="A541" s="166" t="s">
        <v>41</v>
      </c>
      <c r="B541" s="167" t="s">
        <v>3820</v>
      </c>
      <c r="C541" s="28" t="s">
        <v>3821</v>
      </c>
      <c r="D541" s="28" t="s">
        <v>3822</v>
      </c>
      <c r="E541" s="28" t="s">
        <v>3823</v>
      </c>
      <c r="F541" s="161">
        <v>151.0</v>
      </c>
      <c r="G541" s="152" t="str">
        <f>IFERROR(__xludf.DUMMYFUNCTION("TRIM(REGEXREPLACE(C541, ""[0-9]+[a-f]?\."", """"))"),"Now I would like to ask you to tell me more about your specific experience with:")</f>
        <v>Now I would like to ask you to tell me more about your specific experience with:</v>
      </c>
      <c r="H541" s="152" t="str">
        <f>IFERROR(__xludf.DUMMYFUNCTION("TRIM(REGEXREPLACE(D541, ""[0-9]+[a-f]?\."", """"))"),"J'aimerais maintenant vous demander de m'en dire un peu plus sur votre expérience spécifique avec :")</f>
        <v>J'aimerais maintenant vous demander de m'en dire un peu plus sur votre expérience spécifique avec :</v>
      </c>
      <c r="I541" s="152" t="str">
        <f>IFERROR(__xludf.DUMMYFUNCTION("TRIM(REGEXREPLACE(E541, ""[0-9]+[a-f]?\."", """"))"),"Yanzu ina so in tambaye ku ƙarin bayani game da takamaiman gogewarku na masamman game da:")</f>
        <v>Yanzu ina so in tambaye ku ƙarin bayani game da takamaiman gogewarku na masamman game da:</v>
      </c>
      <c r="J541" s="152" t="s">
        <v>3825</v>
      </c>
      <c r="K541" s="152" t="s">
        <v>3826</v>
      </c>
      <c r="L541" s="152" t="s">
        <v>3827</v>
      </c>
      <c r="M541" s="152"/>
    </row>
    <row r="542">
      <c r="A542" s="179" t="s">
        <v>246</v>
      </c>
      <c r="B542" s="180" t="s">
        <v>3828</v>
      </c>
      <c r="C542" s="28" t="s">
        <v>3829</v>
      </c>
      <c r="D542" s="28" t="s">
        <v>3830</v>
      </c>
      <c r="E542" s="28" t="s">
        <v>3831</v>
      </c>
      <c r="F542" s="161">
        <v>152.0</v>
      </c>
      <c r="G542" s="152" t="str">
        <f>IFERROR(__xludf.DUMMYFUNCTION("TRIM(REGEXREPLACE(C542, ""[0-9]+[a-f]?\."", """"))"),"Physical attack")</f>
        <v>Physical attack</v>
      </c>
      <c r="H542" s="152" t="str">
        <f>IFERROR(__xludf.DUMMYFUNCTION("TRIM(REGEXREPLACE(D542, ""[0-9]+[a-f]?\."", """"))"),"Attaque physique")</f>
        <v>Attaque physique</v>
      </c>
      <c r="I542" s="152" t="str">
        <f>IFERROR(__xludf.DUMMYFUNCTION("TRIM(REGEXREPLACE(E542, ""[0-9]+[a-f]?\."", """"))"),"Harin jiki")</f>
        <v>Harin jiki</v>
      </c>
      <c r="J542" s="152" t="s">
        <v>3832</v>
      </c>
      <c r="K542" s="152" t="s">
        <v>3834</v>
      </c>
      <c r="L542" s="152" t="s">
        <v>3835</v>
      </c>
      <c r="M542" s="152"/>
    </row>
    <row r="543">
      <c r="A543" s="179" t="s">
        <v>246</v>
      </c>
      <c r="B543" s="180" t="s">
        <v>3838</v>
      </c>
      <c r="C543" s="28" t="s">
        <v>3839</v>
      </c>
      <c r="D543" s="28" t="s">
        <v>3841</v>
      </c>
      <c r="E543" s="28" t="s">
        <v>3843</v>
      </c>
      <c r="F543" s="161">
        <v>153.0</v>
      </c>
      <c r="G543" s="152" t="str">
        <f>IFERROR(__xludf.DUMMYFUNCTION("TRIM(REGEXREPLACE(C543, ""[0-9]+[a-f]?\."", """"))"),"Threat of physical violence/attack")</f>
        <v>Threat of physical violence/attack</v>
      </c>
      <c r="H543" s="152" t="str">
        <f>IFERROR(__xludf.DUMMYFUNCTION("TRIM(REGEXREPLACE(D543, ""[0-9]+[a-f]?\."", """"))"),"Menace de violence physique/agression")</f>
        <v>Menace de violence physique/agression</v>
      </c>
      <c r="I543" s="152" t="str">
        <f>IFERROR(__xludf.DUMMYFUNCTION("TRIM(REGEXREPLACE(E543, ""[0-9]+[a-f]?\."", """"))"),"Barazanar ​​harin jiki")</f>
        <v>Barazanar ​​harin jiki</v>
      </c>
      <c r="J543" s="152" t="s">
        <v>3845</v>
      </c>
      <c r="K543" s="152" t="s">
        <v>3846</v>
      </c>
      <c r="L543" s="152" t="s">
        <v>3847</v>
      </c>
    </row>
    <row r="544">
      <c r="A544" s="179" t="s">
        <v>246</v>
      </c>
      <c r="B544" s="180" t="s">
        <v>3848</v>
      </c>
      <c r="C544" s="28" t="s">
        <v>3849</v>
      </c>
      <c r="D544" s="28" t="s">
        <v>3850</v>
      </c>
      <c r="E544" s="28" t="s">
        <v>3851</v>
      </c>
      <c r="F544" s="161">
        <v>154.0</v>
      </c>
      <c r="G544" s="152" t="str">
        <f>IFERROR(__xludf.DUMMYFUNCTION("TRIM(REGEXREPLACE(C544, ""[0-9]+[a-f]?\."", """"))"),"Theft of either money or property?")</f>
        <v>Theft of either money or property?</v>
      </c>
      <c r="H544" s="152" t="str">
        <f>IFERROR(__xludf.DUMMYFUNCTION("TRIM(REGEXREPLACE(D544, ""[0-9]+[a-f]?\."", """"))"),"Vol d'argent ou de biens ?")</f>
        <v>Vol d'argent ou de biens ?</v>
      </c>
      <c r="I544" s="152" t="str">
        <f>IFERROR(__xludf.DUMMYFUNCTION("TRIM(REGEXREPLACE(E544, ""[0-9]+[a-f]?\."", """"))"),"Satar kuɗi ko dukiya?")</f>
        <v>Satar kuɗi ko dukiya?</v>
      </c>
      <c r="J544" s="152" t="s">
        <v>3853</v>
      </c>
      <c r="K544" s="152" t="s">
        <v>3854</v>
      </c>
      <c r="L544" s="152" t="s">
        <v>3855</v>
      </c>
    </row>
    <row r="545">
      <c r="A545" s="179" t="s">
        <v>246</v>
      </c>
      <c r="B545" s="180" t="s">
        <v>3856</v>
      </c>
      <c r="C545" s="28" t="s">
        <v>3857</v>
      </c>
      <c r="D545" s="28" t="s">
        <v>3858</v>
      </c>
      <c r="E545" s="28" t="s">
        <v>3859</v>
      </c>
      <c r="F545" s="161">
        <v>155.0</v>
      </c>
      <c r="G545" s="152" t="str">
        <f>IFERROR(__xludf.DUMMYFUNCTION("TRIM(REGEXREPLACE(C545, ""[0-9]+[a-f]?\."", """"))"),"Detention or arrest by state security forces?")</f>
        <v>Detention or arrest by state security forces?</v>
      </c>
      <c r="H545" s="152" t="str">
        <f>IFERROR(__xludf.DUMMYFUNCTION("TRIM(REGEXREPLACE(D545, ""[0-9]+[a-f]?\."", """"))"),"Détention ou arrestation par les forces de sécurité de l'État ?")</f>
        <v>Détention ou arrestation par les forces de sécurité de l'État ?</v>
      </c>
      <c r="I545" s="152" t="str">
        <f>IFERROR(__xludf.DUMMYFUNCTION("TRIM(REGEXREPLACE(E545, ""[0-9]+[a-f]?\."", """"))"),"Kaso ko kamu daga jami'an tsaron gwamnati?")</f>
        <v>Kaso ko kamu daga jami'an tsaron gwamnati?</v>
      </c>
      <c r="J545" s="152" t="s">
        <v>3862</v>
      </c>
      <c r="K545" s="152" t="s">
        <v>3863</v>
      </c>
      <c r="L545" s="152" t="s">
        <v>3864</v>
      </c>
      <c r="M545" s="152"/>
    </row>
    <row r="546" hidden="1">
      <c r="A546" s="140" t="s">
        <v>237</v>
      </c>
      <c r="B546" s="191" t="s">
        <v>3815</v>
      </c>
      <c r="C546" s="28"/>
      <c r="D546" s="28"/>
      <c r="E546" s="28"/>
      <c r="F546" s="161">
        <v>284.0</v>
      </c>
      <c r="G546" s="152" t="str">
        <f>IFERROR(__xludf.DUMMYFUNCTION("TRIM(REGEXREPLACE(C546, ""[0-9]+[a-f]?\."", """"))"),"")</f>
        <v/>
      </c>
      <c r="H546" s="152" t="str">
        <f>IFERROR(__xludf.DUMMYFUNCTION("TRIM(REGEXREPLACE(D546, ""[0-9]+[a-f]?\."", """"))"),"")</f>
        <v/>
      </c>
      <c r="I546" s="152" t="str">
        <f>IFERROR(__xludf.DUMMYFUNCTION("TRIM(REGEXREPLACE(E546, ""[0-9]+[a-f]?\."", """"))"),"")</f>
        <v/>
      </c>
      <c r="J546" s="152" t="s">
        <v>3866</v>
      </c>
      <c r="K546" s="152" t="s">
        <v>3867</v>
      </c>
      <c r="L546" s="152" t="s">
        <v>3868</v>
      </c>
    </row>
    <row r="547" hidden="1">
      <c r="A547" s="174" t="s">
        <v>1015</v>
      </c>
      <c r="B547" s="204" t="s">
        <v>3558</v>
      </c>
      <c r="C547" s="28" t="s">
        <v>3560</v>
      </c>
      <c r="D547" s="28"/>
      <c r="E547" s="28" t="s">
        <v>3561</v>
      </c>
      <c r="F547" s="161">
        <v>285.0</v>
      </c>
      <c r="G547" s="152" t="str">
        <f>IFERROR(__xludf.DUMMYFUNCTION("TRIM(REGEXREPLACE(C547, ""[0-9]+[a-f]?\."", """"))"),"Transits")</f>
        <v>Transits</v>
      </c>
      <c r="H547" s="152" t="str">
        <f>IFERROR(__xludf.DUMMYFUNCTION("TRIM(REGEXREPLACE(D547, ""[0-9]+[a-f]?\."", """"))"),"")</f>
        <v/>
      </c>
      <c r="I547" s="152" t="str">
        <f>IFERROR(__xludf.DUMMYFUNCTION("TRIM(REGEXREPLACE(E547, ""[0-9]+[a-f]?\."", """"))"),"Hanya")</f>
        <v>Hanya</v>
      </c>
      <c r="J547" s="152" t="s">
        <v>3870</v>
      </c>
      <c r="K547" s="152" t="s">
        <v>3871</v>
      </c>
      <c r="L547" s="152" t="s">
        <v>3872</v>
      </c>
    </row>
    <row r="548" hidden="1">
      <c r="A548" s="65" t="s">
        <v>134</v>
      </c>
      <c r="B548" s="66" t="s">
        <v>3873</v>
      </c>
      <c r="C548" s="28"/>
      <c r="D548" s="28"/>
      <c r="E548" s="28"/>
      <c r="F548" s="161">
        <v>286.0</v>
      </c>
      <c r="G548" s="152" t="str">
        <f>IFERROR(__xludf.DUMMYFUNCTION("TRIM(REGEXREPLACE(C548, ""[0-9]+[a-f]?\."", """"))"),"")</f>
        <v/>
      </c>
      <c r="H548" s="152" t="str">
        <f>IFERROR(__xludf.DUMMYFUNCTION("TRIM(REGEXREPLACE(D548, ""[0-9]+[a-f]?\."", """"))"),"")</f>
        <v/>
      </c>
      <c r="I548" s="152" t="str">
        <f>IFERROR(__xludf.DUMMYFUNCTION("TRIM(REGEXREPLACE(E548, ""[0-9]+[a-f]?\."", """"))"),"")</f>
        <v/>
      </c>
      <c r="J548" s="152" t="s">
        <v>3874</v>
      </c>
      <c r="K548" s="152" t="s">
        <v>3875</v>
      </c>
      <c r="L548" s="152" t="s">
        <v>3876</v>
      </c>
    </row>
    <row r="549" hidden="1">
      <c r="A549" s="58" t="s">
        <v>78</v>
      </c>
      <c r="B549" s="58" t="s">
        <v>3877</v>
      </c>
      <c r="C549" s="28"/>
      <c r="D549" s="28"/>
      <c r="E549" s="28"/>
      <c r="F549" s="161">
        <v>287.0</v>
      </c>
      <c r="G549" s="152" t="str">
        <f>IFERROR(__xludf.DUMMYFUNCTION("TRIM(REGEXREPLACE(C549, ""[0-9]+[a-f]?\."", """"))"),"")</f>
        <v/>
      </c>
      <c r="H549" s="152" t="str">
        <f>IFERROR(__xludf.DUMMYFUNCTION("TRIM(REGEXREPLACE(D549, ""[0-9]+[a-f]?\."", """"))"),"")</f>
        <v/>
      </c>
      <c r="I549" s="152" t="str">
        <f>IFERROR(__xludf.DUMMYFUNCTION("TRIM(REGEXREPLACE(E549, ""[0-9]+[a-f]?\."", """"))"),"")</f>
        <v/>
      </c>
      <c r="J549" s="152" t="s">
        <v>3879</v>
      </c>
      <c r="K549" s="152" t="s">
        <v>3880</v>
      </c>
      <c r="L549" s="152" t="s">
        <v>3881</v>
      </c>
    </row>
    <row r="550" hidden="1">
      <c r="A550" s="65" t="s">
        <v>134</v>
      </c>
      <c r="B550" s="66" t="s">
        <v>3882</v>
      </c>
      <c r="C550" s="28"/>
      <c r="D550" s="28"/>
      <c r="E550" s="28"/>
      <c r="F550" s="161">
        <v>288.0</v>
      </c>
      <c r="G550" s="152" t="str">
        <f>IFERROR(__xludf.DUMMYFUNCTION("TRIM(REGEXREPLACE(C550, ""[0-9]+[a-f]?\."", """"))"),"")</f>
        <v/>
      </c>
      <c r="H550" s="152" t="str">
        <f>IFERROR(__xludf.DUMMYFUNCTION("TRIM(REGEXREPLACE(D550, ""[0-9]+[a-f]?\."", """"))"),"")</f>
        <v/>
      </c>
      <c r="I550" s="152" t="str">
        <f>IFERROR(__xludf.DUMMYFUNCTION("TRIM(REGEXREPLACE(E550, ""[0-9]+[a-f]?\."", """"))"),"")</f>
        <v/>
      </c>
      <c r="J550" s="152" t="s">
        <v>3883</v>
      </c>
      <c r="K550" s="152" t="s">
        <v>3884</v>
      </c>
      <c r="L550" s="152" t="s">
        <v>3885</v>
      </c>
    </row>
    <row r="551" hidden="1">
      <c r="A551" s="231" t="s">
        <v>78</v>
      </c>
      <c r="B551" s="238" t="s">
        <v>3887</v>
      </c>
      <c r="C551" s="28"/>
      <c r="D551" s="28"/>
      <c r="E551" s="28"/>
      <c r="F551" s="161">
        <v>289.0</v>
      </c>
      <c r="G551" s="152" t="str">
        <f>IFERROR(__xludf.DUMMYFUNCTION("TRIM(REGEXREPLACE(C551, ""[0-9]+[a-f]?\."", """"))"),"")</f>
        <v/>
      </c>
      <c r="H551" s="152" t="str">
        <f>IFERROR(__xludf.DUMMYFUNCTION("TRIM(REGEXREPLACE(D551, ""[0-9]+[a-f]?\."", """"))"),"")</f>
        <v/>
      </c>
      <c r="I551" s="152" t="str">
        <f>IFERROR(__xludf.DUMMYFUNCTION("TRIM(REGEXREPLACE(E551, ""[0-9]+[a-f]?\."", """"))"),"")</f>
        <v/>
      </c>
      <c r="J551" s="152" t="s">
        <v>3888</v>
      </c>
      <c r="K551" s="152" t="s">
        <v>3889</v>
      </c>
      <c r="L551" s="152" t="s">
        <v>3890</v>
      </c>
    </row>
    <row r="552" hidden="1">
      <c r="A552" s="231" t="s">
        <v>78</v>
      </c>
      <c r="B552" s="238" t="s">
        <v>3891</v>
      </c>
      <c r="C552" s="28" t="s">
        <v>3892</v>
      </c>
      <c r="D552" s="28"/>
      <c r="E552" s="28"/>
      <c r="F552" s="161">
        <v>327.0</v>
      </c>
      <c r="G552" s="152" t="str">
        <f>IFERROR(__xludf.DUMMYFUNCTION("TRIM(REGEXREPLACE(C552, ""[0-9]+[a-f]?\."", """"))"),"NEED TO TRANSLATE")</f>
        <v>NEED TO TRANSLATE</v>
      </c>
      <c r="H552" s="152" t="str">
        <f>IFERROR(__xludf.DUMMYFUNCTION("TRIM(REGEXREPLACE(D552, ""[0-9]+[a-f]?\."", """"))"),"")</f>
        <v/>
      </c>
      <c r="I552" s="152" t="str">
        <f>IFERROR(__xludf.DUMMYFUNCTION("TRIM(REGEXREPLACE(E552, ""[0-9]+[a-f]?\."", """"))"),"")</f>
        <v/>
      </c>
      <c r="J552" s="152" t="s">
        <v>3893</v>
      </c>
      <c r="K552" s="152" t="s">
        <v>3894</v>
      </c>
      <c r="L552" s="152" t="s">
        <v>3895</v>
      </c>
      <c r="M552" s="152"/>
    </row>
    <row r="553" hidden="1">
      <c r="A553" s="231" t="s">
        <v>78</v>
      </c>
      <c r="B553" s="238" t="s">
        <v>3896</v>
      </c>
      <c r="C553" s="28" t="s">
        <v>3892</v>
      </c>
      <c r="D553" s="28"/>
      <c r="E553" s="28"/>
      <c r="F553" s="161">
        <v>290.0</v>
      </c>
      <c r="G553" s="152" t="str">
        <f>IFERROR(__xludf.DUMMYFUNCTION("TRIM(REGEXREPLACE(C553, ""[0-9]+[a-f]?\."", """"))"),"NEED TO TRANSLATE")</f>
        <v>NEED TO TRANSLATE</v>
      </c>
      <c r="H553" s="152" t="str">
        <f>IFERROR(__xludf.DUMMYFUNCTION("TRIM(REGEXREPLACE(D553, ""[0-9]+[a-f]?\."", """"))"),"")</f>
        <v/>
      </c>
      <c r="I553" s="152" t="str">
        <f>IFERROR(__xludf.DUMMYFUNCTION("TRIM(REGEXREPLACE(E553, ""[0-9]+[a-f]?\."", """"))"),"")</f>
        <v/>
      </c>
      <c r="J553" s="152" t="s">
        <v>3897</v>
      </c>
      <c r="K553" s="152" t="s">
        <v>3898</v>
      </c>
      <c r="L553" s="152" t="s">
        <v>3899</v>
      </c>
      <c r="M553" s="152"/>
    </row>
    <row r="554">
      <c r="A554" s="254" t="s">
        <v>41</v>
      </c>
      <c r="B554" s="268" t="s">
        <v>3900</v>
      </c>
      <c r="C554" s="28" t="s">
        <v>3901</v>
      </c>
      <c r="D554" s="28" t="s">
        <v>3902</v>
      </c>
      <c r="E554" s="28" t="s">
        <v>3903</v>
      </c>
      <c r="F554" s="161">
        <v>156.0</v>
      </c>
      <c r="G554" s="152" t="str">
        <f>IFERROR(__xludf.DUMMYFUNCTION("TRIM(REGEXREPLACE(C554, ""[0-9]+[a-f]?\."", """"))"),"I am now going to ask you some questions about your experience in each location during ${period}. ${pm_missed_locs_lab}")</f>
        <v>I am now going to ask you some questions about your experience in each location during ${period}. ${pm_missed_locs_lab}</v>
      </c>
      <c r="H554" s="152" t="str">
        <f>IFERROR(__xludf.DUMMYFUNCTION("TRIM(REGEXREPLACE(D554, ""[0-9]+[a-f]?\."", """"))"),"Je vais maintenant vous poser quelques questions sur votre expérience dans chaque lieu entre ${period_french}. Veuillez énumérer les emplacements du plus récent au moins récent. ${pm_missed_locs_lab_fr}")</f>
        <v>Je vais maintenant vous poser quelques questions sur votre expérience dans chaque lieu entre ${period_french}. Veuillez énumérer les emplacements du plus récent au moins récent. ${pm_missed_locs_lab_fr}</v>
      </c>
      <c r="I554" s="152" t="str">
        <f>IFERROR(__xludf.DUMMYFUNCTION("TRIM(REGEXREPLACE(E554, ""[0-9]+[a-f]?\."", """"))"),"Yanzu zan yi muku wasu tambayoyi bisa saninku na kowane wuri yayin ${period_hausa}. 
Da fatan za a jera wuraren daga mafi ƙaranci zuwa na baya-bayan nan. ${pm_missed_locs_lab_ha}")</f>
        <v>Yanzu zan yi muku wasu tambayoyi bisa saninku na kowane wuri yayin ${period_hausa}. 
Da fatan za a jera wuraren daga mafi ƙaranci zuwa na baya-bayan nan. ${pm_missed_locs_lab_ha}</v>
      </c>
      <c r="J554" s="152" t="s">
        <v>3904</v>
      </c>
      <c r="K554" s="152" t="s">
        <v>3905</v>
      </c>
      <c r="L554" s="152" t="s">
        <v>3906</v>
      </c>
      <c r="M554" s="152"/>
    </row>
    <row r="555" hidden="1">
      <c r="A555" s="246" t="s">
        <v>698</v>
      </c>
      <c r="B555" s="247" t="s">
        <v>3908</v>
      </c>
      <c r="C555" s="28" t="s">
        <v>3064</v>
      </c>
      <c r="D555" s="28" t="s">
        <v>3909</v>
      </c>
      <c r="E555" s="28" t="s">
        <v>3910</v>
      </c>
      <c r="F555" s="161">
        <v>292.0</v>
      </c>
      <c r="G555" s="152" t="str">
        <f>IFERROR(__xludf.DUMMYFUNCTION("TRIM(REGEXREPLACE(C555, ""[0-9]+[a-f]?\."", """"))"),"Locations")</f>
        <v>Locations</v>
      </c>
      <c r="H555" s="152" t="str">
        <f>IFERROR(__xludf.DUMMYFUNCTION("TRIM(REGEXREPLACE(D555, ""[0-9]+[a-f]?\."", """"))"),"Emplacements")</f>
        <v>Emplacements</v>
      </c>
      <c r="I555" s="152" t="str">
        <f>IFERROR(__xludf.DUMMYFUNCTION("TRIM(REGEXREPLACE(E555, ""[0-9]+[a-f]?\."", """"))"),"Wurare")</f>
        <v>Wurare</v>
      </c>
      <c r="J555" s="152" t="s">
        <v>3914</v>
      </c>
      <c r="K555" s="152" t="s">
        <v>3915</v>
      </c>
      <c r="L555" s="152" t="s">
        <v>3916</v>
      </c>
      <c r="M555" s="152"/>
    </row>
    <row r="556" hidden="1">
      <c r="A556" s="231" t="s">
        <v>78</v>
      </c>
      <c r="B556" s="238" t="s">
        <v>3917</v>
      </c>
      <c r="C556" s="28"/>
      <c r="D556" s="28"/>
      <c r="E556" s="28"/>
      <c r="F556" s="161">
        <v>293.0</v>
      </c>
      <c r="G556" s="152" t="str">
        <f>IFERROR(__xludf.DUMMYFUNCTION("TRIM(REGEXREPLACE(C556, ""[0-9]+[a-f]?\."", """"))"),"")</f>
        <v/>
      </c>
      <c r="H556" s="152" t="str">
        <f>IFERROR(__xludf.DUMMYFUNCTION("TRIM(REGEXREPLACE(D556, ""[0-9]+[a-f]?\."", """"))"),"")</f>
        <v/>
      </c>
      <c r="I556" s="152" t="str">
        <f>IFERROR(__xludf.DUMMYFUNCTION("TRIM(REGEXREPLACE(E556, ""[0-9]+[a-f]?\."", """"))"),"")</f>
        <v/>
      </c>
      <c r="J556" s="152" t="s">
        <v>3918</v>
      </c>
      <c r="K556" s="152" t="s">
        <v>3918</v>
      </c>
      <c r="L556" s="152" t="s">
        <v>3919</v>
      </c>
      <c r="M556" s="152"/>
    </row>
    <row r="557" hidden="1">
      <c r="A557" s="231" t="s">
        <v>78</v>
      </c>
      <c r="B557" s="238" t="s">
        <v>3920</v>
      </c>
      <c r="C557" s="28"/>
      <c r="D557" s="28"/>
      <c r="E557" s="28"/>
      <c r="F557" s="161">
        <v>294.0</v>
      </c>
      <c r="G557" s="152" t="str">
        <f>IFERROR(__xludf.DUMMYFUNCTION("TRIM(REGEXREPLACE(C557, ""[0-9]+[a-f]?\."", """"))"),"")</f>
        <v/>
      </c>
      <c r="H557" s="152" t="str">
        <f>IFERROR(__xludf.DUMMYFUNCTION("TRIM(REGEXREPLACE(D557, ""[0-9]+[a-f]?\."", """"))"),"")</f>
        <v/>
      </c>
      <c r="I557" s="152" t="str">
        <f>IFERROR(__xludf.DUMMYFUNCTION("TRIM(REGEXREPLACE(E557, ""[0-9]+[a-f]?\."", """"))"),"")</f>
        <v/>
      </c>
      <c r="J557" s="152" t="s">
        <v>3923</v>
      </c>
      <c r="K557" s="152" t="s">
        <v>3925</v>
      </c>
      <c r="L557" s="152" t="s">
        <v>3926</v>
      </c>
      <c r="M557" s="152"/>
    </row>
    <row r="558" hidden="1">
      <c r="A558" s="231" t="s">
        <v>78</v>
      </c>
      <c r="B558" s="238" t="s">
        <v>3927</v>
      </c>
      <c r="C558" s="28"/>
      <c r="D558" s="28"/>
      <c r="E558" s="28"/>
      <c r="F558" s="161">
        <v>295.0</v>
      </c>
      <c r="G558" s="152" t="str">
        <f>IFERROR(__xludf.DUMMYFUNCTION("TRIM(REGEXREPLACE(C558, ""[0-9]+[a-f]?\."", """"))"),"")</f>
        <v/>
      </c>
      <c r="H558" s="152" t="str">
        <f>IFERROR(__xludf.DUMMYFUNCTION("TRIM(REGEXREPLACE(D558, ""[0-9]+[a-f]?\."", """"))"),"")</f>
        <v/>
      </c>
      <c r="I558" s="152" t="str">
        <f>IFERROR(__xludf.DUMMYFUNCTION("TRIM(REGEXREPLACE(E558, ""[0-9]+[a-f]?\."", """"))"),"")</f>
        <v/>
      </c>
      <c r="J558" s="152" t="s">
        <v>3928</v>
      </c>
      <c r="K558" s="152" t="s">
        <v>3929</v>
      </c>
      <c r="L558" s="152" t="s">
        <v>3930</v>
      </c>
      <c r="M558" s="152"/>
    </row>
    <row r="559" hidden="1">
      <c r="A559" s="231" t="s">
        <v>78</v>
      </c>
      <c r="B559" s="238" t="s">
        <v>3931</v>
      </c>
      <c r="C559" s="28"/>
      <c r="D559" s="28"/>
      <c r="E559" s="28"/>
      <c r="F559" s="161">
        <v>296.0</v>
      </c>
      <c r="G559" s="152" t="str">
        <f>IFERROR(__xludf.DUMMYFUNCTION("TRIM(REGEXREPLACE(C559, ""[0-9]+[a-f]?\."", """"))"),"")</f>
        <v/>
      </c>
      <c r="H559" s="152" t="str">
        <f>IFERROR(__xludf.DUMMYFUNCTION("TRIM(REGEXREPLACE(D559, ""[0-9]+[a-f]?\."", """"))"),"")</f>
        <v/>
      </c>
      <c r="I559" s="152" t="str">
        <f>IFERROR(__xludf.DUMMYFUNCTION("TRIM(REGEXREPLACE(E559, ""[0-9]+[a-f]?\."", """"))"),"")</f>
        <v/>
      </c>
      <c r="J559" s="152" t="s">
        <v>3932</v>
      </c>
      <c r="K559" s="152" t="s">
        <v>3933</v>
      </c>
      <c r="L559" s="152" t="s">
        <v>3935</v>
      </c>
    </row>
    <row r="560" hidden="1">
      <c r="A560" s="231" t="s">
        <v>78</v>
      </c>
      <c r="B560" s="238" t="s">
        <v>3937</v>
      </c>
      <c r="C560" s="28"/>
      <c r="D560" s="28"/>
      <c r="E560" s="28"/>
      <c r="F560" s="161">
        <v>297.0</v>
      </c>
      <c r="G560" s="152" t="str">
        <f>IFERROR(__xludf.DUMMYFUNCTION("TRIM(REGEXREPLACE(C560, ""[0-9]+[a-f]?\."", """"))"),"")</f>
        <v/>
      </c>
      <c r="H560" s="152" t="str">
        <f>IFERROR(__xludf.DUMMYFUNCTION("TRIM(REGEXREPLACE(D560, ""[0-9]+[a-f]?\."", """"))"),"")</f>
        <v/>
      </c>
      <c r="I560" s="152" t="str">
        <f>IFERROR(__xludf.DUMMYFUNCTION("TRIM(REGEXREPLACE(E560, ""[0-9]+[a-f]?\."", """"))"),"")</f>
        <v/>
      </c>
      <c r="J560" s="152" t="s">
        <v>3939</v>
      </c>
      <c r="K560" s="152" t="s">
        <v>3940</v>
      </c>
      <c r="L560" s="152" t="s">
        <v>3941</v>
      </c>
    </row>
    <row r="561" hidden="1">
      <c r="A561" s="231" t="s">
        <v>78</v>
      </c>
      <c r="B561" s="238" t="s">
        <v>3942</v>
      </c>
      <c r="C561" s="28"/>
      <c r="D561" s="28"/>
      <c r="E561" s="28"/>
      <c r="F561" s="161">
        <v>329.0</v>
      </c>
      <c r="G561" s="152" t="str">
        <f>IFERROR(__xludf.DUMMYFUNCTION("TRIM(REGEXREPLACE(C561, ""[0-9]+[a-f]?\."", """"))"),"")</f>
        <v/>
      </c>
      <c r="H561" s="152" t="str">
        <f>IFERROR(__xludf.DUMMYFUNCTION("TRIM(REGEXREPLACE(D561, ""[0-9]+[a-f]?\."", """"))"),"")</f>
        <v/>
      </c>
      <c r="I561" s="152" t="str">
        <f>IFERROR(__xludf.DUMMYFUNCTION("TRIM(REGEXREPLACE(E561, ""[0-9]+[a-f]?\."", """"))"),"")</f>
        <v/>
      </c>
      <c r="J561" s="152" t="s">
        <v>3944</v>
      </c>
      <c r="K561" s="152" t="s">
        <v>3946</v>
      </c>
      <c r="L561" s="152" t="s">
        <v>3948</v>
      </c>
    </row>
    <row r="562" hidden="1">
      <c r="A562" s="231" t="s">
        <v>78</v>
      </c>
      <c r="B562" s="238" t="s">
        <v>3949</v>
      </c>
      <c r="C562" s="28"/>
      <c r="D562" s="28"/>
      <c r="E562" s="28"/>
      <c r="F562" s="161">
        <v>330.0</v>
      </c>
      <c r="G562" s="152" t="str">
        <f>IFERROR(__xludf.DUMMYFUNCTION("TRIM(REGEXREPLACE(C562, ""[0-9]+[a-f]?\."", """"))"),"")</f>
        <v/>
      </c>
      <c r="H562" s="152" t="str">
        <f>IFERROR(__xludf.DUMMYFUNCTION("TRIM(REGEXREPLACE(D562, ""[0-9]+[a-f]?\."", """"))"),"")</f>
        <v/>
      </c>
      <c r="I562" s="152" t="str">
        <f>IFERROR(__xludf.DUMMYFUNCTION("TRIM(REGEXREPLACE(E562, ""[0-9]+[a-f]?\."", """"))"),"")</f>
        <v/>
      </c>
      <c r="J562" s="152" t="s">
        <v>3955</v>
      </c>
      <c r="K562" s="152" t="s">
        <v>3956</v>
      </c>
      <c r="L562" s="152" t="s">
        <v>3957</v>
      </c>
      <c r="M562" s="152"/>
    </row>
    <row r="563" hidden="1">
      <c r="A563" s="231" t="s">
        <v>78</v>
      </c>
      <c r="B563" s="238" t="s">
        <v>3958</v>
      </c>
      <c r="C563" s="28"/>
      <c r="D563" s="28"/>
      <c r="E563" s="28"/>
      <c r="F563" s="161">
        <v>298.0</v>
      </c>
      <c r="G563" s="152" t="str">
        <f>IFERROR(__xludf.DUMMYFUNCTION("TRIM(REGEXREPLACE(C563, ""[0-9]+[a-f]?\."", """"))"),"")</f>
        <v/>
      </c>
      <c r="H563" s="152" t="str">
        <f>IFERROR(__xludf.DUMMYFUNCTION("TRIM(REGEXREPLACE(D563, ""[0-9]+[a-f]?\."", """"))"),"")</f>
        <v/>
      </c>
      <c r="I563" s="152" t="str">
        <f>IFERROR(__xludf.DUMMYFUNCTION("TRIM(REGEXREPLACE(E563, ""[0-9]+[a-f]?\."", """"))"),"")</f>
        <v/>
      </c>
      <c r="J563" s="152" t="s">
        <v>3959</v>
      </c>
      <c r="K563" s="152" t="s">
        <v>3960</v>
      </c>
      <c r="L563" s="152" t="s">
        <v>3961</v>
      </c>
      <c r="M563" s="152"/>
    </row>
    <row r="564">
      <c r="A564" s="237" t="s">
        <v>263</v>
      </c>
      <c r="B564" s="269" t="s">
        <v>3962</v>
      </c>
      <c r="C564" s="28" t="s">
        <v>3963</v>
      </c>
      <c r="D564" s="28" t="s">
        <v>3965</v>
      </c>
      <c r="E564" s="28" t="s">
        <v>3968</v>
      </c>
      <c r="F564" s="161">
        <v>157.0</v>
      </c>
      <c r="G564" s="152" t="str">
        <f>IFERROR(__xludf.DUMMYFUNCTION("TRIM(REGEXREPLACE(C564, ""[0-9]+[a-f]?\."", """"))"),"How many weeks did you spend in ${pm_location_name}, ${pm_location_period_lab}?")</f>
        <v>How many weeks did you spend in ${pm_location_name}, ${pm_location_period_lab}?</v>
      </c>
      <c r="H564" s="152" t="str">
        <f>IFERROR(__xludf.DUMMYFUNCTION("TRIM(REGEXREPLACE(D564, ""[0-9]+[a-f]?\."", """"))"),"Combien de semaines avez-vous passées à ${pm_location_name}, ${pm_location_period_lab_fr} ?")</f>
        <v>Combien de semaines avez-vous passées à ${pm_location_name}, ${pm_location_period_lab_fr} ?</v>
      </c>
      <c r="I564" s="152" t="str">
        <f>IFERROR(__xludf.DUMMYFUNCTION("TRIM(REGEXREPLACE(E564, ""[0-9]+[a-f]?\."", """"))"),"Sati nawa ne kuka zauna a ${pm_location_name}, ${pm_location_period_lab_ha}?")</f>
        <v>Sati nawa ne kuka zauna a ${pm_location_name}, ${pm_location_period_lab_ha}?</v>
      </c>
      <c r="J564" s="152" t="s">
        <v>3970</v>
      </c>
      <c r="K564" s="152" t="s">
        <v>3971</v>
      </c>
      <c r="L564" s="152" t="s">
        <v>3972</v>
      </c>
      <c r="M564" s="152"/>
    </row>
    <row r="565">
      <c r="A565" s="68" t="s">
        <v>463</v>
      </c>
      <c r="B565" s="169" t="s">
        <v>3973</v>
      </c>
      <c r="C565" s="28" t="s">
        <v>3974</v>
      </c>
      <c r="D565" s="28" t="s">
        <v>3975</v>
      </c>
      <c r="E565" s="28" t="s">
        <v>3976</v>
      </c>
      <c r="F565" s="161">
        <v>158.0</v>
      </c>
      <c r="G565" s="152" t="str">
        <f>IFERROR(__xludf.DUMMYFUNCTION("TRIM(REGEXREPLACE(C565, ""[0-9]+[a-f]?\."", """"))"),"Did you look for paid work in ${pm_location_name}?")</f>
        <v>Did you look for paid work in ${pm_location_name}?</v>
      </c>
      <c r="H565" s="152" t="str">
        <f>IFERROR(__xludf.DUMMYFUNCTION("TRIM(REGEXREPLACE(D565, ""[0-9]+[a-f]?\."", """"))"),"Avez-vous cherché un travail rémunéré à ${pm_location_name} ?")</f>
        <v>Avez-vous cherché un travail rémunéré à ${pm_location_name} ?</v>
      </c>
      <c r="I565" s="152" t="str">
        <f>IFERROR(__xludf.DUMMYFUNCTION("TRIM(REGEXREPLACE(E565, ""[0-9]+[a-f]?\."", """"))"),"Ko kun nemi aikin biya a ${pm_location_name}?")</f>
        <v>Ko kun nemi aikin biya a ${pm_location_name}?</v>
      </c>
      <c r="J565" s="152" t="s">
        <v>3977</v>
      </c>
      <c r="K565" s="152" t="s">
        <v>3978</v>
      </c>
      <c r="L565" s="152" t="s">
        <v>3979</v>
      </c>
    </row>
    <row r="566">
      <c r="A566" s="68" t="s">
        <v>463</v>
      </c>
      <c r="B566" s="169" t="s">
        <v>3980</v>
      </c>
      <c r="C566" s="28" t="s">
        <v>3982</v>
      </c>
      <c r="D566" s="28" t="s">
        <v>3983</v>
      </c>
      <c r="E566" s="28" t="s">
        <v>3984</v>
      </c>
      <c r="F566" s="161">
        <v>159.0</v>
      </c>
      <c r="G566" s="152" t="str">
        <f>IFERROR(__xludf.DUMMYFUNCTION("TRIM(REGEXREPLACE(C566, ""[0-9]+[a-f]?\."", """"))"),"Did you engage in any work in ${pm_location_name} irrespective of whether you were paid?")</f>
        <v>Did you engage in any work in ${pm_location_name} irrespective of whether you were paid?</v>
      </c>
      <c r="H566" s="152" t="str">
        <f>IFERROR(__xludf.DUMMYFUNCTION("TRIM(REGEXREPLACE(D566, ""[0-9]+[a-f]?\."", """"))"),"Avez-vous effectué un travail à ${pm_location_name}, que vous ayez été payé ou non ?")</f>
        <v>Avez-vous effectué un travail à ${pm_location_name}, que vous ayez été payé ou non ?</v>
      </c>
      <c r="I566" s="152" t="str">
        <f>IFERROR(__xludf.DUMMYFUNCTION("TRIM(REGEXREPLACE(E566, ""[0-9]+[a-f]?\."", """"))"),"Ko kun yi wani aiki a ${pm_location_name} na biya ko ba na biya ba?")</f>
        <v>Ko kun yi wani aiki a ${pm_location_name} na biya ko ba na biya ba?</v>
      </c>
      <c r="J566" s="152" t="s">
        <v>3985</v>
      </c>
      <c r="K566" s="152" t="s">
        <v>3986</v>
      </c>
      <c r="L566" s="152" t="s">
        <v>3987</v>
      </c>
    </row>
    <row r="567">
      <c r="A567" s="68" t="s">
        <v>3988</v>
      </c>
      <c r="B567" s="169" t="s">
        <v>3989</v>
      </c>
      <c r="C567" s="28" t="s">
        <v>3990</v>
      </c>
      <c r="D567" s="28" t="s">
        <v>3991</v>
      </c>
      <c r="E567" s="28" t="s">
        <v>3992</v>
      </c>
      <c r="F567" s="161">
        <v>160.0</v>
      </c>
      <c r="G567" s="152" t="str">
        <f>IFERROR(__xludf.DUMMYFUNCTION("TRIM(REGEXREPLACE(C567, ""[0-9]+[a-f]?\."", """"))"),"What is the main reason you did not work in ${pm_location_name}?")</f>
        <v>What is the main reason you did not work in ${pm_location_name}?</v>
      </c>
      <c r="H567" s="152" t="str">
        <f>IFERROR(__xludf.DUMMYFUNCTION("TRIM(REGEXREPLACE(D567, ""[0-9]+[a-f]?\."", """"))"),"Quelle est la principale raison pour laquelle vous n'avez pas travaillé à ${pm_location_name} ?")</f>
        <v>Quelle est la principale raison pour laquelle vous n'avez pas travaillé à ${pm_location_name} ?</v>
      </c>
      <c r="I567" s="152" t="str">
        <f>IFERROR(__xludf.DUMMYFUNCTION("TRIM(REGEXREPLACE(E567, ""[0-9]+[a-f]?\."", """"))"),"Menene babban dalilin da yasa baku yi aiki a ${pm_location_name} ba?")</f>
        <v>Menene babban dalilin da yasa baku yi aiki a ${pm_location_name} ba?</v>
      </c>
      <c r="J567" s="152" t="s">
        <v>3997</v>
      </c>
      <c r="K567" s="152" t="s">
        <v>3998</v>
      </c>
      <c r="L567" s="152" t="s">
        <v>3999</v>
      </c>
    </row>
    <row r="568">
      <c r="A568" s="179" t="s">
        <v>246</v>
      </c>
      <c r="B568" s="180" t="s">
        <v>4000</v>
      </c>
      <c r="C568" s="28" t="s">
        <v>4001</v>
      </c>
      <c r="D568" s="28" t="s">
        <v>4002</v>
      </c>
      <c r="E568" s="28" t="s">
        <v>4003</v>
      </c>
      <c r="F568" s="161">
        <v>161.0</v>
      </c>
      <c r="G568" s="152" t="str">
        <f>IFERROR(__xludf.DUMMYFUNCTION("TRIM(REGEXREPLACE(C568, ""[0-9]+[a-f]?\."", """"))"),"Specify other:")</f>
        <v>Specify other:</v>
      </c>
      <c r="H568" s="152" t="str">
        <f>IFERROR(__xludf.DUMMYFUNCTION("TRIM(REGEXREPLACE(D568, ""[0-9]+[a-f]?\."", """"))"),"Autre à préciser:")</f>
        <v>Autre à préciser:</v>
      </c>
      <c r="I568" s="152" t="str">
        <f>IFERROR(__xludf.DUMMYFUNCTION("TRIM(REGEXREPLACE(E568, ""[0-9]+[a-f]?\."", """"))"),"Wani daban a Baiyana:")</f>
        <v>Wani daban a Baiyana:</v>
      </c>
      <c r="J568" s="152" t="s">
        <v>4004</v>
      </c>
      <c r="K568" s="152" t="s">
        <v>4005</v>
      </c>
      <c r="L568" s="152" t="s">
        <v>4006</v>
      </c>
    </row>
    <row r="569">
      <c r="A569" s="170" t="s">
        <v>263</v>
      </c>
      <c r="B569" s="171" t="s">
        <v>4007</v>
      </c>
      <c r="C569" s="28" t="s">
        <v>4008</v>
      </c>
      <c r="D569" s="28" t="s">
        <v>4009</v>
      </c>
      <c r="E569" s="28" t="s">
        <v>4010</v>
      </c>
      <c r="F569" s="161">
        <v>162.0</v>
      </c>
      <c r="G569" s="152" t="str">
        <f>IFERROR(__xludf.DUMMYFUNCTION("TRIM(REGEXREPLACE(C569, ""[0-9]+[a-f]?\."", """"))"),"How many jobs did you work in ${pm_location_name}, whether or not you received pay?")</f>
        <v>How many jobs did you work in ${pm_location_name}, whether or not you received pay?</v>
      </c>
      <c r="H569" s="152" t="str">
        <f>IFERROR(__xludf.DUMMYFUNCTION("TRIM(REGEXREPLACE(D569, ""[0-9]+[a-f]?\."", """"))"),"Combien d'emplois avez-vous occupés sur ${pm_location_name}, que vous ayez été rémunéré ou non ?")</f>
        <v>Combien d'emplois avez-vous occupés sur ${pm_location_name}, que vous ayez été rémunéré ou non ?</v>
      </c>
      <c r="I569" s="152" t="str">
        <f>IFERROR(__xludf.DUMMYFUNCTION("TRIM(REGEXREPLACE(E569, ""[0-9]+[a-f]?\."", """"))"),"Ayyuka nawa kuka yi a wurin, ko na biya ko ba na biya ba?")</f>
        <v>Ayyuka nawa kuka yi a wurin, ko na biya ko ba na biya ba?</v>
      </c>
      <c r="J569" s="152" t="s">
        <v>4014</v>
      </c>
      <c r="K569" s="152" t="s">
        <v>4015</v>
      </c>
      <c r="L569" s="152" t="s">
        <v>4016</v>
      </c>
    </row>
    <row r="570" hidden="1">
      <c r="A570" s="65" t="s">
        <v>134</v>
      </c>
      <c r="B570" s="66" t="s">
        <v>4017</v>
      </c>
      <c r="C570" s="28"/>
      <c r="D570" s="28"/>
      <c r="E570" s="28"/>
      <c r="F570" s="161">
        <v>338.0</v>
      </c>
      <c r="G570" s="152" t="str">
        <f>IFERROR(__xludf.DUMMYFUNCTION("TRIM(REGEXREPLACE(C570, ""[0-9]+[a-f]?\."", """"))"),"")</f>
        <v/>
      </c>
      <c r="H570" s="152" t="str">
        <f>IFERROR(__xludf.DUMMYFUNCTION("TRIM(REGEXREPLACE(D570, ""[0-9]+[a-f]?\."", """"))"),"")</f>
        <v/>
      </c>
      <c r="I570" s="152" t="str">
        <f>IFERROR(__xludf.DUMMYFUNCTION("TRIM(REGEXREPLACE(E570, ""[0-9]+[a-f]?\."", """"))"),"")</f>
        <v/>
      </c>
      <c r="J570" s="152" t="s">
        <v>4018</v>
      </c>
      <c r="K570" s="152" t="s">
        <v>4019</v>
      </c>
      <c r="L570" s="152" t="s">
        <v>4020</v>
      </c>
    </row>
    <row r="571" hidden="1">
      <c r="A571" s="174" t="s">
        <v>698</v>
      </c>
      <c r="B571" s="175" t="s">
        <v>4021</v>
      </c>
      <c r="C571" s="28" t="s">
        <v>4022</v>
      </c>
      <c r="D571" s="28" t="s">
        <v>4023</v>
      </c>
      <c r="E571" s="28" t="s">
        <v>4024</v>
      </c>
      <c r="F571" s="161">
        <v>339.0</v>
      </c>
      <c r="G571" s="152" t="str">
        <f>IFERROR(__xludf.DUMMYFUNCTION("TRIM(REGEXREPLACE(C571, ""[0-9]+[a-f]?\."", """"))"),"Activities")</f>
        <v>Activities</v>
      </c>
      <c r="H571" s="152" t="str">
        <f>IFERROR(__xludf.DUMMYFUNCTION("TRIM(REGEXREPLACE(D571, ""[0-9]+[a-f]?\."", """"))"),"Activités")</f>
        <v>Activités</v>
      </c>
      <c r="I571" s="152" t="str">
        <f>IFERROR(__xludf.DUMMYFUNCTION("TRIM(REGEXREPLACE(E571, ""[0-9]+[a-f]?\."", """"))"),"Ayyuka")</f>
        <v>Ayyuka</v>
      </c>
      <c r="J571" s="152" t="s">
        <v>4025</v>
      </c>
      <c r="K571" s="152" t="s">
        <v>4026</v>
      </c>
      <c r="L571" s="152" t="s">
        <v>4027</v>
      </c>
    </row>
    <row r="572" hidden="1">
      <c r="A572" s="90" t="s">
        <v>134</v>
      </c>
      <c r="B572" s="92" t="s">
        <v>4029</v>
      </c>
      <c r="C572" s="28"/>
      <c r="D572" s="28"/>
      <c r="E572" s="28"/>
      <c r="F572" s="161">
        <v>302.0</v>
      </c>
      <c r="G572" s="152" t="str">
        <f>IFERROR(__xludf.DUMMYFUNCTION("TRIM(REGEXREPLACE(C572, ""[0-9]+[a-f]?\."", """"))"),"")</f>
        <v/>
      </c>
      <c r="H572" s="152" t="str">
        <f>IFERROR(__xludf.DUMMYFUNCTION("TRIM(REGEXREPLACE(D572, ""[0-9]+[a-f]?\."", """"))"),"")</f>
        <v/>
      </c>
      <c r="I572" s="152" t="str">
        <f>IFERROR(__xludf.DUMMYFUNCTION("TRIM(REGEXREPLACE(E572, ""[0-9]+[a-f]?\."", """"))"),"")</f>
        <v/>
      </c>
      <c r="J572" s="152" t="s">
        <v>4033</v>
      </c>
      <c r="K572" s="152" t="s">
        <v>4034</v>
      </c>
      <c r="L572" s="152" t="s">
        <v>4035</v>
      </c>
    </row>
    <row r="573">
      <c r="A573" s="68" t="s">
        <v>4036</v>
      </c>
      <c r="B573" s="169" t="s">
        <v>4037</v>
      </c>
      <c r="C573" s="28" t="s">
        <v>4038</v>
      </c>
      <c r="D573" s="28" t="s">
        <v>4039</v>
      </c>
      <c r="E573" s="28" t="s">
        <v>4040</v>
      </c>
      <c r="F573" s="161">
        <v>163.0</v>
      </c>
      <c r="G573" s="152" t="str">
        <f>IFERROR(__xludf.DUMMYFUNCTION("TRIM(REGEXREPLACE(C573, ""[0-9]+[a-f]?\."", """"))"),"Please describe job ${pm_activity_index}.
 Enumerator, code the sector of job ${pm_activity_index}")</f>
        <v>Please describe job ${pm_activity_index}.
 Enumerator, code the sector of job ${pm_activity_index}</v>
      </c>
      <c r="H573" s="152" t="str">
        <f>IFERROR(__xludf.DUMMYFUNCTION("TRIM(REGEXREPLACE(D573, ""[0-9]+[a-f]?\."", """"))"),"Veuillez décrire le travail ${pm_activity_index}.
 enquêteur, coder le secteur de l'emploi")</f>
        <v>Veuillez décrire le travail ${pm_activity_index}.
 enquêteur, coder le secteur de l'emploi</v>
      </c>
      <c r="I573" s="152" t="str">
        <f>IFERROR(__xludf.DUMMYFUNCTION("TRIM(REGEXREPLACE(E573, ""[0-9]+[a-f]?\."", """"))"),"Da fatan za a baiyana aikin ${pm_activity_index}.
 Ɗan bincike, sanya lamba a sashin aikin")</f>
        <v>Da fatan za a baiyana aikin ${pm_activity_index}.
 Ɗan bincike, sanya lamba a sashin aikin</v>
      </c>
      <c r="J573" s="152" t="s">
        <v>4041</v>
      </c>
      <c r="K573" s="152" t="s">
        <v>4042</v>
      </c>
      <c r="L573" s="152" t="s">
        <v>4043</v>
      </c>
    </row>
    <row r="574">
      <c r="A574" s="179" t="s">
        <v>246</v>
      </c>
      <c r="B574" s="180" t="s">
        <v>4045</v>
      </c>
      <c r="C574" s="28" t="s">
        <v>4047</v>
      </c>
      <c r="D574" s="28" t="s">
        <v>4048</v>
      </c>
      <c r="E574" s="28" t="s">
        <v>4050</v>
      </c>
      <c r="F574" s="161">
        <v>164.0</v>
      </c>
      <c r="G574" s="152" t="str">
        <f>IFERROR(__xludf.DUMMYFUNCTION("TRIM(REGEXREPLACE(C574, ""[0-9]+[a-f]?\."", """"))"),"Other, specify:")</f>
        <v>Other, specify:</v>
      </c>
      <c r="H574" s="152" t="str">
        <f>IFERROR(__xludf.DUMMYFUNCTION("TRIM(REGEXREPLACE(D574, ""[0-9]+[a-f]?\."", """"))"),"Autre précisez:")</f>
        <v>Autre précisez:</v>
      </c>
      <c r="I574" s="152" t="str">
        <f>IFERROR(__xludf.DUMMYFUNCTION("TRIM(REGEXREPLACE(E574, ""[0-9]+[a-f]?\."", """"))"),"Wani daban a baiyana:")</f>
        <v>Wani daban a baiyana:</v>
      </c>
      <c r="J574" s="152" t="s">
        <v>4051</v>
      </c>
      <c r="K574" s="152" t="s">
        <v>4052</v>
      </c>
      <c r="L574" s="152" t="s">
        <v>4053</v>
      </c>
    </row>
    <row r="575" hidden="1">
      <c r="A575" s="90" t="s">
        <v>78</v>
      </c>
      <c r="B575" s="92" t="s">
        <v>4054</v>
      </c>
      <c r="C575" s="28"/>
      <c r="D575" s="28"/>
      <c r="E575" s="28"/>
    </row>
    <row r="576">
      <c r="A576" s="68" t="s">
        <v>463</v>
      </c>
      <c r="B576" s="169" t="s">
        <v>4055</v>
      </c>
      <c r="C576" s="28" t="s">
        <v>4056</v>
      </c>
      <c r="D576" s="28" t="s">
        <v>4057</v>
      </c>
      <c r="E576" s="28" t="s">
        <v>4058</v>
      </c>
      <c r="F576" s="161">
        <v>165.0</v>
      </c>
      <c r="G576" s="152" t="str">
        <f>IFERROR(__xludf.DUMMYFUNCTION("TRIM(REGEXREPLACE(C576, ""[0-9]+[a-f]?\."", """"))"),"Did you receive payment for working in ${pm_activity_name}?")</f>
        <v>Did you receive payment for working in ${pm_activity_name}?</v>
      </c>
      <c r="H576" s="152" t="str">
        <f>IFERROR(__xludf.DUMMYFUNCTION("TRIM(REGEXREPLACE(D576, ""[0-9]+[a-f]?\."", """"))"),"Avez-vous reçu un paiement pour le travail effectué à ${pm_activity_name} ?")</f>
        <v>Avez-vous reçu un paiement pour le travail effectué à ${pm_activity_name} ?</v>
      </c>
      <c r="I576" s="152" t="str">
        <f>IFERROR(__xludf.DUMMYFUNCTION("TRIM(REGEXREPLACE(E576, ""[0-9]+[a-f]?\."", """"))"),"An biya ku don aikin da kuka yi a ${pm_activity_name}?")</f>
        <v>An biya ku don aikin da kuka yi a ${pm_activity_name}?</v>
      </c>
      <c r="J576" s="152" t="s">
        <v>4061</v>
      </c>
      <c r="K576" s="152" t="s">
        <v>4062</v>
      </c>
      <c r="L576" s="152" t="s">
        <v>4064</v>
      </c>
    </row>
    <row r="577">
      <c r="A577" s="68" t="s">
        <v>4065</v>
      </c>
      <c r="B577" s="169" t="s">
        <v>4066</v>
      </c>
      <c r="C577" s="28" t="s">
        <v>4067</v>
      </c>
      <c r="D577" s="28" t="s">
        <v>4068</v>
      </c>
      <c r="E577" s="28" t="s">
        <v>4069</v>
      </c>
      <c r="F577" s="161">
        <v>166.0</v>
      </c>
      <c r="G577" s="152" t="str">
        <f>IFERROR(__xludf.DUMMYFUNCTION("TRIM(REGEXREPLACE(C577, ""[0-9]+[a-f]?\."", """"))"),"What is the main reason you were not paid for your work in ${pm_activity_name}?")</f>
        <v>What is the main reason you were not paid for your work in ${pm_activity_name}?</v>
      </c>
      <c r="H577" s="152" t="str">
        <f>IFERROR(__xludf.DUMMYFUNCTION("TRIM(REGEXREPLACE(D577, ""[0-9]+[a-f]?\."", """"))"),"Quelle est la principale raison pour laquelle vous n'avez pas été payé pour votre travail à ${pm_activity_name} ?")</f>
        <v>Quelle est la principale raison pour laquelle vous n'avez pas été payé pour votre travail à ${pm_activity_name} ?</v>
      </c>
      <c r="I577" s="152" t="str">
        <f>IFERROR(__xludf.DUMMYFUNCTION("TRIM(REGEXREPLACE(E577, ""[0-9]+[a-f]?\."", """"))"),"Menene babban dalilin da ya sa ba a biya ku kuɗin aikinku ba a ${pm_activity_name}?")</f>
        <v>Menene babban dalilin da ya sa ba a biya ku kuɗin aikinku ba a ${pm_activity_name}?</v>
      </c>
      <c r="J577" s="152" t="s">
        <v>4070</v>
      </c>
      <c r="K577" s="152" t="s">
        <v>4071</v>
      </c>
      <c r="L577" s="152" t="s">
        <v>4072</v>
      </c>
    </row>
    <row r="578">
      <c r="A578" s="179" t="s">
        <v>246</v>
      </c>
      <c r="B578" s="180" t="s">
        <v>4073</v>
      </c>
      <c r="C578" s="28" t="s">
        <v>4074</v>
      </c>
      <c r="D578" s="28" t="s">
        <v>4075</v>
      </c>
      <c r="E578" s="28" t="s">
        <v>4076</v>
      </c>
      <c r="F578" s="161">
        <v>167.0</v>
      </c>
      <c r="G578" s="152" t="str">
        <f>IFERROR(__xludf.DUMMYFUNCTION("TRIM(REGEXREPLACE(C578, ""[0-9]+[a-f]?\."", """"))"),"Specify other:")</f>
        <v>Specify other:</v>
      </c>
      <c r="H578" s="152" t="str">
        <f>IFERROR(__xludf.DUMMYFUNCTION("TRIM(REGEXREPLACE(D578, ""[0-9]+[a-f]?\."", """"))"),"Autre à Préciser :")</f>
        <v>Autre à Préciser :</v>
      </c>
      <c r="I578" s="152" t="str">
        <f>IFERROR(__xludf.DUMMYFUNCTION("TRIM(REGEXREPLACE(E578, ""[0-9]+[a-f]?\."", """"))"),"Wani daban a bayyana:")</f>
        <v>Wani daban a bayyana:</v>
      </c>
      <c r="J578" s="152" t="s">
        <v>4077</v>
      </c>
      <c r="K578" s="152" t="s">
        <v>4078</v>
      </c>
      <c r="L578" s="152" t="s">
        <v>4079</v>
      </c>
    </row>
    <row r="579" hidden="1">
      <c r="A579" s="174" t="s">
        <v>1015</v>
      </c>
      <c r="B579" s="204" t="s">
        <v>4021</v>
      </c>
      <c r="C579" s="28" t="s">
        <v>4022</v>
      </c>
      <c r="D579" s="28" t="s">
        <v>4023</v>
      </c>
      <c r="E579" s="28" t="s">
        <v>4024</v>
      </c>
    </row>
    <row r="580" hidden="1">
      <c r="A580" s="65" t="s">
        <v>134</v>
      </c>
      <c r="B580" s="66" t="s">
        <v>4080</v>
      </c>
      <c r="C580" s="28"/>
      <c r="D580" s="28"/>
      <c r="E580" s="28"/>
    </row>
    <row r="581" hidden="1">
      <c r="A581" s="58" t="s">
        <v>78</v>
      </c>
      <c r="B581" s="58" t="s">
        <v>4081</v>
      </c>
      <c r="C581" s="28"/>
      <c r="D581" s="28"/>
      <c r="E581" s="28"/>
      <c r="F581" s="161">
        <v>308.0</v>
      </c>
      <c r="G581" s="152" t="str">
        <f>IFERROR(__xludf.DUMMYFUNCTION("TRIM(REGEXREPLACE(C581, ""[0-9]+[a-f]?\."", """"))"),"")</f>
        <v/>
      </c>
      <c r="H581" s="152" t="str">
        <f>IFERROR(__xludf.DUMMYFUNCTION("TRIM(REGEXREPLACE(D581, ""[0-9]+[a-f]?\."", """"))"),"")</f>
        <v/>
      </c>
      <c r="I581" s="152" t="str">
        <f>IFERROR(__xludf.DUMMYFUNCTION("TRIM(REGEXREPLACE(E581, ""[0-9]+[a-f]?\."", """"))"),"")</f>
        <v/>
      </c>
      <c r="J581" s="152" t="s">
        <v>4082</v>
      </c>
      <c r="K581" s="152" t="s">
        <v>4083</v>
      </c>
      <c r="L581" s="152" t="s">
        <v>4084</v>
      </c>
    </row>
    <row r="582" hidden="1">
      <c r="A582" s="90" t="s">
        <v>78</v>
      </c>
      <c r="B582" s="92" t="s">
        <v>4086</v>
      </c>
      <c r="C582" s="28"/>
      <c r="D582" s="28"/>
      <c r="E582" s="28"/>
      <c r="F582" s="161">
        <v>309.0</v>
      </c>
      <c r="G582" s="152" t="str">
        <f>IFERROR(__xludf.DUMMYFUNCTION("TRIM(REGEXREPLACE(C582, ""[0-9]+[a-f]?\."", """"))"),"")</f>
        <v/>
      </c>
      <c r="H582" s="152" t="str">
        <f>IFERROR(__xludf.DUMMYFUNCTION("TRIM(REGEXREPLACE(D582, ""[0-9]+[a-f]?\."", """"))"),"")</f>
        <v/>
      </c>
      <c r="I582" s="152" t="str">
        <f>IFERROR(__xludf.DUMMYFUNCTION("TRIM(REGEXREPLACE(E582, ""[0-9]+[a-f]?\."", """"))"),"")</f>
        <v/>
      </c>
      <c r="J582" s="152" t="s">
        <v>4091</v>
      </c>
      <c r="K582" s="152" t="s">
        <v>4092</v>
      </c>
      <c r="L582" s="152" t="s">
        <v>4093</v>
      </c>
      <c r="M582" s="152"/>
    </row>
    <row r="583" hidden="1">
      <c r="A583" s="90" t="s">
        <v>78</v>
      </c>
      <c r="B583" s="92" t="s">
        <v>4094</v>
      </c>
      <c r="C583" s="28"/>
      <c r="D583" s="28"/>
      <c r="E583" s="28"/>
      <c r="F583" s="161">
        <v>310.0</v>
      </c>
      <c r="G583" s="152" t="str">
        <f>IFERROR(__xludf.DUMMYFUNCTION("TRIM(REGEXREPLACE(C583, ""[0-9]+[a-f]?\."", """"))"),"")</f>
        <v/>
      </c>
      <c r="H583" s="152" t="str">
        <f>IFERROR(__xludf.DUMMYFUNCTION("TRIM(REGEXREPLACE(D583, ""[0-9]+[a-f]?\."", """"))"),"")</f>
        <v/>
      </c>
      <c r="I583" s="152" t="str">
        <f>IFERROR(__xludf.DUMMYFUNCTION("TRIM(REGEXREPLACE(E583, ""[0-9]+[a-f]?\."", """"))"),"")</f>
        <v/>
      </c>
      <c r="J583" s="152" t="s">
        <v>4095</v>
      </c>
      <c r="K583" s="152" t="s">
        <v>4096</v>
      </c>
      <c r="L583" s="152" t="s">
        <v>4097</v>
      </c>
      <c r="M583" s="152"/>
    </row>
    <row r="584" hidden="1">
      <c r="A584" s="90" t="s">
        <v>78</v>
      </c>
      <c r="B584" s="92" t="s">
        <v>4098</v>
      </c>
      <c r="C584" s="28"/>
      <c r="D584" s="28"/>
      <c r="E584" s="28"/>
      <c r="F584" s="161">
        <v>311.0</v>
      </c>
      <c r="G584" s="152" t="str">
        <f>IFERROR(__xludf.DUMMYFUNCTION("TRIM(REGEXREPLACE(C584, ""[0-9]+[a-f]?\."", """"))"),"")</f>
        <v/>
      </c>
      <c r="H584" s="152" t="str">
        <f>IFERROR(__xludf.DUMMYFUNCTION("TRIM(REGEXREPLACE(D584, ""[0-9]+[a-f]?\."", """"))"),"")</f>
        <v/>
      </c>
      <c r="I584" s="152" t="str">
        <f>IFERROR(__xludf.DUMMYFUNCTION("TRIM(REGEXREPLACE(E584, ""[0-9]+[a-f]?\."", """"))"),"")</f>
        <v/>
      </c>
      <c r="J584" s="152" t="s">
        <v>4102</v>
      </c>
      <c r="K584" s="152" t="s">
        <v>4103</v>
      </c>
      <c r="L584" s="152" t="s">
        <v>4104</v>
      </c>
    </row>
    <row r="585" hidden="1">
      <c r="A585" s="90" t="s">
        <v>78</v>
      </c>
      <c r="B585" s="92" t="s">
        <v>4105</v>
      </c>
      <c r="C585" s="28"/>
      <c r="D585" s="28"/>
      <c r="E585" s="28"/>
      <c r="F585" s="161">
        <v>312.0</v>
      </c>
      <c r="G585" s="152" t="str">
        <f>IFERROR(__xludf.DUMMYFUNCTION("TRIM(REGEXREPLACE(C585, ""[0-9]+[a-f]?\."", """"))"),"")</f>
        <v/>
      </c>
      <c r="H585" s="152" t="str">
        <f>IFERROR(__xludf.DUMMYFUNCTION("TRIM(REGEXREPLACE(D585, ""[0-9]+[a-f]?\."", """"))"),"")</f>
        <v/>
      </c>
      <c r="I585" s="152" t="str">
        <f>IFERROR(__xludf.DUMMYFUNCTION("TRIM(REGEXREPLACE(E585, ""[0-9]+[a-f]?\."", """"))"),"")</f>
        <v/>
      </c>
      <c r="J585" s="152" t="s">
        <v>4106</v>
      </c>
      <c r="K585" s="152" t="s">
        <v>4107</v>
      </c>
      <c r="L585" s="152" t="s">
        <v>4108</v>
      </c>
    </row>
    <row r="586" hidden="1">
      <c r="A586" s="90" t="s">
        <v>78</v>
      </c>
      <c r="B586" s="92" t="s">
        <v>4110</v>
      </c>
      <c r="C586" s="28"/>
      <c r="D586" s="28"/>
      <c r="E586" s="28"/>
      <c r="F586" s="161">
        <v>313.0</v>
      </c>
      <c r="G586" s="152" t="str">
        <f>IFERROR(__xludf.DUMMYFUNCTION("TRIM(REGEXREPLACE(C586, ""[0-9]+[a-f]?\."", """"))"),"")</f>
        <v/>
      </c>
      <c r="H586" s="152" t="str">
        <f>IFERROR(__xludf.DUMMYFUNCTION("TRIM(REGEXREPLACE(D586, ""[0-9]+[a-f]?\."", """"))"),"")</f>
        <v/>
      </c>
      <c r="I586" s="152" t="str">
        <f>IFERROR(__xludf.DUMMYFUNCTION("TRIM(REGEXREPLACE(E586, ""[0-9]+[a-f]?\."", """"))"),"")</f>
        <v/>
      </c>
      <c r="J586" s="152" t="s">
        <v>4113</v>
      </c>
      <c r="K586" s="152" t="s">
        <v>4114</v>
      </c>
      <c r="L586" s="152" t="s">
        <v>4115</v>
      </c>
    </row>
    <row r="587" hidden="1">
      <c r="A587" s="65" t="s">
        <v>134</v>
      </c>
      <c r="B587" s="66" t="s">
        <v>4116</v>
      </c>
      <c r="C587" s="28"/>
      <c r="D587" s="28"/>
      <c r="E587" s="28"/>
      <c r="F587" s="161">
        <v>350.0</v>
      </c>
      <c r="G587" s="152" t="str">
        <f>IFERROR(__xludf.DUMMYFUNCTION("TRIM(REGEXREPLACE(C587, ""[0-9]+[a-f]?\."", """"))"),"")</f>
        <v/>
      </c>
      <c r="H587" s="152" t="str">
        <f>IFERROR(__xludf.DUMMYFUNCTION("TRIM(REGEXREPLACE(D587, ""[0-9]+[a-f]?\."", """"))"),"")</f>
        <v/>
      </c>
      <c r="I587" s="152" t="str">
        <f>IFERROR(__xludf.DUMMYFUNCTION("TRIM(REGEXREPLACE(E587, ""[0-9]+[a-f]?\."", """"))"),"")</f>
        <v/>
      </c>
      <c r="J587" s="152" t="s">
        <v>4120</v>
      </c>
      <c r="K587" s="152" t="s">
        <v>4121</v>
      </c>
      <c r="L587" s="152" t="s">
        <v>4122</v>
      </c>
    </row>
    <row r="588">
      <c r="A588" s="68" t="s">
        <v>4123</v>
      </c>
      <c r="B588" s="169" t="s">
        <v>3149</v>
      </c>
      <c r="C588" s="28" t="s">
        <v>4124</v>
      </c>
      <c r="D588" s="28" t="s">
        <v>4125</v>
      </c>
      <c r="E588" s="28" t="s">
        <v>4126</v>
      </c>
      <c r="F588" s="161">
        <v>168.0</v>
      </c>
      <c r="G588" s="152" t="str">
        <f>IFERROR(__xludf.DUMMYFUNCTION("TRIM(REGEXREPLACE(C588, ""[0-9]+[a-f]?\."", """"))"),"Which of these activities was your primary source of income?")</f>
        <v>Which of these activities was your primary source of income?</v>
      </c>
      <c r="H588" s="152" t="str">
        <f>IFERROR(__xludf.DUMMYFUNCTION("TRIM(REGEXREPLACE(D588, ""[0-9]+[a-f]?\."", """"))"),"Laquelle de ces activités était votre principale source de revenus ?")</f>
        <v>Laquelle de ces activités était votre principale source de revenus ?</v>
      </c>
      <c r="I588" s="152" t="str">
        <f>IFERROR(__xludf.DUMMYFUNCTION("TRIM(REGEXREPLACE(E588, ""[0-9]+[a-f]?\."", """"))"),"Wanne ne daga cikin waɗannan ayyukan tushen samun kuɗin ku?")</f>
        <v>Wanne ne daga cikin waɗannan ayyukan tushen samun kuɗin ku?</v>
      </c>
      <c r="J588" s="152" t="s">
        <v>4127</v>
      </c>
      <c r="K588" s="152" t="s">
        <v>4128</v>
      </c>
      <c r="L588" s="152" t="s">
        <v>4129</v>
      </c>
    </row>
    <row r="589" hidden="1">
      <c r="A589" s="90" t="s">
        <v>78</v>
      </c>
      <c r="B589" s="92" t="s">
        <v>4130</v>
      </c>
      <c r="C589" s="28"/>
      <c r="D589" s="28"/>
      <c r="E589" s="28"/>
      <c r="F589" s="161">
        <v>352.0</v>
      </c>
      <c r="G589" s="152" t="str">
        <f>IFERROR(__xludf.DUMMYFUNCTION("TRIM(REGEXREPLACE(C589, ""[0-9]+[a-f]?\."", """"))"),"")</f>
        <v/>
      </c>
      <c r="H589" s="152" t="str">
        <f>IFERROR(__xludf.DUMMYFUNCTION("TRIM(REGEXREPLACE(D589, ""[0-9]+[a-f]?\."", """"))"),"")</f>
        <v/>
      </c>
      <c r="I589" s="152" t="str">
        <f>IFERROR(__xludf.DUMMYFUNCTION("TRIM(REGEXREPLACE(E589, ""[0-9]+[a-f]?\."", """"))"),"")</f>
        <v/>
      </c>
      <c r="J589" s="152" t="s">
        <v>4131</v>
      </c>
      <c r="K589" s="152" t="s">
        <v>4132</v>
      </c>
      <c r="L589" s="152" t="s">
        <v>4133</v>
      </c>
    </row>
    <row r="590" hidden="1">
      <c r="A590" s="90" t="s">
        <v>78</v>
      </c>
      <c r="B590" s="92" t="s">
        <v>4134</v>
      </c>
      <c r="C590" s="28"/>
      <c r="D590" s="28"/>
      <c r="E590" s="28"/>
      <c r="F590" s="161">
        <v>314.0</v>
      </c>
      <c r="G590" s="152" t="str">
        <f>IFERROR(__xludf.DUMMYFUNCTION("TRIM(REGEXREPLACE(C590, ""[0-9]+[a-f]?\."", """"))"),"")</f>
        <v/>
      </c>
      <c r="H590" s="152" t="str">
        <f>IFERROR(__xludf.DUMMYFUNCTION("TRIM(REGEXREPLACE(D590, ""[0-9]+[a-f]?\."", """"))"),"")</f>
        <v/>
      </c>
      <c r="I590" s="152" t="str">
        <f>IFERROR(__xludf.DUMMYFUNCTION("TRIM(REGEXREPLACE(E590, ""[0-9]+[a-f]?\."", """"))"),"")</f>
        <v/>
      </c>
      <c r="J590" s="152" t="s">
        <v>4135</v>
      </c>
      <c r="K590" s="152" t="s">
        <v>4137</v>
      </c>
      <c r="L590" s="152" t="s">
        <v>4138</v>
      </c>
      <c r="M590" s="152"/>
    </row>
    <row r="591" hidden="1">
      <c r="A591" s="140" t="s">
        <v>131</v>
      </c>
      <c r="B591" s="164" t="s">
        <v>4140</v>
      </c>
      <c r="C591" s="28" t="s">
        <v>4142</v>
      </c>
      <c r="D591" s="28" t="s">
        <v>4143</v>
      </c>
      <c r="E591" s="28" t="s">
        <v>4145</v>
      </c>
      <c r="F591" s="161">
        <v>55.0</v>
      </c>
      <c r="G591" s="152" t="str">
        <f>IFERROR(__xludf.DUMMYFUNCTION("TRIM(REGEXREPLACE(C591, ""[0-9]+[a-f]?\."", """"))"),"Primary Activity")</f>
        <v>Primary Activity</v>
      </c>
      <c r="H591" s="152" t="str">
        <f>IFERROR(__xludf.DUMMYFUNCTION("TRIM(REGEXREPLACE(D591, ""[0-9]+[a-f]?\."", """"))"),"Activité principale")</f>
        <v>Activité principale</v>
      </c>
      <c r="I591" s="152" t="str">
        <f>IFERROR(__xludf.DUMMYFUNCTION("TRIM(REGEXREPLACE(E591, ""[0-9]+[a-f]?\."", """"))"),"Muhimmin aiki")</f>
        <v>Muhimmin aiki</v>
      </c>
      <c r="J591" s="152" t="str">
        <f t="shared" ref="J591:L591" si="53">$F591 &amp; ". " &amp;G591</f>
        <v>55. Primary Activity</v>
      </c>
      <c r="K591" s="152" t="str">
        <f t="shared" si="53"/>
        <v>55. Activité principale</v>
      </c>
      <c r="L591" s="152" t="str">
        <f t="shared" si="53"/>
        <v>55. Muhimmin aiki</v>
      </c>
      <c r="M591" s="152"/>
    </row>
    <row r="592">
      <c r="A592" s="170" t="s">
        <v>263</v>
      </c>
      <c r="B592" s="171" t="s">
        <v>4146</v>
      </c>
      <c r="C592" s="28" t="s">
        <v>4147</v>
      </c>
      <c r="D592" s="28" t="s">
        <v>4148</v>
      </c>
      <c r="E592" s="28" t="s">
        <v>4149</v>
      </c>
      <c r="F592" s="161">
        <v>169.0</v>
      </c>
      <c r="G592" s="152" t="str">
        <f>IFERROR(__xludf.DUMMYFUNCTION("TRIM(REGEXREPLACE(C592, ""[0-9]+[a-f]?\."", """"))"),"In ${pm_location_name}, what is your best estimate of the total number of weeks you worked in ${pm_primary_activity_name} for pay in ${pm_location_period_lab}?")</f>
        <v>In ${pm_location_name}, what is your best estimate of the total number of weeks you worked in ${pm_primary_activity_name} for pay in ${pm_location_period_lab}?</v>
      </c>
      <c r="H592" s="152" t="str">
        <f>IFERROR(__xludf.DUMMYFUNCTION("TRIM(REGEXREPLACE(D592, ""[0-9]+[a-f]?\."", """"))"),"À ${pm_location_name}, quelle est votre meilleure estimation du nombre total de semaines pendant lesquelles vous avez travaillé à ${pm_primary_activity_name} contre un salaire entre ${pm_location_period_lab_fr} ?")</f>
        <v>À ${pm_location_name}, quelle est votre meilleure estimation du nombre total de semaines pendant lesquelles vous avez travaillé à ${pm_primary_activity_name} contre un salaire entre ${pm_location_period_lab_fr} ?</v>
      </c>
      <c r="I592" s="152" t="str">
        <f>IFERROR(__xludf.DUMMYFUNCTION("TRIM(REGEXREPLACE(E592, ""[0-9]+[a-f]?\."", """"))"),"A ${pm_location_name}, a ganinku nawa ne jimillar satin da kuka yi aiki a ${pm_primary_activity_name} don samun biya a ${pm_location_period_lab_ha}?")</f>
        <v>A ${pm_location_name}, a ganinku nawa ne jimillar satin da kuka yi aiki a ${pm_primary_activity_name} don samun biya a ${pm_location_period_lab_ha}?</v>
      </c>
      <c r="J592" s="152" t="s">
        <v>4151</v>
      </c>
      <c r="K592" s="152" t="s">
        <v>4152</v>
      </c>
      <c r="L592" s="152" t="s">
        <v>4154</v>
      </c>
    </row>
    <row r="593">
      <c r="A593" s="68" t="s">
        <v>4156</v>
      </c>
      <c r="B593" s="169" t="s">
        <v>4157</v>
      </c>
      <c r="C593" s="28" t="s">
        <v>4158</v>
      </c>
      <c r="D593" s="28" t="s">
        <v>4159</v>
      </c>
      <c r="E593" s="28" t="s">
        <v>4160</v>
      </c>
      <c r="F593" s="161">
        <v>170.0</v>
      </c>
      <c r="G593" s="152" t="str">
        <f>IFERROR(__xludf.DUMMYFUNCTION("TRIM(REGEXREPLACE(C593, ""[0-9]+[a-f]?\."", """"))"),"For ${pm_primary_activity_name} were you paid in cash or in kind?")</f>
        <v>For ${pm_primary_activity_name} were you paid in cash or in kind?</v>
      </c>
      <c r="H593" s="152" t="str">
        <f>IFERROR(__xludf.DUMMYFUNCTION("TRIM(REGEXREPLACE(D593, ""[0-9]+[a-f]?\."", """"))"),"Pour ${pm_primary_activity_name} avez-vous été payé en espèces ou en nature ?")</f>
        <v>Pour ${pm_primary_activity_name} avez-vous été payé en espèces ou en nature ?</v>
      </c>
      <c r="I593" s="152" t="str">
        <f>IFERROR(__xludf.DUMMYFUNCTION("TRIM(REGEXREPLACE(E593, ""[0-9]+[a-f]?\."", """"))"),"Don ${pm_primary_activity_name} an biya ku a tsabar kuɗi ko a wani kaya?")</f>
        <v>Don ${pm_primary_activity_name} an biya ku a tsabar kuɗi ko a wani kaya?</v>
      </c>
      <c r="J593" s="152" t="s">
        <v>4161</v>
      </c>
      <c r="K593" s="152" t="s">
        <v>4162</v>
      </c>
      <c r="L593" s="152" t="s">
        <v>4163</v>
      </c>
    </row>
    <row r="594">
      <c r="A594" s="170" t="s">
        <v>263</v>
      </c>
      <c r="B594" s="171" t="s">
        <v>4164</v>
      </c>
      <c r="C594" s="28" t="s">
        <v>4165</v>
      </c>
      <c r="D594" s="28" t="s">
        <v>4166</v>
      </c>
      <c r="E594" s="28" t="s">
        <v>4168</v>
      </c>
      <c r="F594" s="161">
        <v>171.0</v>
      </c>
      <c r="G594" s="152" t="str">
        <f>IFERROR(__xludf.DUMMYFUNCTION("TRIM(REGEXREPLACE(C594, ""[0-9]+[a-f]?\."", """"))"),"Approximately how much did you earn each week from ${pm_primary_activity_name} in ${pm_location_name} in cash (in CFA)?")</f>
        <v>Approximately how much did you earn each week from ${pm_primary_activity_name} in ${pm_location_name} in cash (in CFA)?</v>
      </c>
      <c r="H594" s="152" t="str">
        <f>IFERROR(__xludf.DUMMYFUNCTION("TRIM(REGEXREPLACE(D594, ""[0-9]+[a-f]?\."", """"))"),"Environ combien avez-vous gagné chaque semaine grâce à ${pm_primary_activity_name} à ${pm_location_name} (en CFA)?")</f>
        <v>Environ combien avez-vous gagné chaque semaine grâce à ${pm_primary_activity_name} à ${pm_location_name} (en CFA)?</v>
      </c>
      <c r="I594" s="152" t="str">
        <f>IFERROR(__xludf.DUMMYFUNCTION("TRIM(REGEXREPLACE(E594, ""[0-9]+[a-f]?\."", """"))"),"Kimanin nawa kuke samu kowane sati don ${pm_primary_activity_name} a ${pm_location_name} (in CFA)?")</f>
        <v>Kimanin nawa kuke samu kowane sati don ${pm_primary_activity_name} a ${pm_location_name} (in CFA)?</v>
      </c>
      <c r="J594" s="152" t="s">
        <v>4172</v>
      </c>
      <c r="K594" s="152" t="s">
        <v>4173</v>
      </c>
      <c r="L594" s="152" t="s">
        <v>4174</v>
      </c>
      <c r="M594" s="152"/>
    </row>
    <row r="595">
      <c r="A595" s="170" t="s">
        <v>263</v>
      </c>
      <c r="B595" s="171" t="s">
        <v>4175</v>
      </c>
      <c r="C595" s="28" t="s">
        <v>4176</v>
      </c>
      <c r="D595" s="28" t="s">
        <v>4177</v>
      </c>
      <c r="E595" s="28" t="s">
        <v>4178</v>
      </c>
      <c r="F595" s="161">
        <v>172.0</v>
      </c>
      <c r="G595" s="152" t="str">
        <f>IFERROR(__xludf.DUMMYFUNCTION("TRIM(REGEXREPLACE(C595, ""[0-9]+[a-f]?\."", """"))"),"Approximately what was the value of the in-kind payments for ${pm_primary_activity_name} in ${pm_location_name} (in CFA)?")</f>
        <v>Approximately what was the value of the in-kind payments for ${pm_primary_activity_name} in ${pm_location_name} (in CFA)?</v>
      </c>
      <c r="H595" s="152" t="str">
        <f>IFERROR(__xludf.DUMMYFUNCTION("TRIM(REGEXREPLACE(D595, ""[0-9]+[a-f]?\."", """"))"),"Quelle était la valeur approximative des paiements en nature pour le ${pm_primary_activity_name} à ${pm_location_name} (en CFA) ?")</f>
        <v>Quelle était la valeur approximative des paiements en nature pour le ${pm_primary_activity_name} à ${pm_location_name} (en CFA) ?</v>
      </c>
      <c r="I595" s="152" t="str">
        <f>IFERROR(__xludf.DUMMYFUNCTION("TRIM(REGEXREPLACE(E595, ""[0-9]+[a-f]?\."", """"))"),"Menene kimanin farashin kayan da aka biya ku ${pm_primary_activity_name} a ${pm_location_name} (a CFA)?")</f>
        <v>Menene kimanin farashin kayan da aka biya ku ${pm_primary_activity_name} a ${pm_location_name} (a CFA)?</v>
      </c>
      <c r="J595" s="152" t="s">
        <v>4181</v>
      </c>
      <c r="K595" s="152" t="s">
        <v>4182</v>
      </c>
      <c r="L595" s="152" t="s">
        <v>4183</v>
      </c>
      <c r="M595" s="152"/>
    </row>
    <row r="596">
      <c r="A596" s="68" t="s">
        <v>4184</v>
      </c>
      <c r="B596" s="169" t="s">
        <v>4185</v>
      </c>
      <c r="C596" s="28" t="s">
        <v>4186</v>
      </c>
      <c r="D596" s="28" t="s">
        <v>4187</v>
      </c>
      <c r="E596" s="28" t="s">
        <v>4188</v>
      </c>
      <c r="F596" s="161">
        <v>173.0</v>
      </c>
      <c r="G596" s="152" t="str">
        <f>IFERROR(__xludf.DUMMYFUNCTION("TRIM(REGEXREPLACE(C596, ""[0-9]+[a-f]?\."", """"))"),"For ${pm_primary_activity_name} in ${pm_location_name}, were you employed self-employed, employed by another individual, employed by private business, or employed by public sector?")</f>
        <v>For ${pm_primary_activity_name} in ${pm_location_name}, were you employed self-employed, employed by another individual, employed by private business, or employed by public sector?</v>
      </c>
      <c r="H596" s="152" t="str">
        <f>IFERROR(__xludf.DUMMYFUNCTION("TRIM(REGEXREPLACE(D596, ""[0-9]+[a-f]?\."", """"))"),"Pour ${pm_primary_activity_name} à ${pm_location_name}, étiez-vous employé à votre compte, employé par une autre personne, employé par une entreprise privée ou employé par le secteur public ?")</f>
        <v>Pour ${pm_primary_activity_name} à ${pm_location_name}, étiez-vous employé à votre compte, employé par une autre personne, employé par une entreprise privée ou employé par le secteur public ?</v>
      </c>
      <c r="I596" s="152" t="str">
        <f>IFERROR(__xludf.DUMMYFUNCTION("TRIM(REGEXREPLACE(E596, ""[0-9]+[a-f]?\."", """"))"),"Domin ${pm_primary_activity_name} da kuka yi a ${pm_location_name}, ko kuna aikin kanku ne, ko wani mutum kuke yi wa aiki, ko wani kampani mai zaman kanshi kuke yi wa aikin, ko kuma aikin gwanati ne?")</f>
        <v>Domin ${pm_primary_activity_name} da kuka yi a ${pm_location_name}, ko kuna aikin kanku ne, ko wani mutum kuke yi wa aiki, ko wani kampani mai zaman kanshi kuke yi wa aikin, ko kuma aikin gwanati ne?</v>
      </c>
      <c r="J596" s="152" t="s">
        <v>4190</v>
      </c>
      <c r="K596" s="152" t="s">
        <v>4191</v>
      </c>
      <c r="L596" s="152" t="s">
        <v>4192</v>
      </c>
      <c r="M596" s="152"/>
    </row>
    <row r="597">
      <c r="A597" s="68" t="s">
        <v>4193</v>
      </c>
      <c r="B597" s="169" t="s">
        <v>4194</v>
      </c>
      <c r="C597" s="28" t="s">
        <v>4195</v>
      </c>
      <c r="D597" s="28" t="s">
        <v>4196</v>
      </c>
      <c r="E597" s="28" t="s">
        <v>4197</v>
      </c>
      <c r="F597" s="161">
        <v>174.0</v>
      </c>
      <c r="G597" s="152" t="str">
        <f>IFERROR(__xludf.DUMMYFUNCTION("TRIM(REGEXREPLACE(C597, ""[0-9]+[a-f]?\."", """"))"),"For ${pm_primary_activity_name} in ${pm_location_name}, did you receive any other benefits, such as housing or food allowance as compensation for your labor? Enumerator: code all that apply")</f>
        <v>For ${pm_primary_activity_name} in ${pm_location_name}, did you receive any other benefits, such as housing or food allowance as compensation for your labor? Enumerator: code all that apply</v>
      </c>
      <c r="H597" s="152" t="str">
        <f>IFERROR(__xludf.DUMMYFUNCTION("TRIM(REGEXREPLACE(D597, ""[0-9]+[a-f]?\."", """"))"),"Pour ${pm_primary_activity_name} à ${pm_location_name}, avez-vous reçu d'autres avantages, tels qu'une allocation de logement ou de nourriture en compensation de votre travail ? enquêteur : codez tout ce qui s'applique")</f>
        <v>Pour ${pm_primary_activity_name} à ${pm_location_name}, avez-vous reçu d'autres avantages, tels qu'une allocation de logement ou de nourriture en compensation de votre travail ? enquêteur : codez tout ce qui s'applique</v>
      </c>
      <c r="I597" s="152" t="str">
        <f>IFERROR(__xludf.DUMMYFUNCTION("TRIM(REGEXREPLACE(E597, ""[0-9]+[a-f]?\."", """"))"),"Don ${pm_primary_activity_name} a ${pm_location_name}, kun samu wasu fa'idodi, kamar alawus na gidaje ko abinci a matsayin diyya na aikinku? Ɗan bincike: sanya lambar da ta yi daidai")</f>
        <v>Don ${pm_primary_activity_name} a ${pm_location_name}, kun samu wasu fa'idodi, kamar alawus na gidaje ko abinci a matsayin diyya na aikinku? Ɗan bincike: sanya lambar da ta yi daidai</v>
      </c>
      <c r="J597" s="152" t="s">
        <v>4199</v>
      </c>
      <c r="K597" s="152" t="s">
        <v>4200</v>
      </c>
      <c r="L597" s="152" t="s">
        <v>4201</v>
      </c>
    </row>
    <row r="598">
      <c r="A598" s="179" t="s">
        <v>246</v>
      </c>
      <c r="B598" s="180" t="s">
        <v>4202</v>
      </c>
      <c r="C598" s="28" t="s">
        <v>4204</v>
      </c>
      <c r="D598" s="28" t="s">
        <v>4205</v>
      </c>
      <c r="E598" s="28" t="s">
        <v>4206</v>
      </c>
      <c r="F598" s="161">
        <v>175.0</v>
      </c>
      <c r="G598" s="152" t="str">
        <f>IFERROR(__xludf.DUMMYFUNCTION("TRIM(REGEXREPLACE(C598, ""[0-9]+[a-f]?\."", """"))"),"Specify other")</f>
        <v>Specify other</v>
      </c>
      <c r="H598" s="152" t="str">
        <f>IFERROR(__xludf.DUMMYFUNCTION("TRIM(REGEXREPLACE(D598, ""[0-9]+[a-f]?\."", """"))"),"Autre à préciser")</f>
        <v>Autre à préciser</v>
      </c>
      <c r="I598" s="152" t="str">
        <f>IFERROR(__xludf.DUMMYFUNCTION("TRIM(REGEXREPLACE(E598, ""[0-9]+[a-f]?\."", """"))"),"Wani daban a bayyana")</f>
        <v>Wani daban a bayyana</v>
      </c>
      <c r="J598" s="152" t="s">
        <v>4211</v>
      </c>
      <c r="K598" s="152" t="s">
        <v>4212</v>
      </c>
      <c r="L598" s="152" t="s">
        <v>4213</v>
      </c>
    </row>
    <row r="599">
      <c r="A599" s="170" t="s">
        <v>263</v>
      </c>
      <c r="B599" s="171" t="s">
        <v>4214</v>
      </c>
      <c r="C599" s="28" t="s">
        <v>4215</v>
      </c>
      <c r="D599" s="28" t="s">
        <v>4216</v>
      </c>
      <c r="E599" s="28" t="s">
        <v>4217</v>
      </c>
      <c r="F599" s="161">
        <v>176.0</v>
      </c>
      <c r="G599" s="152" t="str">
        <f>IFERROR(__xludf.DUMMYFUNCTION("TRIM(REGEXREPLACE(C599, ""[0-9]+[a-f]?\."", """"))"),"What is the weekly value in CFA of the payment you received in kind for housing from working in ${pm_primary_activity_name}?")</f>
        <v>What is the weekly value in CFA of the payment you received in kind for housing from working in ${pm_primary_activity_name}?</v>
      </c>
      <c r="H599" s="152" t="str">
        <f>IFERROR(__xludf.DUMMYFUNCTION("TRIM(REGEXREPLACE(D599, ""[0-9]+[a-f]?\."", """"))"),"Quelle est la valeur hebdomadaire en CFA du paiement en nature que vous avez reçu pour le logement en travaillant à ${pm_primary_activity_name} ?")</f>
        <v>Quelle est la valeur hebdomadaire en CFA du paiement en nature que vous avez reçu pour le logement en travaillant à ${pm_primary_activity_name} ?</v>
      </c>
      <c r="I599" s="152" t="str">
        <f>IFERROR(__xludf.DUMMYFUNCTION("TRIM(REGEXREPLACE(E599, ""[0-9]+[a-f]?\."", """"))"),"Nawa kimar biyan da kuka samu a kowane sati na gidan haya don aikin ${pm_primary_activity_name} da kuka yi?")</f>
        <v>Nawa kimar biyan da kuka samu a kowane sati na gidan haya don aikin ${pm_primary_activity_name} da kuka yi?</v>
      </c>
      <c r="J599" s="152" t="s">
        <v>4219</v>
      </c>
      <c r="K599" s="152" t="s">
        <v>4220</v>
      </c>
      <c r="L599" s="152" t="s">
        <v>4221</v>
      </c>
    </row>
    <row r="600">
      <c r="A600" s="170" t="s">
        <v>263</v>
      </c>
      <c r="B600" s="171" t="s">
        <v>4224</v>
      </c>
      <c r="C600" s="28" t="s">
        <v>4226</v>
      </c>
      <c r="D600" s="28" t="s">
        <v>4227</v>
      </c>
      <c r="E600" s="28" t="s">
        <v>4228</v>
      </c>
      <c r="F600" s="161">
        <v>177.0</v>
      </c>
      <c r="G600" s="152" t="str">
        <f>IFERROR(__xludf.DUMMYFUNCTION("TRIM(REGEXREPLACE(C600, ""[0-9]+[a-f]?\."", """"))"),"What is the weekly value in CFA of the payment you received in kind for food from working in ${pm_primary_activity_name}?")</f>
        <v>What is the weekly value in CFA of the payment you received in kind for food from working in ${pm_primary_activity_name}?</v>
      </c>
      <c r="H600" s="152" t="str">
        <f>IFERROR(__xludf.DUMMYFUNCTION("TRIM(REGEXREPLACE(D600, ""[0-9]+[a-f]?\."", """"))"),"Quelle est la valeur hebdomadaire en CFA du paiement en nature que vous avez reçu pour la nourriture en travaillant à ${pm_primary_activity_name} ?")</f>
        <v>Quelle est la valeur hebdomadaire en CFA du paiement en nature que vous avez reçu pour la nourriture en travaillant à ${pm_primary_activity_name} ?</v>
      </c>
      <c r="I600" s="152" t="str">
        <f>IFERROR(__xludf.DUMMYFUNCTION("TRIM(REGEXREPLACE(E600, ""[0-9]+[a-f]?\."", """"))"),"Nawa kimar biyan da kuka samu na abinci a kowane sati don aikin ${pm_primary_activity_name} da kuka yi?")</f>
        <v>Nawa kimar biyan da kuka samu na abinci a kowane sati don aikin ${pm_primary_activity_name} da kuka yi?</v>
      </c>
      <c r="J600" s="152" t="s">
        <v>4229</v>
      </c>
      <c r="K600" s="152" t="s">
        <v>4230</v>
      </c>
      <c r="L600" s="152" t="s">
        <v>4231</v>
      </c>
    </row>
    <row r="601">
      <c r="A601" s="170" t="s">
        <v>263</v>
      </c>
      <c r="B601" s="171" t="s">
        <v>4232</v>
      </c>
      <c r="C601" s="28" t="s">
        <v>4233</v>
      </c>
      <c r="D601" s="28" t="s">
        <v>4235</v>
      </c>
      <c r="E601" s="28" t="s">
        <v>4237</v>
      </c>
      <c r="F601" s="161">
        <v>178.0</v>
      </c>
      <c r="G601" s="152" t="str">
        <f>IFERROR(__xludf.DUMMYFUNCTION("TRIM(REGEXREPLACE(C601, ""[0-9]+[a-f]?\."", """"))"),"What is the weekly value in CFA of the payment you received in kind for phone credit from working in ${pm_primary_activity_name}?")</f>
        <v>What is the weekly value in CFA of the payment you received in kind for phone credit from working in ${pm_primary_activity_name}?</v>
      </c>
      <c r="H601" s="152" t="str">
        <f>IFERROR(__xludf.DUMMYFUNCTION("TRIM(REGEXREPLACE(D601, ""[0-9]+[a-f]?\."", """"))"),"Quelle est la valeur hebdomadaire en CFA du paiement que vous avez reçu en nature pour le crédit téléphonique en travaillant à ${pm_primary_activity_name} ?")</f>
        <v>Quelle est la valeur hebdomadaire en CFA du paiement que vous avez reçu en nature pour le crédit téléphonique en travaillant à ${pm_primary_activity_name} ?</v>
      </c>
      <c r="I601" s="152" t="str">
        <f>IFERROR(__xludf.DUMMYFUNCTION("TRIM(REGEXREPLACE(E601, ""[0-9]+[a-f]?\."", """"))"),"Nawa ne kimar biyan da kuka samu na kiredi a kowane sati don aikin ${pm_primary_activity_name} da kuka yi?")</f>
        <v>Nawa ne kimar biyan da kuka samu na kiredi a kowane sati don aikin ${pm_primary_activity_name} da kuka yi?</v>
      </c>
      <c r="J601" s="152" t="s">
        <v>4239</v>
      </c>
      <c r="K601" s="152" t="s">
        <v>4240</v>
      </c>
      <c r="L601" s="152" t="s">
        <v>4241</v>
      </c>
    </row>
    <row r="602">
      <c r="A602" s="170" t="s">
        <v>263</v>
      </c>
      <c r="B602" s="171" t="s">
        <v>4242</v>
      </c>
      <c r="C602" s="28" t="s">
        <v>4243</v>
      </c>
      <c r="D602" s="28" t="s">
        <v>4244</v>
      </c>
      <c r="E602" s="28" t="s">
        <v>4246</v>
      </c>
      <c r="F602" s="161">
        <v>179.0</v>
      </c>
      <c r="G602" s="152" t="str">
        <f>IFERROR(__xludf.DUMMYFUNCTION("TRIM(REGEXREPLACE(C602, ""[0-9]+[a-f]?\."", """"))"),"What is the weekly value in CFA of the payment you received in kind for all other benefits from working in ${pm_primary_activity_name}?")</f>
        <v>What is the weekly value in CFA of the payment you received in kind for all other benefits from working in ${pm_primary_activity_name}?</v>
      </c>
      <c r="H602" s="152" t="str">
        <f>IFERROR(__xludf.DUMMYFUNCTION("TRIM(REGEXREPLACE(D602, ""[0-9]+[a-f]?\."", """"))"),"Quelle est la valeur hebdomadaire en CFA du paiement que vous avez reçu en nature pour tous les autres avantages liés au travail à ${pm_primary_activity_name} ?")</f>
        <v>Quelle est la valeur hebdomadaire en CFA du paiement que vous avez reçu en nature pour tous les autres avantages liés au travail à ${pm_primary_activity_name} ?</v>
      </c>
      <c r="I602" s="152" t="str">
        <f>IFERROR(__xludf.DUMMYFUNCTION("TRIM(REGEXREPLACE(E602, ""[0-9]+[a-f]?\."", """"))"),"Nawa kimar biyan da kuka samu na wasu fa'idodi da kuka samu a kan aikin ${pm_primary_activity_name}da kuka yi?")</f>
        <v>Nawa kimar biyan da kuka samu na wasu fa'idodi da kuka samu a kan aikin ${pm_primary_activity_name}da kuka yi?</v>
      </c>
      <c r="J602" s="152" t="s">
        <v>4248</v>
      </c>
      <c r="K602" s="152" t="s">
        <v>4249</v>
      </c>
      <c r="L602" s="152" t="s">
        <v>4250</v>
      </c>
    </row>
    <row r="603">
      <c r="A603" s="68" t="s">
        <v>463</v>
      </c>
      <c r="B603" s="169" t="s">
        <v>4251</v>
      </c>
      <c r="C603" s="28" t="s">
        <v>4252</v>
      </c>
      <c r="D603" s="28" t="s">
        <v>4253</v>
      </c>
      <c r="E603" s="28" t="s">
        <v>4254</v>
      </c>
      <c r="F603" s="161">
        <v>180.0</v>
      </c>
      <c r="G603" s="152" t="str">
        <f>IFERROR(__xludf.DUMMYFUNCTION("TRIM(REGEXREPLACE(C603, ""[0-9]+[a-f]?\."", """"))"),"For ${pm_primary_activity_name} in ${pm_location_name}, did your employer deduct any expenses from your earnings before paying you? Some examples of deductions are the cost of supplies or food that the employer provides to you.")</f>
        <v>For ${pm_primary_activity_name} in ${pm_location_name}, did your employer deduct any expenses from your earnings before paying you? Some examples of deductions are the cost of supplies or food that the employer provides to you.</v>
      </c>
      <c r="H603" s="152" t="str">
        <f>IFERROR(__xludf.DUMMYFUNCTION("TRIM(REGEXREPLACE(D603, ""[0-9]+[a-f]?\."", """"))"),"Pour ${pm_primary_activity_name} à ${pm_location_name}, votre employeur a-t-il déduit des dépenses de vos revenus avant de vous payer ? Quelques exemples de déductions sont le coût des fournitures ou de la nourriture que l'employeur vous fournit.")</f>
        <v>Pour ${pm_primary_activity_name} à ${pm_location_name}, votre employeur a-t-il déduit des dépenses de vos revenus avant de vous payer ? Quelques exemples de déductions sont le coût des fournitures ou de la nourriture que l'employeur vous fournit.</v>
      </c>
      <c r="I603" s="152" t="str">
        <f>IFERROR(__xludf.DUMMYFUNCTION("TRIM(REGEXREPLACE(E603, ""[0-9]+[a-f]?\."", """"))"),"Don ${pm_primary_activity_name} a cikin ${pm_location_name}, ko mai gidanku ya cire wani sashen kuɗin daga abin da kuka samu kafin ya biya ku? Kamar kuɗin wasu kayayyaki ko abincin da mai gida ke baku.")</f>
        <v>Don ${pm_primary_activity_name} a cikin ${pm_location_name}, ko mai gidanku ya cire wani sashen kuɗin daga abin da kuka samu kafin ya biya ku? Kamar kuɗin wasu kayayyaki ko abincin da mai gida ke baku.</v>
      </c>
      <c r="J603" s="152" t="s">
        <v>4260</v>
      </c>
      <c r="K603" s="152" t="s">
        <v>4261</v>
      </c>
      <c r="L603" s="152" t="s">
        <v>4262</v>
      </c>
    </row>
    <row r="604">
      <c r="A604" s="170" t="s">
        <v>263</v>
      </c>
      <c r="B604" s="171" t="s">
        <v>4263</v>
      </c>
      <c r="C604" s="28" t="s">
        <v>4264</v>
      </c>
      <c r="D604" s="28" t="s">
        <v>4265</v>
      </c>
      <c r="E604" s="28" t="s">
        <v>4266</v>
      </c>
      <c r="F604" s="161">
        <v>181.0</v>
      </c>
      <c r="G604" s="152" t="str">
        <f>IFERROR(__xludf.DUMMYFUNCTION("TRIM(REGEXREPLACE(C604, ""[0-9]+[a-f]?\."", """"))"),"What is the weekly value in CFA that your employer deducted from your earnings?")</f>
        <v>What is the weekly value in CFA that your employer deducted from your earnings?</v>
      </c>
      <c r="H604" s="152" t="str">
        <f>IFERROR(__xludf.DUMMYFUNCTION("TRIM(REGEXREPLACE(D604, ""[0-9]+[a-f]?\."", """"))"),"Quelle est la valeur hebdomadaire en CFA que votre employeur a déduit de vos revenus ?")</f>
        <v>Quelle est la valeur hebdomadaire en CFA que votre employeur a déduit de vos revenus ?</v>
      </c>
      <c r="I604" s="152" t="str">
        <f>IFERROR(__xludf.DUMMYFUNCTION("TRIM(REGEXREPLACE(E604, ""[0-9]+[a-f]?\."", """"))"),"Nawa ne kimar kuɗin da mai gidanku ya cira a cikin kuɗinku da kuka samu?")</f>
        <v>Nawa ne kimar kuɗin da mai gidanku ya cira a cikin kuɗinku da kuka samu?</v>
      </c>
      <c r="J604" s="152" t="s">
        <v>4270</v>
      </c>
      <c r="K604" s="152" t="s">
        <v>4271</v>
      </c>
      <c r="L604" s="152" t="s">
        <v>4272</v>
      </c>
    </row>
    <row r="605" hidden="1">
      <c r="A605" s="90" t="s">
        <v>78</v>
      </c>
      <c r="B605" s="92" t="s">
        <v>4273</v>
      </c>
      <c r="C605" s="28"/>
      <c r="D605" s="28"/>
      <c r="E605" s="28"/>
      <c r="F605" s="161">
        <v>328.0</v>
      </c>
      <c r="G605" s="152" t="str">
        <f>IFERROR(__xludf.DUMMYFUNCTION("TRIM(REGEXREPLACE(C605, ""[0-9]+[a-f]?\."", """"))"),"")</f>
        <v/>
      </c>
      <c r="H605" s="152" t="str">
        <f>IFERROR(__xludf.DUMMYFUNCTION("TRIM(REGEXREPLACE(D605, ""[0-9]+[a-f]?\."", """"))"),"")</f>
        <v/>
      </c>
      <c r="I605" s="152" t="str">
        <f>IFERROR(__xludf.DUMMYFUNCTION("TRIM(REGEXREPLACE(E605, ""[0-9]+[a-f]?\."", """"))"),"")</f>
        <v/>
      </c>
      <c r="J605" s="152" t="s">
        <v>4274</v>
      </c>
      <c r="K605" s="152" t="s">
        <v>4275</v>
      </c>
      <c r="L605" s="152" t="s">
        <v>4276</v>
      </c>
    </row>
    <row r="606" hidden="1">
      <c r="A606" s="90" t="s">
        <v>78</v>
      </c>
      <c r="B606" s="92" t="s">
        <v>4278</v>
      </c>
      <c r="C606" s="28"/>
      <c r="D606" s="28"/>
      <c r="E606" s="28"/>
      <c r="F606" s="161">
        <v>64.0</v>
      </c>
      <c r="G606" s="152" t="str">
        <f>IFERROR(__xludf.DUMMYFUNCTION("TRIM(REGEXREPLACE(C606, ""[0-9]+[a-f]?\."", """"))"),"")</f>
        <v/>
      </c>
      <c r="H606" s="152" t="str">
        <f>IFERROR(__xludf.DUMMYFUNCTION("TRIM(REGEXREPLACE(D606, ""[0-9]+[a-f]?\."", """"))"),"")</f>
        <v/>
      </c>
      <c r="I606" s="152" t="str">
        <f>IFERROR(__xludf.DUMMYFUNCTION("TRIM(REGEXREPLACE(E606, ""[0-9]+[a-f]?\."", """"))"),"")</f>
        <v/>
      </c>
      <c r="J606" s="152" t="str">
        <f t="shared" ref="J606:L606" si="54">$F606 &amp; ". " &amp;G606</f>
        <v>64. </v>
      </c>
      <c r="K606" s="152" t="str">
        <f t="shared" si="54"/>
        <v>64. </v>
      </c>
      <c r="L606" s="152" t="str">
        <f t="shared" si="54"/>
        <v>64. </v>
      </c>
    </row>
    <row r="607" hidden="1">
      <c r="A607" s="90" t="s">
        <v>78</v>
      </c>
      <c r="B607" s="92" t="s">
        <v>4279</v>
      </c>
      <c r="C607" s="28"/>
      <c r="D607" s="28"/>
      <c r="E607" s="28"/>
      <c r="F607" s="161">
        <v>364.0</v>
      </c>
      <c r="G607" s="152" t="str">
        <f>IFERROR(__xludf.DUMMYFUNCTION("TRIM(REGEXREPLACE(C607, ""[0-9]+[a-f]?\."", """"))"),"")</f>
        <v/>
      </c>
      <c r="H607" s="152" t="str">
        <f>IFERROR(__xludf.DUMMYFUNCTION("TRIM(REGEXREPLACE(D607, ""[0-9]+[a-f]?\."", """"))"),"")</f>
        <v/>
      </c>
      <c r="I607" s="152" t="str">
        <f>IFERROR(__xludf.DUMMYFUNCTION("TRIM(REGEXREPLACE(E607, ""[0-9]+[a-f]?\."", """"))"),"")</f>
        <v/>
      </c>
      <c r="J607" s="152" t="s">
        <v>4281</v>
      </c>
      <c r="K607" s="152" t="s">
        <v>4282</v>
      </c>
      <c r="L607" s="152" t="s">
        <v>4283</v>
      </c>
    </row>
    <row r="608" hidden="1">
      <c r="A608" s="90" t="s">
        <v>78</v>
      </c>
      <c r="B608" s="92" t="s">
        <v>4284</v>
      </c>
      <c r="C608" s="28"/>
      <c r="D608" s="28"/>
      <c r="E608" s="28"/>
      <c r="F608" s="161">
        <v>365.0</v>
      </c>
      <c r="G608" s="152" t="str">
        <f>IFERROR(__xludf.DUMMYFUNCTION("TRIM(REGEXREPLACE(C608, ""[0-9]+[a-f]?\."", """"))"),"")</f>
        <v/>
      </c>
      <c r="H608" s="152" t="str">
        <f>IFERROR(__xludf.DUMMYFUNCTION("TRIM(REGEXREPLACE(D608, ""[0-9]+[a-f]?\."", """"))"),"")</f>
        <v/>
      </c>
      <c r="I608" s="152" t="str">
        <f>IFERROR(__xludf.DUMMYFUNCTION("TRIM(REGEXREPLACE(E608, ""[0-9]+[a-f]?\."", """"))"),"")</f>
        <v/>
      </c>
      <c r="J608" s="152" t="s">
        <v>4287</v>
      </c>
      <c r="K608" s="152" t="s">
        <v>4288</v>
      </c>
      <c r="L608" s="152" t="s">
        <v>4290</v>
      </c>
    </row>
    <row r="609" hidden="1">
      <c r="A609" s="90" t="s">
        <v>78</v>
      </c>
      <c r="B609" s="92" t="s">
        <v>4292</v>
      </c>
      <c r="C609" s="28"/>
      <c r="D609" s="28"/>
      <c r="E609" s="28"/>
      <c r="F609" s="161">
        <v>366.0</v>
      </c>
      <c r="G609" s="152" t="str">
        <f>IFERROR(__xludf.DUMMYFUNCTION("TRIM(REGEXREPLACE(C609, ""[0-9]+[a-f]?\."", """"))"),"")</f>
        <v/>
      </c>
      <c r="H609" s="152" t="str">
        <f>IFERROR(__xludf.DUMMYFUNCTION("TRIM(REGEXREPLACE(D609, ""[0-9]+[a-f]?\."", """"))"),"")</f>
        <v/>
      </c>
      <c r="I609" s="152" t="str">
        <f>IFERROR(__xludf.DUMMYFUNCTION("TRIM(REGEXREPLACE(E609, ""[0-9]+[a-f]?\."", """"))"),"")</f>
        <v/>
      </c>
      <c r="J609" s="152" t="s">
        <v>4293</v>
      </c>
      <c r="K609" s="152" t="s">
        <v>4294</v>
      </c>
      <c r="L609" s="152" t="s">
        <v>4295</v>
      </c>
    </row>
    <row r="610" hidden="1">
      <c r="A610" s="90" t="s">
        <v>78</v>
      </c>
      <c r="B610" s="92" t="s">
        <v>4296</v>
      </c>
      <c r="C610" s="28"/>
      <c r="D610" s="28"/>
      <c r="E610" s="28"/>
      <c r="F610" s="161">
        <v>367.0</v>
      </c>
      <c r="G610" s="152" t="str">
        <f>IFERROR(__xludf.DUMMYFUNCTION("TRIM(REGEXREPLACE(C610, ""[0-9]+[a-f]?\."", """"))"),"")</f>
        <v/>
      </c>
      <c r="H610" s="152" t="str">
        <f>IFERROR(__xludf.DUMMYFUNCTION("TRIM(REGEXREPLACE(D610, ""[0-9]+[a-f]?\."", """"))"),"")</f>
        <v/>
      </c>
      <c r="I610" s="152" t="str">
        <f>IFERROR(__xludf.DUMMYFUNCTION("TRIM(REGEXREPLACE(E610, ""[0-9]+[a-f]?\."", """"))"),"")</f>
        <v/>
      </c>
      <c r="J610" s="152" t="s">
        <v>4298</v>
      </c>
      <c r="K610" s="152" t="s">
        <v>4299</v>
      </c>
      <c r="L610" s="152" t="s">
        <v>4300</v>
      </c>
    </row>
    <row r="611" hidden="1">
      <c r="A611" s="90" t="s">
        <v>78</v>
      </c>
      <c r="B611" s="92" t="s">
        <v>4301</v>
      </c>
      <c r="C611" s="28"/>
      <c r="D611" s="28"/>
      <c r="E611" s="28"/>
      <c r="F611" s="161">
        <v>368.0</v>
      </c>
      <c r="G611" s="152" t="str">
        <f>IFERROR(__xludf.DUMMYFUNCTION("TRIM(REGEXREPLACE(C611, ""[0-9]+[a-f]?\."", """"))"),"")</f>
        <v/>
      </c>
      <c r="H611" s="152" t="str">
        <f>IFERROR(__xludf.DUMMYFUNCTION("TRIM(REGEXREPLACE(D611, ""[0-9]+[a-f]?\."", """"))"),"")</f>
        <v/>
      </c>
      <c r="I611" s="152" t="str">
        <f>IFERROR(__xludf.DUMMYFUNCTION("TRIM(REGEXREPLACE(E611, ""[0-9]+[a-f]?\."", """"))"),"")</f>
        <v/>
      </c>
      <c r="J611" s="152" t="s">
        <v>4302</v>
      </c>
      <c r="K611" s="152" t="s">
        <v>4303</v>
      </c>
      <c r="L611" s="152" t="s">
        <v>4304</v>
      </c>
    </row>
    <row r="612" hidden="1">
      <c r="A612" s="90" t="s">
        <v>78</v>
      </c>
      <c r="B612" s="92" t="s">
        <v>4306</v>
      </c>
      <c r="C612" s="28" t="s">
        <v>4307</v>
      </c>
      <c r="D612" s="28" t="s">
        <v>4309</v>
      </c>
      <c r="E612" s="28" t="s">
        <v>4310</v>
      </c>
      <c r="F612" s="161">
        <v>369.0</v>
      </c>
      <c r="G612" s="152" t="str">
        <f>IFERROR(__xludf.DUMMYFUNCTION("TRIM(REGEXREPLACE(C612, ""[0-9]+[a-f]?\."", """"))"),"Weekly income (activity_payment_amt + inkind_payment_val/activity_weeks + sum(main_activity_benefit) - main_activity_deduction) * number of weeks")</f>
        <v>Weekly income (activity_payment_amt + inkind_payment_val/activity_weeks + sum(main_activity_benefit) - main_activity_deduction) * number of weeks</v>
      </c>
      <c r="H612" s="152" t="str">
        <f>IFERROR(__xludf.DUMMYFUNCTION("TRIM(REGEXREPLACE(D612, ""[0-9]+[a-f]?\."", """"))"),"Revenu hebdomadaire (activity_payment_amt + sum(main_activity_benefit) - main_activity_deduction) * nombre de semaines")</f>
        <v>Revenu hebdomadaire (activity_payment_amt + sum(main_activity_benefit) - main_activity_deduction) * nombre de semaines</v>
      </c>
      <c r="I612" s="152" t="str">
        <f>IFERROR(__xludf.DUMMYFUNCTION("TRIM(REGEXREPLACE(E612, ""[0-9]+[a-f]?\."", """"))"),"Kudin shiga na mako-mako (aikin_payment_amt + jimla(babban_aiki_amfanin) - babban_aiki_rage) * adadin makonni")</f>
        <v>Kudin shiga na mako-mako (aikin_payment_amt + jimla(babban_aiki_amfanin) - babban_aiki_rage) * adadin makonni</v>
      </c>
      <c r="J612" s="152" t="s">
        <v>4312</v>
      </c>
      <c r="K612" s="152" t="s">
        <v>4314</v>
      </c>
      <c r="L612" s="152" t="s">
        <v>4315</v>
      </c>
    </row>
    <row r="613">
      <c r="A613" s="68" t="s">
        <v>463</v>
      </c>
      <c r="B613" s="169" t="s">
        <v>4316</v>
      </c>
      <c r="C613" s="28" t="s">
        <v>4317</v>
      </c>
      <c r="D613" s="28" t="s">
        <v>4318</v>
      </c>
      <c r="E613" s="28" t="s">
        <v>4319</v>
      </c>
      <c r="F613" s="161">
        <v>182.0</v>
      </c>
      <c r="G613" s="152" t="str">
        <f>IFERROR(__xludf.DUMMYFUNCTION("TRIM(REGEXREPLACE(C613, ""[0-9]+[a-f]?\."", """"))"),"Taking all your responses above into account, would you say that it is accurate that in location your total income during period from ${pm_primary_activity_name} was ${pm_calc_total_income} CFA?")</f>
        <v>Taking all your responses above into account, would you say that it is accurate that in location your total income during period from ${pm_primary_activity_name} was ${pm_calc_total_income} CFA?</v>
      </c>
      <c r="H613" s="152" t="str">
        <f>IFERROR(__xludf.DUMMYFUNCTION("TRIM(REGEXREPLACE(D613, ""[0-9]+[a-f]?\."", """"))"),"En tenant compte de toutes vos réponses ci-dessus, diriez-vous qu'il est exact qu'en ce lieu votre revenu total pendant au cours de trois dernieres mois de ${pm_primary_activity_name} était de ${pm_calc_total_income} CFA ?")</f>
        <v>En tenant compte de toutes vos réponses ci-dessus, diriez-vous qu'il est exact qu'en ce lieu votre revenu total pendant au cours de trois dernieres mois de ${pm_primary_activity_name} était de ${pm_calc_total_income} CFA ?</v>
      </c>
      <c r="I613" s="152" t="str">
        <f>IFERROR(__xludf.DUMMYFUNCTION("TRIM(REGEXREPLACE(E613, ""[0-9]+[a-f]?\."", """"))"),"Idan muka yi la'aƙari da duk amsoshin da kuka bada a sama, za ku ce daidai ne cewa a wannan wurin jimillar kuɗin da kuka samu daga ${pm_primary_activity_name} shine ${pm_calc_total_income} CFA?")</f>
        <v>Idan muka yi la'aƙari da duk amsoshin da kuka bada a sama, za ku ce daidai ne cewa a wannan wurin jimillar kuɗin da kuka samu daga ${pm_primary_activity_name} shine ${pm_calc_total_income} CFA?</v>
      </c>
      <c r="J613" s="152" t="s">
        <v>4320</v>
      </c>
      <c r="K613" s="152" t="s">
        <v>4321</v>
      </c>
      <c r="L613" s="152" t="s">
        <v>4322</v>
      </c>
    </row>
    <row r="614">
      <c r="A614" s="166" t="s">
        <v>41</v>
      </c>
      <c r="B614" s="167" t="s">
        <v>4324</v>
      </c>
      <c r="C614" s="28" t="s">
        <v>4326</v>
      </c>
      <c r="D614" s="28" t="s">
        <v>4327</v>
      </c>
      <c r="E614" s="28" t="s">
        <v>4329</v>
      </c>
      <c r="F614" s="161">
        <v>183.0</v>
      </c>
      <c r="G614" s="152" t="str">
        <f>IFERROR(__xludf.DUMMYFUNCTION("TRIM(REGEXREPLACE(C614, ""[0-9]+[a-f]?\."", """"))"),"Now I would like you to think about any costs associated with ${pm_primary_activity_name}")</f>
        <v>Now I would like you to think about any costs associated with ${pm_primary_activity_name}</v>
      </c>
      <c r="H614" s="152" t="str">
        <f>IFERROR(__xludf.DUMMYFUNCTION("TRIM(REGEXREPLACE(D614, ""[0-9]+[a-f]?\."", """"))"),"Maintenant, je voudrais que vous réfléchissiez aux coûts associés à ${pm_primary_activity_name}")</f>
        <v>Maintenant, je voudrais que vous réfléchissiez aux coûts associés à ${pm_primary_activity_name}</v>
      </c>
      <c r="I614" s="152" t="str">
        <f>IFERROR(__xludf.DUMMYFUNCTION("TRIM(REGEXREPLACE(E614, ""[0-9]+[a-f]?\."", """"))"),"Yanzu ina so ku yi tunani game da kowane farashi mai alaƙa da ${pm_primary_activity_name}")</f>
        <v>Yanzu ina so ku yi tunani game da kowane farashi mai alaƙa da ${pm_primary_activity_name}</v>
      </c>
      <c r="J614" s="152" t="s">
        <v>4331</v>
      </c>
      <c r="K614" s="152" t="s">
        <v>4332</v>
      </c>
      <c r="L614" s="152" t="s">
        <v>4333</v>
      </c>
      <c r="M614" s="152"/>
    </row>
    <row r="615">
      <c r="A615" s="170" t="s">
        <v>263</v>
      </c>
      <c r="B615" s="171" t="s">
        <v>4334</v>
      </c>
      <c r="C615" s="28" t="s">
        <v>4335</v>
      </c>
      <c r="D615" s="28" t="s">
        <v>4336</v>
      </c>
      <c r="E615" s="28" t="s">
        <v>4337</v>
      </c>
      <c r="F615" s="161">
        <v>184.0</v>
      </c>
      <c r="G615" s="152" t="str">
        <f>IFERROR(__xludf.DUMMYFUNCTION("TRIM(REGEXREPLACE(C615, ""[0-9]+[a-f]?\."", """"))"),"How much, if any did you pay a fixer or job placement agency?")</f>
        <v>How much, if any did you pay a fixer or job placement agency?</v>
      </c>
      <c r="H615" s="152" t="str">
        <f>IFERROR(__xludf.DUMMYFUNCTION("TRIM(REGEXREPLACE(D615, ""[0-9]+[a-f]?\."", """"))"),"Combien, si cest déjà arrivé, avez-vous payé à un facilitateur ou à une agence de placement ?")</f>
        <v>Combien, si cest déjà arrivé, avez-vous payé à un facilitateur ou à une agence de placement ?</v>
      </c>
      <c r="I615" s="152" t="str">
        <f>IFERROR(__xludf.DUMMYFUNCTION("TRIM(REGEXREPLACE(E615, ""[0-9]+[a-f]?\."", """"))"),"Nawa, idan ya taɓa faruwa, wanda kuka biya wani idon gari ko wata ma'aikata mai bada aiki?")</f>
        <v>Nawa, idan ya taɓa faruwa, wanda kuka biya wani idon gari ko wata ma'aikata mai bada aiki?</v>
      </c>
      <c r="J615" s="152" t="s">
        <v>4338</v>
      </c>
      <c r="K615" s="152" t="s">
        <v>4339</v>
      </c>
      <c r="L615" s="152" t="s">
        <v>4340</v>
      </c>
      <c r="M615" s="152"/>
    </row>
    <row r="616">
      <c r="A616" s="68" t="s">
        <v>463</v>
      </c>
      <c r="B616" s="169" t="s">
        <v>4341</v>
      </c>
      <c r="C616" s="28" t="s">
        <v>4342</v>
      </c>
      <c r="D616" s="28" t="s">
        <v>4343</v>
      </c>
      <c r="E616" s="28" t="s">
        <v>4344</v>
      </c>
      <c r="F616" s="161">
        <v>185.0</v>
      </c>
      <c r="G616" s="152" t="str">
        <f>IFERROR(__xludf.DUMMYFUNCTION("TRIM(REGEXREPLACE(C616, ""[0-9]+[a-f]?\."", """"))"),"Did you incur a debt to be able to work in ${pm_primary_activity_name}?")</f>
        <v>Did you incur a debt to be able to work in ${pm_primary_activity_name}?</v>
      </c>
      <c r="H616" s="152" t="str">
        <f>IFERROR(__xludf.DUMMYFUNCTION("TRIM(REGEXREPLACE(D616, ""[0-9]+[a-f]?\."", """"))"),"Avez-vous contracté une dette pour pouvoir travailler à ${pm_primary_activity_name} ?")</f>
        <v>Avez-vous contracté une dette pour pouvoir travailler à ${pm_primary_activity_name} ?</v>
      </c>
      <c r="I616" s="152" t="str">
        <f>IFERROR(__xludf.DUMMYFUNCTION("TRIM(REGEXREPLACE(E616, ""[0-9]+[a-f]?\."", """"))"),"Ko kun ci bashi don samun damar yin aiki a ${pm_primary_activity_name}?")</f>
        <v>Ko kun ci bashi don samun damar yin aiki a ${pm_primary_activity_name}?</v>
      </c>
      <c r="J616" s="152" t="s">
        <v>4345</v>
      </c>
      <c r="K616" s="152" t="s">
        <v>4346</v>
      </c>
      <c r="L616" s="152" t="s">
        <v>4347</v>
      </c>
      <c r="M616" s="152"/>
    </row>
    <row r="617">
      <c r="A617" s="170" t="s">
        <v>263</v>
      </c>
      <c r="B617" s="171" t="s">
        <v>4348</v>
      </c>
      <c r="C617" s="28" t="s">
        <v>4349</v>
      </c>
      <c r="D617" s="28" t="s">
        <v>4350</v>
      </c>
      <c r="E617" s="28" t="s">
        <v>4351</v>
      </c>
      <c r="F617" s="161">
        <v>186.0</v>
      </c>
      <c r="G617" s="152" t="str">
        <f>IFERROR(__xludf.DUMMYFUNCTION("TRIM(REGEXREPLACE(C617, ""[0-9]+[a-f]?\."", """"))"),"How much debt in CFA did you take to be able to engage in ${pm_primary_activity_name}?")</f>
        <v>How much debt in CFA did you take to be able to engage in ${pm_primary_activity_name}?</v>
      </c>
      <c r="H617" s="152" t="str">
        <f>IFERROR(__xludf.DUMMYFUNCTION("TRIM(REGEXREPLACE(D617, ""[0-9]+[a-f]?\."", """"))"),"Combien avez-vous contracté de dettes en CFA pour pouvoir vous engager dans ${pm_primary_activity_name} ?")</f>
        <v>Combien avez-vous contracté de dettes en CFA pour pouvoir vous engager dans ${pm_primary_activity_name} ?</v>
      </c>
      <c r="I617" s="152" t="str">
        <f>IFERROR(__xludf.DUMMYFUNCTION("TRIM(REGEXREPLACE(E617, ""[0-9]+[a-f]?\."", """"))"),"Bashin nawa a CFA kuka ci don samun damar shiga ${pm_primary_activity_name}?")</f>
        <v>Bashin nawa a CFA kuka ci don samun damar shiga ${pm_primary_activity_name}?</v>
      </c>
      <c r="J617" s="152" t="s">
        <v>4352</v>
      </c>
      <c r="K617" s="152" t="s">
        <v>4353</v>
      </c>
      <c r="L617" s="152" t="s">
        <v>4354</v>
      </c>
      <c r="M617" s="152"/>
    </row>
    <row r="618">
      <c r="A618" s="170" t="s">
        <v>263</v>
      </c>
      <c r="B618" s="171" t="s">
        <v>4355</v>
      </c>
      <c r="C618" s="28" t="s">
        <v>4356</v>
      </c>
      <c r="D618" s="28" t="s">
        <v>4357</v>
      </c>
      <c r="E618" s="28" t="s">
        <v>4358</v>
      </c>
      <c r="F618" s="161">
        <v>187.0</v>
      </c>
      <c r="G618" s="152" t="str">
        <f>IFERROR(__xludf.DUMMYFUNCTION("TRIM(REGEXREPLACE(C618, ""[0-9]+[a-f]?\."", """"))"),"Now think about your total income from other jobs you worked in ${pm_location_name}. What is your best estimate of your total income from these jobs per week?")</f>
        <v>Now think about your total income from other jobs you worked in ${pm_location_name}. What is your best estimate of your total income from these jobs per week?</v>
      </c>
      <c r="H618" s="152" t="str">
        <f>IFERROR(__xludf.DUMMYFUNCTION("TRIM(REGEXREPLACE(D618, ""[0-9]+[a-f]?\."", """"))"),"Pensez maintenant à vos revenus totaux provenant d'autres emplois que vous avez occupés à ${pm_location_name}. Quelle est votre meilleure estimation de votre revenu total de ces emplois par semaine ?")</f>
        <v>Pensez maintenant à vos revenus totaux provenant d'autres emplois que vous avez occupés à ${pm_location_name}. Quelle est votre meilleure estimation de votre revenu total de ces emplois par semaine ?</v>
      </c>
      <c r="I618" s="152" t="str">
        <f>IFERROR(__xludf.DUMMYFUNCTION("TRIM(REGEXREPLACE(E618, ""[0-9]+[a-f]?\."", """"))"),"Yanzu ku tuna da jimillar kuɗin shiga da kuka samu daga wasu ayyukan da kuka yi a ${pm_location_name}. Misalin nawa a tunaninku jimillar kuɗin shiga daga waɗannan ayyukan a kowane mako?")</f>
        <v>Yanzu ku tuna da jimillar kuɗin shiga da kuka samu daga wasu ayyukan da kuka yi a ${pm_location_name}. Misalin nawa a tunaninku jimillar kuɗin shiga daga waɗannan ayyukan a kowane mako?</v>
      </c>
      <c r="J618" s="152" t="s">
        <v>4359</v>
      </c>
      <c r="K618" s="152" t="s">
        <v>4361</v>
      </c>
      <c r="L618" s="152" t="s">
        <v>4362</v>
      </c>
      <c r="M618" s="152"/>
    </row>
    <row r="619">
      <c r="A619" s="170" t="s">
        <v>263</v>
      </c>
      <c r="B619" s="171" t="s">
        <v>4363</v>
      </c>
      <c r="C619" s="28" t="s">
        <v>4364</v>
      </c>
      <c r="D619" s="28" t="s">
        <v>4366</v>
      </c>
      <c r="E619" s="28" t="s">
        <v>4367</v>
      </c>
      <c r="F619" s="161">
        <v>188.0</v>
      </c>
      <c r="G619" s="152" t="str">
        <f>IFERROR(__xludf.DUMMYFUNCTION("TRIM(REGEXREPLACE(C619, ""[0-9]+[a-f]?\."", """"))"),"For approximately how many weeks in ${pm_location_name} during ${pm_location_period_lab} did you earn ${pm_other_income}?")</f>
        <v>For approximately how many weeks in ${pm_location_name} during ${pm_location_period_lab} did you earn ${pm_other_income}?</v>
      </c>
      <c r="H619" s="152" t="str">
        <f>IFERROR(__xludf.DUMMYFUNCTION("TRIM(REGEXREPLACE(D619, ""[0-9]+[a-f]?\."", """"))"),"Pendant environ combien de semaines à ${pm_location_name} pendant ${pm_location_period_lab_fr} avez-vous gagné ${pm_other_income} ?")</f>
        <v>Pendant environ combien de semaines à ${pm_location_name} pendant ${pm_location_period_lab_fr} avez-vous gagné ${pm_other_income} ?</v>
      </c>
      <c r="I619" s="152" t="str">
        <f>IFERROR(__xludf.DUMMYFUNCTION("TRIM(REGEXREPLACE(E619, ""[0-9]+[a-f]?\."", """"))"),"Kimanin sati nawa a ${pm_location_name} a lokacin ${pm_location_period_lab_ha} kuka samu ${pm_other_income}?")</f>
        <v>Kimanin sati nawa a ${pm_location_name} a lokacin ${pm_location_period_lab_ha} kuka samu ${pm_other_income}?</v>
      </c>
      <c r="J619" s="152" t="s">
        <v>4370</v>
      </c>
      <c r="K619" s="152" t="s">
        <v>4371</v>
      </c>
      <c r="L619" s="152" t="s">
        <v>4372</v>
      </c>
      <c r="M619" s="152"/>
    </row>
    <row r="620" hidden="1">
      <c r="A620" s="90" t="s">
        <v>78</v>
      </c>
      <c r="B620" s="92" t="s">
        <v>4374</v>
      </c>
      <c r="C620" s="28" t="s">
        <v>4375</v>
      </c>
      <c r="D620" s="28" t="s">
        <v>4376</v>
      </c>
      <c r="E620" s="28" t="s">
        <v>4377</v>
      </c>
      <c r="F620" s="161">
        <v>331.0</v>
      </c>
      <c r="G620" s="152" t="str">
        <f>IFERROR(__xludf.DUMMYFUNCTION("TRIM(REGEXREPLACE(C620, ""[0-9]+[a-f]?\."", """"))"),"Calculate other income")</f>
        <v>Calculate other income</v>
      </c>
      <c r="H620" s="152" t="str">
        <f>IFERROR(__xludf.DUMMYFUNCTION("TRIM(REGEXREPLACE(D620, ""[0-9]+[a-f]?\."", """"))"),"Calculer d'autres revenus")</f>
        <v>Calculer d'autres revenus</v>
      </c>
      <c r="I620" s="152" t="str">
        <f>IFERROR(__xludf.DUMMYFUNCTION("TRIM(REGEXREPLACE(E620, ""[0-9]+[a-f]?\."", """"))"),"Yi lissafin sauran kudin shiga")</f>
        <v>Yi lissafin sauran kudin shiga</v>
      </c>
      <c r="J620" s="152" t="s">
        <v>4378</v>
      </c>
      <c r="K620" s="152" t="s">
        <v>4379</v>
      </c>
      <c r="L620" s="152" t="s">
        <v>4380</v>
      </c>
      <c r="M620" s="152"/>
    </row>
    <row r="621" hidden="1">
      <c r="A621" s="90" t="s">
        <v>78</v>
      </c>
      <c r="B621" s="92" t="s">
        <v>4381</v>
      </c>
      <c r="C621" s="28" t="s">
        <v>4382</v>
      </c>
      <c r="D621" s="28"/>
      <c r="E621" s="28"/>
      <c r="F621" s="161">
        <v>332.0</v>
      </c>
      <c r="G621" s="152" t="str">
        <f>IFERROR(__xludf.DUMMYFUNCTION("TRIM(REGEXREPLACE(C621, ""[0-9]+[a-f]?\."", """"))"),"Calculate total income")</f>
        <v>Calculate total income</v>
      </c>
      <c r="H621" s="152" t="str">
        <f>IFERROR(__xludf.DUMMYFUNCTION("TRIM(REGEXREPLACE(D621, ""[0-9]+[a-f]?\."", """"))"),"")</f>
        <v/>
      </c>
      <c r="I621" s="152" t="str">
        <f>IFERROR(__xludf.DUMMYFUNCTION("TRIM(REGEXREPLACE(E621, ""[0-9]+[a-f]?\."", """"))"),"")</f>
        <v/>
      </c>
      <c r="J621" s="152" t="s">
        <v>4384</v>
      </c>
      <c r="K621" s="152" t="s">
        <v>4386</v>
      </c>
      <c r="L621" s="152" t="s">
        <v>4388</v>
      </c>
      <c r="M621" s="152"/>
    </row>
    <row r="622">
      <c r="A622" s="68" t="s">
        <v>463</v>
      </c>
      <c r="B622" s="169" t="s">
        <v>4389</v>
      </c>
      <c r="C622" s="28" t="s">
        <v>4390</v>
      </c>
      <c r="D622" s="28" t="s">
        <v>4391</v>
      </c>
      <c r="E622" s="28" t="s">
        <v>4392</v>
      </c>
      <c r="F622" s="161">
        <v>189.0</v>
      </c>
      <c r="G622" s="152" t="str">
        <f>IFERROR(__xludf.DUMMYFUNCTION("TRIM(REGEXREPLACE(C622, ""[0-9]+[a-f]?\."", """"))"),"Would you say that it is accurate that in ${pm_location_name} your total income during ${pm_location_period_lab} from activities other than ${pm_primary_activity_name} was ${pm_calc_other_income}?")</f>
        <v>Would you say that it is accurate that in ${pm_location_name} your total income during ${pm_location_period_lab} from activities other than ${pm_primary_activity_name} was ${pm_calc_other_income}?</v>
      </c>
      <c r="H622" s="152" t="str">
        <f>IFERROR(__xludf.DUMMYFUNCTION("TRIM(REGEXREPLACE(D622, ""[0-9]+[a-f]?\."", """"))"),"Diriez-vous que c'est exact qu'à ${pm_location_name}, votre revenu total pendant ${pm_location_period_lab_fr} provenant d'activités autres que ${pm_primary_activity_name} était de ${pm_calc_other_income} CFA ?")</f>
        <v>Diriez-vous que c'est exact qu'à ${pm_location_name}, votre revenu total pendant ${pm_location_period_lab_fr} provenant d'activités autres que ${pm_primary_activity_name} était de ${pm_calc_other_income} CFA ?</v>
      </c>
      <c r="I622" s="152" t="str">
        <f>IFERROR(__xludf.DUMMYFUNCTION("TRIM(REGEXREPLACE(E622, ""[0-9]+[a-f]?\."", """"))"),"Za ku iya cewa daidai ne a ${pm_location_name} jimillar kuɗin da kuka samu a lokacin ${pm_location_period_lab_ha} daga ayyukan da ba ${pm_primary_activity_name} shine ${pm_calc_other_income} CFA?")</f>
        <v>Za ku iya cewa daidai ne a ${pm_location_name} jimillar kuɗin da kuka samu a lokacin ${pm_location_period_lab_ha} daga ayyukan da ba ${pm_primary_activity_name} shine ${pm_calc_other_income} CFA?</v>
      </c>
      <c r="J622" s="152" t="s">
        <v>4393</v>
      </c>
      <c r="K622" s="152" t="s">
        <v>4394</v>
      </c>
      <c r="L622" s="152" t="s">
        <v>4395</v>
      </c>
      <c r="M622" s="152"/>
    </row>
    <row r="623" hidden="1">
      <c r="A623" s="65" t="s">
        <v>134</v>
      </c>
      <c r="B623" s="66" t="s">
        <v>4396</v>
      </c>
      <c r="C623" s="28"/>
      <c r="D623" s="28"/>
      <c r="E623" s="28"/>
      <c r="F623" s="161">
        <v>334.0</v>
      </c>
      <c r="G623" s="152" t="str">
        <f>IFERROR(__xludf.DUMMYFUNCTION("TRIM(REGEXREPLACE(C623, ""[0-9]+[a-f]?\."", """"))"),"")</f>
        <v/>
      </c>
      <c r="H623" s="152" t="str">
        <f>IFERROR(__xludf.DUMMYFUNCTION("TRIM(REGEXREPLACE(D623, ""[0-9]+[a-f]?\."", """"))"),"")</f>
        <v/>
      </c>
      <c r="I623" s="152" t="str">
        <f>IFERROR(__xludf.DUMMYFUNCTION("TRIM(REGEXREPLACE(E623, ""[0-9]+[a-f]?\."", """"))"),"")</f>
        <v/>
      </c>
      <c r="J623" s="152" t="s">
        <v>4401</v>
      </c>
      <c r="K623" s="152" t="s">
        <v>4402</v>
      </c>
      <c r="L623" s="152" t="s">
        <v>4403</v>
      </c>
      <c r="M623" s="152"/>
    </row>
    <row r="624" hidden="1">
      <c r="A624" s="58" t="s">
        <v>78</v>
      </c>
      <c r="B624" s="58" t="s">
        <v>4404</v>
      </c>
      <c r="C624" s="28"/>
      <c r="D624" s="28"/>
      <c r="E624" s="28"/>
      <c r="F624" s="161">
        <v>335.0</v>
      </c>
      <c r="G624" s="152" t="str">
        <f>IFERROR(__xludf.DUMMYFUNCTION("TRIM(REGEXREPLACE(C624, ""[0-9]+[a-f]?\."", """"))"),"")</f>
        <v/>
      </c>
      <c r="H624" s="152" t="str">
        <f>IFERROR(__xludf.DUMMYFUNCTION("TRIM(REGEXREPLACE(D624, ""[0-9]+[a-f]?\."", """"))"),"")</f>
        <v/>
      </c>
      <c r="I624" s="152" t="str">
        <f>IFERROR(__xludf.DUMMYFUNCTION("TRIM(REGEXREPLACE(E624, ""[0-9]+[a-f]?\."", """"))"),"")</f>
        <v/>
      </c>
      <c r="J624" s="152" t="s">
        <v>4405</v>
      </c>
      <c r="K624" s="152" t="s">
        <v>4406</v>
      </c>
      <c r="L624" s="152" t="s">
        <v>4407</v>
      </c>
      <c r="M624" s="152"/>
    </row>
    <row r="625" hidden="1">
      <c r="A625" s="140" t="s">
        <v>237</v>
      </c>
      <c r="B625" s="191" t="s">
        <v>4140</v>
      </c>
      <c r="C625" s="28" t="s">
        <v>4142</v>
      </c>
      <c r="D625" s="28" t="s">
        <v>4143</v>
      </c>
      <c r="E625" s="28" t="s">
        <v>4145</v>
      </c>
      <c r="F625" s="161">
        <v>336.0</v>
      </c>
      <c r="G625" s="152" t="str">
        <f>IFERROR(__xludf.DUMMYFUNCTION("TRIM(REGEXREPLACE(C625, ""[0-9]+[a-f]?\."", """"))"),"Primary Activity")</f>
        <v>Primary Activity</v>
      </c>
      <c r="H625" s="152" t="str">
        <f>IFERROR(__xludf.DUMMYFUNCTION("TRIM(REGEXREPLACE(D625, ""[0-9]+[a-f]?\."", """"))"),"Activité principale")</f>
        <v>Activité principale</v>
      </c>
      <c r="I625" s="152" t="str">
        <f>IFERROR(__xludf.DUMMYFUNCTION("TRIM(REGEXREPLACE(E625, ""[0-9]+[a-f]?\."", """"))"),"Muhimmin aiki")</f>
        <v>Muhimmin aiki</v>
      </c>
      <c r="J625" s="152" t="s">
        <v>4408</v>
      </c>
      <c r="K625" s="152" t="s">
        <v>4409</v>
      </c>
      <c r="L625" s="152" t="s">
        <v>4410</v>
      </c>
    </row>
    <row r="626" hidden="1">
      <c r="A626" s="140"/>
      <c r="B626" s="164"/>
      <c r="C626" s="28"/>
      <c r="D626" s="28"/>
      <c r="E626" s="28"/>
      <c r="F626" s="161">
        <v>66.0</v>
      </c>
      <c r="G626" s="152" t="str">
        <f>IFERROR(__xludf.DUMMYFUNCTION("TRIM(REGEXREPLACE(C626, ""[0-9]+[a-f]?\."", """"))"),"")</f>
        <v/>
      </c>
      <c r="H626" s="152" t="str">
        <f>IFERROR(__xludf.DUMMYFUNCTION("TRIM(REGEXREPLACE(D626, ""[0-9]+[a-f]?\."", """"))"),"")</f>
        <v/>
      </c>
      <c r="I626" s="152" t="str">
        <f>IFERROR(__xludf.DUMMYFUNCTION("TRIM(REGEXREPLACE(E626, ""[0-9]+[a-f]?\."", """"))"),"")</f>
        <v/>
      </c>
      <c r="J626" s="152" t="str">
        <f t="shared" ref="J626:L626" si="55">$F626 &amp; ". " &amp;G626</f>
        <v>66. </v>
      </c>
      <c r="K626" s="152" t="str">
        <f t="shared" si="55"/>
        <v>66. </v>
      </c>
      <c r="L626" s="152" t="str">
        <f t="shared" si="55"/>
        <v>66. </v>
      </c>
      <c r="M626" s="152"/>
    </row>
    <row r="627" hidden="1">
      <c r="A627" s="136"/>
      <c r="B627" s="136"/>
      <c r="C627" s="28"/>
      <c r="D627" s="28"/>
      <c r="E627" s="28"/>
      <c r="F627" s="161">
        <v>67.0</v>
      </c>
      <c r="G627" s="152" t="str">
        <f>IFERROR(__xludf.DUMMYFUNCTION("TRIM(REGEXREPLACE(C627, ""[0-9]+[a-f]?\."", """"))"),"")</f>
        <v/>
      </c>
      <c r="H627" s="152" t="str">
        <f>IFERROR(__xludf.DUMMYFUNCTION("TRIM(REGEXREPLACE(D627, ""[0-9]+[a-f]?\."", """"))"),"")</f>
        <v/>
      </c>
      <c r="I627" s="152" t="str">
        <f>IFERROR(__xludf.DUMMYFUNCTION("TRIM(REGEXREPLACE(E627, ""[0-9]+[a-f]?\."", """"))"),"")</f>
        <v/>
      </c>
      <c r="J627" s="152" t="str">
        <f t="shared" ref="J627:L627" si="56">$F627 &amp; ". " &amp;G627</f>
        <v>67. </v>
      </c>
      <c r="K627" s="152" t="str">
        <f t="shared" si="56"/>
        <v>67. </v>
      </c>
      <c r="L627" s="152" t="str">
        <f t="shared" si="56"/>
        <v>67. </v>
      </c>
      <c r="M627" s="152"/>
    </row>
    <row r="628" hidden="1">
      <c r="A628" s="140" t="s">
        <v>131</v>
      </c>
      <c r="B628" s="164" t="s">
        <v>4417</v>
      </c>
      <c r="C628" s="28" t="s">
        <v>4418</v>
      </c>
      <c r="D628" s="28" t="s">
        <v>4419</v>
      </c>
      <c r="E628" s="28" t="s">
        <v>4420</v>
      </c>
      <c r="F628" s="161">
        <v>68.0</v>
      </c>
      <c r="G628" s="152" t="str">
        <f>IFERROR(__xludf.DUMMYFUNCTION("TRIM(REGEXREPLACE(C628, ""[0-9]+[a-f]?\."", """"))"),"Location not at home")</f>
        <v>Location not at home</v>
      </c>
      <c r="H628" s="152" t="str">
        <f>IFERROR(__xludf.DUMMYFUNCTION("TRIM(REGEXREPLACE(D628, ""[0-9]+[a-f]?\."", """"))"),"Localité pas à la maison")</f>
        <v>Localité pas à la maison</v>
      </c>
      <c r="I628" s="152" t="str">
        <f>IFERROR(__xludf.DUMMYFUNCTION("TRIM(REGEXREPLACE(E628, ""[0-9]+[a-f]?\."", """"))"),"Wuri ba a gida ba")</f>
        <v>Wuri ba a gida ba</v>
      </c>
      <c r="J628" s="152" t="str">
        <f t="shared" ref="J628:L628" si="57">$F628 &amp; ". " &amp;G628</f>
        <v>68. Location not at home</v>
      </c>
      <c r="K628" s="152" t="str">
        <f t="shared" si="57"/>
        <v>68. Localité pas à la maison</v>
      </c>
      <c r="L628" s="152" t="str">
        <f t="shared" si="57"/>
        <v>68. Wuri ba a gida ba</v>
      </c>
      <c r="M628" s="152"/>
    </row>
    <row r="629" hidden="1">
      <c r="A629" s="65" t="s">
        <v>134</v>
      </c>
      <c r="B629" s="66" t="s">
        <v>4422</v>
      </c>
      <c r="C629" s="28"/>
      <c r="D629" s="28"/>
      <c r="E629" s="28"/>
      <c r="F629" s="161">
        <v>69.0</v>
      </c>
      <c r="G629" s="152" t="str">
        <f>IFERROR(__xludf.DUMMYFUNCTION("TRIM(REGEXREPLACE(C629, ""[0-9]+[a-f]?\."", """"))"),"")</f>
        <v/>
      </c>
      <c r="H629" s="152" t="str">
        <f>IFERROR(__xludf.DUMMYFUNCTION("TRIM(REGEXREPLACE(D629, ""[0-9]+[a-f]?\."", """"))"),"")</f>
        <v/>
      </c>
      <c r="I629" s="152" t="str">
        <f>IFERROR(__xludf.DUMMYFUNCTION("TRIM(REGEXREPLACE(E629, ""[0-9]+[a-f]?\."", """"))"),"")</f>
        <v/>
      </c>
      <c r="J629" s="152" t="str">
        <f t="shared" ref="J629:L629" si="58">$F629 &amp; ". " &amp;G629</f>
        <v>69. </v>
      </c>
      <c r="K629" s="152" t="str">
        <f t="shared" si="58"/>
        <v>69. </v>
      </c>
      <c r="L629" s="152" t="str">
        <f t="shared" si="58"/>
        <v>69. </v>
      </c>
      <c r="M629" s="152"/>
    </row>
    <row r="630">
      <c r="A630" s="68" t="s">
        <v>1016</v>
      </c>
      <c r="B630" s="169" t="s">
        <v>4426</v>
      </c>
      <c r="C630" s="28" t="s">
        <v>4427</v>
      </c>
      <c r="D630" s="28" t="s">
        <v>4428</v>
      </c>
      <c r="E630" s="28" t="s">
        <v>4429</v>
      </c>
      <c r="F630" s="161">
        <v>190.0</v>
      </c>
      <c r="G630" s="152" t="str">
        <f>IFERROR(__xludf.DUMMYFUNCTION("TRIM(REGEXREPLACE(C630, ""[0-9]+[a-f]?\."", """"))"),"What was the main reason you spent time in ${pm_location_name} during ${pm_location_period_lab}?")</f>
        <v>What was the main reason you spent time in ${pm_location_name} during ${pm_location_period_lab}?</v>
      </c>
      <c r="H630" s="152" t="str">
        <f>IFERROR(__xludf.DUMMYFUNCTION("TRIM(REGEXREPLACE(D630, ""[0-9]+[a-f]?\."", """"))"),"Quelle est la principale raison pour laquelle vous avez passé du temps à ${pm_location_name} pendant ${pm_location_period_lab_fr} ?")</f>
        <v>Quelle est la principale raison pour laquelle vous avez passé du temps à ${pm_location_name} pendant ${pm_location_period_lab_fr} ?</v>
      </c>
      <c r="I630" s="152" t="str">
        <f>IFERROR(__xludf.DUMMYFUNCTION("TRIM(REGEXREPLACE(E630, ""[0-9]+[a-f]?\."", """"))"),"Menene babban dalilin da ya sa kuka zauna tsawon wani lokaci a ${pm_location_name} lokacin ${pm_location_period_lab_ha}?")</f>
        <v>Menene babban dalilin da ya sa kuka zauna tsawon wani lokaci a ${pm_location_name} lokacin ${pm_location_period_lab_ha}?</v>
      </c>
      <c r="J630" s="152" t="s">
        <v>4430</v>
      </c>
      <c r="K630" s="152" t="s">
        <v>4431</v>
      </c>
      <c r="L630" s="152" t="s">
        <v>4432</v>
      </c>
      <c r="M630" s="152"/>
    </row>
    <row r="631">
      <c r="A631" s="68" t="s">
        <v>4433</v>
      </c>
      <c r="B631" s="169" t="s">
        <v>4434</v>
      </c>
      <c r="C631" s="28" t="s">
        <v>4435</v>
      </c>
      <c r="D631" s="28" t="s">
        <v>4436</v>
      </c>
      <c r="E631" s="28" t="s">
        <v>4437</v>
      </c>
      <c r="F631" s="161">
        <v>191.0</v>
      </c>
      <c r="G631" s="152" t="str">
        <f>IFERROR(__xludf.DUMMYFUNCTION("TRIM(REGEXREPLACE(C631, ""[0-9]+[a-f]?\."", """"))"),"Think about a typical week in ${pm_location_name}, where were you living?")</f>
        <v>Think about a typical week in ${pm_location_name}, where were you living?</v>
      </c>
      <c r="H631" s="152" t="str">
        <f>IFERROR(__xludf.DUMMYFUNCTION("TRIM(REGEXREPLACE(D631, ""[0-9]+[a-f]?\."", """"))"),"Pensez à une semaine typique à ${pm_location_name}, où viviez-vous ?")</f>
        <v>Pensez à une semaine typique à ${pm_location_name}, où viviez-vous ?</v>
      </c>
      <c r="I631" s="152" t="str">
        <f>IFERROR(__xludf.DUMMYFUNCTION("TRIM(REGEXREPLACE(E631, ""[0-9]+[a-f]?\."", """"))"),"Ku yi tunanin sati guda a cikin ${pm_location_name}, da inda kuke zaune?")</f>
        <v>Ku yi tunanin sati guda a cikin ${pm_location_name}, da inda kuke zaune?</v>
      </c>
      <c r="J631" s="152" t="s">
        <v>4439</v>
      </c>
      <c r="K631" s="152" t="s">
        <v>4441</v>
      </c>
      <c r="L631" s="152" t="s">
        <v>4443</v>
      </c>
      <c r="M631" s="152"/>
    </row>
    <row r="632">
      <c r="A632" s="68" t="s">
        <v>4445</v>
      </c>
      <c r="B632" s="218" t="s">
        <v>4447</v>
      </c>
      <c r="C632" s="28" t="s">
        <v>4448</v>
      </c>
      <c r="D632" s="183" t="s">
        <v>4449</v>
      </c>
      <c r="E632" s="183" t="s">
        <v>4450</v>
      </c>
      <c r="F632" s="161">
        <v>192.0</v>
      </c>
      <c r="G632" s="152" t="str">
        <f>IFERROR(__xludf.DUMMYFUNCTION("TRIM(REGEXREPLACE(C632, ""[0-9]+[a-f]?\."", """"))"),"Thinking about the ${pm_location_weeks} weeks you spent in ${pm_location_name} during ${pm_location_period_lab}, did you share money you earned with your household in ${pm_home_location} using the following methods?")</f>
        <v>Thinking about the ${pm_location_weeks} weeks you spent in ${pm_location_name} during ${pm_location_period_lab}, did you share money you earned with your household in ${pm_home_location} using the following methods?</v>
      </c>
      <c r="H632" s="152" t="str">
        <f>IFERROR(__xludf.DUMMYFUNCTION("TRIM(REGEXREPLACE(D632, ""[0-9]+[a-f]?\."", """"))"),"En considérant les ${pm_location_weeks} semaines passées à ${pm_location_name} pendant ${pm_location_period_lab_fr}, avez-vous partagé l'argent que vous avez gagné avec votre ménage à ${pm_home_location} en utilisant les méthodes suivantes ?")</f>
        <v>En considérant les ${pm_location_weeks} semaines passées à ${pm_location_name} pendant ${pm_location_period_lab_fr}, avez-vous partagé l'argent que vous avez gagné avec votre ménage à ${pm_home_location} en utilisant les méthodes suivantes ?</v>
      </c>
      <c r="I632" s="152" t="str">
        <f>IFERROR(__xludf.DUMMYFUNCTION("TRIM(REGEXREPLACE(E632, ""[0-9]+[a-f]?\."", """"))"),"Tunanin makonni ${pm_location_weeks} da kuka kashe a ${pm_location_name} lokacin ${pm_location_period_lab_ha}, shin kun raba kuɗin da kuka samu tare da gidan ku a ${pm_home_location} ta amfani da hanyoyi masu zuwa?")</f>
        <v>Tunanin makonni ${pm_location_weeks} da kuka kashe a ${pm_location_name} lokacin ${pm_location_period_lab_ha}, shin kun raba kuɗin da kuka samu tare da gidan ku a ${pm_home_location} ta amfani da hanyoyi masu zuwa?</v>
      </c>
      <c r="J632" s="152" t="s">
        <v>4451</v>
      </c>
      <c r="K632" s="152" t="s">
        <v>4452</v>
      </c>
      <c r="L632" s="152" t="s">
        <v>4453</v>
      </c>
      <c r="M632" s="152"/>
    </row>
    <row r="633">
      <c r="A633" s="170" t="s">
        <v>263</v>
      </c>
      <c r="B633" s="171" t="s">
        <v>4454</v>
      </c>
      <c r="C633" s="28" t="s">
        <v>4455</v>
      </c>
      <c r="D633" s="28" t="s">
        <v>4456</v>
      </c>
      <c r="E633" s="28" t="s">
        <v>4457</v>
      </c>
      <c r="F633" s="161">
        <v>193.0</v>
      </c>
      <c r="G633" s="152" t="str">
        <f>IFERROR(__xludf.DUMMYFUNCTION("TRIM(REGEXREPLACE(C633, ""[0-9]+[a-f]?\."", """"))"),"How much do you estimate you shared with your household in ${pm_home_location} through these methods?")</f>
        <v>How much do you estimate you shared with your household in ${pm_home_location} through these methods?</v>
      </c>
      <c r="H633" s="152" t="str">
        <f>IFERROR(__xludf.DUMMYFUNCTION("TRIM(REGEXREPLACE(D633, ""[0-9]+[a-f]?\."", """"))"),"Quel montant estimez-vous avoir partagé avec votre ménage à ${pm_home_location} grâce à ces méthodes ?")</f>
        <v>Quel montant estimez-vous avoir partagé avec votre ménage à ${pm_home_location} grâce à ces méthodes ?</v>
      </c>
      <c r="I633" s="152" t="str">
        <f>IFERROR(__xludf.DUMMYFUNCTION("TRIM(REGEXREPLACE(E633, ""[0-9]+[a-f]?\."", """"))"),"Nawa kuke kiyasin kun raba wa ƴan gidanku a ${pm_home_location} ta waɗannan hanyoyin?")</f>
        <v>Nawa kuke kiyasin kun raba wa ƴan gidanku a ${pm_home_location} ta waɗannan hanyoyin?</v>
      </c>
      <c r="J633" s="152" t="s">
        <v>4458</v>
      </c>
      <c r="K633" s="152" t="s">
        <v>4459</v>
      </c>
      <c r="L633" s="152" t="s">
        <v>4460</v>
      </c>
      <c r="M633" s="152"/>
    </row>
    <row r="634">
      <c r="A634" s="68" t="s">
        <v>4445</v>
      </c>
      <c r="B634" s="218" t="s">
        <v>4462</v>
      </c>
      <c r="C634" s="28" t="s">
        <v>4463</v>
      </c>
      <c r="D634" s="183" t="s">
        <v>4466</v>
      </c>
      <c r="E634" s="183" t="s">
        <v>4467</v>
      </c>
      <c r="F634" s="161">
        <v>194.0</v>
      </c>
      <c r="G634" s="152" t="str">
        <f>IFERROR(__xludf.DUMMYFUNCTION("TRIM(REGEXREPLACE(C634, ""[0-9]+[a-f]?\."", """"))"),"Thinking about the ${pm_location_weeks} weeks you spent in ${pm_location_name} during ${pm_location_period_lab}, did you share money you earned with someone NOT in your household using the following methods?")</f>
        <v>Thinking about the ${pm_location_weeks} weeks you spent in ${pm_location_name} during ${pm_location_period_lab}, did you share money you earned with someone NOT in your household using the following methods?</v>
      </c>
      <c r="H634" s="152" t="str">
        <f>IFERROR(__xludf.DUMMYFUNCTION("TRIM(REGEXREPLACE(D634, ""[0-9]+[a-f]?\."", """"))"),"En considérant les ${pm_location_weeks} semaines passées à ${pm_location_name} pendant ${pm_location_period_lab_fr}, avez-vous donné l’argent que vous avez gagné avec une personne EXTÉRIEURE à votre ménage grâce aux méthodes suivantes ?")</f>
        <v>En considérant les ${pm_location_weeks} semaines passées à ${pm_location_name} pendant ${pm_location_period_lab_fr}, avez-vous donné l’argent que vous avez gagné avec une personne EXTÉRIEURE à votre ménage grâce aux méthodes suivantes ?</v>
      </c>
      <c r="I634" s="152" t="str">
        <f>IFERROR(__xludf.DUMMYFUNCTION("TRIM(REGEXREPLACE(E634, ""[0-9]+[a-f]?\."", """"))"),"Tunanin makonni ${pm_location_weeks} da kuka kashe a ${pm_location_name} lokacin ${pm_location_period_lab_ha}, kun raba kuɗin da kuka samu tare da wani BA a cikin gidanku ta amfani da waɗannan hanyoyin?")</f>
        <v>Tunanin makonni ${pm_location_weeks} da kuka kashe a ${pm_location_name} lokacin ${pm_location_period_lab_ha}, kun raba kuɗin da kuka samu tare da wani BA a cikin gidanku ta amfani da waɗannan hanyoyin?</v>
      </c>
      <c r="J634" s="152" t="s">
        <v>4469</v>
      </c>
      <c r="K634" s="152" t="s">
        <v>4470</v>
      </c>
      <c r="L634" s="152" t="s">
        <v>4471</v>
      </c>
      <c r="M634" s="152"/>
    </row>
    <row r="635">
      <c r="A635" s="170" t="s">
        <v>263</v>
      </c>
      <c r="B635" s="271" t="s">
        <v>4472</v>
      </c>
      <c r="C635" s="28" t="s">
        <v>4473</v>
      </c>
      <c r="D635" s="28" t="s">
        <v>4474</v>
      </c>
      <c r="E635" s="28" t="s">
        <v>4476</v>
      </c>
      <c r="F635" s="161">
        <v>195.0</v>
      </c>
      <c r="G635" s="152" t="str">
        <f>IFERROR(__xludf.DUMMYFUNCTION("TRIM(REGEXREPLACE(C635, ""[0-9]+[a-f]?\."", """"))"),"How much do you estimate you shared with people NOT in your household through these methods?")</f>
        <v>How much do you estimate you shared with people NOT in your household through these methods?</v>
      </c>
      <c r="H635" s="152" t="str">
        <f>IFERROR(__xludf.DUMMYFUNCTION("TRIM(REGEXREPLACE(D635, ""[0-9]+[a-f]?\."", """"))"),"Quel montant estimez-vous avoir donné à des personnes EXTÉRIEURES à votre ménage grâce à ces méthodes ?")</f>
        <v>Quel montant estimez-vous avoir donné à des personnes EXTÉRIEURES à votre ménage grâce à ces méthodes ?</v>
      </c>
      <c r="I635" s="152" t="str">
        <f>IFERROR(__xludf.DUMMYFUNCTION("TRIM(REGEXREPLACE(E635, ""[0-9]+[a-f]?\."", """"))"),"Nawa kuke kiyasin kun ba wa wasu mutane wanda ba ƴan cikin gidanku ba ta waɗannan hanyoyin?")</f>
        <v>Nawa kuke kiyasin kun ba wa wasu mutane wanda ba ƴan cikin gidanku ba ta waɗannan hanyoyin?</v>
      </c>
      <c r="J635" s="152" t="s">
        <v>4473</v>
      </c>
      <c r="K635" s="152" t="s">
        <v>4479</v>
      </c>
      <c r="L635" s="152" t="s">
        <v>4480</v>
      </c>
      <c r="M635" s="152"/>
    </row>
    <row r="636">
      <c r="A636" s="68" t="s">
        <v>4445</v>
      </c>
      <c r="B636" s="218" t="s">
        <v>4481</v>
      </c>
      <c r="C636" s="28" t="s">
        <v>4482</v>
      </c>
      <c r="D636" s="183" t="s">
        <v>4483</v>
      </c>
      <c r="E636" s="183" t="s">
        <v>4484</v>
      </c>
      <c r="F636" s="161">
        <v>196.0</v>
      </c>
      <c r="G636" s="152" t="str">
        <f>IFERROR(__xludf.DUMMYFUNCTION("TRIM(REGEXREPLACE(C636, ""[0-9]+[a-f]?\."", """"))"),"Thinking about the ${pm_location_weeks} weeks you spent in ${pm_location_name} during ${pm_location_period_lab}, did you receive money from your household in ${pm_home_location} using the following methods?")</f>
        <v>Thinking about the ${pm_location_weeks} weeks you spent in ${pm_location_name} during ${pm_location_period_lab}, did you receive money from your household in ${pm_home_location} using the following methods?</v>
      </c>
      <c r="H636" s="152" t="str">
        <f>IFERROR(__xludf.DUMMYFUNCTION("TRIM(REGEXREPLACE(D636, ""[0-9]+[a-f]?\."", """"))"),"En considérant les ${pm_location_weeks} semaines passées à ${pm_location_name} pendant ${pm_location_period_lab_fr}, avez-vous reçu de l’argent de votre ménage à ${pm_home_location} grâce aux méthodes suivantes ?")</f>
        <v>En considérant les ${pm_location_weeks} semaines passées à ${pm_location_name} pendant ${pm_location_period_lab_fr}, avez-vous reçu de l’argent de votre ménage à ${pm_home_location} grâce aux méthodes suivantes ?</v>
      </c>
      <c r="I636" s="152" t="str">
        <f>IFERROR(__xludf.DUMMYFUNCTION("TRIM(REGEXREPLACE(E636, ""[0-9]+[a-f]?\."", """"))"),"Ku tuna da makonnin ${pm_location_weeks} da suka wuce a ${pm_location_name} a lokacin ${pm_location_period_lab_ha}, ko kun karɓi kuɗi daga ƴan gidan ku a ${pm_home_location} ta amfani da hanyoyi masu zuwa?")</f>
        <v>Ku tuna da makonnin ${pm_location_weeks} da suka wuce a ${pm_location_name} a lokacin ${pm_location_period_lab_ha}, ko kun karɓi kuɗi daga ƴan gidan ku a ${pm_home_location} ta amfani da hanyoyi masu zuwa?</v>
      </c>
      <c r="J636" s="152" t="s">
        <v>4482</v>
      </c>
      <c r="K636" s="152" t="s">
        <v>4485</v>
      </c>
      <c r="L636" s="152" t="s">
        <v>4486</v>
      </c>
      <c r="M636" s="152"/>
    </row>
    <row r="637">
      <c r="A637" s="170" t="s">
        <v>263</v>
      </c>
      <c r="B637" s="171" t="s">
        <v>4487</v>
      </c>
      <c r="C637" s="28" t="s">
        <v>4488</v>
      </c>
      <c r="D637" s="28" t="s">
        <v>4489</v>
      </c>
      <c r="E637" s="28" t="s">
        <v>4490</v>
      </c>
      <c r="F637" s="161">
        <v>197.0</v>
      </c>
      <c r="G637" s="152" t="str">
        <f>IFERROR(__xludf.DUMMYFUNCTION("TRIM(REGEXREPLACE(C637, ""[0-9]+[a-f]?\."", """"))"),"How much money do you estimate you recieved through these methods?")</f>
        <v>How much money do you estimate you recieved through these methods?</v>
      </c>
      <c r="H637" s="152" t="str">
        <f>IFERROR(__xludf.DUMMYFUNCTION("TRIM(REGEXREPLACE(D637, ""[0-9]+[a-f]?\."", """"))"),"Quel montant estimez-vous avoir reçu grâce à ces méthodes ?")</f>
        <v>Quel montant estimez-vous avoir reçu grâce à ces méthodes ?</v>
      </c>
      <c r="I637" s="152" t="str">
        <f>IFERROR(__xludf.DUMMYFUNCTION("TRIM(REGEXREPLACE(E637, ""[0-9]+[a-f]?\."", """"))"),"Kudi nawa kuke kiyasin kun samu ta waɗannan hanyoyin?")</f>
        <v>Kudi nawa kuke kiyasin kun samu ta waɗannan hanyoyin?</v>
      </c>
      <c r="J637" s="152" t="s">
        <v>4488</v>
      </c>
      <c r="K637" s="152" t="s">
        <v>4491</v>
      </c>
      <c r="L637" s="152" t="s">
        <v>4492</v>
      </c>
      <c r="M637" s="152"/>
    </row>
    <row r="638" hidden="1">
      <c r="A638" s="65" t="s">
        <v>134</v>
      </c>
      <c r="B638" s="66" t="s">
        <v>4494</v>
      </c>
      <c r="C638" s="28"/>
      <c r="D638" s="28"/>
      <c r="E638" s="28"/>
      <c r="F638" s="161">
        <v>387.0</v>
      </c>
      <c r="G638" s="152" t="str">
        <f>IFERROR(__xludf.DUMMYFUNCTION("TRIM(REGEXREPLACE(C638, ""[0-9]+[a-f]?\."", """"))"),"")</f>
        <v/>
      </c>
      <c r="H638" s="152" t="str">
        <f>IFERROR(__xludf.DUMMYFUNCTION("TRIM(REGEXREPLACE(D638, ""[0-9]+[a-f]?\."", """"))"),"")</f>
        <v/>
      </c>
      <c r="I638" s="152" t="str">
        <f>IFERROR(__xludf.DUMMYFUNCTION("TRIM(REGEXREPLACE(E638, ""[0-9]+[a-f]?\."", """"))"),"")</f>
        <v/>
      </c>
      <c r="J638" s="152" t="s">
        <v>4495</v>
      </c>
      <c r="K638" s="152" t="s">
        <v>4496</v>
      </c>
      <c r="L638" s="152" t="s">
        <v>4496</v>
      </c>
      <c r="M638" s="152"/>
    </row>
    <row r="639" hidden="1">
      <c r="A639" s="137" t="s">
        <v>78</v>
      </c>
      <c r="B639" s="272" t="s">
        <v>4497</v>
      </c>
      <c r="C639" s="28"/>
      <c r="D639" s="28"/>
      <c r="E639" s="28"/>
      <c r="F639" s="161">
        <v>388.0</v>
      </c>
      <c r="G639" s="152" t="str">
        <f>IFERROR(__xludf.DUMMYFUNCTION("TRIM(REGEXREPLACE(C639, ""[0-9]+[a-f]?\."", """"))"),"")</f>
        <v/>
      </c>
      <c r="H639" s="152" t="str">
        <f>IFERROR(__xludf.DUMMYFUNCTION("TRIM(REGEXREPLACE(D639, ""[0-9]+[a-f]?\."", """"))"),"")</f>
        <v/>
      </c>
      <c r="I639" s="152" t="str">
        <f>IFERROR(__xludf.DUMMYFUNCTION("TRIM(REGEXREPLACE(E639, ""[0-9]+[a-f]?\."", """"))"),"")</f>
        <v/>
      </c>
      <c r="J639" s="152" t="s">
        <v>4498</v>
      </c>
      <c r="K639" s="152" t="s">
        <v>4499</v>
      </c>
      <c r="L639" s="152" t="s">
        <v>4499</v>
      </c>
    </row>
    <row r="640" hidden="1">
      <c r="A640" s="140" t="s">
        <v>237</v>
      </c>
      <c r="B640" s="191" t="s">
        <v>4417</v>
      </c>
      <c r="C640" s="28" t="s">
        <v>4418</v>
      </c>
      <c r="D640" s="28" t="s">
        <v>4419</v>
      </c>
      <c r="E640" s="28" t="s">
        <v>4420</v>
      </c>
      <c r="F640" s="161">
        <v>389.0</v>
      </c>
      <c r="G640" s="152" t="str">
        <f>IFERROR(__xludf.DUMMYFUNCTION("TRIM(REGEXREPLACE(C640, ""[0-9]+[a-f]?\."", """"))"),"Location not at home")</f>
        <v>Location not at home</v>
      </c>
      <c r="H640" s="152" t="str">
        <f>IFERROR(__xludf.DUMMYFUNCTION("TRIM(REGEXREPLACE(D640, ""[0-9]+[a-f]?\."", """"))"),"Localité pas à la maison")</f>
        <v>Localité pas à la maison</v>
      </c>
      <c r="I640" s="152" t="str">
        <f>IFERROR(__xludf.DUMMYFUNCTION("TRIM(REGEXREPLACE(E640, ""[0-9]+[a-f]?\."", """"))"),"Wuri ba a gida ba")</f>
        <v>Wuri ba a gida ba</v>
      </c>
      <c r="J640" s="152" t="s">
        <v>4505</v>
      </c>
      <c r="K640" s="152" t="s">
        <v>4506</v>
      </c>
      <c r="L640" s="152" t="s">
        <v>4506</v>
      </c>
    </row>
    <row r="641" hidden="1">
      <c r="A641" s="58"/>
      <c r="B641" s="58"/>
      <c r="C641" s="28"/>
      <c r="D641" s="28"/>
      <c r="E641" s="28"/>
      <c r="F641" s="161">
        <v>345.0</v>
      </c>
      <c r="G641" s="152" t="str">
        <f>IFERROR(__xludf.DUMMYFUNCTION("TRIM(REGEXREPLACE(C641, ""[0-9]+[a-f]?\."", """"))"),"")</f>
        <v/>
      </c>
      <c r="H641" s="152" t="str">
        <f>IFERROR(__xludf.DUMMYFUNCTION("TRIM(REGEXREPLACE(D641, ""[0-9]+[a-f]?\."", """"))"),"")</f>
        <v/>
      </c>
      <c r="I641" s="152" t="str">
        <f>IFERROR(__xludf.DUMMYFUNCTION("TRIM(REGEXREPLACE(E641, ""[0-9]+[a-f]?\."", """"))"),"")</f>
        <v/>
      </c>
      <c r="J641" s="152" t="s">
        <v>4507</v>
      </c>
      <c r="K641" s="152" t="s">
        <v>4508</v>
      </c>
      <c r="L641" s="152" t="s">
        <v>4509</v>
      </c>
    </row>
    <row r="642" hidden="1">
      <c r="A642" s="140" t="s">
        <v>131</v>
      </c>
      <c r="B642" s="164" t="s">
        <v>4510</v>
      </c>
      <c r="C642" s="28" t="s">
        <v>4511</v>
      </c>
      <c r="D642" s="28" t="s">
        <v>4512</v>
      </c>
      <c r="E642" s="28" t="s">
        <v>4513</v>
      </c>
      <c r="F642" s="161">
        <v>346.0</v>
      </c>
      <c r="G642" s="152" t="str">
        <f>IFERROR(__xludf.DUMMYFUNCTION("TRIM(REGEXREPLACE(C642, ""[0-9]+[a-f]?\."", """"))"),"Week in Location")</f>
        <v>Week in Location</v>
      </c>
      <c r="H642" s="152" t="str">
        <f>IFERROR(__xludf.DUMMYFUNCTION("TRIM(REGEXREPLACE(D642, ""[0-9]+[a-f]?\."", """"))"),"Semaine dans localite")</f>
        <v>Semaine dans localite</v>
      </c>
      <c r="I642" s="152" t="str">
        <f>IFERROR(__xludf.DUMMYFUNCTION("TRIM(REGEXREPLACE(E642, ""[0-9]+[a-f]?\."", """"))"),"Mako a Wuri")</f>
        <v>Mako a Wuri</v>
      </c>
      <c r="J642" s="152" t="s">
        <v>4517</v>
      </c>
      <c r="K642" s="152" t="s">
        <v>4518</v>
      </c>
      <c r="L642" s="152" t="s">
        <v>4519</v>
      </c>
    </row>
    <row r="643" hidden="1">
      <c r="A643" s="65" t="s">
        <v>134</v>
      </c>
      <c r="B643" s="66" t="s">
        <v>4520</v>
      </c>
      <c r="C643" s="28"/>
      <c r="D643" s="28"/>
      <c r="E643" s="28"/>
      <c r="F643" s="161">
        <v>347.0</v>
      </c>
      <c r="G643" s="152" t="str">
        <f>IFERROR(__xludf.DUMMYFUNCTION("TRIM(REGEXREPLACE(C643, ""[0-9]+[a-f]?\."", """"))"),"")</f>
        <v/>
      </c>
      <c r="H643" s="152" t="str">
        <f>IFERROR(__xludf.DUMMYFUNCTION("TRIM(REGEXREPLACE(D643, ""[0-9]+[a-f]?\."", """"))"),"")</f>
        <v/>
      </c>
      <c r="I643" s="152" t="str">
        <f>IFERROR(__xludf.DUMMYFUNCTION("TRIM(REGEXREPLACE(E643, ""[0-9]+[a-f]?\."", """"))"),"")</f>
        <v/>
      </c>
      <c r="J643" s="152" t="s">
        <v>4522</v>
      </c>
      <c r="K643" s="152" t="s">
        <v>4523</v>
      </c>
      <c r="L643" s="152" t="s">
        <v>4524</v>
      </c>
    </row>
    <row r="644">
      <c r="A644" s="166" t="s">
        <v>41</v>
      </c>
      <c r="B644" s="167" t="s">
        <v>4525</v>
      </c>
      <c r="C644" s="28" t="s">
        <v>4526</v>
      </c>
      <c r="D644" s="28" t="s">
        <v>4527</v>
      </c>
      <c r="E644" s="28" t="s">
        <v>4528</v>
      </c>
      <c r="F644" s="161">
        <v>198.0</v>
      </c>
      <c r="G644" s="152" t="str">
        <f>IFERROR(__xludf.DUMMYFUNCTION("TRIM(REGEXREPLACE(C644, ""[0-9]+[a-f]?\."", """"))"),"Now I would like to ask you about a typical week in ${pm_location_name} during ${pm_location_period_lab}")</f>
        <v>Now I would like to ask you about a typical week in ${pm_location_name} during ${pm_location_period_lab}</v>
      </c>
      <c r="H644" s="152" t="str">
        <f>IFERROR(__xludf.DUMMYFUNCTION("TRIM(REGEXREPLACE(D644, ""[0-9]+[a-f]?\."", """"))"),"Maintenant, je voudrais vous poser des questions sur une semaine normale à ${pm_location_name} pendant ${pm_location_period_lab_fr}")</f>
        <v>Maintenant, je voudrais vous poser des questions sur une semaine normale à ${pm_location_name} pendant ${pm_location_period_lab_fr}</v>
      </c>
      <c r="I644" s="152" t="str">
        <f>IFERROR(__xludf.DUMMYFUNCTION("TRIM(REGEXREPLACE(E644, ""[0-9]+[a-f]?\."", """"))"),"Yanzu ina so in tambaye ku game da sati guda a cikin ${pm_location_name} ${pm_location_period_lab_ha}")</f>
        <v>Yanzu ina so in tambaye ku game da sati guda a cikin ${pm_location_name} ${pm_location_period_lab_ha}</v>
      </c>
      <c r="J644" s="152" t="s">
        <v>4532</v>
      </c>
      <c r="K644" s="152" t="s">
        <v>4533</v>
      </c>
      <c r="L644" s="152" t="s">
        <v>4534</v>
      </c>
    </row>
    <row r="645">
      <c r="A645" s="68" t="s">
        <v>463</v>
      </c>
      <c r="B645" s="169" t="s">
        <v>4535</v>
      </c>
      <c r="C645" s="28" t="s">
        <v>4536</v>
      </c>
      <c r="D645" s="28" t="s">
        <v>4537</v>
      </c>
      <c r="E645" s="28" t="s">
        <v>4538</v>
      </c>
      <c r="F645" s="161">
        <v>199.0</v>
      </c>
      <c r="G645" s="152" t="str">
        <f>IFERROR(__xludf.DUMMYFUNCTION("TRIM(REGEXREPLACE(C645, ""[0-9]+[a-f]?\."", """"))"),"In a typical week did you cut the size of meals or skipped meals?")</f>
        <v>In a typical week did you cut the size of meals or skipped meals?</v>
      </c>
      <c r="H645" s="152" t="str">
        <f>IFERROR(__xludf.DUMMYFUNCTION("TRIM(REGEXREPLACE(D645, ""[0-9]+[a-f]?\."", """"))"),"Au cours d'une semaine normale, avez-vous réduit la taille des repas ou sauté des repas ?")</f>
        <v>Au cours d'une semaine normale, avez-vous réduit la taille des repas ou sauté des repas ?</v>
      </c>
      <c r="I645" s="152" t="str">
        <f>IFERROR(__xludf.DUMMYFUNCTION("TRIM(REGEXREPLACE(E645, ""[0-9]+[a-f]?\."", """"))"),"A cikin mako sati ko kun rage yawan abincin da kuka saba ci ko kun tsallake abincin?")</f>
        <v>A cikin mako sati ko kun rage yawan abincin da kuka saba ci ko kun tsallake abincin?</v>
      </c>
      <c r="J645" s="152" t="s">
        <v>4540</v>
      </c>
      <c r="K645" s="152" t="s">
        <v>4541</v>
      </c>
      <c r="L645" s="152" t="s">
        <v>4542</v>
      </c>
    </row>
    <row r="646">
      <c r="A646" s="170" t="s">
        <v>263</v>
      </c>
      <c r="B646" s="171" t="s">
        <v>4543</v>
      </c>
      <c r="C646" s="28" t="s">
        <v>4544</v>
      </c>
      <c r="D646" s="28" t="s">
        <v>4545</v>
      </c>
      <c r="E646" s="28" t="s">
        <v>4546</v>
      </c>
      <c r="F646" s="161">
        <v>200.0</v>
      </c>
      <c r="G646" s="152" t="str">
        <f>IFERROR(__xludf.DUMMYFUNCTION("TRIM(REGEXREPLACE(C646, ""[0-9]+[a-f]?\."", """"))"),"How many days?")</f>
        <v>How many days?</v>
      </c>
      <c r="H646" s="152" t="str">
        <f>IFERROR(__xludf.DUMMYFUNCTION("TRIM(REGEXREPLACE(D646, ""[0-9]+[a-f]?\."", """"))"),"Combien de jours?")</f>
        <v>Combien de jours?</v>
      </c>
      <c r="I646" s="152" t="str">
        <f>IFERROR(__xludf.DUMMYFUNCTION("TRIM(REGEXREPLACE(E646, ""[0-9]+[a-f]?\."", """"))"),"Kwanaki nawa?")</f>
        <v>Kwanaki nawa?</v>
      </c>
      <c r="J646" s="152" t="s">
        <v>4547</v>
      </c>
      <c r="K646" s="152" t="s">
        <v>4548</v>
      </c>
      <c r="L646" s="152" t="s">
        <v>4550</v>
      </c>
      <c r="M646" s="152"/>
    </row>
    <row r="647" hidden="1">
      <c r="A647" s="140" t="s">
        <v>131</v>
      </c>
      <c r="B647" s="164" t="s">
        <v>4553</v>
      </c>
      <c r="C647" s="28" t="s">
        <v>4554</v>
      </c>
      <c r="D647" s="28"/>
      <c r="E647" s="28"/>
      <c r="F647" s="161">
        <v>75.0</v>
      </c>
      <c r="G647" s="152" t="str">
        <f>IFERROR(__xludf.DUMMYFUNCTION("TRIM(REGEXREPLACE(C647, ""[0-9]+[a-f]?\."", """"))"),"Weekly consumption")</f>
        <v>Weekly consumption</v>
      </c>
      <c r="H647" s="152" t="str">
        <f>IFERROR(__xludf.DUMMYFUNCTION("TRIM(REGEXREPLACE(D647, ""[0-9]+[a-f]?\."", """"))"),"")</f>
        <v/>
      </c>
      <c r="I647" s="152" t="str">
        <f>IFERROR(__xludf.DUMMYFUNCTION("TRIM(REGEXREPLACE(E647, ""[0-9]+[a-f]?\."", """"))"),"")</f>
        <v/>
      </c>
      <c r="J647" s="152" t="str">
        <f t="shared" ref="J647:L647" si="59">$F647 &amp; ". " &amp;G647</f>
        <v>75. Weekly consumption</v>
      </c>
      <c r="K647" s="152" t="str">
        <f t="shared" si="59"/>
        <v>75. </v>
      </c>
      <c r="L647" s="152" t="str">
        <f t="shared" si="59"/>
        <v>75. </v>
      </c>
      <c r="M647" s="152"/>
    </row>
    <row r="648">
      <c r="A648" s="166" t="s">
        <v>41</v>
      </c>
      <c r="B648" s="167" t="s">
        <v>4557</v>
      </c>
      <c r="C648" s="28" t="s">
        <v>4559</v>
      </c>
      <c r="D648" s="28" t="s">
        <v>4560</v>
      </c>
      <c r="E648" s="28" t="s">
        <v>4562</v>
      </c>
      <c r="F648" s="161">
        <v>201.0</v>
      </c>
      <c r="G648" s="152" t="str">
        <f>IFERROR(__xludf.DUMMYFUNCTION("TRIM(REGEXREPLACE(C648, ""[0-9]+[a-f]?\."", """"))"),"Think about your expenses in a typical week in ${pm_location_name} during ${pm_location_period_lab}.
 How much did you personally spend, if any, on the following types of expenses?")</f>
        <v>Think about your expenses in a typical week in ${pm_location_name} during ${pm_location_period_lab}.
 How much did you personally spend, if any, on the following types of expenses?</v>
      </c>
      <c r="H648" s="152" t="str">
        <f>IFERROR(__xludf.DUMMYFUNCTION("TRIM(REGEXREPLACE(D648, ""[0-9]+[a-f]?\."", """"))"),"Pensez à vos dépenses au cours d'une semaine normale dans ${pm_location_name} entre ${pm_location_period_lab_fr}.
 Combien avez-vous personnellement dépensé, si c'est arrivé, pour les types de dépenses suivants ?")</f>
        <v>Pensez à vos dépenses au cours d'une semaine normale dans ${pm_location_name} entre ${pm_location_period_lab_fr}.
 Combien avez-vous personnellement dépensé, si c'est arrivé, pour les types de dépenses suivants ?</v>
      </c>
      <c r="I648" s="152" t="str">
        <f>IFERROR(__xludf.DUMMYFUNCTION("TRIM(REGEXREPLACE(E648, ""[0-9]+[a-f]?\."", """"))"),"Ku yi tunani game da abubuwan da kuka saye a cikin sati guda a ${pm_location_name} ${pm_location_period_lab_ha}.
 Nawa kuka kashe, idan an kashe kuɗi, akan nau'ikan kashe kashen kuɗi kamar haka?")</f>
        <v>Ku yi tunani game da abubuwan da kuka saye a cikin sati guda a ${pm_location_name} ${pm_location_period_lab_ha}.
 Nawa kuka kashe, idan an kashe kuɗi, akan nau'ikan kashe kashen kuɗi kamar haka?</v>
      </c>
      <c r="J648" s="152" t="s">
        <v>4563</v>
      </c>
      <c r="K648" s="152" t="s">
        <v>4564</v>
      </c>
      <c r="L648" s="152" t="s">
        <v>4565</v>
      </c>
      <c r="M648" s="152"/>
    </row>
    <row r="649">
      <c r="A649" s="170" t="s">
        <v>263</v>
      </c>
      <c r="B649" s="171" t="s">
        <v>4566</v>
      </c>
      <c r="C649" s="28" t="s">
        <v>4567</v>
      </c>
      <c r="D649" s="28" t="s">
        <v>4568</v>
      </c>
      <c r="E649" s="28" t="s">
        <v>4569</v>
      </c>
      <c r="F649" s="161">
        <v>202.0</v>
      </c>
      <c r="G649" s="152" t="str">
        <f>IFERROR(__xludf.DUMMYFUNCTION("TRIM(REGEXREPLACE(C649, ""[0-9]+[a-f]?\."", """"))"),"Food (including you paid directly + money for ingredients for household)")</f>
        <v>Food (including you paid directly + money for ingredients for household)</v>
      </c>
      <c r="H649" s="152" t="str">
        <f>IFERROR(__xludf.DUMMYFUNCTION("TRIM(REGEXREPLACE(D649, ""[0-9]+[a-f]?\."", """"))"),"Nourriture (y compris ce que vous avez payé directement + argent pour les ingrédients pour le ménage)")</f>
        <v>Nourriture (y compris ce que vous avez payé directement + argent pour les ingrédients pour le ménage)</v>
      </c>
      <c r="I649" s="152" t="str">
        <f>IFERROR(__xludf.DUMMYFUNCTION("TRIM(REGEXREPLACE(E649, ""[0-9]+[a-f]?\."", """"))"),"Abinci (ciki har da wanda kuka saye kai tsaye da kuɗin kayan abinci na gida)")</f>
        <v>Abinci (ciki har da wanda kuka saye kai tsaye da kuɗin kayan abinci na gida)</v>
      </c>
      <c r="J649" s="152" t="s">
        <v>4573</v>
      </c>
      <c r="K649" s="152" t="s">
        <v>4574</v>
      </c>
      <c r="L649" s="152" t="s">
        <v>4575</v>
      </c>
      <c r="M649" s="152"/>
    </row>
    <row r="650">
      <c r="A650" s="170" t="s">
        <v>263</v>
      </c>
      <c r="B650" s="171" t="s">
        <v>4576</v>
      </c>
      <c r="C650" s="28" t="s">
        <v>4577</v>
      </c>
      <c r="D650" s="28" t="s">
        <v>4578</v>
      </c>
      <c r="E650" s="28" t="s">
        <v>4579</v>
      </c>
      <c r="F650" s="161">
        <v>203.0</v>
      </c>
      <c r="G650" s="152" t="str">
        <f>IFERROR(__xludf.DUMMYFUNCTION("TRIM(REGEXREPLACE(C650, ""[0-9]+[a-f]?\."", """"))"),"Housing (rent)")</f>
        <v>Housing (rent)</v>
      </c>
      <c r="H650" s="152" t="str">
        <f>IFERROR(__xludf.DUMMYFUNCTION("TRIM(REGEXREPLACE(D650, ""[0-9]+[a-f]?\."", """"))"),"Logement (loyer)")</f>
        <v>Logement (loyer)</v>
      </c>
      <c r="I650" s="152" t="str">
        <f>IFERROR(__xludf.DUMMYFUNCTION("TRIM(REGEXREPLACE(E650, ""[0-9]+[a-f]?\."", """"))"),"Wurin zama (gidan haya)")</f>
        <v>Wurin zama (gidan haya)</v>
      </c>
      <c r="J650" s="152" t="s">
        <v>4581</v>
      </c>
      <c r="K650" s="152" t="s">
        <v>4582</v>
      </c>
      <c r="L650" s="152" t="s">
        <v>4583</v>
      </c>
    </row>
    <row r="651">
      <c r="A651" s="170" t="s">
        <v>263</v>
      </c>
      <c r="B651" s="171" t="s">
        <v>4584</v>
      </c>
      <c r="C651" s="28" t="s">
        <v>4585</v>
      </c>
      <c r="D651" s="28" t="s">
        <v>4586</v>
      </c>
      <c r="E651" s="28" t="s">
        <v>4587</v>
      </c>
      <c r="F651" s="161">
        <v>204.0</v>
      </c>
      <c r="G651" s="152" t="str">
        <f>IFERROR(__xludf.DUMMYFUNCTION("TRIM(REGEXREPLACE(C651, ""[0-9]+[a-f]?\."", """"))"),"Transportation")</f>
        <v>Transportation</v>
      </c>
      <c r="H651" s="152" t="str">
        <f>IFERROR(__xludf.DUMMYFUNCTION("TRIM(REGEXREPLACE(D651, ""[0-9]+[a-f]?\."", """"))"),"Transport")</f>
        <v>Transport</v>
      </c>
      <c r="I651" s="152" t="str">
        <f>IFERROR(__xludf.DUMMYFUNCTION("TRIM(REGEXREPLACE(E651, ""[0-9]+[a-f]?\."", """"))"),"Sufuri")</f>
        <v>Sufuri</v>
      </c>
      <c r="J651" s="152" t="s">
        <v>4588</v>
      </c>
      <c r="K651" s="152" t="s">
        <v>4589</v>
      </c>
      <c r="L651" s="152" t="s">
        <v>4590</v>
      </c>
    </row>
    <row r="652">
      <c r="A652" s="170" t="s">
        <v>263</v>
      </c>
      <c r="B652" s="171" t="s">
        <v>4591</v>
      </c>
      <c r="C652" s="28" t="s">
        <v>4592</v>
      </c>
      <c r="D652" s="28" t="s">
        <v>4593</v>
      </c>
      <c r="E652" s="28" t="s">
        <v>4594</v>
      </c>
      <c r="F652" s="161">
        <v>205.0</v>
      </c>
      <c r="G652" s="152" t="str">
        <f>IFERROR(__xludf.DUMMYFUNCTION("TRIM(REGEXREPLACE(C652, ""[0-9]+[a-f]?\."", """"))"),"Cell phone")</f>
        <v>Cell phone</v>
      </c>
      <c r="H652" s="152" t="str">
        <f>IFERROR(__xludf.DUMMYFUNCTION("TRIM(REGEXREPLACE(D652, ""[0-9]+[a-f]?\."", """"))"),"Téléphone portable")</f>
        <v>Téléphone portable</v>
      </c>
      <c r="I652" s="152" t="str">
        <f>IFERROR(__xludf.DUMMYFUNCTION("TRIM(REGEXREPLACE(E652, ""[0-9]+[a-f]?\."", """"))"),"Wayar salula/ wayar hannu")</f>
        <v>Wayar salula/ wayar hannu</v>
      </c>
      <c r="J652" s="152" t="s">
        <v>4595</v>
      </c>
      <c r="K652" s="152" t="s">
        <v>4596</v>
      </c>
      <c r="L652" s="152" t="s">
        <v>4597</v>
      </c>
      <c r="M652" s="152"/>
    </row>
    <row r="653">
      <c r="A653" s="170" t="s">
        <v>263</v>
      </c>
      <c r="B653" s="171" t="s">
        <v>4598</v>
      </c>
      <c r="C653" s="28" t="s">
        <v>4600</v>
      </c>
      <c r="D653" s="28" t="s">
        <v>4601</v>
      </c>
      <c r="E653" s="28" t="s">
        <v>4602</v>
      </c>
      <c r="F653" s="161">
        <v>206.0</v>
      </c>
      <c r="G653" s="152" t="str">
        <f>IFERROR(__xludf.DUMMYFUNCTION("TRIM(REGEXREPLACE(C653, ""[0-9]+[a-f]?\."", """"))"),"Leisure/pleasure (tea, cigarettes, substances, betting)")</f>
        <v>Leisure/pleasure (tea, cigarettes, substances, betting)</v>
      </c>
      <c r="H653" s="152" t="str">
        <f>IFERROR(__xludf.DUMMYFUNCTION("TRIM(REGEXREPLACE(D653, ""[0-9]+[a-f]?\."", """"))"),"Loisirs/plaisir (thé, cigarettes, substances, paris)")</f>
        <v>Loisirs/plaisir (thé, cigarettes, substances, paris)</v>
      </c>
      <c r="I653" s="152" t="str">
        <f>IFERROR(__xludf.DUMMYFUNCTION("TRIM(REGEXREPLACE(E653, ""[0-9]+[a-f]?\."", """"))"),"Nishaɗi/shaɗi (shayi, sigari, abubuwan maye, caca)")</f>
        <v>Nishaɗi/shaɗi (shayi, sigari, abubuwan maye, caca)</v>
      </c>
      <c r="J653" s="152" t="s">
        <v>4603</v>
      </c>
      <c r="K653" s="152" t="s">
        <v>4604</v>
      </c>
      <c r="L653" s="152" t="s">
        <v>4605</v>
      </c>
      <c r="M653" s="152"/>
    </row>
    <row r="654" hidden="1">
      <c r="A654" s="140" t="s">
        <v>237</v>
      </c>
      <c r="B654" s="191" t="s">
        <v>4553</v>
      </c>
      <c r="C654" s="28" t="s">
        <v>4554</v>
      </c>
      <c r="D654" s="28"/>
      <c r="E654" s="28"/>
      <c r="F654" s="161">
        <v>79.0</v>
      </c>
      <c r="G654" s="152" t="str">
        <f>IFERROR(__xludf.DUMMYFUNCTION("TRIM(REGEXREPLACE(C654, ""[0-9]+[a-f]?\."", """"))"),"Weekly consumption")</f>
        <v>Weekly consumption</v>
      </c>
      <c r="H654" s="152" t="str">
        <f>IFERROR(__xludf.DUMMYFUNCTION("TRIM(REGEXREPLACE(D654, ""[0-9]+[a-f]?\."", """"))"),"")</f>
        <v/>
      </c>
      <c r="I654" s="152" t="str">
        <f>IFERROR(__xludf.DUMMYFUNCTION("TRIM(REGEXREPLACE(E654, ""[0-9]+[a-f]?\."", """"))"),"")</f>
        <v/>
      </c>
      <c r="J654" s="152" t="str">
        <f t="shared" ref="J654:L654" si="60">$F654 &amp; ". " &amp;G654</f>
        <v>79. Weekly consumption</v>
      </c>
      <c r="K654" s="152" t="str">
        <f t="shared" si="60"/>
        <v>79. </v>
      </c>
      <c r="L654" s="152" t="str">
        <f t="shared" si="60"/>
        <v>79. </v>
      </c>
    </row>
    <row r="655" hidden="1">
      <c r="A655" s="90" t="s">
        <v>78</v>
      </c>
      <c r="B655" s="92" t="s">
        <v>4610</v>
      </c>
      <c r="C655" s="28" t="s">
        <v>4611</v>
      </c>
      <c r="D655" s="28" t="s">
        <v>4612</v>
      </c>
      <c r="E655" s="28" t="s">
        <v>4613</v>
      </c>
      <c r="F655" s="161">
        <v>80.0</v>
      </c>
      <c r="G655" s="152" t="str">
        <f>IFERROR(__xludf.DUMMYFUNCTION("TRIM(REGEXREPLACE(C655, ""[0-9]+[a-f]?\."", """"))"),"Calculate consumption totals and verify")</f>
        <v>Calculate consumption totals and verify</v>
      </c>
      <c r="H655" s="152" t="str">
        <f>IFERROR(__xludf.DUMMYFUNCTION("TRIM(REGEXREPLACE(D655, ""[0-9]+[a-f]?\."", """"))"),"Calculer les totaux de consommation et vérifier")</f>
        <v>Calculer les totaux de consommation et vérifier</v>
      </c>
      <c r="I655" s="152" t="str">
        <f>IFERROR(__xludf.DUMMYFUNCTION("TRIM(REGEXREPLACE(E655, ""[0-9]+[a-f]?\."", """"))"),"Lissafa jimillar duk abubuwan da kayi amfani da su kuma ka tabbatar")</f>
        <v>Lissafa jimillar duk abubuwan da kayi amfani da su kuma ka tabbatar</v>
      </c>
      <c r="J655" s="152" t="str">
        <f t="shared" ref="J655:L655" si="61">$F655 &amp; ". " &amp;G655</f>
        <v>80. Calculate consumption totals and verify</v>
      </c>
      <c r="K655" s="152" t="str">
        <f t="shared" si="61"/>
        <v>80. Calculer les totaux de consommation et vérifier</v>
      </c>
      <c r="L655" s="152" t="str">
        <f t="shared" si="61"/>
        <v>80. Lissafa jimillar duk abubuwan da kayi amfani da su kuma ka tabbatar</v>
      </c>
    </row>
    <row r="656">
      <c r="A656" s="68" t="s">
        <v>463</v>
      </c>
      <c r="B656" s="169" t="s">
        <v>4615</v>
      </c>
      <c r="C656" s="28" t="s">
        <v>4616</v>
      </c>
      <c r="D656" s="28" t="s">
        <v>4617</v>
      </c>
      <c r="E656" s="28" t="s">
        <v>4618</v>
      </c>
      <c r="F656" s="161">
        <v>207.0</v>
      </c>
      <c r="G656" s="152" t="str">
        <f>IFERROR(__xludf.DUMMYFUNCTION("TRIM(REGEXREPLACE(C656, ""[0-9]+[a-f]?\."", """"))"),"In a typical week, you would spend ${pm_total_cost}. Does that sound correct?")</f>
        <v>In a typical week, you would spend ${pm_total_cost}. Does that sound correct?</v>
      </c>
      <c r="H656" s="152" t="str">
        <f>IFERROR(__xludf.DUMMYFUNCTION("TRIM(REGEXREPLACE(D656, ""[0-9]+[a-f]?\."", """"))"),"Au cours d'une semaine normale, vous dépenseriez ${pm_total_cost}. Cela vous semble-t-il correct ?")</f>
        <v>Au cours d'une semaine normale, vous dépenseriez ${pm_total_cost}. Cela vous semble-t-il correct ?</v>
      </c>
      <c r="I656" s="152" t="str">
        <f>IFERROR(__xludf.DUMMYFUNCTION("TRIM(REGEXREPLACE(E656, ""[0-9]+[a-f]?\."", """"))"),"A cikin sati guda, za ku iya kashe ${pm_total_cost}. Ko hakan yayi daidai?")</f>
        <v>A cikin sati guda, za ku iya kashe ${pm_total_cost}. Ko hakan yayi daidai?</v>
      </c>
      <c r="J656" s="152" t="s">
        <v>4622</v>
      </c>
      <c r="K656" s="152" t="s">
        <v>4623</v>
      </c>
      <c r="L656" s="152" t="s">
        <v>4624</v>
      </c>
      <c r="M656" s="152"/>
    </row>
    <row r="657">
      <c r="A657" s="166" t="s">
        <v>41</v>
      </c>
      <c r="B657" s="167" t="s">
        <v>4625</v>
      </c>
      <c r="C657" s="28" t="s">
        <v>4626</v>
      </c>
      <c r="D657" s="28" t="s">
        <v>4627</v>
      </c>
      <c r="E657" s="28" t="s">
        <v>4628</v>
      </c>
      <c r="F657" s="161">
        <v>208.0</v>
      </c>
      <c r="G657" s="152" t="str">
        <f>IFERROR(__xludf.DUMMYFUNCTION("TRIM(REGEXREPLACE(C657, ""[0-9]+[a-f]?\."", """"))"),"Now I will ask about some things that may have happened to you in ${pm_location_name} during ${pm_location_period_lab}. 
 Think about all the time you spent in ${pm_location_name} during ${pm_location_period_lab} when answering these questions")</f>
        <v>Now I will ask about some things that may have happened to you in ${pm_location_name} during ${pm_location_period_lab}. 
 Think about all the time you spent in ${pm_location_name} during ${pm_location_period_lab} when answering these questions</v>
      </c>
      <c r="H657" s="152" t="str">
        <f>IFERROR(__xludf.DUMMYFUNCTION("TRIM(REGEXREPLACE(D657, ""[0-9]+[a-f]?\."", """"))"),"Maintenant, je vais vous poser des questions sur certaines choses qui pourraient vous être arrivées à ${pm_location_name} de ${pm_location_period_lab_fr}.
 Pensez à tout le temps que vous avez passé à ${pm_location_name} de ${pm_location_period_lab_fr} "&amp;"lorsque vous répondez à ces questions")</f>
        <v>Maintenant, je vais vous poser des questions sur certaines choses qui pourraient vous être arrivées à ${pm_location_name} de ${pm_location_period_lab_fr}.
 Pensez à tout le temps que vous avez passé à ${pm_location_name} de ${pm_location_period_lab_fr} lorsque vous répondez à ces questions</v>
      </c>
      <c r="I657" s="152" t="str">
        <f>IFERROR(__xludf.DUMMYFUNCTION("TRIM(REGEXREPLACE(E657, ""[0-9]+[a-f]?\."", """"))"),"Yanzu zan yi tambaya game da wasu abubuwa da wataƙila sun faru da ku a ${pm_location_name} lokacin ${pm_location_period_lab_ha}.
 Ku yi tuna da duk lokacin da kuka zauna a ${pm_location_name} lokacin ${pm_location_period_lab_ha} amsa waɗannan tambayoyin")</f>
        <v>Yanzu zan yi tambaya game da wasu abubuwa da wataƙila sun faru da ku a ${pm_location_name} lokacin ${pm_location_period_lab_ha}.
 Ku yi tuna da duk lokacin da kuka zauna a ${pm_location_name} lokacin ${pm_location_period_lab_ha} amsa waɗannan tambayoyin</v>
      </c>
      <c r="J657" s="152" t="s">
        <v>4629</v>
      </c>
      <c r="K657" s="152" t="s">
        <v>4630</v>
      </c>
      <c r="L657" s="152" t="s">
        <v>4631</v>
      </c>
      <c r="M657" s="152"/>
    </row>
    <row r="658">
      <c r="A658" s="68" t="s">
        <v>4632</v>
      </c>
      <c r="B658" s="169" t="s">
        <v>4633</v>
      </c>
      <c r="C658" s="28" t="s">
        <v>4634</v>
      </c>
      <c r="D658" s="28" t="s">
        <v>4635</v>
      </c>
      <c r="E658" s="28" t="s">
        <v>4636</v>
      </c>
      <c r="F658" s="161">
        <v>209.0</v>
      </c>
      <c r="G658" s="152" t="str">
        <f>IFERROR(__xludf.DUMMYFUNCTION("TRIM(REGEXREPLACE(C658, ""[0-9]+[a-f]?\."", """"))"),"How often, if at all, were you personally discriminated against based on your identity (ethnicity, religion, nationality)?")</f>
        <v>How often, if at all, were you personally discriminated against based on your identity (ethnicity, religion, nationality)?</v>
      </c>
      <c r="H658" s="152" t="str">
        <f>IFERROR(__xludf.DUMMYFUNCTION("TRIM(REGEXREPLACE(D658, ""[0-9]+[a-f]?\."", """"))"),"À quelle fréquence, si ça vous est déjà arrivé, avez-vous personnellement été victime de discrimination liée a votre identité (ethnie, religion, nationalité) ?")</f>
        <v>À quelle fréquence, si ça vous est déjà arrivé, avez-vous personnellement été victime de discrimination liée a votre identité (ethnie, religion, nationalité) ?</v>
      </c>
      <c r="I658" s="152" t="str">
        <f>IFERROR(__xludf.DUMMYFUNCTION("TRIM(REGEXREPLACE(E658, ""[0-9]+[a-f]?\."", """"))"),"Sau nawa, idan ya taɓa faruwa, aka nuna muku wariya dangance da kabilarku, ko addininku, ko ƙasarku?")</f>
        <v>Sau nawa, idan ya taɓa faruwa, aka nuna muku wariya dangance da kabilarku, ko addininku, ko ƙasarku?</v>
      </c>
      <c r="J658" s="152" t="s">
        <v>4640</v>
      </c>
      <c r="K658" s="152" t="s">
        <v>4641</v>
      </c>
      <c r="L658" s="152" t="s">
        <v>4642</v>
      </c>
      <c r="M658" s="152"/>
    </row>
    <row r="659">
      <c r="A659" s="68" t="s">
        <v>4632</v>
      </c>
      <c r="B659" s="169" t="s">
        <v>4643</v>
      </c>
      <c r="C659" s="28" t="s">
        <v>4644</v>
      </c>
      <c r="D659" s="28" t="s">
        <v>4645</v>
      </c>
      <c r="E659" s="28" t="s">
        <v>4646</v>
      </c>
      <c r="F659" s="161">
        <v>210.0</v>
      </c>
      <c r="G659" s="152" t="str">
        <f>IFERROR(__xludf.DUMMYFUNCTION("TRIM(REGEXREPLACE(C659, ""[0-9]+[a-f]?\."", """"))"),"How often, if ever, have you felt unsafe walking in the neighborhood where you are staying?")</f>
        <v>How often, if ever, have you felt unsafe walking in the neighborhood where you are staying?</v>
      </c>
      <c r="H659" s="152" t="str">
        <f>IFERROR(__xludf.DUMMYFUNCTION("TRIM(REGEXREPLACE(D659, ""[0-9]+[a-f]?\."", """"))"),"Combien de fois, si jamais ça vous est arrivé, vous êtes-vous senti en danger en vous promenant dans le quartier où vous séjournez ?")</f>
        <v>Combien de fois, si jamais ça vous est arrivé, vous êtes-vous senti en danger en vous promenant dans le quartier où vous séjournez ?</v>
      </c>
      <c r="I659" s="152" t="str">
        <f>IFERROR(__xludf.DUMMYFUNCTION("TRIM(REGEXREPLACE(E659, ""[0-9]+[a-f]?\."", """"))"),"Sau nawa, idan ya taɓa faruwa, kuka ji ku cikin haɗari, yayin da kuke yawo a cikin unguwar da kuke zaune?")</f>
        <v>Sau nawa, idan ya taɓa faruwa, kuka ji ku cikin haɗari, yayin da kuke yawo a cikin unguwar da kuke zaune?</v>
      </c>
      <c r="J659" s="152" t="s">
        <v>4647</v>
      </c>
      <c r="K659" s="152" t="s">
        <v>4648</v>
      </c>
      <c r="L659" s="152" t="s">
        <v>4649</v>
      </c>
      <c r="M659" s="152"/>
    </row>
    <row r="660" hidden="1">
      <c r="A660" s="140" t="s">
        <v>131</v>
      </c>
      <c r="B660" s="164" t="s">
        <v>4650</v>
      </c>
      <c r="C660" s="28"/>
      <c r="D660" s="28"/>
      <c r="E660" s="28"/>
      <c r="F660" s="161">
        <v>361.0</v>
      </c>
      <c r="G660" s="152" t="str">
        <f>IFERROR(__xludf.DUMMYFUNCTION("TRIM(REGEXREPLACE(C660, ""[0-9]+[a-f]?\."", """"))"),"")</f>
        <v/>
      </c>
      <c r="H660" s="152" t="str">
        <f>IFERROR(__xludf.DUMMYFUNCTION("TRIM(REGEXREPLACE(D660, ""[0-9]+[a-f]?\."", """"))"),"")</f>
        <v/>
      </c>
      <c r="I660" s="152" t="str">
        <f>IFERROR(__xludf.DUMMYFUNCTION("TRIM(REGEXREPLACE(E660, ""[0-9]+[a-f]?\."", """"))"),"")</f>
        <v/>
      </c>
      <c r="J660" s="152" t="s">
        <v>4654</v>
      </c>
      <c r="K660" s="152" t="s">
        <v>4655</v>
      </c>
      <c r="L660" s="152" t="s">
        <v>4656</v>
      </c>
      <c r="M660" s="152"/>
    </row>
    <row r="661">
      <c r="A661" s="68" t="s">
        <v>463</v>
      </c>
      <c r="B661" s="169" t="s">
        <v>4657</v>
      </c>
      <c r="C661" s="28" t="s">
        <v>4658</v>
      </c>
      <c r="D661" s="28" t="s">
        <v>4659</v>
      </c>
      <c r="E661" s="28" t="s">
        <v>4660</v>
      </c>
      <c r="F661" s="161">
        <v>211.0</v>
      </c>
      <c r="G661" s="152" t="str">
        <f>IFERROR(__xludf.DUMMYFUNCTION("TRIM(REGEXREPLACE(C661, ""[0-9]+[a-f]?\."", """"))"),"Have you experienced any of the following in ${pm_location_name} during ${pm_location_period_lab}?")</f>
        <v>Have you experienced any of the following in ${pm_location_name} during ${pm_location_period_lab}?</v>
      </c>
      <c r="H661" s="152" t="str">
        <f>IFERROR(__xludf.DUMMYFUNCTION("TRIM(REGEXREPLACE(D661, ""[0-9]+[a-f]?\."", """"))"),"Avez-vous vécu l'une des situations suivantes à cet endroit entre ${pm_location_period_lab_fr} ?")</f>
        <v>Avez-vous vécu l'une des situations suivantes à cet endroit entre ${pm_location_period_lab_fr} ?</v>
      </c>
      <c r="I661" s="152" t="str">
        <f>IFERROR(__xludf.DUMMYFUNCTION("TRIM(REGEXREPLACE(E661, ""[0-9]+[a-f]?\."", """"))"),"Ko kun taɓa fuskantar ɗayan waɗannan abubuwan a wannan wurin, lokacin ${pm_location_period_lab_ha}?")</f>
        <v>Ko kun taɓa fuskantar ɗayan waɗannan abubuwan a wannan wurin, lokacin ${pm_location_period_lab_ha}?</v>
      </c>
      <c r="J661" s="152" t="s">
        <v>4662</v>
      </c>
      <c r="K661" s="152" t="s">
        <v>4663</v>
      </c>
      <c r="L661" s="152" t="s">
        <v>4664</v>
      </c>
      <c r="M661" s="152"/>
    </row>
    <row r="662">
      <c r="A662" s="68" t="s">
        <v>463</v>
      </c>
      <c r="B662" s="169" t="s">
        <v>4666</v>
      </c>
      <c r="C662" s="28" t="s">
        <v>4667</v>
      </c>
      <c r="D662" s="28" t="s">
        <v>4668</v>
      </c>
      <c r="E662" s="28" t="s">
        <v>4669</v>
      </c>
      <c r="F662" s="161">
        <v>212.0</v>
      </c>
      <c r="G662" s="152" t="str">
        <f>IFERROR(__xludf.DUMMYFUNCTION("TRIM(REGEXREPLACE(C662, ""[0-9]+[a-f]?\."", """"))"),"Physical attack")</f>
        <v>Physical attack</v>
      </c>
      <c r="H662" s="152" t="str">
        <f>IFERROR(__xludf.DUMMYFUNCTION("TRIM(REGEXREPLACE(D662, ""[0-9]+[a-f]?\."", """"))"),"Attaque physique")</f>
        <v>Attaque physique</v>
      </c>
      <c r="I662" s="152" t="str">
        <f>IFERROR(__xludf.DUMMYFUNCTION("TRIM(REGEXREPLACE(E662, ""[0-9]+[a-f]?\."", """"))"),"harin jiki")</f>
        <v>harin jiki</v>
      </c>
      <c r="J662" s="152" t="s">
        <v>4670</v>
      </c>
      <c r="K662" s="152" t="s">
        <v>4671</v>
      </c>
      <c r="L662" s="152" t="s">
        <v>4672</v>
      </c>
    </row>
    <row r="663">
      <c r="A663" s="68" t="s">
        <v>463</v>
      </c>
      <c r="B663" s="169" t="s">
        <v>4673</v>
      </c>
      <c r="C663" s="28" t="s">
        <v>4674</v>
      </c>
      <c r="D663" s="28" t="s">
        <v>4675</v>
      </c>
      <c r="E663" s="28" t="s">
        <v>4676</v>
      </c>
      <c r="F663" s="161">
        <v>213.0</v>
      </c>
      <c r="G663" s="152" t="str">
        <f>IFERROR(__xludf.DUMMYFUNCTION("TRIM(REGEXREPLACE(C663, ""[0-9]+[a-f]?\."", """"))"),"Threat of physical violence/attack")</f>
        <v>Threat of physical violence/attack</v>
      </c>
      <c r="H663" s="152" t="str">
        <f>IFERROR(__xludf.DUMMYFUNCTION("TRIM(REGEXREPLACE(D663, ""[0-9]+[a-f]?\."", """"))"),"Menace de violence physique/agression")</f>
        <v>Menace de violence physique/agression</v>
      </c>
      <c r="I663" s="152" t="str">
        <f>IFERROR(__xludf.DUMMYFUNCTION("TRIM(REGEXREPLACE(E663, ""[0-9]+[a-f]?\."", """"))"),"Barazanar ​​harin jiki")</f>
        <v>Barazanar ​​harin jiki</v>
      </c>
      <c r="J663" s="152" t="s">
        <v>4678</v>
      </c>
      <c r="K663" s="152" t="s">
        <v>4679</v>
      </c>
      <c r="L663" s="152" t="s">
        <v>4680</v>
      </c>
      <c r="M663" s="152"/>
    </row>
    <row r="664">
      <c r="A664" s="68" t="s">
        <v>463</v>
      </c>
      <c r="B664" s="169" t="s">
        <v>4681</v>
      </c>
      <c r="C664" s="28" t="s">
        <v>4682</v>
      </c>
      <c r="D664" s="28" t="s">
        <v>4683</v>
      </c>
      <c r="E664" s="28" t="s">
        <v>4684</v>
      </c>
      <c r="F664" s="161">
        <v>214.0</v>
      </c>
      <c r="G664" s="152" t="str">
        <f>IFERROR(__xludf.DUMMYFUNCTION("TRIM(REGEXREPLACE(C664, ""[0-9]+[a-f]?\."", """"))"),"Theft of either money or property?")</f>
        <v>Theft of either money or property?</v>
      </c>
      <c r="H664" s="152" t="str">
        <f>IFERROR(__xludf.DUMMYFUNCTION("TRIM(REGEXREPLACE(D664, ""[0-9]+[a-f]?\."", """"))"),"Vol d'argent ou de biens ?")</f>
        <v>Vol d'argent ou de biens ?</v>
      </c>
      <c r="I664" s="152" t="str">
        <f>IFERROR(__xludf.DUMMYFUNCTION("TRIM(REGEXREPLACE(E664, ""[0-9]+[a-f]?\."", """"))"),"Satar kudi ko kaya?")</f>
        <v>Satar kudi ko kaya?</v>
      </c>
      <c r="J664" s="152" t="s">
        <v>4685</v>
      </c>
      <c r="K664" s="152" t="s">
        <v>4686</v>
      </c>
      <c r="L664" s="152" t="s">
        <v>4688</v>
      </c>
      <c r="M664" s="152"/>
    </row>
    <row r="665">
      <c r="A665" s="68" t="s">
        <v>463</v>
      </c>
      <c r="B665" s="169" t="s">
        <v>4690</v>
      </c>
      <c r="C665" s="28" t="s">
        <v>4691</v>
      </c>
      <c r="D665" s="28" t="s">
        <v>4692</v>
      </c>
      <c r="E665" s="28" t="s">
        <v>4694</v>
      </c>
      <c r="F665" s="161">
        <v>215.0</v>
      </c>
      <c r="G665" s="152" t="str">
        <f>IFERROR(__xludf.DUMMYFUNCTION("TRIM(REGEXREPLACE(C665, ""[0-9]+[a-f]?\."", """"))"),"Detention or arrest by state security forces?")</f>
        <v>Detention or arrest by state security forces?</v>
      </c>
      <c r="H665" s="152" t="str">
        <f>IFERROR(__xludf.DUMMYFUNCTION("TRIM(REGEXREPLACE(D665, ""[0-9]+[a-f]?\."", """"))"),"Détention ou arrestation par les forces de sécurité de l'État ?")</f>
        <v>Détention ou arrestation par les forces de sécurité de l'État ?</v>
      </c>
      <c r="I665" s="152" t="str">
        <f>IFERROR(__xludf.DUMMYFUNCTION("TRIM(REGEXREPLACE(E665, ""[0-9]+[a-f]?\."", """"))"),"Kaso ko kamu daga jami'an tsaron gwamnati?")</f>
        <v>Kaso ko kamu daga jami'an tsaron gwamnati?</v>
      </c>
      <c r="J665" s="152" t="s">
        <v>4695</v>
      </c>
      <c r="K665" s="152" t="s">
        <v>4696</v>
      </c>
      <c r="L665" s="152" t="s">
        <v>4697</v>
      </c>
    </row>
    <row r="666">
      <c r="A666" s="68" t="s">
        <v>463</v>
      </c>
      <c r="B666" s="169" t="s">
        <v>4698</v>
      </c>
      <c r="C666" s="28" t="s">
        <v>4699</v>
      </c>
      <c r="D666" s="28" t="s">
        <v>4700</v>
      </c>
      <c r="E666" s="28" t="s">
        <v>4701</v>
      </c>
      <c r="F666" s="161">
        <v>216.0</v>
      </c>
      <c r="G666" s="152" t="str">
        <f>IFERROR(__xludf.DUMMYFUNCTION("TRIM(REGEXREPLACE(C666, ""[0-9]+[a-f]?\."", """"))"),"Illness or injury that disrupted your daily life?")</f>
        <v>Illness or injury that disrupted your daily life?</v>
      </c>
      <c r="H666" s="152" t="str">
        <f>IFERROR(__xludf.DUMMYFUNCTION("TRIM(REGEXREPLACE(D666, ""[0-9]+[a-f]?\."", """"))"),"Une maladie ou une blessure qui a perturbé votre quotidien ?")</f>
        <v>Une maladie ou une blessure qui a perturbé votre quotidien ?</v>
      </c>
      <c r="I666" s="152" t="str">
        <f>IFERROR(__xludf.DUMMYFUNCTION("TRIM(REGEXREPLACE(E666, ""[0-9]+[a-f]?\."", """"))"),"Rashin lafiya ko rauni wanda ya kawo cikas ga rayuwarku ta yau da kullun?")</f>
        <v>Rashin lafiya ko rauni wanda ya kawo cikas ga rayuwarku ta yau da kullun?</v>
      </c>
      <c r="J666" s="152" t="s">
        <v>4702</v>
      </c>
      <c r="K666" s="152" t="s">
        <v>4703</v>
      </c>
      <c r="L666" s="152" t="s">
        <v>4704</v>
      </c>
    </row>
    <row r="667" hidden="1">
      <c r="A667" s="140" t="s">
        <v>237</v>
      </c>
      <c r="B667" s="191" t="s">
        <v>4650</v>
      </c>
      <c r="C667" s="28"/>
      <c r="D667" s="28"/>
      <c r="E667" s="28"/>
      <c r="F667" s="161">
        <v>410.0</v>
      </c>
      <c r="G667" s="152" t="str">
        <f>IFERROR(__xludf.DUMMYFUNCTION("TRIM(REGEXREPLACE(C667, ""[0-9]+[a-f]?\."", """"))"),"")</f>
        <v/>
      </c>
      <c r="H667" s="152" t="str">
        <f>IFERROR(__xludf.DUMMYFUNCTION("TRIM(REGEXREPLACE(D667, ""[0-9]+[a-f]?\."", """"))"),"")</f>
        <v/>
      </c>
      <c r="I667" s="152" t="str">
        <f>IFERROR(__xludf.DUMMYFUNCTION("TRIM(REGEXREPLACE(E667, ""[0-9]+[a-f]?\."", """"))"),"")</f>
        <v/>
      </c>
      <c r="J667" s="152" t="s">
        <v>4705</v>
      </c>
      <c r="K667" s="152" t="s">
        <v>4706</v>
      </c>
      <c r="L667" s="152" t="s">
        <v>4706</v>
      </c>
    </row>
    <row r="668" hidden="1">
      <c r="A668" s="140" t="s">
        <v>131</v>
      </c>
      <c r="B668" s="164" t="s">
        <v>4707</v>
      </c>
      <c r="C668" s="28"/>
      <c r="D668" s="28"/>
      <c r="E668" s="28"/>
      <c r="F668" s="161">
        <v>364.0</v>
      </c>
      <c r="G668" s="152" t="str">
        <f>IFERROR(__xludf.DUMMYFUNCTION("TRIM(REGEXREPLACE(C668, ""[0-9]+[a-f]?\."", """"))"),"")</f>
        <v/>
      </c>
      <c r="H668" s="152" t="str">
        <f>IFERROR(__xludf.DUMMYFUNCTION("TRIM(REGEXREPLACE(D668, ""[0-9]+[a-f]?\."", """"))"),"")</f>
        <v/>
      </c>
      <c r="I668" s="152" t="str">
        <f>IFERROR(__xludf.DUMMYFUNCTION("TRIM(REGEXREPLACE(E668, ""[0-9]+[a-f]?\."", """"))"),"")</f>
        <v/>
      </c>
      <c r="J668" s="152" t="s">
        <v>4709</v>
      </c>
      <c r="K668" s="152" t="s">
        <v>4710</v>
      </c>
      <c r="L668" s="152" t="s">
        <v>4711</v>
      </c>
      <c r="M668" s="152"/>
    </row>
    <row r="669">
      <c r="A669" s="166" t="s">
        <v>41</v>
      </c>
      <c r="B669" s="167" t="s">
        <v>4712</v>
      </c>
      <c r="C669" s="28" t="s">
        <v>4713</v>
      </c>
      <c r="D669" s="28" t="s">
        <v>4714</v>
      </c>
      <c r="E669" s="28" t="s">
        <v>4715</v>
      </c>
      <c r="F669" s="161">
        <v>217.0</v>
      </c>
      <c r="G669" s="152" t="str">
        <f>IFERROR(__xludf.DUMMYFUNCTION("TRIM(REGEXREPLACE(C669, ""[0-9]+[a-f]?\."", """"))"),"Now I would like to ask you to tell me more about your specific experience with:")</f>
        <v>Now I would like to ask you to tell me more about your specific experience with:</v>
      </c>
      <c r="H669" s="152" t="str">
        <f>IFERROR(__xludf.DUMMYFUNCTION("TRIM(REGEXREPLACE(D669, ""[0-9]+[a-f]?\."", """"))"),"J'aimerais maintenant vous demander de m'en dire un peu plus sur votre expérience spécifique avec :")</f>
        <v>J'aimerais maintenant vous demander de m'en dire un peu plus sur votre expérience spécifique avec :</v>
      </c>
      <c r="I669" s="152" t="str">
        <f>IFERROR(__xludf.DUMMYFUNCTION("TRIM(REGEXREPLACE(E669, ""[0-9]+[a-f]?\."", """"))"),"Yanzu ina so in tambaye ku ƙarin bayani game da abin da ka fuskanta a masamman game da:")</f>
        <v>Yanzu ina so in tambaye ku ƙarin bayani game da abin da ka fuskanta a masamman game da:</v>
      </c>
      <c r="J669" s="152" t="s">
        <v>4720</v>
      </c>
      <c r="K669" s="152" t="s">
        <v>4721</v>
      </c>
      <c r="L669" s="152" t="s">
        <v>4722</v>
      </c>
      <c r="M669" s="152"/>
    </row>
    <row r="670">
      <c r="A670" s="179" t="s">
        <v>246</v>
      </c>
      <c r="B670" s="180" t="s">
        <v>4723</v>
      </c>
      <c r="C670" s="28" t="s">
        <v>4724</v>
      </c>
      <c r="D670" s="28" t="s">
        <v>4725</v>
      </c>
      <c r="E670" s="28" t="s">
        <v>4726</v>
      </c>
      <c r="F670" s="161">
        <v>218.0</v>
      </c>
      <c r="G670" s="152" t="str">
        <f>IFERROR(__xludf.DUMMYFUNCTION("TRIM(REGEXREPLACE(C670, ""[0-9]+[a-f]?\."", """"))"),"Physical attack")</f>
        <v>Physical attack</v>
      </c>
      <c r="H670" s="152" t="str">
        <f>IFERROR(__xludf.DUMMYFUNCTION("TRIM(REGEXREPLACE(D670, ""[0-9]+[a-f]?\."", """"))"),"Pouvez-vous m'en dire un peu plus sur ce qui s'est passé ?")</f>
        <v>Pouvez-vous m'en dire un peu plus sur ce qui s'est passé ?</v>
      </c>
      <c r="I670" s="152" t="str">
        <f>IFERROR(__xludf.DUMMYFUNCTION("TRIM(REGEXREPLACE(E670, ""[0-9]+[a-f]?\."", """"))"),"Za ku iya bani karin bayani a kan abin da ya faru?")</f>
        <v>Za ku iya bani karin bayani a kan abin da ya faru?</v>
      </c>
      <c r="J670" s="152" t="s">
        <v>4729</v>
      </c>
      <c r="K670" s="152" t="s">
        <v>4730</v>
      </c>
      <c r="L670" s="152" t="s">
        <v>4731</v>
      </c>
    </row>
    <row r="671">
      <c r="A671" s="179" t="s">
        <v>246</v>
      </c>
      <c r="B671" s="180" t="s">
        <v>4732</v>
      </c>
      <c r="C671" s="28" t="s">
        <v>4733</v>
      </c>
      <c r="D671" s="28" t="s">
        <v>4734</v>
      </c>
      <c r="E671" s="28" t="s">
        <v>4735</v>
      </c>
      <c r="F671" s="161">
        <v>219.0</v>
      </c>
      <c r="G671" s="152" t="str">
        <f>IFERROR(__xludf.DUMMYFUNCTION("TRIM(REGEXREPLACE(C671, ""[0-9]+[a-f]?\."", """"))"),"Threat of physical violence/attack")</f>
        <v>Threat of physical violence/attack</v>
      </c>
      <c r="H671" s="152" t="str">
        <f>IFERROR(__xludf.DUMMYFUNCTION("TRIM(REGEXREPLACE(D671, ""[0-9]+[a-f]?\."", """"))"),"Menace de violence physique/agression")</f>
        <v>Menace de violence physique/agression</v>
      </c>
      <c r="I671" s="152" t="str">
        <f>IFERROR(__xludf.DUMMYFUNCTION("TRIM(REGEXREPLACE(E671, ""[0-9]+[a-f]?\."", """"))"),"Barazanar ​​harin jiki")</f>
        <v>Barazanar ​​harin jiki</v>
      </c>
      <c r="J671" s="152" t="s">
        <v>4738</v>
      </c>
      <c r="K671" s="152" t="s">
        <v>4740</v>
      </c>
      <c r="L671" s="152" t="s">
        <v>4741</v>
      </c>
      <c r="M671" s="152"/>
    </row>
    <row r="672">
      <c r="A672" s="179" t="s">
        <v>246</v>
      </c>
      <c r="B672" s="180" t="s">
        <v>4742</v>
      </c>
      <c r="C672" s="28" t="s">
        <v>4743</v>
      </c>
      <c r="D672" s="28" t="s">
        <v>4744</v>
      </c>
      <c r="E672" s="28" t="s">
        <v>4745</v>
      </c>
      <c r="F672" s="161">
        <v>220.0</v>
      </c>
      <c r="G672" s="152" t="str">
        <f>IFERROR(__xludf.DUMMYFUNCTION("TRIM(REGEXREPLACE(C672, ""[0-9]+[a-f]?\."", """"))"),"Theft of either money or property?")</f>
        <v>Theft of either money or property?</v>
      </c>
      <c r="H672" s="152" t="str">
        <f>IFERROR(__xludf.DUMMYFUNCTION("TRIM(REGEXREPLACE(D672, ""[0-9]+[a-f]?\."", """"))"),"Pouvez-vous m'en dire un peu plus sur ce qui s'est passé ?")</f>
        <v>Pouvez-vous m'en dire un peu plus sur ce qui s'est passé ?</v>
      </c>
      <c r="I672" s="152" t="str">
        <f>IFERROR(__xludf.DUMMYFUNCTION("TRIM(REGEXREPLACE(E672, ""[0-9]+[a-f]?\."", """"))"),"Za ku iya bani karin bayani a kan abin da ya faru?")</f>
        <v>Za ku iya bani karin bayani a kan abin da ya faru?</v>
      </c>
      <c r="J672" s="152" t="s">
        <v>4746</v>
      </c>
      <c r="K672" s="152" t="s">
        <v>4747</v>
      </c>
      <c r="L672" s="152" t="s">
        <v>4748</v>
      </c>
    </row>
    <row r="673">
      <c r="A673" s="179" t="s">
        <v>246</v>
      </c>
      <c r="B673" s="180" t="s">
        <v>4749</v>
      </c>
      <c r="C673" s="28" t="s">
        <v>4750</v>
      </c>
      <c r="D673" s="28" t="s">
        <v>4751</v>
      </c>
      <c r="E673" s="28" t="s">
        <v>4753</v>
      </c>
      <c r="F673" s="161">
        <v>221.0</v>
      </c>
      <c r="G673" s="152" t="str">
        <f>IFERROR(__xludf.DUMMYFUNCTION("TRIM(REGEXREPLACE(C673, ""[0-9]+[a-f]?\."", """"))"),"Detention or arrest by state security forces?")</f>
        <v>Detention or arrest by state security forces?</v>
      </c>
      <c r="H673" s="152" t="str">
        <f>IFERROR(__xludf.DUMMYFUNCTION("TRIM(REGEXREPLACE(D673, ""[0-9]+[a-f]?\."", """"))"),"Pouvez-vous m'en dire un peu plus sur ce qui s'est passé ?")</f>
        <v>Pouvez-vous m'en dire un peu plus sur ce qui s'est passé ?</v>
      </c>
      <c r="I673" s="152" t="str">
        <f>IFERROR(__xludf.DUMMYFUNCTION("TRIM(REGEXREPLACE(E673, ""[0-9]+[a-f]?\."", """"))"),"Ko za ka iya yi mini ƙarin bayani a kan abin da ya faru?")</f>
        <v>Ko za ka iya yi mini ƙarin bayani a kan abin da ya faru?</v>
      </c>
      <c r="J673" s="152" t="s">
        <v>4756</v>
      </c>
      <c r="K673" s="152" t="s">
        <v>4744</v>
      </c>
      <c r="L673" s="152" t="s">
        <v>4757</v>
      </c>
      <c r="M673" s="152"/>
    </row>
    <row r="674">
      <c r="A674" s="68" t="s">
        <v>4758</v>
      </c>
      <c r="B674" s="169" t="s">
        <v>4759</v>
      </c>
      <c r="C674" s="28" t="s">
        <v>4760</v>
      </c>
      <c r="D674" s="28" t="s">
        <v>4761</v>
      </c>
      <c r="E674" s="28" t="s">
        <v>4763</v>
      </c>
      <c r="F674" s="161">
        <v>222.0</v>
      </c>
      <c r="G674" s="152" t="str">
        <f>IFERROR(__xludf.DUMMYFUNCTION("TRIM(REGEXREPLACE(C674, ""[0-9]+[a-f]?\."", """"))"),"What type of illness or injury did you experience?")</f>
        <v>What type of illness or injury did you experience?</v>
      </c>
      <c r="H674" s="152" t="str">
        <f>IFERROR(__xludf.DUMMYFUNCTION("TRIM(REGEXREPLACE(D674, ""[0-9]+[a-f]?\."", """"))"),"Quel type de maladie ou de blessure avez-vous subi ?")</f>
        <v>Quel type de maladie ou de blessure avez-vous subi ?</v>
      </c>
      <c r="I674" s="152" t="str">
        <f>IFERROR(__xludf.DUMMYFUNCTION("TRIM(REGEXREPLACE(E674, ""[0-9]+[a-f]?\."", """"))"),"Wane irin ciwo ko rauni kuka fuskanta?")</f>
        <v>Wane irin ciwo ko rauni kuka fuskanta?</v>
      </c>
      <c r="J674" s="152" t="s">
        <v>4764</v>
      </c>
      <c r="K674" s="152" t="s">
        <v>4765</v>
      </c>
      <c r="L674" s="152" t="s">
        <v>4766</v>
      </c>
      <c r="M674" s="152"/>
    </row>
    <row r="675">
      <c r="A675" s="179" t="s">
        <v>246</v>
      </c>
      <c r="B675" s="180" t="s">
        <v>4767</v>
      </c>
      <c r="C675" s="28" t="s">
        <v>4768</v>
      </c>
      <c r="D675" s="28" t="s">
        <v>4769</v>
      </c>
      <c r="E675" s="28" t="s">
        <v>4770</v>
      </c>
      <c r="F675" s="161">
        <v>223.0</v>
      </c>
      <c r="G675" s="152" t="str">
        <f>IFERROR(__xludf.DUMMYFUNCTION("TRIM(REGEXREPLACE(C675, ""[0-9]+[a-f]?\."", """"))"),"What type of illness or injury did you experience?")</f>
        <v>What type of illness or injury did you experience?</v>
      </c>
      <c r="H675" s="152" t="str">
        <f>IFERROR(__xludf.DUMMYFUNCTION("TRIM(REGEXREPLACE(D675, ""[0-9]+[a-f]?\."", """"))"),"Quel type de maladie ou de blessure avez-vous subi ?")</f>
        <v>Quel type de maladie ou de blessure avez-vous subi ?</v>
      </c>
      <c r="I675" s="152" t="str">
        <f>IFERROR(__xludf.DUMMYFUNCTION("TRIM(REGEXREPLACE(E675, ""[0-9]+[a-f]?\."", """"))"),"Wane irin ciwo ko rauni kuka fuskanta?")</f>
        <v>Wane irin ciwo ko rauni kuka fuskanta?</v>
      </c>
      <c r="J675" s="152" t="s">
        <v>4760</v>
      </c>
      <c r="K675" s="152" t="s">
        <v>4761</v>
      </c>
      <c r="L675" s="152" t="s">
        <v>4763</v>
      </c>
      <c r="M675" s="152"/>
    </row>
    <row r="676">
      <c r="A676" s="68" t="s">
        <v>463</v>
      </c>
      <c r="B676" s="169" t="s">
        <v>4774</v>
      </c>
      <c r="C676" s="28" t="s">
        <v>4775</v>
      </c>
      <c r="D676" s="28" t="s">
        <v>4776</v>
      </c>
      <c r="E676" s="28" t="s">
        <v>4777</v>
      </c>
      <c r="F676" s="161">
        <v>224.0</v>
      </c>
      <c r="G676" s="152" t="str">
        <f>IFERROR(__xludf.DUMMYFUNCTION("TRIM(REGEXREPLACE(C676, ""[0-9]+[a-f]?\."", """"))"),"In ${pm_location_name}, did you seek any treatment for any illness or injury?")</f>
        <v>In ${pm_location_name}, did you seek any treatment for any illness or injury?</v>
      </c>
      <c r="H676" s="152" t="str">
        <f>IFERROR(__xludf.DUMMYFUNCTION("TRIM(REGEXREPLACE(D676, ""[0-9]+[a-f]?\."", """"))"),"À ${pm_location_name}, avez-vous cherché un traitement pour une maladie ou une blessure ?")</f>
        <v>À ${pm_location_name}, avez-vous cherché un traitement pour une maladie ou une blessure ?</v>
      </c>
      <c r="I676" s="152" t="str">
        <f>IFERROR(__xludf.DUMMYFUNCTION("TRIM(REGEXREPLACE(E676, ""[0-9]+[a-f]?\."", """"))"),"A ${pm_location_name}, kun nemi wani magani don wata cuta ko rauni?")</f>
        <v>A ${pm_location_name}, kun nemi wani magani don wata cuta ko rauni?</v>
      </c>
      <c r="J676" s="152" t="s">
        <v>4781</v>
      </c>
      <c r="K676" s="152" t="s">
        <v>4782</v>
      </c>
      <c r="L676" s="152" t="s">
        <v>4783</v>
      </c>
      <c r="M676" s="152"/>
    </row>
    <row r="677" hidden="1">
      <c r="A677" s="140" t="s">
        <v>237</v>
      </c>
      <c r="B677" s="191" t="s">
        <v>4707</v>
      </c>
      <c r="C677" s="28"/>
      <c r="D677" s="28"/>
      <c r="E677" s="28"/>
      <c r="F677" s="161">
        <v>88.0</v>
      </c>
      <c r="G677" s="152" t="str">
        <f>IFERROR(__xludf.DUMMYFUNCTION("TRIM(REGEXREPLACE(C677, ""[0-9]+[a-f]?\."", """"))"),"")</f>
        <v/>
      </c>
      <c r="H677" s="152" t="str">
        <f>IFERROR(__xludf.DUMMYFUNCTION("TRIM(REGEXREPLACE(D677, ""[0-9]+[a-f]?\."", """"))"),"")</f>
        <v/>
      </c>
      <c r="I677" s="152" t="str">
        <f>IFERROR(__xludf.DUMMYFUNCTION("TRIM(REGEXREPLACE(E677, ""[0-9]+[a-f]?\."", """"))"),"")</f>
        <v/>
      </c>
      <c r="J677" s="152" t="str">
        <f t="shared" ref="J677:L677" si="62">$F677 &amp; ". " &amp;G677</f>
        <v>88. </v>
      </c>
      <c r="K677" s="152" t="str">
        <f t="shared" si="62"/>
        <v>88. </v>
      </c>
      <c r="L677" s="152" t="str">
        <f t="shared" si="62"/>
        <v>88. </v>
      </c>
    </row>
    <row r="678" hidden="1">
      <c r="A678" s="65" t="s">
        <v>134</v>
      </c>
      <c r="B678" s="66" t="s">
        <v>4787</v>
      </c>
      <c r="C678" s="28"/>
      <c r="D678" s="28"/>
      <c r="E678" s="28"/>
      <c r="F678" s="161">
        <v>89.0</v>
      </c>
      <c r="G678" s="152" t="str">
        <f>IFERROR(__xludf.DUMMYFUNCTION("TRIM(REGEXREPLACE(C678, ""[0-9]+[a-f]?\."", """"))"),"")</f>
        <v/>
      </c>
      <c r="H678" s="152" t="str">
        <f>IFERROR(__xludf.DUMMYFUNCTION("TRIM(REGEXREPLACE(D678, ""[0-9]+[a-f]?\."", """"))"),"")</f>
        <v/>
      </c>
      <c r="I678" s="152" t="str">
        <f>IFERROR(__xludf.DUMMYFUNCTION("TRIM(REGEXREPLACE(E678, ""[0-9]+[a-f]?\."", """"))"),"")</f>
        <v/>
      </c>
      <c r="J678" s="152" t="str">
        <f t="shared" ref="J678:L678" si="63">$F678 &amp; ". " &amp;G678</f>
        <v>89. </v>
      </c>
      <c r="K678" s="152" t="str">
        <f t="shared" si="63"/>
        <v>89. </v>
      </c>
      <c r="L678" s="152" t="str">
        <f t="shared" si="63"/>
        <v>89. </v>
      </c>
    </row>
    <row r="679" hidden="1">
      <c r="A679" s="137" t="s">
        <v>78</v>
      </c>
      <c r="B679" s="272" t="s">
        <v>4791</v>
      </c>
      <c r="C679" s="28"/>
      <c r="D679" s="28"/>
      <c r="E679" s="28"/>
      <c r="F679" s="161">
        <v>90.0</v>
      </c>
      <c r="G679" s="152" t="str">
        <f>IFERROR(__xludf.DUMMYFUNCTION("TRIM(REGEXREPLACE(C679, ""[0-9]+[a-f]?\."", """"))"),"")</f>
        <v/>
      </c>
      <c r="H679" s="152" t="str">
        <f>IFERROR(__xludf.DUMMYFUNCTION("TRIM(REGEXREPLACE(D679, ""[0-9]+[a-f]?\."", """"))"),"")</f>
        <v/>
      </c>
      <c r="I679" s="152" t="str">
        <f>IFERROR(__xludf.DUMMYFUNCTION("TRIM(REGEXREPLACE(E679, ""[0-9]+[a-f]?\."", """"))"),"")</f>
        <v/>
      </c>
      <c r="J679" s="152" t="str">
        <f t="shared" ref="J679:L679" si="64">$F679 &amp; ". " &amp;G679</f>
        <v>90. </v>
      </c>
      <c r="K679" s="152" t="str">
        <f t="shared" si="64"/>
        <v>90. </v>
      </c>
      <c r="L679" s="152" t="str">
        <f t="shared" si="64"/>
        <v>90. </v>
      </c>
    </row>
    <row r="680" hidden="1">
      <c r="A680" s="140" t="s">
        <v>237</v>
      </c>
      <c r="B680" s="191" t="s">
        <v>4510</v>
      </c>
      <c r="C680" s="28" t="s">
        <v>4511</v>
      </c>
      <c r="D680" s="28" t="s">
        <v>4512</v>
      </c>
      <c r="E680" s="28" t="s">
        <v>4513</v>
      </c>
      <c r="F680" s="161">
        <v>376.0</v>
      </c>
      <c r="G680" s="152" t="str">
        <f>IFERROR(__xludf.DUMMYFUNCTION("TRIM(REGEXREPLACE(C680, ""[0-9]+[a-f]?\."", """"))"),"Week in Location")</f>
        <v>Week in Location</v>
      </c>
      <c r="H680" s="152" t="str">
        <f>IFERROR(__xludf.DUMMYFUNCTION("TRIM(REGEXREPLACE(D680, ""[0-9]+[a-f]?\."", """"))"),"Semaine dans localite")</f>
        <v>Semaine dans localite</v>
      </c>
      <c r="I680" s="152" t="str">
        <f>IFERROR(__xludf.DUMMYFUNCTION("TRIM(REGEXREPLACE(E680, ""[0-9]+[a-f]?\."", """"))"),"Mako a Wuri")</f>
        <v>Mako a Wuri</v>
      </c>
      <c r="J680" s="152" t="s">
        <v>4794</v>
      </c>
      <c r="K680" s="152" t="s">
        <v>4795</v>
      </c>
      <c r="L680" s="152" t="s">
        <v>4796</v>
      </c>
    </row>
    <row r="681" hidden="1">
      <c r="A681" s="174" t="s">
        <v>1015</v>
      </c>
      <c r="B681" s="204" t="s">
        <v>3908</v>
      </c>
      <c r="C681" s="28" t="s">
        <v>3064</v>
      </c>
      <c r="D681" s="28" t="s">
        <v>3909</v>
      </c>
      <c r="E681" s="28" t="s">
        <v>3910</v>
      </c>
      <c r="F681" s="161">
        <v>394.0</v>
      </c>
      <c r="G681" s="152" t="str">
        <f>IFERROR(__xludf.DUMMYFUNCTION("TRIM(REGEXREPLACE(C681, ""[0-9]+[a-f]?\."", """"))"),"Locations")</f>
        <v>Locations</v>
      </c>
      <c r="H681" s="152" t="str">
        <f>IFERROR(__xludf.DUMMYFUNCTION("TRIM(REGEXREPLACE(D681, ""[0-9]+[a-f]?\."", """"))"),"Emplacements")</f>
        <v>Emplacements</v>
      </c>
      <c r="I681" s="152" t="str">
        <f>IFERROR(__xludf.DUMMYFUNCTION("TRIM(REGEXREPLACE(E681, ""[0-9]+[a-f]?\."", """"))"),"Wurare")</f>
        <v>Wurare</v>
      </c>
      <c r="J681" s="152" t="s">
        <v>4798</v>
      </c>
      <c r="K681" s="152" t="s">
        <v>4799</v>
      </c>
      <c r="L681" s="152" t="s">
        <v>4800</v>
      </c>
    </row>
    <row r="682" hidden="1">
      <c r="A682" s="137" t="s">
        <v>131</v>
      </c>
      <c r="B682" s="193" t="s">
        <v>4802</v>
      </c>
      <c r="C682" s="28"/>
      <c r="D682" s="28"/>
      <c r="E682" s="28"/>
      <c r="F682" s="161">
        <v>388.0</v>
      </c>
      <c r="G682" s="152" t="str">
        <f>IFERROR(__xludf.DUMMYFUNCTION("TRIM(REGEXREPLACE(C682, ""[0-9]+[a-f]?\."", """"))"),"")</f>
        <v/>
      </c>
      <c r="H682" s="152" t="str">
        <f>IFERROR(__xludf.DUMMYFUNCTION("TRIM(REGEXREPLACE(D682, ""[0-9]+[a-f]?\."", """"))"),"")</f>
        <v/>
      </c>
      <c r="I682" s="152" t="str">
        <f>IFERROR(__xludf.DUMMYFUNCTION("TRIM(REGEXREPLACE(E682, ""[0-9]+[a-f]?\."", """"))"),"")</f>
        <v/>
      </c>
      <c r="J682" s="152" t="s">
        <v>4806</v>
      </c>
      <c r="K682" s="152" t="s">
        <v>4807</v>
      </c>
      <c r="L682" s="152" t="s">
        <v>4808</v>
      </c>
      <c r="M682" s="152"/>
    </row>
    <row r="683">
      <c r="A683" s="137" t="s">
        <v>463</v>
      </c>
      <c r="B683" s="193" t="s">
        <v>4809</v>
      </c>
      <c r="C683" s="28" t="s">
        <v>4810</v>
      </c>
      <c r="D683" s="183" t="s">
        <v>4811</v>
      </c>
      <c r="E683" s="183" t="s">
        <v>4812</v>
      </c>
      <c r="F683" s="161">
        <v>225.0</v>
      </c>
      <c r="G683" s="152" t="str">
        <f>IFERROR(__xludf.DUMMYFUNCTION("TRIM(REGEXREPLACE(C683, ""[0-9]+[a-f]?\."", """"))"),"We discussed the amount of income you earned at each location that you shared with members of your household and people not in your household at each of the locations. In addition to these transfers, did you give any gifts and/or charitable donations to o"&amp;"ther individuals or ogranizations in ${period}?")</f>
        <v>We discussed the amount of income you earned at each location that you shared with members of your household and people not in your household at each of the locations. In addition to these transfers, did you give any gifts and/or charitable donations to other individuals or ogranizations in ${period}?</v>
      </c>
      <c r="H683" s="152" t="str">
        <f>IFERROR(__xludf.DUMMYFUNCTION("TRIM(REGEXREPLACE(D683, ""[0-9]+[a-f]?\."", """"))"),"Nous avons discuté du montant des revenus que vous avez gagnés à chaque endroit et que vous avez partagés avec les membres de votre menage et des personnes extérieures à votre menage à chaque endroit. Outre ces transferts, avez-vous fait des cadeaux et/ou"&amp;" des dons de charité à d'autres personnes ou organisations en ${period_french} ?")</f>
        <v>Nous avons discuté du montant des revenus que vous avez gagnés à chaque endroit et que vous avez partagés avec les membres de votre menage et des personnes extérieures à votre menage à chaque endroit. Outre ces transferts, avez-vous fait des cadeaux et/ou des dons de charité à d'autres personnes ou organisations en ${period_french} ?</v>
      </c>
      <c r="I683" s="152" t="str">
        <f>IFERROR(__xludf.DUMMYFUNCTION("TRIM(REGEXREPLACE(E683, ""[0-9]+[a-f]?\."", """"))"),"Mun tattauna yawan kuɗin shiga da kuka samu a kowane wuri wanda kuka raba tare da ƴan gidanku da kuma mutanen da ba ƴan cikin gidan ku ba a kowanne daga wuraren nan. Bancin waɗannan kyatuttuka, ko kun bada wata kyauta da/ko gudummawar sadaka ga wasu mutan"&amp;"e ko ƙungiyoyi a cikin ${period_hausa}?")</f>
        <v>Mun tattauna yawan kuɗin shiga da kuka samu a kowane wuri wanda kuka raba tare da ƴan gidanku da kuma mutanen da ba ƴan cikin gidan ku ba a kowanne daga wuraren nan. Bancin waɗannan kyatuttuka, ko kun bada wata kyauta da/ko gudummawar sadaka ga wasu mutane ko ƙungiyoyi a cikin ${period_hausa}?</v>
      </c>
      <c r="J683" s="152" t="s">
        <v>4813</v>
      </c>
      <c r="K683" s="152" t="s">
        <v>4814</v>
      </c>
      <c r="L683" s="152" t="s">
        <v>4816</v>
      </c>
      <c r="M683" s="152"/>
    </row>
    <row r="684">
      <c r="A684" s="137" t="s">
        <v>275</v>
      </c>
      <c r="B684" s="193" t="s">
        <v>4819</v>
      </c>
      <c r="C684" s="28" t="s">
        <v>4820</v>
      </c>
      <c r="D684" s="28" t="s">
        <v>4821</v>
      </c>
      <c r="E684" s="28" t="s">
        <v>4822</v>
      </c>
      <c r="F684" s="161">
        <v>226.0</v>
      </c>
      <c r="G684" s="152" t="str">
        <f>IFERROR(__xludf.DUMMYFUNCTION("TRIM(REGEXREPLACE(C684, ""[0-9]+[a-f]?\."", """"))"),"What is the amount you gifted or donated in CFA?")</f>
        <v>What is the amount you gifted or donated in CFA?</v>
      </c>
      <c r="H684" s="152" t="str">
        <f>IFERROR(__xludf.DUMMYFUNCTION("TRIM(REGEXREPLACE(D684, ""[0-9]+[a-f]?\."", """"))"),"Quel est le montant que vous avez donné en CFA ?")</f>
        <v>Quel est le montant que vous avez donné en CFA ?</v>
      </c>
      <c r="I684" s="152" t="str">
        <f>IFERROR(__xludf.DUMMYFUNCTION("TRIM(REGEXREPLACE(E684, ""[0-9]+[a-f]?\."", """"))"),"Nawa ne yawan kuɗin da kuka ba da kyauta ko gudummawa a kuɗin CFA?")</f>
        <v>Nawa ne yawan kuɗin da kuka ba da kyauta ko gudummawa a kuɗin CFA?</v>
      </c>
      <c r="J684" s="152" t="s">
        <v>4823</v>
      </c>
      <c r="K684" s="152" t="s">
        <v>4824</v>
      </c>
      <c r="L684" s="152" t="s">
        <v>4825</v>
      </c>
      <c r="M684" s="152"/>
    </row>
    <row r="685">
      <c r="A685" s="137" t="s">
        <v>463</v>
      </c>
      <c r="B685" s="193" t="s">
        <v>4826</v>
      </c>
      <c r="C685" s="28" t="s">
        <v>4827</v>
      </c>
      <c r="D685" s="183" t="s">
        <v>4828</v>
      </c>
      <c r="E685" s="183" t="s">
        <v>4830</v>
      </c>
      <c r="F685" s="161">
        <v>227.0</v>
      </c>
      <c r="G685" s="152" t="str">
        <f>IFERROR(__xludf.DUMMYFUNCTION("TRIM(REGEXREPLACE(C685, ""[0-9]+[a-f]?\."", """"))"),"In addition to these transfers, did you loan the money you earned to other individuals or ogranizations in ${period}?")</f>
        <v>In addition to these transfers, did you loan the money you earned to other individuals or ogranizations in ${period}?</v>
      </c>
      <c r="H685" s="152" t="str">
        <f>IFERROR(__xludf.DUMMYFUNCTION("TRIM(REGEXREPLACE(D685, ""[0-9]+[a-f]?\."", """"))"),"En dehors de ces transferts, avez-vous prêté l'argent que vous avez gagné à d'autres personnes ou organisations en ${period_french} ?")</f>
        <v>En dehors de ces transferts, avez-vous prêté l'argent que vous avez gagné à d'autres personnes ou organisations en ${period_french} ?</v>
      </c>
      <c r="I685" s="152" t="str">
        <f>IFERROR(__xludf.DUMMYFUNCTION("TRIM(REGEXREPLACE(E685, ""[0-9]+[a-f]?\."", """"))"),"Bancin waɗannan kyatuttuka, kun ba da bashin kuɗin da kuka samu ga wasu mutane ko ƙungiyoyi a cikin ${period_hausa}?")</f>
        <v>Bancin waɗannan kyatuttuka, kun ba da bashin kuɗin da kuka samu ga wasu mutane ko ƙungiyoyi a cikin ${period_hausa}?</v>
      </c>
      <c r="J685" s="152" t="s">
        <v>4834</v>
      </c>
      <c r="K685" s="152" t="s">
        <v>4835</v>
      </c>
      <c r="L685" s="152" t="s">
        <v>4836</v>
      </c>
      <c r="M685" s="152"/>
    </row>
    <row r="686">
      <c r="A686" s="137" t="s">
        <v>275</v>
      </c>
      <c r="B686" s="193" t="s">
        <v>4837</v>
      </c>
      <c r="C686" s="28" t="s">
        <v>4838</v>
      </c>
      <c r="D686" s="28" t="s">
        <v>4839</v>
      </c>
      <c r="E686" s="28" t="s">
        <v>4840</v>
      </c>
      <c r="F686" s="161">
        <v>228.0</v>
      </c>
      <c r="G686" s="152" t="str">
        <f>IFERROR(__xludf.DUMMYFUNCTION("TRIM(REGEXREPLACE(C686, ""[0-9]+[a-f]?\."", """"))"),"What is the amount you loaned in CFA?")</f>
        <v>What is the amount you loaned in CFA?</v>
      </c>
      <c r="H686" s="152" t="str">
        <f>IFERROR(__xludf.DUMMYFUNCTION("TRIM(REGEXREPLACE(D686, ""[0-9]+[a-f]?\."", """"))"),"Quel est le montant que vous avez prêté en CFA ?")</f>
        <v>Quel est le montant que vous avez prêté en CFA ?</v>
      </c>
      <c r="I686" s="152" t="str">
        <f>IFERROR(__xludf.DUMMYFUNCTION("TRIM(REGEXREPLACE(E686, ""[0-9]+[a-f]?\."", """"))"),"Nawa ne yawan kuɗin da kuka bada rance a kuɗin CFA?")</f>
        <v>Nawa ne yawan kuɗin da kuka bada rance a kuɗin CFA?</v>
      </c>
      <c r="J686" s="152" t="s">
        <v>4841</v>
      </c>
      <c r="K686" s="152" t="s">
        <v>4842</v>
      </c>
      <c r="L686" s="152" t="s">
        <v>4844</v>
      </c>
    </row>
    <row r="687" hidden="1">
      <c r="A687" s="140" t="s">
        <v>237</v>
      </c>
      <c r="B687" s="193" t="s">
        <v>4802</v>
      </c>
      <c r="C687" s="28"/>
      <c r="D687" s="28"/>
      <c r="E687" s="28"/>
      <c r="F687" s="161">
        <v>378.0</v>
      </c>
      <c r="G687" s="152" t="str">
        <f>IFERROR(__xludf.DUMMYFUNCTION("TRIM(REGEXREPLACE(C687, ""[0-9]+[a-f]?\."", """"))"),"")</f>
        <v/>
      </c>
      <c r="H687" s="152" t="str">
        <f>IFERROR(__xludf.DUMMYFUNCTION("TRIM(REGEXREPLACE(D687, ""[0-9]+[a-f]?\."", """"))"),"")</f>
        <v/>
      </c>
      <c r="I687" s="152" t="str">
        <f>IFERROR(__xludf.DUMMYFUNCTION("TRIM(REGEXREPLACE(E687, ""[0-9]+[a-f]?\."", """"))"),"")</f>
        <v/>
      </c>
      <c r="J687" s="152" t="s">
        <v>4847</v>
      </c>
      <c r="K687" s="152" t="s">
        <v>4848</v>
      </c>
      <c r="L687" s="152" t="s">
        <v>4849</v>
      </c>
    </row>
    <row r="688" hidden="1">
      <c r="A688" s="140" t="s">
        <v>131</v>
      </c>
      <c r="B688" s="164" t="s">
        <v>4850</v>
      </c>
      <c r="C688" s="28"/>
      <c r="D688" s="28"/>
      <c r="E688" s="28"/>
      <c r="F688" s="161">
        <v>423.0</v>
      </c>
      <c r="G688" s="152" t="str">
        <f>IFERROR(__xludf.DUMMYFUNCTION("TRIM(REGEXREPLACE(C688, ""[0-9]+[a-f]?\."", """"))"),"")</f>
        <v/>
      </c>
      <c r="H688" s="152" t="str">
        <f>IFERROR(__xludf.DUMMYFUNCTION("TRIM(REGEXREPLACE(D688, ""[0-9]+[a-f]?\."", """"))"),"")</f>
        <v/>
      </c>
      <c r="I688" s="152" t="str">
        <f>IFERROR(__xludf.DUMMYFUNCTION("TRIM(REGEXREPLACE(E688, ""[0-9]+[a-f]?\."", """"))"),"")</f>
        <v/>
      </c>
      <c r="J688" s="152" t="s">
        <v>4852</v>
      </c>
      <c r="K688" s="152" t="s">
        <v>4854</v>
      </c>
      <c r="L688" s="152" t="s">
        <v>4854</v>
      </c>
    </row>
    <row r="689">
      <c r="A689" s="68" t="s">
        <v>1055</v>
      </c>
      <c r="B689" s="169" t="s">
        <v>4856</v>
      </c>
      <c r="C689" s="28" t="s">
        <v>4857</v>
      </c>
      <c r="D689" s="28" t="s">
        <v>4858</v>
      </c>
      <c r="E689" s="28" t="s">
        <v>4859</v>
      </c>
      <c r="F689" s="161">
        <v>229.0</v>
      </c>
      <c r="G689" s="152" t="str">
        <f>IFERROR(__xludf.DUMMYFUNCTION("TRIM(REGEXREPLACE(C689, ""[0-9]+[a-f]?\."", """"))"),"At any of the locations mentioned above, did you experience any of the following situations or been threatened with them in a workplace?")</f>
        <v>At any of the locations mentioned above, did you experience any of the following situations or been threatened with them in a workplace?</v>
      </c>
      <c r="H689" s="152" t="str">
        <f>IFERROR(__xludf.DUMMYFUNCTION("TRIM(REGEXREPLACE(D689, ""[0-9]+[a-f]?\."", """"))"),"Dans l'un des endroits mentionnés ci-dessus, avez-vous vécu l'une des situations suivantes ou avez-vous été menacé sur votre lieu de travail ?")</f>
        <v>Dans l'un des endroits mentionnés ci-dessus, avez-vous vécu l'une des situations suivantes ou avez-vous été menacé sur votre lieu de travail ?</v>
      </c>
      <c r="I689" s="152" t="str">
        <f>IFERROR(__xludf.DUMMYFUNCTION("TRIM(REGEXREPLACE(E689, ""[0-9]+[a-f]?\."", """"))"),"A cikin wannan wuraren da aka ambata, ko kun fuskanci ɗaya daga cikin waɗannan yanayi ko kuma an yi muku barazana a wurin aiki?")</f>
        <v>A cikin wannan wuraren da aka ambata, ko kun fuskanci ɗaya daga cikin waɗannan yanayi ko kuma an yi muku barazana a wurin aiki?</v>
      </c>
      <c r="J689" s="152" t="s">
        <v>4860</v>
      </c>
      <c r="K689" s="152" t="s">
        <v>4861</v>
      </c>
      <c r="L689" s="152" t="s">
        <v>4862</v>
      </c>
      <c r="M689" s="152"/>
    </row>
    <row r="690">
      <c r="A690" s="68" t="s">
        <v>1055</v>
      </c>
      <c r="B690" s="169" t="s">
        <v>4863</v>
      </c>
      <c r="C690" s="28" t="s">
        <v>4864</v>
      </c>
      <c r="D690" s="28" t="s">
        <v>4865</v>
      </c>
      <c r="E690" s="28" t="s">
        <v>4866</v>
      </c>
      <c r="F690" s="161">
        <v>230.0</v>
      </c>
      <c r="G690" s="152" t="str">
        <f>IFERROR(__xludf.DUMMYFUNCTION("TRIM(REGEXREPLACE(C690, ""[0-9]+[a-f]?\."", """"))"),"Had passport or other papers taken away")</f>
        <v>Had passport or other papers taken away</v>
      </c>
      <c r="H690" s="152" t="str">
        <f>IFERROR(__xludf.DUMMYFUNCTION("TRIM(REGEXREPLACE(D690, ""[0-9]+[a-f]?\."", """"))"),"confisquer votre Passeport ou autres papiers")</f>
        <v>confisquer votre Passeport ou autres papiers</v>
      </c>
      <c r="I690" s="152" t="str">
        <f>IFERROR(__xludf.DUMMYFUNCTION("TRIM(REGEXREPLACE(E690, ""[0-9]+[a-f]?\."", """"))"),"An amshe muku fasfo ko wasu takardu")</f>
        <v>An amshe muku fasfo ko wasu takardu</v>
      </c>
      <c r="J690" s="152" t="s">
        <v>4867</v>
      </c>
      <c r="K690" s="152" t="s">
        <v>4868</v>
      </c>
      <c r="L690" s="152" t="s">
        <v>4869</v>
      </c>
      <c r="M690" s="152"/>
    </row>
    <row r="691">
      <c r="A691" s="68" t="s">
        <v>1055</v>
      </c>
      <c r="B691" s="169" t="s">
        <v>4870</v>
      </c>
      <c r="C691" s="28" t="s">
        <v>4871</v>
      </c>
      <c r="D691" s="28" t="s">
        <v>4872</v>
      </c>
      <c r="E691" s="28" t="s">
        <v>4873</v>
      </c>
      <c r="F691" s="161">
        <v>231.0</v>
      </c>
      <c r="G691" s="152" t="str">
        <f>IFERROR(__xludf.DUMMYFUNCTION("TRIM(REGEXREPLACE(C691, ""[0-9]+[a-f]?\."", """"))"),"Been prevented from contacting friends or family")</f>
        <v>Been prevented from contacting friends or family</v>
      </c>
      <c r="H691" s="152" t="str">
        <f>IFERROR(__xludf.DUMMYFUNCTION("TRIM(REGEXREPLACE(D691, ""[0-9]+[a-f]?\."", """"))"),"Vous avez été empêché de contacter vos amis ou votre famille")</f>
        <v>Vous avez été empêché de contacter vos amis ou votre famille</v>
      </c>
      <c r="I691" s="152" t="str">
        <f>IFERROR(__xludf.DUMMYFUNCTION("TRIM(REGEXREPLACE(E691, ""[0-9]+[a-f]?\."", """"))"),"An hana ku tuntuɓar abokai ko dangi")</f>
        <v>An hana ku tuntuɓar abokai ko dangi</v>
      </c>
      <c r="J691" s="152" t="s">
        <v>4874</v>
      </c>
      <c r="K691" s="152" t="s">
        <v>4875</v>
      </c>
      <c r="L691" s="152" t="s">
        <v>4876</v>
      </c>
    </row>
    <row r="692">
      <c r="A692" s="68" t="s">
        <v>1055</v>
      </c>
      <c r="B692" s="169" t="s">
        <v>4877</v>
      </c>
      <c r="C692" s="28" t="s">
        <v>4878</v>
      </c>
      <c r="D692" s="28" t="s">
        <v>4879</v>
      </c>
      <c r="E692" s="28" t="s">
        <v>4880</v>
      </c>
      <c r="F692" s="161">
        <v>232.0</v>
      </c>
      <c r="G692" s="152" t="str">
        <f>IFERROR(__xludf.DUMMYFUNCTION("TRIM(REGEXREPLACE(C692, ""[0-9]+[a-f]?\."", """"))"),"Been paid less than promised or not paid when promised")</f>
        <v>Been paid less than promised or not paid when promised</v>
      </c>
      <c r="H692" s="152" t="str">
        <f>IFERROR(__xludf.DUMMYFUNCTION("TRIM(REGEXREPLACE(D692, ""[0-9]+[a-f]?\."", """"))"),"A été payé moins que promis ou n'a pas été payé lorsque promis")</f>
        <v>A été payé moins que promis ou n'a pas été payé lorsque promis</v>
      </c>
      <c r="I692" s="152" t="str">
        <f>IFERROR(__xludf.DUMMYFUNCTION("TRIM(REGEXREPLACE(E692, ""[0-9]+[a-f]?\."", """"))"),"An biya ku ƙasa da abin da aka yi alkawari ko kuma ba a biya ku ba lokacin da aka yi alkawari")</f>
        <v>An biya ku ƙasa da abin da aka yi alkawari ko kuma ba a biya ku ba lokacin da aka yi alkawari</v>
      </c>
      <c r="J692" s="152" t="s">
        <v>4881</v>
      </c>
      <c r="K692" s="152" t="s">
        <v>4882</v>
      </c>
      <c r="L692" s="152" t="s">
        <v>4883</v>
      </c>
    </row>
    <row r="693">
      <c r="A693" s="68" t="s">
        <v>1055</v>
      </c>
      <c r="B693" s="169" t="s">
        <v>4884</v>
      </c>
      <c r="C693" s="28" t="s">
        <v>4885</v>
      </c>
      <c r="D693" s="28" t="s">
        <v>4886</v>
      </c>
      <c r="E693" s="28" t="s">
        <v>4887</v>
      </c>
      <c r="F693" s="161">
        <v>233.0</v>
      </c>
      <c r="G693" s="152" t="str">
        <f>IFERROR(__xludf.DUMMYFUNCTION("TRIM(REGEXREPLACE(C693, ""[0-9]+[a-f]?\."", """"))"),"Been forced to pay off a debt to my employer before I could leave")</f>
        <v>Been forced to pay off a debt to my employer before I could leave</v>
      </c>
      <c r="H693" s="152" t="str">
        <f>IFERROR(__xludf.DUMMYFUNCTION("TRIM(REGEXREPLACE(D693, ""[0-9]+[a-f]?\."", """"))"),"A été obligé de payer une dette à mon employeur avant de pouvoir partir")</f>
        <v>A été obligé de payer une dette à mon employeur avant de pouvoir partir</v>
      </c>
      <c r="I693" s="152" t="str">
        <f>IFERROR(__xludf.DUMMYFUNCTION("TRIM(REGEXREPLACE(E693, ""[0-9]+[a-f]?\."", """"))"),"An tilasta muku biyan bashi ga mai gida kafin tafiya")</f>
        <v>An tilasta muku biyan bashi ga mai gida kafin tafiya</v>
      </c>
      <c r="J693" s="152" t="s">
        <v>4890</v>
      </c>
      <c r="K693" s="152" t="s">
        <v>4891</v>
      </c>
      <c r="L693" s="152" t="s">
        <v>4893</v>
      </c>
    </row>
    <row r="694">
      <c r="A694" s="68" t="s">
        <v>1055</v>
      </c>
      <c r="B694" s="169" t="s">
        <v>4895</v>
      </c>
      <c r="C694" s="28" t="s">
        <v>4896</v>
      </c>
      <c r="D694" s="28" t="s">
        <v>4897</v>
      </c>
      <c r="E694" s="28" t="s">
        <v>4898</v>
      </c>
      <c r="F694" s="161">
        <v>234.0</v>
      </c>
      <c r="G694" s="152" t="str">
        <f>IFERROR(__xludf.DUMMYFUNCTION("TRIM(REGEXREPLACE(C694, ""[0-9]+[a-f]?\."", """"))"),"Experienced violence or physical restraint")</f>
        <v>Experienced violence or physical restraint</v>
      </c>
      <c r="H694" s="152" t="str">
        <f>IFERROR(__xludf.DUMMYFUNCTION("TRIM(REGEXREPLACE(D694, ""[0-9]+[a-f]?\."", """"))"),"Victime de violence ou de contrainte physique")</f>
        <v>Victime de violence ou de contrainte physique</v>
      </c>
      <c r="I694" s="152" t="str">
        <f>IFERROR(__xludf.DUMMYFUNCTION("TRIM(REGEXREPLACE(E694, ""[0-9]+[a-f]?\."", """"))"),"An matsa muku ko an tilasta muku yin wani abin da ba ku iyawa")</f>
        <v>An matsa muku ko an tilasta muku yin wani abin da ba ku iyawa</v>
      </c>
      <c r="J694" s="152" t="s">
        <v>4899</v>
      </c>
      <c r="K694" s="152" t="s">
        <v>4900</v>
      </c>
      <c r="L694" s="152" t="s">
        <v>4901</v>
      </c>
    </row>
    <row r="695">
      <c r="A695" s="68" t="s">
        <v>1055</v>
      </c>
      <c r="B695" s="169" t="s">
        <v>4903</v>
      </c>
      <c r="C695" s="28" t="s">
        <v>4904</v>
      </c>
      <c r="D695" s="28" t="s">
        <v>4906</v>
      </c>
      <c r="E695" s="28" t="s">
        <v>4908</v>
      </c>
      <c r="F695" s="161">
        <v>235.0</v>
      </c>
      <c r="G695" s="152" t="str">
        <f>IFERROR(__xludf.DUMMYFUNCTION("TRIM(REGEXREPLACE(C695, ""[0-9]+[a-f]?\."", """"))"),"Forced to engage in actions against my will")</f>
        <v>Forced to engage in actions against my will</v>
      </c>
      <c r="H695" s="152" t="str">
        <f>IFERROR(__xludf.DUMMYFUNCTION("TRIM(REGEXREPLACE(D695, ""[0-9]+[a-f]?\."", """"))"),"Forcé de s'engager dans des actions contre ma volonté")</f>
        <v>Forcé de s'engager dans des actions contre ma volonté</v>
      </c>
      <c r="I695" s="152" t="str">
        <f>IFERROR(__xludf.DUMMYFUNCTION("TRIM(REGEXREPLACE(E695, ""[0-9]+[a-f]?\."", """"))"),"An tilasta muku aikata ayyukan da ba ku so ba")</f>
        <v>An tilasta muku aikata ayyukan da ba ku so ba</v>
      </c>
      <c r="J695" s="152" t="s">
        <v>4909</v>
      </c>
      <c r="K695" s="152" t="s">
        <v>4910</v>
      </c>
      <c r="L695" s="152" t="s">
        <v>4911</v>
      </c>
      <c r="M695" s="152"/>
    </row>
    <row r="696" hidden="1">
      <c r="A696" s="140" t="s">
        <v>237</v>
      </c>
      <c r="B696" s="191" t="s">
        <v>4850</v>
      </c>
      <c r="C696" s="28"/>
      <c r="D696" s="28"/>
      <c r="E696" s="28"/>
      <c r="F696" s="161">
        <v>431.0</v>
      </c>
      <c r="G696" s="152" t="str">
        <f>IFERROR(__xludf.DUMMYFUNCTION("TRIM(REGEXREPLACE(C696, ""[0-9]+[a-f]?\."", """"))"),"")</f>
        <v/>
      </c>
      <c r="H696" s="152" t="str">
        <f>IFERROR(__xludf.DUMMYFUNCTION("TRIM(REGEXREPLACE(D696, ""[0-9]+[a-f]?\."", """"))"),"")</f>
        <v/>
      </c>
      <c r="I696" s="152" t="str">
        <f>IFERROR(__xludf.DUMMYFUNCTION("TRIM(REGEXREPLACE(E696, ""[0-9]+[a-f]?\."", """"))"),"")</f>
        <v/>
      </c>
      <c r="J696" s="152" t="s">
        <v>4912</v>
      </c>
      <c r="K696" s="152" t="s">
        <v>4913</v>
      </c>
      <c r="L696" s="152" t="s">
        <v>4913</v>
      </c>
    </row>
    <row r="697" hidden="1">
      <c r="A697" s="140" t="s">
        <v>131</v>
      </c>
      <c r="B697" s="164" t="s">
        <v>4915</v>
      </c>
      <c r="C697" s="28"/>
      <c r="D697" s="28"/>
      <c r="E697" s="28"/>
    </row>
    <row r="698">
      <c r="A698" s="68" t="s">
        <v>4916</v>
      </c>
      <c r="B698" s="169" t="s">
        <v>4917</v>
      </c>
      <c r="C698" s="28" t="s">
        <v>4918</v>
      </c>
      <c r="D698" s="28" t="s">
        <v>4919</v>
      </c>
      <c r="E698" s="28" t="s">
        <v>4920</v>
      </c>
      <c r="F698" s="161">
        <v>236.0</v>
      </c>
      <c r="G698" s="152" t="str">
        <f>IFERROR(__xludf.DUMMYFUNCTION("TRIM(REGEXREPLACE(C698, ""[0-9]+[a-f]?\."", """"))"),"Where did you experience or were threatened with the following situations?")</f>
        <v>Where did you experience or were threatened with the following situations?</v>
      </c>
      <c r="H698" s="152" t="str">
        <f>IFERROR(__xludf.DUMMYFUNCTION("TRIM(REGEXREPLACE(D698, ""[0-9]+[a-f]?\."", """"))"),"Où avez-vous vécu ou avez été menacé de faire face aux situations suivantes ?")</f>
        <v>Où avez-vous vécu ou avez été menacé de faire face aux situations suivantes ?</v>
      </c>
      <c r="I698" s="152" t="str">
        <f>IFERROR(__xludf.DUMMYFUNCTION("TRIM(REGEXREPLACE(E698, ""[0-9]+[a-f]?\."", """"))"),"A cikin wannan wuraren da aka ambata, ko kun fuskanci ɗaya daga cikin waɗannan yanayi ko kuma an yi muku barazana a wurin aiki?")</f>
        <v>A cikin wannan wuraren da aka ambata, ko kun fuskanci ɗaya daga cikin waɗannan yanayi ko kuma an yi muku barazana a wurin aiki?</v>
      </c>
      <c r="J698" s="152" t="s">
        <v>4921</v>
      </c>
      <c r="K698" s="152" t="s">
        <v>4922</v>
      </c>
      <c r="L698" s="152" t="s">
        <v>4923</v>
      </c>
      <c r="M698" s="152"/>
    </row>
    <row r="699">
      <c r="A699" s="68" t="s">
        <v>4916</v>
      </c>
      <c r="B699" s="169" t="s">
        <v>4926</v>
      </c>
      <c r="C699" s="28" t="s">
        <v>4928</v>
      </c>
      <c r="D699" s="28" t="s">
        <v>4929</v>
      </c>
      <c r="E699" s="28" t="s">
        <v>4930</v>
      </c>
      <c r="F699" s="161">
        <v>237.0</v>
      </c>
      <c r="G699" s="152" t="str">
        <f>IFERROR(__xludf.DUMMYFUNCTION("TRIM(REGEXREPLACE(C699, ""[0-9]+[a-f]?\."", """"))"),"Had passport or other papers taken away")</f>
        <v>Had passport or other papers taken away</v>
      </c>
      <c r="H699" s="152" t="str">
        <f>IFERROR(__xludf.DUMMYFUNCTION("TRIM(REGEXREPLACE(D699, ""[0-9]+[a-f]?\."", """"))"),"confisquer votre Passeport ou autres papiers")</f>
        <v>confisquer votre Passeport ou autres papiers</v>
      </c>
      <c r="I699" s="152" t="str">
        <f>IFERROR(__xludf.DUMMYFUNCTION("TRIM(REGEXREPLACE(E699, ""[0-9]+[a-f]?\."", """"))"),"An amshe muku fasfo ko wasu takardu")</f>
        <v>An amshe muku fasfo ko wasu takardu</v>
      </c>
      <c r="J699" s="152" t="s">
        <v>4931</v>
      </c>
      <c r="K699" s="152" t="s">
        <v>4932</v>
      </c>
      <c r="L699" s="152" t="s">
        <v>4933</v>
      </c>
      <c r="M699" s="152"/>
    </row>
    <row r="700">
      <c r="A700" s="68" t="s">
        <v>4916</v>
      </c>
      <c r="B700" s="169" t="s">
        <v>4934</v>
      </c>
      <c r="C700" s="28" t="s">
        <v>4935</v>
      </c>
      <c r="D700" s="28" t="s">
        <v>4936</v>
      </c>
      <c r="E700" s="28" t="s">
        <v>4937</v>
      </c>
      <c r="F700" s="161">
        <v>238.0</v>
      </c>
      <c r="G700" s="152" t="str">
        <f>IFERROR(__xludf.DUMMYFUNCTION("TRIM(REGEXREPLACE(C700, ""[0-9]+[a-f]?\."", """"))"),"Been prevented from contacting friends or family")</f>
        <v>Been prevented from contacting friends or family</v>
      </c>
      <c r="H700" s="152" t="str">
        <f>IFERROR(__xludf.DUMMYFUNCTION("TRIM(REGEXREPLACE(D700, ""[0-9]+[a-f]?\."", """"))"),"Vous avez été empêché de contacter vos amis ou votre famille")</f>
        <v>Vous avez été empêché de contacter vos amis ou votre famille</v>
      </c>
      <c r="I700" s="152" t="str">
        <f>IFERROR(__xludf.DUMMYFUNCTION("TRIM(REGEXREPLACE(E700, ""[0-9]+[a-f]?\."", """"))"),"An hana ku tuntuɓar abokai ko dangi")</f>
        <v>An hana ku tuntuɓar abokai ko dangi</v>
      </c>
      <c r="J700" s="152" t="s">
        <v>4938</v>
      </c>
      <c r="K700" s="152" t="s">
        <v>4940</v>
      </c>
      <c r="L700" s="152" t="s">
        <v>4941</v>
      </c>
      <c r="M700" s="152"/>
    </row>
    <row r="701">
      <c r="A701" s="68" t="s">
        <v>4916</v>
      </c>
      <c r="B701" s="169" t="s">
        <v>4943</v>
      </c>
      <c r="C701" s="28" t="s">
        <v>4945</v>
      </c>
      <c r="D701" s="28" t="s">
        <v>4946</v>
      </c>
      <c r="E701" s="28" t="s">
        <v>4947</v>
      </c>
      <c r="F701" s="161">
        <v>239.0</v>
      </c>
      <c r="G701" s="152" t="str">
        <f>IFERROR(__xludf.DUMMYFUNCTION("TRIM(REGEXREPLACE(C701, ""[0-9]+[a-f]?\."", """"))"),"Been paid less than promised or not paid when promised")</f>
        <v>Been paid less than promised or not paid when promised</v>
      </c>
      <c r="H701" s="152" t="str">
        <f>IFERROR(__xludf.DUMMYFUNCTION("TRIM(REGEXREPLACE(D701, ""[0-9]+[a-f]?\."", """"))"),"A été payé moins que promis ou n'a pas été payé lorsque promis")</f>
        <v>A été payé moins que promis ou n'a pas été payé lorsque promis</v>
      </c>
      <c r="I701" s="152" t="str">
        <f>IFERROR(__xludf.DUMMYFUNCTION("TRIM(REGEXREPLACE(E701, ""[0-9]+[a-f]?\."", """"))"),"An biya ku ƙasa da abin da aka yi alkawari ko kuma ba a biya ku ba lokacin da aka yi alkawari")</f>
        <v>An biya ku ƙasa da abin da aka yi alkawari ko kuma ba a biya ku ba lokacin da aka yi alkawari</v>
      </c>
      <c r="J701" s="152" t="s">
        <v>4948</v>
      </c>
      <c r="K701" s="152" t="s">
        <v>4949</v>
      </c>
      <c r="L701" s="152" t="s">
        <v>4950</v>
      </c>
      <c r="M701" s="152"/>
    </row>
    <row r="702">
      <c r="A702" s="68" t="s">
        <v>4916</v>
      </c>
      <c r="B702" s="169" t="s">
        <v>4951</v>
      </c>
      <c r="C702" s="28" t="s">
        <v>4952</v>
      </c>
      <c r="D702" s="28" t="s">
        <v>4953</v>
      </c>
      <c r="E702" s="28" t="s">
        <v>4954</v>
      </c>
      <c r="F702" s="161">
        <v>240.0</v>
      </c>
      <c r="G702" s="152" t="str">
        <f>IFERROR(__xludf.DUMMYFUNCTION("TRIM(REGEXREPLACE(C702, ""[0-9]+[a-f]?\."", """"))"),"Been forced to pay off a debt to my employer before I could leave")</f>
        <v>Been forced to pay off a debt to my employer before I could leave</v>
      </c>
      <c r="H702" s="152" t="str">
        <f>IFERROR(__xludf.DUMMYFUNCTION("TRIM(REGEXREPLACE(D702, ""[0-9]+[a-f]?\."", """"))"),"A été obligé de payer une dette à mon employeur avant de pouvoir partir")</f>
        <v>A été obligé de payer une dette à mon employeur avant de pouvoir partir</v>
      </c>
      <c r="I702" s="152" t="str">
        <f>IFERROR(__xludf.DUMMYFUNCTION("TRIM(REGEXREPLACE(E702, ""[0-9]+[a-f]?\."", """"))"),"An tilasta muku biyan bashi ga mai gida kafin tafiya")</f>
        <v>An tilasta muku biyan bashi ga mai gida kafin tafiya</v>
      </c>
      <c r="J702" s="152" t="s">
        <v>4955</v>
      </c>
      <c r="K702" s="152" t="s">
        <v>4956</v>
      </c>
      <c r="L702" s="152" t="s">
        <v>4957</v>
      </c>
    </row>
    <row r="703">
      <c r="A703" s="68" t="s">
        <v>4916</v>
      </c>
      <c r="B703" s="169" t="s">
        <v>4958</v>
      </c>
      <c r="C703" s="28" t="s">
        <v>4959</v>
      </c>
      <c r="D703" s="28" t="s">
        <v>4960</v>
      </c>
      <c r="E703" s="28" t="s">
        <v>4961</v>
      </c>
      <c r="F703" s="161">
        <v>241.0</v>
      </c>
      <c r="G703" s="152" t="str">
        <f>IFERROR(__xludf.DUMMYFUNCTION("TRIM(REGEXREPLACE(C703, ""[0-9]+[a-f]?\."", """"))"),"Experienced violence or physical restraint")</f>
        <v>Experienced violence or physical restraint</v>
      </c>
      <c r="H703" s="152" t="str">
        <f>IFERROR(__xludf.DUMMYFUNCTION("TRIM(REGEXREPLACE(D703, ""[0-9]+[a-f]?\."", """"))"),"Victime de violence ou de contrainte physique")</f>
        <v>Victime de violence ou de contrainte physique</v>
      </c>
      <c r="I703" s="152" t="str">
        <f>IFERROR(__xludf.DUMMYFUNCTION("TRIM(REGEXREPLACE(E703, ""[0-9]+[a-f]?\."", """"))"),"An matsa muku ko an tilasta muku yin wani abin da ba ku iyawa")</f>
        <v>An matsa muku ko an tilasta muku yin wani abin da ba ku iyawa</v>
      </c>
      <c r="J703" s="152" t="s">
        <v>4962</v>
      </c>
      <c r="K703" s="152" t="s">
        <v>4963</v>
      </c>
      <c r="L703" s="152" t="s">
        <v>4964</v>
      </c>
      <c r="M703" s="152"/>
    </row>
    <row r="704">
      <c r="A704" s="68" t="s">
        <v>4916</v>
      </c>
      <c r="B704" s="169" t="s">
        <v>4965</v>
      </c>
      <c r="C704" s="28" t="s">
        <v>4966</v>
      </c>
      <c r="D704" s="28" t="s">
        <v>4967</v>
      </c>
      <c r="E704" s="28" t="s">
        <v>4968</v>
      </c>
      <c r="F704" s="161">
        <v>242.0</v>
      </c>
      <c r="G704" s="152" t="str">
        <f>IFERROR(__xludf.DUMMYFUNCTION("TRIM(REGEXREPLACE(C704, ""[0-9]+[a-f]?\."", """"))"),"Forced to engage in actions against my will")</f>
        <v>Forced to engage in actions against my will</v>
      </c>
      <c r="H704" s="152" t="str">
        <f>IFERROR(__xludf.DUMMYFUNCTION("TRIM(REGEXREPLACE(D704, ""[0-9]+[a-f]?\."", """"))"),"Forcé de s'engager dans des actions contre ma volonté")</f>
        <v>Forcé de s'engager dans des actions contre ma volonté</v>
      </c>
      <c r="I704" s="152" t="str">
        <f>IFERROR(__xludf.DUMMYFUNCTION("TRIM(REGEXREPLACE(E704, ""[0-9]+[a-f]?\."", """"))"),"An tilasta muku aikata ayyukan da ba ku so ba")</f>
        <v>An tilasta muku aikata ayyukan da ba ku so ba</v>
      </c>
      <c r="J704" s="152" t="s">
        <v>4969</v>
      </c>
      <c r="K704" s="152" t="s">
        <v>4970</v>
      </c>
      <c r="L704" s="152" t="s">
        <v>4971</v>
      </c>
    </row>
    <row r="705" hidden="1">
      <c r="A705" s="140" t="s">
        <v>237</v>
      </c>
      <c r="B705" s="191" t="s">
        <v>4915</v>
      </c>
      <c r="C705" s="28"/>
      <c r="D705" s="28"/>
      <c r="E705" s="28"/>
      <c r="F705" s="161">
        <v>101.0</v>
      </c>
      <c r="G705" s="152" t="str">
        <f>IFERROR(__xludf.DUMMYFUNCTION("TRIM(REGEXREPLACE(C705, ""[0-9]+[a-f]?\."", """"))"),"")</f>
        <v/>
      </c>
      <c r="H705" s="152" t="str">
        <f>IFERROR(__xludf.DUMMYFUNCTION("TRIM(REGEXREPLACE(D705, ""[0-9]+[a-f]?\."", """"))"),"")</f>
        <v/>
      </c>
      <c r="I705" s="152" t="str">
        <f>IFERROR(__xludf.DUMMYFUNCTION("TRIM(REGEXREPLACE(E705, ""[0-9]+[a-f]?\."", """"))"),"")</f>
        <v/>
      </c>
      <c r="J705" s="152" t="str">
        <f t="shared" ref="J705:L705" si="65">$F705 &amp; ". " &amp;G705</f>
        <v>101. </v>
      </c>
      <c r="K705" s="152" t="str">
        <f t="shared" si="65"/>
        <v>101. </v>
      </c>
      <c r="L705" s="152" t="str">
        <f t="shared" si="65"/>
        <v>101. </v>
      </c>
      <c r="M705" s="152"/>
    </row>
    <row r="706" hidden="1">
      <c r="A706" s="65" t="s">
        <v>134</v>
      </c>
      <c r="B706" s="66" t="s">
        <v>4976</v>
      </c>
      <c r="C706" s="28"/>
      <c r="D706" s="28"/>
      <c r="E706" s="28"/>
      <c r="F706" s="161">
        <v>392.0</v>
      </c>
      <c r="G706" s="152" t="str">
        <f>IFERROR(__xludf.DUMMYFUNCTION("TRIM(REGEXREPLACE(C706, ""[0-9]+[a-f]?\."", """"))"),"")</f>
        <v/>
      </c>
      <c r="H706" s="152" t="str">
        <f>IFERROR(__xludf.DUMMYFUNCTION("TRIM(REGEXREPLACE(D706, ""[0-9]+[a-f]?\."", """"))"),"")</f>
        <v/>
      </c>
      <c r="I706" s="152" t="str">
        <f>IFERROR(__xludf.DUMMYFUNCTION("TRIM(REGEXREPLACE(E706, ""[0-9]+[a-f]?\."", """"))"),"")</f>
        <v/>
      </c>
      <c r="J706" s="152" t="s">
        <v>4977</v>
      </c>
      <c r="K706" s="152" t="s">
        <v>4978</v>
      </c>
      <c r="L706" s="152" t="s">
        <v>4979</v>
      </c>
    </row>
    <row r="707" hidden="1">
      <c r="A707" s="58" t="s">
        <v>78</v>
      </c>
      <c r="B707" s="58" t="s">
        <v>4980</v>
      </c>
      <c r="C707" s="28"/>
      <c r="D707" s="28"/>
      <c r="E707" s="28"/>
      <c r="F707" s="161">
        <v>102.0</v>
      </c>
      <c r="G707" s="152" t="str">
        <f>IFERROR(__xludf.DUMMYFUNCTION("TRIM(REGEXREPLACE(C707, ""[0-9]+[a-f]?\."", """"))"),"")</f>
        <v/>
      </c>
      <c r="H707" s="152" t="str">
        <f>IFERROR(__xludf.DUMMYFUNCTION("TRIM(REGEXREPLACE(D707, ""[0-9]+[a-f]?\."", """"))"),"")</f>
        <v/>
      </c>
      <c r="I707" s="152" t="str">
        <f>IFERROR(__xludf.DUMMYFUNCTION("TRIM(REGEXREPLACE(E707, ""[0-9]+[a-f]?\."", """"))"),"")</f>
        <v/>
      </c>
      <c r="J707" s="152" t="str">
        <f t="shared" ref="J707:L707" si="66">$F707 &amp; ". " &amp;G707</f>
        <v>102. </v>
      </c>
      <c r="K707" s="152" t="str">
        <f t="shared" si="66"/>
        <v>102. </v>
      </c>
      <c r="L707" s="152" t="str">
        <f t="shared" si="66"/>
        <v>102. </v>
      </c>
    </row>
    <row r="708" hidden="1">
      <c r="A708" s="65" t="s">
        <v>134</v>
      </c>
      <c r="B708" s="66" t="s">
        <v>4984</v>
      </c>
      <c r="C708" s="28"/>
      <c r="D708" s="28"/>
      <c r="E708" s="28"/>
      <c r="F708" s="161">
        <v>103.0</v>
      </c>
      <c r="G708" s="152" t="str">
        <f>IFERROR(__xludf.DUMMYFUNCTION("TRIM(REGEXREPLACE(C708, ""[0-9]+[a-f]?\."", """"))"),"")</f>
        <v/>
      </c>
      <c r="H708" s="152" t="str">
        <f>IFERROR(__xludf.DUMMYFUNCTION("TRIM(REGEXREPLACE(D708, ""[0-9]+[a-f]?\."", """"))"),"")</f>
        <v/>
      </c>
      <c r="I708" s="152" t="str">
        <f>IFERROR(__xludf.DUMMYFUNCTION("TRIM(REGEXREPLACE(E708, ""[0-9]+[a-f]?\."", """"))"),"")</f>
        <v/>
      </c>
      <c r="J708" s="152" t="str">
        <f t="shared" ref="J708:L708" si="67">$F708 &amp; ". " &amp;G708</f>
        <v>103. </v>
      </c>
      <c r="K708" s="152" t="str">
        <f t="shared" si="67"/>
        <v>103. </v>
      </c>
      <c r="L708" s="152" t="str">
        <f t="shared" si="67"/>
        <v>103. </v>
      </c>
    </row>
    <row r="709">
      <c r="A709" s="68" t="s">
        <v>2625</v>
      </c>
      <c r="B709" s="218" t="s">
        <v>4986</v>
      </c>
      <c r="C709" s="28" t="s">
        <v>4988</v>
      </c>
      <c r="D709" s="28" t="s">
        <v>4989</v>
      </c>
      <c r="E709" s="28" t="s">
        <v>4990</v>
      </c>
      <c r="F709" s="161">
        <v>243.0</v>
      </c>
      <c r="G709" s="152" t="str">
        <f>IFERROR(__xludf.DUMMYFUNCTION("TRIM(REGEXREPLACE(C709, ""[0-9]+[a-f]?\."", """"))"),"Since ${period}, was there ever a time when you planned to migrate but then had to cancel their plans?")</f>
        <v>Since ${period}, was there ever a time when you planned to migrate but then had to cancel their plans?</v>
      </c>
      <c r="H709" s="152" t="str">
        <f>IFERROR(__xludf.DUMMYFUNCTION("TRIM(REGEXREPLACE(D709, ""[0-9]+[a-f]?\."", """"))"),"Depuis cette ${period_french}, y a-t-il déjà eu un moment où tu avait prévu de migrer mais a ensuite dû annuler ses projets ?")</f>
        <v>Depuis cette ${period_french}, y a-t-il déjà eu un moment où tu avait prévu de migrer mais a ensuite dû annuler ses projets ?</v>
      </c>
      <c r="I709" s="152" t="str">
        <f>IFERROR(__xludf.DUMMYFUNCTION("TRIM(REGEXREPLACE(E709, ""[0-9]+[a-f]?\."", """"))"),"${period_hausa}, ko akwai lokacin da ka shirya zuwa biɗa amma ka fasa?")</f>
        <v>${period_hausa}, ko akwai lokacin da ka shirya zuwa biɗa amma ka fasa?</v>
      </c>
      <c r="J709" s="152" t="s">
        <v>4991</v>
      </c>
      <c r="K709" s="152" t="s">
        <v>4992</v>
      </c>
      <c r="L709" s="152" t="s">
        <v>4993</v>
      </c>
      <c r="M709" s="152"/>
    </row>
    <row r="710">
      <c r="A710" s="68" t="s">
        <v>4994</v>
      </c>
      <c r="B710" s="218" t="s">
        <v>4995</v>
      </c>
      <c r="C710" s="28" t="s">
        <v>4996</v>
      </c>
      <c r="D710" s="28" t="s">
        <v>4997</v>
      </c>
      <c r="E710" s="28" t="s">
        <v>4998</v>
      </c>
      <c r="F710" s="161">
        <v>244.0</v>
      </c>
      <c r="G710" s="152" t="str">
        <f>IFERROR(__xludf.DUMMYFUNCTION("TRIM(REGEXREPLACE(C710, ""[0-9]+[a-f]?\."", """"))"),"Where did they plan to migrate?")</f>
        <v>Where did they plan to migrate?</v>
      </c>
      <c r="H710" s="152" t="str">
        <f>IFERROR(__xludf.DUMMYFUNCTION("TRIM(REGEXREPLACE(D710, ""[0-9]+[a-f]?\."", """"))"),"Où envisageait-il de migrer ?")</f>
        <v>Où envisageait-il de migrer ?</v>
      </c>
      <c r="I710" s="152" t="str">
        <f>IFERROR(__xludf.DUMMYFUNCTION("TRIM(REGEXREPLACE(E710, ""[0-9]+[a-f]?\."", """"))"),"Ina ka yi niyar zuwa?")</f>
        <v>Ina ka yi niyar zuwa?</v>
      </c>
      <c r="J710" s="152" t="s">
        <v>5000</v>
      </c>
      <c r="K710" s="152" t="s">
        <v>5002</v>
      </c>
      <c r="L710" s="152" t="s">
        <v>5003</v>
      </c>
      <c r="M710" s="152"/>
    </row>
    <row r="711">
      <c r="A711" s="179" t="s">
        <v>246</v>
      </c>
      <c r="B711" s="228" t="s">
        <v>5005</v>
      </c>
      <c r="C711" s="28" t="s">
        <v>5006</v>
      </c>
      <c r="D711" s="28" t="s">
        <v>5007</v>
      </c>
      <c r="E711" s="28" t="s">
        <v>5008</v>
      </c>
      <c r="F711" s="161">
        <v>245.0</v>
      </c>
      <c r="G711" s="152" t="str">
        <f>IFERROR(__xludf.DUMMYFUNCTION("TRIM(REGEXREPLACE(C711, ""[0-9]+[a-f]?\."", """"))"),"Specify other")</f>
        <v>Specify other</v>
      </c>
      <c r="H711" s="152" t="str">
        <f>IFERROR(__xludf.DUMMYFUNCTION("TRIM(REGEXREPLACE(D711, ""[0-9]+[a-f]?\."", """"))"),"Autre à préciser")</f>
        <v>Autre à préciser</v>
      </c>
      <c r="I711" s="152" t="str">
        <f>IFERROR(__xludf.DUMMYFUNCTION("TRIM(REGEXREPLACE(E711, ""[0-9]+[a-f]?\."", """"))"),"Wani abu daban a Bayyana")</f>
        <v>Wani abu daban a Bayyana</v>
      </c>
      <c r="J711" s="152" t="s">
        <v>5009</v>
      </c>
      <c r="K711" s="152" t="s">
        <v>5010</v>
      </c>
      <c r="L711" s="152" t="s">
        <v>5011</v>
      </c>
    </row>
    <row r="712" hidden="1">
      <c r="A712" s="174" t="s">
        <v>698</v>
      </c>
      <c r="B712" s="215" t="s">
        <v>5012</v>
      </c>
      <c r="C712" s="28" t="s">
        <v>5013</v>
      </c>
      <c r="D712" s="28"/>
      <c r="E712" s="28"/>
      <c r="F712" s="161">
        <v>107.0</v>
      </c>
      <c r="G712" s="152" t="str">
        <f>IFERROR(__xludf.DUMMYFUNCTION("TRIM(REGEXREPLACE(C712, ""[0-9]+[a-f]?\."", """"))"),"Failed Migrations")</f>
        <v>Failed Migrations</v>
      </c>
      <c r="H712" s="152" t="str">
        <f>IFERROR(__xludf.DUMMYFUNCTION("TRIM(REGEXREPLACE(D712, ""[0-9]+[a-f]?\."", """"))"),"")</f>
        <v/>
      </c>
      <c r="I712" s="152" t="str">
        <f>IFERROR(__xludf.DUMMYFUNCTION("TRIM(REGEXREPLACE(E712, ""[0-9]+[a-f]?\."", """"))"),"")</f>
        <v/>
      </c>
      <c r="J712" s="152" t="str">
        <f t="shared" ref="J712:L712" si="68">$F712 &amp; ". " &amp;G712</f>
        <v>107. Failed Migrations</v>
      </c>
      <c r="K712" s="152" t="str">
        <f t="shared" si="68"/>
        <v>107. </v>
      </c>
      <c r="L712" s="152" t="str">
        <f t="shared" si="68"/>
        <v>107. </v>
      </c>
    </row>
    <row r="713" hidden="1">
      <c r="A713" s="90" t="s">
        <v>78</v>
      </c>
      <c r="B713" s="216" t="s">
        <v>5017</v>
      </c>
      <c r="C713" s="28"/>
      <c r="D713" s="28"/>
      <c r="E713" s="28"/>
      <c r="F713" s="161">
        <v>399.0</v>
      </c>
      <c r="G713" s="152" t="str">
        <f>IFERROR(__xludf.DUMMYFUNCTION("TRIM(REGEXREPLACE(C713, ""[0-9]+[a-f]?\."", """"))"),"")</f>
        <v/>
      </c>
      <c r="H713" s="152" t="str">
        <f>IFERROR(__xludf.DUMMYFUNCTION("TRIM(REGEXREPLACE(D713, ""[0-9]+[a-f]?\."", """"))"),"")</f>
        <v/>
      </c>
      <c r="I713" s="152" t="str">
        <f>IFERROR(__xludf.DUMMYFUNCTION("TRIM(REGEXREPLACE(E713, ""[0-9]+[a-f]?\."", """"))"),"")</f>
        <v/>
      </c>
      <c r="J713" s="152" t="s">
        <v>5018</v>
      </c>
      <c r="K713" s="152" t="s">
        <v>5019</v>
      </c>
      <c r="L713" s="152" t="s">
        <v>5020</v>
      </c>
      <c r="M713" s="152"/>
    </row>
    <row r="714" hidden="1">
      <c r="A714" s="90" t="s">
        <v>78</v>
      </c>
      <c r="B714" s="216" t="s">
        <v>5021</v>
      </c>
      <c r="C714" s="28"/>
      <c r="D714" s="28"/>
      <c r="E714" s="28"/>
      <c r="F714" s="161">
        <v>410.0</v>
      </c>
      <c r="G714" s="152" t="str">
        <f>IFERROR(__xludf.DUMMYFUNCTION("TRIM(REGEXREPLACE(C714, ""[0-9]+[a-f]?\."", """"))"),"")</f>
        <v/>
      </c>
      <c r="H714" s="152" t="str">
        <f>IFERROR(__xludf.DUMMYFUNCTION("TRIM(REGEXREPLACE(D714, ""[0-9]+[a-f]?\."", """"))"),"")</f>
        <v/>
      </c>
      <c r="I714" s="152" t="str">
        <f>IFERROR(__xludf.DUMMYFUNCTION("TRIM(REGEXREPLACE(E714, ""[0-9]+[a-f]?\."", """"))"),"")</f>
        <v/>
      </c>
      <c r="J714" s="152" t="s">
        <v>5022</v>
      </c>
      <c r="K714" s="152" t="s">
        <v>5023</v>
      </c>
      <c r="L714" s="152" t="s">
        <v>5024</v>
      </c>
      <c r="M714" s="152"/>
    </row>
    <row r="715" hidden="1">
      <c r="A715" s="90" t="s">
        <v>78</v>
      </c>
      <c r="B715" s="216" t="s">
        <v>5025</v>
      </c>
      <c r="C715" s="28" t="s">
        <v>5026</v>
      </c>
      <c r="D715" s="28"/>
      <c r="E715" s="28"/>
      <c r="F715" s="161">
        <v>411.0</v>
      </c>
      <c r="G715" s="152" t="str">
        <f>IFERROR(__xludf.DUMMYFUNCTION("TRIM(REGEXREPLACE(C715, ""[0-9]+[a-f]?\."", """"))"),"Country Name")</f>
        <v>Country Name</v>
      </c>
      <c r="H715" s="152" t="str">
        <f>IFERROR(__xludf.DUMMYFUNCTION("TRIM(REGEXREPLACE(D715, ""[0-9]+[a-f]?\."", """"))"),"")</f>
        <v/>
      </c>
      <c r="I715" s="152" t="str">
        <f>IFERROR(__xludf.DUMMYFUNCTION("TRIM(REGEXREPLACE(E715, ""[0-9]+[a-f]?\."", """"))"),"")</f>
        <v/>
      </c>
      <c r="J715" s="152" t="s">
        <v>5027</v>
      </c>
      <c r="K715" s="152" t="s">
        <v>5028</v>
      </c>
      <c r="L715" s="152" t="s">
        <v>5029</v>
      </c>
      <c r="M715" s="152"/>
    </row>
    <row r="716">
      <c r="A716" s="68" t="s">
        <v>5030</v>
      </c>
      <c r="B716" s="218" t="s">
        <v>5031</v>
      </c>
      <c r="C716" s="28" t="s">
        <v>5032</v>
      </c>
      <c r="D716" s="28" t="s">
        <v>5033</v>
      </c>
      <c r="E716" s="28" t="s">
        <v>5034</v>
      </c>
      <c r="F716" s="161">
        <v>246.0</v>
      </c>
      <c r="G716" s="152" t="str">
        <f>IFERROR(__xludf.DUMMYFUNCTION("TRIM(REGEXREPLACE(C716, ""[0-9]+[a-f]?\."", """"))"),"In ${pm_failed_country}, what was the name of the city or town that you planned to move to?")</f>
        <v>In ${pm_failed_country}, what was the name of the city or town that you planned to move to?</v>
      </c>
      <c r="H716" s="152" t="str">
        <f>IFERROR(__xludf.DUMMYFUNCTION("TRIM(REGEXREPLACE(D716, ""[0-9]+[a-f]?\."", """"))"),"Dans ${pm_failed_country}, quel était le nom de la ville ou du village dans lequel vous envisagez d'aller ?")</f>
        <v>Dans ${pm_failed_country}, quel était le nom de la ville ou du village dans lequel vous envisagez d'aller ?</v>
      </c>
      <c r="I716" s="152" t="str">
        <f>IFERROR(__xludf.DUMMYFUNCTION("TRIM(REGEXREPLACE(E716, ""[0-9]+[a-f]?\."", """"))"),"A cikin ${pm_failed_country}, menene sunan birni ko garin da ka yi niyyar zuwa?")</f>
        <v>A cikin ${pm_failed_country}, menene sunan birni ko garin da ka yi niyyar zuwa?</v>
      </c>
      <c r="J716" s="152" t="s">
        <v>5035</v>
      </c>
      <c r="K716" s="152" t="s">
        <v>5036</v>
      </c>
      <c r="L716" s="152" t="s">
        <v>5037</v>
      </c>
    </row>
    <row r="717">
      <c r="A717" s="179" t="s">
        <v>246</v>
      </c>
      <c r="B717" s="228" t="s">
        <v>5038</v>
      </c>
      <c r="C717" s="28" t="s">
        <v>5039</v>
      </c>
      <c r="D717" s="28" t="s">
        <v>5040</v>
      </c>
      <c r="E717" s="28" t="s">
        <v>5041</v>
      </c>
      <c r="F717" s="161">
        <v>247.0</v>
      </c>
      <c r="G717" s="152" t="str">
        <f>IFERROR(__xludf.DUMMYFUNCTION("TRIM(REGEXREPLACE(C717, ""[0-9]+[a-f]?\."", """"))"),"Specify other")</f>
        <v>Specify other</v>
      </c>
      <c r="H717" s="152" t="str">
        <f>IFERROR(__xludf.DUMMYFUNCTION("TRIM(REGEXREPLACE(D717, ""[0-9]+[a-f]?\."", """"))"),"Autre à préciser")</f>
        <v>Autre à préciser</v>
      </c>
      <c r="I717" s="152" t="str">
        <f>IFERROR(__xludf.DUMMYFUNCTION("TRIM(REGEXREPLACE(E717, ""[0-9]+[a-f]?\."", """"))"),"Wani daban a Bayyana")</f>
        <v>Wani daban a Bayyana</v>
      </c>
      <c r="J717" s="152" t="s">
        <v>5045</v>
      </c>
      <c r="K717" s="152" t="s">
        <v>5048</v>
      </c>
      <c r="L717" s="152" t="s">
        <v>5049</v>
      </c>
    </row>
    <row r="718">
      <c r="A718" s="68" t="s">
        <v>5050</v>
      </c>
      <c r="B718" s="218" t="s">
        <v>5051</v>
      </c>
      <c r="C718" s="28" t="s">
        <v>5052</v>
      </c>
      <c r="D718" s="28" t="s">
        <v>5053</v>
      </c>
      <c r="E718" s="28" t="s">
        <v>5054</v>
      </c>
      <c r="F718" s="161">
        <v>248.0</v>
      </c>
      <c r="G718" s="152" t="str">
        <f>IFERROR(__xludf.DUMMYFUNCTION("TRIM(REGEXREPLACE(C718, ""[0-9]+[a-f]?\."", """"))"),"In ${pm_failed_country}, what was the name of the region that you planned to move to?")</f>
        <v>In ${pm_failed_country}, what was the name of the region that you planned to move to?</v>
      </c>
      <c r="H718" s="152" t="str">
        <f>IFERROR(__xludf.DUMMYFUNCTION("TRIM(REGEXREPLACE(D718, ""[0-9]+[a-f]?\."", """"))"),"En ${pm_failed_country}, quel était le nom de la région où vous comptiez qller en voyage ?")</f>
        <v>En ${pm_failed_country}, quel était le nom de la région où vous comptiez qller en voyage ?</v>
      </c>
      <c r="I718" s="152" t="str">
        <f>IFERROR(__xludf.DUMMYFUNCTION("TRIM(REGEXREPLACE(E718, ""[0-9]+[a-f]?\."", """"))"),"A ${pm_failed_country}, menene sunan yankin da kuka yi niyyar zuwa balaguro?")</f>
        <v>A ${pm_failed_country}, menene sunan yankin da kuka yi niyyar zuwa balaguro?</v>
      </c>
      <c r="J718" s="152" t="s">
        <v>5055</v>
      </c>
      <c r="K718" s="152" t="s">
        <v>5056</v>
      </c>
      <c r="L718" s="152" t="s">
        <v>5057</v>
      </c>
    </row>
    <row r="719">
      <c r="A719" s="179" t="s">
        <v>246</v>
      </c>
      <c r="B719" s="228" t="s">
        <v>5058</v>
      </c>
      <c r="C719" s="28" t="s">
        <v>5059</v>
      </c>
      <c r="D719" s="28" t="s">
        <v>5060</v>
      </c>
      <c r="E719" s="28" t="s">
        <v>5061</v>
      </c>
      <c r="F719" s="161">
        <v>249.0</v>
      </c>
      <c r="G719" s="152" t="str">
        <f>IFERROR(__xludf.DUMMYFUNCTION("TRIM(REGEXREPLACE(C719, ""[0-9]+[a-f]?\."", """"))"),"Specify other")</f>
        <v>Specify other</v>
      </c>
      <c r="H719" s="152" t="str">
        <f>IFERROR(__xludf.DUMMYFUNCTION("TRIM(REGEXREPLACE(D719, ""[0-9]+[a-f]?\."", """"))"),"Autre à préciser")</f>
        <v>Autre à préciser</v>
      </c>
      <c r="I719" s="152" t="str">
        <f>IFERROR(__xludf.DUMMYFUNCTION("TRIM(REGEXREPLACE(E719, ""[0-9]+[a-f]?\."", """"))"),"Wani daban a Bayyana")</f>
        <v>Wani daban a Bayyana</v>
      </c>
      <c r="J719" s="152" t="s">
        <v>5064</v>
      </c>
      <c r="K719" s="152" t="s">
        <v>5065</v>
      </c>
      <c r="L719" s="152" t="s">
        <v>5066</v>
      </c>
    </row>
    <row r="720">
      <c r="A720" s="170" t="s">
        <v>263</v>
      </c>
      <c r="B720" s="271" t="s">
        <v>5067</v>
      </c>
      <c r="C720" s="28" t="s">
        <v>5068</v>
      </c>
      <c r="D720" s="28" t="s">
        <v>5069</v>
      </c>
      <c r="E720" s="28" t="s">
        <v>5070</v>
      </c>
      <c r="F720" s="161">
        <v>250.0</v>
      </c>
      <c r="G720" s="152" t="str">
        <f>IFERROR(__xludf.DUMMYFUNCTION("TRIM(REGEXREPLACE(C720, ""[0-9]+[a-f]?\."", """"))"),"How many times did you plan to migrate to ${pm_failed_country} and fail?")</f>
        <v>How many times did you plan to migrate to ${pm_failed_country} and fail?</v>
      </c>
      <c r="H720" s="152" t="str">
        <f>IFERROR(__xludf.DUMMYFUNCTION("TRIM(REGEXREPLACE(D720, ""[0-9]+[a-f]?\."", """"))"),"Combien de fois avez-vous prévu de migrer vers ${pm_failed_country} et avez-vous échoué ?")</f>
        <v>Combien de fois avez-vous prévu de migrer vers ${pm_failed_country} et avez-vous échoué ?</v>
      </c>
      <c r="I720" s="152" t="str">
        <f>IFERROR(__xludf.DUMMYFUNCTION("TRIM(REGEXREPLACE(E720, ""[0-9]+[a-f]?\."", """"))"),"Sau nawa ka shirya zuwa biɗa ${pm_failed_country} kuma ka kasa?")</f>
        <v>Sau nawa ka shirya zuwa biɗa ${pm_failed_country} kuma ka kasa?</v>
      </c>
      <c r="J720" s="152" t="s">
        <v>5071</v>
      </c>
      <c r="K720" s="152" t="s">
        <v>5072</v>
      </c>
      <c r="L720" s="152" t="s">
        <v>5073</v>
      </c>
    </row>
    <row r="721">
      <c r="A721" s="68" t="s">
        <v>5074</v>
      </c>
      <c r="B721" s="218" t="s">
        <v>5075</v>
      </c>
      <c r="C721" s="28" t="s">
        <v>5076</v>
      </c>
      <c r="D721" s="28" t="s">
        <v>5077</v>
      </c>
      <c r="E721" s="28" t="s">
        <v>5078</v>
      </c>
      <c r="F721" s="161">
        <v>251.0</v>
      </c>
      <c r="G721" s="152" t="str">
        <f>IFERROR(__xludf.DUMMYFUNCTION("TRIM(REGEXREPLACE(C721, ""[0-9]+[a-f]?\."", """"))"),"Why did you change your plans?")</f>
        <v>Why did you change your plans?</v>
      </c>
      <c r="H721" s="152" t="str">
        <f>IFERROR(__xludf.DUMMYFUNCTION("TRIM(REGEXREPLACE(D721, ""[0-9]+[a-f]?\."", """"))"),"Pourquoi avez-vous changé vos plans ?")</f>
        <v>Pourquoi avez-vous changé vos plans ?</v>
      </c>
      <c r="I721" s="152" t="str">
        <f>IFERROR(__xludf.DUMMYFUNCTION("TRIM(REGEXREPLACE(E721, ""[0-9]+[a-f]?\."", """"))"),"Me ya sa ka canza shirinka?")</f>
        <v>Me ya sa ka canza shirinka?</v>
      </c>
      <c r="J721" s="152" t="s">
        <v>5081</v>
      </c>
      <c r="K721" s="152" t="s">
        <v>5082</v>
      </c>
      <c r="L721" s="152" t="s">
        <v>5083</v>
      </c>
    </row>
    <row r="722">
      <c r="A722" s="179" t="s">
        <v>246</v>
      </c>
      <c r="B722" s="228" t="s">
        <v>5084</v>
      </c>
      <c r="C722" s="28" t="s">
        <v>5085</v>
      </c>
      <c r="D722" s="28" t="s">
        <v>5086</v>
      </c>
      <c r="E722" s="28" t="s">
        <v>5087</v>
      </c>
      <c r="F722" s="161">
        <v>252.0</v>
      </c>
      <c r="G722" s="152" t="str">
        <f>IFERROR(__xludf.DUMMYFUNCTION("TRIM(REGEXREPLACE(C722, ""[0-9]+[a-f]?\."", """"))"),"Specify other reason")</f>
        <v>Specify other reason</v>
      </c>
      <c r="H722" s="152" t="str">
        <f>IFERROR(__xludf.DUMMYFUNCTION("TRIM(REGEXREPLACE(D722, ""[0-9]+[a-f]?\."", """"))"),"Précisez une autre raison")</f>
        <v>Précisez une autre raison</v>
      </c>
      <c r="I722" s="152" t="str">
        <f>IFERROR(__xludf.DUMMYFUNCTION("TRIM(REGEXREPLACE(E722, ""[0-9]+[a-f]?\."", """"))"),"Baiyana wani dalili daban")</f>
        <v>Baiyana wani dalili daban</v>
      </c>
      <c r="J722" s="152" t="s">
        <v>5088</v>
      </c>
      <c r="K722" s="152" t="s">
        <v>5089</v>
      </c>
      <c r="L722" s="152" t="s">
        <v>5090</v>
      </c>
    </row>
    <row r="723" hidden="1">
      <c r="A723" s="174" t="s">
        <v>1015</v>
      </c>
      <c r="B723" s="275" t="s">
        <v>5012</v>
      </c>
      <c r="C723" s="28"/>
      <c r="D723" s="28"/>
      <c r="E723" s="28"/>
      <c r="F723" s="161">
        <v>403.0</v>
      </c>
      <c r="G723" s="152" t="str">
        <f>IFERROR(__xludf.DUMMYFUNCTION("TRIM(REGEXREPLACE(C723, ""[0-9]+[a-f]?\."", """"))"),"")</f>
        <v/>
      </c>
      <c r="H723" s="152" t="str">
        <f>IFERROR(__xludf.DUMMYFUNCTION("TRIM(REGEXREPLACE(D723, ""[0-9]+[a-f]?\."", """"))"),"")</f>
        <v/>
      </c>
      <c r="I723" s="152" t="str">
        <f>IFERROR(__xludf.DUMMYFUNCTION("TRIM(REGEXREPLACE(E723, ""[0-9]+[a-f]?\."", """"))"),"")</f>
        <v/>
      </c>
      <c r="J723" s="152" t="s">
        <v>5094</v>
      </c>
      <c r="K723" s="152" t="s">
        <v>5095</v>
      </c>
      <c r="L723" s="152" t="s">
        <v>5096</v>
      </c>
    </row>
    <row r="724" hidden="1">
      <c r="A724" s="65" t="s">
        <v>134</v>
      </c>
      <c r="B724" s="66" t="s">
        <v>5097</v>
      </c>
      <c r="C724" s="28"/>
      <c r="D724" s="28"/>
      <c r="E724" s="28"/>
      <c r="F724" s="161">
        <v>404.0</v>
      </c>
      <c r="G724" s="152" t="str">
        <f>IFERROR(__xludf.DUMMYFUNCTION("TRIM(REGEXREPLACE(C724, ""[0-9]+[a-f]?\."", """"))"),"")</f>
        <v/>
      </c>
      <c r="H724" s="152" t="str">
        <f>IFERROR(__xludf.DUMMYFUNCTION("TRIM(REGEXREPLACE(D724, ""[0-9]+[a-f]?\."", """"))"),"")</f>
        <v/>
      </c>
      <c r="I724" s="152" t="str">
        <f>IFERROR(__xludf.DUMMYFUNCTION("TRIM(REGEXREPLACE(E724, ""[0-9]+[a-f]?\."", """"))"),"")</f>
        <v/>
      </c>
      <c r="J724" s="152" t="s">
        <v>5098</v>
      </c>
      <c r="K724" s="152" t="s">
        <v>5099</v>
      </c>
      <c r="L724" s="152" t="s">
        <v>5100</v>
      </c>
    </row>
    <row r="725" hidden="1">
      <c r="A725" s="58" t="s">
        <v>78</v>
      </c>
      <c r="B725" s="58" t="s">
        <v>5101</v>
      </c>
      <c r="C725" s="28"/>
      <c r="D725" s="28"/>
      <c r="E725" s="28"/>
      <c r="F725" s="161">
        <v>415.0</v>
      </c>
      <c r="G725" s="152" t="str">
        <f>IFERROR(__xludf.DUMMYFUNCTION("TRIM(REGEXREPLACE(C725, ""[0-9]+[a-f]?\."", """"))"),"")</f>
        <v/>
      </c>
      <c r="H725" s="152" t="str">
        <f>IFERROR(__xludf.DUMMYFUNCTION("TRIM(REGEXREPLACE(D725, ""[0-9]+[a-f]?\."", """"))"),"")</f>
        <v/>
      </c>
      <c r="I725" s="152" t="str">
        <f>IFERROR(__xludf.DUMMYFUNCTION("TRIM(REGEXREPLACE(E725, ""[0-9]+[a-f]?\."", """"))"),"")</f>
        <v/>
      </c>
      <c r="J725" s="152" t="s">
        <v>5102</v>
      </c>
      <c r="K725" s="152" t="s">
        <v>5104</v>
      </c>
      <c r="L725" s="152" t="s">
        <v>5105</v>
      </c>
      <c r="M725" s="152"/>
    </row>
    <row r="726" hidden="1">
      <c r="A726" s="65" t="s">
        <v>134</v>
      </c>
      <c r="B726" s="66" t="s">
        <v>5107</v>
      </c>
      <c r="C726" s="28"/>
      <c r="D726" s="28"/>
      <c r="E726" s="28"/>
      <c r="F726" s="161">
        <v>416.0</v>
      </c>
      <c r="G726" s="152" t="str">
        <f>IFERROR(__xludf.DUMMYFUNCTION("TRIM(REGEXREPLACE(C726, ""[0-9]+[a-f]?\."", """"))"),"")</f>
        <v/>
      </c>
      <c r="H726" s="152" t="str">
        <f>IFERROR(__xludf.DUMMYFUNCTION("TRIM(REGEXREPLACE(D726, ""[0-9]+[a-f]?\."", """"))"),"")</f>
        <v/>
      </c>
      <c r="I726" s="152" t="str">
        <f>IFERROR(__xludf.DUMMYFUNCTION("TRIM(REGEXREPLACE(E726, ""[0-9]+[a-f]?\."", """"))"),"")</f>
        <v/>
      </c>
      <c r="J726" s="152" t="s">
        <v>5108</v>
      </c>
      <c r="K726" s="152" t="s">
        <v>5109</v>
      </c>
      <c r="L726" s="152" t="s">
        <v>5110</v>
      </c>
    </row>
    <row r="727" hidden="1">
      <c r="A727" s="58" t="s">
        <v>78</v>
      </c>
      <c r="B727" s="58" t="s">
        <v>5111</v>
      </c>
      <c r="C727" s="28"/>
      <c r="D727" s="28"/>
      <c r="E727" s="28"/>
      <c r="F727" s="161">
        <v>405.0</v>
      </c>
      <c r="G727" s="152" t="str">
        <f>IFERROR(__xludf.DUMMYFUNCTION("TRIM(REGEXREPLACE(C727, ""[0-9]+[a-f]?\."", """"))"),"")</f>
        <v/>
      </c>
      <c r="H727" s="152" t="str">
        <f>IFERROR(__xludf.DUMMYFUNCTION("TRIM(REGEXREPLACE(D727, ""[0-9]+[a-f]?\."", """"))"),"")</f>
        <v/>
      </c>
      <c r="I727" s="152" t="str">
        <f>IFERROR(__xludf.DUMMYFUNCTION("TRIM(REGEXREPLACE(E727, ""[0-9]+[a-f]?\."", """"))"),"")</f>
        <v/>
      </c>
      <c r="J727" s="152" t="s">
        <v>5112</v>
      </c>
      <c r="K727" s="152" t="s">
        <v>5113</v>
      </c>
      <c r="L727" s="152" t="s">
        <v>5115</v>
      </c>
    </row>
    <row r="728" hidden="1">
      <c r="A728" s="166"/>
      <c r="B728" s="167"/>
      <c r="C728" s="28"/>
      <c r="D728" s="28"/>
      <c r="E728" s="28"/>
      <c r="F728" s="161">
        <v>406.0</v>
      </c>
      <c r="G728" s="152" t="str">
        <f>IFERROR(__xludf.DUMMYFUNCTION("TRIM(REGEXREPLACE(C728, ""[0-9]+[a-f]?\."", """"))"),"")</f>
        <v/>
      </c>
      <c r="H728" s="152" t="str">
        <f>IFERROR(__xludf.DUMMYFUNCTION("TRIM(REGEXREPLACE(D728, ""[0-9]+[a-f]?\."", """"))"),"")</f>
        <v/>
      </c>
      <c r="I728" s="152" t="str">
        <f>IFERROR(__xludf.DUMMYFUNCTION("TRIM(REGEXREPLACE(E728, ""[0-9]+[a-f]?\."", """"))"),"")</f>
        <v/>
      </c>
      <c r="J728" s="152" t="s">
        <v>5118</v>
      </c>
      <c r="K728" s="152" t="s">
        <v>5119</v>
      </c>
      <c r="L728" s="152" t="s">
        <v>5120</v>
      </c>
    </row>
    <row r="729" hidden="1">
      <c r="A729" s="65" t="s">
        <v>134</v>
      </c>
      <c r="B729" s="66" t="s">
        <v>5121</v>
      </c>
      <c r="C729" s="28"/>
      <c r="D729" s="28"/>
      <c r="E729" s="28"/>
      <c r="F729" s="161">
        <v>407.0</v>
      </c>
      <c r="G729" s="152" t="str">
        <f>IFERROR(__xludf.DUMMYFUNCTION("TRIM(REGEXREPLACE(C729, ""[0-9]+[a-f]?\."", """"))"),"")</f>
        <v/>
      </c>
      <c r="H729" s="152" t="str">
        <f>IFERROR(__xludf.DUMMYFUNCTION("TRIM(REGEXREPLACE(D729, ""[0-9]+[a-f]?\."", """"))"),"")</f>
        <v/>
      </c>
      <c r="I729" s="152" t="str">
        <f>IFERROR(__xludf.DUMMYFUNCTION("TRIM(REGEXREPLACE(E729, ""[0-9]+[a-f]?\."", """"))"),"")</f>
        <v/>
      </c>
      <c r="J729" s="152" t="s">
        <v>5122</v>
      </c>
      <c r="K729" s="152" t="s">
        <v>5124</v>
      </c>
      <c r="L729" s="152" t="s">
        <v>5125</v>
      </c>
      <c r="M729" s="152"/>
    </row>
    <row r="730">
      <c r="A730" s="166" t="s">
        <v>41</v>
      </c>
      <c r="B730" s="167" t="s">
        <v>5127</v>
      </c>
      <c r="C730" s="28" t="s">
        <v>5128</v>
      </c>
      <c r="D730" s="28" t="s">
        <v>5129</v>
      </c>
      <c r="E730" s="28" t="s">
        <v>5130</v>
      </c>
      <c r="F730" s="161">
        <v>253.0</v>
      </c>
      <c r="G730" s="152" t="str">
        <f>IFERROR(__xludf.DUMMYFUNCTION("TRIM(REGEXREPLACE(C730, ""[0-9]+[a-f]?\."", """"))"),"Now I will ask you about plans you may have for your future")</f>
        <v>Now I will ask you about plans you may have for your future</v>
      </c>
      <c r="H730" s="152" t="str">
        <f>IFERROR(__xludf.DUMMYFUNCTION("TRIM(REGEXREPLACE(D730, ""[0-9]+[a-f]?\."", """"))"),"Maintenant, je vais vous poser des questions sur les plans que vous pourriez avoir pour votre avenir")</f>
        <v>Maintenant, je vais vous poser des questions sur les plans que vous pourriez avoir pour votre avenir</v>
      </c>
      <c r="I730" s="152" t="str">
        <f>IFERROR(__xludf.DUMMYFUNCTION("TRIM(REGEXREPLACE(E730, ""[0-9]+[a-f]?\."", """"))"),"Yanzu zan tambaye ku game da tsare-tsaren da za ku iya yi don gaba")</f>
        <v>Yanzu zan tambaye ku game da tsare-tsaren da za ku iya yi don gaba</v>
      </c>
      <c r="J730" s="152" t="s">
        <v>5131</v>
      </c>
      <c r="K730" s="152" t="s">
        <v>5132</v>
      </c>
      <c r="L730" s="152" t="s">
        <v>5134</v>
      </c>
      <c r="M730" s="152"/>
    </row>
    <row r="731">
      <c r="A731" s="170" t="s">
        <v>263</v>
      </c>
      <c r="B731" s="171" t="s">
        <v>5135</v>
      </c>
      <c r="C731" s="28" t="s">
        <v>5136</v>
      </c>
      <c r="D731" s="28" t="s">
        <v>5137</v>
      </c>
      <c r="E731" s="28" t="s">
        <v>5138</v>
      </c>
      <c r="F731" s="161">
        <v>254.0</v>
      </c>
      <c r="G731" s="152" t="str">
        <f>IFERROR(__xludf.DUMMYFUNCTION("TRIM(REGEXREPLACE(C731, ""[0-9]+[a-f]?\."", """"))"),"Counting from today how long do you plan to spend in ${pm_current_location} in the next 6 months (in months)?")</f>
        <v>Counting from today how long do you plan to spend in ${pm_current_location} in the next 6 months (in months)?</v>
      </c>
      <c r="H731" s="152" t="str">
        <f>IFERROR(__xludf.DUMMYFUNCTION("TRIM(REGEXREPLACE(D731, ""[0-9]+[a-f]?\."", """"))"),"À partir d'aujourd'hui, combien de temps prévoyez-vous de passer à ${pm_current_location} au cours des 6 prochains mois (en mois) ?")</f>
        <v>À partir d'aujourd'hui, combien de temps prévoyez-vous de passer à ${pm_current_location} au cours des 6 prochains mois (en mois) ?</v>
      </c>
      <c r="I731" s="152" t="str">
        <f>IFERROR(__xludf.DUMMYFUNCTION("TRIM(REGEXREPLACE(E731, ""[0-9]+[a-f]?\."", """"))"),"Lissafa daga yau tsawon wane lokaci kuke shirin zama a ${pm_current_location} a cikin watanni 6 masu zuwa (a cikin watanni)?")</f>
        <v>Lissafa daga yau tsawon wane lokaci kuke shirin zama a ${pm_current_location} a cikin watanni 6 masu zuwa (a cikin watanni)?</v>
      </c>
      <c r="J731" s="152" t="s">
        <v>5141</v>
      </c>
      <c r="K731" s="152" t="s">
        <v>5142</v>
      </c>
      <c r="L731" s="152" t="s">
        <v>5143</v>
      </c>
      <c r="M731" s="152"/>
    </row>
    <row r="732">
      <c r="A732" s="68" t="s">
        <v>5144</v>
      </c>
      <c r="B732" s="169" t="s">
        <v>5145</v>
      </c>
      <c r="C732" s="28" t="s">
        <v>5146</v>
      </c>
      <c r="D732" s="28" t="s">
        <v>5147</v>
      </c>
      <c r="E732" s="28" t="s">
        <v>5148</v>
      </c>
      <c r="F732" s="161">
        <v>255.0</v>
      </c>
      <c r="G732" s="152" t="str">
        <f>IFERROR(__xludf.DUMMYFUNCTION("TRIM(REGEXREPLACE(C732, ""[0-9]+[a-f]?\."", """"))"),"What country or countries outside of Niger are you interested in moving to (for at least one month)?")</f>
        <v>What country or countries outside of Niger are you interested in moving to (for at least one month)?</v>
      </c>
      <c r="H732" s="152" t="str">
        <f>IFERROR(__xludf.DUMMYFUNCTION("TRIM(REGEXREPLACE(D732, ""[0-9]+[a-f]?\."", """"))"),"Dans quel(s) pays en dehors du Niger souhaitez-vous vous installer (pour au moins un mois) ?")</f>
        <v>Dans quel(s) pays en dehors du Niger souhaitez-vous vous installer (pour au moins un mois) ?</v>
      </c>
      <c r="I732" s="152" t="str">
        <f>IFERROR(__xludf.DUMMYFUNCTION("TRIM(REGEXREPLACE(E732, ""[0-9]+[a-f]?\."", """"))"),"Wace kasar waje ce kuke sha'awar zuwa (aƙalla wata ɗaya)?")</f>
        <v>Wace kasar waje ce kuke sha'awar zuwa (aƙalla wata ɗaya)?</v>
      </c>
      <c r="J732" s="152" t="s">
        <v>5149</v>
      </c>
      <c r="K732" s="152" t="s">
        <v>5150</v>
      </c>
      <c r="L732" s="152" t="s">
        <v>5151</v>
      </c>
    </row>
    <row r="733">
      <c r="A733" s="179" t="s">
        <v>246</v>
      </c>
      <c r="B733" s="180" t="s">
        <v>5152</v>
      </c>
      <c r="C733" s="28" t="s">
        <v>5153</v>
      </c>
      <c r="D733" s="28" t="s">
        <v>5154</v>
      </c>
      <c r="E733" s="28" t="s">
        <v>5155</v>
      </c>
      <c r="F733" s="161">
        <v>256.0</v>
      </c>
      <c r="G733" s="152" t="str">
        <f>IFERROR(__xludf.DUMMYFUNCTION("TRIM(REGEXREPLACE(C733, ""[0-9]+[a-f]?\."", """"))"),"Enumerator: Enter other country")</f>
        <v>Enumerator: Enter other country</v>
      </c>
      <c r="H733" s="152" t="str">
        <f>IFERROR(__xludf.DUMMYFUNCTION("TRIM(REGEXREPLACE(D733, ""[0-9]+[a-f]?\."", """"))"),"Enquêteur : Entrez un autre pays")</f>
        <v>Enquêteur : Entrez un autre pays</v>
      </c>
      <c r="I733" s="152" t="str">
        <f>IFERROR(__xludf.DUMMYFUNCTION("TRIM(REGEXREPLACE(E733, ""[0-9]+[a-f]?\."", """"))"),"Ɗan bincike: Shigar da wata ƙasa")</f>
        <v>Ɗan bincike: Shigar da wata ƙasa</v>
      </c>
      <c r="J733" s="152" t="s">
        <v>5156</v>
      </c>
      <c r="K733" s="152" t="s">
        <v>5157</v>
      </c>
      <c r="L733" s="152" t="s">
        <v>5158</v>
      </c>
      <c r="M733" s="152"/>
    </row>
    <row r="734" hidden="1">
      <c r="A734" s="90" t="s">
        <v>78</v>
      </c>
      <c r="B734" s="92" t="s">
        <v>5159</v>
      </c>
      <c r="C734" s="28"/>
      <c r="D734" s="28"/>
      <c r="E734" s="28"/>
      <c r="F734" s="161">
        <v>108.0</v>
      </c>
      <c r="G734" s="152" t="str">
        <f>IFERROR(__xludf.DUMMYFUNCTION("TRIM(REGEXREPLACE(C734, ""[0-9]+[a-f]?\."", """"))"),"")</f>
        <v/>
      </c>
      <c r="H734" s="152" t="str">
        <f>IFERROR(__xludf.DUMMYFUNCTION("TRIM(REGEXREPLACE(D734, ""[0-9]+[a-f]?\."", """"))"),"")</f>
        <v/>
      </c>
      <c r="I734" s="152" t="str">
        <f>IFERROR(__xludf.DUMMYFUNCTION("TRIM(REGEXREPLACE(E734, ""[0-9]+[a-f]?\."", """"))"),"")</f>
        <v/>
      </c>
      <c r="J734" s="152" t="str">
        <f t="shared" ref="J734:L734" si="69">$F734 &amp; ". " &amp;G734</f>
        <v>108. </v>
      </c>
      <c r="K734" s="152" t="str">
        <f t="shared" si="69"/>
        <v>108. </v>
      </c>
      <c r="L734" s="152" t="str">
        <f t="shared" si="69"/>
        <v>108. </v>
      </c>
    </row>
    <row r="735" hidden="1">
      <c r="A735" s="90" t="s">
        <v>78</v>
      </c>
      <c r="B735" s="92" t="s">
        <v>5161</v>
      </c>
      <c r="C735" s="28"/>
      <c r="D735" s="28"/>
      <c r="E735" s="28"/>
      <c r="F735" s="161">
        <v>412.0</v>
      </c>
      <c r="G735" s="152" t="str">
        <f>IFERROR(__xludf.DUMMYFUNCTION("TRIM(REGEXREPLACE(C735, ""[0-9]+[a-f]?\."", """"))"),"")</f>
        <v/>
      </c>
      <c r="H735" s="152" t="str">
        <f>IFERROR(__xludf.DUMMYFUNCTION("TRIM(REGEXREPLACE(D735, ""[0-9]+[a-f]?\."", """"))"),"")</f>
        <v/>
      </c>
      <c r="I735" s="152" t="str">
        <f>IFERROR(__xludf.DUMMYFUNCTION("TRIM(REGEXREPLACE(E735, ""[0-9]+[a-f]?\."", """"))"),"")</f>
        <v/>
      </c>
      <c r="J735" s="152" t="s">
        <v>5162</v>
      </c>
      <c r="K735" s="152" t="s">
        <v>5163</v>
      </c>
      <c r="L735" s="152" t="s">
        <v>5164</v>
      </c>
      <c r="M735" s="152"/>
    </row>
    <row r="736" hidden="1">
      <c r="A736" s="90" t="s">
        <v>78</v>
      </c>
      <c r="B736" s="92" t="s">
        <v>5165</v>
      </c>
      <c r="C736" s="28"/>
      <c r="D736" s="28"/>
      <c r="E736" s="28"/>
      <c r="F736" s="161">
        <v>109.0</v>
      </c>
      <c r="G736" s="152" t="str">
        <f>IFERROR(__xludf.DUMMYFUNCTION("TRIM(REGEXREPLACE(C736, ""[0-9]+[a-f]?\."", """"))"),"")</f>
        <v/>
      </c>
      <c r="H736" s="152" t="str">
        <f>IFERROR(__xludf.DUMMYFUNCTION("TRIM(REGEXREPLACE(D736, ""[0-9]+[a-f]?\."", """"))"),"")</f>
        <v/>
      </c>
      <c r="I736" s="152" t="str">
        <f>IFERROR(__xludf.DUMMYFUNCTION("TRIM(REGEXREPLACE(E736, ""[0-9]+[a-f]?\."", """"))"),"")</f>
        <v/>
      </c>
      <c r="J736" s="152" t="str">
        <f t="shared" ref="J736:L736" si="70">$F736 &amp; ". " &amp;G736</f>
        <v>109. </v>
      </c>
      <c r="K736" s="152" t="str">
        <f t="shared" si="70"/>
        <v>109. </v>
      </c>
      <c r="L736" s="152" t="str">
        <f t="shared" si="70"/>
        <v>109. </v>
      </c>
      <c r="M736" s="152"/>
    </row>
    <row r="737" hidden="1">
      <c r="A737" s="90" t="s">
        <v>78</v>
      </c>
      <c r="B737" s="92" t="s">
        <v>5168</v>
      </c>
      <c r="C737" s="28"/>
      <c r="D737" s="28"/>
      <c r="E737" s="28"/>
      <c r="F737" s="161">
        <v>414.0</v>
      </c>
      <c r="G737" s="152" t="str">
        <f>IFERROR(__xludf.DUMMYFUNCTION("TRIM(REGEXREPLACE(C737, ""[0-9]+[a-f]?\."", """"))"),"")</f>
        <v/>
      </c>
      <c r="H737" s="152" t="str">
        <f>IFERROR(__xludf.DUMMYFUNCTION("TRIM(REGEXREPLACE(D737, ""[0-9]+[a-f]?\."", """"))"),"")</f>
        <v/>
      </c>
      <c r="I737" s="152" t="str">
        <f>IFERROR(__xludf.DUMMYFUNCTION("TRIM(REGEXREPLACE(E737, ""[0-9]+[a-f]?\."", """"))"),"")</f>
        <v/>
      </c>
      <c r="J737" s="152" t="s">
        <v>5169</v>
      </c>
      <c r="K737" s="152" t="s">
        <v>5170</v>
      </c>
      <c r="L737" s="152" t="s">
        <v>5171</v>
      </c>
      <c r="M737" s="152"/>
    </row>
    <row r="738" hidden="1">
      <c r="A738" s="90" t="s">
        <v>78</v>
      </c>
      <c r="B738" s="92" t="s">
        <v>5172</v>
      </c>
      <c r="C738" s="28"/>
      <c r="D738" s="28"/>
      <c r="E738" s="28"/>
      <c r="F738" s="161">
        <v>415.0</v>
      </c>
      <c r="G738" s="152" t="str">
        <f>IFERROR(__xludf.DUMMYFUNCTION("TRIM(REGEXREPLACE(C738, ""[0-9]+[a-f]?\."", """"))"),"")</f>
        <v/>
      </c>
      <c r="H738" s="152" t="str">
        <f>IFERROR(__xludf.DUMMYFUNCTION("TRIM(REGEXREPLACE(D738, ""[0-9]+[a-f]?\."", """"))"),"")</f>
        <v/>
      </c>
      <c r="I738" s="152" t="str">
        <f>IFERROR(__xludf.DUMMYFUNCTION("TRIM(REGEXREPLACE(E738, ""[0-9]+[a-f]?\."", """"))"),"")</f>
        <v/>
      </c>
      <c r="J738" s="152" t="s">
        <v>5173</v>
      </c>
      <c r="K738" s="152" t="s">
        <v>5174</v>
      </c>
      <c r="L738" s="152" t="s">
        <v>5175</v>
      </c>
      <c r="M738" s="152"/>
    </row>
    <row r="739">
      <c r="A739" s="68" t="s">
        <v>5176</v>
      </c>
      <c r="B739" s="169" t="s">
        <v>5178</v>
      </c>
      <c r="C739" s="28" t="s">
        <v>5179</v>
      </c>
      <c r="D739" s="28" t="s">
        <v>5180</v>
      </c>
      <c r="E739" s="28" t="s">
        <v>5181</v>
      </c>
      <c r="F739" s="161">
        <v>257.0</v>
      </c>
      <c r="G739" s="152" t="str">
        <f>IFERROR(__xludf.DUMMYFUNCTION("TRIM(REGEXREPLACE(C739, ""[0-9]+[a-f]?\."", """"))"),"Which of these countries are you most interested in moving to?")</f>
        <v>Which of these countries are you most interested in moving to?</v>
      </c>
      <c r="H739" s="152" t="str">
        <f>IFERROR(__xludf.DUMMYFUNCTION("TRIM(REGEXREPLACE(D739, ""[0-9]+[a-f]?\."", """"))"),"Dans lequel de ces pays aimeriez-vous le plus migrer ?")</f>
        <v>Dans lequel de ces pays aimeriez-vous le plus migrer ?</v>
      </c>
      <c r="I739" s="152" t="str">
        <f>IFERROR(__xludf.DUMMYFUNCTION("TRIM(REGEXREPLACE(E739, ""[0-9]+[a-f]?\."", """"))"),"A cikin waɗannan ƙasashen wanne kuka fi sha'awar zuwa?")</f>
        <v>A cikin waɗannan ƙasashen wanne kuka fi sha'awar zuwa?</v>
      </c>
      <c r="J739" s="152" t="s">
        <v>5183</v>
      </c>
      <c r="K739" s="152" t="s">
        <v>5184</v>
      </c>
      <c r="L739" s="152" t="s">
        <v>5185</v>
      </c>
    </row>
    <row r="740" hidden="1">
      <c r="A740" s="65" t="s">
        <v>131</v>
      </c>
      <c r="B740" s="218" t="s">
        <v>5186</v>
      </c>
      <c r="C740" s="28"/>
      <c r="D740" s="28"/>
      <c r="E740" s="28"/>
      <c r="F740" s="161">
        <v>417.0</v>
      </c>
      <c r="G740" s="152" t="str">
        <f>IFERROR(__xludf.DUMMYFUNCTION("TRIM(REGEXREPLACE(C740, ""[0-9]+[a-f]?\."", """"))"),"")</f>
        <v/>
      </c>
      <c r="H740" s="152" t="str">
        <f>IFERROR(__xludf.DUMMYFUNCTION("TRIM(REGEXREPLACE(D740, ""[0-9]+[a-f]?\."", """"))"),"")</f>
        <v/>
      </c>
      <c r="I740" s="152" t="str">
        <f>IFERROR(__xludf.DUMMYFUNCTION("TRIM(REGEXREPLACE(E740, ""[0-9]+[a-f]?\."", """"))"),"")</f>
        <v/>
      </c>
      <c r="J740" s="152" t="s">
        <v>5187</v>
      </c>
      <c r="K740" s="152" t="s">
        <v>5188</v>
      </c>
      <c r="L740" s="152" t="s">
        <v>5189</v>
      </c>
      <c r="M740" s="152"/>
    </row>
    <row r="741">
      <c r="A741" s="65" t="s">
        <v>41</v>
      </c>
      <c r="B741" s="218" t="s">
        <v>5190</v>
      </c>
      <c r="C741" s="28" t="s">
        <v>5191</v>
      </c>
      <c r="D741" s="28" t="s">
        <v>5192</v>
      </c>
      <c r="E741" s="28" t="s">
        <v>5193</v>
      </c>
      <c r="F741" s="161">
        <v>258.0</v>
      </c>
      <c r="G741" s="152" t="str">
        <f>IFERROR(__xludf.DUMMYFUNCTION("TRIM(REGEXREPLACE(C741, ""[0-9]+[a-f]?\."", """"))"),"Now I'd like to ask you about the individuals you contacted in the countries you are interested in migrating to since ${period}.")</f>
        <v>Now I'd like to ask you about the individuals you contacted in the countries you are interested in migrating to since ${period}.</v>
      </c>
      <c r="H741" s="152" t="str">
        <f>IFERROR(__xludf.DUMMYFUNCTION("TRIM(REGEXREPLACE(D741, ""[0-9]+[a-f]?\."", """"))"),"J'aimerais maintenant vous poser des questions sur les personnes que vous avez contactées dans les pays vers lesquels vous souhaitez migrer 
depuis ${period_french}.")</f>
        <v>J'aimerais maintenant vous poser des questions sur les personnes que vous avez contactées dans les pays vers lesquels vous souhaitez migrer 
depuis ${period_french}.</v>
      </c>
      <c r="I741" s="152" t="str">
        <f>IFERROR(__xludf.DUMMYFUNCTION("TRIM(REGEXREPLACE(E741, ""[0-9]+[a-f]?\."", """"))"),"Yanzu ina so in tambaye ku game da mutanen da kuka tuntuɓa a ƙasashen da kuke sha'awar zuwa tun ${period_hausa}.")</f>
        <v>Yanzu ina so in tambaye ku game da mutanen da kuka tuntuɓa a ƙasashen da kuke sha'awar zuwa tun ${period_hausa}.</v>
      </c>
      <c r="J741" s="152" t="s">
        <v>5194</v>
      </c>
      <c r="K741" s="152" t="s">
        <v>5195</v>
      </c>
      <c r="L741" s="152" t="s">
        <v>5196</v>
      </c>
      <c r="M741" s="152"/>
    </row>
    <row r="742" hidden="1">
      <c r="A742" s="65" t="s">
        <v>78</v>
      </c>
      <c r="B742" s="218" t="s">
        <v>5197</v>
      </c>
      <c r="C742" s="28"/>
      <c r="D742" s="28"/>
      <c r="E742" s="28"/>
      <c r="F742" s="161">
        <v>428.0</v>
      </c>
      <c r="G742" s="152" t="str">
        <f>IFERROR(__xludf.DUMMYFUNCTION("TRIM(REGEXREPLACE(C742, ""[0-9]+[a-f]?\."", """"))"),"")</f>
        <v/>
      </c>
      <c r="H742" s="152" t="str">
        <f>IFERROR(__xludf.DUMMYFUNCTION("TRIM(REGEXREPLACE(D742, ""[0-9]+[a-f]?\."", """"))"),"")</f>
        <v/>
      </c>
      <c r="I742" s="152" t="str">
        <f>IFERROR(__xludf.DUMMYFUNCTION("TRIM(REGEXREPLACE(E742, ""[0-9]+[a-f]?\."", """"))"),"")</f>
        <v/>
      </c>
      <c r="J742" s="152" t="s">
        <v>5199</v>
      </c>
      <c r="K742" s="152" t="s">
        <v>5201</v>
      </c>
      <c r="L742" s="152" t="s">
        <v>5202</v>
      </c>
      <c r="M742" s="152"/>
    </row>
    <row r="743" hidden="1">
      <c r="A743" s="65" t="s">
        <v>78</v>
      </c>
      <c r="B743" s="218" t="s">
        <v>5203</v>
      </c>
      <c r="C743" s="28"/>
      <c r="D743" s="28"/>
      <c r="E743" s="28"/>
      <c r="F743" s="161">
        <v>425.0</v>
      </c>
      <c r="G743" s="152" t="str">
        <f>IFERROR(__xludf.DUMMYFUNCTION("TRIM(REGEXREPLACE(C743, ""[0-9]+[a-f]?\."", """"))"),"")</f>
        <v/>
      </c>
      <c r="H743" s="152" t="str">
        <f>IFERROR(__xludf.DUMMYFUNCTION("TRIM(REGEXREPLACE(D743, ""[0-9]+[a-f]?\."", """"))"),"")</f>
        <v/>
      </c>
      <c r="I743" s="152" t="str">
        <f>IFERROR(__xludf.DUMMYFUNCTION("TRIM(REGEXREPLACE(E743, ""[0-9]+[a-f]?\."", """"))"),"")</f>
        <v/>
      </c>
      <c r="J743" s="152" t="s">
        <v>5204</v>
      </c>
      <c r="K743" s="152" t="s">
        <v>5205</v>
      </c>
      <c r="L743" s="152" t="s">
        <v>5206</v>
      </c>
      <c r="M743" s="152"/>
    </row>
    <row r="744" hidden="1">
      <c r="A744" s="65" t="s">
        <v>78</v>
      </c>
      <c r="B744" s="218" t="s">
        <v>5207</v>
      </c>
      <c r="C744" s="28"/>
      <c r="D744" s="28"/>
      <c r="E744" s="28"/>
      <c r="F744" s="161">
        <v>111.0</v>
      </c>
      <c r="G744" s="152" t="str">
        <f>IFERROR(__xludf.DUMMYFUNCTION("TRIM(REGEXREPLACE(C744, ""[0-9]+[a-f]?\."", """"))"),"")</f>
        <v/>
      </c>
      <c r="H744" s="152" t="str">
        <f>IFERROR(__xludf.DUMMYFUNCTION("TRIM(REGEXREPLACE(D744, ""[0-9]+[a-f]?\."", """"))"),"")</f>
        <v/>
      </c>
      <c r="I744" s="152" t="str">
        <f>IFERROR(__xludf.DUMMYFUNCTION("TRIM(REGEXREPLACE(E744, ""[0-9]+[a-f]?\."", """"))"),"")</f>
        <v/>
      </c>
      <c r="J744" s="152" t="str">
        <f t="shared" ref="J744:L744" si="71">$F744 &amp; ". " &amp;G744</f>
        <v>111. </v>
      </c>
      <c r="K744" s="152" t="str">
        <f t="shared" si="71"/>
        <v>111. </v>
      </c>
      <c r="L744" s="152" t="str">
        <f t="shared" si="71"/>
        <v>111. </v>
      </c>
    </row>
    <row r="745">
      <c r="A745" s="65" t="s">
        <v>2625</v>
      </c>
      <c r="B745" s="169" t="s">
        <v>5210</v>
      </c>
      <c r="C745" s="28" t="s">
        <v>5211</v>
      </c>
      <c r="D745" s="28" t="s">
        <v>5212</v>
      </c>
      <c r="E745" s="28" t="s">
        <v>5213</v>
      </c>
      <c r="F745" s="161">
        <v>259.0</v>
      </c>
      <c r="G745" s="152" t="str">
        <f>IFERROR(__xludf.DUMMYFUNCTION("TRIM(REGEXREPLACE(C745, ""[0-9]+[a-f]?\."", """"))"),"${pm_contact_lab}")</f>
        <v>${pm_contact_lab}</v>
      </c>
      <c r="H745" s="152" t="str">
        <f>IFERROR(__xludf.DUMMYFUNCTION("TRIM(REGEXREPLACE(D745, ""[0-9]+[a-f]?\."", """"))"),"${pm_contact_lab_fr}")</f>
        <v>${pm_contact_lab_fr}</v>
      </c>
      <c r="I745" s="152" t="str">
        <f>IFERROR(__xludf.DUMMYFUNCTION("TRIM(REGEXREPLACE(E745, ""[0-9]+[a-f]?\."", """"))"),"${pm_contact_lab_ha}")</f>
        <v>${pm_contact_lab_ha}</v>
      </c>
      <c r="J745" s="152" t="s">
        <v>5216</v>
      </c>
      <c r="K745" s="152" t="s">
        <v>5217</v>
      </c>
      <c r="L745" s="152" t="s">
        <v>5218</v>
      </c>
      <c r="M745" s="152"/>
    </row>
    <row r="746">
      <c r="A746" s="137" t="s">
        <v>5219</v>
      </c>
      <c r="B746" s="193" t="s">
        <v>5220</v>
      </c>
      <c r="C746" s="28" t="s">
        <v>5221</v>
      </c>
      <c r="D746" s="28" t="s">
        <v>5222</v>
      </c>
      <c r="E746" s="28" t="s">
        <v>5223</v>
      </c>
      <c r="F746" s="161">
        <v>260.0</v>
      </c>
      <c r="G746" s="152" t="str">
        <f>IFERROR(__xludf.DUMMYFUNCTION("TRIM(REGEXREPLACE(C746, ""[0-9]+[a-f]?\."", """"))"),"In which countries that you indicated you wanted to go to have you contacted people?")</f>
        <v>In which countries that you indicated you wanted to go to have you contacted people?</v>
      </c>
      <c r="H746" s="152" t="str">
        <f>IFERROR(__xludf.DUMMYFUNCTION("TRIM(REGEXREPLACE(D746, ""[0-9]+[a-f]?\."", """"))"),"Dans quels pays dont avez-vous indiqué vouloir vous rendre où vous avez contacté des gens ?")</f>
        <v>Dans quels pays dont avez-vous indiqué vouloir vous rendre où vous avez contacté des gens ?</v>
      </c>
      <c r="I746" s="152" t="str">
        <f>IFERROR(__xludf.DUMMYFUNCTION("TRIM(REGEXREPLACE(E746, ""[0-9]+[a-f]?\."", """"))"),"A waɗanne ƙasashe da ka nuna kana son zuwa ka tuntuɓi mutane?")</f>
        <v>A waɗanne ƙasashe da ka nuna kana son zuwa ka tuntuɓi mutane?</v>
      </c>
      <c r="J746" s="152" t="s">
        <v>5224</v>
      </c>
      <c r="K746" s="152" t="s">
        <v>5225</v>
      </c>
      <c r="L746" s="152" t="s">
        <v>5226</v>
      </c>
      <c r="M746" s="152"/>
    </row>
    <row r="747">
      <c r="A747" s="214" t="s">
        <v>5144</v>
      </c>
      <c r="B747" s="193" t="s">
        <v>5228</v>
      </c>
      <c r="C747" s="28" t="s">
        <v>5229</v>
      </c>
      <c r="D747" s="28" t="s">
        <v>5230</v>
      </c>
      <c r="E747" s="28" t="s">
        <v>5231</v>
      </c>
      <c r="F747" s="161">
        <v>261.0</v>
      </c>
      <c r="G747" s="152" t="str">
        <f>IFERROR(__xludf.DUMMYFUNCTION("TRIM(REGEXREPLACE(C747, ""[0-9]+[a-f]?\."", """"))"),"Please select the countries you have contacted people in:")</f>
        <v>Please select the countries you have contacted people in:</v>
      </c>
      <c r="H747" s="152" t="str">
        <f>IFERROR(__xludf.DUMMYFUNCTION("TRIM(REGEXREPLACE(D747, ""[0-9]+[a-f]?\."", """"))"),"Veuillez sélectionner les pays dans lesquels vous avez contacté des personnes :")</f>
        <v>Veuillez sélectionner les pays dans lesquels vous avez contacté des personnes :</v>
      </c>
      <c r="I747" s="152" t="str">
        <f>IFERROR(__xludf.DUMMYFUNCTION("TRIM(REGEXREPLACE(E747, ""[0-9]+[a-f]?\."", """"))"),"Da fatan za ka zaɓi ƙasashen da ka tuntuɓi mutane :")</f>
        <v>Da fatan za ka zaɓi ƙasashen da ka tuntuɓi mutane :</v>
      </c>
      <c r="J747" s="152" t="s">
        <v>5232</v>
      </c>
      <c r="K747" s="152" t="s">
        <v>5233</v>
      </c>
      <c r="L747" s="152" t="s">
        <v>5234</v>
      </c>
      <c r="M747" s="152"/>
    </row>
    <row r="748">
      <c r="A748" s="214" t="s">
        <v>246</v>
      </c>
      <c r="B748" s="193" t="s">
        <v>5237</v>
      </c>
      <c r="C748" s="28" t="s">
        <v>5238</v>
      </c>
      <c r="D748" s="28" t="s">
        <v>5239</v>
      </c>
      <c r="E748" s="28" t="s">
        <v>5240</v>
      </c>
      <c r="F748" s="161">
        <v>262.0</v>
      </c>
      <c r="G748" s="152" t="str">
        <f>IFERROR(__xludf.DUMMYFUNCTION("TRIM(REGEXREPLACE(C748, ""[0-9]+[a-f]?\."", """"))"),"Other, specify:")</f>
        <v>Other, specify:</v>
      </c>
      <c r="H748" s="152" t="str">
        <f>IFERROR(__xludf.DUMMYFUNCTION("TRIM(REGEXREPLACE(D748, ""[0-9]+[a-f]?\."", """"))"),"Autre précisez:")</f>
        <v>Autre précisez:</v>
      </c>
      <c r="I748" s="152" t="str">
        <f>IFERROR(__xludf.DUMMYFUNCTION("TRIM(REGEXREPLACE(E748, ""[0-9]+[a-f]?\."", """"))"),"Wani daban, baiyana:")</f>
        <v>Wani daban, baiyana:</v>
      </c>
      <c r="J748" s="152" t="s">
        <v>5241</v>
      </c>
      <c r="K748" s="152" t="s">
        <v>5242</v>
      </c>
      <c r="L748" s="152" t="s">
        <v>5243</v>
      </c>
    </row>
    <row r="749">
      <c r="A749" s="214" t="s">
        <v>5244</v>
      </c>
      <c r="B749" s="193" t="s">
        <v>5245</v>
      </c>
      <c r="C749" s="28" t="s">
        <v>5246</v>
      </c>
      <c r="D749" s="28" t="s">
        <v>5247</v>
      </c>
      <c r="E749" s="28" t="s">
        <v>5248</v>
      </c>
      <c r="F749" s="161">
        <v>263.0</v>
      </c>
      <c r="G749" s="152" t="str">
        <f>IFERROR(__xludf.DUMMYFUNCTION("TRIM(REGEXREPLACE(C749, ""[0-9]+[a-f]?\."", """"))"),"What did you ask your contacts about?")</f>
        <v>What did you ask your contacts about?</v>
      </c>
      <c r="H749" s="152" t="str">
        <f>IFERROR(__xludf.DUMMYFUNCTION("TRIM(REGEXREPLACE(D749, ""[0-9]+[a-f]?\."", """"))"),"Sur quoi avez-vous interrogé vos contacts ?")</f>
        <v>Sur quoi avez-vous interrogé vos contacts ?</v>
      </c>
      <c r="I749" s="152" t="str">
        <f>IFERROR(__xludf.DUMMYFUNCTION("TRIM(REGEXREPLACE(E749, ""[0-9]+[a-f]?\."", """"))"),"Menene ka tambayi wanda ka tuntuɓa?")</f>
        <v>Menene ka tambayi wanda ka tuntuɓa?</v>
      </c>
      <c r="J749" s="152" t="s">
        <v>5250</v>
      </c>
      <c r="K749" s="152" t="s">
        <v>5251</v>
      </c>
      <c r="L749" s="152" t="s">
        <v>5252</v>
      </c>
      <c r="M749" s="152"/>
    </row>
    <row r="750">
      <c r="A750" s="137" t="s">
        <v>246</v>
      </c>
      <c r="B750" s="193" t="s">
        <v>5253</v>
      </c>
      <c r="C750" s="28" t="s">
        <v>5254</v>
      </c>
      <c r="D750" s="28" t="s">
        <v>5255</v>
      </c>
      <c r="E750" s="28" t="s">
        <v>5256</v>
      </c>
      <c r="F750" s="161">
        <v>264.0</v>
      </c>
      <c r="G750" s="152" t="str">
        <f>IFERROR(__xludf.DUMMYFUNCTION("TRIM(REGEXREPLACE(C750, ""[0-9]+[a-f]?\."", """"))"),"Other, specify:")</f>
        <v>Other, specify:</v>
      </c>
      <c r="H750" s="152" t="str">
        <f>IFERROR(__xludf.DUMMYFUNCTION("TRIM(REGEXREPLACE(D750, ""[0-9]+[a-f]?\."", """"))"),"Autre précisez:")</f>
        <v>Autre précisez:</v>
      </c>
      <c r="I750" s="152" t="str">
        <f>IFERROR(__xludf.DUMMYFUNCTION("TRIM(REGEXREPLACE(E750, ""[0-9]+[a-f]?\."", """"))"),"Wani daban, baiyana:")</f>
        <v>Wani daban, baiyana:</v>
      </c>
      <c r="J750" s="152" t="s">
        <v>5257</v>
      </c>
      <c r="K750" s="152" t="s">
        <v>5258</v>
      </c>
      <c r="L750" s="152" t="s">
        <v>5260</v>
      </c>
      <c r="M750" s="152"/>
    </row>
    <row r="751">
      <c r="A751" s="137" t="s">
        <v>5262</v>
      </c>
      <c r="B751" s="193" t="s">
        <v>5263</v>
      </c>
      <c r="C751" s="28" t="s">
        <v>5264</v>
      </c>
      <c r="D751" s="28" t="s">
        <v>5265</v>
      </c>
      <c r="E751" s="28" t="s">
        <v>5266</v>
      </c>
      <c r="F751" s="161">
        <v>265.0</v>
      </c>
      <c r="G751" s="152" t="str">
        <f>IFERROR(__xludf.DUMMYFUNCTION("TRIM(REGEXREPLACE(C751, ""[0-9]+[a-f]?\."", """"))"),"Did your interaction with your contacts encourage or discourage you from migration?")</f>
        <v>Did your interaction with your contacts encourage or discourage you from migration?</v>
      </c>
      <c r="H751" s="152" t="str">
        <f>IFERROR(__xludf.DUMMYFUNCTION("TRIM(REGEXREPLACE(D751, ""[0-9]+[a-f]?\."", """"))"),"Votre interaction avec vos contacts vous a-t-elle encouragé ou découragé à migrer ?")</f>
        <v>Votre interaction avec vos contacts vous a-t-elle encouragé ou découragé à migrer ?</v>
      </c>
      <c r="I751" s="152" t="str">
        <f>IFERROR(__xludf.DUMMYFUNCTION("TRIM(REGEXREPLACE(E751, ""[0-9]+[a-f]?\."", """"))"),"Ko hirar da ku ka yi da wanda kuka tuntuɓa ta ƙarfafa muka gwiwa ko ta hana ka zuwa biɗa?")</f>
        <v>Ko hirar da ku ka yi da wanda kuka tuntuɓa ta ƙarfafa muka gwiwa ko ta hana ka zuwa biɗa?</v>
      </c>
      <c r="J751" s="152" t="s">
        <v>5267</v>
      </c>
      <c r="K751" s="152" t="s">
        <v>5268</v>
      </c>
      <c r="L751" s="152" t="s">
        <v>5269</v>
      </c>
      <c r="M751" s="152"/>
    </row>
    <row r="752">
      <c r="A752" s="137" t="s">
        <v>5271</v>
      </c>
      <c r="B752" s="193" t="s">
        <v>5272</v>
      </c>
      <c r="C752" s="28" t="s">
        <v>5273</v>
      </c>
      <c r="D752" s="28" t="s">
        <v>5274</v>
      </c>
      <c r="E752" s="28" t="s">
        <v>5275</v>
      </c>
      <c r="F752" s="161">
        <v>266.0</v>
      </c>
      <c r="G752" s="152" t="str">
        <f>IFERROR(__xludf.DUMMYFUNCTION("TRIM(REGEXREPLACE(C752, ""[0-9]+[a-f]?\."", """"))"),"What did you learn from your contacts that discouraged you to migrate?")</f>
        <v>What did you learn from your contacts that discouraged you to migrate?</v>
      </c>
      <c r="H752" s="152" t="str">
        <f>IFERROR(__xludf.DUMMYFUNCTION("TRIM(REGEXREPLACE(D752, ""[0-9]+[a-f]?\."", """"))"),"Qu'avez-vous appris de vos contacts qui vous ont découragé à migrer ?")</f>
        <v>Qu'avez-vous appris de vos contacts qui vous ont découragé à migrer ?</v>
      </c>
      <c r="I752" s="152" t="str">
        <f>IFERROR(__xludf.DUMMYFUNCTION("TRIM(REGEXREPLACE(E752, ""[0-9]+[a-f]?\."", """"))"),"Wane labari ka samo daga abokan hulɗar ku da ya hana ka zuwa biɗa?")</f>
        <v>Wane labari ka samo daga abokan hulɗar ku da ya hana ka zuwa biɗa?</v>
      </c>
      <c r="J752" s="152" t="s">
        <v>5276</v>
      </c>
      <c r="K752" s="152" t="s">
        <v>5277</v>
      </c>
      <c r="L752" s="152" t="s">
        <v>5278</v>
      </c>
    </row>
    <row r="753">
      <c r="A753" s="137" t="s">
        <v>246</v>
      </c>
      <c r="B753" s="193" t="s">
        <v>5279</v>
      </c>
      <c r="C753" s="28" t="s">
        <v>5257</v>
      </c>
      <c r="D753" s="28" t="s">
        <v>5258</v>
      </c>
      <c r="E753" s="28" t="s">
        <v>5260</v>
      </c>
      <c r="F753" s="161">
        <v>267.0</v>
      </c>
      <c r="G753" s="152" t="str">
        <f>IFERROR(__xludf.DUMMYFUNCTION("TRIM(REGEXREPLACE(C753, ""[0-9]+[a-f]?\."", """"))"),"Other, specify:")</f>
        <v>Other, specify:</v>
      </c>
      <c r="H753" s="152" t="str">
        <f>IFERROR(__xludf.DUMMYFUNCTION("TRIM(REGEXREPLACE(D753, ""[0-9]+[a-f]?\."", """"))"),"Autre précisez:")</f>
        <v>Autre précisez:</v>
      </c>
      <c r="I753" s="152" t="str">
        <f>IFERROR(__xludf.DUMMYFUNCTION("TRIM(REGEXREPLACE(E753, ""[0-9]+[a-f]?\."", """"))"),"Wani daban, baiyana:")</f>
        <v>Wani daban, baiyana:</v>
      </c>
      <c r="J753" s="152" t="s">
        <v>5280</v>
      </c>
      <c r="K753" s="152" t="s">
        <v>5281</v>
      </c>
      <c r="L753" s="152" t="s">
        <v>5282</v>
      </c>
      <c r="M753" s="152"/>
    </row>
    <row r="754">
      <c r="A754" s="137" t="s">
        <v>5283</v>
      </c>
      <c r="B754" s="193" t="s">
        <v>5284</v>
      </c>
      <c r="C754" s="28" t="s">
        <v>5285</v>
      </c>
      <c r="D754" s="28" t="s">
        <v>5287</v>
      </c>
      <c r="E754" s="28" t="s">
        <v>5288</v>
      </c>
      <c r="F754" s="161">
        <v>268.0</v>
      </c>
      <c r="G754" s="152" t="str">
        <f>IFERROR(__xludf.DUMMYFUNCTION("TRIM(REGEXREPLACE(C754, ""[0-9]+[a-f]?\."", """"))"),"What did you learn from your contacts that encouraged you to migrate?")</f>
        <v>What did you learn from your contacts that encouraged you to migrate?</v>
      </c>
      <c r="H754" s="152" t="str">
        <f>IFERROR(__xludf.DUMMYFUNCTION("TRIM(REGEXREPLACE(D754, ""[0-9]+[a-f]?\."", """"))"),"Qu'avez-vous appris de vos contacts qui vous ont encouragé à migrer ?")</f>
        <v>Qu'avez-vous appris de vos contacts qui vous ont encouragé à migrer ?</v>
      </c>
      <c r="I754" s="152" t="str">
        <f>IFERROR(__xludf.DUMMYFUNCTION("TRIM(REGEXREPLACE(E754, ""[0-9]+[a-f]?\."", """"))"),"Wane labari ka samo daga abokan hulɗar ku wanda ya ƙarfafa muka gwiwa zuwa biɗa?")</f>
        <v>Wane labari ka samo daga abokan hulɗar ku wanda ya ƙarfafa muka gwiwa zuwa biɗa?</v>
      </c>
      <c r="J754" s="152" t="s">
        <v>5289</v>
      </c>
      <c r="K754" s="152" t="s">
        <v>5290</v>
      </c>
      <c r="L754" s="152" t="s">
        <v>5291</v>
      </c>
      <c r="M754" s="152"/>
    </row>
    <row r="755">
      <c r="A755" s="137" t="s">
        <v>246</v>
      </c>
      <c r="B755" s="193" t="s">
        <v>5292</v>
      </c>
      <c r="C755" s="28" t="s">
        <v>5293</v>
      </c>
      <c r="D755" s="28" t="s">
        <v>5294</v>
      </c>
      <c r="E755" s="28" t="s">
        <v>5295</v>
      </c>
      <c r="F755" s="161">
        <v>269.0</v>
      </c>
      <c r="G755" s="152" t="str">
        <f>IFERROR(__xludf.DUMMYFUNCTION("TRIM(REGEXREPLACE(C755, ""[0-9]+[a-f]?\."", """"))"),"Other, specify:")</f>
        <v>Other, specify:</v>
      </c>
      <c r="H755" s="152" t="str">
        <f>IFERROR(__xludf.DUMMYFUNCTION("TRIM(REGEXREPLACE(D755, ""[0-9]+[a-f]?\."", """"))"),"Autre précisez:")</f>
        <v>Autre précisez:</v>
      </c>
      <c r="I755" s="152" t="str">
        <f>IFERROR(__xludf.DUMMYFUNCTION("TRIM(REGEXREPLACE(E755, ""[0-9]+[a-f]?\."", """"))"),"wani daban, baiyani:")</f>
        <v>wani daban, baiyani:</v>
      </c>
      <c r="J755" s="152" t="s">
        <v>5296</v>
      </c>
      <c r="K755" s="152" t="s">
        <v>5297</v>
      </c>
      <c r="L755" s="152" t="s">
        <v>5298</v>
      </c>
      <c r="M755" s="152"/>
    </row>
    <row r="756" hidden="1">
      <c r="A756" s="137" t="s">
        <v>237</v>
      </c>
      <c r="B756" s="218" t="s">
        <v>5186</v>
      </c>
      <c r="C756" s="28"/>
      <c r="D756" s="28"/>
      <c r="E756" s="28"/>
      <c r="F756" s="161">
        <v>422.0</v>
      </c>
      <c r="G756" s="152" t="str">
        <f>IFERROR(__xludf.DUMMYFUNCTION("TRIM(REGEXREPLACE(C756, ""[0-9]+[a-f]?\."", """"))"),"")</f>
        <v/>
      </c>
      <c r="H756" s="152" t="str">
        <f>IFERROR(__xludf.DUMMYFUNCTION("TRIM(REGEXREPLACE(D756, ""[0-9]+[a-f]?\."", """"))"),"")</f>
        <v/>
      </c>
      <c r="I756" s="152" t="str">
        <f>IFERROR(__xludf.DUMMYFUNCTION("TRIM(REGEXREPLACE(E756, ""[0-9]+[a-f]?\."", """"))"),"")</f>
        <v/>
      </c>
      <c r="J756" s="152" t="s">
        <v>5301</v>
      </c>
      <c r="K756" s="152" t="s">
        <v>5302</v>
      </c>
      <c r="L756" s="152" t="s">
        <v>5304</v>
      </c>
    </row>
    <row r="757" hidden="1">
      <c r="A757" s="65"/>
      <c r="B757" s="169"/>
      <c r="C757" s="28"/>
      <c r="D757" s="28"/>
      <c r="E757" s="28"/>
      <c r="F757" s="161">
        <v>423.0</v>
      </c>
      <c r="G757" s="152" t="str">
        <f>IFERROR(__xludf.DUMMYFUNCTION("TRIM(REGEXREPLACE(C757, ""[0-9]+[a-f]?\."", """"))"),"")</f>
        <v/>
      </c>
      <c r="H757" s="152" t="str">
        <f>IFERROR(__xludf.DUMMYFUNCTION("TRIM(REGEXREPLACE(D757, ""[0-9]+[a-f]?\."", """"))"),"")</f>
        <v/>
      </c>
      <c r="I757" s="152" t="str">
        <f>IFERROR(__xludf.DUMMYFUNCTION("TRIM(REGEXREPLACE(E757, ""[0-9]+[a-f]?\."", """"))"),"")</f>
        <v/>
      </c>
      <c r="J757" s="152" t="s">
        <v>5307</v>
      </c>
      <c r="K757" s="152" t="s">
        <v>5308</v>
      </c>
      <c r="L757" s="152" t="s">
        <v>5309</v>
      </c>
    </row>
    <row r="758">
      <c r="A758" s="65" t="s">
        <v>2625</v>
      </c>
      <c r="B758" s="169" t="s">
        <v>5310</v>
      </c>
      <c r="C758" s="28" t="s">
        <v>5311</v>
      </c>
      <c r="D758" s="28" t="s">
        <v>5312</v>
      </c>
      <c r="E758" s="28" t="s">
        <v>5313</v>
      </c>
      <c r="F758" s="161">
        <v>270.0</v>
      </c>
      <c r="G758" s="152" t="str">
        <f>IFERROR(__xludf.DUMMYFUNCTION("TRIM(REGEXREPLACE(C758, ""[0-9]+[a-f]?\."", """"))"),"Think about the next three months, starting from today. Do you plan to move somewhere other than ${pm_current_location} and remain there for more than a month?")</f>
        <v>Think about the next three months, starting from today. Do you plan to move somewhere other than ${pm_current_location} and remain there for more than a month?</v>
      </c>
      <c r="H758" s="152" t="str">
        <f>IFERROR(__xludf.DUMMYFUNCTION("TRIM(REGEXREPLACE(D758, ""[0-9]+[a-f]?\."", """"))"),"Pensez aux trois prochains mois, à partir d’aujourd’hui. Envisagez-vous d'aller ailleurs que ${pm_current_location} et d'y rester plus d'un mois ?")</f>
        <v>Pensez aux trois prochains mois, à partir d’aujourd’hui. Envisagez-vous d'aller ailleurs que ${pm_current_location} et d'y rester plus d'un mois ?</v>
      </c>
      <c r="I758" s="152" t="str">
        <f>IFERROR(__xludf.DUMMYFUNCTION("TRIM(REGEXREPLACE(E758, ""[0-9]+[a-f]?\."", """"))"),"Ku tuna da watanni uku masu zuwa, daga yau. Ko kuna shirin zuwa wani wuri ${pm_current_location} kuma ku zauna a can sama da wata ɗaya?")</f>
        <v>Ku tuna da watanni uku masu zuwa, daga yau. Ko kuna shirin zuwa wani wuri ${pm_current_location} kuma ku zauna a can sama da wata ɗaya?</v>
      </c>
      <c r="J758" s="152" t="s">
        <v>5314</v>
      </c>
      <c r="K758" s="152" t="s">
        <v>5315</v>
      </c>
      <c r="L758" s="152" t="s">
        <v>5316</v>
      </c>
    </row>
    <row r="759">
      <c r="A759" s="65" t="s">
        <v>2625</v>
      </c>
      <c r="B759" s="169" t="s">
        <v>5317</v>
      </c>
      <c r="C759" s="28" t="s">
        <v>5318</v>
      </c>
      <c r="D759" s="28" t="s">
        <v>5319</v>
      </c>
      <c r="E759" s="28" t="s">
        <v>5320</v>
      </c>
      <c r="F759" s="161">
        <v>271.0</v>
      </c>
      <c r="G759" s="152" t="str">
        <f>IFERROR(__xludf.DUMMYFUNCTION("TRIM(REGEXREPLACE(C759, ""[0-9]+[a-f]?\."", """"))"),"Think about the next year, starting with the upcoming harvest season. Do you plan to move somewhere other than where you are now for more than one month?")</f>
        <v>Think about the next year, starting with the upcoming harvest season. Do you plan to move somewhere other than where you are now for more than one month?</v>
      </c>
      <c r="H759" s="152" t="str">
        <f>IFERROR(__xludf.DUMMYFUNCTION("TRIM(REGEXREPLACE(D759, ""[0-9]+[a-f]?\."", """"))"),"Pensez à l'année prochaine, à commencer par la prochaine saison de récolte. Vous prévoyez de vous déplacer ailleurs que là où vous êtes maintenant depuis plus d'un mois?")</f>
        <v>Pensez à l'année prochaine, à commencer par la prochaine saison de récolte. Vous prévoyez de vous déplacer ailleurs que là où vous êtes maintenant depuis plus d'un mois?</v>
      </c>
      <c r="I759" s="152" t="str">
        <f>IFERROR(__xludf.DUMMYFUNCTION("TRIM(REGEXREPLACE(E759, ""[0-9]+[a-f]?\."", """"))"),"Ku tuna da shekara mai zuwa, fara da lokacin kaka mai zuwa. Ko kuna shirin zuwa wani wuri daban ba inda kake zaune a yanzu ba fiye da wata ɗaya?")</f>
        <v>Ku tuna da shekara mai zuwa, fara da lokacin kaka mai zuwa. Ko kuna shirin zuwa wani wuri daban ba inda kake zaune a yanzu ba fiye da wata ɗaya?</v>
      </c>
      <c r="J759" s="152" t="s">
        <v>5322</v>
      </c>
      <c r="K759" s="152" t="s">
        <v>5323</v>
      </c>
      <c r="L759" s="152" t="s">
        <v>5324</v>
      </c>
    </row>
    <row r="760" hidden="1">
      <c r="A760" s="90" t="s">
        <v>78</v>
      </c>
      <c r="B760" s="92" t="s">
        <v>5325</v>
      </c>
      <c r="C760" s="28"/>
      <c r="D760" s="28"/>
      <c r="E760" s="28"/>
      <c r="F760" s="161">
        <v>115.0</v>
      </c>
      <c r="G760" s="152" t="str">
        <f>IFERROR(__xludf.DUMMYFUNCTION("TRIM(REGEXREPLACE(C760, ""[0-9]+[a-f]?\."", """"))"),"")</f>
        <v/>
      </c>
      <c r="H760" s="152" t="str">
        <f>IFERROR(__xludf.DUMMYFUNCTION("TRIM(REGEXREPLACE(D760, ""[0-9]+[a-f]?\."", """"))"),"")</f>
        <v/>
      </c>
      <c r="I760" s="152" t="str">
        <f>IFERROR(__xludf.DUMMYFUNCTION("TRIM(REGEXREPLACE(E760, ""[0-9]+[a-f]?\."", """"))"),"")</f>
        <v/>
      </c>
      <c r="J760" s="152" t="str">
        <f t="shared" ref="J760:L760" si="72">$F760 &amp; ". " &amp;G760</f>
        <v>115. </v>
      </c>
      <c r="K760" s="152" t="str">
        <f t="shared" si="72"/>
        <v>115. </v>
      </c>
      <c r="L760" s="152" t="str">
        <f t="shared" si="72"/>
        <v>115. </v>
      </c>
      <c r="M760" s="152"/>
    </row>
    <row r="761" hidden="1">
      <c r="A761" s="90" t="s">
        <v>78</v>
      </c>
      <c r="B761" s="92" t="s">
        <v>5329</v>
      </c>
      <c r="C761" s="28"/>
      <c r="D761" s="28"/>
      <c r="E761" s="28"/>
      <c r="F761" s="161">
        <v>427.0</v>
      </c>
      <c r="G761" s="152" t="str">
        <f>IFERROR(__xludf.DUMMYFUNCTION("TRIM(REGEXREPLACE(C761, ""[0-9]+[a-f]?\."", """"))"),"")</f>
        <v/>
      </c>
      <c r="H761" s="152" t="str">
        <f>IFERROR(__xludf.DUMMYFUNCTION("TRIM(REGEXREPLACE(D761, ""[0-9]+[a-f]?\."", """"))"),"")</f>
        <v/>
      </c>
      <c r="I761" s="152" t="str">
        <f>IFERROR(__xludf.DUMMYFUNCTION("TRIM(REGEXREPLACE(E761, ""[0-9]+[a-f]?\."", """"))"),"")</f>
        <v/>
      </c>
      <c r="J761" s="152" t="s">
        <v>5330</v>
      </c>
      <c r="K761" s="152" t="s">
        <v>5331</v>
      </c>
      <c r="L761" s="152" t="s">
        <v>5332</v>
      </c>
    </row>
    <row r="762" hidden="1">
      <c r="A762" s="90" t="s">
        <v>78</v>
      </c>
      <c r="B762" s="92" t="s">
        <v>5333</v>
      </c>
      <c r="C762" s="28"/>
      <c r="D762" s="28"/>
      <c r="E762" s="28"/>
      <c r="F762" s="161">
        <v>428.0</v>
      </c>
      <c r="G762" s="152" t="str">
        <f>IFERROR(__xludf.DUMMYFUNCTION("TRIM(REGEXREPLACE(C762, ""[0-9]+[a-f]?\."", """"))"),"")</f>
        <v/>
      </c>
      <c r="H762" s="152" t="str">
        <f>IFERROR(__xludf.DUMMYFUNCTION("TRIM(REGEXREPLACE(D762, ""[0-9]+[a-f]?\."", """"))"),"")</f>
        <v/>
      </c>
      <c r="I762" s="152" t="str">
        <f>IFERROR(__xludf.DUMMYFUNCTION("TRIM(REGEXREPLACE(E762, ""[0-9]+[a-f]?\."", """"))"),"")</f>
        <v/>
      </c>
      <c r="J762" s="152" t="s">
        <v>5334</v>
      </c>
      <c r="K762" s="152" t="s">
        <v>5335</v>
      </c>
      <c r="L762" s="152" t="s">
        <v>5336</v>
      </c>
      <c r="M762" s="152"/>
    </row>
    <row r="763">
      <c r="A763" s="166" t="s">
        <v>41</v>
      </c>
      <c r="B763" s="167" t="s">
        <v>5337</v>
      </c>
      <c r="C763" s="28" t="s">
        <v>5338</v>
      </c>
      <c r="D763" s="28" t="s">
        <v>5339</v>
      </c>
      <c r="E763" s="28" t="s">
        <v>5340</v>
      </c>
      <c r="F763" s="161">
        <v>272.0</v>
      </c>
      <c r="G763" s="152" t="str">
        <f>IFERROR(__xludf.DUMMYFUNCTION("TRIM(REGEXREPLACE(C763, ""[0-9]+[a-f]?\."", """"))"),"If you migrate in ${pm_mig_length_lab}, what is your intended destination? 
 Enumerator: Probe if in Niger or another country")</f>
        <v>If you migrate in ${pm_mig_length_lab}, what is your intended destination? 
 Enumerator: Probe if in Niger or another country</v>
      </c>
      <c r="H763" s="152" t="str">
        <f>IFERROR(__xludf.DUMMYFUNCTION("TRIM(REGEXREPLACE(D763, ""[0-9]+[a-f]?\."", """"))"),"« Si vous migrez ${pm_mig_length_lab_fr}, quelle est votre destination prévue ?
 Agent enquêteur : Sondez si vous êtes au Niger ou dans un autre pays »")</f>
        <v>« Si vous migrez ${pm_mig_length_lab_fr}, quelle est votre destination prévue ?
 Agent enquêteur : Sondez si vous êtes au Niger ou dans un autre pays »</v>
      </c>
      <c r="I763" s="152" t="str">
        <f>IFERROR(__xludf.DUMMYFUNCTION("TRIM(REGEXREPLACE(E763, ""[0-9]+[a-f]?\."", """"))"),"Idan zaku yi tahiya ${pm_mig_length_lab_hausa}, ina ne kuke nufin zuwa?
 Mai bincike: Bincika idan a Nijar ne ko a wata ƙasa.")</f>
        <v>Idan zaku yi tahiya ${pm_mig_length_lab_hausa}, ina ne kuke nufin zuwa?
 Mai bincike: Bincika idan a Nijar ne ko a wata ƙasa.</v>
      </c>
      <c r="J763" s="152" t="s">
        <v>5343</v>
      </c>
      <c r="K763" s="152" t="s">
        <v>5344</v>
      </c>
      <c r="L763" s="152" t="s">
        <v>5345</v>
      </c>
      <c r="M763" s="152"/>
    </row>
    <row r="764">
      <c r="A764" s="68" t="s">
        <v>5346</v>
      </c>
      <c r="B764" s="169" t="s">
        <v>5347</v>
      </c>
      <c r="C764" s="28" t="s">
        <v>5348</v>
      </c>
      <c r="D764" s="28" t="s">
        <v>5349</v>
      </c>
      <c r="E764" s="28" t="s">
        <v>5350</v>
      </c>
      <c r="F764" s="161">
        <v>273.0</v>
      </c>
      <c r="G764" s="152" t="str">
        <f>IFERROR(__xludf.DUMMYFUNCTION("TRIM(REGEXREPLACE(C764, ""[0-9]+[a-f]?\."", """"))"),"What is the name of the country you would move to?")</f>
        <v>What is the name of the country you would move to?</v>
      </c>
      <c r="H764" s="152" t="str">
        <f>IFERROR(__xludf.DUMMYFUNCTION("TRIM(REGEXREPLACE(D764, ""[0-9]+[a-f]?\."", """"))"),"Quel est le nom du pays dans lequel vous migreriez ?")</f>
        <v>Quel est le nom du pays dans lequel vous migreriez ?</v>
      </c>
      <c r="I764" s="152" t="str">
        <f>IFERROR(__xludf.DUMMYFUNCTION("TRIM(REGEXREPLACE(E764, ""[0-9]+[a-f]?\."", """"))"),"Menene sunan ƙasar da kuke nufin zuwa?")</f>
        <v>Menene sunan ƙasar da kuke nufin zuwa?</v>
      </c>
      <c r="J764" s="152" t="s">
        <v>5351</v>
      </c>
      <c r="K764" s="152" t="s">
        <v>5352</v>
      </c>
      <c r="L764" s="152" t="s">
        <v>5353</v>
      </c>
    </row>
    <row r="765">
      <c r="A765" s="68" t="s">
        <v>738</v>
      </c>
      <c r="B765" s="169" t="s">
        <v>5354</v>
      </c>
      <c r="C765" s="28" t="s">
        <v>5355</v>
      </c>
      <c r="D765" s="28" t="s">
        <v>5356</v>
      </c>
      <c r="E765" s="28" t="s">
        <v>5357</v>
      </c>
      <c r="F765" s="161">
        <v>274.0</v>
      </c>
      <c r="G765" s="152" t="str">
        <f>IFERROR(__xludf.DUMMYFUNCTION("TRIM(REGEXREPLACE(C765, ""[0-9]+[a-f]?\."", """"))"),"Where in Niger would you move?")</f>
        <v>Where in Niger would you move?</v>
      </c>
      <c r="H765" s="152" t="str">
        <f>IFERROR(__xludf.DUMMYFUNCTION("TRIM(REGEXREPLACE(D765, ""[0-9]+[a-f]?\."", """"))"),"Où migreriez-vous au Niger ?")</f>
        <v>Où migreriez-vous au Niger ?</v>
      </c>
      <c r="I765" s="152" t="str">
        <f>IFERROR(__xludf.DUMMYFUNCTION("TRIM(REGEXREPLACE(E765, ""[0-9]+[a-f]?\."", """"))"),"Ina za ku je a Nijar?")</f>
        <v>Ina za ku je a Nijar?</v>
      </c>
      <c r="J765" s="152" t="s">
        <v>5358</v>
      </c>
      <c r="K765" s="152" t="s">
        <v>5359</v>
      </c>
      <c r="L765" s="152" t="s">
        <v>5361</v>
      </c>
      <c r="M765" s="152"/>
    </row>
    <row r="766">
      <c r="A766" s="68" t="s">
        <v>785</v>
      </c>
      <c r="B766" s="169" t="s">
        <v>5363</v>
      </c>
      <c r="C766" s="28" t="s">
        <v>5365</v>
      </c>
      <c r="D766" s="28" t="s">
        <v>5366</v>
      </c>
      <c r="E766" s="28" t="s">
        <v>5367</v>
      </c>
      <c r="F766" s="161">
        <v>275.0</v>
      </c>
      <c r="G766" s="152" t="str">
        <f>IFERROR(__xludf.DUMMYFUNCTION("TRIM(REGEXREPLACE(C766, ""[0-9]+[a-f]?\."", """"))"),"What is the name of the town you would move to?")</f>
        <v>What is the name of the town you would move to?</v>
      </c>
      <c r="H766" s="152" t="str">
        <f>IFERROR(__xludf.DUMMYFUNCTION("TRIM(REGEXREPLACE(D766, ""[0-9]+[a-f]?\."", """"))"),"Quel est le nom de la ville dans laquelle vous migreriez ?")</f>
        <v>Quel est le nom de la ville dans laquelle vous migreriez ?</v>
      </c>
      <c r="I766" s="152" t="str">
        <f>IFERROR(__xludf.DUMMYFUNCTION("TRIM(REGEXREPLACE(E766, ""[0-9]+[a-f]?\."", """"))"),"Menene sunan garin da zaku je?")</f>
        <v>Menene sunan garin da zaku je?</v>
      </c>
      <c r="J766" s="152" t="s">
        <v>5368</v>
      </c>
      <c r="K766" s="152" t="s">
        <v>5369</v>
      </c>
      <c r="L766" s="152" t="s">
        <v>5370</v>
      </c>
    </row>
    <row r="767">
      <c r="A767" s="179" t="s">
        <v>246</v>
      </c>
      <c r="B767" s="180" t="s">
        <v>5371</v>
      </c>
      <c r="C767" s="28" t="s">
        <v>5372</v>
      </c>
      <c r="D767" s="28" t="s">
        <v>5373</v>
      </c>
      <c r="E767" s="28" t="s">
        <v>5374</v>
      </c>
      <c r="F767" s="161">
        <v>276.0</v>
      </c>
      <c r="G767" s="152" t="str">
        <f>IFERROR(__xludf.DUMMYFUNCTION("TRIM(REGEXREPLACE(C767, ""[0-9]+[a-f]?\."", """"))"),"Other, specify:")</f>
        <v>Other, specify:</v>
      </c>
      <c r="H767" s="152" t="str">
        <f>IFERROR(__xludf.DUMMYFUNCTION("TRIM(REGEXREPLACE(D767, ""[0-9]+[a-f]?\."", """"))"),"Autre précisez:")</f>
        <v>Autre précisez:</v>
      </c>
      <c r="I767" s="152" t="str">
        <f>IFERROR(__xludf.DUMMYFUNCTION("TRIM(REGEXREPLACE(E767, ""[0-9]+[a-f]?\."", """"))"),"Wani daban, baiyana:")</f>
        <v>Wani daban, baiyana:</v>
      </c>
      <c r="J767" s="152" t="s">
        <v>5375</v>
      </c>
      <c r="K767" s="152" t="s">
        <v>5376</v>
      </c>
      <c r="L767" s="152" t="s">
        <v>5377</v>
      </c>
    </row>
    <row r="768" hidden="1">
      <c r="A768" s="90" t="s">
        <v>78</v>
      </c>
      <c r="B768" s="92" t="s">
        <v>5378</v>
      </c>
      <c r="C768" s="28"/>
      <c r="D768" s="28"/>
      <c r="E768" s="28"/>
      <c r="F768" s="161">
        <v>457.0</v>
      </c>
      <c r="G768" s="152" t="str">
        <f>IFERROR(__xludf.DUMMYFUNCTION("TRIM(REGEXREPLACE(C768, ""[0-9]+[a-f]?\."", """"))"),"")</f>
        <v/>
      </c>
      <c r="H768" s="152" t="str">
        <f>IFERROR(__xludf.DUMMYFUNCTION("TRIM(REGEXREPLACE(D768, ""[0-9]+[a-f]?\."", """"))"),"")</f>
        <v/>
      </c>
      <c r="I768" s="152" t="str">
        <f>IFERROR(__xludf.DUMMYFUNCTION("TRIM(REGEXREPLACE(E768, ""[0-9]+[a-f]?\."", """"))"),"")</f>
        <v/>
      </c>
      <c r="J768" s="152" t="s">
        <v>5380</v>
      </c>
      <c r="K768" s="152" t="s">
        <v>5381</v>
      </c>
      <c r="L768" s="152" t="s">
        <v>5382</v>
      </c>
    </row>
    <row r="769" hidden="1">
      <c r="A769" s="90" t="s">
        <v>78</v>
      </c>
      <c r="B769" s="92" t="s">
        <v>5384</v>
      </c>
      <c r="C769" s="28"/>
      <c r="D769" s="28"/>
      <c r="E769" s="28"/>
      <c r="F769" s="161">
        <v>433.0</v>
      </c>
      <c r="G769" s="152" t="str">
        <f>IFERROR(__xludf.DUMMYFUNCTION("TRIM(REGEXREPLACE(C769, ""[0-9]+[a-f]?\."", """"))"),"")</f>
        <v/>
      </c>
      <c r="H769" s="152" t="str">
        <f>IFERROR(__xludf.DUMMYFUNCTION("TRIM(REGEXREPLACE(D769, ""[0-9]+[a-f]?\."", """"))"),"")</f>
        <v/>
      </c>
      <c r="I769" s="152" t="str">
        <f>IFERROR(__xludf.DUMMYFUNCTION("TRIM(REGEXREPLACE(E769, ""[0-9]+[a-f]?\."", """"))"),"")</f>
        <v/>
      </c>
      <c r="J769" s="152" t="s">
        <v>5386</v>
      </c>
      <c r="K769" s="152" t="s">
        <v>5388</v>
      </c>
      <c r="L769" s="152" t="s">
        <v>5388</v>
      </c>
    </row>
    <row r="770">
      <c r="A770" s="68" t="s">
        <v>5389</v>
      </c>
      <c r="B770" s="169" t="s">
        <v>5390</v>
      </c>
      <c r="C770" s="28" t="s">
        <v>5391</v>
      </c>
      <c r="D770" s="28" t="s">
        <v>5392</v>
      </c>
      <c r="E770" s="28" t="s">
        <v>5393</v>
      </c>
      <c r="F770" s="161">
        <v>277.0</v>
      </c>
      <c r="G770" s="152" t="str">
        <f>IFERROR(__xludf.DUMMYFUNCTION("TRIM(REGEXREPLACE(C770, ""[0-9]+[a-f]?\."", """"))"),"If you decide to migrate, when would you plan to leave ${pm_current_location}?")</f>
        <v>If you decide to migrate, when would you plan to leave ${pm_current_location}?</v>
      </c>
      <c r="H770" s="152" t="str">
        <f>IFERROR(__xludf.DUMMYFUNCTION("TRIM(REGEXREPLACE(D770, ""[0-9]+[a-f]?\."", """"))"),"Si vous décidez de migrer, quand comptez-vous quitter votre domicile ?")</f>
        <v>Si vous décidez de migrer, quand comptez-vous quitter votre domicile ?</v>
      </c>
      <c r="I770" s="152" t="str">
        <f>IFERROR(__xludf.DUMMYFUNCTION("TRIM(REGEXREPLACE(E770, ""[0-9]+[a-f]?\."", """"))"),"Idan kun yanke shawarar zuwa bida, yaushe kuke ganin za ku barin gida?")</f>
        <v>Idan kun yanke shawarar zuwa bida, yaushe kuke ganin za ku barin gida?</v>
      </c>
      <c r="J770" s="152" t="s">
        <v>5394</v>
      </c>
      <c r="K770" s="152" t="s">
        <v>5395</v>
      </c>
      <c r="L770" s="152" t="s">
        <v>5396</v>
      </c>
      <c r="M770" s="152"/>
    </row>
    <row r="771">
      <c r="A771" s="170" t="s">
        <v>263</v>
      </c>
      <c r="B771" s="171" t="s">
        <v>5397</v>
      </c>
      <c r="C771" s="28" t="s">
        <v>5398</v>
      </c>
      <c r="D771" s="28" t="s">
        <v>5400</v>
      </c>
      <c r="E771" s="28" t="s">
        <v>5401</v>
      </c>
      <c r="F771" s="161">
        <v>278.0</v>
      </c>
      <c r="G771" s="152" t="str">
        <f>IFERROR(__xludf.DUMMYFUNCTION("TRIM(REGEXREPLACE(C771, ""[0-9]+[a-f]?\."", """"))"),"If you decide to migrate, how long would you plan to stay at your destination (in months)?")</f>
        <v>If you decide to migrate, how long would you plan to stay at your destination (in months)?</v>
      </c>
      <c r="H771" s="152" t="str">
        <f>IFERROR(__xludf.DUMMYFUNCTION("TRIM(REGEXREPLACE(D771, ""[0-9]+[a-f]?\."", """"))"),"Si vous décidez de migrer, combien de temps prévoyez-vous de rester à destination (en mois) ?")</f>
        <v>Si vous décidez de migrer, combien de temps prévoyez-vous de rester à destination (en mois) ?</v>
      </c>
      <c r="I771" s="152" t="str">
        <f>IFERROR(__xludf.DUMMYFUNCTION("TRIM(REGEXREPLACE(E771, ""[0-9]+[a-f]?\."", """"))"),"Idan kun yi niyyar yin tahiya, tsawon wane lokaci kuke nufin zama a inda kuka je (a cikin watanni)?")</f>
        <v>Idan kun yi niyyar yin tahiya, tsawon wane lokaci kuke nufin zama a inda kuka je (a cikin watanni)?</v>
      </c>
      <c r="J771" s="152" t="s">
        <v>5403</v>
      </c>
      <c r="K771" s="152" t="s">
        <v>5404</v>
      </c>
      <c r="L771" s="152" t="s">
        <v>5405</v>
      </c>
      <c r="M771" s="152"/>
    </row>
    <row r="772">
      <c r="A772" s="65" t="s">
        <v>463</v>
      </c>
      <c r="B772" s="66" t="s">
        <v>5406</v>
      </c>
      <c r="C772" s="28" t="s">
        <v>5407</v>
      </c>
      <c r="D772" s="28" t="s">
        <v>5408</v>
      </c>
      <c r="E772" s="28" t="s">
        <v>5409</v>
      </c>
      <c r="F772" s="161">
        <v>279.0</v>
      </c>
      <c r="G772" s="152" t="str">
        <f>IFERROR(__xludf.DUMMYFUNCTION("TRIM(REGEXREPLACE(C772, ""[0-9]+[a-f]?\."", """"))"),"Do you plan to travel with someone else or as part of a group?")</f>
        <v>Do you plan to travel with someone else or as part of a group?</v>
      </c>
      <c r="H772" s="152" t="str">
        <f>IFERROR(__xludf.DUMMYFUNCTION("TRIM(REGEXREPLACE(D772, ""[0-9]+[a-f]?\."", """"))"),"Prévoyez-vous voyager avec quelqu'un d'autre ou en groupe ?")</f>
        <v>Prévoyez-vous voyager avec quelqu'un d'autre ou en groupe ?</v>
      </c>
      <c r="I772" s="152" t="str">
        <f>IFERROR(__xludf.DUMMYFUNCTION("TRIM(REGEXREPLACE(E772, ""[0-9]+[a-f]?\."", """"))"),"Kuna shirin tafiya tare da wani ko tare da wani gungun jama'a ?")</f>
        <v>Kuna shirin tafiya tare da wani ko tare da wani gungun jama'a ?</v>
      </c>
      <c r="J772" s="152" t="s">
        <v>5410</v>
      </c>
      <c r="K772" s="152" t="s">
        <v>5411</v>
      </c>
      <c r="L772" s="152" t="s">
        <v>5412</v>
      </c>
      <c r="M772" s="152"/>
    </row>
    <row r="773">
      <c r="A773" s="65" t="s">
        <v>463</v>
      </c>
      <c r="B773" s="66" t="s">
        <v>5414</v>
      </c>
      <c r="C773" s="28" t="s">
        <v>5415</v>
      </c>
      <c r="D773" s="28" t="s">
        <v>5416</v>
      </c>
      <c r="E773" s="28" t="s">
        <v>5417</v>
      </c>
      <c r="F773" s="161">
        <v>280.0</v>
      </c>
      <c r="G773" s="152" t="str">
        <f>IFERROR(__xludf.DUMMYFUNCTION("TRIM(REGEXREPLACE(C773, ""[0-9]+[a-f]?\."", """"))"),"Have you traveled with any of these people before?")</f>
        <v>Have you traveled with any of these people before?</v>
      </c>
      <c r="H773" s="152" t="str">
        <f>IFERROR(__xludf.DUMMYFUNCTION("TRIM(REGEXREPLACE(D773, ""[0-9]+[a-f]?\."", """"))"),"Avez-vous déjà voyagé avec l'une de ces personnes ?")</f>
        <v>Avez-vous déjà voyagé avec l'une de ces personnes ?</v>
      </c>
      <c r="I773" s="152" t="str">
        <f>IFERROR(__xludf.DUMMYFUNCTION("TRIM(REGEXREPLACE(E773, ""[0-9]+[a-f]?\."", """"))"),"Ko kun taɓa yin tafiya tare da ɗaya daga cikin waɗannan mutanen ?")</f>
        <v>Ko kun taɓa yin tafiya tare da ɗaya daga cikin waɗannan mutanen ?</v>
      </c>
      <c r="J773" s="152" t="s">
        <v>5419</v>
      </c>
      <c r="K773" s="152" t="s">
        <v>5420</v>
      </c>
      <c r="L773" s="152" t="s">
        <v>5421</v>
      </c>
    </row>
    <row r="774">
      <c r="A774" s="65" t="s">
        <v>463</v>
      </c>
      <c r="B774" s="66" t="s">
        <v>5423</v>
      </c>
      <c r="C774" s="28" t="s">
        <v>5424</v>
      </c>
      <c r="D774" s="28" t="s">
        <v>5425</v>
      </c>
      <c r="E774" s="28" t="s">
        <v>5426</v>
      </c>
      <c r="F774" s="161">
        <v>281.0</v>
      </c>
      <c r="G774" s="152" t="str">
        <f>IFERROR(__xludf.DUMMYFUNCTION("TRIM(REGEXREPLACE(C774, ""[0-9]+[a-f]?\."", """"))"),"Did you meet any of these people during a past migration?")</f>
        <v>Did you meet any of these people during a past migration?</v>
      </c>
      <c r="H774" s="152" t="str">
        <f>IFERROR(__xludf.DUMMYFUNCTION("TRIM(REGEXREPLACE(D774, ""[0-9]+[a-f]?\."", """"))"),"Avez-vous rencontré l'une de ces personnes lors d'une précédente migration ?")</f>
        <v>Avez-vous rencontré l'une de ces personnes lors d'une précédente migration ?</v>
      </c>
      <c r="I774" s="152" t="str">
        <f>IFERROR(__xludf.DUMMYFUNCTION("TRIM(REGEXREPLACE(E774, ""[0-9]+[a-f]?\."", """"))"),"Ko kun haɗu da ɗaya daga cikin waɗannan mutanen a wata tahiya da ta gabata?")</f>
        <v>Ko kun haɗu da ɗaya daga cikin waɗannan mutanen a wata tahiya da ta gabata?</v>
      </c>
      <c r="J774" s="152" t="s">
        <v>5427</v>
      </c>
      <c r="K774" s="152" t="s">
        <v>5428</v>
      </c>
      <c r="L774" s="152" t="s">
        <v>5429</v>
      </c>
      <c r="M774" s="152"/>
    </row>
    <row r="775">
      <c r="A775" s="65" t="s">
        <v>5430</v>
      </c>
      <c r="B775" s="66" t="s">
        <v>5431</v>
      </c>
      <c r="C775" s="28" t="s">
        <v>5432</v>
      </c>
      <c r="D775" s="28" t="s">
        <v>5433</v>
      </c>
      <c r="E775" s="28" t="s">
        <v>5434</v>
      </c>
      <c r="F775" s="161">
        <v>282.0</v>
      </c>
      <c r="G775" s="152" t="str">
        <f>IFERROR(__xludf.DUMMYFUNCTION("TRIM(REGEXREPLACE(C775, ""[0-9]+[a-f]?\."", """"))"),"How do you know the person/people you plan to travel with?")</f>
        <v>How do you know the person/people you plan to travel with?</v>
      </c>
      <c r="H775" s="152" t="str">
        <f>IFERROR(__xludf.DUMMYFUNCTION("TRIM(REGEXREPLACE(D775, ""[0-9]+[a-f]?\."", """"))"),"Comment avez-connu la ou les personnes avec qui vous prévoyez de voyager ?")</f>
        <v>Comment avez-connu la ou les personnes avec qui vous prévoyez de voyager ?</v>
      </c>
      <c r="I775" s="152" t="str">
        <f>IFERROR(__xludf.DUMMYFUNCTION("TRIM(REGEXREPLACE(E775, ""[0-9]+[a-f]?\."", """"))"),"Yaya kuka san mutumen ko mutanen da kuke shirin tafiya tare?")</f>
        <v>Yaya kuka san mutumen ko mutanen da kuke shirin tafiya tare?</v>
      </c>
      <c r="J775" s="152" t="s">
        <v>5436</v>
      </c>
      <c r="K775" s="152" t="s">
        <v>5437</v>
      </c>
      <c r="L775" s="152" t="s">
        <v>5438</v>
      </c>
      <c r="M775" s="152"/>
    </row>
    <row r="776">
      <c r="A776" s="65" t="s">
        <v>246</v>
      </c>
      <c r="B776" s="66" t="s">
        <v>5439</v>
      </c>
      <c r="C776" s="28" t="s">
        <v>5440</v>
      </c>
      <c r="D776" s="28" t="s">
        <v>5441</v>
      </c>
      <c r="E776" s="28" t="s">
        <v>5443</v>
      </c>
      <c r="F776" s="161">
        <v>283.0</v>
      </c>
      <c r="G776" s="152" t="str">
        <f>IFERROR(__xludf.DUMMYFUNCTION("TRIM(REGEXREPLACE(C776, ""[0-9]+[a-f]?\."", """"))"),"Other, specify:")</f>
        <v>Other, specify:</v>
      </c>
      <c r="H776" s="152" t="str">
        <f>IFERROR(__xludf.DUMMYFUNCTION("TRIM(REGEXREPLACE(D776, ""[0-9]+[a-f]?\."", """"))"),"Autre précisez:")</f>
        <v>Autre précisez:</v>
      </c>
      <c r="I776" s="152" t="str">
        <f>IFERROR(__xludf.DUMMYFUNCTION("TRIM(REGEXREPLACE(E776, ""[0-9]+[a-f]?\."", """"))"),"Wani daban, baiyana:")</f>
        <v>Wani daban, baiyana:</v>
      </c>
      <c r="J776" s="152" t="s">
        <v>5445</v>
      </c>
      <c r="K776" s="152" t="s">
        <v>5446</v>
      </c>
      <c r="L776" s="152" t="s">
        <v>5447</v>
      </c>
      <c r="M776" s="152"/>
    </row>
    <row r="777" hidden="1">
      <c r="A777" s="65" t="s">
        <v>134</v>
      </c>
      <c r="B777" s="66" t="s">
        <v>5448</v>
      </c>
      <c r="C777" s="28"/>
      <c r="D777" s="28"/>
      <c r="E777" s="28"/>
      <c r="F777" s="161">
        <v>465.0</v>
      </c>
      <c r="G777" s="152" t="str">
        <f>IFERROR(__xludf.DUMMYFUNCTION("TRIM(REGEXREPLACE(C777, ""[0-9]+[a-f]?\."", """"))"),"")</f>
        <v/>
      </c>
      <c r="H777" s="152" t="str">
        <f>IFERROR(__xludf.DUMMYFUNCTION("TRIM(REGEXREPLACE(D777, ""[0-9]+[a-f]?\."", """"))"),"")</f>
        <v/>
      </c>
      <c r="I777" s="152" t="str">
        <f>IFERROR(__xludf.DUMMYFUNCTION("TRIM(REGEXREPLACE(E777, ""[0-9]+[a-f]?\."", """"))"),"")</f>
        <v/>
      </c>
      <c r="J777" s="152" t="s">
        <v>5449</v>
      </c>
      <c r="K777" s="152" t="s">
        <v>5450</v>
      </c>
      <c r="L777" s="152" t="s">
        <v>5451</v>
      </c>
    </row>
    <row r="778" hidden="1">
      <c r="A778" s="58" t="s">
        <v>78</v>
      </c>
      <c r="B778" s="58" t="s">
        <v>5453</v>
      </c>
      <c r="C778" s="28"/>
      <c r="D778" s="28"/>
      <c r="E778" s="28"/>
      <c r="F778" s="161">
        <v>466.0</v>
      </c>
      <c r="G778" s="152" t="str">
        <f>IFERROR(__xludf.DUMMYFUNCTION("TRIM(REGEXREPLACE(C778, ""[0-9]+[a-f]?\."", """"))"),"")</f>
        <v/>
      </c>
      <c r="H778" s="152" t="str">
        <f>IFERROR(__xludf.DUMMYFUNCTION("TRIM(REGEXREPLACE(D778, ""[0-9]+[a-f]?\."", """"))"),"")</f>
        <v/>
      </c>
      <c r="I778" s="152" t="str">
        <f>IFERROR(__xludf.DUMMYFUNCTION("TRIM(REGEXREPLACE(E778, ""[0-9]+[a-f]?\."", """"))"),"")</f>
        <v/>
      </c>
      <c r="J778" s="152" t="s">
        <v>5456</v>
      </c>
      <c r="K778" s="152" t="s">
        <v>5457</v>
      </c>
      <c r="L778" s="152" t="s">
        <v>5458</v>
      </c>
    </row>
    <row r="779" hidden="1">
      <c r="A779" s="229"/>
      <c r="B779" s="283"/>
      <c r="C779" s="28"/>
      <c r="D779" s="28"/>
      <c r="E779" s="28"/>
      <c r="F779" s="161">
        <v>467.0</v>
      </c>
      <c r="G779" s="152" t="str">
        <f>IFERROR(__xludf.DUMMYFUNCTION("TRIM(REGEXREPLACE(C779, ""[0-9]+[a-f]?\."", """"))"),"")</f>
        <v/>
      </c>
      <c r="H779" s="152" t="str">
        <f>IFERROR(__xludf.DUMMYFUNCTION("TRIM(REGEXREPLACE(D779, ""[0-9]+[a-f]?\."", """"))"),"")</f>
        <v/>
      </c>
      <c r="I779" s="152" t="str">
        <f>IFERROR(__xludf.DUMMYFUNCTION("TRIM(REGEXREPLACE(E779, ""[0-9]+[a-f]?\."", """"))"),"")</f>
        <v/>
      </c>
      <c r="J779" s="152" t="s">
        <v>5459</v>
      </c>
      <c r="K779" s="152" t="s">
        <v>5460</v>
      </c>
      <c r="L779" s="152" t="s">
        <v>5461</v>
      </c>
    </row>
    <row r="780" hidden="1">
      <c r="A780" s="65" t="s">
        <v>134</v>
      </c>
      <c r="B780" s="66" t="s">
        <v>5462</v>
      </c>
      <c r="C780" s="28"/>
      <c r="D780" s="28"/>
      <c r="E780" s="28"/>
      <c r="F780" s="161">
        <v>468.0</v>
      </c>
      <c r="G780" s="152" t="str">
        <f>IFERROR(__xludf.DUMMYFUNCTION("TRIM(REGEXREPLACE(C780, ""[0-9]+[a-f]?\."", """"))"),"")</f>
        <v/>
      </c>
      <c r="H780" s="152" t="str">
        <f>IFERROR(__xludf.DUMMYFUNCTION("TRIM(REGEXREPLACE(D780, ""[0-9]+[a-f]?\."", """"))"),"")</f>
        <v/>
      </c>
      <c r="I780" s="152" t="str">
        <f>IFERROR(__xludf.DUMMYFUNCTION("TRIM(REGEXREPLACE(E780, ""[0-9]+[a-f]?\."", """"))"),"")</f>
        <v/>
      </c>
      <c r="J780" s="152" t="s">
        <v>5464</v>
      </c>
      <c r="K780" s="152" t="s">
        <v>5465</v>
      </c>
      <c r="L780" s="152" t="s">
        <v>5466</v>
      </c>
      <c r="M780" s="152"/>
    </row>
    <row r="781">
      <c r="A781" s="123" t="s">
        <v>5469</v>
      </c>
      <c r="B781" s="284" t="s">
        <v>5471</v>
      </c>
      <c r="C781" s="28" t="s">
        <v>3479</v>
      </c>
      <c r="D781" s="28" t="s">
        <v>5472</v>
      </c>
      <c r="E781" s="28" t="s">
        <v>5473</v>
      </c>
      <c r="F781" s="161">
        <v>284.0</v>
      </c>
      <c r="G781" s="152" t="str">
        <f>IFERROR(__xludf.DUMMYFUNCTION("TRIM(REGEXREPLACE(C781, ""[0-9]+[a-f]?\."", """"))"),"What are the potential risks of migrating for the average migrant?")</f>
        <v>What are the potential risks of migrating for the average migrant?</v>
      </c>
      <c r="H781" s="152" t="str">
        <f>IFERROR(__xludf.DUMMYFUNCTION("TRIM(REGEXREPLACE(D781, ""[0-9]+[a-f]?\."", """"))"),"Quels sont les risques potentiels de la migration pour le migrant moyen ?")</f>
        <v>Quels sont les risques potentiels de la migration pour le migrant moyen ?</v>
      </c>
      <c r="I781" s="152" t="str">
        <f>IFERROR(__xludf.DUMMYFUNCTION("TRIM(REGEXREPLACE(E781, ""[0-9]+[a-f]?\."", """"))"),"Menene haɗarin zuwa biɗa ga matsaƙaicin ƙarhi?")</f>
        <v>Menene haɗarin zuwa biɗa ga matsaƙaicin ƙarhi?</v>
      </c>
      <c r="J781" s="152" t="s">
        <v>5475</v>
      </c>
      <c r="K781" s="152" t="s">
        <v>5477</v>
      </c>
      <c r="L781" s="152" t="s">
        <v>5478</v>
      </c>
      <c r="M781" s="152"/>
    </row>
    <row r="782">
      <c r="A782" s="123" t="s">
        <v>5479</v>
      </c>
      <c r="B782" s="284" t="s">
        <v>5480</v>
      </c>
      <c r="C782" s="28" t="s">
        <v>3484</v>
      </c>
      <c r="D782" s="28" t="s">
        <v>5482</v>
      </c>
      <c r="E782" s="28" t="s">
        <v>5483</v>
      </c>
      <c r="F782" s="161">
        <v>285.0</v>
      </c>
      <c r="G782" s="152" t="str">
        <f>IFERROR(__xludf.DUMMYFUNCTION("TRIM(REGEXREPLACE(C782, ""[0-9]+[a-f]?\."", """"))"),"What are some things that you could do to mitigate some of the risks associated with traveling to a neighboring country to find work?")</f>
        <v>What are some things that you could do to mitigate some of the risks associated with traveling to a neighboring country to find work?</v>
      </c>
      <c r="H782" s="152" t="str">
        <f>IFERROR(__xludf.DUMMYFUNCTION("TRIM(REGEXREPLACE(D782, ""[0-9]+[a-f]?\."", """"))"),"Quelles mesures pourriez-vous prendre pour atténuer certains des risques associés au voyage dans un pays voisin pour trouver du travail ?")</f>
        <v>Quelles mesures pourriez-vous prendre pour atténuer certains des risques associés au voyage dans un pays voisin pour trouver du travail ?</v>
      </c>
      <c r="I782" s="152" t="str">
        <f>IFERROR(__xludf.DUMMYFUNCTION("TRIM(REGEXREPLACE(E782, ""[0-9]+[a-f]?\."", """"))"),"Wadanne abubuwa ne za ka iya yi don rage wasu haɗurran da ke tattare da balaguro zuwa makwabciyar ƙasa don neman aiki?")</f>
        <v>Wadanne abubuwa ne za ka iya yi don rage wasu haɗurran da ke tattare da balaguro zuwa makwabciyar ƙasa don neman aiki?</v>
      </c>
      <c r="J782" s="152" t="s">
        <v>5484</v>
      </c>
      <c r="K782" s="152" t="s">
        <v>5485</v>
      </c>
      <c r="L782" s="152" t="s">
        <v>5486</v>
      </c>
      <c r="M782" s="152"/>
    </row>
    <row r="783" hidden="1">
      <c r="A783" s="65" t="s">
        <v>134</v>
      </c>
      <c r="B783" s="66" t="s">
        <v>5487</v>
      </c>
      <c r="C783" s="28"/>
      <c r="D783" s="28"/>
      <c r="E783" s="28"/>
      <c r="F783" s="161">
        <v>471.0</v>
      </c>
      <c r="G783" s="152" t="str">
        <f>IFERROR(__xludf.DUMMYFUNCTION("TRIM(REGEXREPLACE(C783, ""[0-9]+[a-f]?\."", """"))"),"")</f>
        <v/>
      </c>
      <c r="H783" s="152" t="str">
        <f>IFERROR(__xludf.DUMMYFUNCTION("TRIM(REGEXREPLACE(D783, ""[0-9]+[a-f]?\."", """"))"),"")</f>
        <v/>
      </c>
      <c r="I783" s="152" t="str">
        <f>IFERROR(__xludf.DUMMYFUNCTION("TRIM(REGEXREPLACE(E783, ""[0-9]+[a-f]?\."", """"))"),"")</f>
        <v/>
      </c>
      <c r="J783" s="152" t="s">
        <v>5488</v>
      </c>
      <c r="K783" s="152" t="s">
        <v>5489</v>
      </c>
      <c r="L783" s="152" t="s">
        <v>5490</v>
      </c>
      <c r="M783" s="152"/>
    </row>
    <row r="784" hidden="1">
      <c r="A784" s="58" t="s">
        <v>78</v>
      </c>
      <c r="B784" s="58" t="s">
        <v>5491</v>
      </c>
      <c r="C784" s="28"/>
      <c r="D784" s="28"/>
      <c r="E784" s="28"/>
      <c r="F784" s="161">
        <v>472.0</v>
      </c>
      <c r="G784" s="152" t="str">
        <f>IFERROR(__xludf.DUMMYFUNCTION("TRIM(REGEXREPLACE(C784, ""[0-9]+[a-f]?\."", """"))"),"")</f>
        <v/>
      </c>
      <c r="H784" s="152" t="str">
        <f>IFERROR(__xludf.DUMMYFUNCTION("TRIM(REGEXREPLACE(D784, ""[0-9]+[a-f]?\."", """"))"),"")</f>
        <v/>
      </c>
      <c r="I784" s="152" t="str">
        <f>IFERROR(__xludf.DUMMYFUNCTION("TRIM(REGEXREPLACE(E784, ""[0-9]+[a-f]?\."", """"))"),"")</f>
        <v/>
      </c>
      <c r="J784" s="152" t="s">
        <v>5493</v>
      </c>
      <c r="K784" s="152" t="s">
        <v>5494</v>
      </c>
      <c r="L784" s="152" t="s">
        <v>5495</v>
      </c>
      <c r="M784" s="152"/>
    </row>
    <row r="785" hidden="1">
      <c r="A785" s="136"/>
      <c r="B785" s="136"/>
      <c r="C785" s="28"/>
      <c r="D785" s="28"/>
      <c r="E785" s="28"/>
      <c r="F785" s="161">
        <v>473.0</v>
      </c>
      <c r="G785" s="152" t="str">
        <f>IFERROR(__xludf.DUMMYFUNCTION("TRIM(REGEXREPLACE(C785, ""[0-9]+[a-f]?\."", """"))"),"")</f>
        <v/>
      </c>
      <c r="H785" s="152" t="str">
        <f>IFERROR(__xludf.DUMMYFUNCTION("TRIM(REGEXREPLACE(D785, ""[0-9]+[a-f]?\."", """"))"),"")</f>
        <v/>
      </c>
      <c r="I785" s="152" t="str">
        <f>IFERROR(__xludf.DUMMYFUNCTION("TRIM(REGEXREPLACE(E785, ""[0-9]+[a-f]?\."", """"))"),"")</f>
        <v/>
      </c>
      <c r="J785" s="152" t="s">
        <v>5496</v>
      </c>
      <c r="K785" s="152" t="s">
        <v>5497</v>
      </c>
      <c r="L785" s="152" t="s">
        <v>5498</v>
      </c>
      <c r="M785" s="152"/>
    </row>
    <row r="786">
      <c r="A786" s="166" t="s">
        <v>41</v>
      </c>
      <c r="B786" s="284" t="s">
        <v>5499</v>
      </c>
      <c r="C786" s="28" t="s">
        <v>5500</v>
      </c>
      <c r="D786" s="28" t="s">
        <v>5501</v>
      </c>
      <c r="E786" s="28" t="s">
        <v>5503</v>
      </c>
      <c r="F786" s="161">
        <v>286.0</v>
      </c>
      <c r="G786" s="152" t="str">
        <f>IFERROR(__xludf.DUMMYFUNCTION("TRIM(REGEXREPLACE(C786, ""[0-9]+[a-f]?\."", """"))"),"I am going to ask you now about other things you may have done during ${period}.")</f>
        <v>I am going to ask you now about other things you may have done during ${period}.</v>
      </c>
      <c r="H786" s="152" t="str">
        <f>IFERROR(__xludf.DUMMYFUNCTION("TRIM(REGEXREPLACE(D786, ""[0-9]+[a-f]?\."", """"))"),"Je vais maintenant vous poser des questions sur d'autres choses que vous avez pu faire de ${period_french}.")</f>
        <v>Je vais maintenant vous poser des questions sur d'autres choses que vous avez pu faire de ${period_french}.</v>
      </c>
      <c r="I786" s="152" t="str">
        <f>IFERROR(__xludf.DUMMYFUNCTION("TRIM(REGEXREPLACE(E786, ""[0-9]+[a-f]?\."", """"))"),"Yanzu zan tambaye ku game da wasu abubuwan da ka samu damar yi a lokacin ${period_hausa}.")</f>
        <v>Yanzu zan tambaye ku game da wasu abubuwan da ka samu damar yi a lokacin ${period_hausa}.</v>
      </c>
      <c r="J786" s="152" t="s">
        <v>5507</v>
      </c>
      <c r="K786" s="152" t="s">
        <v>5509</v>
      </c>
      <c r="L786" s="152" t="s">
        <v>5510</v>
      </c>
      <c r="M786" s="152"/>
    </row>
    <row r="787">
      <c r="A787" s="68" t="s">
        <v>463</v>
      </c>
      <c r="B787" s="218" t="s">
        <v>5511</v>
      </c>
      <c r="C787" s="28" t="s">
        <v>5512</v>
      </c>
      <c r="D787" s="28" t="s">
        <v>5513</v>
      </c>
      <c r="E787" s="28" t="s">
        <v>5515</v>
      </c>
      <c r="F787" s="161">
        <v>287.0</v>
      </c>
      <c r="G787" s="152" t="str">
        <f>IFERROR(__xludf.DUMMYFUNCTION("TRIM(REGEXREPLACE(C787, ""[0-9]+[a-f]?\."", """"))"),"During ${period}, did you participate in any training to learn a new language?")</f>
        <v>During ${period}, did you participate in any training to learn a new language?</v>
      </c>
      <c r="H787" s="152" t="str">
        <f>IFERROR(__xludf.DUMMYFUNCTION("TRIM(REGEXREPLACE(D787, ""[0-9]+[a-f]?\."", """"))"),"Au cours la période de ${period_french}, avez-vous participé à une formation pour apprendre une nouvelle langue ?")</f>
        <v>Au cours la période de ${period_french}, avez-vous participé à une formation pour apprendre une nouvelle langue ?</v>
      </c>
      <c r="I787" s="152" t="str">
        <f>IFERROR(__xludf.DUMMYFUNCTION("TRIM(REGEXREPLACE(E787, ""[0-9]+[a-f]?\."", """"))"),"A lokacin ${period_hausa}, kun halarci wani horo don koyon wani sabon yare/harshe?")</f>
        <v>A lokacin ${period_hausa}, kun halarci wani horo don koyon wani sabon yare/harshe?</v>
      </c>
      <c r="J787" s="152" t="s">
        <v>5516</v>
      </c>
      <c r="K787" s="152" t="s">
        <v>5517</v>
      </c>
      <c r="L787" s="152" t="s">
        <v>5518</v>
      </c>
      <c r="M787" s="152"/>
    </row>
    <row r="788">
      <c r="A788" s="68" t="s">
        <v>5519</v>
      </c>
      <c r="B788" s="218" t="s">
        <v>5520</v>
      </c>
      <c r="C788" s="28" t="s">
        <v>5521</v>
      </c>
      <c r="D788" s="28" t="s">
        <v>5522</v>
      </c>
      <c r="E788" s="28" t="s">
        <v>5523</v>
      </c>
      <c r="F788" s="161">
        <v>288.0</v>
      </c>
      <c r="G788" s="152" t="str">
        <f>IFERROR(__xludf.DUMMYFUNCTION("TRIM(REGEXREPLACE(C788, ""[0-9]+[a-f]?\."", """"))"),"What language did you train in?")</f>
        <v>What language did you train in?</v>
      </c>
      <c r="H788" s="152" t="str">
        <f>IFERROR(__xludf.DUMMYFUNCTION("TRIM(REGEXREPLACE(D788, ""[0-9]+[a-f]?\."", """"))"),"Dans quelle langue avez-vous été formé ?")</f>
        <v>Dans quelle langue avez-vous été formé ?</v>
      </c>
      <c r="I788" s="152" t="str">
        <f>IFERROR(__xludf.DUMMYFUNCTION("TRIM(REGEXREPLACE(E788, ""[0-9]+[a-f]?\."", """"))"),"A cikin wane yare ne aka horar da ku ?")</f>
        <v>A cikin wane yare ne aka horar da ku ?</v>
      </c>
      <c r="J788" s="152" t="s">
        <v>5524</v>
      </c>
      <c r="K788" s="152" t="s">
        <v>5525</v>
      </c>
      <c r="L788" s="152" t="s">
        <v>5526</v>
      </c>
      <c r="M788" s="152"/>
    </row>
    <row r="789">
      <c r="A789" s="179" t="s">
        <v>246</v>
      </c>
      <c r="B789" s="228" t="s">
        <v>5527</v>
      </c>
      <c r="C789" s="28" t="s">
        <v>5529</v>
      </c>
      <c r="D789" s="28" t="s">
        <v>5532</v>
      </c>
      <c r="E789" s="28" t="s">
        <v>5534</v>
      </c>
      <c r="F789" s="161">
        <v>289.0</v>
      </c>
      <c r="G789" s="152" t="str">
        <f>IFERROR(__xludf.DUMMYFUNCTION("TRIM(REGEXREPLACE(C789, ""[0-9]+[a-f]?\."", """"))"),"Specify other")</f>
        <v>Specify other</v>
      </c>
      <c r="H789" s="152" t="str">
        <f>IFERROR(__xludf.DUMMYFUNCTION("TRIM(REGEXREPLACE(D789, ""[0-9]+[a-f]?\."", """"))"),"Autre à Préciser")</f>
        <v>Autre à Préciser</v>
      </c>
      <c r="I789" s="152" t="str">
        <f>IFERROR(__xludf.DUMMYFUNCTION("TRIM(REGEXREPLACE(E789, ""[0-9]+[a-f]?\."", """"))"),"Wani daban a baiyana")</f>
        <v>Wani daban a baiyana</v>
      </c>
      <c r="J789" s="152" t="s">
        <v>5535</v>
      </c>
      <c r="K789" s="152" t="s">
        <v>5536</v>
      </c>
      <c r="L789" s="152" t="s">
        <v>5537</v>
      </c>
      <c r="M789" s="152"/>
    </row>
    <row r="790">
      <c r="A790" s="170" t="s">
        <v>263</v>
      </c>
      <c r="B790" s="271" t="s">
        <v>5538</v>
      </c>
      <c r="C790" s="28" t="s">
        <v>5539</v>
      </c>
      <c r="D790" s="28" t="s">
        <v>5540</v>
      </c>
      <c r="E790" s="28" t="s">
        <v>5541</v>
      </c>
      <c r="F790" s="161">
        <v>290.0</v>
      </c>
      <c r="G790" s="152" t="str">
        <f>IFERROR(__xludf.DUMMYFUNCTION("TRIM(REGEXREPLACE(C790, ""[0-9]+[a-f]?\."", """"))"),"How much did you have to pay for this training?")</f>
        <v>How much did you have to pay for this training?</v>
      </c>
      <c r="H790" s="152" t="str">
        <f>IFERROR(__xludf.DUMMYFUNCTION("TRIM(REGEXREPLACE(D790, ""[0-9]+[a-f]?\."", """"))"),"Combien avez-vous dû payer pour cette formation ?")</f>
        <v>Combien avez-vous dû payer pour cette formation ?</v>
      </c>
      <c r="I790" s="152" t="str">
        <f>IFERROR(__xludf.DUMMYFUNCTION("TRIM(REGEXREPLACE(E790, ""[0-9]+[a-f]?\."", """"))"),"Nawa kuka biya don wannan horon?")</f>
        <v>Nawa kuka biya don wannan horon?</v>
      </c>
      <c r="J790" s="152" t="s">
        <v>5542</v>
      </c>
      <c r="K790" s="152" t="s">
        <v>5543</v>
      </c>
      <c r="L790" s="152" t="s">
        <v>5544</v>
      </c>
      <c r="M790" s="152"/>
    </row>
    <row r="791">
      <c r="A791" s="68" t="s">
        <v>463</v>
      </c>
      <c r="B791" s="218" t="s">
        <v>5545</v>
      </c>
      <c r="C791" s="28" t="s">
        <v>5546</v>
      </c>
      <c r="D791" s="28" t="s">
        <v>5547</v>
      </c>
      <c r="E791" s="28" t="s">
        <v>5548</v>
      </c>
      <c r="F791" s="161">
        <v>291.0</v>
      </c>
      <c r="G791" s="152" t="str">
        <f>IFERROR(__xludf.DUMMYFUNCTION("TRIM(REGEXREPLACE(C791, ""[0-9]+[a-f]?\."", """"))"),"During ${period}, did you participate in any form of vocational training or education course?")</f>
        <v>During ${period}, did you participate in any form of vocational training or education course?</v>
      </c>
      <c r="H791" s="152" t="str">
        <f>IFERROR(__xludf.DUMMYFUNCTION("TRIM(REGEXREPLACE(D791, ""[0-9]+[a-f]?\."", """"))"),"Au cours de la période de ${period_french}, avez-vous participé à une forme quelconque de formation professionnelle ou de cours ?")</f>
        <v>Au cours de la période de ${period_french}, avez-vous participé à une forme quelconque de formation professionnelle ou de cours ?</v>
      </c>
      <c r="I791" s="152" t="str">
        <f>IFERROR(__xludf.DUMMYFUNCTION("TRIM(REGEXREPLACE(E791, ""[0-9]+[a-f]?\."", """"))"),"A lokacin ${period_hausa}, kun shiga wani horo na kwarewa cikin wata sana'a ko wani karatu na ilimi?")</f>
        <v>A lokacin ${period_hausa}, kun shiga wani horo na kwarewa cikin wata sana'a ko wani karatu na ilimi?</v>
      </c>
      <c r="J791" s="152" t="s">
        <v>5549</v>
      </c>
      <c r="K791" s="152" t="s">
        <v>5550</v>
      </c>
      <c r="L791" s="152" t="s">
        <v>5551</v>
      </c>
      <c r="M791" s="152"/>
    </row>
    <row r="792">
      <c r="A792" s="179" t="s">
        <v>246</v>
      </c>
      <c r="B792" s="228" t="s">
        <v>5552</v>
      </c>
      <c r="C792" s="28" t="s">
        <v>3562</v>
      </c>
      <c r="D792" s="28" t="s">
        <v>5553</v>
      </c>
      <c r="E792" s="28" t="s">
        <v>5554</v>
      </c>
      <c r="F792" s="161">
        <v>292.0</v>
      </c>
      <c r="G792" s="152" t="str">
        <f>IFERROR(__xludf.DUMMYFUNCTION("TRIM(REGEXREPLACE(C792, ""[0-9]+[a-f]?\."", """"))"),"What type of training course(s) did you participate in (e.g. mechanic training, accounting, IT systems)?")</f>
        <v>What type of training course(s) did you participate in (e.g. mechanic training, accounting, IT systems)?</v>
      </c>
      <c r="H792" s="152" t="str">
        <f>IFERROR(__xludf.DUMMYFUNCTION("TRIM(REGEXREPLACE(D792, ""[0-9]+[a-f]?\."", """"))"),"À quel(s) type(s) de formation(s) avez-vous participé (par exemple, formation mécanique, comptabilité, systèmes informatiques) ?")</f>
        <v>À quel(s) type(s) de formation(s) avez-vous participé (par exemple, formation mécanique, comptabilité, systèmes informatiques) ?</v>
      </c>
      <c r="I792" s="152" t="str">
        <f>IFERROR(__xludf.DUMMYFUNCTION("TRIM(REGEXREPLACE(E792, ""[0-9]+[a-f]?\."", """"))"),"Wane irin horo (s) kuka shiga (misali horon makanikanci, lissafin kuɗi, tsarin IT)?")</f>
        <v>Wane irin horo (s) kuka shiga (misali horon makanikanci, lissafin kuɗi, tsarin IT)?</v>
      </c>
      <c r="J792" s="152" t="s">
        <v>5556</v>
      </c>
      <c r="K792" s="152" t="s">
        <v>5557</v>
      </c>
      <c r="L792" s="152" t="s">
        <v>5558</v>
      </c>
      <c r="M792" s="152"/>
    </row>
    <row r="793">
      <c r="A793" s="170" t="s">
        <v>263</v>
      </c>
      <c r="B793" s="271" t="s">
        <v>5559</v>
      </c>
      <c r="C793" s="28" t="s">
        <v>3566</v>
      </c>
      <c r="D793" s="28" t="s">
        <v>5560</v>
      </c>
      <c r="E793" s="28" t="s">
        <v>5561</v>
      </c>
      <c r="F793" s="161">
        <v>293.0</v>
      </c>
      <c r="G793" s="152" t="str">
        <f>IFERROR(__xludf.DUMMYFUNCTION("TRIM(REGEXREPLACE(C793, ""[0-9]+[a-f]?\."", """"))"),"How much did you have to pay for this training?")</f>
        <v>How much did you have to pay for this training?</v>
      </c>
      <c r="H793" s="152" t="str">
        <f>IFERROR(__xludf.DUMMYFUNCTION("TRIM(REGEXREPLACE(D793, ""[0-9]+[a-f]?\."", """"))"),"Combien avez-vous dû payer pour cette formation ?")</f>
        <v>Combien avez-vous dû payer pour cette formation ?</v>
      </c>
      <c r="I793" s="152" t="str">
        <f>IFERROR(__xludf.DUMMYFUNCTION("TRIM(REGEXREPLACE(E793, ""[0-9]+[a-f]?\."", """"))"),"Nawa kuka biya don wannan horon?")</f>
        <v>Nawa kuka biya don wannan horon?</v>
      </c>
      <c r="J793" s="152" t="s">
        <v>5562</v>
      </c>
      <c r="K793" s="152" t="s">
        <v>5563</v>
      </c>
      <c r="L793" s="152" t="s">
        <v>5564</v>
      </c>
      <c r="M793" s="152"/>
    </row>
    <row r="794" hidden="1">
      <c r="A794" s="166"/>
      <c r="B794" s="167"/>
      <c r="C794" s="28"/>
      <c r="D794" s="28"/>
      <c r="E794" s="28"/>
      <c r="F794" s="161">
        <v>465.0</v>
      </c>
      <c r="G794" s="152" t="str">
        <f>IFERROR(__xludf.DUMMYFUNCTION("TRIM(REGEXREPLACE(C794, ""[0-9]+[a-f]?\."", """"))"),"")</f>
        <v/>
      </c>
      <c r="H794" s="152" t="str">
        <f>IFERROR(__xludf.DUMMYFUNCTION("TRIM(REGEXREPLACE(D794, ""[0-9]+[a-f]?\."", """"))"),"")</f>
        <v/>
      </c>
      <c r="I794" s="152" t="str">
        <f>IFERROR(__xludf.DUMMYFUNCTION("TRIM(REGEXREPLACE(E794, ""[0-9]+[a-f]?\."", """"))"),"")</f>
        <v/>
      </c>
      <c r="J794" s="152" t="s">
        <v>5565</v>
      </c>
      <c r="K794" s="152" t="s">
        <v>5566</v>
      </c>
      <c r="L794" s="152" t="s">
        <v>5567</v>
      </c>
      <c r="M794" s="152"/>
    </row>
    <row r="795" hidden="1">
      <c r="A795" s="65" t="s">
        <v>134</v>
      </c>
      <c r="B795" s="66" t="s">
        <v>5568</v>
      </c>
      <c r="C795" s="28"/>
      <c r="D795" s="28"/>
      <c r="E795" s="28"/>
      <c r="F795" s="161">
        <v>456.0</v>
      </c>
      <c r="G795" s="152" t="str">
        <f>IFERROR(__xludf.DUMMYFUNCTION("TRIM(REGEXREPLACE(C795, ""[0-9]+[a-f]?\."", """"))"),"")</f>
        <v/>
      </c>
      <c r="H795" s="152" t="str">
        <f>IFERROR(__xludf.DUMMYFUNCTION("TRIM(REGEXREPLACE(D795, ""[0-9]+[a-f]?\."", """"))"),"")</f>
        <v/>
      </c>
      <c r="I795" s="152" t="str">
        <f>IFERROR(__xludf.DUMMYFUNCTION("TRIM(REGEXREPLACE(E795, ""[0-9]+[a-f]?\."", """"))"),"")</f>
        <v/>
      </c>
      <c r="J795" s="152" t="s">
        <v>5571</v>
      </c>
      <c r="K795" s="152" t="s">
        <v>5572</v>
      </c>
      <c r="L795" s="152" t="s">
        <v>5573</v>
      </c>
      <c r="M795" s="152"/>
    </row>
    <row r="796">
      <c r="A796" s="166" t="s">
        <v>41</v>
      </c>
      <c r="B796" s="167" t="s">
        <v>5574</v>
      </c>
      <c r="C796" s="28" t="s">
        <v>5575</v>
      </c>
      <c r="D796" s="28" t="s">
        <v>5576</v>
      </c>
      <c r="E796" s="28" t="s">
        <v>5577</v>
      </c>
      <c r="F796" s="161">
        <v>294.0</v>
      </c>
      <c r="G796" s="152" t="str">
        <f>IFERROR(__xludf.DUMMYFUNCTION("TRIM(REGEXREPLACE(C796, ""[0-9]+[a-f]?\."", """"))"),"Now I would like to ask you about different ways you may use money that you earn.")</f>
        <v>Now I would like to ask you about different ways you may use money that you earn.</v>
      </c>
      <c r="H796" s="152" t="str">
        <f>IFERROR(__xludf.DUMMYFUNCTION("TRIM(REGEXREPLACE(D796, ""[0-9]+[a-f]?\."", """"))"),"Maintenant, je voudrais vous poser des questions sur les différentes façons dont vous pouvez utiliser l'argent que vous gagnez.")</f>
        <v>Maintenant, je voudrais vous poser des questions sur les différentes façons dont vous pouvez utiliser l'argent que vous gagnez.</v>
      </c>
      <c r="I796" s="152" t="str">
        <f>IFERROR(__xludf.DUMMYFUNCTION("TRIM(REGEXREPLACE(E796, ""[0-9]+[a-f]?\."", """"))"),"Yanzu ina so in tambaye ku bisa hanyoyi daban-daban da kuke amfani da su wajen kashe kuɗin da kuke samu.")</f>
        <v>Yanzu ina so in tambaye ku bisa hanyoyi daban-daban da kuke amfani da su wajen kashe kuɗin da kuke samu.</v>
      </c>
      <c r="J796" s="152" t="s">
        <v>5578</v>
      </c>
      <c r="K796" s="152" t="s">
        <v>5579</v>
      </c>
      <c r="L796" s="152" t="s">
        <v>5580</v>
      </c>
      <c r="M796" s="152"/>
    </row>
    <row r="797">
      <c r="A797" s="68" t="s">
        <v>5581</v>
      </c>
      <c r="B797" s="169" t="s">
        <v>5582</v>
      </c>
      <c r="C797" s="28" t="s">
        <v>5583</v>
      </c>
      <c r="D797" s="28" t="s">
        <v>5584</v>
      </c>
      <c r="E797" s="28" t="s">
        <v>5585</v>
      </c>
      <c r="F797" s="161">
        <v>295.0</v>
      </c>
      <c r="G797" s="152" t="str">
        <f>IFERROR(__xludf.DUMMYFUNCTION("TRIM(REGEXREPLACE(C797, ""[0-9]+[a-f]?\."", """"))"),"Do you currently have savings of each of the following types that you have put aside for yourself, separate from your household?")</f>
        <v>Do you currently have savings of each of the following types that you have put aside for yourself, separate from your household?</v>
      </c>
      <c r="H797" s="152" t="str">
        <f>IFERROR(__xludf.DUMMYFUNCTION("TRIM(REGEXREPLACE(D797, ""[0-9]+[a-f]?\."", """"))"),"Avez-vous actuellement des économies de chacun des types suivants que vous avez mises de côté pour vous-même, séparément de votre ménage ?")</f>
        <v>Avez-vous actuellement des économies de chacun des types suivants que vous avez mises de côté pour vous-même, séparément de votre ménage ?</v>
      </c>
      <c r="I797" s="152" t="str">
        <f>IFERROR(__xludf.DUMMYFUNCTION("TRIM(REGEXREPLACE(E797, ""[0-9]+[a-f]?\."", """"))"),"Ko a halin yanzu kuna da tanadi na kowane irin waɗannan abubuwan da kuka ware don kanku, daban da na gidan ku?")</f>
        <v>Ko a halin yanzu kuna da tanadi na kowane irin waɗannan abubuwan da kuka ware don kanku, daban da na gidan ku?</v>
      </c>
      <c r="J797" s="152" t="s">
        <v>5587</v>
      </c>
      <c r="K797" s="152" t="s">
        <v>5588</v>
      </c>
      <c r="L797" s="152" t="s">
        <v>5589</v>
      </c>
      <c r="M797" s="152"/>
    </row>
    <row r="798">
      <c r="A798" s="179" t="s">
        <v>246</v>
      </c>
      <c r="B798" s="180" t="s">
        <v>5590</v>
      </c>
      <c r="C798" s="28" t="s">
        <v>5591</v>
      </c>
      <c r="D798" s="28" t="s">
        <v>5592</v>
      </c>
      <c r="E798" s="28" t="s">
        <v>5593</v>
      </c>
      <c r="F798" s="161">
        <v>296.0</v>
      </c>
      <c r="G798" s="152" t="str">
        <f>IFERROR(__xludf.DUMMYFUNCTION("TRIM(REGEXREPLACE(C798, ""[0-9]+[a-f]?\."", """"))"),"Specify other:")</f>
        <v>Specify other:</v>
      </c>
      <c r="H798" s="152" t="str">
        <f>IFERROR(__xludf.DUMMYFUNCTION("TRIM(REGEXREPLACE(D798, ""[0-9]+[a-f]?\."", """"))"),"Autre à préciser")</f>
        <v>Autre à préciser</v>
      </c>
      <c r="I798" s="152" t="str">
        <f>IFERROR(__xludf.DUMMYFUNCTION("TRIM(REGEXREPLACE(E798, ""[0-9]+[a-f]?\."", """"))"),"Wani daban a baiyana")</f>
        <v>Wani daban a baiyana</v>
      </c>
      <c r="J798" s="152" t="s">
        <v>5594</v>
      </c>
      <c r="K798" s="152" t="s">
        <v>5595</v>
      </c>
      <c r="L798" s="152" t="s">
        <v>5596</v>
      </c>
      <c r="M798" s="152"/>
    </row>
    <row r="799" hidden="1">
      <c r="A799" s="174" t="s">
        <v>698</v>
      </c>
      <c r="B799" s="175" t="s">
        <v>5597</v>
      </c>
      <c r="C799" s="28" t="s">
        <v>5598</v>
      </c>
      <c r="D799" s="28" t="s">
        <v>5599</v>
      </c>
      <c r="E799" s="28" t="s">
        <v>5600</v>
      </c>
      <c r="F799" s="161">
        <v>121.0</v>
      </c>
      <c r="G799" s="152" t="str">
        <f>IFERROR(__xludf.DUMMYFUNCTION("TRIM(REGEXREPLACE(C799, ""[0-9]+[a-f]?\."", """"))"),"Savings Amount")</f>
        <v>Savings Amount</v>
      </c>
      <c r="H799" s="152" t="str">
        <f>IFERROR(__xludf.DUMMYFUNCTION("TRIM(REGEXREPLACE(D799, ""[0-9]+[a-f]?\."", """"))"),"Montant de l'épargne")</f>
        <v>Montant de l'épargne</v>
      </c>
      <c r="I799" s="152" t="str">
        <f>IFERROR(__xludf.DUMMYFUNCTION("TRIM(REGEXREPLACE(E799, ""[0-9]+[a-f]?\."", """"))"),"Yawan kuɗin ajiye")</f>
        <v>Yawan kuɗin ajiye</v>
      </c>
      <c r="J799" s="152" t="str">
        <f t="shared" ref="J799:L799" si="73">$F799 &amp; ". " &amp;G799</f>
        <v>121. Savings Amount</v>
      </c>
      <c r="K799" s="152" t="str">
        <f t="shared" si="73"/>
        <v>121. Montant de l'épargne</v>
      </c>
      <c r="L799" s="152" t="str">
        <f t="shared" si="73"/>
        <v>121. Yawan kuɗin ajiye</v>
      </c>
      <c r="M799" s="152"/>
    </row>
    <row r="800" hidden="1">
      <c r="A800" s="90" t="s">
        <v>78</v>
      </c>
      <c r="B800" s="92" t="s">
        <v>5601</v>
      </c>
      <c r="C800" s="28" t="s">
        <v>5602</v>
      </c>
      <c r="D800" s="28" t="s">
        <v>5603</v>
      </c>
      <c r="E800" s="28" t="s">
        <v>5604</v>
      </c>
      <c r="F800" s="161">
        <v>458.0</v>
      </c>
      <c r="G800" s="152" t="str">
        <f>IFERROR(__xludf.DUMMYFUNCTION("TRIM(REGEXREPLACE(C800, ""[0-9]+[a-f]?\."", """"))"),"Savings Type Name")</f>
        <v>Savings Type Name</v>
      </c>
      <c r="H800" s="152" t="str">
        <f>IFERROR(__xludf.DUMMYFUNCTION("TRIM(REGEXREPLACE(D800, ""[0-9]+[a-f]?\."", """"))"),"Nom du type d'épargne")</f>
        <v>Nom du type d'épargne</v>
      </c>
      <c r="I800" s="152" t="str">
        <f>IFERROR(__xludf.DUMMYFUNCTION("TRIM(REGEXREPLACE(E800, ""[0-9]+[a-f]?\."", """"))"),"Sunan irin Ajiyar")</f>
        <v>Sunan irin Ajiyar</v>
      </c>
      <c r="J800" s="152" t="s">
        <v>5609</v>
      </c>
      <c r="K800" s="152" t="s">
        <v>5610</v>
      </c>
      <c r="L800" s="152" t="s">
        <v>5612</v>
      </c>
      <c r="M800" s="152"/>
    </row>
    <row r="801">
      <c r="A801" s="170" t="s">
        <v>263</v>
      </c>
      <c r="B801" s="171" t="s">
        <v>5613</v>
      </c>
      <c r="C801" s="28" t="s">
        <v>5614</v>
      </c>
      <c r="D801" s="28" t="s">
        <v>5615</v>
      </c>
      <c r="E801" s="28" t="s">
        <v>5616</v>
      </c>
      <c r="F801" s="161">
        <v>297.0</v>
      </c>
      <c r="G801" s="152" t="str">
        <f>IFERROR(__xludf.DUMMYFUNCTION("TRIM(REGEXREPLACE(C801, ""[0-9]+[a-f]?\."", """"))"),"Please share with us your best estimate of the value in CFA ${pm_savings_name}")</f>
        <v>Please share with us your best estimate of the value in CFA ${pm_savings_name}</v>
      </c>
      <c r="H801" s="152" t="str">
        <f>IFERROR(__xludf.DUMMYFUNCTION("TRIM(REGEXREPLACE(D801, ""[0-9]+[a-f]?\."", """"))"),"Veuillez partager avec nous votre meilleure estimation de la valeur en CFA ${pm_savings_name}")</f>
        <v>Veuillez partager avec nous votre meilleure estimation de la valeur en CFA ${pm_savings_name}</v>
      </c>
      <c r="I801" s="152" t="str">
        <f>IFERROR(__xludf.DUMMYFUNCTION("TRIM(REGEXREPLACE(E801, ""[0-9]+[a-f]?\."", """"))"),"Da fatan za ku gaya mana misalin ƙimar kuɗin a CFA ${pm_savings_name}")</f>
        <v>Da fatan za ku gaya mana misalin ƙimar kuɗin a CFA ${pm_savings_name}</v>
      </c>
      <c r="J801" s="152" t="s">
        <v>5617</v>
      </c>
      <c r="K801" s="152" t="s">
        <v>5618</v>
      </c>
      <c r="L801" s="152" t="s">
        <v>5619</v>
      </c>
      <c r="M801" s="152"/>
    </row>
    <row r="802" hidden="1">
      <c r="A802" s="174" t="s">
        <v>1015</v>
      </c>
      <c r="B802" s="204" t="s">
        <v>5597</v>
      </c>
      <c r="C802" s="28" t="s">
        <v>5598</v>
      </c>
      <c r="D802" s="28" t="s">
        <v>5599</v>
      </c>
      <c r="E802" s="28" t="s">
        <v>5600</v>
      </c>
      <c r="F802" s="161">
        <v>460.0</v>
      </c>
      <c r="G802" s="152" t="str">
        <f>IFERROR(__xludf.DUMMYFUNCTION("TRIM(REGEXREPLACE(C802, ""[0-9]+[a-f]?\."", """"))"),"Savings Amount")</f>
        <v>Savings Amount</v>
      </c>
      <c r="H802" s="152" t="str">
        <f>IFERROR(__xludf.DUMMYFUNCTION("TRIM(REGEXREPLACE(D802, ""[0-9]+[a-f]?\."", """"))"),"Montant de l'épargne")</f>
        <v>Montant de l'épargne</v>
      </c>
      <c r="I802" s="152" t="str">
        <f>IFERROR(__xludf.DUMMYFUNCTION("TRIM(REGEXREPLACE(E802, ""[0-9]+[a-f]?\."", """"))"),"Yawan kuɗin ajiye")</f>
        <v>Yawan kuɗin ajiye</v>
      </c>
      <c r="J802" s="152" t="s">
        <v>5621</v>
      </c>
      <c r="K802" s="152" t="s">
        <v>5622</v>
      </c>
      <c r="L802" s="152" t="s">
        <v>5623</v>
      </c>
      <c r="M802" s="152"/>
    </row>
    <row r="803">
      <c r="A803" s="65" t="s">
        <v>5624</v>
      </c>
      <c r="B803" s="66" t="s">
        <v>5625</v>
      </c>
      <c r="C803" s="28" t="s">
        <v>5626</v>
      </c>
      <c r="D803" s="28" t="s">
        <v>5627</v>
      </c>
      <c r="E803" s="28" t="s">
        <v>5628</v>
      </c>
      <c r="F803" s="161">
        <v>298.0</v>
      </c>
      <c r="G803" s="152" t="str">
        <f>IFERROR(__xludf.DUMMYFUNCTION("TRIM(REGEXREPLACE(C803, ""[0-9]+[a-f]?\."", """"))"),"Do you already have a plan for using the money you have saved?")</f>
        <v>Do you already have a plan for using the money you have saved?</v>
      </c>
      <c r="H803" s="152" t="str">
        <f>IFERROR(__xludf.DUMMYFUNCTION("TRIM(REGEXREPLACE(D803, ""[0-9]+[a-f]?\."", """"))"),"Avez-vous déjà prévu d'utiliser l'argent que vous avez économisé ?")</f>
        <v>Avez-vous déjà prévu d'utiliser l'argent que vous avez économisé ?</v>
      </c>
      <c r="I803" s="152" t="str">
        <f>IFERROR(__xludf.DUMMYFUNCTION("TRIM(REGEXREPLACE(E803, ""[0-9]+[a-f]?\."", """"))"),"Ko kun yi tsarin yin amfani da kuɗin da kuka adana?")</f>
        <v>Ko kun yi tsarin yin amfani da kuɗin da kuka adana?</v>
      </c>
      <c r="J803" s="152" t="s">
        <v>5629</v>
      </c>
      <c r="K803" s="152" t="s">
        <v>5630</v>
      </c>
      <c r="L803" s="152" t="s">
        <v>5631</v>
      </c>
      <c r="M803" s="152"/>
    </row>
    <row r="804">
      <c r="A804" s="65" t="s">
        <v>246</v>
      </c>
      <c r="B804" s="66" t="s">
        <v>5632</v>
      </c>
      <c r="C804" s="28" t="s">
        <v>5634</v>
      </c>
      <c r="D804" s="28" t="s">
        <v>5636</v>
      </c>
      <c r="E804" s="28" t="s">
        <v>5637</v>
      </c>
      <c r="F804" s="161">
        <v>299.0</v>
      </c>
      <c r="G804" s="152" t="str">
        <f>IFERROR(__xludf.DUMMYFUNCTION("TRIM(REGEXREPLACE(C804, ""[0-9]+[a-f]?\."", """"))"),"Specify other:")</f>
        <v>Specify other:</v>
      </c>
      <c r="H804" s="152" t="str">
        <f>IFERROR(__xludf.DUMMYFUNCTION("TRIM(REGEXREPLACE(D804, ""[0-9]+[a-f]?\."", """"))"),"Autre à préciser")</f>
        <v>Autre à préciser</v>
      </c>
      <c r="I804" s="152" t="str">
        <f>IFERROR(__xludf.DUMMYFUNCTION("TRIM(REGEXREPLACE(E804, ""[0-9]+[a-f]?\."", """"))"),"Wani daban a baiyana")</f>
        <v>Wani daban a baiyana</v>
      </c>
      <c r="J804" s="152" t="s">
        <v>5638</v>
      </c>
      <c r="K804" s="152" t="s">
        <v>5639</v>
      </c>
      <c r="L804" s="152" t="s">
        <v>5640</v>
      </c>
      <c r="M804" s="152"/>
    </row>
    <row r="805">
      <c r="A805" s="65" t="s">
        <v>5641</v>
      </c>
      <c r="B805" s="66" t="s">
        <v>5642</v>
      </c>
      <c r="C805" s="28" t="s">
        <v>5643</v>
      </c>
      <c r="D805" s="28" t="s">
        <v>5644</v>
      </c>
      <c r="E805" s="28" t="s">
        <v>5645</v>
      </c>
      <c r="F805" s="161">
        <v>300.0</v>
      </c>
      <c r="G805" s="152" t="str">
        <f>IFERROR(__xludf.DUMMYFUNCTION("TRIM(REGEXREPLACE(C805, ""[0-9]+[a-f]?\."", """"))"),"You mentioned that you are saving for a major purchase. What are you planning to buy?")</f>
        <v>You mentioned that you are saving for a major purchase. What are you planning to buy?</v>
      </c>
      <c r="H805" s="152" t="str">
        <f>IFERROR(__xludf.DUMMYFUNCTION("TRIM(REGEXREPLACE(D805, ""[0-9]+[a-f]?\."", """"))"),"Vous avez mentionné que vous économisez pour un achat important. Qu'envisagez-vous d'acheter ?")</f>
        <v>Vous avez mentionné que vous économisez pour un achat important. Qu'envisagez-vous d'acheter ?</v>
      </c>
      <c r="I805" s="152" t="str">
        <f>IFERROR(__xludf.DUMMYFUNCTION("TRIM(REGEXREPLACE(E805, ""[0-9]+[a-f]?\."", """"))"),"Kun ambaci cewa kuna tanadi don sayen wani abu mai muhimmanci. Me kuke shirin saye?")</f>
        <v>Kun ambaci cewa kuna tanadi don sayen wani abu mai muhimmanci. Me kuke shirin saye?</v>
      </c>
      <c r="J805" s="152" t="s">
        <v>5646</v>
      </c>
      <c r="K805" s="152" t="s">
        <v>5647</v>
      </c>
      <c r="L805" s="152" t="s">
        <v>5648</v>
      </c>
      <c r="M805" s="152"/>
    </row>
    <row r="806">
      <c r="A806" s="65" t="s">
        <v>246</v>
      </c>
      <c r="B806" s="66" t="s">
        <v>5649</v>
      </c>
      <c r="C806" s="28" t="s">
        <v>5634</v>
      </c>
      <c r="D806" s="28" t="s">
        <v>5636</v>
      </c>
      <c r="E806" s="28" t="s">
        <v>5637</v>
      </c>
      <c r="F806" s="161">
        <v>301.0</v>
      </c>
      <c r="G806" s="152" t="str">
        <f>IFERROR(__xludf.DUMMYFUNCTION("TRIM(REGEXREPLACE(C806, ""[0-9]+[a-f]?\."", """"))"),"Specify other:")</f>
        <v>Specify other:</v>
      </c>
      <c r="H806" s="152" t="str">
        <f>IFERROR(__xludf.DUMMYFUNCTION("TRIM(REGEXREPLACE(D806, ""[0-9]+[a-f]?\."", """"))"),"Autre à préciser")</f>
        <v>Autre à préciser</v>
      </c>
      <c r="I806" s="152" t="str">
        <f>IFERROR(__xludf.DUMMYFUNCTION("TRIM(REGEXREPLACE(E806, ""[0-9]+[a-f]?\."", """"))"),"Wani daban a baiyana")</f>
        <v>Wani daban a baiyana</v>
      </c>
      <c r="J806" s="152" t="s">
        <v>5650</v>
      </c>
      <c r="K806" s="152" t="s">
        <v>5651</v>
      </c>
      <c r="L806" s="152" t="s">
        <v>5652</v>
      </c>
      <c r="M806" s="152"/>
    </row>
    <row r="807">
      <c r="A807" s="68" t="s">
        <v>463</v>
      </c>
      <c r="B807" s="69" t="s">
        <v>5653</v>
      </c>
      <c r="C807" s="28" t="s">
        <v>5654</v>
      </c>
      <c r="D807" s="28" t="s">
        <v>5655</v>
      </c>
      <c r="E807" s="28" t="s">
        <v>5656</v>
      </c>
      <c r="F807" s="161">
        <v>302.0</v>
      </c>
      <c r="G807" s="152" t="str">
        <f>IFERROR(__xludf.DUMMYFUNCTION("TRIM(REGEXREPLACE(C807, ""[0-9]+[a-f]?\."", """"))"),"In the past month have you put aside any money for the future?")</f>
        <v>In the past month have you put aside any money for the future?</v>
      </c>
      <c r="H807" s="152" t="str">
        <f>IFERROR(__xludf.DUMMYFUNCTION("TRIM(REGEXREPLACE(D807, ""[0-9]+[a-f]?\."", """"))"),"Au cours du mois dernier, avez-vous mis de l'argent de côté pour l'avenir ?")</f>
        <v>Au cours du mois dernier, avez-vous mis de l'argent de côté pour l'avenir ?</v>
      </c>
      <c r="I807" s="152" t="str">
        <f>IFERROR(__xludf.DUMMYFUNCTION("TRIM(REGEXREPLACE(E807, ""[0-9]+[a-f]?\."", """"))"),"A cikin watan da ya gabata ko kun yi wata ajiyar kuɗi don gaba?")</f>
        <v>A cikin watan da ya gabata ko kun yi wata ajiyar kuɗi don gaba?</v>
      </c>
      <c r="J807" s="152" t="s">
        <v>5657</v>
      </c>
      <c r="K807" s="152" t="s">
        <v>5658</v>
      </c>
      <c r="L807" s="152" t="s">
        <v>5659</v>
      </c>
      <c r="M807" s="152"/>
    </row>
    <row r="808" hidden="1">
      <c r="A808" s="65" t="s">
        <v>134</v>
      </c>
      <c r="B808" s="66" t="s">
        <v>5660</v>
      </c>
      <c r="C808" s="28"/>
      <c r="D808" s="28"/>
      <c r="E808" s="28"/>
      <c r="F808" s="161">
        <v>443.0</v>
      </c>
      <c r="G808" s="152" t="str">
        <f>IFERROR(__xludf.DUMMYFUNCTION("TRIM(REGEXREPLACE(C808, ""[0-9]+[a-f]?\."", """"))"),"")</f>
        <v/>
      </c>
      <c r="H808" s="152" t="str">
        <f>IFERROR(__xludf.DUMMYFUNCTION("TRIM(REGEXREPLACE(D808, ""[0-9]+[a-f]?\."", """"))"),"")</f>
        <v/>
      </c>
      <c r="I808" s="152" t="str">
        <f>IFERROR(__xludf.DUMMYFUNCTION("TRIM(REGEXREPLACE(E808, ""[0-9]+[a-f]?\."", """"))"),"")</f>
        <v/>
      </c>
      <c r="J808" s="152" t="s">
        <v>5661</v>
      </c>
      <c r="K808" s="152" t="s">
        <v>5662</v>
      </c>
      <c r="L808" s="152" t="s">
        <v>5663</v>
      </c>
      <c r="M808" s="152"/>
    </row>
    <row r="809" hidden="1">
      <c r="A809" s="58" t="s">
        <v>78</v>
      </c>
      <c r="B809" s="58" t="s">
        <v>5664</v>
      </c>
      <c r="C809" s="28"/>
      <c r="D809" s="28"/>
      <c r="E809" s="28"/>
      <c r="F809" s="161">
        <v>480.0</v>
      </c>
      <c r="G809" s="152" t="str">
        <f>IFERROR(__xludf.DUMMYFUNCTION("TRIM(REGEXREPLACE(C809, ""[0-9]+[a-f]?\."", """"))"),"")</f>
        <v/>
      </c>
      <c r="H809" s="152" t="str">
        <f>IFERROR(__xludf.DUMMYFUNCTION("TRIM(REGEXREPLACE(D809, ""[0-9]+[a-f]?\."", """"))"),"")</f>
        <v/>
      </c>
      <c r="I809" s="152" t="str">
        <f>IFERROR(__xludf.DUMMYFUNCTION("TRIM(REGEXREPLACE(E809, ""[0-9]+[a-f]?\."", """"))"),"")</f>
        <v/>
      </c>
      <c r="J809" s="152" t="s">
        <v>5665</v>
      </c>
      <c r="K809" s="152" t="s">
        <v>5666</v>
      </c>
      <c r="L809" s="152" t="s">
        <v>5667</v>
      </c>
      <c r="M809" s="152"/>
    </row>
    <row r="810" hidden="1">
      <c r="A810" s="221"/>
      <c r="B810" s="222"/>
      <c r="C810" s="28" t="s">
        <v>50</v>
      </c>
      <c r="D810" s="28" t="s">
        <v>50</v>
      </c>
      <c r="E810" s="28" t="s">
        <v>50</v>
      </c>
      <c r="F810" s="161">
        <v>464.0</v>
      </c>
      <c r="G810" s="152" t="str">
        <f>IFERROR(__xludf.DUMMYFUNCTION("TRIM(REGEXREPLACE(C810, ""[0-9]+[a-f]?\."", """"))"),"")</f>
        <v/>
      </c>
      <c r="H810" s="152" t="str">
        <f>IFERROR(__xludf.DUMMYFUNCTION("TRIM(REGEXREPLACE(D810, ""[0-9]+[a-f]?\."", """"))"),"")</f>
        <v/>
      </c>
      <c r="I810" s="152" t="str">
        <f>IFERROR(__xludf.DUMMYFUNCTION("TRIM(REGEXREPLACE(E810, ""[0-9]+[a-f]?\."", """"))"),"")</f>
        <v/>
      </c>
      <c r="J810" s="152" t="s">
        <v>5670</v>
      </c>
      <c r="K810" s="152" t="s">
        <v>5671</v>
      </c>
      <c r="L810" s="152" t="s">
        <v>5672</v>
      </c>
      <c r="M810" s="152"/>
    </row>
    <row r="811" hidden="1">
      <c r="A811" s="65" t="s">
        <v>134</v>
      </c>
      <c r="B811" s="66" t="s">
        <v>5673</v>
      </c>
      <c r="C811" s="28"/>
      <c r="D811" s="28"/>
      <c r="E811" s="28"/>
      <c r="F811" s="161">
        <v>444.0</v>
      </c>
      <c r="G811" s="152" t="str">
        <f>IFERROR(__xludf.DUMMYFUNCTION("TRIM(REGEXREPLACE(C811, ""[0-9]+[a-f]?\."", """"))"),"")</f>
        <v/>
      </c>
      <c r="H811" s="152" t="str">
        <f>IFERROR(__xludf.DUMMYFUNCTION("TRIM(REGEXREPLACE(D811, ""[0-9]+[a-f]?\."", """"))"),"")</f>
        <v/>
      </c>
      <c r="I811" s="152" t="str">
        <f>IFERROR(__xludf.DUMMYFUNCTION("TRIM(REGEXREPLACE(E811, ""[0-9]+[a-f]?\."", """"))"),"")</f>
        <v/>
      </c>
      <c r="J811" s="152" t="s">
        <v>5674</v>
      </c>
      <c r="K811" s="152" t="s">
        <v>5675</v>
      </c>
      <c r="L811" s="152" t="s">
        <v>5676</v>
      </c>
      <c r="M811" s="152"/>
    </row>
    <row r="812" hidden="1">
      <c r="A812" s="140" t="s">
        <v>131</v>
      </c>
      <c r="B812" s="164" t="s">
        <v>5677</v>
      </c>
      <c r="C812" s="28"/>
      <c r="D812" s="28"/>
      <c r="E812" s="28"/>
      <c r="F812" s="161">
        <v>445.0</v>
      </c>
      <c r="G812" s="152" t="str">
        <f>IFERROR(__xludf.DUMMYFUNCTION("TRIM(REGEXREPLACE(C812, ""[0-9]+[a-f]?\."", """"))"),"")</f>
        <v/>
      </c>
      <c r="H812" s="152" t="str">
        <f>IFERROR(__xludf.DUMMYFUNCTION("TRIM(REGEXREPLACE(D812, ""[0-9]+[a-f]?\."", """"))"),"")</f>
        <v/>
      </c>
      <c r="I812" s="152" t="str">
        <f>IFERROR(__xludf.DUMMYFUNCTION("TRIM(REGEXREPLACE(E812, ""[0-9]+[a-f]?\."", """"))"),"")</f>
        <v/>
      </c>
      <c r="J812" s="152" t="s">
        <v>5678</v>
      </c>
      <c r="K812" s="152" t="s">
        <v>5679</v>
      </c>
      <c r="L812" s="152" t="s">
        <v>5680</v>
      </c>
      <c r="M812" s="152"/>
    </row>
    <row r="813">
      <c r="A813" s="68" t="s">
        <v>463</v>
      </c>
      <c r="B813" s="169" t="s">
        <v>5681</v>
      </c>
      <c r="C813" s="28" t="s">
        <v>5682</v>
      </c>
      <c r="D813" s="28" t="s">
        <v>5683</v>
      </c>
      <c r="E813" s="28" t="s">
        <v>5684</v>
      </c>
      <c r="F813" s="161">
        <v>303.0</v>
      </c>
      <c r="G813" s="152" t="str">
        <f>IFERROR(__xludf.DUMMYFUNCTION("TRIM(REGEXREPLACE(C813, ""[0-9]+[a-f]?\."", """"))"),"${period}, did you experience an emergency or urgent need that forced you to:")</f>
        <v>${period}, did you experience an emergency or urgent need that forced you to:</v>
      </c>
      <c r="H813" s="152" t="str">
        <f>IFERROR(__xludf.DUMMYFUNCTION("TRIM(REGEXREPLACE(D813, ""[0-9]+[a-f]?\."", """"))"),"${period_french}, avez-vous ressenti une urgence ou un besoin urgent qui vous a obligé à :")</f>
        <v>${period_french}, avez-vous ressenti une urgence ou un besoin urgent qui vous a obligé à :</v>
      </c>
      <c r="I813" s="152" t="str">
        <f>IFERROR(__xludf.DUMMYFUNCTION("TRIM(REGEXREPLACE(E813, ""[0-9]+[a-f]?\."", """"))"),"${period_hausa}, ko gidanku ya fuskanci wani hali na gaggawa ko wata buƙatu ta gaggawa wanda ya tilasta muku:")</f>
        <v>${period_hausa}, ko gidanku ya fuskanci wani hali na gaggawa ko wata buƙatu ta gaggawa wanda ya tilasta muku:</v>
      </c>
      <c r="J813" s="152" t="s">
        <v>5687</v>
      </c>
      <c r="K813" s="152" t="s">
        <v>5689</v>
      </c>
      <c r="L813" s="152" t="s">
        <v>5690</v>
      </c>
      <c r="M813" s="152"/>
    </row>
    <row r="814">
      <c r="A814" s="68" t="s">
        <v>463</v>
      </c>
      <c r="B814" s="169" t="s">
        <v>5692</v>
      </c>
      <c r="C814" s="28" t="s">
        <v>5693</v>
      </c>
      <c r="D814" s="28" t="s">
        <v>5694</v>
      </c>
      <c r="E814" s="28" t="s">
        <v>5695</v>
      </c>
      <c r="F814" s="161">
        <v>304.0</v>
      </c>
      <c r="G814" s="152" t="str">
        <f>IFERROR(__xludf.DUMMYFUNCTION("TRIM(REGEXREPLACE(C814, ""[0-9]+[a-f]?\."", """"))"),"Sell assets")</f>
        <v>Sell assets</v>
      </c>
      <c r="H814" s="152" t="str">
        <f>IFERROR(__xludf.DUMMYFUNCTION("TRIM(REGEXREPLACE(D814, ""[0-9]+[a-f]?\."", """"))"),"Vendre des actifs")</f>
        <v>Vendre des actifs</v>
      </c>
      <c r="I814" s="152" t="str">
        <f>IFERROR(__xludf.DUMMYFUNCTION("TRIM(REGEXREPLACE(E814, ""[0-9]+[a-f]?\."", """"))"),"Saida kadarori")</f>
        <v>Saida kadarori</v>
      </c>
      <c r="J814" s="152" t="s">
        <v>5696</v>
      </c>
      <c r="K814" s="152" t="s">
        <v>5697</v>
      </c>
      <c r="L814" s="152" t="s">
        <v>5698</v>
      </c>
    </row>
    <row r="815">
      <c r="A815" s="68" t="s">
        <v>463</v>
      </c>
      <c r="B815" s="169" t="s">
        <v>5699</v>
      </c>
      <c r="C815" s="28" t="s">
        <v>5700</v>
      </c>
      <c r="D815" s="28" t="s">
        <v>5701</v>
      </c>
      <c r="E815" s="28" t="s">
        <v>5702</v>
      </c>
      <c r="F815" s="161">
        <v>305.0</v>
      </c>
      <c r="G815" s="152" t="str">
        <f>IFERROR(__xludf.DUMMYFUNCTION("TRIM(REGEXREPLACE(C815, ""[0-9]+[a-f]?\."", """"))"),"Borrow money")</f>
        <v>Borrow money</v>
      </c>
      <c r="H815" s="152" t="str">
        <f>IFERROR(__xludf.DUMMYFUNCTION("TRIM(REGEXREPLACE(D815, ""[0-9]+[a-f]?\."", """"))"),"Emprunter de l'argent")</f>
        <v>Emprunter de l'argent</v>
      </c>
      <c r="I815" s="152" t="str">
        <f>IFERROR(__xludf.DUMMYFUNCTION("TRIM(REGEXREPLACE(E815, ""[0-9]+[a-f]?\."", """"))"),"Bashin kudi")</f>
        <v>Bashin kudi</v>
      </c>
      <c r="J815" s="152" t="s">
        <v>5703</v>
      </c>
      <c r="K815" s="152" t="s">
        <v>5704</v>
      </c>
      <c r="L815" s="152" t="s">
        <v>5705</v>
      </c>
    </row>
    <row r="816">
      <c r="A816" s="68" t="s">
        <v>463</v>
      </c>
      <c r="B816" s="169" t="s">
        <v>5708</v>
      </c>
      <c r="C816" s="28" t="s">
        <v>5709</v>
      </c>
      <c r="D816" s="28" t="s">
        <v>5711</v>
      </c>
      <c r="E816" s="28" t="s">
        <v>5712</v>
      </c>
      <c r="F816" s="161">
        <v>306.0</v>
      </c>
      <c r="G816" s="152" t="str">
        <f>IFERROR(__xludf.DUMMYFUNCTION("TRIM(REGEXREPLACE(C816, ""[0-9]+[a-f]?\."", """"))"),"Spend savings")</f>
        <v>Spend savings</v>
      </c>
      <c r="H816" s="152" t="str">
        <f>IFERROR(__xludf.DUMMYFUNCTION("TRIM(REGEXREPLACE(D816, ""[0-9]+[a-f]?\."", """"))"),"Utiliser votre epargne")</f>
        <v>Utiliser votre epargne</v>
      </c>
      <c r="I816" s="152" t="str">
        <f>IFERROR(__xludf.DUMMYFUNCTION("TRIM(REGEXREPLACE(E816, ""[0-9]+[a-f]?\."", """"))"),"Kashe kuɗin ajiyar ku")</f>
        <v>Kashe kuɗin ajiyar ku</v>
      </c>
      <c r="J816" s="152" t="s">
        <v>5713</v>
      </c>
      <c r="K816" s="152" t="s">
        <v>5714</v>
      </c>
      <c r="L816" s="152" t="s">
        <v>5715</v>
      </c>
      <c r="M816" s="152"/>
    </row>
    <row r="817" hidden="1">
      <c r="A817" s="140" t="s">
        <v>237</v>
      </c>
      <c r="B817" s="191" t="s">
        <v>5677</v>
      </c>
      <c r="C817" s="28"/>
      <c r="D817" s="28"/>
      <c r="E817" s="28"/>
      <c r="F817" s="161">
        <v>471.0</v>
      </c>
      <c r="G817" s="152" t="str">
        <f>IFERROR(__xludf.DUMMYFUNCTION("TRIM(REGEXREPLACE(C817, ""[0-9]+[a-f]?\."", """"))"),"")</f>
        <v/>
      </c>
      <c r="H817" s="152" t="str">
        <f>IFERROR(__xludf.DUMMYFUNCTION("TRIM(REGEXREPLACE(D817, ""[0-9]+[a-f]?\."", """"))"),"")</f>
        <v/>
      </c>
      <c r="I817" s="152" t="str">
        <f>IFERROR(__xludf.DUMMYFUNCTION("TRIM(REGEXREPLACE(E817, ""[0-9]+[a-f]?\."", """"))"),"")</f>
        <v/>
      </c>
      <c r="J817" s="152" t="s">
        <v>5717</v>
      </c>
      <c r="K817" s="152" t="s">
        <v>5718</v>
      </c>
      <c r="L817" s="152" t="s">
        <v>5719</v>
      </c>
      <c r="M817" s="152"/>
    </row>
    <row r="818">
      <c r="A818" s="68" t="s">
        <v>5720</v>
      </c>
      <c r="B818" s="169" t="s">
        <v>5722</v>
      </c>
      <c r="C818" s="28" t="s">
        <v>5723</v>
      </c>
      <c r="D818" s="28" t="s">
        <v>5724</v>
      </c>
      <c r="E818" s="28" t="s">
        <v>5725</v>
      </c>
      <c r="F818" s="161">
        <v>307.0</v>
      </c>
      <c r="G818" s="152" t="str">
        <f>IFERROR(__xludf.DUMMYFUNCTION("TRIM(REGEXREPLACE(C818, ""[0-9]+[a-f]?\."", """"))"),"What type of event led you to sell assets or borrow money?")</f>
        <v>What type of event led you to sell assets or borrow money?</v>
      </c>
      <c r="H818" s="152" t="str">
        <f>IFERROR(__xludf.DUMMYFUNCTION("TRIM(REGEXREPLACE(D818, ""[0-9]+[a-f]?\."", """"))"),"Quel type d'événement vous a amené à vendre des actifs ou à emprunter de l'argent ?")</f>
        <v>Quel type d'événement vous a amené à vendre des actifs ou à emprunter de l'argent ?</v>
      </c>
      <c r="I818" s="152" t="str">
        <f>IFERROR(__xludf.DUMMYFUNCTION("TRIM(REGEXREPLACE(E818, ""[0-9]+[a-f]?\."", """"))"),"Wane irin lamari ne ya kai ku sayar da kadarori ko ɗaukan bashi?")</f>
        <v>Wane irin lamari ne ya kai ku sayar da kadarori ko ɗaukan bashi?</v>
      </c>
      <c r="J818" s="152" t="s">
        <v>5728</v>
      </c>
      <c r="K818" s="152" t="s">
        <v>5729</v>
      </c>
      <c r="L818" s="152" t="s">
        <v>5730</v>
      </c>
      <c r="M818" s="152"/>
    </row>
    <row r="819">
      <c r="A819" s="179" t="s">
        <v>246</v>
      </c>
      <c r="B819" s="180" t="s">
        <v>5731</v>
      </c>
      <c r="C819" s="28" t="s">
        <v>5732</v>
      </c>
      <c r="D819" s="28" t="s">
        <v>5733</v>
      </c>
      <c r="E819" s="28" t="s">
        <v>5734</v>
      </c>
      <c r="F819" s="161">
        <v>308.0</v>
      </c>
      <c r="G819" s="152" t="str">
        <f>IFERROR(__xludf.DUMMYFUNCTION("TRIM(REGEXREPLACE(C819, ""[0-9]+[a-f]?\."", """"))"),"Please briefly describe the event that led you to sell assets or borrow money")</f>
        <v>Please briefly describe the event that led you to sell assets or borrow money</v>
      </c>
      <c r="H819" s="152" t="str">
        <f>IFERROR(__xludf.DUMMYFUNCTION("TRIM(REGEXREPLACE(D819, ""[0-9]+[a-f]?\."", """"))"),"Veuillez décrire brièvement l'événement qui vous a amené à vendre des actifs ou à emprunter de l'argent")</f>
        <v>Veuillez décrire brièvement l'événement qui vous a amené à vendre des actifs ou à emprunter de l'argent</v>
      </c>
      <c r="I819" s="152" t="str">
        <f>IFERROR(__xludf.DUMMYFUNCTION("TRIM(REGEXREPLACE(E819, ""[0-9]+[a-f]?\."", """"))"),"Ina son ku bani taƙaitaccen bayani bisa abin da ya sa ku saida kadarori ko ɗaukan bashi")</f>
        <v>Ina son ku bani taƙaitaccen bayani bisa abin da ya sa ku saida kadarori ko ɗaukan bashi</v>
      </c>
      <c r="J819" s="152" t="s">
        <v>5735</v>
      </c>
      <c r="K819" s="152" t="s">
        <v>5736</v>
      </c>
      <c r="L819" s="152" t="s">
        <v>5737</v>
      </c>
      <c r="M819" s="152"/>
    </row>
    <row r="820">
      <c r="A820" s="170" t="s">
        <v>263</v>
      </c>
      <c r="B820" s="171" t="s">
        <v>5739</v>
      </c>
      <c r="C820" s="28" t="s">
        <v>5741</v>
      </c>
      <c r="D820" s="28" t="s">
        <v>5743</v>
      </c>
      <c r="E820" s="28" t="s">
        <v>5744</v>
      </c>
      <c r="F820" s="161">
        <v>309.0</v>
      </c>
      <c r="G820" s="152" t="str">
        <f>IFERROR(__xludf.DUMMYFUNCTION("TRIM(REGEXREPLACE(C820, ""[0-9]+[a-f]?\."", """"))"),"What was the value of assets you sold (in CFA)?")</f>
        <v>What was the value of assets you sold (in CFA)?</v>
      </c>
      <c r="H820" s="152" t="str">
        <f>IFERROR(__xludf.DUMMYFUNCTION("TRIM(REGEXREPLACE(D820, ""[0-9]+[a-f]?\."", """"))"),"Quelle était la valeur des actifs que vous avez vendus ?")</f>
        <v>Quelle était la valeur des actifs que vous avez vendus ?</v>
      </c>
      <c r="I820" s="152" t="str">
        <f>IFERROR(__xludf.DUMMYFUNCTION("TRIM(REGEXREPLACE(E820, ""[0-9]+[a-f]?\."", """"))"),"Misalin nawa ne ƙimar kadarorin da kuka saida?")</f>
        <v>Misalin nawa ne ƙimar kadarorin da kuka saida?</v>
      </c>
      <c r="J820" s="152" t="s">
        <v>5746</v>
      </c>
      <c r="K820" s="152" t="s">
        <v>5747</v>
      </c>
      <c r="L820" s="152" t="s">
        <v>5748</v>
      </c>
      <c r="M820" s="152"/>
    </row>
    <row r="821">
      <c r="A821" s="170" t="s">
        <v>263</v>
      </c>
      <c r="B821" s="171" t="s">
        <v>5749</v>
      </c>
      <c r="C821" s="28" t="s">
        <v>5750</v>
      </c>
      <c r="D821" s="28" t="s">
        <v>5751</v>
      </c>
      <c r="E821" s="28" t="s">
        <v>5752</v>
      </c>
      <c r="F821" s="161">
        <v>310.0</v>
      </c>
      <c r="G821" s="152" t="str">
        <f>IFERROR(__xludf.DUMMYFUNCTION("TRIM(REGEXREPLACE(C821, ""[0-9]+[a-f]?\."", """"))"),"What was the value of the loan you took (in CFA)?")</f>
        <v>What was the value of the loan you took (in CFA)?</v>
      </c>
      <c r="H821" s="152" t="str">
        <f>IFERROR(__xludf.DUMMYFUNCTION("TRIM(REGEXREPLACE(D821, ""[0-9]+[a-f]?\."", """"))"),"Quelle était la valeur du prêt que vous avez contracté ?")</f>
        <v>Quelle était la valeur du prêt que vous avez contracté ?</v>
      </c>
      <c r="I821" s="152" t="str">
        <f>IFERROR(__xludf.DUMMYFUNCTION("TRIM(REGEXREPLACE(E821, ""[0-9]+[a-f]?\."", """"))"),"Nawa ne kuɗin bashin da kuka ɗauko?")</f>
        <v>Nawa ne kuɗin bashin da kuka ɗauko?</v>
      </c>
      <c r="J821" s="152" t="s">
        <v>5753</v>
      </c>
      <c r="K821" s="152" t="s">
        <v>5754</v>
      </c>
      <c r="L821" s="152" t="s">
        <v>5756</v>
      </c>
      <c r="M821" s="152"/>
    </row>
    <row r="822">
      <c r="A822" s="170" t="s">
        <v>263</v>
      </c>
      <c r="B822" s="171" t="s">
        <v>5759</v>
      </c>
      <c r="C822" s="28" t="s">
        <v>5760</v>
      </c>
      <c r="D822" s="28" t="s">
        <v>5761</v>
      </c>
      <c r="E822" s="28" t="s">
        <v>5762</v>
      </c>
      <c r="F822" s="161">
        <v>311.0</v>
      </c>
      <c r="G822" s="152" t="str">
        <f>IFERROR(__xludf.DUMMYFUNCTION("TRIM(REGEXREPLACE(C822, ""[0-9]+[a-f]?\."", """"))"),"What was the value of the savings you spent (in CFA)?")</f>
        <v>What was the value of the savings you spent (in CFA)?</v>
      </c>
      <c r="H822" s="152" t="str">
        <f>IFERROR(__xludf.DUMMYFUNCTION("TRIM(REGEXREPLACE(D822, ""[0-9]+[a-f]?\."", """"))"),"Quelle était la valeur de l'epargne que vous avez utilisé ?")</f>
        <v>Quelle était la valeur de l'epargne que vous avez utilisé ?</v>
      </c>
      <c r="I822" s="152" t="str">
        <f>IFERROR(__xludf.DUMMYFUNCTION("TRIM(REGEXREPLACE(E822, ""[0-9]+[a-f]?\."", """"))"),"Nawa kuɗin ajiyar da kuka kashe?")</f>
        <v>Nawa kuɗin ajiyar da kuka kashe?</v>
      </c>
      <c r="J822" s="152" t="s">
        <v>5763</v>
      </c>
      <c r="K822" s="152" t="s">
        <v>5764</v>
      </c>
      <c r="L822" s="152" t="s">
        <v>5765</v>
      </c>
    </row>
    <row r="823">
      <c r="A823" s="170" t="s">
        <v>263</v>
      </c>
      <c r="B823" s="171" t="s">
        <v>5766</v>
      </c>
      <c r="C823" s="28" t="s">
        <v>5767</v>
      </c>
      <c r="D823" s="28" t="s">
        <v>5768</v>
      </c>
      <c r="E823" s="28" t="s">
        <v>5769</v>
      </c>
      <c r="F823" s="161">
        <v>312.0</v>
      </c>
      <c r="G823" s="152" t="str">
        <f>IFERROR(__xludf.DUMMYFUNCTION("TRIM(REGEXREPLACE(C823, ""[0-9]+[a-f]?\."", """"))"),"Think about all of the credit or money you have borrowed. What is the approximate total value of all money you owe to other people (in CFA)?")</f>
        <v>Think about all of the credit or money you have borrowed. What is the approximate total value of all money you owe to other people (in CFA)?</v>
      </c>
      <c r="H823" s="152" t="str">
        <f>IFERROR(__xludf.DUMMYFUNCTION("TRIM(REGEXREPLACE(D823, ""[0-9]+[a-f]?\."", """"))"),"Pensez à tout le crédit ou l'argent que vous avez emprunté. Quelle est la valeur totale approximative de tout l'argent que vous devez à d'autres personnes ?")</f>
        <v>Pensez à tout le crédit ou l'argent que vous avez emprunté. Quelle est la valeur totale approximative de tout l'argent que vous devez à d'autres personnes ?</v>
      </c>
      <c r="I823" s="152" t="str">
        <f>IFERROR(__xludf.DUMMYFUNCTION("TRIM(REGEXREPLACE(E823, ""[0-9]+[a-f]?\."", """"))"),"Ku tuna da duk bashi ko kuɗin da kuka aro. Nawa ne kimar jimillar duk kuɗin da wasu mutanne ke binku?")</f>
        <v>Ku tuna da duk bashi ko kuɗin da kuka aro. Nawa ne kimar jimillar duk kuɗin da wasu mutanne ke binku?</v>
      </c>
      <c r="J823" s="152" t="s">
        <v>5770</v>
      </c>
      <c r="K823" s="152" t="s">
        <v>5771</v>
      </c>
      <c r="L823" s="152" t="s">
        <v>5773</v>
      </c>
      <c r="M823" s="152"/>
    </row>
    <row r="824">
      <c r="A824" s="68" t="s">
        <v>5775</v>
      </c>
      <c r="B824" s="169" t="s">
        <v>5776</v>
      </c>
      <c r="C824" s="28" t="s">
        <v>5777</v>
      </c>
      <c r="D824" s="28" t="s">
        <v>5779</v>
      </c>
      <c r="E824" s="28" t="s">
        <v>5780</v>
      </c>
      <c r="F824" s="161">
        <v>313.0</v>
      </c>
      <c r="G824" s="152" t="str">
        <f>IFERROR(__xludf.DUMMYFUNCTION("TRIM(REGEXREPLACE(C824, ""[0-9]+[a-f]?\."", """"))"),"Please tell me the extent do you agree/disagree:
 If I had an emergency that required 5,000 CFA urgently (within 3 days), I would be able to find the money.")</f>
        <v>Please tell me the extent do you agree/disagree:
 If I had an emergency that required 5,000 CFA urgently (within 3 days), I would be able to find the money.</v>
      </c>
      <c r="H824" s="152" t="str">
        <f>IFERROR(__xludf.DUMMYFUNCTION("TRIM(REGEXREPLACE(D824, ""[0-9]+[a-f]?\."", """"))"),"Veuillez me dire dans quelle mesure êtes-vous d'accord/pas d'accord :
 Si j'avais une urgence qui nécessitait 5 000 CFA en urgence (dans les 3 jours), je serais capable de trouver l'argent.")</f>
        <v>Veuillez me dire dans quelle mesure êtes-vous d'accord/pas d'accord :
 Si j'avais une urgence qui nécessitait 5 000 CFA en urgence (dans les 3 jours), je serais capable de trouver l'argent.</v>
      </c>
      <c r="I824" s="152" t="str">
        <f>IFERROR(__xludf.DUMMYFUNCTION("TRIM(REGEXREPLACE(E824, ""[0-9]+[a-f]?\."", """"))"),"Da fatan za ka gaya mini matsayin yarda/rishin yarda da kowanne: 
 Idan wata buƙatar gaggawa na 5,000 CFA ta same ni (a cikin kwanaki 3), zan iya samun kuɗin.")</f>
        <v>Da fatan za ka gaya mini matsayin yarda/rishin yarda da kowanne: 
 Idan wata buƙatar gaggawa na 5,000 CFA ta same ni (a cikin kwanaki 3), zan iya samun kuɗin.</v>
      </c>
      <c r="J824" s="152" t="s">
        <v>5782</v>
      </c>
      <c r="K824" s="152" t="s">
        <v>5783</v>
      </c>
      <c r="L824" s="152" t="s">
        <v>5784</v>
      </c>
      <c r="M824" s="152"/>
    </row>
    <row r="825">
      <c r="A825" s="68" t="s">
        <v>5785</v>
      </c>
      <c r="B825" s="169" t="s">
        <v>5786</v>
      </c>
      <c r="C825" s="28" t="s">
        <v>5787</v>
      </c>
      <c r="D825" s="28" t="s">
        <v>5788</v>
      </c>
      <c r="E825" s="28" t="s">
        <v>5789</v>
      </c>
      <c r="F825" s="161">
        <v>314.0</v>
      </c>
      <c r="G825" s="152" t="str">
        <f>IFERROR(__xludf.DUMMYFUNCTION("TRIM(REGEXREPLACE(C825, ""[0-9]+[a-f]?\."", """"))"),"What type of person would you go to first for this money?")</f>
        <v>What type of person would you go to first for this money?</v>
      </c>
      <c r="H825" s="152" t="str">
        <f>IFERROR(__xludf.DUMMYFUNCTION("TRIM(REGEXREPLACE(D825, ""[0-9]+[a-f]?\."", """"))"),"Vers quel type de personne iriez-vous en premier pour cet argent ?")</f>
        <v>Vers quel type de personne iriez-vous en premier pour cet argent ?</v>
      </c>
      <c r="I825" s="152" t="str">
        <f>IFERROR(__xludf.DUMMYFUNCTION("TRIM(REGEXREPLACE(E825, ""[0-9]+[a-f]?\."", """"))"),"Wane irin mutum ne za ku fara zuwa wurin shi don neman wannan kuɗin?")</f>
        <v>Wane irin mutum ne za ku fara zuwa wurin shi don neman wannan kuɗin?</v>
      </c>
      <c r="J825" s="152" t="s">
        <v>5790</v>
      </c>
      <c r="K825" s="152" t="s">
        <v>5791</v>
      </c>
      <c r="L825" s="152" t="s">
        <v>5792</v>
      </c>
      <c r="M825" s="152"/>
    </row>
    <row r="826">
      <c r="A826" s="179" t="s">
        <v>246</v>
      </c>
      <c r="B826" s="180" t="s">
        <v>5793</v>
      </c>
      <c r="C826" s="28" t="s">
        <v>5794</v>
      </c>
      <c r="D826" s="28" t="s">
        <v>5795</v>
      </c>
      <c r="E826" s="28" t="s">
        <v>5796</v>
      </c>
      <c r="F826" s="161">
        <v>315.0</v>
      </c>
      <c r="G826" s="152" t="str">
        <f>IFERROR(__xludf.DUMMYFUNCTION("TRIM(REGEXREPLACE(C826, ""[0-9]+[a-f]?\."", """"))"),"Specify your relationship with this person")</f>
        <v>Specify your relationship with this person</v>
      </c>
      <c r="H826" s="152" t="str">
        <f>IFERROR(__xludf.DUMMYFUNCTION("TRIM(REGEXREPLACE(D826, ""[0-9]+[a-f]?\."", """"))"),"Précisez votre relation avec cette personne")</f>
        <v>Précisez votre relation avec cette personne</v>
      </c>
      <c r="I826" s="152" t="str">
        <f>IFERROR(__xludf.DUMMYFUNCTION("TRIM(REGEXREPLACE(E826, ""[0-9]+[a-f]?\."", """"))"),"Faɗi dangantakar ku da wannan mutumen")</f>
        <v>Faɗi dangantakar ku da wannan mutumen</v>
      </c>
      <c r="J826" s="152" t="s">
        <v>5798</v>
      </c>
      <c r="K826" s="152" t="s">
        <v>5799</v>
      </c>
      <c r="L826" s="152" t="s">
        <v>5801</v>
      </c>
      <c r="M826" s="152"/>
    </row>
    <row r="827" hidden="1">
      <c r="A827" s="65" t="s">
        <v>134</v>
      </c>
      <c r="B827" s="66" t="s">
        <v>5803</v>
      </c>
      <c r="C827" s="28"/>
      <c r="D827" s="28"/>
      <c r="E827" s="28"/>
      <c r="F827" s="161">
        <v>481.0</v>
      </c>
      <c r="G827" s="152" t="str">
        <f>IFERROR(__xludf.DUMMYFUNCTION("TRIM(REGEXREPLACE(C827, ""[0-9]+[a-f]?\."", """"))"),"")</f>
        <v/>
      </c>
      <c r="H827" s="152" t="str">
        <f>IFERROR(__xludf.DUMMYFUNCTION("TRIM(REGEXREPLACE(D827, ""[0-9]+[a-f]?\."", """"))"),"")</f>
        <v/>
      </c>
      <c r="I827" s="152" t="str">
        <f>IFERROR(__xludf.DUMMYFUNCTION("TRIM(REGEXREPLACE(E827, ""[0-9]+[a-f]?\."", """"))"),"")</f>
        <v/>
      </c>
      <c r="J827" s="152" t="s">
        <v>5805</v>
      </c>
      <c r="K827" s="152" t="s">
        <v>5806</v>
      </c>
      <c r="L827" s="152" t="s">
        <v>5807</v>
      </c>
      <c r="M827" s="152"/>
    </row>
    <row r="828" hidden="1">
      <c r="A828" s="58" t="s">
        <v>78</v>
      </c>
      <c r="B828" s="58" t="s">
        <v>5808</v>
      </c>
      <c r="C828" s="28"/>
      <c r="D828" s="28"/>
      <c r="E828" s="28"/>
      <c r="F828" s="161">
        <v>482.0</v>
      </c>
      <c r="G828" s="152" t="str">
        <f>IFERROR(__xludf.DUMMYFUNCTION("TRIM(REGEXREPLACE(C828, ""[0-9]+[a-f]?\."", """"))"),"")</f>
        <v/>
      </c>
      <c r="H828" s="152" t="str">
        <f>IFERROR(__xludf.DUMMYFUNCTION("TRIM(REGEXREPLACE(D828, ""[0-9]+[a-f]?\."", """"))"),"")</f>
        <v/>
      </c>
      <c r="I828" s="152" t="str">
        <f>IFERROR(__xludf.DUMMYFUNCTION("TRIM(REGEXREPLACE(E828, ""[0-9]+[a-f]?\."", """"))"),"")</f>
        <v/>
      </c>
      <c r="J828" s="152" t="s">
        <v>5809</v>
      </c>
      <c r="K828" s="152" t="s">
        <v>5810</v>
      </c>
      <c r="L828" s="152" t="s">
        <v>5811</v>
      </c>
      <c r="M828" s="152"/>
    </row>
    <row r="829" hidden="1">
      <c r="A829" s="221"/>
      <c r="B829" s="221"/>
      <c r="C829" s="28" t="s">
        <v>50</v>
      </c>
      <c r="D829" s="28" t="s">
        <v>50</v>
      </c>
      <c r="E829" s="28" t="s">
        <v>50</v>
      </c>
      <c r="F829" s="161">
        <v>483.0</v>
      </c>
      <c r="G829" s="152" t="str">
        <f>IFERROR(__xludf.DUMMYFUNCTION("TRIM(REGEXREPLACE(C829, ""[0-9]+[a-f]?\."", """"))"),"")</f>
        <v/>
      </c>
      <c r="H829" s="152" t="str">
        <f>IFERROR(__xludf.DUMMYFUNCTION("TRIM(REGEXREPLACE(D829, ""[0-9]+[a-f]?\."", """"))"),"")</f>
        <v/>
      </c>
      <c r="I829" s="152" t="str">
        <f>IFERROR(__xludf.DUMMYFUNCTION("TRIM(REGEXREPLACE(E829, ""[0-9]+[a-f]?\."", """"))"),"")</f>
        <v/>
      </c>
      <c r="J829" s="152" t="s">
        <v>5812</v>
      </c>
      <c r="K829" s="152" t="s">
        <v>5813</v>
      </c>
      <c r="L829" s="152" t="s">
        <v>5815</v>
      </c>
    </row>
    <row r="830" hidden="1">
      <c r="A830" s="65" t="s">
        <v>134</v>
      </c>
      <c r="B830" s="66" t="s">
        <v>5817</v>
      </c>
      <c r="C830" s="28"/>
      <c r="D830" s="28"/>
      <c r="E830" s="28"/>
      <c r="F830" s="161">
        <v>484.0</v>
      </c>
      <c r="G830" s="152" t="str">
        <f>IFERROR(__xludf.DUMMYFUNCTION("TRIM(REGEXREPLACE(C830, ""[0-9]+[a-f]?\."", """"))"),"")</f>
        <v/>
      </c>
      <c r="H830" s="152" t="str">
        <f>IFERROR(__xludf.DUMMYFUNCTION("TRIM(REGEXREPLACE(D830, ""[0-9]+[a-f]?\."", """"))"),"")</f>
        <v/>
      </c>
      <c r="I830" s="152" t="str">
        <f>IFERROR(__xludf.DUMMYFUNCTION("TRIM(REGEXREPLACE(E830, ""[0-9]+[a-f]?\."", """"))"),"")</f>
        <v/>
      </c>
      <c r="J830" s="152" t="s">
        <v>5819</v>
      </c>
      <c r="K830" s="152" t="s">
        <v>5820</v>
      </c>
      <c r="L830" s="152" t="s">
        <v>5821</v>
      </c>
      <c r="M830" s="152"/>
    </row>
    <row r="831">
      <c r="A831" s="166" t="s">
        <v>41</v>
      </c>
      <c r="B831" s="167" t="s">
        <v>5823</v>
      </c>
      <c r="C831" s="28" t="s">
        <v>5824</v>
      </c>
      <c r="D831" s="28" t="s">
        <v>5825</v>
      </c>
      <c r="E831" s="28" t="s">
        <v>5826</v>
      </c>
      <c r="F831" s="161">
        <v>316.0</v>
      </c>
      <c r="G831" s="152" t="str">
        <f>IFERROR(__xludf.DUMMYFUNCTION("TRIM(REGEXREPLACE(C831, ""[0-9]+[a-f]?\."", """"))"),"I would like to ask you a few questions about your health and wellbeing")</f>
        <v>I would like to ask you a few questions about your health and wellbeing</v>
      </c>
      <c r="H831" s="152" t="str">
        <f>IFERROR(__xludf.DUMMYFUNCTION("TRIM(REGEXREPLACE(D831, ""[0-9]+[a-f]?\."", """"))"),"Je voudrais vous poser quelques questions sur votre santé et votre bien-être")</f>
        <v>Je voudrais vous poser quelques questions sur votre santé et votre bien-être</v>
      </c>
      <c r="I831" s="152" t="str">
        <f>IFERROR(__xludf.DUMMYFUNCTION("TRIM(REGEXREPLACE(E831, ""[0-9]+[a-f]?\."", """"))"),"Ina so in yi muku wasu ƴan tambayoyi bisa lafiyar ku da jin daɗin ku")</f>
        <v>Ina so in yi muku wasu ƴan tambayoyi bisa lafiyar ku da jin daɗin ku</v>
      </c>
      <c r="J831" s="152" t="s">
        <v>5827</v>
      </c>
      <c r="K831" s="152" t="s">
        <v>5828</v>
      </c>
      <c r="L831" s="152" t="s">
        <v>5829</v>
      </c>
      <c r="M831" s="152"/>
    </row>
    <row r="832">
      <c r="A832" s="68" t="s">
        <v>5830</v>
      </c>
      <c r="B832" s="169" t="s">
        <v>5831</v>
      </c>
      <c r="C832" s="28" t="s">
        <v>5832</v>
      </c>
      <c r="D832" s="28" t="s">
        <v>5833</v>
      </c>
      <c r="E832" s="28" t="s">
        <v>5834</v>
      </c>
      <c r="F832" s="161">
        <v>317.0</v>
      </c>
      <c r="G832" s="152" t="str">
        <f>IFERROR(__xludf.DUMMYFUNCTION("TRIM(REGEXREPLACE(C832, ""[0-9]+[a-f]?\."", """"))"),"In general, how would you characterize your physical health?")</f>
        <v>In general, how would you characterize your physical health?</v>
      </c>
      <c r="H832" s="152" t="str">
        <f>IFERROR(__xludf.DUMMYFUNCTION("TRIM(REGEXREPLACE(D832, ""[0-9]+[a-f]?\."", """"))"),"En général, comment caractériseriez-vous votre santé physique ?")</f>
        <v>En général, comment caractériseriez-vous votre santé physique ?</v>
      </c>
      <c r="I832" s="152" t="str">
        <f>IFERROR(__xludf.DUMMYFUNCTION("TRIM(REGEXREPLACE(E832, ""[0-9]+[a-f]?\."", """"))"),"A taƙaice, yaya za ku siffanta lafiyar jikin ku?")</f>
        <v>A taƙaice, yaya za ku siffanta lafiyar jikin ku?</v>
      </c>
      <c r="J832" s="152" t="s">
        <v>5835</v>
      </c>
      <c r="K832" s="152" t="s">
        <v>5836</v>
      </c>
      <c r="L832" s="152" t="s">
        <v>5837</v>
      </c>
    </row>
    <row r="833">
      <c r="A833" s="68" t="s">
        <v>463</v>
      </c>
      <c r="B833" s="169" t="s">
        <v>5838</v>
      </c>
      <c r="C833" s="28" t="s">
        <v>5839</v>
      </c>
      <c r="D833" s="28" t="s">
        <v>5840</v>
      </c>
      <c r="E833" s="28" t="s">
        <v>5841</v>
      </c>
      <c r="F833" s="161">
        <v>318.0</v>
      </c>
      <c r="G833" s="152" t="str">
        <f>IFERROR(__xludf.DUMMYFUNCTION("TRIM(REGEXREPLACE(C833, ""[0-9]+[a-f]?\."", """"))"),"Do you currently suffer from any illness or disability that limits your ability to travel or work?")</f>
        <v>Do you currently suffer from any illness or disability that limits your ability to travel or work?</v>
      </c>
      <c r="H833" s="152" t="str">
        <f>IFERROR(__xludf.DUMMYFUNCTION("TRIM(REGEXREPLACE(D833, ""[0-9]+[a-f]?\."", """"))"),"Souffrez-vous actuellement d'une maladie ou d'un handicap qui limite votre capacité à voyager ou à travailler ?")</f>
        <v>Souffrez-vous actuellement d'une maladie ou d'un handicap qui limite votre capacité à voyager ou à travailler ?</v>
      </c>
      <c r="I833" s="152" t="str">
        <f>IFERROR(__xludf.DUMMYFUNCTION("TRIM(REGEXREPLACE(E833, ""[0-9]+[a-f]?\."", """"))"),"Ko a halin yanzu kuna fama da wata rashin lafiya ko naƙasa da ke kawo muku cikas bisa karfinku na yin tafiya ko yin aiki?")</f>
        <v>Ko a halin yanzu kuna fama da wata rashin lafiya ko naƙasa da ke kawo muku cikas bisa karfinku na yin tafiya ko yin aiki?</v>
      </c>
      <c r="J833" s="152" t="s">
        <v>5845</v>
      </c>
      <c r="K833" s="152" t="s">
        <v>5846</v>
      </c>
      <c r="L833" s="152" t="s">
        <v>5847</v>
      </c>
    </row>
    <row r="834">
      <c r="A834" s="65" t="s">
        <v>5848</v>
      </c>
      <c r="B834" s="169" t="s">
        <v>5849</v>
      </c>
      <c r="C834" s="28" t="s">
        <v>5850</v>
      </c>
      <c r="D834" s="28" t="s">
        <v>5851</v>
      </c>
      <c r="E834" s="28" t="s">
        <v>5852</v>
      </c>
      <c r="F834" s="161">
        <v>319.0</v>
      </c>
      <c r="G834" s="152" t="str">
        <f>IFERROR(__xludf.DUMMYFUNCTION("TRIM(REGEXREPLACE(C834, ""[0-9]+[a-f]?\."", """"))"),"What illness limits you in this way?")</f>
        <v>What illness limits you in this way?</v>
      </c>
      <c r="H834" s="152" t="str">
        <f>IFERROR(__xludf.DUMMYFUNCTION("TRIM(REGEXREPLACE(D834, ""[0-9]+[a-f]?\."", """"))"),"Quelle maladie vous limite de cette manière ?")</f>
        <v>Quelle maladie vous limite de cette manière ?</v>
      </c>
      <c r="I834" s="152" t="str">
        <f>IFERROR(__xludf.DUMMYFUNCTION("TRIM(REGEXREPLACE(E834, ""[0-9]+[a-f]?\."", """"))"),"Wace cuta ce ke tsaida ku kenan ?")</f>
        <v>Wace cuta ce ke tsaida ku kenan ?</v>
      </c>
      <c r="J834" s="152" t="s">
        <v>5853</v>
      </c>
      <c r="K834" s="152" t="s">
        <v>5854</v>
      </c>
      <c r="L834" s="152" t="s">
        <v>5855</v>
      </c>
    </row>
    <row r="835">
      <c r="A835" s="179" t="s">
        <v>246</v>
      </c>
      <c r="B835" s="180" t="s">
        <v>5856</v>
      </c>
      <c r="C835" s="28" t="s">
        <v>5857</v>
      </c>
      <c r="D835" s="28" t="s">
        <v>5858</v>
      </c>
      <c r="E835" s="28" t="s">
        <v>5859</v>
      </c>
      <c r="F835" s="161">
        <v>320.0</v>
      </c>
      <c r="G835" s="152" t="str">
        <f>IFERROR(__xludf.DUMMYFUNCTION("TRIM(REGEXREPLACE(C835, ""[0-9]+[a-f]?\."", """"))"),"Other, specify:")</f>
        <v>Other, specify:</v>
      </c>
      <c r="H835" s="152" t="str">
        <f>IFERROR(__xludf.DUMMYFUNCTION("TRIM(REGEXREPLACE(D835, ""[0-9]+[a-f]?\."", """"))"),"Autre précisez:")</f>
        <v>Autre précisez:</v>
      </c>
      <c r="I835" s="152" t="str">
        <f>IFERROR(__xludf.DUMMYFUNCTION("TRIM(REGEXREPLACE(E835, ""[0-9]+[a-f]?\."", """"))"),"wani daban baiyana")</f>
        <v>wani daban baiyana</v>
      </c>
      <c r="J835" s="152" t="s">
        <v>5860</v>
      </c>
      <c r="K835" s="152" t="s">
        <v>5861</v>
      </c>
      <c r="L835" s="152" t="s">
        <v>5862</v>
      </c>
      <c r="M835" s="152"/>
    </row>
    <row r="836">
      <c r="A836" s="166" t="s">
        <v>41</v>
      </c>
      <c r="B836" s="167" t="s">
        <v>5863</v>
      </c>
      <c r="C836" s="28" t="s">
        <v>5864</v>
      </c>
      <c r="D836" s="28" t="s">
        <v>5865</v>
      </c>
      <c r="E836" s="28" t="s">
        <v>5866</v>
      </c>
      <c r="F836" s="161">
        <v>321.0</v>
      </c>
      <c r="G836" s="152" t="str">
        <f>IFERROR(__xludf.DUMMYFUNCTION("TRIM(REGEXREPLACE(C836, ""[0-9]+[a-f]?\."", """"))"),"Now I want to ask you about the past week (7 days)")</f>
        <v>Now I want to ask you about the past week (7 days)</v>
      </c>
      <c r="H836" s="152" t="str">
        <f>IFERROR(__xludf.DUMMYFUNCTION("TRIM(REGEXREPLACE(D836, ""[0-9]+[a-f]?\."", """"))"),"Maintenant, je veux vous poser des questions sur la semaine dernière (7 jours)")</f>
        <v>Maintenant, je veux vous poser des questions sur la semaine dernière (7 jours)</v>
      </c>
      <c r="I836" s="152" t="str">
        <f>IFERROR(__xludf.DUMMYFUNCTION("TRIM(REGEXREPLACE(E836, ""[0-9]+[a-f]?\."", """"))"),"Yanzu ina so in muku tambayoyi kan satin da ya gabata (kwana 7)")</f>
        <v>Yanzu ina so in muku tambayoyi kan satin da ya gabata (kwana 7)</v>
      </c>
      <c r="J836" s="152" t="s">
        <v>5867</v>
      </c>
      <c r="K836" s="152" t="s">
        <v>5868</v>
      </c>
      <c r="L836" s="152" t="s">
        <v>5869</v>
      </c>
      <c r="M836" s="152"/>
    </row>
    <row r="837">
      <c r="A837" s="68" t="s">
        <v>463</v>
      </c>
      <c r="B837" s="169" t="s">
        <v>5870</v>
      </c>
      <c r="C837" s="28" t="s">
        <v>5871</v>
      </c>
      <c r="D837" s="28" t="s">
        <v>5872</v>
      </c>
      <c r="E837" s="28" t="s">
        <v>5874</v>
      </c>
      <c r="F837" s="161">
        <v>322.0</v>
      </c>
      <c r="G837" s="152" t="str">
        <f>IFERROR(__xludf.DUMMYFUNCTION("TRIM(REGEXREPLACE(C837, ""[0-9]+[a-f]?\."", """"))"),"In the past 7 days have you cut the size of meals or skipped meals?")</f>
        <v>In the past 7 days have you cut the size of meals or skipped meals?</v>
      </c>
      <c r="H837" s="152" t="str">
        <f>IFERROR(__xludf.DUMMYFUNCTION("TRIM(REGEXREPLACE(D837, ""[0-9]+[a-f]?\."", """"))"),"Au cours des 7 derniers jours, avez-vous réduit la taille des repas ou sauté des repas ?")</f>
        <v>Au cours des 7 derniers jours, avez-vous réduit la taille des repas ou sauté des repas ?</v>
      </c>
      <c r="I837" s="152" t="str">
        <f>IFERROR(__xludf.DUMMYFUNCTION("TRIM(REGEXREPLACE(E837, ""[0-9]+[a-f]?\."", """"))"),"A cikin kwanaki 7 da suka gabata kun rage yawan abincin da kuka saba ci ko kun tsallake shi gabaɗaya?")</f>
        <v>A cikin kwanaki 7 da suka gabata kun rage yawan abincin da kuka saba ci ko kun tsallake shi gabaɗaya?</v>
      </c>
      <c r="J837" s="152" t="s">
        <v>5875</v>
      </c>
      <c r="K837" s="152" t="s">
        <v>5876</v>
      </c>
      <c r="L837" s="152" t="s">
        <v>5877</v>
      </c>
    </row>
    <row r="838">
      <c r="A838" s="170" t="s">
        <v>263</v>
      </c>
      <c r="B838" s="171" t="s">
        <v>5878</v>
      </c>
      <c r="C838" s="28" t="s">
        <v>5879</v>
      </c>
      <c r="D838" s="28" t="s">
        <v>5880</v>
      </c>
      <c r="E838" s="28" t="s">
        <v>5881</v>
      </c>
      <c r="F838" s="161">
        <v>323.0</v>
      </c>
      <c r="G838" s="152" t="str">
        <f>IFERROR(__xludf.DUMMYFUNCTION("TRIM(REGEXREPLACE(C838, ""[0-9]+[a-f]?\."", """"))"),"How many days?")</f>
        <v>How many days?</v>
      </c>
      <c r="H838" s="152" t="str">
        <f>IFERROR(__xludf.DUMMYFUNCTION("TRIM(REGEXREPLACE(D838, ""[0-9]+[a-f]?\."", """"))"),"Combien de jours ?")</f>
        <v>Combien de jours ?</v>
      </c>
      <c r="I838" s="152" t="str">
        <f>IFERROR(__xludf.DUMMYFUNCTION("TRIM(REGEXREPLACE(E838, ""[0-9]+[a-f]?\."", """"))"),"Kwana nawa?")</f>
        <v>Kwana nawa?</v>
      </c>
      <c r="J838" s="152" t="s">
        <v>5883</v>
      </c>
      <c r="K838" s="152" t="s">
        <v>5884</v>
      </c>
      <c r="L838" s="152" t="s">
        <v>5885</v>
      </c>
    </row>
    <row r="839">
      <c r="A839" s="170" t="s">
        <v>263</v>
      </c>
      <c r="B839" s="171" t="s">
        <v>5886</v>
      </c>
      <c r="C839" s="28" t="s">
        <v>5888</v>
      </c>
      <c r="D839" s="28" t="s">
        <v>5890</v>
      </c>
      <c r="E839" s="28" t="s">
        <v>5891</v>
      </c>
      <c r="F839" s="161">
        <v>324.0</v>
      </c>
      <c r="G839" s="152" t="str">
        <f>IFERROR(__xludf.DUMMYFUNCTION("TRIM(REGEXREPLACE(C839, ""[0-9]+[a-f]?\."", """"))"),"In the past week how many days did you consume animal protein (fish, meat, poultry)?")</f>
        <v>In the past week how many days did you consume animal protein (fish, meat, poultry)?</v>
      </c>
      <c r="H839" s="152" t="str">
        <f>IFERROR(__xludf.DUMMYFUNCTION("TRIM(REGEXREPLACE(D839, ""[0-9]+[a-f]?\."", """"))"),"Au cours de la semaine écoulée, combien de fois avez-vous consommé des protéines animales (poisson, viande, volaille) ?")</f>
        <v>Au cours de la semaine écoulée, combien de fois avez-vous consommé des protéines animales (poisson, viande, volaille) ?</v>
      </c>
      <c r="I839" s="152" t="str">
        <f>IFERROR(__xludf.DUMMYFUNCTION("TRIM(REGEXREPLACE(E839, ""[0-9]+[a-f]?\."", """"))"),"A cikin satin da ya gabata sau nawa kuka ci abinci masu gina jiki kamar (kifi, nama, kaji)?")</f>
        <v>A cikin satin da ya gabata sau nawa kuka ci abinci masu gina jiki kamar (kifi, nama, kaji)?</v>
      </c>
      <c r="J839" s="152" t="s">
        <v>5893</v>
      </c>
      <c r="K839" s="152" t="s">
        <v>5894</v>
      </c>
      <c r="L839" s="152" t="s">
        <v>5895</v>
      </c>
      <c r="M839" s="152"/>
    </row>
    <row r="840">
      <c r="A840" s="170" t="s">
        <v>263</v>
      </c>
      <c r="B840" s="171" t="s">
        <v>5896</v>
      </c>
      <c r="C840" s="28" t="s">
        <v>5897</v>
      </c>
      <c r="D840" s="28" t="s">
        <v>5898</v>
      </c>
      <c r="E840" s="28" t="s">
        <v>5899</v>
      </c>
      <c r="F840" s="161">
        <v>325.0</v>
      </c>
      <c r="G840" s="152" t="str">
        <f>IFERROR(__xludf.DUMMYFUNCTION("TRIM(REGEXREPLACE(C840, ""[0-9]+[a-f]?\."", """"))"),"How many hours of sleep per night did you get on average in the last seven days?")</f>
        <v>How many hours of sleep per night did you get on average in the last seven days?</v>
      </c>
      <c r="H840" s="152" t="str">
        <f>IFERROR(__xludf.DUMMYFUNCTION("TRIM(REGEXREPLACE(D840, ""[0-9]+[a-f]?\."", """"))"),"Combien d'heures de sommeil par nuit avez-vous dormi en moyenne au cours des sept derniers jours ?")</f>
        <v>Combien d'heures de sommeil par nuit avez-vous dormi en moyenne au cours des sept derniers jours ?</v>
      </c>
      <c r="I840" s="152" t="str">
        <f>IFERROR(__xludf.DUMMYFUNCTION("TRIM(REGEXREPLACE(E840, ""[0-9]+[a-f]?\."", """"))"),"Sa'o'i nawa kuka yi barci a kowane dare a taƙaice cikin kwanaki bakwai da suka wuce?")</f>
        <v>Sa'o'i nawa kuka yi barci a kowane dare a taƙaice cikin kwanaki bakwai da suka wuce?</v>
      </c>
      <c r="J840" s="152" t="s">
        <v>5901</v>
      </c>
      <c r="K840" s="152" t="s">
        <v>5902</v>
      </c>
      <c r="L840" s="152" t="s">
        <v>5903</v>
      </c>
    </row>
    <row r="841" hidden="1">
      <c r="A841" s="140" t="s">
        <v>131</v>
      </c>
      <c r="B841" s="190" t="s">
        <v>5904</v>
      </c>
      <c r="C841" s="28"/>
      <c r="D841" s="28"/>
      <c r="E841" s="28"/>
      <c r="F841" s="161">
        <v>456.0</v>
      </c>
      <c r="G841" s="152" t="str">
        <f>IFERROR(__xludf.DUMMYFUNCTION("TRIM(REGEXREPLACE(C841, ""[0-9]+[a-f]?\."", """"))"),"")</f>
        <v/>
      </c>
      <c r="H841" s="152" t="str">
        <f>IFERROR(__xludf.DUMMYFUNCTION("TRIM(REGEXREPLACE(D841, ""[0-9]+[a-f]?\."", """"))"),"")</f>
        <v/>
      </c>
      <c r="I841" s="152" t="str">
        <f>IFERROR(__xludf.DUMMYFUNCTION("TRIM(REGEXREPLACE(E841, ""[0-9]+[a-f]?\."", """"))"),"")</f>
        <v/>
      </c>
      <c r="J841" s="152" t="s">
        <v>5905</v>
      </c>
      <c r="K841" s="152" t="s">
        <v>5906</v>
      </c>
      <c r="L841" s="152" t="s">
        <v>5907</v>
      </c>
      <c r="M841" s="152"/>
    </row>
    <row r="842">
      <c r="A842" s="68" t="s">
        <v>4632</v>
      </c>
      <c r="B842" s="289" t="s">
        <v>5908</v>
      </c>
      <c r="C842" s="28" t="s">
        <v>5911</v>
      </c>
      <c r="D842" s="28" t="s">
        <v>5912</v>
      </c>
      <c r="E842" s="28" t="s">
        <v>5913</v>
      </c>
      <c r="F842" s="161">
        <v>326.0</v>
      </c>
      <c r="G842" s="152" t="str">
        <f>IFERROR(__xludf.DUMMYFUNCTION("TRIM(REGEXREPLACE(C842, ""[0-9]+[a-f]?\."", """"))"),"In the past week, how often did you experience the following feelings?")</f>
        <v>In the past week, how often did you experience the following feelings?</v>
      </c>
      <c r="H842" s="152" t="str">
        <f>IFERROR(__xludf.DUMMYFUNCTION("TRIM(REGEXREPLACE(D842, ""[0-9]+[a-f]?\."", """"))"),"Au cours de la semaine dernière, à quelle fréquence avez-vous ressenti les sentiments suivants ?")</f>
        <v>Au cours de la semaine dernière, à quelle fréquence avez-vous ressenti les sentiments suivants ?</v>
      </c>
      <c r="I842" s="152" t="str">
        <f>IFERROR(__xludf.DUMMYFUNCTION("TRIM(REGEXREPLACE(E842, ""[0-9]+[a-f]?\."", """"))"),"A cikin satin da ya wuce, sau nawa kuka ji irin waɗannan abubuwan a ranku?")</f>
        <v>A cikin satin da ya wuce, sau nawa kuka ji irin waɗannan abubuwan a ranku?</v>
      </c>
      <c r="J842" s="152" t="s">
        <v>5914</v>
      </c>
      <c r="K842" s="152" t="s">
        <v>5915</v>
      </c>
      <c r="L842" s="152" t="s">
        <v>5916</v>
      </c>
      <c r="M842" s="152"/>
    </row>
    <row r="843">
      <c r="A843" s="68" t="s">
        <v>4632</v>
      </c>
      <c r="B843" s="289" t="s">
        <v>5917</v>
      </c>
      <c r="C843" s="28" t="s">
        <v>5918</v>
      </c>
      <c r="D843" s="28" t="s">
        <v>5919</v>
      </c>
      <c r="E843" s="28" t="s">
        <v>5920</v>
      </c>
      <c r="F843" s="161">
        <v>327.0</v>
      </c>
      <c r="G843" s="152" t="str">
        <f>IFERROR(__xludf.DUMMYFUNCTION("TRIM(REGEXREPLACE(C843, ""[0-9]+[a-f]?\."", """"))"),"Enjoyment")</f>
        <v>Enjoyment</v>
      </c>
      <c r="H843" s="152" t="str">
        <f>IFERROR(__xludf.DUMMYFUNCTION("TRIM(REGEXREPLACE(D843, ""[0-9]+[a-f]?\."", """"))"),"Plaisir")</f>
        <v>Plaisir</v>
      </c>
      <c r="I843" s="152" t="str">
        <f>IFERROR(__xludf.DUMMYFUNCTION("TRIM(REGEXREPLACE(E843, ""[0-9]+[a-f]?\."", """"))"),"jin daɗi")</f>
        <v>jin daɗi</v>
      </c>
      <c r="J843" s="152" t="s">
        <v>5922</v>
      </c>
      <c r="K843" s="152" t="s">
        <v>5923</v>
      </c>
      <c r="L843" s="152" t="s">
        <v>5924</v>
      </c>
    </row>
    <row r="844">
      <c r="A844" s="68" t="s">
        <v>4632</v>
      </c>
      <c r="B844" s="289" t="s">
        <v>5925</v>
      </c>
      <c r="C844" s="28" t="s">
        <v>5926</v>
      </c>
      <c r="D844" s="28" t="s">
        <v>5927</v>
      </c>
      <c r="E844" s="28" t="s">
        <v>5928</v>
      </c>
      <c r="F844" s="161">
        <v>328.0</v>
      </c>
      <c r="G844" s="152" t="str">
        <f>IFERROR(__xludf.DUMMYFUNCTION("TRIM(REGEXREPLACE(C844, ""[0-9]+[a-f]?\."", """"))"),"Happiness")</f>
        <v>Happiness</v>
      </c>
      <c r="H844" s="152" t="str">
        <f>IFERROR(__xludf.DUMMYFUNCTION("TRIM(REGEXREPLACE(D844, ""[0-9]+[a-f]?\."", """"))"),"Bonheur")</f>
        <v>Bonheur</v>
      </c>
      <c r="I844" s="152" t="str">
        <f>IFERROR(__xludf.DUMMYFUNCTION("TRIM(REGEXREPLACE(E844, ""[0-9]+[a-f]?\."", """"))"),"Farin ciki")</f>
        <v>Farin ciki</v>
      </c>
      <c r="J844" s="152" t="s">
        <v>5930</v>
      </c>
      <c r="K844" s="152" t="s">
        <v>5931</v>
      </c>
      <c r="L844" s="152" t="s">
        <v>5932</v>
      </c>
    </row>
    <row r="845">
      <c r="A845" s="68" t="s">
        <v>4632</v>
      </c>
      <c r="B845" s="289" t="s">
        <v>5934</v>
      </c>
      <c r="C845" s="28" t="s">
        <v>5936</v>
      </c>
      <c r="D845" s="28" t="s">
        <v>5936</v>
      </c>
      <c r="E845" s="28" t="s">
        <v>5937</v>
      </c>
      <c r="F845" s="161">
        <v>329.0</v>
      </c>
      <c r="G845" s="152" t="str">
        <f>IFERROR(__xludf.DUMMYFUNCTION("TRIM(REGEXREPLACE(C845, ""[0-9]+[a-f]?\."", """"))"),"Stress")</f>
        <v>Stress</v>
      </c>
      <c r="H845" s="152" t="str">
        <f>IFERROR(__xludf.DUMMYFUNCTION("TRIM(REGEXREPLACE(D845, ""[0-9]+[a-f]?\."", """"))"),"Stress")</f>
        <v>Stress</v>
      </c>
      <c r="I845" s="152" t="str">
        <f>IFERROR(__xludf.DUMMYFUNCTION("TRIM(REGEXREPLACE(E845, ""[0-9]+[a-f]?\."", """"))"),"Babbar Damuwa")</f>
        <v>Babbar Damuwa</v>
      </c>
      <c r="J845" s="152" t="s">
        <v>5938</v>
      </c>
      <c r="K845" s="152" t="s">
        <v>5938</v>
      </c>
      <c r="L845" s="152" t="s">
        <v>5939</v>
      </c>
    </row>
    <row r="846">
      <c r="A846" s="68" t="s">
        <v>4632</v>
      </c>
      <c r="B846" s="289" t="s">
        <v>5940</v>
      </c>
      <c r="C846" s="28" t="s">
        <v>5941</v>
      </c>
      <c r="D846" s="28" t="s">
        <v>5942</v>
      </c>
      <c r="E846" s="28" t="s">
        <v>5943</v>
      </c>
      <c r="F846" s="161">
        <v>330.0</v>
      </c>
      <c r="G846" s="152" t="str">
        <f>IFERROR(__xludf.DUMMYFUNCTION("TRIM(REGEXREPLACE(C846, ""[0-9]+[a-f]?\."", """"))"),"Worry")</f>
        <v>Worry</v>
      </c>
      <c r="H846" s="152" t="str">
        <f>IFERROR(__xludf.DUMMYFUNCTION("TRIM(REGEXREPLACE(D846, ""[0-9]+[a-f]?\."", """"))"),"Inquiétude")</f>
        <v>Inquiétude</v>
      </c>
      <c r="I846" s="152" t="str">
        <f>IFERROR(__xludf.DUMMYFUNCTION("TRIM(REGEXREPLACE(E846, ""[0-9]+[a-f]?\."", """"))"),"Damuwa")</f>
        <v>Damuwa</v>
      </c>
      <c r="J846" s="152" t="s">
        <v>5944</v>
      </c>
      <c r="K846" s="152" t="s">
        <v>5945</v>
      </c>
      <c r="L846" s="152" t="s">
        <v>5946</v>
      </c>
      <c r="M846" s="152"/>
    </row>
    <row r="847">
      <c r="A847" s="68" t="s">
        <v>4632</v>
      </c>
      <c r="B847" s="289" t="s">
        <v>5948</v>
      </c>
      <c r="C847" s="28" t="s">
        <v>5949</v>
      </c>
      <c r="D847" s="28" t="s">
        <v>5950</v>
      </c>
      <c r="E847" s="28" t="s">
        <v>5951</v>
      </c>
      <c r="F847" s="161">
        <v>331.0</v>
      </c>
      <c r="G847" s="152" t="str">
        <f>IFERROR(__xludf.DUMMYFUNCTION("TRIM(REGEXREPLACE(C847, ""[0-9]+[a-f]?\."", """"))"),"Anger")</f>
        <v>Anger</v>
      </c>
      <c r="H847" s="152" t="str">
        <f>IFERROR(__xludf.DUMMYFUNCTION("TRIM(REGEXREPLACE(D847, ""[0-9]+[a-f]?\."", """"))"),"Colère")</f>
        <v>Colère</v>
      </c>
      <c r="I847" s="152" t="str">
        <f>IFERROR(__xludf.DUMMYFUNCTION("TRIM(REGEXREPLACE(E847, ""[0-9]+[a-f]?\."", """"))"),"Fushi")</f>
        <v>Fushi</v>
      </c>
      <c r="J847" s="152" t="s">
        <v>5952</v>
      </c>
      <c r="K847" s="152" t="s">
        <v>5953</v>
      </c>
      <c r="L847" s="152" t="s">
        <v>5954</v>
      </c>
      <c r="M847" s="152"/>
    </row>
    <row r="848">
      <c r="A848" s="68" t="s">
        <v>4632</v>
      </c>
      <c r="B848" s="289" t="s">
        <v>5955</v>
      </c>
      <c r="C848" s="28" t="s">
        <v>5956</v>
      </c>
      <c r="D848" s="28" t="s">
        <v>5957</v>
      </c>
      <c r="E848" s="28" t="s">
        <v>5958</v>
      </c>
      <c r="F848" s="161">
        <v>332.0</v>
      </c>
      <c r="G848" s="152" t="str">
        <f>IFERROR(__xludf.DUMMYFUNCTION("TRIM(REGEXREPLACE(C848, ""[0-9]+[a-f]?\."", """"))"),"Physical pain")</f>
        <v>Physical pain</v>
      </c>
      <c r="H848" s="152" t="str">
        <f>IFERROR(__xludf.DUMMYFUNCTION("TRIM(REGEXREPLACE(D848, ""[0-9]+[a-f]?\."", """"))"),"Douleur physique")</f>
        <v>Douleur physique</v>
      </c>
      <c r="I848" s="152" t="str">
        <f>IFERROR(__xludf.DUMMYFUNCTION("TRIM(REGEXREPLACE(E848, ""[0-9]+[a-f]?\."", """"))"),"ciwon jiki")</f>
        <v>ciwon jiki</v>
      </c>
      <c r="J848" s="152" t="s">
        <v>5959</v>
      </c>
      <c r="K848" s="152" t="s">
        <v>5960</v>
      </c>
      <c r="L848" s="152" t="s">
        <v>5961</v>
      </c>
      <c r="M848" s="152"/>
    </row>
    <row r="849">
      <c r="A849" s="68" t="s">
        <v>4632</v>
      </c>
      <c r="B849" s="289" t="s">
        <v>5962</v>
      </c>
      <c r="C849" s="28" t="s">
        <v>5963</v>
      </c>
      <c r="D849" s="28" t="s">
        <v>5964</v>
      </c>
      <c r="E849" s="28" t="s">
        <v>5965</v>
      </c>
      <c r="F849" s="161">
        <v>333.0</v>
      </c>
      <c r="G849" s="152" t="str">
        <f>IFERROR(__xludf.DUMMYFUNCTION("TRIM(REGEXREPLACE(C849, ""[0-9]+[a-f]?\."", """"))"),"Loneliness")</f>
        <v>Loneliness</v>
      </c>
      <c r="H849" s="152" t="str">
        <f>IFERROR(__xludf.DUMMYFUNCTION("TRIM(REGEXREPLACE(D849, ""[0-9]+[a-f]?\."", """"))"),"Solitude")</f>
        <v>Solitude</v>
      </c>
      <c r="I849" s="152" t="str">
        <f>IFERROR(__xludf.DUMMYFUNCTION("TRIM(REGEXREPLACE(E849, ""[0-9]+[a-f]?\."", """"))"),"kadaici")</f>
        <v>kadaici</v>
      </c>
      <c r="J849" s="152" t="s">
        <v>5966</v>
      </c>
      <c r="K849" s="152" t="s">
        <v>5967</v>
      </c>
      <c r="L849" s="152" t="s">
        <v>5968</v>
      </c>
      <c r="M849" s="152"/>
    </row>
    <row r="850" hidden="1">
      <c r="A850" s="140" t="s">
        <v>237</v>
      </c>
      <c r="B850" s="139" t="s">
        <v>5904</v>
      </c>
      <c r="C850" s="28"/>
      <c r="D850" s="28"/>
      <c r="E850" s="28"/>
      <c r="F850" s="161">
        <v>464.0</v>
      </c>
      <c r="G850" s="152" t="str">
        <f>IFERROR(__xludf.DUMMYFUNCTION("TRIM(REGEXREPLACE(C850, ""[0-9]+[a-f]?\."", """"))"),"")</f>
        <v/>
      </c>
      <c r="H850" s="152" t="str">
        <f>IFERROR(__xludf.DUMMYFUNCTION("TRIM(REGEXREPLACE(D850, ""[0-9]+[a-f]?\."", """"))"),"")</f>
        <v/>
      </c>
      <c r="I850" s="152" t="str">
        <f>IFERROR(__xludf.DUMMYFUNCTION("TRIM(REGEXREPLACE(E850, ""[0-9]+[a-f]?\."", """"))"),"")</f>
        <v/>
      </c>
      <c r="J850" s="152" t="s">
        <v>5971</v>
      </c>
      <c r="K850" s="152" t="s">
        <v>5973</v>
      </c>
      <c r="L850" s="152" t="s">
        <v>5974</v>
      </c>
      <c r="M850" s="152"/>
    </row>
    <row r="851" hidden="1">
      <c r="A851" s="140" t="s">
        <v>131</v>
      </c>
      <c r="B851" s="190" t="s">
        <v>5975</v>
      </c>
      <c r="C851" s="28"/>
      <c r="D851" s="28"/>
      <c r="E851" s="28"/>
      <c r="F851" s="161">
        <v>465.0</v>
      </c>
      <c r="G851" s="152" t="str">
        <f>IFERROR(__xludf.DUMMYFUNCTION("TRIM(REGEXREPLACE(C851, ""[0-9]+[a-f]?\."", """"))"),"")</f>
        <v/>
      </c>
      <c r="H851" s="152" t="str">
        <f>IFERROR(__xludf.DUMMYFUNCTION("TRIM(REGEXREPLACE(D851, ""[0-9]+[a-f]?\."", """"))"),"")</f>
        <v/>
      </c>
      <c r="I851" s="152" t="str">
        <f>IFERROR(__xludf.DUMMYFUNCTION("TRIM(REGEXREPLACE(E851, ""[0-9]+[a-f]?\."", """"))"),"")</f>
        <v/>
      </c>
      <c r="J851" s="152" t="s">
        <v>5978</v>
      </c>
      <c r="K851" s="152" t="s">
        <v>5979</v>
      </c>
      <c r="L851" s="152" t="s">
        <v>5980</v>
      </c>
    </row>
    <row r="852">
      <c r="A852" s="68" t="s">
        <v>5775</v>
      </c>
      <c r="B852" s="289" t="s">
        <v>5981</v>
      </c>
      <c r="C852" s="28" t="s">
        <v>5982</v>
      </c>
      <c r="D852" s="28" t="s">
        <v>5983</v>
      </c>
      <c r="E852" s="28" t="s">
        <v>5984</v>
      </c>
      <c r="F852" s="161">
        <v>334.0</v>
      </c>
      <c r="G852" s="152" t="str">
        <f>IFERROR(__xludf.DUMMYFUNCTION("TRIM(REGEXREPLACE(C852, ""[0-9]+[a-f]?\."", """"))"),"I will now read out several statements. You should tell me whether these statements are true for you by using the following scale.")</f>
        <v>I will now read out several statements. You should tell me whether these statements are true for you by using the following scale.</v>
      </c>
      <c r="H852" s="152" t="str">
        <f>IFERROR(__xludf.DUMMYFUNCTION("TRIM(REGEXREPLACE(D852, ""[0-9]+[a-f]?\."", """"))"),"Je vais maintenant lire plusieurs déclarations. Vous devez me dire si ces affirmations sont vraies pour vous en utilisant l'échelle suivante.")</f>
        <v>Je vais maintenant lire plusieurs déclarations. Vous devez me dire si ces affirmations sont vraies pour vous en utilisant l'échelle suivante.</v>
      </c>
      <c r="I852" s="152" t="str">
        <f>IFERROR(__xludf.DUMMYFUNCTION("TRIM(REGEXREPLACE(E852, ""[0-9]+[a-f]?\."", """"))"),"Yanzu zan karanta wasu maganganu da yawa. Za ku gaya mini ko waɗannan maganganun sun yi daidai da ku ta hanyar yin amfani da kuranga mai zuwa.")</f>
        <v>Yanzu zan karanta wasu maganganu da yawa. Za ku gaya mini ko waɗannan maganganun sun yi daidai da ku ta hanyar yin amfani da kuranga mai zuwa.</v>
      </c>
      <c r="J852" s="152" t="s">
        <v>5985</v>
      </c>
      <c r="K852" s="152" t="s">
        <v>5986</v>
      </c>
      <c r="L852" s="152" t="s">
        <v>5987</v>
      </c>
    </row>
    <row r="853">
      <c r="A853" s="68" t="s">
        <v>5775</v>
      </c>
      <c r="B853" s="289" t="s">
        <v>5988</v>
      </c>
      <c r="C853" s="28" t="s">
        <v>5989</v>
      </c>
      <c r="D853" s="28" t="s">
        <v>5990</v>
      </c>
      <c r="E853" s="28" t="s">
        <v>5991</v>
      </c>
      <c r="F853" s="161">
        <v>335.0</v>
      </c>
      <c r="G853" s="152" t="str">
        <f>IFERROR(__xludf.DUMMYFUNCTION("TRIM(REGEXREPLACE(C853, ""[0-9]+[a-f]?\."", """"))"),"I feel I do not have much to be proud of.")</f>
        <v>I feel I do not have much to be proud of.</v>
      </c>
      <c r="H853" s="152" t="str">
        <f>IFERROR(__xludf.DUMMYFUNCTION("TRIM(REGEXREPLACE(D853, ""[0-9]+[a-f]?\."", """"))"),"Je sens que je n'ai pas beaucoup de raisons d'être fier (comblé).")</f>
        <v>Je sens que je n'ai pas beaucoup de raisons d'être fier (comblé).</v>
      </c>
      <c r="I853" s="152" t="str">
        <f>IFERROR(__xludf.DUMMYFUNCTION("TRIM(REGEXREPLACE(E853, ""[0-9]+[a-f]?\."", """"))"),"Ina jin ba ni da hujjojin ji da kaina.")</f>
        <v>Ina jin ba ni da hujjojin ji da kaina.</v>
      </c>
      <c r="J853" s="152" t="s">
        <v>5993</v>
      </c>
      <c r="K853" s="152" t="s">
        <v>5994</v>
      </c>
      <c r="L853" s="152" t="s">
        <v>5995</v>
      </c>
    </row>
    <row r="854">
      <c r="A854" s="68" t="s">
        <v>5775</v>
      </c>
      <c r="B854" s="289" t="s">
        <v>5996</v>
      </c>
      <c r="C854" s="28" t="s">
        <v>5997</v>
      </c>
      <c r="D854" s="28" t="s">
        <v>5998</v>
      </c>
      <c r="E854" s="28" t="s">
        <v>5999</v>
      </c>
      <c r="F854" s="161">
        <v>336.0</v>
      </c>
      <c r="G854" s="152" t="str">
        <f>IFERROR(__xludf.DUMMYFUNCTION("TRIM(REGEXREPLACE(C854, ""[0-9]+[a-f]?\."", """"))"),"At times I think I am no good at all.")</f>
        <v>At times I think I am no good at all.</v>
      </c>
      <c r="H854" s="152" t="str">
        <f>IFERROR(__xludf.DUMMYFUNCTION("TRIM(REGEXREPLACE(D854, ""[0-9]+[a-f]?\."", """"))"),"Parfois, je pense que je ne suis utile à rien")</f>
        <v>Parfois, je pense que je ne suis utile à rien</v>
      </c>
      <c r="I854" s="152" t="str">
        <f>IFERROR(__xludf.DUMMYFUNCTION("TRIM(REGEXREPLACE(E854, ""[0-9]+[a-f]?\."", """"))"),"A wasu lokuta ina ganin ba ni da amfani komai.")</f>
        <v>A wasu lokuta ina ganin ba ni da amfani komai.</v>
      </c>
      <c r="J854" s="152" t="s">
        <v>6000</v>
      </c>
      <c r="K854" s="152" t="s">
        <v>6001</v>
      </c>
      <c r="L854" s="152" t="s">
        <v>6003</v>
      </c>
      <c r="M854" s="152"/>
    </row>
    <row r="855" hidden="1">
      <c r="A855" s="140" t="s">
        <v>237</v>
      </c>
      <c r="B855" s="139" t="s">
        <v>5975</v>
      </c>
      <c r="C855" s="28"/>
      <c r="D855" s="28"/>
      <c r="E855" s="28"/>
      <c r="F855" s="161">
        <v>469.0</v>
      </c>
      <c r="G855" s="152" t="str">
        <f>IFERROR(__xludf.DUMMYFUNCTION("TRIM(REGEXREPLACE(C855, ""[0-9]+[a-f]?\."", """"))"),"")</f>
        <v/>
      </c>
      <c r="H855" s="152" t="str">
        <f>IFERROR(__xludf.DUMMYFUNCTION("TRIM(REGEXREPLACE(D855, ""[0-9]+[a-f]?\."", """"))"),"")</f>
        <v/>
      </c>
      <c r="I855" s="152" t="str">
        <f>IFERROR(__xludf.DUMMYFUNCTION("TRIM(REGEXREPLACE(E855, ""[0-9]+[a-f]?\."", """"))"),"")</f>
        <v/>
      </c>
      <c r="J855" s="152" t="s">
        <v>6004</v>
      </c>
      <c r="K855" s="152" t="s">
        <v>6005</v>
      </c>
      <c r="L855" s="152" t="s">
        <v>6006</v>
      </c>
      <c r="M855" s="152"/>
    </row>
    <row r="856">
      <c r="A856" s="170" t="s">
        <v>263</v>
      </c>
      <c r="B856" s="291" t="s">
        <v>6007</v>
      </c>
      <c r="C856" s="28" t="s">
        <v>6008</v>
      </c>
      <c r="D856" s="28" t="s">
        <v>6011</v>
      </c>
      <c r="E856" s="28" t="s">
        <v>6012</v>
      </c>
      <c r="F856" s="161">
        <v>337.0</v>
      </c>
      <c r="G856" s="152" t="str">
        <f>IFERROR(__xludf.DUMMYFUNCTION("TRIM(REGEXREPLACE(C856, ""[0-9]+[a-f]?\."", """"))"),"Suppose we say that the top of the ladder represents the best possible life for you and the bottom of the ladder represents the worst possible life for you. If the top step is 10 and the bottom step is 0, on which step of the ladder do you feel you person"&amp;"ally stand at the present time?")</f>
        <v>Suppose we say that the top of the ladder represents the best possible life for you and the bottom of the ladder represents the worst possible life for you. If the top step is 10 and the bottom step is 0, on which step of the ladder do you feel you personally stand at the present time?</v>
      </c>
      <c r="H856" s="152" t="str">
        <f>IFERROR(__xludf.DUMMYFUNCTION("TRIM(REGEXREPLACE(D856, ""[0-9]+[a-f]?\."", """"))"),"Supposons que le haut de l'échelle représente la meilleure vie possible pour vous et que le bas de l'échelle représente la pire vie possible pour vous. Si l'échelon supérieur est 10 et l'échelon inférieur est 0, sur quel échelon de l'échelle pensez-vous q"&amp;"ue vous vous situez personnellement à l'heure actuelle ?")</f>
        <v>Supposons que le haut de l'échelle représente la meilleure vie possible pour vous et que le bas de l'échelle représente la pire vie possible pour vous. Si l'échelon supérieur est 10 et l'échelon inférieur est 0, sur quel échelon de l'échelle pensez-vous que vous vous situez personnellement à l'heure actuelle ?</v>
      </c>
      <c r="I856" s="152" t="str">
        <f>IFERROR(__xludf.DUMMYFUNCTION("TRIM(REGEXREPLACE(E856, ""[0-9]+[a-f]?\."", """"))"),"A ce saman kuranga tana nuna mafi kyawun rayuwa a gare ku kuma kasan kuranga tana nuna mafi munin rayuwa a gareku. Idan matakin saman ya kasance 10 kuma matakin ƙasa shine 0, akan wane mataki na kurangar kake jin kai da kanka kake a halin yanzu?")</f>
        <v>A ce saman kuranga tana nuna mafi kyawun rayuwa a gare ku kuma kasan kuranga tana nuna mafi munin rayuwa a gareku. Idan matakin saman ya kasance 10 kuma matakin ƙasa shine 0, akan wane mataki na kurangar kake jin kai da kanka kake a halin yanzu?</v>
      </c>
      <c r="J856" s="152" t="s">
        <v>6014</v>
      </c>
      <c r="K856" s="152" t="s">
        <v>6015</v>
      </c>
      <c r="L856" s="152" t="s">
        <v>6016</v>
      </c>
      <c r="M856" s="152"/>
    </row>
    <row r="857" hidden="1">
      <c r="A857" s="65" t="s">
        <v>134</v>
      </c>
      <c r="B857" s="66" t="s">
        <v>6018</v>
      </c>
      <c r="C857" s="28"/>
      <c r="D857" s="28"/>
      <c r="E857" s="28"/>
      <c r="F857" s="161">
        <v>471.0</v>
      </c>
      <c r="G857" s="152" t="str">
        <f>IFERROR(__xludf.DUMMYFUNCTION("TRIM(REGEXREPLACE(C857, ""[0-9]+[a-f]?\."", """"))"),"")</f>
        <v/>
      </c>
      <c r="H857" s="152" t="str">
        <f>IFERROR(__xludf.DUMMYFUNCTION("TRIM(REGEXREPLACE(D857, ""[0-9]+[a-f]?\."", """"))"),"")</f>
        <v/>
      </c>
      <c r="I857" s="152" t="str">
        <f>IFERROR(__xludf.DUMMYFUNCTION("TRIM(REGEXREPLACE(E857, ""[0-9]+[a-f]?\."", """"))"),"")</f>
        <v/>
      </c>
      <c r="J857" s="152" t="s">
        <v>6020</v>
      </c>
      <c r="K857" s="152" t="s">
        <v>6021</v>
      </c>
      <c r="L857" s="152" t="s">
        <v>6022</v>
      </c>
    </row>
    <row r="858" hidden="1">
      <c r="A858" s="58" t="s">
        <v>78</v>
      </c>
      <c r="B858" s="58" t="s">
        <v>6023</v>
      </c>
      <c r="C858" s="28"/>
      <c r="D858" s="28"/>
      <c r="E858" s="28"/>
      <c r="F858" s="161">
        <v>472.0</v>
      </c>
      <c r="G858" s="152" t="str">
        <f>IFERROR(__xludf.DUMMYFUNCTION("TRIM(REGEXREPLACE(C858, ""[0-9]+[a-f]?\."", """"))"),"")</f>
        <v/>
      </c>
      <c r="H858" s="152" t="str">
        <f>IFERROR(__xludf.DUMMYFUNCTION("TRIM(REGEXREPLACE(D858, ""[0-9]+[a-f]?\."", """"))"),"")</f>
        <v/>
      </c>
      <c r="I858" s="152" t="str">
        <f>IFERROR(__xludf.DUMMYFUNCTION("TRIM(REGEXREPLACE(E858, ""[0-9]+[a-f]?\."", """"))"),"")</f>
        <v/>
      </c>
      <c r="J858" s="152" t="s">
        <v>6025</v>
      </c>
      <c r="K858" s="152" t="s">
        <v>6026</v>
      </c>
      <c r="L858" s="152" t="s">
        <v>6027</v>
      </c>
    </row>
    <row r="859" hidden="1">
      <c r="A859" s="166"/>
      <c r="B859" s="167"/>
      <c r="C859" s="28"/>
      <c r="D859" s="28"/>
      <c r="E859" s="28"/>
      <c r="F859" s="161">
        <v>473.0</v>
      </c>
      <c r="G859" s="152" t="str">
        <f>IFERROR(__xludf.DUMMYFUNCTION("TRIM(REGEXREPLACE(C859, ""[0-9]+[a-f]?\."", """"))"),"")</f>
        <v/>
      </c>
      <c r="H859" s="152" t="str">
        <f>IFERROR(__xludf.DUMMYFUNCTION("TRIM(REGEXREPLACE(D859, ""[0-9]+[a-f]?\."", """"))"),"")</f>
        <v/>
      </c>
      <c r="I859" s="152" t="str">
        <f>IFERROR(__xludf.DUMMYFUNCTION("TRIM(REGEXREPLACE(E859, ""[0-9]+[a-f]?\."", """"))"),"")</f>
        <v/>
      </c>
      <c r="J859" s="152" t="s">
        <v>6029</v>
      </c>
      <c r="K859" s="152" t="s">
        <v>6030</v>
      </c>
      <c r="L859" s="152" t="s">
        <v>6031</v>
      </c>
    </row>
    <row r="860" hidden="1">
      <c r="A860" s="65" t="s">
        <v>134</v>
      </c>
      <c r="B860" s="66" t="s">
        <v>6032</v>
      </c>
      <c r="C860" s="28"/>
      <c r="D860" s="28"/>
      <c r="E860" s="28"/>
      <c r="F860" s="161">
        <v>474.0</v>
      </c>
      <c r="G860" s="152" t="str">
        <f>IFERROR(__xludf.DUMMYFUNCTION("TRIM(REGEXREPLACE(C860, ""[0-9]+[a-f]?\."", """"))"),"")</f>
        <v/>
      </c>
      <c r="H860" s="152" t="str">
        <f>IFERROR(__xludf.DUMMYFUNCTION("TRIM(REGEXREPLACE(D860, ""[0-9]+[a-f]?\."", """"))"),"")</f>
        <v/>
      </c>
      <c r="I860" s="152" t="str">
        <f>IFERROR(__xludf.DUMMYFUNCTION("TRIM(REGEXREPLACE(E860, ""[0-9]+[a-f]?\."", """"))"),"")</f>
        <v/>
      </c>
      <c r="J860" s="152" t="s">
        <v>6033</v>
      </c>
      <c r="K860" s="152" t="s">
        <v>6034</v>
      </c>
      <c r="L860" s="152" t="s">
        <v>6035</v>
      </c>
      <c r="M860" s="152"/>
    </row>
    <row r="861">
      <c r="A861" s="166" t="s">
        <v>41</v>
      </c>
      <c r="B861" s="167" t="s">
        <v>6037</v>
      </c>
      <c r="C861" s="28" t="s">
        <v>6038</v>
      </c>
      <c r="D861" s="28" t="s">
        <v>6039</v>
      </c>
      <c r="E861" s="28" t="s">
        <v>6040</v>
      </c>
      <c r="F861" s="161">
        <v>338.0</v>
      </c>
      <c r="G861" s="152" t="str">
        <f>IFERROR(__xludf.DUMMYFUNCTION("TRIM(REGEXREPLACE(C861, ""[0-9]+[a-f]?\."", """"))"),"I will now ask a few more questions about identity and health documents many people living here have.")</f>
        <v>I will now ask a few more questions about identity and health documents many people living here have.</v>
      </c>
      <c r="H861" s="152" t="str">
        <f>IFERROR(__xludf.DUMMYFUNCTION("TRIM(REGEXREPLACE(D861, ""[0-9]+[a-f]?\."", """"))"),"Je vais maintenant poser quelques questions supplémentaires sur les documents d'identité et de santé que possèdent de nombreuses personnes vivant ici.")</f>
        <v>Je vais maintenant poser quelques questions supplémentaires sur les documents d'identité et de santé que possèdent de nombreuses personnes vivant ici.</v>
      </c>
      <c r="I861" s="152" t="str">
        <f>IFERROR(__xludf.DUMMYFUNCTION("TRIM(REGEXREPLACE(E861, ""[0-9]+[a-f]?\."", """"))"),"Yanzu zan muku yi ƙarin tambayoyi game da takardun ɗan kasa da kiwon lafiya da yawan mutane wanda ke zaune a nan suke da su.")</f>
        <v>Yanzu zan muku yi ƙarin tambayoyi game da takardun ɗan kasa da kiwon lafiya da yawan mutane wanda ke zaune a nan suke da su.</v>
      </c>
      <c r="J861" s="152" t="s">
        <v>6042</v>
      </c>
      <c r="K861" s="152" t="s">
        <v>6043</v>
      </c>
      <c r="L861" s="152" t="s">
        <v>6044</v>
      </c>
      <c r="M861" s="152"/>
    </row>
    <row r="862">
      <c r="A862" s="65" t="s">
        <v>2625</v>
      </c>
      <c r="B862" s="169" t="s">
        <v>6045</v>
      </c>
      <c r="C862" s="28" t="s">
        <v>6046</v>
      </c>
      <c r="D862" s="28" t="s">
        <v>6047</v>
      </c>
      <c r="E862" s="28" t="s">
        <v>6048</v>
      </c>
      <c r="F862" s="161">
        <v>339.0</v>
      </c>
      <c r="G862" s="152" t="str">
        <f>IFERROR(__xludf.DUMMYFUNCTION("TRIM(REGEXREPLACE(C862, ""[0-9]+[a-f]?\."", """"))"),"Do you have a national ID card?")</f>
        <v>Do you have a national ID card?</v>
      </c>
      <c r="H862" s="152" t="str">
        <f>IFERROR(__xludf.DUMMYFUNCTION("TRIM(REGEXREPLACE(D862, ""[0-9]+[a-f]?\."", """"))"),"Avez-vous une carte d'identité nationale?")</f>
        <v>Avez-vous une carte d'identité nationale?</v>
      </c>
      <c r="I862" s="152" t="str">
        <f>IFERROR(__xludf.DUMMYFUNCTION("TRIM(REGEXREPLACE(E862, ""[0-9]+[a-f]?\."", """"))"),"Kuna da katin shaidar ɗan kasa?")</f>
        <v>Kuna da katin shaidar ɗan kasa?</v>
      </c>
      <c r="J862" s="152" t="s">
        <v>6049</v>
      </c>
      <c r="K862" s="152" t="s">
        <v>6050</v>
      </c>
      <c r="L862" s="152" t="s">
        <v>6051</v>
      </c>
      <c r="M862" s="152"/>
    </row>
    <row r="863">
      <c r="A863" s="68" t="s">
        <v>463</v>
      </c>
      <c r="B863" s="218" t="s">
        <v>6053</v>
      </c>
      <c r="C863" s="28" t="s">
        <v>6054</v>
      </c>
      <c r="D863" s="28" t="s">
        <v>6055</v>
      </c>
      <c r="E863" s="28" t="s">
        <v>6056</v>
      </c>
      <c r="F863" s="161">
        <v>340.0</v>
      </c>
      <c r="G863" s="152" t="str">
        <f>IFERROR(__xludf.DUMMYFUNCTION("TRIM(REGEXREPLACE(C863, ""[0-9]+[a-f]?\."", """"))"),"Did the respondent show you the national ID card they claimed to possess?")</f>
        <v>Did the respondent show you the national ID card they claimed to possess?</v>
      </c>
      <c r="H863" s="152" t="str">
        <f>IFERROR(__xludf.DUMMYFUNCTION("TRIM(REGEXREPLACE(D863, ""[0-9]+[a-f]?\."", """"))"),"Le répondant vous a-t-il montré la carte d'identité nationale qu'il prétendait posséder ?")</f>
        <v>Le répondant vous a-t-il montré la carte d'identité nationale qu'il prétendait posséder ?</v>
      </c>
      <c r="I863" s="152" t="str">
        <f>IFERROR(__xludf.DUMMYFUNCTION("TRIM(REGEXREPLACE(E863, ""[0-9]+[a-f]?\."", """"))"),"Ko mai bada amsa ya nuna maka katin shaidarshi na ɗan ƙasa ?")</f>
        <v>Ko mai bada amsa ya nuna maka katin shaidarshi na ɗan ƙasa ?</v>
      </c>
      <c r="J863" s="152" t="s">
        <v>6057</v>
      </c>
      <c r="K863" s="152" t="s">
        <v>6058</v>
      </c>
      <c r="L863" s="152" t="s">
        <v>6059</v>
      </c>
    </row>
    <row r="864" hidden="1">
      <c r="A864" s="293" t="s">
        <v>600</v>
      </c>
      <c r="B864" s="294" t="s">
        <v>6061</v>
      </c>
      <c r="C864" s="28" t="s">
        <v>6063</v>
      </c>
      <c r="D864" s="28" t="s">
        <v>6064</v>
      </c>
      <c r="E864" s="28" t="s">
        <v>6065</v>
      </c>
      <c r="F864" s="161">
        <v>518.0</v>
      </c>
      <c r="G864" s="152" t="str">
        <f>IFERROR(__xludf.DUMMYFUNCTION("TRIM(REGEXREPLACE(C864, ""[0-9]+[a-f]?\."", """"))"),"What is the expiration date for the National ID card?")</f>
        <v>What is the expiration date for the National ID card?</v>
      </c>
      <c r="H864" s="152" t="str">
        <f>IFERROR(__xludf.DUMMYFUNCTION("TRIM(REGEXREPLACE(D864, ""[0-9]+[a-f]?\."", """"))"),"Quelle est la date d'expiration de la carte d'identité nationale ?")</f>
        <v>Quelle est la date d'expiration de la carte d'identité nationale ?</v>
      </c>
      <c r="I864" s="152" t="str">
        <f>IFERROR(__xludf.DUMMYFUNCTION("TRIM(REGEXREPLACE(E864, ""[0-9]+[a-f]?\."", """"))"),"112b ku. Yaushe ne ranar ƙarewar aikin katin shaidar ɗan ƙasa?")</f>
        <v>112b ku. Yaushe ne ranar ƙarewar aikin katin shaidar ɗan ƙasa?</v>
      </c>
      <c r="J864" s="152" t="s">
        <v>6066</v>
      </c>
      <c r="K864" s="152" t="s">
        <v>6067</v>
      </c>
      <c r="L864" s="152" t="s">
        <v>6068</v>
      </c>
    </row>
    <row r="865">
      <c r="A865" s="68" t="s">
        <v>2625</v>
      </c>
      <c r="B865" s="295" t="s">
        <v>6069</v>
      </c>
      <c r="C865" s="28" t="s">
        <v>6070</v>
      </c>
      <c r="D865" s="28" t="s">
        <v>6071</v>
      </c>
      <c r="E865" s="28" t="s">
        <v>6072</v>
      </c>
      <c r="F865" s="161">
        <v>341.0</v>
      </c>
      <c r="G865" s="152" t="str">
        <f>IFERROR(__xludf.DUMMYFUNCTION("TRIM(REGEXREPLACE(C865, ""[0-9]+[a-f]?\."", """"))"),"Do you have a vaccination booklet?")</f>
        <v>Do you have a vaccination booklet?</v>
      </c>
      <c r="H865" s="152" t="str">
        <f>IFERROR(__xludf.DUMMYFUNCTION("TRIM(REGEXREPLACE(D865, ""[0-9]+[a-f]?\."", """"))"),"Avez-vous un carnet de vaccination ?")</f>
        <v>Avez-vous un carnet de vaccination ?</v>
      </c>
      <c r="I865" s="152" t="str">
        <f>IFERROR(__xludf.DUMMYFUNCTION("TRIM(REGEXREPLACE(E865, ""[0-9]+[a-f]?\."", """"))"),"Kuna da takardar rigakafi?")</f>
        <v>Kuna da takardar rigakafi?</v>
      </c>
      <c r="J865" s="152" t="s">
        <v>6076</v>
      </c>
      <c r="K865" s="152" t="s">
        <v>6077</v>
      </c>
      <c r="L865" s="152" t="s">
        <v>6078</v>
      </c>
      <c r="M865" s="152"/>
    </row>
    <row r="866">
      <c r="A866" s="68" t="s">
        <v>463</v>
      </c>
      <c r="B866" s="218" t="s">
        <v>6079</v>
      </c>
      <c r="C866" s="28" t="s">
        <v>6080</v>
      </c>
      <c r="D866" s="28" t="s">
        <v>6082</v>
      </c>
      <c r="E866" s="28" t="s">
        <v>6083</v>
      </c>
      <c r="F866" s="161">
        <v>342.0</v>
      </c>
      <c r="G866" s="152" t="str">
        <f>IFERROR(__xludf.DUMMYFUNCTION("TRIM(REGEXREPLACE(C866, ""[0-9]+[a-f]?\."", """"))"),"Did the respondent show you the vaccination booklet they claimed to possess?")</f>
        <v>Did the respondent show you the vaccination booklet they claimed to possess?</v>
      </c>
      <c r="H866" s="152" t="str">
        <f>IFERROR(__xludf.DUMMYFUNCTION("TRIM(REGEXREPLACE(D866, ""[0-9]+[a-f]?\."", """"))"),"L'enquêté vous a-t-il montré le carnet de vaccination qu'il prétendait posséder ?")</f>
        <v>L'enquêté vous a-t-il montré le carnet de vaccination qu'il prétendait posséder ?</v>
      </c>
      <c r="I866" s="152" t="str">
        <f>IFERROR(__xludf.DUMMYFUNCTION("TRIM(REGEXREPLACE(E866, ""[0-9]+[a-f]?\."", """"))"),"Ko mai bada amsa ya nuna maka takardar rigakafinshi?")</f>
        <v>Ko mai bada amsa ya nuna maka takardar rigakafinshi?</v>
      </c>
      <c r="J866" s="152" t="s">
        <v>6084</v>
      </c>
      <c r="K866" s="152" t="s">
        <v>6085</v>
      </c>
      <c r="L866" s="152" t="s">
        <v>6087</v>
      </c>
      <c r="M866" s="152"/>
    </row>
    <row r="867">
      <c r="A867" s="229" t="s">
        <v>5775</v>
      </c>
      <c r="B867" s="283" t="s">
        <v>6089</v>
      </c>
      <c r="C867" s="28" t="s">
        <v>6090</v>
      </c>
      <c r="D867" s="28" t="s">
        <v>6091</v>
      </c>
      <c r="E867" s="28" t="s">
        <v>6092</v>
      </c>
      <c r="F867" s="161">
        <v>343.0</v>
      </c>
      <c r="G867" s="152" t="str">
        <f>IFERROR(__xludf.DUMMYFUNCTION("TRIM(REGEXREPLACE(C867, ""[0-9]+[a-f]?\."", """"))"),"Do you agree or disagree with the following statement: when crossing borders, it is important to travel with the required identification and documents.")</f>
        <v>Do you agree or disagree with the following statement: when crossing borders, it is important to travel with the required identification and documents.</v>
      </c>
      <c r="H867" s="152" t="str">
        <f>IFERROR(__xludf.DUMMYFUNCTION("TRIM(REGEXREPLACE(D867, ""[0-9]+[a-f]?\."", """"))"),"Etes-vous d'accord ou pas d'accord avec l'affirmation suivante : lors du passage des frontières, il est important de voyager avec les pièces d'identité et les documents requis.")</f>
        <v>Etes-vous d'accord ou pas d'accord avec l'affirmation suivante : lors du passage des frontières, il est important de voyager avec les pièces d'identité et les documents requis.</v>
      </c>
      <c r="I867" s="152" t="str">
        <f>IFERROR(__xludf.DUMMYFUNCTION("TRIM(REGEXREPLACE(E867, ""[0-9]+[a-f]?\."", """"))"),"Ko ka yarda ko ba ka yarda da wannan magana ba: lokacin ketare iyakoki, yana da mahimmanci tafiya tare da takadar ɗan ƙasa da kuma takardun da ake buƙata.")</f>
        <v>Ko ka yarda ko ba ka yarda da wannan magana ba: lokacin ketare iyakoki, yana da mahimmanci tafiya tare da takadar ɗan ƙasa da kuma takardun da ake buƙata.</v>
      </c>
      <c r="J867" s="152" t="s">
        <v>6093</v>
      </c>
      <c r="K867" s="152" t="s">
        <v>6094</v>
      </c>
      <c r="L867" s="152" t="s">
        <v>6095</v>
      </c>
      <c r="M867" s="152"/>
    </row>
    <row r="868" hidden="1">
      <c r="A868" s="221"/>
      <c r="B868" s="222"/>
      <c r="C868" s="28" t="s">
        <v>50</v>
      </c>
      <c r="D868" s="28" t="s">
        <v>50</v>
      </c>
      <c r="E868" s="28" t="s">
        <v>50</v>
      </c>
      <c r="F868" s="161">
        <v>479.0</v>
      </c>
      <c r="G868" s="152" t="str">
        <f>IFERROR(__xludf.DUMMYFUNCTION("TRIM(REGEXREPLACE(C868, ""[0-9]+[a-f]?\."", """"))"),"")</f>
        <v/>
      </c>
      <c r="H868" s="152" t="str">
        <f>IFERROR(__xludf.DUMMYFUNCTION("TRIM(REGEXREPLACE(D868, ""[0-9]+[a-f]?\."", """"))"),"")</f>
        <v/>
      </c>
      <c r="I868" s="152" t="str">
        <f>IFERROR(__xludf.DUMMYFUNCTION("TRIM(REGEXREPLACE(E868, ""[0-9]+[a-f]?\."", """"))"),"")</f>
        <v/>
      </c>
      <c r="J868" s="152" t="s">
        <v>6098</v>
      </c>
      <c r="K868" s="152" t="s">
        <v>6099</v>
      </c>
      <c r="L868" s="152" t="s">
        <v>6100</v>
      </c>
      <c r="M868" s="152"/>
    </row>
    <row r="869" hidden="1">
      <c r="A869" s="140" t="s">
        <v>131</v>
      </c>
      <c r="B869" s="164" t="s">
        <v>6101</v>
      </c>
      <c r="C869" s="28"/>
      <c r="D869" s="28"/>
      <c r="E869" s="28"/>
      <c r="F869" s="161">
        <v>515.0</v>
      </c>
      <c r="G869" s="152" t="str">
        <f>IFERROR(__xludf.DUMMYFUNCTION("TRIM(REGEXREPLACE(C869, ""[0-9]+[a-f]?\."", """"))"),"")</f>
        <v/>
      </c>
      <c r="H869" s="152" t="str">
        <f>IFERROR(__xludf.DUMMYFUNCTION("TRIM(REGEXREPLACE(D869, ""[0-9]+[a-f]?\."", """"))"),"")</f>
        <v/>
      </c>
      <c r="I869" s="152" t="str">
        <f>IFERROR(__xludf.DUMMYFUNCTION("TRIM(REGEXREPLACE(E869, ""[0-9]+[a-f]?\."", """"))"),"")</f>
        <v/>
      </c>
      <c r="J869" s="152" t="s">
        <v>6104</v>
      </c>
      <c r="K869" s="152" t="s">
        <v>6105</v>
      </c>
      <c r="L869" s="152" t="s">
        <v>6106</v>
      </c>
      <c r="M869" s="152"/>
    </row>
    <row r="870">
      <c r="A870" s="166" t="s">
        <v>41</v>
      </c>
      <c r="B870" s="167" t="s">
        <v>6107</v>
      </c>
      <c r="C870" s="28" t="s">
        <v>6108</v>
      </c>
      <c r="D870" s="28" t="s">
        <v>6109</v>
      </c>
      <c r="E870" s="28" t="s">
        <v>6110</v>
      </c>
      <c r="F870" s="161">
        <v>344.0</v>
      </c>
      <c r="G870" s="152" t="str">
        <f>IFERROR(__xludf.DUMMYFUNCTION("TRIM(REGEXREPLACE(C870, ""[0-9]+[a-f]?\."", """"))"),"I would like to understand what you would expect to happen if you decided to travel to a neighboring country for work for at least one month.")</f>
        <v>I would like to understand what you would expect to happen if you decided to travel to a neighboring country for work for at least one month.</v>
      </c>
      <c r="H870" s="152" t="str">
        <f>IFERROR(__xludf.DUMMYFUNCTION("TRIM(REGEXREPLACE(D870, ""[0-9]+[a-f]?\."", """"))"),"J'aimerais comprendre ce à quoi vous vous attendriez si vous décidiez de vous rendre dans un pays voisin pour travailler pendant au moins un mois.")</f>
        <v>J'aimerais comprendre ce à quoi vous vous attendriez si vous décidiez de vous rendre dans un pays voisin pour travailler pendant au moins un mois.</v>
      </c>
      <c r="I870" s="152" t="str">
        <f>IFERROR(__xludf.DUMMYFUNCTION("TRIM(REGEXREPLACE(E870, ""[0-9]+[a-f]?\."", """"))"),"Ina so in fahimci abin da kuke tsammanin zai faru idan kun yanke shawarar tafiya na akalla wata ɗaya zuwa wata makwabciyar ƙasa don aiki.")</f>
        <v>Ina so in fahimci abin da kuke tsammanin zai faru idan kun yanke shawarar tafiya na akalla wata ɗaya zuwa wata makwabciyar ƙasa don aiki.</v>
      </c>
      <c r="J870" s="152" t="s">
        <v>6111</v>
      </c>
      <c r="K870" s="152" t="s">
        <v>6112</v>
      </c>
      <c r="L870" s="152" t="s">
        <v>6113</v>
      </c>
      <c r="M870" s="152"/>
    </row>
    <row r="871">
      <c r="A871" s="170" t="s">
        <v>263</v>
      </c>
      <c r="B871" s="171" t="s">
        <v>6117</v>
      </c>
      <c r="C871" s="28" t="s">
        <v>6118</v>
      </c>
      <c r="D871" s="28" t="s">
        <v>6119</v>
      </c>
      <c r="E871" s="28" t="s">
        <v>6120</v>
      </c>
      <c r="F871" s="161">
        <v>345.0</v>
      </c>
      <c r="G871" s="152" t="str">
        <f>IFERROR(__xludf.DUMMYFUNCTION("TRIM(REGEXREPLACE(C871, ""[0-9]+[a-f]?\."", """"))"),"How much money would you expect to earn each month (before paying your expenses) in CFA?")</f>
        <v>How much money would you expect to earn each month (before paying your expenses) in CFA?</v>
      </c>
      <c r="H871" s="152" t="str">
        <f>IFERROR(__xludf.DUMMYFUNCTION("TRIM(REGEXREPLACE(D871, ""[0-9]+[a-f]?\."", """"))"),"Combien d'argent espérez-vous qu'il gagne chaque mois (sans depense) en CFA ?")</f>
        <v>Combien d'argent espérez-vous qu'il gagne chaque mois (sans depense) en CFA ?</v>
      </c>
      <c r="I871" s="152" t="str">
        <f>IFERROR(__xludf.DUMMYFUNCTION("TRIM(REGEXREPLACE(E871, ""[0-9]+[a-f]?\."", """"))"),"Nawa kuke tsammanin samu kowane wata (kafin ku biya kuɗin ku) a sefa?")</f>
        <v>Nawa kuke tsammanin samu kowane wata (kafin ku biya kuɗin ku) a sefa?</v>
      </c>
      <c r="J871" s="152" t="s">
        <v>6121</v>
      </c>
      <c r="K871" s="152" t="s">
        <v>6122</v>
      </c>
      <c r="L871" s="152" t="s">
        <v>6123</v>
      </c>
      <c r="M871" s="152"/>
    </row>
    <row r="872">
      <c r="A872" s="170" t="s">
        <v>263</v>
      </c>
      <c r="B872" s="171" t="s">
        <v>6124</v>
      </c>
      <c r="C872" s="28" t="s">
        <v>6125</v>
      </c>
      <c r="D872" s="28" t="s">
        <v>6126</v>
      </c>
      <c r="E872" s="28" t="s">
        <v>6127</v>
      </c>
      <c r="F872" s="161">
        <v>346.0</v>
      </c>
      <c r="G872" s="152" t="str">
        <f>IFERROR(__xludf.DUMMYFUNCTION("TRIM(REGEXREPLACE(C872, ""[0-9]+[a-f]?\."", """"))"),"Imagine that five years from now you are living in another West African country like Cote d'Ivoire or Nigeria. How much money do you think you would earn per month?")</f>
        <v>Imagine that five years from now you are living in another West African country like Cote d'Ivoire or Nigeria. How much money do you think you would earn per month?</v>
      </c>
      <c r="H872" s="152" t="str">
        <f>IFERROR(__xludf.DUMMYFUNCTION("TRIM(REGEXREPLACE(D872, ""[0-9]+[a-f]?\."", """"))"),"Imaginez que dans cinq ans vous vivez dans un autre pays d'Afrique de l'Ouest comme la Côte d'Ivoire ou le Nigeria. Combien d'argent pensez-vous que vous gagneriez par mois en CFA ?")</f>
        <v>Imaginez que dans cinq ans vous vivez dans un autre pays d'Afrique de l'Ouest comme la Côte d'Ivoire ou le Nigeria. Combien d'argent pensez-vous que vous gagneriez par mois en CFA ?</v>
      </c>
      <c r="I872" s="152" t="str">
        <f>IFERROR(__xludf.DUMMYFUNCTION("TRIM(REGEXREPLACE(E872, ""[0-9]+[a-f]?\."", """"))"),"Ku ƙaddara cewa shekaru biyar masu zuwa kuna zaune a wata ƙasa ta yammacin Afirka kamar Cote d'Ivoire ko Najeriya. Nawa kuke tunanin samu a kowane wata a sefa?")</f>
        <v>Ku ƙaddara cewa shekaru biyar masu zuwa kuna zaune a wata ƙasa ta yammacin Afirka kamar Cote d'Ivoire ko Najeriya. Nawa kuke tunanin samu a kowane wata a sefa?</v>
      </c>
      <c r="J872" s="152" t="s">
        <v>6131</v>
      </c>
      <c r="K872" s="152" t="s">
        <v>6133</v>
      </c>
      <c r="L872" s="152" t="s">
        <v>6134</v>
      </c>
      <c r="M872" s="152"/>
    </row>
    <row r="873">
      <c r="A873" s="170" t="s">
        <v>263</v>
      </c>
      <c r="B873" s="171" t="s">
        <v>6135</v>
      </c>
      <c r="C873" s="28" t="s">
        <v>6136</v>
      </c>
      <c r="D873" s="28" t="s">
        <v>6137</v>
      </c>
      <c r="E873" s="28" t="s">
        <v>6138</v>
      </c>
      <c r="F873" s="161">
        <v>347.0</v>
      </c>
      <c r="G873" s="152" t="str">
        <f>IFERROR(__xludf.DUMMYFUNCTION("TRIM(REGEXREPLACE(C873, ""[0-9]+[a-f]?\."", """"))"),"How much money would you expect to share with your household each month in CFA?")</f>
        <v>How much money would you expect to share with your household each month in CFA?</v>
      </c>
      <c r="H873" s="152" t="str">
        <f>IFERROR(__xludf.DUMMYFUNCTION("TRIM(REGEXREPLACE(D873, ""[0-9]+[a-f]?\."", """"))"),"Combien d'argent vous attendez-vous à ce qu'il partage avec votre ménage chaque mois en CFA ?")</f>
        <v>Combien d'argent vous attendez-vous à ce qu'il partage avec votre ménage chaque mois en CFA ?</v>
      </c>
      <c r="I873" s="152" t="str">
        <f>IFERROR(__xludf.DUMMYFUNCTION("TRIM(REGEXREPLACE(E873, ""[0-9]+[a-f]?\."", """"))"),"Nawa kuke tsammanin zaku aikawa gidanku a kowane wata a sefa?")</f>
        <v>Nawa kuke tsammanin zaku aikawa gidanku a kowane wata a sefa?</v>
      </c>
      <c r="J873" s="152" t="s">
        <v>6139</v>
      </c>
      <c r="K873" s="152" t="s">
        <v>6140</v>
      </c>
      <c r="L873" s="152" t="s">
        <v>6141</v>
      </c>
      <c r="M873" s="152"/>
    </row>
    <row r="874">
      <c r="A874" s="170" t="s">
        <v>263</v>
      </c>
      <c r="B874" s="171" t="s">
        <v>6142</v>
      </c>
      <c r="C874" s="28" t="s">
        <v>6143</v>
      </c>
      <c r="D874" s="28" t="s">
        <v>6144</v>
      </c>
      <c r="E874" s="28" t="s">
        <v>6145</v>
      </c>
      <c r="F874" s="161">
        <v>348.0</v>
      </c>
      <c r="G874" s="152" t="str">
        <f>IFERROR(__xludf.DUMMYFUNCTION("TRIM(REGEXREPLACE(C874, ""[0-9]+[a-f]?\."", """"))"),"How much money would you expect to put aside to save for the future each month?")</f>
        <v>How much money would you expect to put aside to save for the future each month?</v>
      </c>
      <c r="H874" s="152" t="str">
        <f>IFERROR(__xludf.DUMMYFUNCTION("TRIM(REGEXREPLACE(D874, ""[0-9]+[a-f]?\."", """"))"),"Combien comptez-vous mettre de côté chaque mois pour épargner pour l’avenir ?")</f>
        <v>Combien comptez-vous mettre de côté chaque mois pour épargner pour l’avenir ?</v>
      </c>
      <c r="I874" s="152" t="str">
        <f>IFERROR(__xludf.DUMMYFUNCTION("TRIM(REGEXREPLACE(E874, ""[0-9]+[a-f]?\."", """"))"),"Nawa ne kuke ganin zaku ajiye don gaba a kowane wata?")</f>
        <v>Nawa ne kuke ganin zaku ajiye don gaba a kowane wata?</v>
      </c>
      <c r="J874" s="152" t="s">
        <v>6147</v>
      </c>
      <c r="K874" s="152" t="s">
        <v>6148</v>
      </c>
      <c r="L874" s="152" t="s">
        <v>6149</v>
      </c>
      <c r="M874" s="152"/>
    </row>
    <row r="875">
      <c r="A875" s="170" t="s">
        <v>263</v>
      </c>
      <c r="B875" s="171" t="s">
        <v>6151</v>
      </c>
      <c r="C875" s="28" t="s">
        <v>6152</v>
      </c>
      <c r="D875" s="28" t="s">
        <v>6153</v>
      </c>
      <c r="E875" s="28" t="s">
        <v>6154</v>
      </c>
      <c r="F875" s="161">
        <v>349.0</v>
      </c>
      <c r="G875" s="152" t="str">
        <f>IFERROR(__xludf.DUMMYFUNCTION("TRIM(REGEXREPLACE(C875, ""[0-9]+[a-f]?\."", """"))"),"How many times would you expect to contact members of your household each month?")</f>
        <v>How many times would you expect to contact members of your household each month?</v>
      </c>
      <c r="H875" s="152" t="str">
        <f>IFERROR(__xludf.DUMMYFUNCTION("TRIM(REGEXREPLACE(D875, ""[0-9]+[a-f]?\."", """"))"),"Combien de fois vous attendriez-vous à ce qu'il contacte les membres de votre ménage chaque mois ?")</f>
        <v>Combien de fois vous attendriez-vous à ce qu'il contacte les membres de votre ménage chaque mois ?</v>
      </c>
      <c r="I875" s="152" t="str">
        <f>IFERROR(__xludf.DUMMYFUNCTION("TRIM(REGEXREPLACE(E875, ""[0-9]+[a-f]?\."", """"))"),"Sau nawa kuke tsammanin tuntuɓar ƴan gidan ku kowane wata ?")</f>
        <v>Sau nawa kuke tsammanin tuntuɓar ƴan gidan ku kowane wata ?</v>
      </c>
      <c r="J875" s="152" t="s">
        <v>6155</v>
      </c>
      <c r="K875" s="152" t="s">
        <v>6156</v>
      </c>
      <c r="L875" s="152" t="s">
        <v>6157</v>
      </c>
    </row>
    <row r="876" hidden="1">
      <c r="A876" s="140" t="s">
        <v>237</v>
      </c>
      <c r="B876" s="191" t="s">
        <v>6101</v>
      </c>
      <c r="C876" s="28"/>
      <c r="D876" s="28"/>
      <c r="E876" s="28"/>
      <c r="F876" s="161">
        <v>517.0</v>
      </c>
      <c r="G876" s="152" t="str">
        <f>IFERROR(__xludf.DUMMYFUNCTION("TRIM(REGEXREPLACE(C876, ""[0-9]+[a-f]?\."", """"))"),"")</f>
        <v/>
      </c>
      <c r="H876" s="152" t="str">
        <f>IFERROR(__xludf.DUMMYFUNCTION("TRIM(REGEXREPLACE(D876, ""[0-9]+[a-f]?\."", """"))"),"")</f>
        <v/>
      </c>
      <c r="I876" s="152" t="str">
        <f>IFERROR(__xludf.DUMMYFUNCTION("TRIM(REGEXREPLACE(E876, ""[0-9]+[a-f]?\."", """"))"),"")</f>
        <v/>
      </c>
      <c r="J876" s="152" t="s">
        <v>6160</v>
      </c>
      <c r="K876" s="152" t="s">
        <v>6161</v>
      </c>
      <c r="L876" s="152" t="s">
        <v>6161</v>
      </c>
    </row>
    <row r="877">
      <c r="A877" s="170" t="s">
        <v>41</v>
      </c>
      <c r="B877" s="271" t="s">
        <v>6162</v>
      </c>
      <c r="C877" s="28" t="s">
        <v>6163</v>
      </c>
      <c r="D877" s="28" t="s">
        <v>6164</v>
      </c>
      <c r="E877" s="28" t="s">
        <v>6165</v>
      </c>
      <c r="F877" s="161">
        <v>350.0</v>
      </c>
      <c r="G877" s="152" t="str">
        <f>IFERROR(__xludf.DUMMYFUNCTION("TRIM(REGEXREPLACE(C877, ""[0-9]+[a-f]?\."", """"))"),"The next few questions ask about the type of future you would hope for any children you have.")</f>
        <v>The next few questions ask about the type of future you would hope for any children you have.</v>
      </c>
      <c r="H877" s="152" t="str">
        <f>IFERROR(__xludf.DUMMYFUNCTION("TRIM(REGEXREPLACE(D877, ""[0-9]+[a-f]?\."", """"))"),"Les prochaines questions portent sur le type d'avenir que vous souhaiteriez pour vos enfants.")</f>
        <v>Les prochaines questions portent sur le type d'avenir que vous souhaiteriez pour vos enfants.</v>
      </c>
      <c r="I877" s="152" t="str">
        <f>IFERROR(__xludf.DUMMYFUNCTION("TRIM(REGEXREPLACE(E877, ""[0-9]+[a-f]?\."", """"))"),"Tambayoyi masu zuwa sun ta'allaƙa da irin makomar da kuke fata ga yaranku.")</f>
        <v>Tambayoyi masu zuwa sun ta'allaƙa da irin makomar da kuke fata ga yaranku.</v>
      </c>
      <c r="J877" s="152" t="s">
        <v>6166</v>
      </c>
      <c r="K877" s="152" t="s">
        <v>6168</v>
      </c>
      <c r="L877" s="152" t="s">
        <v>6169</v>
      </c>
      <c r="M877" s="152"/>
    </row>
    <row r="878">
      <c r="A878" s="170" t="s">
        <v>6170</v>
      </c>
      <c r="B878" s="271" t="s">
        <v>6171</v>
      </c>
      <c r="C878" s="28" t="s">
        <v>6172</v>
      </c>
      <c r="D878" s="28" t="s">
        <v>6173</v>
      </c>
      <c r="E878" s="28" t="s">
        <v>6175</v>
      </c>
      <c r="F878" s="161">
        <v>351.0</v>
      </c>
      <c r="G878" s="152" t="str">
        <f>IFERROR(__xludf.DUMMYFUNCTION("TRIM(REGEXREPLACE(C878, ""[0-9]+[a-f]?\."", """"))"),"If you had to choose, would you prefer that your sons complete Koranic school or complete their bacalaureat?")</f>
        <v>If you had to choose, would you prefer that your sons complete Koranic school or complete their bacalaureat?</v>
      </c>
      <c r="H878" s="152" t="str">
        <f>IFERROR(__xludf.DUMMYFUNCTION("TRIM(REGEXREPLACE(D878, ""[0-9]+[a-f]?\."", """"))"),"Si vous deviez choisir, préféreriez-vous que vos garçons terminent l'école coranique ou terminent leur baccalauréat ?")</f>
        <v>Si vous deviez choisir, préféreriez-vous que vos garçons terminent l'école coranique ou terminent leur baccalauréat ?</v>
      </c>
      <c r="I878" s="152" t="str">
        <f>IFERROR(__xludf.DUMMYFUNCTION("TRIM(REGEXREPLACE(E878, ""[0-9]+[a-f]?\."", """"))"),"Idan zaɓi ya kama ku dole, za ku fi son ƴaƴanku maza su kammala karatun Ƙur'ani ko kuma su kammala karatunsu na boko har zuwa bak?")</f>
        <v>Idan zaɓi ya kama ku dole, za ku fi son ƴaƴanku maza su kammala karatun Ƙur'ani ko kuma su kammala karatunsu na boko har zuwa bak?</v>
      </c>
      <c r="J878" s="152" t="s">
        <v>6178</v>
      </c>
      <c r="K878" s="152" t="s">
        <v>6179</v>
      </c>
      <c r="L878" s="152" t="s">
        <v>6180</v>
      </c>
    </row>
    <row r="879">
      <c r="A879" s="170" t="s">
        <v>6181</v>
      </c>
      <c r="B879" s="271" t="s">
        <v>6182</v>
      </c>
      <c r="C879" s="28" t="s">
        <v>6183</v>
      </c>
      <c r="D879" s="28" t="s">
        <v>6184</v>
      </c>
      <c r="E879" s="28" t="s">
        <v>6185</v>
      </c>
      <c r="F879" s="161">
        <v>352.0</v>
      </c>
      <c r="G879" s="152" t="str">
        <f>IFERROR(__xludf.DUMMYFUNCTION("TRIM(REGEXREPLACE(C879, ""[0-9]+[a-f]?\."", """"))"),"If you had to choose, would you prefer that your daughters complete Koranic school or complete their bacalaureat?")</f>
        <v>If you had to choose, would you prefer that your daughters complete Koranic school or complete their bacalaureat?</v>
      </c>
      <c r="H879" s="152" t="str">
        <f>IFERROR(__xludf.DUMMYFUNCTION("TRIM(REGEXREPLACE(D879, ""[0-9]+[a-f]?\."", """"))"),"Si vous deviez choisir, préféreriez-vous que vos filles terminent l'école coranique ou terminent leur baccalauréat ?")</f>
        <v>Si vous deviez choisir, préféreriez-vous que vos filles terminent l'école coranique ou terminent leur baccalauréat ?</v>
      </c>
      <c r="I879" s="152" t="str">
        <f>IFERROR(__xludf.DUMMYFUNCTION("TRIM(REGEXREPLACE(E879, ""[0-9]+[a-f]?\."", """"))"),"Idan zaɓi ya kama ku dole, za ku fi son ƴaƴanku mata su kammala karatun Ƙur'ani ko kuma su kammala karatunsu na boko har zuwa bak?")</f>
        <v>Idan zaɓi ya kama ku dole, za ku fi son ƴaƴanku mata su kammala karatun Ƙur'ani ko kuma su kammala karatunsu na boko har zuwa bak?</v>
      </c>
      <c r="J879" s="152" t="s">
        <v>6186</v>
      </c>
      <c r="K879" s="152" t="s">
        <v>6187</v>
      </c>
      <c r="L879" s="152" t="s">
        <v>6188</v>
      </c>
    </row>
    <row r="880">
      <c r="A880" s="170" t="s">
        <v>6189</v>
      </c>
      <c r="B880" s="271" t="s">
        <v>6190</v>
      </c>
      <c r="C880" s="28" t="s">
        <v>6192</v>
      </c>
      <c r="D880" s="28" t="s">
        <v>6195</v>
      </c>
      <c r="E880" s="28" t="s">
        <v>6196</v>
      </c>
      <c r="F880" s="161">
        <v>353.0</v>
      </c>
      <c r="G880" s="152" t="str">
        <f>IFERROR(__xludf.DUMMYFUNCTION("TRIM(REGEXREPLACE(C880, ""[0-9]+[a-f]?\."", """"))"),"If you had to choose, would you prefer for your sons to stay in your community and work the land or to go to a city to find professional opportunities?")</f>
        <v>If you had to choose, would you prefer for your sons to stay in your community and work the land or to go to a city to find professional opportunities?</v>
      </c>
      <c r="H880" s="152" t="str">
        <f>IFERROR(__xludf.DUMMYFUNCTION("TRIM(REGEXREPLACE(D880, ""[0-9]+[a-f]?\."", """"))"),"Si vous deviez choisir, préféreriez-vous que vos garçons restent dans votre communauté et travaillent la terre ou qu'ils aillent dans une ville pour trouver des opportunités professionnelles ?")</f>
        <v>Si vous deviez choisir, préféreriez-vous que vos garçons restent dans votre communauté et travaillent la terre ou qu'ils aillent dans une ville pour trouver des opportunités professionnelles ?</v>
      </c>
      <c r="I880" s="152" t="str">
        <f>IFERROR(__xludf.DUMMYFUNCTION("TRIM(REGEXREPLACE(E880, ""[0-9]+[a-f]?\."", """"))"),"Idan zaɓi ya kama ku dole, za ku fi son ƴaƴanku maza su zauna a yankinku su yi aikin gona ko kuma su tafi birni don neman aiki ?")</f>
        <v>Idan zaɓi ya kama ku dole, za ku fi son ƴaƴanku maza su zauna a yankinku su yi aikin gona ko kuma su tafi birni don neman aiki ?</v>
      </c>
      <c r="J880" s="152" t="s">
        <v>6197</v>
      </c>
      <c r="K880" s="152" t="s">
        <v>6198</v>
      </c>
      <c r="L880" s="152" t="s">
        <v>6199</v>
      </c>
      <c r="M880" s="152"/>
    </row>
    <row r="881">
      <c r="A881" s="170" t="s">
        <v>6200</v>
      </c>
      <c r="B881" s="271" t="s">
        <v>6201</v>
      </c>
      <c r="C881" s="28" t="s">
        <v>6202</v>
      </c>
      <c r="D881" s="28" t="s">
        <v>6204</v>
      </c>
      <c r="E881" s="28" t="s">
        <v>6205</v>
      </c>
      <c r="F881" s="161">
        <v>354.0</v>
      </c>
      <c r="G881" s="152" t="str">
        <f>IFERROR(__xludf.DUMMYFUNCTION("TRIM(REGEXREPLACE(C881, ""[0-9]+[a-f]?\."", """"))"),"If you had to choose, would you prefer for your daughters to stay in your community and work the land or to go to a city to find professional opportunities?")</f>
        <v>If you had to choose, would you prefer for your daughters to stay in your community and work the land or to go to a city to find professional opportunities?</v>
      </c>
      <c r="H881" s="152" t="str">
        <f>IFERROR(__xludf.DUMMYFUNCTION("TRIM(REGEXREPLACE(D881, ""[0-9]+[a-f]?\."", """"))"),"Si vous deviez choisir, préféreriez-vous que vos filles restent dans votre communauté et travaillent la terre ou qu'elles aillent en ville pour trouver des opportunités professionnelles ?")</f>
        <v>Si vous deviez choisir, préféreriez-vous que vos filles restent dans votre communauté et travaillent la terre ou qu'elles aillent en ville pour trouver des opportunités professionnelles ?</v>
      </c>
      <c r="I881" s="152" t="str">
        <f>IFERROR(__xludf.DUMMYFUNCTION("TRIM(REGEXREPLACE(E881, ""[0-9]+[a-f]?\."", """"))"),"Idan zaɓi ya kama ku dole, za ku fi son ƴaƴanku mata su zauna a karkararku su yi aikin gona ko kuma su tafi birni don neman aiki ??")</f>
        <v>Idan zaɓi ya kama ku dole, za ku fi son ƴaƴanku mata su zauna a karkararku su yi aikin gona ko kuma su tafi birni don neman aiki ??</v>
      </c>
      <c r="J881" s="152" t="s">
        <v>6209</v>
      </c>
      <c r="K881" s="152" t="s">
        <v>6210</v>
      </c>
      <c r="L881" s="152" t="s">
        <v>6211</v>
      </c>
    </row>
    <row r="882">
      <c r="A882" s="170" t="s">
        <v>5519</v>
      </c>
      <c r="B882" s="271" t="s">
        <v>6212</v>
      </c>
      <c r="C882" s="28" t="s">
        <v>6213</v>
      </c>
      <c r="D882" s="28" t="s">
        <v>6214</v>
      </c>
      <c r="E882" s="28" t="s">
        <v>6215</v>
      </c>
      <c r="F882" s="161">
        <v>355.0</v>
      </c>
      <c r="G882" s="152" t="str">
        <f>IFERROR(__xludf.DUMMYFUNCTION("TRIM(REGEXREPLACE(C882, ""[0-9]+[a-f]?\."", """"))"),"What language do you think it is most important for your sons to learn in order to have a good future?")</f>
        <v>What language do you think it is most important for your sons to learn in order to have a good future?</v>
      </c>
      <c r="H882" s="152" t="str">
        <f>IFERROR(__xludf.DUMMYFUNCTION("TRIM(REGEXREPLACE(D882, ""[0-9]+[a-f]?\."", """"))"),"Quelle langue pensez-vous qu'il est le plus important que vos garçons apprennent pour avoir un bon avenir ?")</f>
        <v>Quelle langue pensez-vous qu'il est le plus important que vos garçons apprennent pour avoir un bon avenir ?</v>
      </c>
      <c r="I882" s="152" t="str">
        <f>IFERROR(__xludf.DUMMYFUNCTION("TRIM(REGEXREPLACE(E882, ""[0-9]+[a-f]?\."", """"))"),"Wane yare ne kuke ganin ya fi muhimmanci ga ƴaƴanku mata su koya don su samu rayuwa mai kyau a nan gaba?")</f>
        <v>Wane yare ne kuke ganin ya fi muhimmanci ga ƴaƴanku mata su koya don su samu rayuwa mai kyau a nan gaba?</v>
      </c>
      <c r="J882" s="152" t="s">
        <v>6216</v>
      </c>
      <c r="K882" s="152" t="s">
        <v>6217</v>
      </c>
      <c r="L882" s="152" t="s">
        <v>6218</v>
      </c>
      <c r="M882" s="152"/>
    </row>
    <row r="883">
      <c r="A883" s="170" t="s">
        <v>246</v>
      </c>
      <c r="B883" s="271" t="s">
        <v>6222</v>
      </c>
      <c r="C883" s="28" t="s">
        <v>6223</v>
      </c>
      <c r="D883" s="28" t="s">
        <v>6224</v>
      </c>
      <c r="E883" s="28" t="s">
        <v>6225</v>
      </c>
      <c r="F883" s="161">
        <v>356.0</v>
      </c>
      <c r="G883" s="152" t="str">
        <f>IFERROR(__xludf.DUMMYFUNCTION("TRIM(REGEXREPLACE(C883, ""[0-9]+[a-f]?\."", """"))"),"What language do you think it is most important for your sons to learn in order to have a good future?")</f>
        <v>What language do you think it is most important for your sons to learn in order to have a good future?</v>
      </c>
      <c r="H883" s="152" t="str">
        <f>IFERROR(__xludf.DUMMYFUNCTION("TRIM(REGEXREPLACE(D883, ""[0-9]+[a-f]?\."", """"))"),"Quelle langue pensez-vous qu'il est le plus important que vos garçons apprennent pour avoir un bon avenir ?")</f>
        <v>Quelle langue pensez-vous qu'il est le plus important que vos garçons apprennent pour avoir un bon avenir ?</v>
      </c>
      <c r="I883" s="152" t="str">
        <f>IFERROR(__xludf.DUMMYFUNCTION("TRIM(REGEXREPLACE(E883, ""[0-9]+[a-f]?\."", """"))"),"Wane yare ne kuke ganin ya fi muhimmanci ga ƴaƴanku mata su koya don su sami rayuwa mai kyau a gaba?")</f>
        <v>Wane yare ne kuke ganin ya fi muhimmanci ga ƴaƴanku mata su koya don su sami rayuwa mai kyau a gaba?</v>
      </c>
      <c r="J883" s="152" t="s">
        <v>6226</v>
      </c>
      <c r="K883" s="152" t="s">
        <v>6227</v>
      </c>
      <c r="L883" s="152" t="s">
        <v>6228</v>
      </c>
    </row>
    <row r="884">
      <c r="A884" s="170" t="s">
        <v>5519</v>
      </c>
      <c r="B884" s="271" t="s">
        <v>6230</v>
      </c>
      <c r="C884" s="28" t="s">
        <v>6231</v>
      </c>
      <c r="D884" s="28" t="s">
        <v>6232</v>
      </c>
      <c r="E884" s="28" t="s">
        <v>6233</v>
      </c>
      <c r="F884" s="161">
        <v>357.0</v>
      </c>
      <c r="G884" s="152" t="str">
        <f>IFERROR(__xludf.DUMMYFUNCTION("TRIM(REGEXREPLACE(C884, ""[0-9]+[a-f]?\."", """"))"),"What language do you think it is most important for your daughters to learn in order to have a good future?")</f>
        <v>What language do you think it is most important for your daughters to learn in order to have a good future?</v>
      </c>
      <c r="H884" s="152" t="str">
        <f>IFERROR(__xludf.DUMMYFUNCTION("TRIM(REGEXREPLACE(D884, ""[0-9]+[a-f]?\."", """"))"),"Quelle langue pensez-vous qu'il est le plus important que vos filles apprennent pour avoir un bon avenir ?")</f>
        <v>Quelle langue pensez-vous qu'il est le plus important que vos filles apprennent pour avoir un bon avenir ?</v>
      </c>
      <c r="I884" s="152" t="str">
        <f>IFERROR(__xludf.DUMMYFUNCTION("TRIM(REGEXREPLACE(E884, ""[0-9]+[a-f]?\."", """"))"),"Wane yare ne kuke ganin ya fi muhimmanci ga ƴaƴanku mata su koya don samun kyakkyawar makoma?")</f>
        <v>Wane yare ne kuke ganin ya fi muhimmanci ga ƴaƴanku mata su koya don samun kyakkyawar makoma?</v>
      </c>
      <c r="J884" s="152" t="s">
        <v>6237</v>
      </c>
      <c r="K884" s="152" t="s">
        <v>6238</v>
      </c>
      <c r="L884" s="152" t="s">
        <v>6239</v>
      </c>
    </row>
    <row r="885">
      <c r="A885" s="170" t="s">
        <v>246</v>
      </c>
      <c r="B885" s="271" t="s">
        <v>6240</v>
      </c>
      <c r="C885" s="28" t="s">
        <v>6241</v>
      </c>
      <c r="D885" s="28" t="s">
        <v>6242</v>
      </c>
      <c r="E885" s="28" t="s">
        <v>6243</v>
      </c>
      <c r="F885" s="161">
        <v>358.0</v>
      </c>
      <c r="G885" s="152" t="str">
        <f>IFERROR(__xludf.DUMMYFUNCTION("TRIM(REGEXREPLACE(C885, ""[0-9]+[a-f]?\."", """"))"),"What language do you think it is most important for your daughters to learn in order to have a good future?")</f>
        <v>What language do you think it is most important for your daughters to learn in order to have a good future?</v>
      </c>
      <c r="H885" s="152" t="str">
        <f>IFERROR(__xludf.DUMMYFUNCTION("TRIM(REGEXREPLACE(D885, ""[0-9]+[a-f]?\."", """"))"),"Quelle langue pensez-vous qu'il est le plus important que vos filles apprennent pour avoir un bon avenir ?")</f>
        <v>Quelle langue pensez-vous qu'il est le plus important que vos filles apprennent pour avoir un bon avenir ?</v>
      </c>
      <c r="I885" s="152" t="str">
        <f>IFERROR(__xludf.DUMMYFUNCTION("TRIM(REGEXREPLACE(E885, ""[0-9]+[a-f]?\."", """"))"),"Wane harshe kuke ganin ya fi muhimmanci ga ƴaƴanku mata su koya don samun kyakkyawar makoma?")</f>
        <v>Wane harshe kuke ganin ya fi muhimmanci ga ƴaƴanku mata su koya don samun kyakkyawar makoma?</v>
      </c>
      <c r="J885" s="152" t="s">
        <v>6244</v>
      </c>
      <c r="K885" s="152" t="s">
        <v>6245</v>
      </c>
      <c r="L885" s="152" t="s">
        <v>6246</v>
      </c>
      <c r="M885" s="152"/>
    </row>
    <row r="886" hidden="1">
      <c r="F886" s="161">
        <v>485.0</v>
      </c>
      <c r="G886" s="152" t="str">
        <f>IFERROR(__xludf.DUMMYFUNCTION("TRIM(REGEXREPLACE(C886, ""[0-9]+[a-f]?\."", """"))"),"")</f>
        <v/>
      </c>
      <c r="H886" s="152" t="str">
        <f>IFERROR(__xludf.DUMMYFUNCTION("TRIM(REGEXREPLACE(D886, ""[0-9]+[a-f]?\."", """"))"),"")</f>
        <v/>
      </c>
      <c r="I886" s="152" t="str">
        <f>IFERROR(__xludf.DUMMYFUNCTION("TRIM(REGEXREPLACE(E886, ""[0-9]+[a-f]?\."", """"))"),"")</f>
        <v/>
      </c>
      <c r="J886" s="152" t="s">
        <v>6250</v>
      </c>
      <c r="K886" s="152" t="s">
        <v>6251</v>
      </c>
      <c r="L886" s="152" t="s">
        <v>6252</v>
      </c>
    </row>
    <row r="887" hidden="1">
      <c r="A887" s="221"/>
      <c r="B887" s="222"/>
      <c r="C887" s="28" t="s">
        <v>50</v>
      </c>
      <c r="D887" s="28" t="s">
        <v>50</v>
      </c>
      <c r="E887" s="28" t="s">
        <v>50</v>
      </c>
      <c r="F887" s="161">
        <v>486.0</v>
      </c>
      <c r="G887" s="152" t="str">
        <f>IFERROR(__xludf.DUMMYFUNCTION("TRIM(REGEXREPLACE(C887, ""[0-9]+[a-f]?\."", """"))"),"")</f>
        <v/>
      </c>
      <c r="H887" s="152" t="str">
        <f>IFERROR(__xludf.DUMMYFUNCTION("TRIM(REGEXREPLACE(D887, ""[0-9]+[a-f]?\."", """"))"),"")</f>
        <v/>
      </c>
      <c r="I887" s="152" t="str">
        <f>IFERROR(__xludf.DUMMYFUNCTION("TRIM(REGEXREPLACE(E887, ""[0-9]+[a-f]?\."", """"))"),"")</f>
        <v/>
      </c>
      <c r="J887" s="152" t="s">
        <v>6253</v>
      </c>
      <c r="K887" s="152" t="s">
        <v>6254</v>
      </c>
      <c r="L887" s="152" t="s">
        <v>6255</v>
      </c>
    </row>
    <row r="888" hidden="1">
      <c r="A888" s="140" t="s">
        <v>131</v>
      </c>
      <c r="B888" s="164" t="s">
        <v>6257</v>
      </c>
      <c r="C888" s="28"/>
      <c r="D888" s="28"/>
      <c r="E888" s="28"/>
      <c r="F888" s="161">
        <v>487.0</v>
      </c>
      <c r="G888" s="152" t="str">
        <f>IFERROR(__xludf.DUMMYFUNCTION("TRIM(REGEXREPLACE(C888, ""[0-9]+[a-f]?\."", """"))"),"")</f>
        <v/>
      </c>
      <c r="H888" s="152" t="str">
        <f>IFERROR(__xludf.DUMMYFUNCTION("TRIM(REGEXREPLACE(D888, ""[0-9]+[a-f]?\."", """"))"),"")</f>
        <v/>
      </c>
      <c r="I888" s="152" t="str">
        <f>IFERROR(__xludf.DUMMYFUNCTION("TRIM(REGEXREPLACE(E888, ""[0-9]+[a-f]?\."", """"))"),"")</f>
        <v/>
      </c>
      <c r="J888" s="152" t="s">
        <v>6258</v>
      </c>
      <c r="K888" s="152" t="s">
        <v>6259</v>
      </c>
      <c r="L888" s="152" t="s">
        <v>6260</v>
      </c>
      <c r="M888" s="152"/>
    </row>
    <row r="889">
      <c r="A889" s="166" t="s">
        <v>41</v>
      </c>
      <c r="B889" s="167" t="s">
        <v>6261</v>
      </c>
      <c r="C889" s="28" t="s">
        <v>6262</v>
      </c>
      <c r="D889" s="28" t="s">
        <v>6263</v>
      </c>
      <c r="E889" s="28" t="s">
        <v>6264</v>
      </c>
      <c r="F889" s="161">
        <v>359.0</v>
      </c>
      <c r="G889" s="152" t="str">
        <f>IFERROR(__xludf.DUMMYFUNCTION("TRIM(REGEXREPLACE(C889, ""[0-9]+[a-f]?\."", """"))"),"Now I will ask about things you or your family may have done in preparation for your migration. Consider all migration preparations since ${period}.")</f>
        <v>Now I will ask about things you or your family may have done in preparation for your migration. Consider all migration preparations since ${period}.</v>
      </c>
      <c r="H889" s="152" t="str">
        <f>IFERROR(__xludf.DUMMYFUNCTION("TRIM(REGEXREPLACE(D889, ""[0-9]+[a-f]?\."", """"))"),"Je vais maintenant vous poser des questions sur les choses que vous ou votre famille avez pu faire pour préparer votre migration. Prenez en compte tous les préparatifs de migration depuis ${period_french}.")</f>
        <v>Je vais maintenant vous poser des questions sur les choses que vous ou votre famille avez pu faire pour préparer votre migration. Prenez en compte tous les préparatifs de migration depuis ${period_french}.</v>
      </c>
      <c r="I889" s="152" t="str">
        <f>IFERROR(__xludf.DUMMYFUNCTION("TRIM(REGEXREPLACE(E889, ""[0-9]+[a-f]?\."", """"))"),"Yanzu zan yi tambayoyi game da abubuwan da ku ko ƴan gidan ku kuka yi a shirye-shiryen zuwanku bulaguro. Ku yi la'aƙari da duk shirye-shiryen tahiya tun ${period_hausa}.")</f>
        <v>Yanzu zan yi tambayoyi game da abubuwan da ku ko ƴan gidan ku kuka yi a shirye-shiryen zuwanku bulaguro. Ku yi la'aƙari da duk shirye-shiryen tahiya tun ${period_hausa}.</v>
      </c>
      <c r="J889" s="152" t="s">
        <v>6265</v>
      </c>
      <c r="K889" s="152" t="s">
        <v>6266</v>
      </c>
      <c r="L889" s="152" t="s">
        <v>6267</v>
      </c>
      <c r="M889" s="152"/>
    </row>
    <row r="890">
      <c r="A890" s="69" t="s">
        <v>463</v>
      </c>
      <c r="B890" s="69" t="s">
        <v>6271</v>
      </c>
      <c r="C890" s="28" t="s">
        <v>6272</v>
      </c>
      <c r="D890" s="28" t="s">
        <v>6273</v>
      </c>
      <c r="E890" s="28" t="s">
        <v>6274</v>
      </c>
      <c r="F890" s="161">
        <v>360.0</v>
      </c>
      <c r="G890" s="152" t="str">
        <f>IFERROR(__xludf.DUMMYFUNCTION("TRIM(REGEXREPLACE(C890, ""[0-9]+[a-f]?\."", """"))"),"Have you and ${shm_name} discussed your plans or desire to travel to another country to find work since ${period}?")</f>
        <v>Have you and ${shm_name} discussed your plans or desire to travel to another country to find work since ${period}?</v>
      </c>
      <c r="H890" s="152" t="str">
        <f>IFERROR(__xludf.DUMMYFUNCTION("TRIM(REGEXREPLACE(D890, ""[0-9]+[a-f]?\."", """"))"),"Avez-vous discuté vous et ${shm_name} de vos projets ou de votre désir de voyager dans un autre pays pour trouver du travail depuis ${period_french} ?")</f>
        <v>Avez-vous discuté vous et ${shm_name} de vos projets ou de votre désir de voyager dans un autre pays pour trouver du travail depuis ${period_french} ?</v>
      </c>
      <c r="I890" s="152" t="str">
        <f>IFERROR(__xludf.DUMMYFUNCTION("TRIM(REGEXREPLACE(E890, ""[0-9]+[a-f]?\."", """"))"),"Ko kun tattauna tare da ${shm_name} game da shirin ka ko sha'awar ka ta tafiya wata ƙasa don neman aiki tun ${period_hausa}?")</f>
        <v>Ko kun tattauna tare da ${shm_name} game da shirin ka ko sha'awar ka ta tafiya wata ƙasa don neman aiki tun ${period_hausa}?</v>
      </c>
      <c r="J890" s="152" t="s">
        <v>6276</v>
      </c>
      <c r="K890" s="152" t="s">
        <v>6277</v>
      </c>
      <c r="L890" s="152" t="s">
        <v>6278</v>
      </c>
      <c r="M890" s="152"/>
    </row>
    <row r="891">
      <c r="A891" s="69" t="s">
        <v>463</v>
      </c>
      <c r="B891" s="69" t="s">
        <v>6279</v>
      </c>
      <c r="C891" s="28" t="s">
        <v>6280</v>
      </c>
      <c r="D891" s="28" t="s">
        <v>6281</v>
      </c>
      <c r="E891" s="28" t="s">
        <v>6282</v>
      </c>
      <c r="F891" s="161">
        <v>361.0</v>
      </c>
      <c r="G891" s="152" t="str">
        <f>IFERROR(__xludf.DUMMYFUNCTION("TRIM(REGEXREPLACE(C891, ""[0-9]+[a-f]?\."", """"))"),"Have you discussed with your household how your household responsibilities would be managed during your migration?")</f>
        <v>Have you discussed with your household how your household responsibilities would be managed during your migration?</v>
      </c>
      <c r="H891" s="152" t="str">
        <f>IFERROR(__xludf.DUMMYFUNCTION("TRIM(REGEXREPLACE(D891, ""[0-9]+[a-f]?\."", """"))"),"Avez-vous discuté avec votre ménage de la manière dont vos responsabilités familiales seraient gérées pendant votre migration ?")</f>
        <v>Avez-vous discuté avec votre ménage de la manière dont vos responsabilités familiales seraient gérées pendant votre migration ?</v>
      </c>
      <c r="I891" s="152" t="str">
        <f>IFERROR(__xludf.DUMMYFUNCTION("TRIM(REGEXREPLACE(E891, ""[0-9]+[a-f]?\."", """"))"),"Ko kun tattauna da ƴan gidanku a kan yadda za a gudanar da ayyukanku na gida a lokacin da babu kai a gida ?")</f>
        <v>Ko kun tattauna da ƴan gidanku a kan yadda za a gudanar da ayyukanku na gida a lokacin da babu kai a gida ?</v>
      </c>
      <c r="J891" s="152" t="s">
        <v>6283</v>
      </c>
      <c r="K891" s="152" t="s">
        <v>6284</v>
      </c>
      <c r="L891" s="152" t="s">
        <v>6285</v>
      </c>
      <c r="M891" s="152"/>
    </row>
    <row r="892">
      <c r="A892" s="65" t="s">
        <v>2625</v>
      </c>
      <c r="B892" s="169" t="s">
        <v>6289</v>
      </c>
      <c r="C892" s="28" t="s">
        <v>6290</v>
      </c>
      <c r="D892" s="28" t="s">
        <v>6291</v>
      </c>
      <c r="E892" s="28" t="s">
        <v>6292</v>
      </c>
      <c r="F892" s="161">
        <v>362.0</v>
      </c>
      <c r="G892" s="152" t="str">
        <f>IFERROR(__xludf.DUMMYFUNCTION("TRIM(REGEXREPLACE(C892, ""[0-9]+[a-f]?\."", """"))"),"Have you or your immediate family gathered resources in order to prepare for migration? This could include saving money, selling assets, or taking a loan.")</f>
        <v>Have you or your immediate family gathered resources in order to prepare for migration? This could include saving money, selling assets, or taking a loan.</v>
      </c>
      <c r="H892" s="152" t="str">
        <f>IFERROR(__xludf.DUMMYFUNCTION("TRIM(REGEXREPLACE(D892, ""[0-9]+[a-f]?\."", """"))"),"Est-ce que vous ou votre famille proche avez rassemblé des ressources pour vous préparer à la migration ? Il peut s'agir d'économiser de l'argent, de vendre des actifs ou de contracter un prêt.")</f>
        <v>Est-ce que vous ou votre famille proche avez rassemblé des ressources pour vous préparer à la migration ? Il peut s'agir d'économiser de l'argent, de vendre des actifs ou de contracter un prêt.</v>
      </c>
      <c r="I892" s="152" t="str">
        <f>IFERROR(__xludf.DUMMYFUNCTION("TRIM(REGEXREPLACE(E892, ""[0-9]+[a-f]?\."", """"))"),"Ko kai ko ƴan gidanku kun yi tanadin guzuri don shirin zuwa biɗa? Wannan na iya haɗawa da ajiyar kuɗi, sayar da kadarori, ko ɗaukar bashi.")</f>
        <v>Ko kai ko ƴan gidanku kun yi tanadin guzuri don shirin zuwa biɗa? Wannan na iya haɗawa da ajiyar kuɗi, sayar da kadarori, ko ɗaukar bashi.</v>
      </c>
      <c r="J892" s="152" t="s">
        <v>6294</v>
      </c>
      <c r="K892" s="152" t="s">
        <v>6295</v>
      </c>
      <c r="L892" s="152" t="s">
        <v>6296</v>
      </c>
      <c r="M892" s="152"/>
    </row>
    <row r="893">
      <c r="A893" s="65" t="s">
        <v>2625</v>
      </c>
      <c r="B893" s="169" t="s">
        <v>6297</v>
      </c>
      <c r="C893" s="28" t="s">
        <v>6298</v>
      </c>
      <c r="D893" s="28" t="s">
        <v>6299</v>
      </c>
      <c r="E893" s="28" t="s">
        <v>6300</v>
      </c>
      <c r="F893" s="161">
        <v>363.0</v>
      </c>
      <c r="G893" s="152" t="str">
        <f>IFERROR(__xludf.DUMMYFUNCTION("TRIM(REGEXREPLACE(C893, ""[0-9]+[a-f]?\."", """"))"),"Have you or your immediate family prepared any legal paperwork, such as marriage documents, birth certificates, or proof of property to prepare for migration?")</f>
        <v>Have you or your immediate family prepared any legal paperwork, such as marriage documents, birth certificates, or proof of property to prepare for migration?</v>
      </c>
      <c r="H893" s="152" t="str">
        <f>IFERROR(__xludf.DUMMYFUNCTION("TRIM(REGEXREPLACE(D893, ""[0-9]+[a-f]?\."", """"))"),"Est-ce que vous ou votre famille immédiate avez préparé des documents juridiques, tels que des documents de mariage, des certificats de naissance ou une preuve de propriété pour vous préparer à la migration ?")</f>
        <v>Est-ce que vous ou votre famille immédiate avez préparé des documents juridiques, tels que des documents de mariage, des certificats de naissance ou une preuve de propriété pour vous préparer à la migration ?</v>
      </c>
      <c r="I893" s="152" t="str">
        <f>IFERROR(__xludf.DUMMYFUNCTION("TRIM(REGEXREPLACE(E893, ""[0-9]+[a-f]?\."", """"))"),"Shin kai ko ƴan gidanku kun shirya wasu takardun doka, kamar takardar aure, takardun haihuwa, ko shaidar dukiya don shiryawa zuwa biɗa?")</f>
        <v>Shin kai ko ƴan gidanku kun shirya wasu takardun doka, kamar takardar aure, takardun haihuwa, ko shaidar dukiya don shiryawa zuwa biɗa?</v>
      </c>
      <c r="J893" s="152" t="s">
        <v>6301</v>
      </c>
      <c r="K893" s="152" t="s">
        <v>6302</v>
      </c>
      <c r="L893" s="152" t="s">
        <v>6304</v>
      </c>
    </row>
    <row r="894">
      <c r="A894" s="65" t="s">
        <v>6305</v>
      </c>
      <c r="B894" s="218" t="s">
        <v>6307</v>
      </c>
      <c r="C894" s="28" t="s">
        <v>6309</v>
      </c>
      <c r="D894" s="28" t="s">
        <v>6310</v>
      </c>
      <c r="E894" s="28" t="s">
        <v>6311</v>
      </c>
      <c r="F894" s="161">
        <v>364.0</v>
      </c>
      <c r="G894" s="152" t="str">
        <f>IFERROR(__xludf.DUMMYFUNCTION("TRIM(REGEXREPLACE(C894, ""[0-9]+[a-f]?\."", """"))"),"Who have you spoken with outside of your household about whether you should migrate or where you should go?")</f>
        <v>Who have you spoken with outside of your household about whether you should migrate or where you should go?</v>
      </c>
      <c r="H894" s="152" t="str">
        <f>IFERROR(__xludf.DUMMYFUNCTION("TRIM(REGEXREPLACE(D894, ""[0-9]+[a-f]?\."", """"))"),"Avec qui avez-vous parlé en dehors de votre ménage pour savoir si vous devriez émigrer ou du lieu où vous devriez aller ?")</f>
        <v>Avec qui avez-vous parlé en dehors de votre ménage pour savoir si vous devriez émigrer ou du lieu où vous devriez aller ?</v>
      </c>
      <c r="I894" s="152" t="str">
        <f>IFERROR(__xludf.DUMMYFUNCTION("TRIM(REGEXREPLACE(E894, ""[0-9]+[a-f]?\."", """"))"),"Wane ne kuka yi magana da shi a wajen gidanku, a kan ko za ku je biɗa ko kuma inda za ku je?")</f>
        <v>Wane ne kuka yi magana da shi a wajen gidanku, a kan ko za ku je biɗa ko kuma inda za ku je?</v>
      </c>
      <c r="J894" s="152" t="s">
        <v>6313</v>
      </c>
      <c r="K894" s="152" t="s">
        <v>6314</v>
      </c>
      <c r="L894" s="152" t="s">
        <v>6315</v>
      </c>
    </row>
    <row r="895">
      <c r="A895" s="65" t="s">
        <v>6316</v>
      </c>
      <c r="B895" s="218" t="s">
        <v>6317</v>
      </c>
      <c r="C895" s="28" t="s">
        <v>6318</v>
      </c>
      <c r="D895" s="28" t="s">
        <v>6319</v>
      </c>
      <c r="E895" s="28" t="s">
        <v>6320</v>
      </c>
      <c r="F895" s="161">
        <v>365.0</v>
      </c>
      <c r="G895" s="152" t="str">
        <f>IFERROR(__xludf.DUMMYFUNCTION("TRIM(REGEXREPLACE(C895, ""[0-9]+[a-f]?\."", """"))"),"What kinds of information did you discuss with these people?")</f>
        <v>What kinds of information did you discuss with these people?</v>
      </c>
      <c r="H895" s="152" t="str">
        <f>IFERROR(__xludf.DUMMYFUNCTION("TRIM(REGEXREPLACE(D895, ""[0-9]+[a-f]?\."", """"))"),"De quels types d'informations avez-vous discuté avec ces personnes ?")</f>
        <v>De quels types d'informations avez-vous discuté avec ces personnes ?</v>
      </c>
      <c r="I895" s="152" t="str">
        <f>IFERROR(__xludf.DUMMYFUNCTION("TRIM(REGEXREPLACE(E895, ""[0-9]+[a-f]?\."", """"))"),"Wane irin bayani kuka tattauna da waɗannan mutane?")</f>
        <v>Wane irin bayani kuka tattauna da waɗannan mutane?</v>
      </c>
      <c r="J895" s="152" t="s">
        <v>6321</v>
      </c>
      <c r="K895" s="152" t="s">
        <v>6322</v>
      </c>
      <c r="L895" s="152" t="s">
        <v>6323</v>
      </c>
    </row>
    <row r="896">
      <c r="A896" s="65" t="s">
        <v>5262</v>
      </c>
      <c r="B896" s="218" t="s">
        <v>6324</v>
      </c>
      <c r="C896" s="28" t="s">
        <v>6325</v>
      </c>
      <c r="D896" s="28" t="s">
        <v>6326</v>
      </c>
      <c r="E896" s="28" t="s">
        <v>6327</v>
      </c>
      <c r="F896" s="161">
        <v>366.0</v>
      </c>
      <c r="G896" s="152" t="str">
        <f>IFERROR(__xludf.DUMMYFUNCTION("TRIM(REGEXREPLACE(C896, ""[0-9]+[a-f]?\."", """"))"),"Did this information encourage or discourage you to migrate?")</f>
        <v>Did this information encourage or discourage you to migrate?</v>
      </c>
      <c r="H896" s="152" t="str">
        <f>IFERROR(__xludf.DUMMYFUNCTION("TRIM(REGEXREPLACE(D896, ""[0-9]+[a-f]?\."", """"))"),"Ces informations vous ont-elles encouragé ou découragé à migrer ?")</f>
        <v>Ces informations vous ont-elles encouragé ou découragé à migrer ?</v>
      </c>
      <c r="I896" s="152" t="str">
        <f>IFERROR(__xludf.DUMMYFUNCTION("TRIM(REGEXREPLACE(E896, ""[0-9]+[a-f]?\."", """"))"),"Ko wannan bayanin ya ƙarfafa muka gwiwa ko ya hana ka zuwa biɗa?")</f>
        <v>Ko wannan bayanin ya ƙarfafa muka gwiwa ko ya hana ka zuwa biɗa?</v>
      </c>
      <c r="J896" s="152" t="s">
        <v>6331</v>
      </c>
      <c r="K896" s="152" t="s">
        <v>6332</v>
      </c>
      <c r="L896" s="152" t="s">
        <v>6333</v>
      </c>
    </row>
    <row r="897">
      <c r="A897" s="69" t="s">
        <v>463</v>
      </c>
      <c r="B897" s="218" t="s">
        <v>6335</v>
      </c>
      <c r="C897" s="183" t="s">
        <v>6336</v>
      </c>
      <c r="D897" s="183" t="s">
        <v>6337</v>
      </c>
      <c r="E897" s="183" t="s">
        <v>6338</v>
      </c>
      <c r="F897" s="161">
        <v>367.0</v>
      </c>
      <c r="G897" s="152" t="str">
        <f>IFERROR(__xludf.DUMMYFUNCTION("TRIM(REGEXREPLACE(C897, ""[0-9]+[a-f]?\."", """"))"),"Have you heard of the TSARI training program?")</f>
        <v>Have you heard of the TSARI training program?</v>
      </c>
      <c r="H897" s="152" t="str">
        <f>IFERROR(__xludf.DUMMYFUNCTION("TRIM(REGEXREPLACE(D897, ""[0-9]+[a-f]?\."", """"))"),"Avez-vous entendu parler de la formation TSARI ?")</f>
        <v>Avez-vous entendu parler de la formation TSARI ?</v>
      </c>
      <c r="I897" s="152" t="str">
        <f>IFERROR(__xludf.DUMMYFUNCTION("TRIM(REGEXREPLACE(E897, ""[0-9]+[a-f]?\."", """"))"),"Ko kun ji labarin ko horon shirin TSARI a Tahoua?")</f>
        <v>Ko kun ji labarin ko horon shirin TSARI a Tahoua?</v>
      </c>
      <c r="J897" s="152" t="s">
        <v>6339</v>
      </c>
      <c r="K897" s="152" t="s">
        <v>6340</v>
      </c>
      <c r="L897" s="152" t="s">
        <v>6341</v>
      </c>
    </row>
    <row r="898">
      <c r="A898" s="65" t="s">
        <v>6342</v>
      </c>
      <c r="B898" s="218" t="s">
        <v>6343</v>
      </c>
      <c r="C898" s="28" t="s">
        <v>6344</v>
      </c>
      <c r="D898" s="28" t="s">
        <v>6345</v>
      </c>
      <c r="E898" s="28" t="s">
        <v>6346</v>
      </c>
      <c r="F898" s="161">
        <v>368.0</v>
      </c>
      <c r="G898" s="152" t="str">
        <f>IFERROR(__xludf.DUMMYFUNCTION("TRIM(REGEXREPLACE(C898, ""[0-9]+[a-f]?\."", """"))"),"Do you know anyone who participated in the TSARI training program in Tahoua?")</f>
        <v>Do you know anyone who participated in the TSARI training program in Tahoua?</v>
      </c>
      <c r="H898" s="152" t="str">
        <f>IFERROR(__xludf.DUMMYFUNCTION("TRIM(REGEXREPLACE(D898, ""[0-9]+[a-f]?\."", """"))"),"Connaissez-vous quelqu'un qui a participé à la formation TSARI à Tahoua ?")</f>
        <v>Connaissez-vous quelqu'un qui a participé à la formation TSARI à Tahoua ?</v>
      </c>
      <c r="I898" s="152" t="str">
        <f>IFERROR(__xludf.DUMMYFUNCTION("TRIM(REGEXREPLACE(E898, ""[0-9]+[a-f]?\."", """"))"),"Shin ko kun san wani da ya halarci horon shirin TSARI a Tahoua?")</f>
        <v>Shin ko kun san wani da ya halarci horon shirin TSARI a Tahoua?</v>
      </c>
      <c r="J898" s="152" t="s">
        <v>6347</v>
      </c>
      <c r="K898" s="152" t="s">
        <v>6348</v>
      </c>
      <c r="L898" s="152" t="s">
        <v>6349</v>
      </c>
    </row>
    <row r="899">
      <c r="A899" s="69" t="s">
        <v>463</v>
      </c>
      <c r="B899" s="218" t="s">
        <v>6351</v>
      </c>
      <c r="C899" s="28" t="s">
        <v>6352</v>
      </c>
      <c r="D899" s="28" t="s">
        <v>6354</v>
      </c>
      <c r="E899" s="28" t="s">
        <v>6357</v>
      </c>
      <c r="F899" s="161">
        <v>369.0</v>
      </c>
      <c r="G899" s="152" t="str">
        <f>IFERROR(__xludf.DUMMYFUNCTION("TRIM(REGEXREPLACE(C899, ""[0-9]+[a-f]?\."", """"))"),"Did you speak with this person/these people about the TSARI training?")</f>
        <v>Did you speak with this person/these people about the TSARI training?</v>
      </c>
      <c r="H899" s="152" t="str">
        <f>IFERROR(__xludf.DUMMYFUNCTION("TRIM(REGEXREPLACE(D899, ""[0-9]+[a-f]?\."", """"))"),"Avez-vous parlé de la formation TSARI avec cette/ces personne(s) ?")</f>
        <v>Avez-vous parlé de la formation TSARI avec cette/ces personne(s) ?</v>
      </c>
      <c r="I899" s="152" t="str">
        <f>IFERROR(__xludf.DUMMYFUNCTION("TRIM(REGEXREPLACE(E899, ""[0-9]+[a-f]?\."", """"))"),"Shin ko kun yi magana da wannan mutumin / waɗannan mutanen game da horon TSARI?")</f>
        <v>Shin ko kun yi magana da wannan mutumin / waɗannan mutanen game da horon TSARI?</v>
      </c>
      <c r="J899" s="152" t="s">
        <v>6358</v>
      </c>
      <c r="K899" s="152" t="s">
        <v>6359</v>
      </c>
      <c r="L899" s="152" t="s">
        <v>6360</v>
      </c>
    </row>
    <row r="900" hidden="1">
      <c r="A900" s="140" t="s">
        <v>131</v>
      </c>
      <c r="B900" s="164" t="s">
        <v>6361</v>
      </c>
      <c r="C900" s="28"/>
      <c r="D900" s="28"/>
      <c r="E900" s="28"/>
      <c r="F900" s="161">
        <v>537.0</v>
      </c>
      <c r="G900" s="152" t="str">
        <f>IFERROR(__xludf.DUMMYFUNCTION("TRIM(REGEXREPLACE(C900, ""[0-9]+[a-f]?\."", """"))"),"")</f>
        <v/>
      </c>
      <c r="H900" s="152" t="str">
        <f>IFERROR(__xludf.DUMMYFUNCTION("TRIM(REGEXREPLACE(D900, ""[0-9]+[a-f]?\."", """"))"),"")</f>
        <v/>
      </c>
      <c r="I900" s="152" t="str">
        <f>IFERROR(__xludf.DUMMYFUNCTION("TRIM(REGEXREPLACE(E900, ""[0-9]+[a-f]?\."", """"))"),"")</f>
        <v/>
      </c>
      <c r="J900" s="152" t="s">
        <v>6362</v>
      </c>
      <c r="K900" s="152" t="s">
        <v>6363</v>
      </c>
      <c r="L900" s="152" t="s">
        <v>6364</v>
      </c>
    </row>
    <row r="901">
      <c r="A901" s="166" t="s">
        <v>41</v>
      </c>
      <c r="B901" s="167" t="s">
        <v>6366</v>
      </c>
      <c r="C901" s="28" t="s">
        <v>6367</v>
      </c>
      <c r="D901" s="28" t="s">
        <v>6369</v>
      </c>
      <c r="E901" s="28" t="s">
        <v>6370</v>
      </c>
      <c r="F901" s="161">
        <v>370.0</v>
      </c>
      <c r="G901" s="152" t="str">
        <f>IFERROR(__xludf.DUMMYFUNCTION("TRIM(REGEXREPLACE(C901, ""[0-9]+[a-f]?\."", """"))"),"The next few questions ask about your knowledge of official rules for people from Niger to travel to neighboring countries")</f>
        <v>The next few questions ask about your knowledge of official rules for people from Niger to travel to neighboring countries</v>
      </c>
      <c r="H901" s="152" t="str">
        <f>IFERROR(__xludf.DUMMYFUNCTION("TRIM(REGEXREPLACE(D901, ""[0-9]+[a-f]?\."", """"))"),"Les prochaines questions portent sur votre connaissance des règles officielles permettant aux Nigériens de se rendre dans les pays voisins.")</f>
        <v>Les prochaines questions portent sur votre connaissance des règles officielles permettant aux Nigériens de se rendre dans les pays voisins.</v>
      </c>
      <c r="I901" s="152" t="str">
        <f>IFERROR(__xludf.DUMMYFUNCTION("TRIM(REGEXREPLACE(E901, ""[0-9]+[a-f]?\."", """"))"),"Tambayoyi masu zuwa za'a yi su game da saninku bisa dokokinda suke bawa mutanen Nijar damar zuwa biɗa kasashen makwabta")</f>
        <v>Tambayoyi masu zuwa za'a yi su game da saninku bisa dokokinda suke bawa mutanen Nijar damar zuwa biɗa kasashen makwabta</v>
      </c>
      <c r="J901" s="152" t="s">
        <v>6372</v>
      </c>
      <c r="K901" s="152" t="s">
        <v>6373</v>
      </c>
      <c r="L901" s="152" t="s">
        <v>6374</v>
      </c>
    </row>
    <row r="902">
      <c r="A902" s="65" t="s">
        <v>2625</v>
      </c>
      <c r="B902" s="218" t="s">
        <v>6375</v>
      </c>
      <c r="C902" s="28" t="s">
        <v>6376</v>
      </c>
      <c r="D902" s="28" t="s">
        <v>6377</v>
      </c>
      <c r="E902" s="28" t="s">
        <v>6378</v>
      </c>
      <c r="F902" s="161">
        <v>371.0</v>
      </c>
      <c r="G902" s="152" t="str">
        <f>IFERROR(__xludf.DUMMYFUNCTION("TRIM(REGEXREPLACE(C902, ""[0-9]+[a-f]?\."", """"))"),"Is Niger still a part of the ECOWAS?")</f>
        <v>Is Niger still a part of the ECOWAS?</v>
      </c>
      <c r="H902" s="152" t="str">
        <f>IFERROR(__xludf.DUMMYFUNCTION("TRIM(REGEXREPLACE(D902, ""[0-9]+[a-f]?\."", """"))"),"Le Niger fait-il toujours partie de la CEDEAO ?")</f>
        <v>Le Niger fait-il toujours partie de la CEDEAO ?</v>
      </c>
      <c r="I902" s="152" t="str">
        <f>IFERROR(__xludf.DUMMYFUNCTION("TRIM(REGEXREPLACE(E902, ""[0-9]+[a-f]?\."", """"))"),"Ko har yanzu Nijar na cikin kungiyar ECOWAS?")</f>
        <v>Ko har yanzu Nijar na cikin kungiyar ECOWAS?</v>
      </c>
      <c r="J902" s="152" t="s">
        <v>6379</v>
      </c>
      <c r="K902" s="152" t="s">
        <v>6380</v>
      </c>
      <c r="L902" s="152" t="s">
        <v>6381</v>
      </c>
    </row>
    <row r="903">
      <c r="A903" s="68" t="s">
        <v>3712</v>
      </c>
      <c r="B903" s="169" t="s">
        <v>6382</v>
      </c>
      <c r="C903" s="28" t="s">
        <v>6383</v>
      </c>
      <c r="D903" s="28" t="s">
        <v>6384</v>
      </c>
      <c r="E903" s="28" t="s">
        <v>6385</v>
      </c>
      <c r="F903" s="161">
        <v>372.0</v>
      </c>
      <c r="G903" s="152" t="str">
        <f>IFERROR(__xludf.DUMMYFUNCTION("TRIM(REGEXREPLACE(C903, ""[0-9]+[a-f]?\."", """"))"),"Suppose you want to travel to Cote d'Ivoire, what documents would you need to bring with you to travel there legally?")</f>
        <v>Suppose you want to travel to Cote d'Ivoire, what documents would you need to bring with you to travel there legally?</v>
      </c>
      <c r="H903" s="152" t="str">
        <f>IFERROR(__xludf.DUMMYFUNCTION("TRIM(REGEXREPLACE(D903, ""[0-9]+[a-f]?\."", """"))"),"Supposons que vous souhaiteriez vous rendre en Côte d'Ivoire, quels documents devriez-vous apporter pour vous y rendre légalement ?")</f>
        <v>Supposons que vous souhaiteriez vous rendre en Côte d'Ivoire, quels documents devriez-vous apporter pour vous y rendre légalement ?</v>
      </c>
      <c r="I903" s="152" t="str">
        <f>IFERROR(__xludf.DUMMYFUNCTION("TRIM(REGEXREPLACE(E903, ""[0-9]+[a-f]?\."", """"))"),"A ce kuna son tafiya Cote d'Ivoire, waɗanne takardu za ku buƙaci ku kawo tare da ku don tafiya can bisa doka?")</f>
        <v>A ce kuna son tafiya Cote d'Ivoire, waɗanne takardu za ku buƙaci ku kawo tare da ku don tafiya can bisa doka?</v>
      </c>
      <c r="J903" s="152" t="s">
        <v>6386</v>
      </c>
      <c r="K903" s="152" t="s">
        <v>6387</v>
      </c>
      <c r="L903" s="152" t="s">
        <v>6388</v>
      </c>
      <c r="M903" s="152"/>
    </row>
    <row r="904">
      <c r="A904" s="68" t="s">
        <v>3712</v>
      </c>
      <c r="B904" s="169" t="s">
        <v>6389</v>
      </c>
      <c r="C904" s="28" t="s">
        <v>6390</v>
      </c>
      <c r="D904" s="28" t="s">
        <v>6391</v>
      </c>
      <c r="E904" s="28" t="s">
        <v>6392</v>
      </c>
      <c r="F904" s="161">
        <v>373.0</v>
      </c>
      <c r="G904" s="152" t="str">
        <f>IFERROR(__xludf.DUMMYFUNCTION("TRIM(REGEXREPLACE(C904, ""[0-9]+[a-f]?\."", """"))"),"Suppose you instead want to travel to Libya, what documents would you need to bring with you to travel there legally?")</f>
        <v>Suppose you instead want to travel to Libya, what documents would you need to bring with you to travel there legally?</v>
      </c>
      <c r="H904" s="152" t="str">
        <f>IFERROR(__xludf.DUMMYFUNCTION("TRIM(REGEXREPLACE(D904, ""[0-9]+[a-f]?\."", """"))"),"Supposons que vous vouliez plutôt vous rendre en Libye, quels documents devriez-vous apporter avec vous pour vous y rendre légalement ?")</f>
        <v>Supposons que vous vouliez plutôt vous rendre en Libye, quels documents devriez-vous apporter avec vous pour vous y rendre légalement ?</v>
      </c>
      <c r="I904" s="152" t="str">
        <f>IFERROR(__xludf.DUMMYFUNCTION("TRIM(REGEXREPLACE(E904, ""[0-9]+[a-f]?\."", """"))"),"A ce a maimakon haka kuna son tafiya Libya, waɗanne takardu za ku buƙaci kawo tare da ku don tafiya can bisa doka?")</f>
        <v>A ce a maimakon haka kuna son tafiya Libya, waɗanne takardu za ku buƙaci kawo tare da ku don tafiya can bisa doka?</v>
      </c>
      <c r="J904" s="152" t="s">
        <v>6395</v>
      </c>
      <c r="K904" s="152" t="s">
        <v>6396</v>
      </c>
      <c r="L904" s="152" t="s">
        <v>6397</v>
      </c>
      <c r="M904" s="152"/>
    </row>
    <row r="905">
      <c r="A905" s="170" t="s">
        <v>263</v>
      </c>
      <c r="B905" s="171" t="s">
        <v>6398</v>
      </c>
      <c r="C905" s="28" t="s">
        <v>6399</v>
      </c>
      <c r="D905" s="28" t="s">
        <v>6400</v>
      </c>
      <c r="E905" s="28" t="s">
        <v>6401</v>
      </c>
      <c r="F905" s="161">
        <v>374.0</v>
      </c>
      <c r="G905" s="152" t="str">
        <f>IFERROR(__xludf.DUMMYFUNCTION("TRIM(REGEXREPLACE(C905, ""[0-9]+[a-f]?\."", """"))"),"If you want to travel to Nigeria to find work, how long can you work there without getting a formal work authorization (in months)?")</f>
        <v>If you want to travel to Nigeria to find work, how long can you work there without getting a formal work authorization (in months)?</v>
      </c>
      <c r="H905" s="152" t="str">
        <f>IFERROR(__xludf.DUMMYFUNCTION("TRIM(REGEXREPLACE(D905, ""[0-9]+[a-f]?\."", """"))"),"Si vous souhaitez vous rendre au Nigeria pour trouver du travail, combien de temps pouvez-vous y travailler sans obtenir une autorisation de travail formelle (en mois) ?")</f>
        <v>Si vous souhaitez vous rendre au Nigeria pour trouver du travail, combien de temps pouvez-vous y travailler sans obtenir une autorisation de travail formelle (en mois) ?</v>
      </c>
      <c r="I905" s="152" t="str">
        <f>IFERROR(__xludf.DUMMYFUNCTION("TRIM(REGEXREPLACE(E905, ""[0-9]+[a-f]?\."", """"))"),"Idan kuna son tafiya Najeriya don neman aiki, tsawon wane lokaci za ku iya yin aiki a can ba tare da samun izinin aiki ba (a cikin watanni)?")</f>
        <v>Idan kuna son tafiya Najeriya don neman aiki, tsawon wane lokaci za ku iya yin aiki a can ba tare da samun izinin aiki ba (a cikin watanni)?</v>
      </c>
      <c r="J905" s="152" t="s">
        <v>6402</v>
      </c>
      <c r="K905" s="152" t="s">
        <v>6403</v>
      </c>
      <c r="L905" s="152" t="s">
        <v>6404</v>
      </c>
    </row>
    <row r="906">
      <c r="A906" s="68" t="s">
        <v>6405</v>
      </c>
      <c r="B906" s="169" t="s">
        <v>6406</v>
      </c>
      <c r="C906" s="28" t="s">
        <v>6407</v>
      </c>
      <c r="D906" s="28" t="s">
        <v>6408</v>
      </c>
      <c r="E906" s="28" t="s">
        <v>6409</v>
      </c>
      <c r="F906" s="161">
        <v>375.0</v>
      </c>
      <c r="G906" s="152" t="str">
        <f>IFERROR(__xludf.DUMMYFUNCTION("TRIM(REGEXREPLACE(C906, ""[0-9]+[a-f]?\."", """"))"),"If you want to travel to Senegal, what vaccinations are required in order to travel there legally?")</f>
        <v>If you want to travel to Senegal, what vaccinations are required in order to travel there legally?</v>
      </c>
      <c r="H906" s="152" t="str">
        <f>IFERROR(__xludf.DUMMYFUNCTION("TRIM(REGEXREPLACE(D906, ""[0-9]+[a-f]?\."", """"))"),"Si vous souhaitez vous rendre au Sénégal, quels vaccins sont nécessaires pour y voyager légalement ?")</f>
        <v>Si vous souhaitez vous rendre au Sénégal, quels vaccins sont nécessaires pour y voyager légalement ?</v>
      </c>
      <c r="I906" s="152" t="str">
        <f>IFERROR(__xludf.DUMMYFUNCTION("TRIM(REGEXREPLACE(E906, ""[0-9]+[a-f]?\."", """"))"),"Idan kuna son tafiya Senegal, waɗanne alluran rigakafi ake wajibta muku don tafiya can bisa doka?")</f>
        <v>Idan kuna son tafiya Senegal, waɗanne alluran rigakafi ake wajibta muku don tafiya can bisa doka?</v>
      </c>
      <c r="J906" s="152" t="s">
        <v>6414</v>
      </c>
      <c r="K906" s="152" t="s">
        <v>6415</v>
      </c>
      <c r="L906" s="152" t="s">
        <v>6416</v>
      </c>
      <c r="M906" s="152"/>
    </row>
    <row r="907" hidden="1">
      <c r="A907" s="140" t="s">
        <v>237</v>
      </c>
      <c r="B907" s="191" t="s">
        <v>6361</v>
      </c>
      <c r="C907" s="28"/>
      <c r="D907" s="28"/>
      <c r="E907" s="28"/>
      <c r="F907" s="161">
        <v>532.0</v>
      </c>
      <c r="G907" s="152" t="str">
        <f>IFERROR(__xludf.DUMMYFUNCTION("TRIM(REGEXREPLACE(C907, ""[0-9]+[a-f]?\."", """"))"),"")</f>
        <v/>
      </c>
      <c r="H907" s="152" t="str">
        <f>IFERROR(__xludf.DUMMYFUNCTION("TRIM(REGEXREPLACE(D907, ""[0-9]+[a-f]?\."", """"))"),"")</f>
        <v/>
      </c>
      <c r="I907" s="152" t="str">
        <f>IFERROR(__xludf.DUMMYFUNCTION("TRIM(REGEXREPLACE(E907, ""[0-9]+[a-f]?\."", """"))"),"")</f>
        <v/>
      </c>
      <c r="J907" s="152" t="s">
        <v>6417</v>
      </c>
      <c r="K907" s="152" t="s">
        <v>6418</v>
      </c>
      <c r="L907" s="152" t="s">
        <v>6419</v>
      </c>
    </row>
    <row r="908" hidden="1">
      <c r="A908" s="65" t="s">
        <v>134</v>
      </c>
      <c r="B908" s="66" t="s">
        <v>6420</v>
      </c>
      <c r="C908" s="28"/>
      <c r="D908" s="28"/>
      <c r="E908" s="28"/>
      <c r="F908" s="161">
        <v>544.0</v>
      </c>
      <c r="G908" s="152" t="str">
        <f>IFERROR(__xludf.DUMMYFUNCTION("TRIM(REGEXREPLACE(C908, ""[0-9]+[a-f]?\."", """"))"),"")</f>
        <v/>
      </c>
      <c r="H908" s="152" t="str">
        <f>IFERROR(__xludf.DUMMYFUNCTION("TRIM(REGEXREPLACE(D908, ""[0-9]+[a-f]?\."", """"))"),"")</f>
        <v/>
      </c>
      <c r="I908" s="152" t="str">
        <f>IFERROR(__xludf.DUMMYFUNCTION("TRIM(REGEXREPLACE(E908, ""[0-9]+[a-f]?\."", """"))"),"")</f>
        <v/>
      </c>
      <c r="J908" s="152" t="s">
        <v>6425</v>
      </c>
      <c r="K908" s="152" t="s">
        <v>6426</v>
      </c>
      <c r="L908" s="152" t="s">
        <v>6427</v>
      </c>
      <c r="M908" s="152"/>
    </row>
    <row r="909" hidden="1">
      <c r="A909" s="58" t="s">
        <v>78</v>
      </c>
      <c r="B909" s="58" t="s">
        <v>6428</v>
      </c>
      <c r="C909" s="28"/>
      <c r="D909" s="28"/>
      <c r="E909" s="28"/>
      <c r="F909" s="161">
        <v>533.0</v>
      </c>
      <c r="G909" s="152" t="str">
        <f>IFERROR(__xludf.DUMMYFUNCTION("TRIM(REGEXREPLACE(C909, ""[0-9]+[a-f]?\."", """"))"),"")</f>
        <v/>
      </c>
      <c r="H909" s="152" t="str">
        <f>IFERROR(__xludf.DUMMYFUNCTION("TRIM(REGEXREPLACE(D909, ""[0-9]+[a-f]?\."", """"))"),"")</f>
        <v/>
      </c>
      <c r="I909" s="152" t="str">
        <f>IFERROR(__xludf.DUMMYFUNCTION("TRIM(REGEXREPLACE(E909, ""[0-9]+[a-f]?\."", """"))"),"")</f>
        <v/>
      </c>
      <c r="J909" s="152" t="s">
        <v>6429</v>
      </c>
      <c r="K909" s="152" t="s">
        <v>6430</v>
      </c>
      <c r="L909" s="152" t="s">
        <v>6431</v>
      </c>
      <c r="M909" s="152"/>
    </row>
    <row r="910" hidden="1">
      <c r="A910" s="140"/>
      <c r="B910" s="191"/>
      <c r="C910" s="28"/>
      <c r="D910" s="28"/>
      <c r="E910" s="28"/>
      <c r="F910" s="161">
        <v>534.0</v>
      </c>
      <c r="G910" s="152" t="str">
        <f>IFERROR(__xludf.DUMMYFUNCTION("TRIM(REGEXREPLACE(C910, ""[0-9]+[a-f]?\."", """"))"),"")</f>
        <v/>
      </c>
      <c r="H910" s="152" t="str">
        <f>IFERROR(__xludf.DUMMYFUNCTION("TRIM(REGEXREPLACE(D910, ""[0-9]+[a-f]?\."", """"))"),"")</f>
        <v/>
      </c>
      <c r="I910" s="152" t="str">
        <f>IFERROR(__xludf.DUMMYFUNCTION("TRIM(REGEXREPLACE(E910, ""[0-9]+[a-f]?\."", """"))"),"")</f>
        <v/>
      </c>
      <c r="J910" s="152" t="s">
        <v>6435</v>
      </c>
      <c r="K910" s="152" t="s">
        <v>6436</v>
      </c>
      <c r="L910" s="152" t="s">
        <v>6437</v>
      </c>
      <c r="M910" s="152"/>
    </row>
    <row r="911" hidden="1">
      <c r="A911" s="140" t="s">
        <v>237</v>
      </c>
      <c r="B911" s="191" t="s">
        <v>6257</v>
      </c>
      <c r="C911" s="28"/>
      <c r="D911" s="28"/>
      <c r="E911" s="28"/>
      <c r="F911" s="161">
        <v>535.0</v>
      </c>
      <c r="G911" s="152" t="str">
        <f>IFERROR(__xludf.DUMMYFUNCTION("TRIM(REGEXREPLACE(C911, ""[0-9]+[a-f]?\."", """"))"),"")</f>
        <v/>
      </c>
      <c r="H911" s="152" t="str">
        <f>IFERROR(__xludf.DUMMYFUNCTION("TRIM(REGEXREPLACE(D911, ""[0-9]+[a-f]?\."", """"))"),"")</f>
        <v/>
      </c>
      <c r="I911" s="152" t="str">
        <f>IFERROR(__xludf.DUMMYFUNCTION("TRIM(REGEXREPLACE(E911, ""[0-9]+[a-f]?\."", """"))"),"")</f>
        <v/>
      </c>
      <c r="J911" s="152" t="s">
        <v>6439</v>
      </c>
      <c r="K911" s="152" t="s">
        <v>6440</v>
      </c>
      <c r="L911" s="152" t="s">
        <v>6441</v>
      </c>
      <c r="M911" s="152"/>
    </row>
    <row r="912" hidden="1">
      <c r="A912" s="65" t="s">
        <v>134</v>
      </c>
      <c r="B912" s="66" t="s">
        <v>6442</v>
      </c>
      <c r="C912" s="28"/>
      <c r="D912" s="28"/>
      <c r="E912" s="28"/>
      <c r="F912" s="161">
        <v>544.0</v>
      </c>
      <c r="G912" s="152" t="str">
        <f>IFERROR(__xludf.DUMMYFUNCTION("TRIM(REGEXREPLACE(C912, ""[0-9]+[a-f]?\."", """"))"),"")</f>
        <v/>
      </c>
      <c r="H912" s="152" t="str">
        <f>IFERROR(__xludf.DUMMYFUNCTION("TRIM(REGEXREPLACE(D912, ""[0-9]+[a-f]?\."", """"))"),"")</f>
        <v/>
      </c>
      <c r="I912" s="152" t="str">
        <f>IFERROR(__xludf.DUMMYFUNCTION("TRIM(REGEXREPLACE(E912, ""[0-9]+[a-f]?\."", """"))"),"")</f>
        <v/>
      </c>
      <c r="J912" s="152" t="s">
        <v>6445</v>
      </c>
      <c r="K912" s="152" t="s">
        <v>6447</v>
      </c>
      <c r="L912" s="152" t="s">
        <v>6448</v>
      </c>
    </row>
    <row r="913" hidden="1">
      <c r="A913" s="65" t="s">
        <v>78</v>
      </c>
      <c r="B913" s="272" t="s">
        <v>6449</v>
      </c>
      <c r="C913" s="28"/>
      <c r="D913" s="28"/>
      <c r="E913" s="28"/>
      <c r="F913" s="161">
        <v>549.0</v>
      </c>
      <c r="G913" s="152" t="str">
        <f>IFERROR(__xludf.DUMMYFUNCTION("TRIM(REGEXREPLACE(C913, ""[0-9]+[a-f]?\."", """"))"),"")</f>
        <v/>
      </c>
      <c r="H913" s="152" t="str">
        <f>IFERROR(__xludf.DUMMYFUNCTION("TRIM(REGEXREPLACE(D913, ""[0-9]+[a-f]?\."", """"))"),"")</f>
        <v/>
      </c>
      <c r="I913" s="152" t="str">
        <f>IFERROR(__xludf.DUMMYFUNCTION("TRIM(REGEXREPLACE(E913, ""[0-9]+[a-f]?\."", """"))"),"")</f>
        <v/>
      </c>
      <c r="J913" s="152" t="s">
        <v>6450</v>
      </c>
      <c r="K913" s="152" t="s">
        <v>6451</v>
      </c>
      <c r="L913" s="152" t="s">
        <v>6452</v>
      </c>
      <c r="M913" s="152"/>
    </row>
    <row r="914" hidden="1">
      <c r="A914" s="140" t="s">
        <v>237</v>
      </c>
      <c r="B914" s="272" t="s">
        <v>1362</v>
      </c>
      <c r="C914" s="28" t="s">
        <v>50</v>
      </c>
      <c r="D914" s="28" t="s">
        <v>50</v>
      </c>
      <c r="E914" s="28" t="s">
        <v>50</v>
      </c>
      <c r="F914" s="161">
        <v>550.0</v>
      </c>
      <c r="G914" s="152" t="str">
        <f>IFERROR(__xludf.DUMMYFUNCTION("TRIM(REGEXREPLACE(C914, ""[0-9]+[a-f]?\."", """"))"),"")</f>
        <v/>
      </c>
      <c r="H914" s="152" t="str">
        <f>IFERROR(__xludf.DUMMYFUNCTION("TRIM(REGEXREPLACE(D914, ""[0-9]+[a-f]?\."", """"))"),"")</f>
        <v/>
      </c>
      <c r="I914" s="152" t="str">
        <f>IFERROR(__xludf.DUMMYFUNCTION("TRIM(REGEXREPLACE(E914, ""[0-9]+[a-f]?\."", """"))"),"")</f>
        <v/>
      </c>
      <c r="J914" s="152" t="s">
        <v>6457</v>
      </c>
      <c r="K914" s="152" t="s">
        <v>6458</v>
      </c>
      <c r="L914" s="152" t="s">
        <v>6459</v>
      </c>
      <c r="M914" s="152"/>
    </row>
    <row r="915" hidden="1">
      <c r="A915" s="136"/>
      <c r="B915" s="136"/>
      <c r="C915" s="28"/>
      <c r="D915" s="28"/>
      <c r="E915" s="28"/>
      <c r="F915" s="161">
        <v>122.0</v>
      </c>
      <c r="G915" s="152" t="str">
        <f>IFERROR(__xludf.DUMMYFUNCTION("TRIM(REGEXREPLACE(C915, ""[0-9]+[a-f]?\."", """"))"),"")</f>
        <v/>
      </c>
      <c r="H915" s="152" t="str">
        <f>IFERROR(__xludf.DUMMYFUNCTION("TRIM(REGEXREPLACE(D915, ""[0-9]+[a-f]?\."", """"))"),"")</f>
        <v/>
      </c>
      <c r="I915" s="152" t="str">
        <f>IFERROR(__xludf.DUMMYFUNCTION("TRIM(REGEXREPLACE(E915, ""[0-9]+[a-f]?\."", """"))"),"")</f>
        <v/>
      </c>
      <c r="J915" s="152" t="str">
        <f t="shared" ref="J915:L915" si="74">$F915 &amp; ". " &amp;G915</f>
        <v>122. </v>
      </c>
      <c r="K915" s="152" t="str">
        <f t="shared" si="74"/>
        <v>122. </v>
      </c>
      <c r="L915" s="152" t="str">
        <f t="shared" si="74"/>
        <v>122. </v>
      </c>
    </row>
    <row r="916" hidden="1">
      <c r="A916" s="136"/>
      <c r="B916" s="136"/>
      <c r="C916" s="28"/>
      <c r="D916" s="28"/>
      <c r="E916" s="28"/>
      <c r="F916" s="161">
        <v>496.0</v>
      </c>
      <c r="G916" s="152" t="str">
        <f>IFERROR(__xludf.DUMMYFUNCTION("TRIM(REGEXREPLACE(C916, ""[0-9]+[a-f]?\."", """"))"),"")</f>
        <v/>
      </c>
      <c r="H916" s="152" t="str">
        <f>IFERROR(__xludf.DUMMYFUNCTION("TRIM(REGEXREPLACE(D916, ""[0-9]+[a-f]?\."", """"))"),"")</f>
        <v/>
      </c>
      <c r="I916" s="152" t="str">
        <f>IFERROR(__xludf.DUMMYFUNCTION("TRIM(REGEXREPLACE(E916, ""[0-9]+[a-f]?\."", """"))"),"")</f>
        <v/>
      </c>
      <c r="J916" s="152" t="s">
        <v>6464</v>
      </c>
      <c r="K916" s="152" t="s">
        <v>6465</v>
      </c>
      <c r="L916" s="152" t="s">
        <v>6466</v>
      </c>
      <c r="M916" s="152"/>
    </row>
    <row r="917" hidden="1">
      <c r="A917" s="140"/>
      <c r="B917" s="164"/>
      <c r="C917" s="28"/>
      <c r="D917" s="28"/>
      <c r="E917" s="28"/>
      <c r="F917" s="161">
        <v>497.0</v>
      </c>
      <c r="G917" s="152" t="str">
        <f>IFERROR(__xludf.DUMMYFUNCTION("TRIM(REGEXREPLACE(C917, ""[0-9]+[a-f]?\."", """"))"),"")</f>
        <v/>
      </c>
      <c r="H917" s="152" t="str">
        <f>IFERROR(__xludf.DUMMYFUNCTION("TRIM(REGEXREPLACE(D917, ""[0-9]+[a-f]?\."", """"))"),"")</f>
        <v/>
      </c>
      <c r="I917" s="152" t="str">
        <f>IFERROR(__xludf.DUMMYFUNCTION("TRIM(REGEXREPLACE(E917, ""[0-9]+[a-f]?\."", """"))"),"")</f>
        <v/>
      </c>
      <c r="J917" s="152" t="s">
        <v>6467</v>
      </c>
      <c r="K917" s="152" t="s">
        <v>6468</v>
      </c>
      <c r="L917" s="152" t="s">
        <v>6469</v>
      </c>
    </row>
    <row r="918" hidden="1">
      <c r="A918" s="140" t="s">
        <v>131</v>
      </c>
      <c r="B918" s="164" t="s">
        <v>6470</v>
      </c>
      <c r="C918" s="28" t="s">
        <v>6471</v>
      </c>
      <c r="D918" s="28"/>
      <c r="E918" s="28"/>
      <c r="F918" s="161">
        <v>498.0</v>
      </c>
      <c r="G918" s="152" t="str">
        <f>IFERROR(__xludf.DUMMYFUNCTION("TRIM(REGEXREPLACE(C918, ""[0-9]+[a-f]?\."", """"))"),"Worries")</f>
        <v>Worries</v>
      </c>
      <c r="H918" s="152" t="str">
        <f>IFERROR(__xludf.DUMMYFUNCTION("TRIM(REGEXREPLACE(D918, ""[0-9]+[a-f]?\."", """"))"),"")</f>
        <v/>
      </c>
      <c r="I918" s="152" t="str">
        <f>IFERROR(__xludf.DUMMYFUNCTION("TRIM(REGEXREPLACE(E918, ""[0-9]+[a-f]?\."", """"))"),"")</f>
        <v/>
      </c>
      <c r="J918" s="152" t="s">
        <v>6472</v>
      </c>
      <c r="K918" s="152" t="s">
        <v>6473</v>
      </c>
      <c r="L918" s="152" t="s">
        <v>6474</v>
      </c>
      <c r="M918" s="152"/>
    </row>
    <row r="919">
      <c r="A919" s="166" t="s">
        <v>41</v>
      </c>
      <c r="B919" s="167" t="s">
        <v>6476</v>
      </c>
      <c r="C919" s="28" t="s">
        <v>6477</v>
      </c>
      <c r="D919" s="28" t="s">
        <v>6478</v>
      </c>
      <c r="E919" s="28" t="s">
        <v>6479</v>
      </c>
      <c r="F919" s="161">
        <v>376.0</v>
      </c>
      <c r="G919" s="152" t="str">
        <f>IFERROR(__xludf.DUMMYFUNCTION("TRIM(REGEXREPLACE(C919, ""[0-9]+[a-f]?\."", """"))"),"Now I am going to ask you about the areas of your life that worry you.")</f>
        <v>Now I am going to ask you about the areas of your life that worry you.</v>
      </c>
      <c r="H919" s="152" t="str">
        <f>IFERROR(__xludf.DUMMYFUNCTION("TRIM(REGEXREPLACE(D919, ""[0-9]+[a-f]?\."", """"))"),"Je voudrais maintenant vous poser des questions sur les choses qui vous inquiètent dans votre vie.")</f>
        <v>Je voudrais maintenant vous poser des questions sur les choses qui vous inquiètent dans votre vie.</v>
      </c>
      <c r="I919" s="152" t="str">
        <f>IFERROR(__xludf.DUMMYFUNCTION("TRIM(REGEXREPLACE(E919, ""[0-9]+[a-f]?\."", """"))"),"Yanzu ina son in tambaye ku bisa abubuwan da ke damun ku a cikin rayuwar ku.")</f>
        <v>Yanzu ina son in tambaye ku bisa abubuwan da ke damun ku a cikin rayuwar ku.</v>
      </c>
      <c r="J919" s="152" t="s">
        <v>6480</v>
      </c>
      <c r="K919" s="152" t="s">
        <v>6481</v>
      </c>
      <c r="L919" s="152" t="s">
        <v>6482</v>
      </c>
    </row>
    <row r="920">
      <c r="A920" s="68" t="s">
        <v>6483</v>
      </c>
      <c r="B920" s="169" t="s">
        <v>6484</v>
      </c>
      <c r="C920" s="28" t="s">
        <v>6485</v>
      </c>
      <c r="D920" s="28" t="s">
        <v>6487</v>
      </c>
      <c r="E920" s="28" t="s">
        <v>6489</v>
      </c>
      <c r="F920" s="161">
        <v>377.0</v>
      </c>
      <c r="G920" s="152" t="str">
        <f>IFERROR(__xludf.DUMMYFUNCTION("TRIM(REGEXREPLACE(C920, ""[0-9]+[a-f]?\."", """"))"),"How stressed are you about the following areas of your life?")</f>
        <v>How stressed are you about the following areas of your life?</v>
      </c>
      <c r="H920" s="152" t="str">
        <f>IFERROR(__xludf.DUMMYFUNCTION("TRIM(REGEXREPLACE(D920, ""[0-9]+[a-f]?\."", """"))"),"Dans quelle mesure êtes-vous stressé par les domaines suivants de votre vie ?")</f>
        <v>Dans quelle mesure êtes-vous stressé par les domaines suivants de votre vie ?</v>
      </c>
      <c r="I920" s="152" t="str">
        <f>IFERROR(__xludf.DUMMYFUNCTION("TRIM(REGEXREPLACE(E920, ""[0-9]+[a-f]?\."", """"))"),"Yaya damuwarku game da abubuwa na rayuwarku da zan zana?")</f>
        <v>Yaya damuwarku game da abubuwa na rayuwarku da zan zana?</v>
      </c>
      <c r="J920" s="152" t="s">
        <v>6493</v>
      </c>
      <c r="K920" s="152" t="s">
        <v>6494</v>
      </c>
      <c r="L920" s="152" t="s">
        <v>6495</v>
      </c>
      <c r="M920" s="152"/>
    </row>
    <row r="921">
      <c r="A921" s="68" t="s">
        <v>6483</v>
      </c>
      <c r="B921" s="169" t="s">
        <v>6496</v>
      </c>
      <c r="C921" s="28" t="s">
        <v>6497</v>
      </c>
      <c r="D921" s="28" t="s">
        <v>6498</v>
      </c>
      <c r="E921" s="28" t="s">
        <v>6499</v>
      </c>
      <c r="F921" s="161">
        <v>378.0</v>
      </c>
      <c r="G921" s="152" t="str">
        <f>IFERROR(__xludf.DUMMYFUNCTION("TRIM(REGEXREPLACE(C921, ""[0-9]+[a-f]?\."", """"))"),"Your own health problems, illness")</f>
        <v>Your own health problems, illness</v>
      </c>
      <c r="H921" s="152" t="str">
        <f>IFERROR(__xludf.DUMMYFUNCTION("TRIM(REGEXREPLACE(D921, ""[0-9]+[a-f]?\."", """"))"),"Vos propres problèmes de santé")</f>
        <v>Vos propres problèmes de santé</v>
      </c>
      <c r="I921" s="152" t="str">
        <f>IFERROR(__xludf.DUMMYFUNCTION("TRIM(REGEXREPLACE(E921, ""[0-9]+[a-f]?\."", """"))"),"Matsalolin lafiyar jikinku")</f>
        <v>Matsalolin lafiyar jikinku</v>
      </c>
      <c r="J921" s="152" t="s">
        <v>6503</v>
      </c>
      <c r="K921" s="152" t="s">
        <v>6504</v>
      </c>
      <c r="L921" s="152" t="s">
        <v>6505</v>
      </c>
      <c r="M921" s="152"/>
    </row>
    <row r="922">
      <c r="A922" s="68" t="s">
        <v>6483</v>
      </c>
      <c r="B922" s="169" t="s">
        <v>6507</v>
      </c>
      <c r="C922" s="28" t="s">
        <v>6508</v>
      </c>
      <c r="D922" s="28" t="s">
        <v>6509</v>
      </c>
      <c r="E922" s="28" t="s">
        <v>6510</v>
      </c>
      <c r="F922" s="161">
        <v>379.0</v>
      </c>
      <c r="G922" s="152" t="str">
        <f>IFERROR(__xludf.DUMMYFUNCTION("TRIM(REGEXREPLACE(C922, ""[0-9]+[a-f]?\."", """"))"),"Problems at home and with relatives")</f>
        <v>Problems at home and with relatives</v>
      </c>
      <c r="H922" s="152" t="str">
        <f>IFERROR(__xludf.DUMMYFUNCTION("TRIM(REGEXREPLACE(D922, ""[0-9]+[a-f]?\."", """"))"),"Problèmes dans le ménage et avec les proches")</f>
        <v>Problèmes dans le ménage et avec les proches</v>
      </c>
      <c r="I922" s="152" t="str">
        <f>IFERROR(__xludf.DUMMYFUNCTION("TRIM(REGEXREPLACE(E922, ""[0-9]+[a-f]?\."", """"))"),"Matsaloli na cikin gida da na dangi")</f>
        <v>Matsaloli na cikin gida da na dangi</v>
      </c>
      <c r="J922" s="152" t="s">
        <v>6511</v>
      </c>
      <c r="K922" s="152" t="s">
        <v>6512</v>
      </c>
      <c r="L922" s="152" t="s">
        <v>6513</v>
      </c>
    </row>
    <row r="923">
      <c r="A923" s="68" t="s">
        <v>6483</v>
      </c>
      <c r="B923" s="169" t="s">
        <v>6516</v>
      </c>
      <c r="C923" s="28" t="s">
        <v>6518</v>
      </c>
      <c r="D923" s="28" t="s">
        <v>6519</v>
      </c>
      <c r="E923" s="28" t="s">
        <v>6520</v>
      </c>
      <c r="F923" s="161">
        <v>380.0</v>
      </c>
      <c r="G923" s="152" t="str">
        <f>IFERROR(__xludf.DUMMYFUNCTION("TRIM(REGEXREPLACE(C923, ""[0-9]+[a-f]?\."", """"))"),"Accidents and disasters")</f>
        <v>Accidents and disasters</v>
      </c>
      <c r="H923" s="152" t="str">
        <f>IFERROR(__xludf.DUMMYFUNCTION("TRIM(REGEXREPLACE(D923, ""[0-9]+[a-f]?\."", """"))"),"Accidents et catastrophes")</f>
        <v>Accidents et catastrophes</v>
      </c>
      <c r="I923" s="152" t="str">
        <f>IFERROR(__xludf.DUMMYFUNCTION("TRIM(REGEXREPLACE(E923, ""[0-9]+[a-f]?\."", """"))"),"Hatsari da ibtila'i")</f>
        <v>Hatsari da ibtila'i</v>
      </c>
      <c r="J923" s="152" t="s">
        <v>6522</v>
      </c>
      <c r="K923" s="152" t="s">
        <v>6523</v>
      </c>
      <c r="L923" s="152" t="s">
        <v>6524</v>
      </c>
    </row>
    <row r="924">
      <c r="A924" s="68" t="s">
        <v>6483</v>
      </c>
      <c r="B924" s="218" t="s">
        <v>6527</v>
      </c>
      <c r="C924" s="28" t="s">
        <v>6529</v>
      </c>
      <c r="D924" s="28" t="s">
        <v>6530</v>
      </c>
      <c r="E924" s="28" t="s">
        <v>6531</v>
      </c>
      <c r="F924" s="161">
        <v>381.0</v>
      </c>
      <c r="G924" s="152" t="str">
        <f>IFERROR(__xludf.DUMMYFUNCTION("TRIM(REGEXREPLACE(C924, ""[0-9]+[a-f]?\."", """"))"),"Problems with people in other ethnic groups")</f>
        <v>Problems with people in other ethnic groups</v>
      </c>
      <c r="H924" s="152" t="str">
        <f>IFERROR(__xludf.DUMMYFUNCTION("TRIM(REGEXREPLACE(D924, ""[0-9]+[a-f]?\."", """"))"),"Problèmes avec les personnes d'autres groupes ethniques")</f>
        <v>Problèmes avec les personnes d'autres groupes ethniques</v>
      </c>
      <c r="I924" s="152" t="str">
        <f>IFERROR(__xludf.DUMMYFUNCTION("TRIM(REGEXREPLACE(E924, ""[0-9]+[a-f]?\."", """"))"),"Matsaloli da mutanen wasu kabilu daban")</f>
        <v>Matsaloli da mutanen wasu kabilu daban</v>
      </c>
      <c r="J924" s="152" t="s">
        <v>6532</v>
      </c>
      <c r="K924" s="152" t="s">
        <v>6533</v>
      </c>
      <c r="L924" s="152" t="s">
        <v>6535</v>
      </c>
      <c r="M924" s="152"/>
    </row>
    <row r="925">
      <c r="A925" s="68" t="s">
        <v>6483</v>
      </c>
      <c r="B925" s="169" t="s">
        <v>6538</v>
      </c>
      <c r="C925" s="28" t="s">
        <v>6539</v>
      </c>
      <c r="D925" s="28" t="s">
        <v>6540</v>
      </c>
      <c r="E925" s="28" t="s">
        <v>6541</v>
      </c>
      <c r="F925" s="161">
        <v>382.0</v>
      </c>
      <c r="G925" s="152" t="str">
        <f>IFERROR(__xludf.DUMMYFUNCTION("TRIM(REGEXREPLACE(C925, ""[0-9]+[a-f]?\."", """"))"),"Not enough money for basic needs (sucha as food and clothing)")</f>
        <v>Not enough money for basic needs (sucha as food and clothing)</v>
      </c>
      <c r="H925" s="152" t="str">
        <f>IFERROR(__xludf.DUMMYFUNCTION("TRIM(REGEXREPLACE(D925, ""[0-9]+[a-f]?\."", """"))"),"Pas assez d'argent pour les besoins de base (tels que la nourriture et les vêtements)")</f>
        <v>Pas assez d'argent pour les besoins de base (tels que la nourriture et les vêtements)</v>
      </c>
      <c r="I925" s="152" t="str">
        <f>IFERROR(__xludf.DUMMYFUNCTION("TRIM(REGEXREPLACE(E925, ""[0-9]+[a-f]?\."", """"))"),"Rashin isassun kuɗi don buƙatun asali (kamar abinci da sutura)")</f>
        <v>Rashin isassun kuɗi don buƙatun asali (kamar abinci da sutura)</v>
      </c>
      <c r="J925" s="152" t="s">
        <v>6544</v>
      </c>
      <c r="K925" s="152" t="s">
        <v>6546</v>
      </c>
      <c r="L925" s="152" t="s">
        <v>6548</v>
      </c>
      <c r="M925" s="152"/>
    </row>
    <row r="926">
      <c r="A926" s="68" t="s">
        <v>6483</v>
      </c>
      <c r="B926" s="169" t="s">
        <v>6549</v>
      </c>
      <c r="C926" s="28" t="s">
        <v>6550</v>
      </c>
      <c r="D926" s="28" t="s">
        <v>6551</v>
      </c>
      <c r="E926" s="28" t="s">
        <v>6552</v>
      </c>
      <c r="F926" s="161">
        <v>383.0</v>
      </c>
      <c r="G926" s="152" t="str">
        <f>IFERROR(__xludf.DUMMYFUNCTION("TRIM(REGEXREPLACE(C926, ""[0-9]+[a-f]?\."", """"))"),"Not being able to educate all children")</f>
        <v>Not being able to educate all children</v>
      </c>
      <c r="H926" s="152" t="str">
        <f>IFERROR(__xludf.DUMMYFUNCTION("TRIM(REGEXREPLACE(D926, ""[0-9]+[a-f]?\."", """"))"),"Ne pas pouvoir scolariser tous les enfants")</f>
        <v>Ne pas pouvoir scolariser tous les enfants</v>
      </c>
      <c r="I926" s="152" t="str">
        <f>IFERROR(__xludf.DUMMYFUNCTION("TRIM(REGEXREPLACE(E926, ""[0-9]+[a-f]?\."", """"))"),"Rashin iya rubuta dukkan yara a makarantar boko")</f>
        <v>Rashin iya rubuta dukkan yara a makarantar boko</v>
      </c>
      <c r="J926" s="152" t="s">
        <v>6556</v>
      </c>
      <c r="K926" s="152" t="s">
        <v>6558</v>
      </c>
      <c r="L926" s="152" t="s">
        <v>6559</v>
      </c>
      <c r="M926" s="152"/>
    </row>
    <row r="927">
      <c r="A927" s="68" t="s">
        <v>6483</v>
      </c>
      <c r="B927" s="169" t="s">
        <v>6560</v>
      </c>
      <c r="C927" s="28" t="s">
        <v>6561</v>
      </c>
      <c r="D927" s="28" t="s">
        <v>6562</v>
      </c>
      <c r="E927" s="28" t="s">
        <v>6563</v>
      </c>
      <c r="F927" s="161">
        <v>384.0</v>
      </c>
      <c r="G927" s="152" t="str">
        <f>IFERROR(__xludf.DUMMYFUNCTION("TRIM(REGEXREPLACE(C927, ""[0-9]+[a-f]?\."", """"))"),"Difficulty finding work")</f>
        <v>Difficulty finding work</v>
      </c>
      <c r="H927" s="152" t="str">
        <f>IFERROR(__xludf.DUMMYFUNCTION("TRIM(REGEXREPLACE(D927, ""[0-9]+[a-f]?\."", """"))"),"Difficulté à trouver du travail")</f>
        <v>Difficulté à trouver du travail</v>
      </c>
      <c r="I927" s="152" t="str">
        <f>IFERROR(__xludf.DUMMYFUNCTION("TRIM(REGEXREPLACE(E927, ""[0-9]+[a-f]?\."", """"))"),"Wahalar neman aiki")</f>
        <v>Wahalar neman aiki</v>
      </c>
      <c r="J927" s="152" t="s">
        <v>6566</v>
      </c>
      <c r="K927" s="152" t="s">
        <v>6568</v>
      </c>
      <c r="L927" s="152" t="s">
        <v>6569</v>
      </c>
    </row>
    <row r="928">
      <c r="A928" s="68" t="s">
        <v>6483</v>
      </c>
      <c r="B928" s="169" t="s">
        <v>6570</v>
      </c>
      <c r="C928" s="28" t="s">
        <v>6571</v>
      </c>
      <c r="D928" s="28" t="s">
        <v>6572</v>
      </c>
      <c r="E928" s="28" t="s">
        <v>6573</v>
      </c>
      <c r="F928" s="161">
        <v>385.0</v>
      </c>
      <c r="G928" s="152" t="str">
        <f>IFERROR(__xludf.DUMMYFUNCTION("TRIM(REGEXREPLACE(C928, ""[0-9]+[a-f]?\."", """"))"),"Idleness of children or spouse")</f>
        <v>Idleness of children or spouse</v>
      </c>
      <c r="H928" s="152" t="str">
        <f>IFERROR(__xludf.DUMMYFUNCTION("TRIM(REGEXREPLACE(D928, ""[0-9]+[a-f]?\."", """"))"),"L'oisiveté des enfants ou du conjoint")</f>
        <v>L'oisiveté des enfants ou du conjoint</v>
      </c>
      <c r="I928" s="152" t="str">
        <f>IFERROR(__xludf.DUMMYFUNCTION("TRIM(REGEXREPLACE(E928, ""[0-9]+[a-f]?\."", """"))"),"Zaman banza na yara ko mata")</f>
        <v>Zaman banza na yara ko mata</v>
      </c>
      <c r="J928" s="152" t="s">
        <v>6575</v>
      </c>
      <c r="K928" s="152" t="s">
        <v>6576</v>
      </c>
      <c r="L928" s="152" t="s">
        <v>6577</v>
      </c>
      <c r="M928" s="152"/>
    </row>
    <row r="929">
      <c r="A929" s="68" t="s">
        <v>6483</v>
      </c>
      <c r="B929" s="169" t="s">
        <v>6578</v>
      </c>
      <c r="C929" s="28" t="s">
        <v>6579</v>
      </c>
      <c r="D929" s="28" t="s">
        <v>6581</v>
      </c>
      <c r="E929" s="28" t="s">
        <v>6583</v>
      </c>
      <c r="F929" s="161">
        <v>386.0</v>
      </c>
      <c r="G929" s="152" t="str">
        <f>IFERROR(__xludf.DUMMYFUNCTION("TRIM(REGEXREPLACE(C929, ""[0-9]+[a-f]?\."", """"))"),"Alcohol comsumption of children or spouse")</f>
        <v>Alcohol comsumption of children or spouse</v>
      </c>
      <c r="H929" s="152" t="str">
        <f>IFERROR(__xludf.DUMMYFUNCTION("TRIM(REGEXREPLACE(D929, ""[0-9]+[a-f]?\."", """"))"),"Consommation d'alcool des enfants ou du conjoint")</f>
        <v>Consommation d'alcool des enfants ou du conjoint</v>
      </c>
      <c r="I929" s="152" t="str">
        <f>IFERROR(__xludf.DUMMYFUNCTION("TRIM(REGEXREPLACE(E929, ""[0-9]+[a-f]?\."", """"))"),"Shan giya na yara ko mata")</f>
        <v>Shan giya na yara ko mata</v>
      </c>
      <c r="J929" s="152" t="s">
        <v>6585</v>
      </c>
      <c r="K929" s="152" t="s">
        <v>6586</v>
      </c>
      <c r="L929" s="152" t="s">
        <v>6587</v>
      </c>
    </row>
    <row r="930">
      <c r="A930" s="68" t="s">
        <v>6483</v>
      </c>
      <c r="B930" s="169" t="s">
        <v>6588</v>
      </c>
      <c r="C930" s="28" t="s">
        <v>6589</v>
      </c>
      <c r="D930" s="28" t="s">
        <v>6590</v>
      </c>
      <c r="E930" s="28" t="s">
        <v>6591</v>
      </c>
      <c r="F930" s="161">
        <v>387.0</v>
      </c>
      <c r="G930" s="152" t="str">
        <f>IFERROR(__xludf.DUMMYFUNCTION("TRIM(REGEXREPLACE(C930, ""[0-9]+[a-f]?\."", """"))"),"Death of a family member")</f>
        <v>Death of a family member</v>
      </c>
      <c r="H930" s="152" t="str">
        <f>IFERROR(__xludf.DUMMYFUNCTION("TRIM(REGEXREPLACE(D930, ""[0-9]+[a-f]?\."", """"))"),"Décès d'un membre de la famille")</f>
        <v>Décès d'un membre de la famille</v>
      </c>
      <c r="I930" s="152" t="str">
        <f>IFERROR(__xludf.DUMMYFUNCTION("TRIM(REGEXREPLACE(E930, ""[0-9]+[a-f]?\."", """"))"),"Mutuwar wani ɗan uwa")</f>
        <v>Mutuwar wani ɗan uwa</v>
      </c>
      <c r="J930" s="152" t="s">
        <v>6596</v>
      </c>
      <c r="K930" s="152" t="s">
        <v>6597</v>
      </c>
      <c r="L930" s="152" t="s">
        <v>6598</v>
      </c>
      <c r="M930" s="152"/>
    </row>
    <row r="931">
      <c r="A931" s="68" t="s">
        <v>6483</v>
      </c>
      <c r="B931" s="169" t="s">
        <v>6599</v>
      </c>
      <c r="C931" s="28" t="s">
        <v>6600</v>
      </c>
      <c r="D931" s="28" t="s">
        <v>6601</v>
      </c>
      <c r="E931" s="28" t="s">
        <v>6602</v>
      </c>
      <c r="F931" s="161">
        <v>388.0</v>
      </c>
      <c r="G931" s="152" t="str">
        <f>IFERROR(__xludf.DUMMYFUNCTION("TRIM(REGEXREPLACE(C931, ""[0-9]+[a-f]?\."", """"))"),"Debts owed to others")</f>
        <v>Debts owed to others</v>
      </c>
      <c r="H931" s="152" t="str">
        <f>IFERROR(__xludf.DUMMYFUNCTION("TRIM(REGEXREPLACE(D931, ""[0-9]+[a-f]?\."", """"))"),"Dettes envers autrui")</f>
        <v>Dettes envers autrui</v>
      </c>
      <c r="I931" s="152" t="str">
        <f>IFERROR(__xludf.DUMMYFUNCTION("TRIM(REGEXREPLACE(E931, ""[0-9]+[a-f]?\."", """"))"),"Bashi da wasu ke binku")</f>
        <v>Bashi da wasu ke binku</v>
      </c>
      <c r="J931" s="152" t="s">
        <v>6604</v>
      </c>
      <c r="K931" s="152" t="s">
        <v>6605</v>
      </c>
      <c r="L931" s="152" t="s">
        <v>6607</v>
      </c>
    </row>
    <row r="932" hidden="1">
      <c r="A932" s="140" t="s">
        <v>237</v>
      </c>
      <c r="B932" s="191" t="s">
        <v>6470</v>
      </c>
      <c r="C932" s="28" t="s">
        <v>6471</v>
      </c>
      <c r="D932" s="28"/>
      <c r="E932" s="28"/>
      <c r="F932" s="161">
        <v>127.0</v>
      </c>
      <c r="G932" s="152" t="str">
        <f>IFERROR(__xludf.DUMMYFUNCTION("TRIM(REGEXREPLACE(C932, ""[0-9]+[a-f]?\."", """"))"),"Worries")</f>
        <v>Worries</v>
      </c>
      <c r="H932" s="152" t="str">
        <f>IFERROR(__xludf.DUMMYFUNCTION("TRIM(REGEXREPLACE(D932, ""[0-9]+[a-f]?\."", """"))"),"")</f>
        <v/>
      </c>
      <c r="I932" s="152" t="str">
        <f>IFERROR(__xludf.DUMMYFUNCTION("TRIM(REGEXREPLACE(E932, ""[0-9]+[a-f]?\."", """"))"),"")</f>
        <v/>
      </c>
      <c r="J932" s="152" t="str">
        <f t="shared" ref="J932:L932" si="75">$F932 &amp; ". " &amp;G932</f>
        <v>127. Worries</v>
      </c>
      <c r="K932" s="152" t="str">
        <f t="shared" si="75"/>
        <v>127. </v>
      </c>
      <c r="L932" s="152" t="str">
        <f t="shared" si="75"/>
        <v>127. </v>
      </c>
      <c r="M932" s="152"/>
    </row>
    <row r="933" hidden="1">
      <c r="A933" s="221"/>
      <c r="B933" s="221"/>
      <c r="C933" s="28" t="s">
        <v>50</v>
      </c>
      <c r="D933" s="28" t="s">
        <v>50</v>
      </c>
      <c r="E933" s="28" t="s">
        <v>50</v>
      </c>
      <c r="F933" s="161">
        <v>128.0</v>
      </c>
      <c r="G933" s="152" t="str">
        <f>IFERROR(__xludf.DUMMYFUNCTION("TRIM(REGEXREPLACE(C933, ""[0-9]+[a-f]?\."", """"))"),"")</f>
        <v/>
      </c>
      <c r="H933" s="152" t="str">
        <f>IFERROR(__xludf.DUMMYFUNCTION("TRIM(REGEXREPLACE(D933, ""[0-9]+[a-f]?\."", """"))"),"")</f>
        <v/>
      </c>
      <c r="I933" s="152" t="str">
        <f>IFERROR(__xludf.DUMMYFUNCTION("TRIM(REGEXREPLACE(E933, ""[0-9]+[a-f]?\."", """"))"),"")</f>
        <v/>
      </c>
      <c r="J933" s="152" t="str">
        <f t="shared" ref="J933:L933" si="76">$F933 &amp; ". " &amp;G933</f>
        <v>128. </v>
      </c>
      <c r="K933" s="152" t="str">
        <f t="shared" si="76"/>
        <v>128. </v>
      </c>
      <c r="L933" s="152" t="str">
        <f t="shared" si="76"/>
        <v>128. </v>
      </c>
      <c r="M933" s="152"/>
    </row>
    <row r="934" hidden="1">
      <c r="A934" s="136"/>
      <c r="B934" s="136"/>
      <c r="C934" s="28"/>
      <c r="D934" s="28"/>
      <c r="E934" s="28"/>
      <c r="F934" s="161">
        <v>507.0</v>
      </c>
      <c r="G934" s="152" t="str">
        <f>IFERROR(__xludf.DUMMYFUNCTION("TRIM(REGEXREPLACE(C934, ""[0-9]+[a-f]?\."", """"))"),"")</f>
        <v/>
      </c>
      <c r="H934" s="152" t="str">
        <f>IFERROR(__xludf.DUMMYFUNCTION("TRIM(REGEXREPLACE(D934, ""[0-9]+[a-f]?\."", """"))"),"")</f>
        <v/>
      </c>
      <c r="I934" s="152" t="str">
        <f>IFERROR(__xludf.DUMMYFUNCTION("TRIM(REGEXREPLACE(E934, ""[0-9]+[a-f]?\."", """"))"),"")</f>
        <v/>
      </c>
      <c r="J934" s="152" t="s">
        <v>6611</v>
      </c>
      <c r="K934" s="152" t="s">
        <v>6612</v>
      </c>
      <c r="L934" s="152" t="s">
        <v>6613</v>
      </c>
    </row>
    <row r="935">
      <c r="A935" s="68" t="s">
        <v>6614</v>
      </c>
      <c r="B935" s="169" t="s">
        <v>6615</v>
      </c>
      <c r="C935" s="28" t="s">
        <v>6616</v>
      </c>
      <c r="D935" s="28" t="s">
        <v>6617</v>
      </c>
      <c r="E935" s="28" t="s">
        <v>6618</v>
      </c>
      <c r="F935" s="161">
        <v>389.0</v>
      </c>
      <c r="G935" s="152" t="str">
        <f>IFERROR(__xludf.DUMMYFUNCTION("TRIM(REGEXREPLACE(C935, ""[0-9]+[a-f]?\."", """"))"),"In five years, how likely are you to live in Tahoua region, including at home, compared to somewhere else?")</f>
        <v>In five years, how likely are you to live in Tahoua region, including at home, compared to somewhere else?</v>
      </c>
      <c r="H935" s="152" t="str">
        <f>IFERROR(__xludf.DUMMYFUNCTION("TRIM(REGEXREPLACE(D935, ""[0-9]+[a-f]?\."", """"))"),"Dans les cinq ans à venir, quelle est la probabilité que vous viviez dans la région de Tahoua, y compris chez vous, ou ailleurs ?")</f>
        <v>Dans les cinq ans à venir, quelle est la probabilité que vous viviez dans la région de Tahoua, y compris chez vous, ou ailleurs ?</v>
      </c>
      <c r="I935" s="152" t="str">
        <f>IFERROR(__xludf.DUMMYFUNCTION("TRIM(REGEXREPLACE(E935, ""[0-9]+[a-f]?\."", """"))"),"A cikin shekaru biyar masu zuwa, yaya kuke ganin yiwuwar zamanku a jahar Tahoua, har da ƙauyenku, ko a wani wuri dabam?")</f>
        <v>A cikin shekaru biyar masu zuwa, yaya kuke ganin yiwuwar zamanku a jahar Tahoua, har da ƙauyenku, ko a wani wuri dabam?</v>
      </c>
      <c r="J935" s="152" t="s">
        <v>6622</v>
      </c>
      <c r="K935" s="152" t="s">
        <v>6624</v>
      </c>
      <c r="L935" s="152" t="s">
        <v>6626</v>
      </c>
    </row>
    <row r="936">
      <c r="A936" s="68" t="s">
        <v>6627</v>
      </c>
      <c r="B936" s="169" t="s">
        <v>6628</v>
      </c>
      <c r="C936" s="28" t="s">
        <v>6629</v>
      </c>
      <c r="D936" s="28" t="s">
        <v>6630</v>
      </c>
      <c r="E936" s="28" t="s">
        <v>6631</v>
      </c>
      <c r="F936" s="161">
        <v>390.0</v>
      </c>
      <c r="G936" s="152" t="str">
        <f>IFERROR(__xludf.DUMMYFUNCTION("TRIM(REGEXREPLACE(C936, ""[0-9]+[a-f]?\."", """"))"),"Five years from now, are you more likely to live somewhere else in Niger or in another country?")</f>
        <v>Five years from now, are you more likely to live somewhere else in Niger or in another country?</v>
      </c>
      <c r="H936" s="152" t="str">
        <f>IFERROR(__xludf.DUMMYFUNCTION("TRIM(REGEXREPLACE(D936, ""[0-9]+[a-f]?\."", """"))"),"Dans cinq ans, pensez vous vivre ailleurs au Niger ou dans un autre pays ?")</f>
        <v>Dans cinq ans, pensez vous vivre ailleurs au Niger ou dans un autre pays ?</v>
      </c>
      <c r="I936" s="152" t="str">
        <f>IFERROR(__xludf.DUMMYFUNCTION("TRIM(REGEXREPLACE(E936, ""[0-9]+[a-f]?\."", """"))"),"Cikin shekaru biyar masu zuwa, ko kuna tunanin zama a wani wuri a Nijar ko a wata ƙasa daban?")</f>
        <v>Cikin shekaru biyar masu zuwa, ko kuna tunanin zama a wani wuri a Nijar ko a wata ƙasa daban?</v>
      </c>
      <c r="J936" s="152" t="s">
        <v>6632</v>
      </c>
      <c r="K936" s="152" t="s">
        <v>6633</v>
      </c>
      <c r="L936" s="152" t="s">
        <v>6634</v>
      </c>
      <c r="M936" s="152"/>
    </row>
    <row r="937" hidden="1">
      <c r="A937" s="221"/>
      <c r="B937" s="221"/>
      <c r="C937" s="28"/>
      <c r="D937" s="28"/>
      <c r="E937" s="28"/>
      <c r="F937" s="161">
        <v>556.0</v>
      </c>
      <c r="G937" s="152" t="str">
        <f>IFERROR(__xludf.DUMMYFUNCTION("TRIM(REGEXREPLACE(C937, ""[0-9]+[a-f]?\."", """"))"),"")</f>
        <v/>
      </c>
      <c r="H937" s="152" t="str">
        <f>IFERROR(__xludf.DUMMYFUNCTION("TRIM(REGEXREPLACE(D937, ""[0-9]+[a-f]?\."", """"))"),"")</f>
        <v/>
      </c>
      <c r="I937" s="152" t="str">
        <f>IFERROR(__xludf.DUMMYFUNCTION("TRIM(REGEXREPLACE(E937, ""[0-9]+[a-f]?\."", """"))"),"")</f>
        <v/>
      </c>
      <c r="J937" s="152" t="s">
        <v>6638</v>
      </c>
      <c r="K937" s="152" t="s">
        <v>6639</v>
      </c>
      <c r="L937" s="152" t="s">
        <v>6640</v>
      </c>
      <c r="M937" s="152"/>
    </row>
    <row r="938" hidden="1">
      <c r="A938" s="140"/>
      <c r="B938" s="298"/>
      <c r="C938" s="28"/>
      <c r="D938" s="28"/>
      <c r="E938" s="28"/>
      <c r="F938" s="161">
        <v>509.0</v>
      </c>
      <c r="G938" s="152" t="str">
        <f>IFERROR(__xludf.DUMMYFUNCTION("TRIM(REGEXREPLACE(C938, ""[0-9]+[a-f]?\."", """"))"),"")</f>
        <v/>
      </c>
      <c r="H938" s="152" t="str">
        <f>IFERROR(__xludf.DUMMYFUNCTION("TRIM(REGEXREPLACE(D938, ""[0-9]+[a-f]?\."", """"))"),"")</f>
        <v/>
      </c>
      <c r="I938" s="152" t="str">
        <f>IFERROR(__xludf.DUMMYFUNCTION("TRIM(REGEXREPLACE(E938, ""[0-9]+[a-f]?\."", """"))"),"")</f>
        <v/>
      </c>
      <c r="J938" s="152" t="s">
        <v>6642</v>
      </c>
      <c r="K938" s="152" t="s">
        <v>6643</v>
      </c>
      <c r="L938" s="152" t="s">
        <v>6644</v>
      </c>
      <c r="M938" s="152"/>
    </row>
    <row r="939" hidden="1">
      <c r="A939" s="65" t="s">
        <v>134</v>
      </c>
      <c r="B939" s="66" t="s">
        <v>6647</v>
      </c>
      <c r="C939" s="28"/>
      <c r="D939" s="28"/>
      <c r="E939" s="28"/>
      <c r="F939" s="161">
        <v>510.0</v>
      </c>
      <c r="G939" s="152" t="str">
        <f>IFERROR(__xludf.DUMMYFUNCTION("TRIM(REGEXREPLACE(C939, ""[0-9]+[a-f]?\."", """"))"),"")</f>
        <v/>
      </c>
      <c r="H939" s="152" t="str">
        <f>IFERROR(__xludf.DUMMYFUNCTION("TRIM(REGEXREPLACE(D939, ""[0-9]+[a-f]?\."", """"))"),"")</f>
        <v/>
      </c>
      <c r="I939" s="152" t="str">
        <f>IFERROR(__xludf.DUMMYFUNCTION("TRIM(REGEXREPLACE(E939, ""[0-9]+[a-f]?\."", """"))"),"")</f>
        <v/>
      </c>
      <c r="J939" s="152" t="s">
        <v>6649</v>
      </c>
      <c r="K939" s="152" t="s">
        <v>6650</v>
      </c>
      <c r="L939" s="152" t="s">
        <v>6651</v>
      </c>
    </row>
    <row r="940" hidden="1">
      <c r="A940" s="140" t="s">
        <v>131</v>
      </c>
      <c r="B940" s="298" t="s">
        <v>6652</v>
      </c>
      <c r="C940" s="28" t="s">
        <v>6653</v>
      </c>
      <c r="D940" s="28"/>
      <c r="E940" s="28"/>
      <c r="F940" s="161">
        <v>511.0</v>
      </c>
      <c r="G940" s="152" t="str">
        <f>IFERROR(__xludf.DUMMYFUNCTION("TRIM(REGEXREPLACE(C940, ""[0-9]+[a-f]?\."", """"))"),"Spouse consultations")</f>
        <v>Spouse consultations</v>
      </c>
      <c r="H940" s="152" t="str">
        <f>IFERROR(__xludf.DUMMYFUNCTION("TRIM(REGEXREPLACE(D940, ""[0-9]+[a-f]?\."", """"))"),"")</f>
        <v/>
      </c>
      <c r="I940" s="152" t="str">
        <f>IFERROR(__xludf.DUMMYFUNCTION("TRIM(REGEXREPLACE(E940, ""[0-9]+[a-f]?\."", """"))"),"")</f>
        <v/>
      </c>
      <c r="J940" s="152" t="s">
        <v>6656</v>
      </c>
      <c r="K940" s="152" t="s">
        <v>6658</v>
      </c>
      <c r="L940" s="152" t="s">
        <v>6659</v>
      </c>
      <c r="M940" s="152"/>
    </row>
    <row r="941">
      <c r="A941" s="68" t="s">
        <v>41</v>
      </c>
      <c r="B941" s="66" t="s">
        <v>6660</v>
      </c>
      <c r="C941" s="28" t="s">
        <v>6661</v>
      </c>
      <c r="D941" s="28" t="s">
        <v>6662</v>
      </c>
      <c r="E941" s="28" t="s">
        <v>6664</v>
      </c>
      <c r="F941" s="161">
        <v>391.0</v>
      </c>
      <c r="G941" s="152" t="str">
        <f>IFERROR(__xludf.DUMMYFUNCTION("TRIM(REGEXREPLACE(C941, ""[0-9]+[a-f]?\."", """"))"),"I will read you several statements. Please tell me the extent do you agree/disagree with each:")</f>
        <v>I will read you several statements. Please tell me the extent do you agree/disagree with each:</v>
      </c>
      <c r="H941" s="152" t="str">
        <f>IFERROR(__xludf.DUMMYFUNCTION("TRIM(REGEXREPLACE(D941, ""[0-9]+[a-f]?\."", """"))"),"Je vais vous lire plusieurs déclarations. Veuillez me dire dans quelle mesure êtes-vous d'accord/pas d'accord avec chacun :")</f>
        <v>Je vais vous lire plusieurs déclarations. Veuillez me dire dans quelle mesure êtes-vous d'accord/pas d'accord avec chacun :</v>
      </c>
      <c r="I941" s="152" t="str">
        <f>IFERROR(__xludf.DUMMYFUNCTION("TRIM(REGEXREPLACE(E941, ""[0-9]+[a-f]?\."", """"))"),"Zan karanta muku maganganu da yawa. Da fatan za a gaya mini iyakar yarda/rishin yarda da kowanne:")</f>
        <v>Zan karanta muku maganganu da yawa. Da fatan za a gaya mini iyakar yarda/rishin yarda da kowanne:</v>
      </c>
      <c r="J941" s="152" t="s">
        <v>6665</v>
      </c>
      <c r="K941" s="152" t="s">
        <v>6666</v>
      </c>
      <c r="L941" s="152" t="s">
        <v>6667</v>
      </c>
    </row>
    <row r="942">
      <c r="A942" s="68" t="s">
        <v>5775</v>
      </c>
      <c r="B942" s="66" t="s">
        <v>6668</v>
      </c>
      <c r="C942" s="28" t="s">
        <v>6669</v>
      </c>
      <c r="D942" s="28" t="s">
        <v>6671</v>
      </c>
      <c r="E942" s="28" t="s">
        <v>6672</v>
      </c>
      <c r="F942" s="161">
        <v>392.0</v>
      </c>
      <c r="G942" s="152" t="str">
        <f>IFERROR(__xludf.DUMMYFUNCTION("TRIM(REGEXREPLACE(C942, ""[0-9]+[a-f]?\."", """"))"),"I must always respect decisions take by your household even if you do not agree")</f>
        <v>I must always respect decisions take by your household even if you do not agree</v>
      </c>
      <c r="H942" s="152" t="str">
        <f>IFERROR(__xludf.DUMMYFUNCTION("TRIM(REGEXREPLACE(D942, ""[0-9]+[a-f]?\."", """"))"),"Je dois toujours respecter les décisions prises par votre ménage même si vous n'êtes pas d'accord")</f>
        <v>Je dois toujours respecter les décisions prises par votre ménage même si vous n'êtes pas d'accord</v>
      </c>
      <c r="I942" s="152" t="str">
        <f>IFERROR(__xludf.DUMMYFUNCTION("TRIM(REGEXREPLACE(E942, ""[0-9]+[a-f]?\."", """"))"),"Dole ne in mutunta shawarar da gidanmu ya yanke ko da ba ra'ayina ba ne")</f>
        <v>Dole ne in mutunta shawarar da gidanmu ya yanke ko da ba ra'ayina ba ne</v>
      </c>
      <c r="J942" s="152" t="s">
        <v>6675</v>
      </c>
      <c r="K942" s="152" t="s">
        <v>6676</v>
      </c>
      <c r="L942" s="152" t="s">
        <v>6677</v>
      </c>
    </row>
    <row r="943">
      <c r="A943" s="68" t="s">
        <v>5775</v>
      </c>
      <c r="B943" s="66" t="s">
        <v>6678</v>
      </c>
      <c r="C943" s="28" t="s">
        <v>6679</v>
      </c>
      <c r="D943" s="28" t="s">
        <v>6680</v>
      </c>
      <c r="E943" s="28" t="s">
        <v>6681</v>
      </c>
      <c r="F943" s="161">
        <v>393.0</v>
      </c>
      <c r="G943" s="152" t="str">
        <f>IFERROR(__xludf.DUMMYFUNCTION("TRIM(REGEXREPLACE(C943, ""[0-9]+[a-f]?\."", """"))"),"I should always sacrifice my personal needs and wants to satisfy my parents.")</f>
        <v>I should always sacrifice my personal needs and wants to satisfy my parents.</v>
      </c>
      <c r="H943" s="152" t="str">
        <f>IFERROR(__xludf.DUMMYFUNCTION("TRIM(REGEXREPLACE(D943, ""[0-9]+[a-f]?\."", """"))"),"Je devrais toujours sacrifier mes besoins personnels et vouloir satisfaire mes parents.")</f>
        <v>Je devrais toujours sacrifier mes besoins personnels et vouloir satisfaire mes parents.</v>
      </c>
      <c r="I943" s="152" t="str">
        <f>IFERROR(__xludf.DUMMYFUNCTION("TRIM(REGEXREPLACE(E943, ""[0-9]+[a-f]?\."", """"))"),"Dole ne ko yaushe in sadaukar da bukatuna na kaina don in gamsar da iyayena.")</f>
        <v>Dole ne ko yaushe in sadaukar da bukatuna na kaina don in gamsar da iyayena.</v>
      </c>
      <c r="J943" s="152" t="s">
        <v>6683</v>
      </c>
      <c r="K943" s="152" t="s">
        <v>6684</v>
      </c>
      <c r="L943" s="152" t="s">
        <v>6685</v>
      </c>
    </row>
    <row r="944">
      <c r="A944" s="68" t="s">
        <v>41</v>
      </c>
      <c r="B944" s="66" t="s">
        <v>6687</v>
      </c>
      <c r="C944" s="28" t="s">
        <v>6688</v>
      </c>
      <c r="D944" s="28" t="s">
        <v>6690</v>
      </c>
      <c r="E944" s="28" t="s">
        <v>6692</v>
      </c>
      <c r="F944" s="161">
        <v>394.0</v>
      </c>
      <c r="G944" s="152" t="str">
        <f>IFERROR(__xludf.DUMMYFUNCTION("TRIM(REGEXREPLACE(C944, ""[0-9]+[a-f]?\."", """"))"),"I am going to read a statement and I would like you to reflect on how well the statement describes you.")</f>
        <v>I am going to read a statement and I would like you to reflect on how well the statement describes you.</v>
      </c>
      <c r="H944" s="152" t="str">
        <f>IFERROR(__xludf.DUMMYFUNCTION("TRIM(REGEXREPLACE(D944, ""[0-9]+[a-f]?\."", """"))"),"Je vais lire une déclaration et j'aimerais que vous réfléchissiez à la façon dont la déclaration vous décrit.")</f>
        <v>Je vais lire une déclaration et j'aimerais que vous réfléchissiez à la façon dont la déclaration vous décrit.</v>
      </c>
      <c r="I944" s="152" t="str">
        <f>IFERROR(__xludf.DUMMYFUNCTION("TRIM(REGEXREPLACE(E944, ""[0-9]+[a-f]?\."", """"))"),"Zan karanta wata magana kuma ina son ku yi tunanin yadda bayanin yake siffanta ku.")</f>
        <v>Zan karanta wata magana kuma ina son ku yi tunanin yadda bayanin yake siffanta ku.</v>
      </c>
      <c r="J944" s="152" t="s">
        <v>6693</v>
      </c>
      <c r="K944" s="152" t="s">
        <v>6694</v>
      </c>
      <c r="L944" s="152" t="s">
        <v>6695</v>
      </c>
    </row>
    <row r="945">
      <c r="A945" s="68" t="s">
        <v>6696</v>
      </c>
      <c r="B945" s="66" t="s">
        <v>6697</v>
      </c>
      <c r="C945" s="28" t="s">
        <v>6698</v>
      </c>
      <c r="D945" s="28" t="s">
        <v>6699</v>
      </c>
      <c r="E945" s="28" t="s">
        <v>6700</v>
      </c>
      <c r="F945" s="161">
        <v>395.0</v>
      </c>
      <c r="G945" s="152" t="str">
        <f>IFERROR(__xludf.DUMMYFUNCTION("TRIM(REGEXREPLACE(C945, ""[0-9]+[a-f]?\."", """"))"),"""I am willing to give up something that is beneficial today in order to receive a greater benefit in the future”")</f>
        <v>"I am willing to give up something that is beneficial today in order to receive a greater benefit in the future”</v>
      </c>
      <c r="H945" s="152" t="str">
        <f>IFERROR(__xludf.DUMMYFUNCTION("TRIM(REGEXREPLACE(D945, ""[0-9]+[a-f]?\."", """"))"),"Je suis prêt à renoncer à quelque chose qui est bénéfique aujourd'hui afin de recevoir un plus grand bénéfice à l'avenir")</f>
        <v>Je suis prêt à renoncer à quelque chose qui est bénéfique aujourd'hui afin de recevoir un plus grand bénéfice à l'avenir</v>
      </c>
      <c r="I945" s="152" t="str">
        <f>IFERROR(__xludf.DUMMYFUNCTION("TRIM(REGEXREPLACE(E945, ""[0-9]+[a-f]?\."", """"))"),"Na yarda in bar wani abu mai amfani a yau domin in samu fa'ida mai girma a nan gaba")</f>
        <v>Na yarda in bar wani abu mai amfani a yau domin in samu fa'ida mai girma a nan gaba</v>
      </c>
      <c r="J945" s="152" t="s">
        <v>6705</v>
      </c>
      <c r="K945" s="152" t="s">
        <v>6706</v>
      </c>
      <c r="L945" s="152" t="s">
        <v>6707</v>
      </c>
      <c r="M945" s="152"/>
    </row>
    <row r="946">
      <c r="A946" s="68" t="s">
        <v>263</v>
      </c>
      <c r="B946" s="66" t="s">
        <v>6708</v>
      </c>
      <c r="C946" s="28" t="s">
        <v>6709</v>
      </c>
      <c r="D946" s="28" t="s">
        <v>6710</v>
      </c>
      <c r="E946" s="28" t="s">
        <v>6711</v>
      </c>
      <c r="F946" s="161">
        <v>396.0</v>
      </c>
      <c r="G946" s="152" t="str">
        <f>IFERROR(__xludf.DUMMYFUNCTION("TRIM(REGEXREPLACE(C946, ""[0-9]+[a-f]?\."", """"))"),"How do you see yourself? Are you generally a person who tries to avoid taking risks as someone who is fully prepared to take risks?")</f>
        <v>How do you see yourself? Are you generally a person who tries to avoid taking risks as someone who is fully prepared to take risks?</v>
      </c>
      <c r="H946" s="152" t="str">
        <f>IFERROR(__xludf.DUMMYFUNCTION("TRIM(REGEXREPLACE(D946, ""[0-9]+[a-f]?\."", """"))"),"Comment vous voyez-vous ? Essayez-vous d'éviter de prendre des risques ou êtes-vous généralement une personne tout à fait prête à prendre des risques?")</f>
        <v>Comment vous voyez-vous ? Essayez-vous d'éviter de prendre des risques ou êtes-vous généralement une personne tout à fait prête à prendre des risques?</v>
      </c>
      <c r="I946" s="152" t="str">
        <f>IFERROR(__xludf.DUMMYFUNCTION("TRIM(REGEXREPLACE(E946, ""[0-9]+[a-f]?\."", """"))"),"Yaya kuke ganin kanku? Kuna ƙoƙarin gujewa haɗari ne, ko kuwa ku mutum ne wanda ke shiriye a kullum don ɗaukan haɗari?")</f>
        <v>Yaya kuke ganin kanku? Kuna ƙoƙarin gujewa haɗari ne, ko kuwa ku mutum ne wanda ke shiriye a kullum don ɗaukan haɗari?</v>
      </c>
      <c r="J946" s="152" t="s">
        <v>6712</v>
      </c>
      <c r="K946" s="152" t="s">
        <v>6713</v>
      </c>
      <c r="L946" s="152" t="s">
        <v>6714</v>
      </c>
      <c r="M946" s="152"/>
    </row>
    <row r="947">
      <c r="A947" s="68" t="s">
        <v>263</v>
      </c>
      <c r="B947" s="66" t="s">
        <v>6715</v>
      </c>
      <c r="C947" s="28" t="s">
        <v>6716</v>
      </c>
      <c r="D947" s="28" t="s">
        <v>6717</v>
      </c>
      <c r="E947" s="28" t="s">
        <v>6718</v>
      </c>
      <c r="F947" s="161">
        <v>397.0</v>
      </c>
      <c r="G947" s="152" t="str">
        <f>IFERROR(__xludf.DUMMYFUNCTION("TRIM(REGEXREPLACE(C947, ""[0-9]+[a-f]?\."", """"))"),"Some people feel they have completely free choice and control over their lives, while other people feel that what they have no real effect on what happens to them. 
How much freedom of choice do you feel that you have over what happens in your life?")</f>
        <v>Some people feel they have completely free choice and control over their lives, while other people feel that what they have no real effect on what happens to them. 
How much freedom of choice do you feel that you have over what happens in your life?</v>
      </c>
      <c r="H947" s="152" t="str">
        <f>IFERROR(__xludf.DUMMYFUNCTION("TRIM(REGEXREPLACE(D947, ""[0-9]+[a-f]?\."", """"))"),"Certaines personnes ont le sentiment d'avoir le choix et un contrôle total sur leur vie, tandis que d'autres pensent qu'elles ont n'a aucun contrôle sur ce qui leur arrive.
 Quelle liberté de choix pensez-vous avoir sur ce qui se passe dans votre vie ?")</f>
        <v>Certaines personnes ont le sentiment d'avoir le choix et un contrôle total sur leur vie, tandis que d'autres pensent qu'elles ont n'a aucun contrôle sur ce qui leur arrive.
 Quelle liberté de choix pensez-vous avoir sur ce qui se passe dans votre vie ?</v>
      </c>
      <c r="I947" s="152" t="str">
        <f>IFERROR(__xludf.DUMMYFUNCTION("TRIM(REGEXREPLACE(E947, ""[0-9]+[a-f]?\."", """"))"),"Wasu mutane suna jin cewa suna da cikakken ƴancin zaɓi da kuma iko a kan rayuwarsu, yayin da wasu kuma suke ganin cewa abin da suke da shi ba ya da wani tasiri a kan abin da ke faruwa da su.
 Wane irin ƴancin zaɓi kake jin cewa kana da shi bisa abinda z"&amp;"ai faruwa a rayuwarka?")</f>
        <v>Wasu mutane suna jin cewa suna da cikakken ƴancin zaɓi da kuma iko a kan rayuwarsu, yayin da wasu kuma suke ganin cewa abin da suke da shi ba ya da wani tasiri a kan abin da ke faruwa da su.
 Wane irin ƴancin zaɓi kake jin cewa kana da shi bisa abinda zai faruwa a rayuwarka?</v>
      </c>
      <c r="J947" s="152" t="s">
        <v>6720</v>
      </c>
      <c r="K947" s="152" t="s">
        <v>6721</v>
      </c>
      <c r="L947" s="152" t="s">
        <v>6722</v>
      </c>
      <c r="M947" s="152"/>
    </row>
    <row r="948">
      <c r="A948" s="68" t="s">
        <v>263</v>
      </c>
      <c r="B948" s="66" t="s">
        <v>6723</v>
      </c>
      <c r="C948" s="28" t="s">
        <v>6724</v>
      </c>
      <c r="D948" s="28" t="s">
        <v>6725</v>
      </c>
      <c r="E948" s="28" t="s">
        <v>6726</v>
      </c>
      <c r="F948" s="161">
        <v>398.0</v>
      </c>
      <c r="G948" s="152" t="str">
        <f>IFERROR(__xludf.DUMMYFUNCTION("TRIM(REGEXREPLACE(C948, ""[0-9]+[a-f]?\."", """"))"),"People have different expectations about the future: some expect only bad things to happen while others expect only good things to happen. 
What are your expectations for the future?")</f>
        <v>People have different expectations about the future: some expect only bad things to happen while others expect only good things to happen. 
What are your expectations for the future?</v>
      </c>
      <c r="H948" s="152" t="str">
        <f>IFERROR(__xludf.DUMMYFUNCTION("TRIM(REGEXREPLACE(D948, ""[0-9]+[a-f]?\."", """"))"),"Les gens ont des attentes différentes pour l'avenir : certains s'attendent à ce que de mauvaises choses se produisent tandis que d'autres s'attendent à ce que de bonnes choses se produisent. 
Quelles sont vos attentes pour l'avenir ?")</f>
        <v>Les gens ont des attentes différentes pour l'avenir : certains s'attendent à ce que de mauvaises choses se produisent tandis que d'autres s'attendent à ce que de bonnes choses se produisent. 
Quelles sont vos attentes pour l'avenir ?</v>
      </c>
      <c r="I948" s="152" t="str">
        <f>IFERROR(__xludf.DUMMYFUNCTION("TRIM(REGEXREPLACE(E948, ""[0-9]+[a-f]?\."", """"))"),"Mutane suna da tunani daban-daban game da yadda gobe zai kasance: wasu suna tsammanin abubuwa marasa kyau ne kawai za su faru yayin da wasu ke tsammanin abubuwa masu kyau ne kawai za su faru. 
 Menene tunaninku a kan abubuwan da zasu faru a nan gaba?")</f>
        <v>Mutane suna da tunani daban-daban game da yadda gobe zai kasance: wasu suna tsammanin abubuwa marasa kyau ne kawai za su faru yayin da wasu ke tsammanin abubuwa masu kyau ne kawai za su faru. 
 Menene tunaninku a kan abubuwan da zasu faru a nan gaba?</v>
      </c>
      <c r="J948" s="152" t="s">
        <v>6728</v>
      </c>
      <c r="K948" s="152" t="s">
        <v>6729</v>
      </c>
      <c r="L948" s="152" t="s">
        <v>6730</v>
      </c>
      <c r="M948" s="152"/>
    </row>
    <row r="949">
      <c r="A949" s="68" t="s">
        <v>41</v>
      </c>
      <c r="B949" s="69" t="s">
        <v>6731</v>
      </c>
      <c r="C949" s="28" t="s">
        <v>6732</v>
      </c>
      <c r="D949" s="28" t="s">
        <v>6733</v>
      </c>
      <c r="E949" s="28" t="s">
        <v>6734</v>
      </c>
      <c r="F949" s="161">
        <v>399.0</v>
      </c>
      <c r="G949" s="152" t="str">
        <f>IFERROR(__xludf.DUMMYFUNCTION("TRIM(REGEXREPLACE(C949, ""[0-9]+[a-f]?\."", """"))"),"The next set of questions are about your opinions regarding the roles that women and men play")</f>
        <v>The next set of questions are about your opinions regarding the roles that women and men play</v>
      </c>
      <c r="H949" s="152" t="str">
        <f>IFERROR(__xludf.DUMMYFUNCTION("TRIM(REGEXREPLACE(D949, ""[0-9]+[a-f]?\."", """"))"),"La prochaine série de questions porte sur vos opinions concernant les rôles que jouent les femmes et les hommes")</f>
        <v>La prochaine série de questions porte sur vos opinions concernant les rôles que jouent les femmes et les hommes</v>
      </c>
      <c r="I949" s="152" t="str">
        <f>IFERROR(__xludf.DUMMYFUNCTION("TRIM(REGEXREPLACE(E949, ""[0-9]+[a-f]?\."", """"))"),"Tambayoyi na gaba sun ta'allaƙa ne da ra'ayoyin ku game da rawar da mata da maza suke takawa.")</f>
        <v>Tambayoyi na gaba sun ta'allaƙa ne da ra'ayoyin ku game da rawar da mata da maza suke takawa.</v>
      </c>
      <c r="J949" s="152" t="s">
        <v>6736</v>
      </c>
      <c r="K949" s="152" t="s">
        <v>6737</v>
      </c>
      <c r="L949" s="152" t="s">
        <v>6738</v>
      </c>
      <c r="M949" s="152"/>
    </row>
    <row r="950">
      <c r="A950" s="68" t="s">
        <v>4632</v>
      </c>
      <c r="B950" s="69" t="s">
        <v>6739</v>
      </c>
      <c r="C950" s="28" t="s">
        <v>6740</v>
      </c>
      <c r="D950" s="28" t="s">
        <v>6741</v>
      </c>
      <c r="E950" s="28" t="s">
        <v>6742</v>
      </c>
      <c r="F950" s="161">
        <v>400.0</v>
      </c>
      <c r="G950" s="152" t="str">
        <f>IFERROR(__xludf.DUMMYFUNCTION("TRIM(REGEXREPLACE(C950, ""[0-9]+[a-f]?\."", """"))"),"How often, if ever do you talk about the role of women in society with other people?")</f>
        <v>How often, if ever do you talk about the role of women in society with other people?</v>
      </c>
      <c r="H950" s="152" t="str">
        <f>IFERROR(__xludf.DUMMYFUNCTION("TRIM(REGEXREPLACE(D950, ""[0-9]+[a-f]?\."", """"))"),"À quelle fréquence, si jamais cela arrive, parlez-vous du rôle des femmes dans la société avec d'autres personnes ?")</f>
        <v>À quelle fréquence, si jamais cela arrive, parlez-vous du rôle des femmes dans la société avec d'autres personnes ?</v>
      </c>
      <c r="I950" s="152" t="str">
        <f>IFERROR(__xludf.DUMMYFUNCTION("TRIM(REGEXREPLACE(E950, ""[0-9]+[a-f]?\."", """"))"),"Sau nawa, idan ya na faruwa, kuke yin magana game da taka rawan mata a cikin al'umma tare da sauran mutane?")</f>
        <v>Sau nawa, idan ya na faruwa, kuke yin magana game da taka rawan mata a cikin al'umma tare da sauran mutane?</v>
      </c>
      <c r="J950" s="152" t="s">
        <v>6743</v>
      </c>
      <c r="K950" s="152" t="s">
        <v>6744</v>
      </c>
      <c r="L950" s="152" t="s">
        <v>6745</v>
      </c>
    </row>
    <row r="951">
      <c r="A951" s="166" t="s">
        <v>41</v>
      </c>
      <c r="B951" s="299" t="s">
        <v>6746</v>
      </c>
      <c r="C951" s="28" t="s">
        <v>6747</v>
      </c>
      <c r="D951" s="28" t="s">
        <v>6748</v>
      </c>
      <c r="E951" s="28" t="s">
        <v>6749</v>
      </c>
      <c r="F951" s="161">
        <v>401.0</v>
      </c>
      <c r="G951" s="152" t="str">
        <f>IFERROR(__xludf.DUMMYFUNCTION("TRIM(REGEXREPLACE(C951, ""[0-9]+[a-f]?\."", """"))"),"In your opinion, how much influence a wife should have over the following decisions within a couple?")</f>
        <v>In your opinion, how much influence a wife should have over the following decisions within a couple?</v>
      </c>
      <c r="H951" s="152" t="str">
        <f>IFERROR(__xludf.DUMMYFUNCTION("TRIM(REGEXREPLACE(D951, ""[0-9]+[a-f]?\."", """"))"),"Selon vous, quelle influence une épouse devrait-elle avoir sur les décisions suivantes au sein d'un couple ?")</f>
        <v>Selon vous, quelle influence une épouse devrait-elle avoir sur les décisions suivantes au sein d'un couple ?</v>
      </c>
      <c r="I951" s="152" t="str">
        <f>IFERROR(__xludf.DUMMYFUNCTION("TRIM(REGEXREPLACE(E951, ""[0-9]+[a-f]?\."", """"))"),"A ra'ayinka, wane tasiri mace ya kamata ta yi bisa yanke shawarwari da zan zana a tsakanin ta da mijinta?")</f>
        <v>A ra'ayinka, wane tasiri mace ya kamata ta yi bisa yanke shawarwari da zan zana a tsakanin ta da mijinta?</v>
      </c>
      <c r="J951" s="152" t="s">
        <v>6752</v>
      </c>
      <c r="K951" s="152" t="s">
        <v>6753</v>
      </c>
      <c r="L951" s="152" t="s">
        <v>6754</v>
      </c>
    </row>
    <row r="952">
      <c r="A952" s="68" t="s">
        <v>6755</v>
      </c>
      <c r="B952" s="69" t="s">
        <v>6756</v>
      </c>
      <c r="C952" s="28" t="s">
        <v>6757</v>
      </c>
      <c r="D952" s="28" t="s">
        <v>6758</v>
      </c>
      <c r="E952" s="28" t="s">
        <v>6759</v>
      </c>
      <c r="F952" s="161">
        <v>402.0</v>
      </c>
      <c r="G952" s="152" t="str">
        <f>IFERROR(__xludf.DUMMYFUNCTION("TRIM(REGEXREPLACE(C952, ""[0-9]+[a-f]?\."", """"))"),"Daily household expenses (Less than 500 CFA)")</f>
        <v>Daily household expenses (Less than 500 CFA)</v>
      </c>
      <c r="H952" s="152" t="str">
        <f>IFERROR(__xludf.DUMMYFUNCTION("TRIM(REGEXREPLACE(D952, ""[0-9]+[a-f]?\."", """"))"),"Dépenses quotidiennes du ménage (Moins de 500 CFA)")</f>
        <v>Dépenses quotidiennes du ménage (Moins de 500 CFA)</v>
      </c>
      <c r="I952" s="152" t="str">
        <f>IFERROR(__xludf.DUMMYFUNCTION("TRIM(REGEXREPLACE(E952, ""[0-9]+[a-f]?\."", """"))"),"Kashe kashen kuɗin gida na yau da kullun ( Kasa da dala ɗari)")</f>
        <v>Kashe kashen kuɗin gida na yau da kullun ( Kasa da dala ɗari)</v>
      </c>
      <c r="J952" s="152" t="s">
        <v>6760</v>
      </c>
      <c r="K952" s="152" t="s">
        <v>6761</v>
      </c>
      <c r="L952" s="152" t="s">
        <v>6762</v>
      </c>
    </row>
    <row r="953">
      <c r="A953" s="68" t="s">
        <v>6755</v>
      </c>
      <c r="B953" s="69" t="s">
        <v>6763</v>
      </c>
      <c r="C953" s="28" t="s">
        <v>6764</v>
      </c>
      <c r="D953" s="28" t="s">
        <v>6765</v>
      </c>
      <c r="E953" s="28" t="s">
        <v>6766</v>
      </c>
      <c r="F953" s="161">
        <v>403.0</v>
      </c>
      <c r="G953" s="152" t="str">
        <f>IFERROR(__xludf.DUMMYFUNCTION("TRIM(REGEXREPLACE(C953, ""[0-9]+[a-f]?\."", """"))"),"Household purchases worth more than 500 CFA")</f>
        <v>Household purchases worth more than 500 CFA</v>
      </c>
      <c r="H953" s="152" t="str">
        <f>IFERROR(__xludf.DUMMYFUNCTION("TRIM(REGEXREPLACE(D953, ""[0-9]+[a-f]?\."", """"))"),"Achats des ménages d'une valeur supérieure à 500 CFA")</f>
        <v>Achats des ménages d'une valeur supérieure à 500 CFA</v>
      </c>
      <c r="I953" s="152" t="str">
        <f>IFERROR(__xludf.DUMMYFUNCTION("TRIM(REGEXREPLACE(E953, ""[0-9]+[a-f]?\."", """"))"),"Sayayyar gida na sama da ɗari")</f>
        <v>Sayayyar gida na sama da ɗari</v>
      </c>
      <c r="J953" s="152" t="s">
        <v>6771</v>
      </c>
      <c r="K953" s="152" t="s">
        <v>6772</v>
      </c>
      <c r="L953" s="152" t="s">
        <v>6773</v>
      </c>
    </row>
    <row r="954">
      <c r="A954" s="68" t="s">
        <v>6755</v>
      </c>
      <c r="B954" s="69" t="s">
        <v>6774</v>
      </c>
      <c r="C954" s="28" t="s">
        <v>6775</v>
      </c>
      <c r="D954" s="28" t="s">
        <v>6776</v>
      </c>
      <c r="E954" s="28" t="s">
        <v>6777</v>
      </c>
      <c r="F954" s="161">
        <v>404.0</v>
      </c>
      <c r="G954" s="152" t="str">
        <f>IFERROR(__xludf.DUMMYFUNCTION("TRIM(REGEXREPLACE(C954, ""[0-9]+[a-f]?\."", """"))"),"Family planning (how many children to have)")</f>
        <v>Family planning (how many children to have)</v>
      </c>
      <c r="H954" s="152" t="str">
        <f>IFERROR(__xludf.DUMMYFUNCTION("TRIM(REGEXREPLACE(D954, ""[0-9]+[a-f]?\."", """"))"),"Planification familiale (combien d'enfants avoir)")</f>
        <v>Planification familiale (combien d'enfants avoir)</v>
      </c>
      <c r="I954" s="152" t="str">
        <f>IFERROR(__xludf.DUMMYFUNCTION("TRIM(REGEXREPLACE(E954, ""[0-9]+[a-f]?\."", """"))"),"Tsarin iyali (Yara nawa za a haifa)")</f>
        <v>Tsarin iyali (Yara nawa za a haifa)</v>
      </c>
      <c r="J954" s="152" t="s">
        <v>6778</v>
      </c>
      <c r="K954" s="152" t="s">
        <v>6780</v>
      </c>
      <c r="L954" s="152" t="s">
        <v>6782</v>
      </c>
    </row>
    <row r="955">
      <c r="A955" s="68" t="s">
        <v>6755</v>
      </c>
      <c r="B955" s="69" t="s">
        <v>6784</v>
      </c>
      <c r="C955" s="28" t="s">
        <v>6785</v>
      </c>
      <c r="D955" s="28" t="s">
        <v>6786</v>
      </c>
      <c r="E955" s="28" t="s">
        <v>6787</v>
      </c>
      <c r="F955" s="161">
        <v>405.0</v>
      </c>
      <c r="G955" s="152" t="str">
        <f>IFERROR(__xludf.DUMMYFUNCTION("TRIM(REGEXREPLACE(C955, ""[0-9]+[a-f]?\."", """"))"),"Whether the husband will migrate to find work")</f>
        <v>Whether the husband will migrate to find work</v>
      </c>
      <c r="H955" s="152" t="str">
        <f>IFERROR(__xludf.DUMMYFUNCTION("TRIM(REGEXREPLACE(D955, ""[0-9]+[a-f]?\."", """"))"),"Si le mari va migrer pour trouver du travail")</f>
        <v>Si le mari va migrer pour trouver du travail</v>
      </c>
      <c r="I955" s="152" t="str">
        <f>IFERROR(__xludf.DUMMYFUNCTION("TRIM(REGEXREPLACE(E955, ""[0-9]+[a-f]?\."", """"))"),"Ko mijin zai yi tahiya don neman aiki")</f>
        <v>Ko mijin zai yi tahiya don neman aiki</v>
      </c>
      <c r="J955" s="152" t="s">
        <v>6788</v>
      </c>
      <c r="K955" s="152" t="s">
        <v>6789</v>
      </c>
      <c r="L955" s="152" t="s">
        <v>6790</v>
      </c>
    </row>
    <row r="956">
      <c r="A956" s="68" t="s">
        <v>6755</v>
      </c>
      <c r="B956" s="69" t="s">
        <v>6791</v>
      </c>
      <c r="C956" s="28" t="s">
        <v>6792</v>
      </c>
      <c r="D956" s="28" t="s">
        <v>6793</v>
      </c>
      <c r="E956" s="28" t="s">
        <v>6795</v>
      </c>
      <c r="F956" s="161">
        <v>406.0</v>
      </c>
      <c r="G956" s="152" t="str">
        <f>IFERROR(__xludf.DUMMYFUNCTION("TRIM(REGEXREPLACE(C956, ""[0-9]+[a-f]?\."", """"))"),"Who to vote for in local elections?")</f>
        <v>Who to vote for in local elections?</v>
      </c>
      <c r="H956" s="152" t="str">
        <f>IFERROR(__xludf.DUMMYFUNCTION("TRIM(REGEXREPLACE(D956, ""[0-9]+[a-f]?\."", """"))"),"Pour qui voter aux élections municipales ?")</f>
        <v>Pour qui voter aux élections municipales ?</v>
      </c>
      <c r="I956" s="152" t="str">
        <f>IFERROR(__xludf.DUMMYFUNCTION("TRIM(REGEXREPLACE(E956, ""[0-9]+[a-f]?\."", """"))"),"Wanene za'a zaɓa a zaɓen ƙananan hukumomi?")</f>
        <v>Wanene za'a zaɓa a zaɓen ƙananan hukumomi?</v>
      </c>
      <c r="J956" s="152" t="s">
        <v>6796</v>
      </c>
      <c r="K956" s="152" t="s">
        <v>6797</v>
      </c>
      <c r="L956" s="152" t="s">
        <v>6798</v>
      </c>
    </row>
    <row r="957">
      <c r="A957" s="68" t="s">
        <v>6755</v>
      </c>
      <c r="B957" s="69" t="s">
        <v>6799</v>
      </c>
      <c r="C957" s="28" t="s">
        <v>6801</v>
      </c>
      <c r="D957" s="28" t="s">
        <v>6802</v>
      </c>
      <c r="E957" s="28" t="s">
        <v>6803</v>
      </c>
      <c r="F957" s="161">
        <v>407.0</v>
      </c>
      <c r="G957" s="152" t="str">
        <f>IFERROR(__xludf.DUMMYFUNCTION("TRIM(REGEXREPLACE(C957, ""[0-9]+[a-f]?\."", """"))"),"To whom your daughter should marry?")</f>
        <v>To whom your daughter should marry?</v>
      </c>
      <c r="H957" s="152" t="str">
        <f>IFERROR(__xludf.DUMMYFUNCTION("TRIM(REGEXREPLACE(D957, ""[0-9]+[a-f]?\."", """"))"),"Avec qui votre fille devrait-elle se marier ?")</f>
        <v>Avec qui votre fille devrait-elle se marier ?</v>
      </c>
      <c r="I957" s="152" t="str">
        <f>IFERROR(__xludf.DUMMYFUNCTION("TRIM(REGEXREPLACE(E957, ""[0-9]+[a-f]?\."", """"))"),"Wa ya kamata ɗiyarku ta aura?")</f>
        <v>Wa ya kamata ɗiyarku ta aura?</v>
      </c>
      <c r="J957" s="152" t="s">
        <v>6804</v>
      </c>
      <c r="K957" s="152" t="s">
        <v>6805</v>
      </c>
      <c r="L957" s="152" t="s">
        <v>6806</v>
      </c>
    </row>
    <row r="958">
      <c r="A958" s="68" t="s">
        <v>6755</v>
      </c>
      <c r="B958" s="69" t="s">
        <v>6807</v>
      </c>
      <c r="C958" s="28" t="s">
        <v>6808</v>
      </c>
      <c r="D958" s="28" t="s">
        <v>6809</v>
      </c>
      <c r="E958" s="28" t="s">
        <v>6810</v>
      </c>
      <c r="F958" s="161">
        <v>408.0</v>
      </c>
      <c r="G958" s="152" t="str">
        <f>IFERROR(__xludf.DUMMYFUNCTION("TRIM(REGEXREPLACE(C958, ""[0-9]+[a-f]?\."", """"))"),"Children's enrollment in school")</f>
        <v>Children's enrollment in school</v>
      </c>
      <c r="H958" s="152" t="str">
        <f>IFERROR(__xludf.DUMMYFUNCTION("TRIM(REGEXREPLACE(D958, ""[0-9]+[a-f]?\."", """"))"),"Inscription des enfants à l'école")</f>
        <v>Inscription des enfants à l'école</v>
      </c>
      <c r="I958" s="152" t="str">
        <f>IFERROR(__xludf.DUMMYFUNCTION("TRIM(REGEXREPLACE(E958, ""[0-9]+[a-f]?\."", """"))"),"Rubuta yara a makaranta")</f>
        <v>Rubuta yara a makaranta</v>
      </c>
      <c r="J958" s="152" t="s">
        <v>6812</v>
      </c>
      <c r="K958" s="152" t="s">
        <v>6814</v>
      </c>
      <c r="L958" s="152" t="s">
        <v>6815</v>
      </c>
    </row>
    <row r="959" hidden="1">
      <c r="A959" s="140" t="s">
        <v>237</v>
      </c>
      <c r="B959" s="140" t="s">
        <v>6652</v>
      </c>
      <c r="C959" s="28" t="s">
        <v>6653</v>
      </c>
      <c r="D959" s="28"/>
      <c r="E959" s="28"/>
      <c r="F959" s="161">
        <v>559.0</v>
      </c>
      <c r="G959" s="152" t="str">
        <f>IFERROR(__xludf.DUMMYFUNCTION("TRIM(REGEXREPLACE(C959, ""[0-9]+[a-f]?\."", """"))"),"Spouse consultations")</f>
        <v>Spouse consultations</v>
      </c>
      <c r="H959" s="152" t="str">
        <f>IFERROR(__xludf.DUMMYFUNCTION("TRIM(REGEXREPLACE(D959, ""[0-9]+[a-f]?\."", """"))"),"")</f>
        <v/>
      </c>
      <c r="I959" s="152" t="str">
        <f>IFERROR(__xludf.DUMMYFUNCTION("TRIM(REGEXREPLACE(E959, ""[0-9]+[a-f]?\."", """"))"),"")</f>
        <v/>
      </c>
      <c r="J959" s="152" t="s">
        <v>6818</v>
      </c>
      <c r="K959" s="152" t="s">
        <v>6819</v>
      </c>
      <c r="L959" s="152" t="s">
        <v>6820</v>
      </c>
    </row>
    <row r="960" hidden="1">
      <c r="A960" s="221"/>
      <c r="B960" s="221"/>
      <c r="C960" s="28"/>
      <c r="D960" s="28"/>
      <c r="E960" s="28"/>
      <c r="F960" s="161">
        <v>135.0</v>
      </c>
      <c r="G960" s="152" t="str">
        <f>IFERROR(__xludf.DUMMYFUNCTION("TRIM(REGEXREPLACE(C960, ""[0-9]+[a-f]?\."", """"))"),"")</f>
        <v/>
      </c>
      <c r="H960" s="152" t="str">
        <f>IFERROR(__xludf.DUMMYFUNCTION("TRIM(REGEXREPLACE(D960, ""[0-9]+[a-f]?\."", """"))"),"")</f>
        <v/>
      </c>
      <c r="I960" s="152" t="str">
        <f>IFERROR(__xludf.DUMMYFUNCTION("TRIM(REGEXREPLACE(E960, ""[0-9]+[a-f]?\."", """"))"),"")</f>
        <v/>
      </c>
      <c r="J960" s="152" t="str">
        <f t="shared" ref="J960:L960" si="77">$F960 &amp; ". " &amp;G960</f>
        <v>135. </v>
      </c>
      <c r="K960" s="152" t="str">
        <f t="shared" si="77"/>
        <v>135. </v>
      </c>
      <c r="L960" s="152" t="str">
        <f t="shared" si="77"/>
        <v>135. </v>
      </c>
    </row>
    <row r="961" hidden="1">
      <c r="A961" s="140" t="s">
        <v>131</v>
      </c>
      <c r="B961" s="193" t="s">
        <v>6825</v>
      </c>
      <c r="C961" s="28"/>
      <c r="D961" s="28"/>
      <c r="E961" s="28"/>
      <c r="F961" s="161">
        <v>136.0</v>
      </c>
      <c r="G961" s="152" t="str">
        <f>IFERROR(__xludf.DUMMYFUNCTION("TRIM(REGEXREPLACE(C961, ""[0-9]+[a-f]?\."", """"))"),"")</f>
        <v/>
      </c>
      <c r="H961" s="152" t="str">
        <f>IFERROR(__xludf.DUMMYFUNCTION("TRIM(REGEXREPLACE(D961, ""[0-9]+[a-f]?\."", """"))"),"")</f>
        <v/>
      </c>
      <c r="I961" s="152" t="str">
        <f>IFERROR(__xludf.DUMMYFUNCTION("TRIM(REGEXREPLACE(E961, ""[0-9]+[a-f]?\."", """"))"),"")</f>
        <v/>
      </c>
      <c r="J961" s="152" t="str">
        <f t="shared" ref="J961:L961" si="78">$F961 &amp; ". " &amp;G961</f>
        <v>136. </v>
      </c>
      <c r="K961" s="152" t="str">
        <f t="shared" si="78"/>
        <v>136. </v>
      </c>
      <c r="L961" s="152" t="str">
        <f t="shared" si="78"/>
        <v>136. </v>
      </c>
    </row>
    <row r="962">
      <c r="A962" s="68" t="s">
        <v>463</v>
      </c>
      <c r="B962" s="218" t="s">
        <v>6829</v>
      </c>
      <c r="C962" s="28" t="s">
        <v>6830</v>
      </c>
      <c r="D962" s="28" t="s">
        <v>6831</v>
      </c>
      <c r="E962" s="28" t="s">
        <v>6832</v>
      </c>
      <c r="F962" s="161">
        <v>409.0</v>
      </c>
      <c r="G962" s="152" t="str">
        <f>IFERROR(__xludf.DUMMYFUNCTION("TRIM(REGEXREPLACE(C962, ""[0-9]+[a-f]?\."", """"))"),"In your opinion, is a husband justified in hitting or beating his wife if:")</f>
        <v>In your opinion, is a husband justified in hitting or beating his wife if:</v>
      </c>
      <c r="H962" s="152" t="str">
        <f>IFERROR(__xludf.DUMMYFUNCTION("TRIM(REGEXREPLACE(D962, ""[0-9]+[a-f]?\."", """"))"),"A votre avis, est-il justifié pour un mari de frapper ou de battre sa femme si :")</f>
        <v>A votre avis, est-il justifié pour un mari de frapper ou de battre sa femme si :</v>
      </c>
      <c r="I962" s="152" t="str">
        <f>IFERROR(__xludf.DUMMYFUNCTION("TRIM(REGEXREPLACE(E962, ""[0-9]+[a-f]?\."", """"))"),"A ganinku, ko ya cancanta miji ya bugi matarshi ko ya bata kashi idan:")</f>
        <v>A ganinku, ko ya cancanta miji ya bugi matarshi ko ya bata kashi idan:</v>
      </c>
      <c r="J962" s="152" t="s">
        <v>6834</v>
      </c>
      <c r="K962" s="152" t="s">
        <v>6835</v>
      </c>
      <c r="L962" s="152" t="s">
        <v>6836</v>
      </c>
    </row>
    <row r="963">
      <c r="A963" s="68" t="s">
        <v>463</v>
      </c>
      <c r="B963" s="218" t="s">
        <v>6837</v>
      </c>
      <c r="C963" s="28" t="s">
        <v>6838</v>
      </c>
      <c r="D963" s="28" t="s">
        <v>6839</v>
      </c>
      <c r="E963" s="28" t="s">
        <v>6840</v>
      </c>
      <c r="F963" s="161">
        <v>410.0</v>
      </c>
      <c r="G963" s="152" t="str">
        <f>IFERROR(__xludf.DUMMYFUNCTION("TRIM(REGEXREPLACE(C963, ""[0-9]+[a-f]?\."", """"))"),"She neglects the children")</f>
        <v>She neglects the children</v>
      </c>
      <c r="H963" s="152" t="str">
        <f>IFERROR(__xludf.DUMMYFUNCTION("TRIM(REGEXREPLACE(D963, ""[0-9]+[a-f]?\."", """"))"),"Elle néglige les enfants")</f>
        <v>Elle néglige les enfants</v>
      </c>
      <c r="I963" s="152" t="str">
        <f>IFERROR(__xludf.DUMMYFUNCTION("TRIM(REGEXREPLACE(E963, ""[0-9]+[a-f]?\."", """"))"),"Ta yi sakaci da yara")</f>
        <v>Ta yi sakaci da yara</v>
      </c>
      <c r="J963" s="152" t="s">
        <v>6844</v>
      </c>
      <c r="K963" s="152" t="s">
        <v>6845</v>
      </c>
      <c r="L963" s="152" t="s">
        <v>6846</v>
      </c>
    </row>
    <row r="964">
      <c r="A964" s="68" t="s">
        <v>463</v>
      </c>
      <c r="B964" s="218" t="s">
        <v>6847</v>
      </c>
      <c r="C964" s="28" t="s">
        <v>6848</v>
      </c>
      <c r="D964" s="28" t="s">
        <v>6849</v>
      </c>
      <c r="E964" s="28" t="s">
        <v>6850</v>
      </c>
      <c r="F964" s="161">
        <v>411.0</v>
      </c>
      <c r="G964" s="152" t="str">
        <f>IFERROR(__xludf.DUMMYFUNCTION("TRIM(REGEXREPLACE(C964, ""[0-9]+[a-f]?\."", """"))"),"She argues with him")</f>
        <v>She argues with him</v>
      </c>
      <c r="H964" s="152" t="str">
        <f>IFERROR(__xludf.DUMMYFUNCTION("TRIM(REGEXREPLACE(D964, ""[0-9]+[a-f]?\."", """"))"),"Elle se dispute avec lui")</f>
        <v>Elle se dispute avec lui</v>
      </c>
      <c r="I964" s="152" t="str">
        <f>IFERROR(__xludf.DUMMYFUNCTION("TRIM(REGEXREPLACE(E964, ""[0-9]+[a-f]?\."", """"))"),"Ta yi mishi gardama")</f>
        <v>Ta yi mishi gardama</v>
      </c>
      <c r="J964" s="152" t="s">
        <v>6852</v>
      </c>
      <c r="K964" s="152" t="s">
        <v>6853</v>
      </c>
      <c r="L964" s="152" t="s">
        <v>6854</v>
      </c>
    </row>
    <row r="965">
      <c r="A965" s="68" t="s">
        <v>463</v>
      </c>
      <c r="B965" s="218" t="s">
        <v>6855</v>
      </c>
      <c r="C965" s="28" t="s">
        <v>6857</v>
      </c>
      <c r="D965" s="28" t="s">
        <v>6858</v>
      </c>
      <c r="E965" s="28" t="s">
        <v>6859</v>
      </c>
      <c r="F965" s="161">
        <v>412.0</v>
      </c>
      <c r="G965" s="152" t="str">
        <f>IFERROR(__xludf.DUMMYFUNCTION("TRIM(REGEXREPLACE(C965, ""[0-9]+[a-f]?\."", """"))"),"She refuses to pray")</f>
        <v>She refuses to pray</v>
      </c>
      <c r="H965" s="152" t="str">
        <f>IFERROR(__xludf.DUMMYFUNCTION("TRIM(REGEXREPLACE(D965, ""[0-9]+[a-f]?\."", """"))"),"Elle refuse de prier")</f>
        <v>Elle refuse de prier</v>
      </c>
      <c r="I965" s="152" t="str">
        <f>IFERROR(__xludf.DUMMYFUNCTION("TRIM(REGEXREPLACE(E965, ""[0-9]+[a-f]?\."", """"))"),"Ta ƙi yin sallah")</f>
        <v>Ta ƙi yin sallah</v>
      </c>
      <c r="J965" s="152" t="s">
        <v>6862</v>
      </c>
      <c r="K965" s="152" t="s">
        <v>6863</v>
      </c>
      <c r="L965" s="152" t="s">
        <v>6864</v>
      </c>
    </row>
    <row r="966">
      <c r="A966" s="68" t="s">
        <v>463</v>
      </c>
      <c r="B966" s="218" t="s">
        <v>6865</v>
      </c>
      <c r="C966" s="28" t="s">
        <v>6866</v>
      </c>
      <c r="D966" s="28" t="s">
        <v>6867</v>
      </c>
      <c r="E966" s="28" t="s">
        <v>6868</v>
      </c>
      <c r="F966" s="161">
        <v>413.0</v>
      </c>
      <c r="G966" s="152" t="str">
        <f>IFERROR(__xludf.DUMMYFUNCTION("TRIM(REGEXREPLACE(C966, ""[0-9]+[a-f]?\."", """"))"),"She burns the food")</f>
        <v>She burns the food</v>
      </c>
      <c r="H966" s="152" t="str">
        <f>IFERROR(__xludf.DUMMYFUNCTION("TRIM(REGEXREPLACE(D966, ""[0-9]+[a-f]?\."", """"))"),"Elle brûle la nourriture")</f>
        <v>Elle brûle la nourriture</v>
      </c>
      <c r="I966" s="152" t="str">
        <f>IFERROR(__xludf.DUMMYFUNCTION("TRIM(REGEXREPLACE(E966, ""[0-9]+[a-f]?\."", """"))"),"Ta ƙona abincin")</f>
        <v>Ta ƙona abincin</v>
      </c>
      <c r="J966" s="152" t="s">
        <v>6869</v>
      </c>
      <c r="K966" s="152" t="s">
        <v>6870</v>
      </c>
      <c r="L966" s="152" t="s">
        <v>6871</v>
      </c>
    </row>
    <row r="967" hidden="1">
      <c r="A967" s="140" t="s">
        <v>237</v>
      </c>
      <c r="B967" s="272" t="s">
        <v>6825</v>
      </c>
      <c r="C967" s="28"/>
      <c r="D967" s="28"/>
      <c r="E967" s="28"/>
      <c r="F967" s="161">
        <v>565.0</v>
      </c>
      <c r="G967" s="152" t="str">
        <f>IFERROR(__xludf.DUMMYFUNCTION("TRIM(REGEXREPLACE(C967, ""[0-9]+[a-f]?\."", """"))"),"")</f>
        <v/>
      </c>
      <c r="H967" s="152" t="str">
        <f>IFERROR(__xludf.DUMMYFUNCTION("TRIM(REGEXREPLACE(D967, ""[0-9]+[a-f]?\."", """"))"),"")</f>
        <v/>
      </c>
      <c r="I967" s="152" t="str">
        <f>IFERROR(__xludf.DUMMYFUNCTION("TRIM(REGEXREPLACE(E967, ""[0-9]+[a-f]?\."", """"))"),"")</f>
        <v/>
      </c>
      <c r="J967" s="152" t="s">
        <v>6873</v>
      </c>
      <c r="K967" s="152" t="s">
        <v>6874</v>
      </c>
      <c r="L967" s="152" t="s">
        <v>6875</v>
      </c>
    </row>
    <row r="968" hidden="1">
      <c r="A968" s="221"/>
      <c r="B968" s="221"/>
      <c r="C968" s="28" t="s">
        <v>50</v>
      </c>
      <c r="D968" s="28" t="s">
        <v>50</v>
      </c>
      <c r="E968" s="28" t="s">
        <v>50</v>
      </c>
      <c r="F968" s="161">
        <v>579.0</v>
      </c>
      <c r="G968" s="152" t="str">
        <f>IFERROR(__xludf.DUMMYFUNCTION("TRIM(REGEXREPLACE(C968, ""[0-9]+[a-f]?\."", """"))"),"")</f>
        <v/>
      </c>
      <c r="H968" s="152" t="str">
        <f>IFERROR(__xludf.DUMMYFUNCTION("TRIM(REGEXREPLACE(D968, ""[0-9]+[a-f]?\."", """"))"),"")</f>
        <v/>
      </c>
      <c r="I968" s="152" t="str">
        <f>IFERROR(__xludf.DUMMYFUNCTION("TRIM(REGEXREPLACE(E968, ""[0-9]+[a-f]?\."", """"))"),"")</f>
        <v/>
      </c>
      <c r="J968" s="152" t="s">
        <v>6876</v>
      </c>
      <c r="K968" s="152" t="s">
        <v>6877</v>
      </c>
      <c r="L968" s="152" t="s">
        <v>6878</v>
      </c>
    </row>
    <row r="969" hidden="1">
      <c r="A969" s="140" t="s">
        <v>131</v>
      </c>
      <c r="B969" s="298" t="s">
        <v>6879</v>
      </c>
      <c r="C969" s="28" t="s">
        <v>6880</v>
      </c>
      <c r="D969" s="28"/>
      <c r="E969" s="28"/>
      <c r="F969" s="161">
        <v>580.0</v>
      </c>
      <c r="G969" s="152" t="str">
        <f>IFERROR(__xludf.DUMMYFUNCTION("TRIM(REGEXREPLACE(C969, ""[0-9]+[a-f]?\."", """"))"),"Family consultations")</f>
        <v>Family consultations</v>
      </c>
      <c r="H969" s="152" t="str">
        <f>IFERROR(__xludf.DUMMYFUNCTION("TRIM(REGEXREPLACE(D969, ""[0-9]+[a-f]?\."", """"))"),"")</f>
        <v/>
      </c>
      <c r="I969" s="152" t="str">
        <f>IFERROR(__xludf.DUMMYFUNCTION("TRIM(REGEXREPLACE(E969, ""[0-9]+[a-f]?\."", """"))"),"")</f>
        <v/>
      </c>
      <c r="J969" s="152" t="s">
        <v>6883</v>
      </c>
      <c r="K969" s="152" t="s">
        <v>6884</v>
      </c>
      <c r="L969" s="152" t="s">
        <v>6885</v>
      </c>
    </row>
    <row r="970">
      <c r="A970" s="299" t="s">
        <v>41</v>
      </c>
      <c r="B970" s="299" t="s">
        <v>6886</v>
      </c>
      <c r="C970" s="28" t="s">
        <v>6887</v>
      </c>
      <c r="D970" s="28" t="s">
        <v>6888</v>
      </c>
      <c r="E970" s="28" t="s">
        <v>6889</v>
      </c>
      <c r="F970" s="161">
        <v>414.0</v>
      </c>
      <c r="G970" s="152" t="str">
        <f>IFERROR(__xludf.DUMMYFUNCTION("TRIM(REGEXREPLACE(C970, ""[0-9]+[a-f]?\."", """"))"),"I am now going to mention some things that families sometimes speak about. Please tell me if you and other adults in your household talk about these things")</f>
        <v>I am now going to mention some things that families sometimes speak about. Please tell me if you and other adults in your household talk about these things</v>
      </c>
      <c r="H970" s="152" t="str">
        <f>IFERROR(__xludf.DUMMYFUNCTION("TRIM(REGEXREPLACE(D970, ""[0-9]+[a-f]?\."", """"))"),"Je vais maintenant évoquer certaines choses dont les familles parlent parfois. S'il vous plaît, dites-moi si vous et d'autres adultes de votre ménage parlez de ces choses.")</f>
        <v>Je vais maintenant évoquer certaines choses dont les familles parlent parfois. S'il vous plaît, dites-moi si vous et d'autres adultes de votre ménage parlez de ces choses.</v>
      </c>
      <c r="I970" s="152" t="str">
        <f>IFERROR(__xludf.DUMMYFUNCTION("TRIM(REGEXREPLACE(E970, ""[0-9]+[a-f]?\."", """"))"),"Yanzu zan ambaci wasu abubuwa da wani lokaci mutane suke magana akai. Don Allah ku gaya mani idan ku da sauran mutanen gidanku kuna magana akan waɗannan abubuwan")</f>
        <v>Yanzu zan ambaci wasu abubuwa da wani lokaci mutane suke magana akai. Don Allah ku gaya mani idan ku da sauran mutanen gidanku kuna magana akan waɗannan abubuwan</v>
      </c>
      <c r="J970" s="152" t="s">
        <v>6890</v>
      </c>
      <c r="K970" s="152" t="s">
        <v>6891</v>
      </c>
      <c r="L970" s="152" t="s">
        <v>6892</v>
      </c>
    </row>
    <row r="971">
      <c r="A971" s="69" t="s">
        <v>4632</v>
      </c>
      <c r="B971" s="69" t="s">
        <v>6893</v>
      </c>
      <c r="C971" s="28" t="s">
        <v>6894</v>
      </c>
      <c r="D971" s="28" t="s">
        <v>6895</v>
      </c>
      <c r="E971" s="28" t="s">
        <v>6896</v>
      </c>
      <c r="F971" s="161">
        <v>415.0</v>
      </c>
      <c r="G971" s="152" t="str">
        <f>IFERROR(__xludf.DUMMYFUNCTION("TRIM(REGEXREPLACE(C971, ""[0-9]+[a-f]?\."", """"))"),"Things that happen at work or in the fields?")</f>
        <v>Things that happen at work or in the fields?</v>
      </c>
      <c r="H971" s="152" t="str">
        <f>IFERROR(__xludf.DUMMYFUNCTION("TRIM(REGEXREPLACE(D971, ""[0-9]+[a-f]?\."", """"))"),"Des choses qui se passent au travail ou dans les champs ?")</f>
        <v>Des choses qui se passent au travail ou dans les champs ?</v>
      </c>
      <c r="I971" s="152" t="str">
        <f>IFERROR(__xludf.DUMMYFUNCTION("TRIM(REGEXREPLACE(E971, ""[0-9]+[a-f]?\."", """"))"),"Abubuwan da ke faruwa a wurin aiki ko a gona?")</f>
        <v>Abubuwan da ke faruwa a wurin aiki ko a gona?</v>
      </c>
      <c r="J971" s="152" t="s">
        <v>6897</v>
      </c>
      <c r="K971" s="152" t="s">
        <v>6898</v>
      </c>
      <c r="L971" s="152" t="s">
        <v>6899</v>
      </c>
    </row>
    <row r="972">
      <c r="A972" s="69" t="s">
        <v>4632</v>
      </c>
      <c r="B972" s="69" t="s">
        <v>6900</v>
      </c>
      <c r="C972" s="28" t="s">
        <v>6901</v>
      </c>
      <c r="D972" s="28" t="s">
        <v>6902</v>
      </c>
      <c r="E972" s="28" t="s">
        <v>6903</v>
      </c>
      <c r="F972" s="161">
        <v>416.0</v>
      </c>
      <c r="G972" s="152" t="str">
        <f>IFERROR(__xludf.DUMMYFUNCTION("TRIM(REGEXREPLACE(C972, ""[0-9]+[a-f]?\."", """"))"),"Things that happen in the community?")</f>
        <v>Things that happen in the community?</v>
      </c>
      <c r="H972" s="152" t="str">
        <f>IFERROR(__xludf.DUMMYFUNCTION("TRIM(REGEXREPLACE(D972, ""[0-9]+[a-f]?\."", """"))"),"Des choses qui se passent dans la communauté ?")</f>
        <v>Des choses qui se passent dans la communauté ?</v>
      </c>
      <c r="I972" s="152" t="str">
        <f>IFERROR(__xludf.DUMMYFUNCTION("TRIM(REGEXREPLACE(E972, ""[0-9]+[a-f]?\."", """"))"),"Abubuwan da ke faruwa a cikin al'umma?")</f>
        <v>Abubuwan da ke faruwa a cikin al'umma?</v>
      </c>
      <c r="J972" s="152" t="s">
        <v>6904</v>
      </c>
      <c r="K972" s="152" t="s">
        <v>6905</v>
      </c>
      <c r="L972" s="152" t="s">
        <v>6906</v>
      </c>
    </row>
    <row r="973">
      <c r="A973" s="69" t="s">
        <v>4632</v>
      </c>
      <c r="B973" s="69" t="s">
        <v>6907</v>
      </c>
      <c r="C973" s="28" t="s">
        <v>6908</v>
      </c>
      <c r="D973" s="28" t="s">
        <v>6909</v>
      </c>
      <c r="E973" s="28" t="s">
        <v>6910</v>
      </c>
      <c r="F973" s="161">
        <v>417.0</v>
      </c>
      <c r="G973" s="152" t="str">
        <f>IFERROR(__xludf.DUMMYFUNCTION("TRIM(REGEXREPLACE(C973, ""[0-9]+[a-f]?\."", """"))"),"Who to vote for in local elections?")</f>
        <v>Who to vote for in local elections?</v>
      </c>
      <c r="H973" s="152" t="str">
        <f>IFERROR(__xludf.DUMMYFUNCTION("TRIM(REGEXREPLACE(D973, ""[0-9]+[a-f]?\."", """"))"),"Pour qui voter aux élections municipales ?")</f>
        <v>Pour qui voter aux élections municipales ?</v>
      </c>
      <c r="I973" s="152" t="str">
        <f>IFERROR(__xludf.DUMMYFUNCTION("TRIM(REGEXREPLACE(E973, ""[0-9]+[a-f]?\."", """"))"),"Wanene za'a zaɓa a zaɓen ƙananan hukumomi?")</f>
        <v>Wanene za'a zaɓa a zaɓen ƙananan hukumomi?</v>
      </c>
      <c r="J973" s="152" t="s">
        <v>6911</v>
      </c>
      <c r="K973" s="152" t="s">
        <v>6912</v>
      </c>
      <c r="L973" s="152" t="s">
        <v>6913</v>
      </c>
    </row>
    <row r="974">
      <c r="A974" s="69" t="s">
        <v>4632</v>
      </c>
      <c r="B974" s="69" t="s">
        <v>6915</v>
      </c>
      <c r="C974" s="28" t="s">
        <v>6916</v>
      </c>
      <c r="D974" s="28" t="s">
        <v>6918</v>
      </c>
      <c r="E974" s="28" t="s">
        <v>6919</v>
      </c>
      <c r="F974" s="161">
        <v>418.0</v>
      </c>
      <c r="G974" s="152" t="str">
        <f>IFERROR(__xludf.DUMMYFUNCTION("TRIM(REGEXREPLACE(C974, ""[0-9]+[a-f]?\."", """"))"),"How to you invest your money such as whether to improve your house")</f>
        <v>How to you invest your money such as whether to improve your house</v>
      </c>
      <c r="H974" s="152" t="str">
        <f>IFERROR(__xludf.DUMMYFUNCTION("TRIM(REGEXREPLACE(D974, ""[0-9]+[a-f]?\."", """"))"),"Comment investir votre argent, par exemple pour améliorer votre maison")</f>
        <v>Comment investir votre argent, par exemple pour améliorer votre maison</v>
      </c>
      <c r="I974" s="152" t="str">
        <f>IFERROR(__xludf.DUMMYFUNCTION("TRIM(REGEXREPLACE(E974, ""[0-9]+[a-f]?\."", """"))"),"Yadda za ku kashe kuɗin ku, kamar gyaran gidanku")</f>
        <v>Yadda za ku kashe kuɗin ku, kamar gyaran gidanku</v>
      </c>
      <c r="J974" s="152" t="s">
        <v>6920</v>
      </c>
      <c r="K974" s="152" t="s">
        <v>6921</v>
      </c>
      <c r="L974" s="152" t="s">
        <v>6922</v>
      </c>
    </row>
    <row r="975">
      <c r="A975" s="68" t="s">
        <v>4632</v>
      </c>
      <c r="B975" s="66" t="s">
        <v>6923</v>
      </c>
      <c r="C975" s="28" t="s">
        <v>6924</v>
      </c>
      <c r="D975" s="28" t="s">
        <v>6925</v>
      </c>
      <c r="E975" s="28" t="s">
        <v>6926</v>
      </c>
      <c r="F975" s="161">
        <v>419.0</v>
      </c>
      <c r="G975" s="152" t="str">
        <f>IFERROR(__xludf.DUMMYFUNCTION("TRIM(REGEXREPLACE(C975, ""[0-9]+[a-f]?\."", """"))"),"Family planning (when to have children)")</f>
        <v>Family planning (when to have children)</v>
      </c>
      <c r="H975" s="152" t="str">
        <f>IFERROR(__xludf.DUMMYFUNCTION("TRIM(REGEXREPLACE(D975, ""[0-9]+[a-f]?\."", """"))"),"Planification familiale (quand avoir des enfants)")</f>
        <v>Planification familiale (quand avoir des enfants)</v>
      </c>
      <c r="I975" s="152" t="str">
        <f>IFERROR(__xludf.DUMMYFUNCTION("TRIM(REGEXREPLACE(E975, ""[0-9]+[a-f]?\."", """"))"),"Tsarin iyali (lokacin ɗaukan ciki)")</f>
        <v>Tsarin iyali (lokacin ɗaukan ciki)</v>
      </c>
      <c r="J975" s="152" t="s">
        <v>6927</v>
      </c>
      <c r="K975" s="152" t="s">
        <v>6928</v>
      </c>
      <c r="L975" s="152" t="s">
        <v>6929</v>
      </c>
    </row>
    <row r="976">
      <c r="A976" s="69" t="s">
        <v>4632</v>
      </c>
      <c r="B976" s="69" t="s">
        <v>6930</v>
      </c>
      <c r="C976" s="28" t="s">
        <v>6931</v>
      </c>
      <c r="D976" s="28" t="s">
        <v>6932</v>
      </c>
      <c r="E976" s="28" t="s">
        <v>6933</v>
      </c>
      <c r="F976" s="161">
        <v>420.0</v>
      </c>
      <c r="G976" s="152" t="str">
        <f>IFERROR(__xludf.DUMMYFUNCTION("TRIM(REGEXREPLACE(C976, ""[0-9]+[a-f]?\."", """"))"),"Household members decisions to migrate")</f>
        <v>Household members decisions to migrate</v>
      </c>
      <c r="H976" s="152" t="str">
        <f>IFERROR(__xludf.DUMMYFUNCTION("TRIM(REGEXREPLACE(D976, ""[0-9]+[a-f]?\."", """"))"),"Décisions des membres du ménage de migrer")</f>
        <v>Décisions des membres du ménage de migrer</v>
      </c>
      <c r="I976" s="152" t="str">
        <f>IFERROR(__xludf.DUMMYFUNCTION("TRIM(REGEXREPLACE(E976, ""[0-9]+[a-f]?\."", """"))"),"Yan gida sun yanke shawarar ƙaura")</f>
        <v>Yan gida sun yanke shawarar ƙaura</v>
      </c>
      <c r="J976" s="152" t="s">
        <v>6935</v>
      </c>
      <c r="K976" s="152" t="s">
        <v>6936</v>
      </c>
      <c r="L976" s="152" t="s">
        <v>6937</v>
      </c>
    </row>
    <row r="977">
      <c r="A977" s="69" t="s">
        <v>463</v>
      </c>
      <c r="B977" s="69" t="s">
        <v>6938</v>
      </c>
      <c r="C977" s="28" t="s">
        <v>6939</v>
      </c>
      <c r="D977" s="28" t="s">
        <v>6940</v>
      </c>
      <c r="E977" s="28" t="s">
        <v>6941</v>
      </c>
      <c r="F977" s="161">
        <v>421.0</v>
      </c>
      <c r="G977" s="152" t="str">
        <f>IFERROR(__xludf.DUMMYFUNCTION("TRIM(REGEXREPLACE(C977, ""[0-9]+[a-f]?\."", """"))"),"Do you and members of your household ever disagree about any of these topics?")</f>
        <v>Do you and members of your household ever disagree about any of these topics?</v>
      </c>
      <c r="H977" s="152" t="str">
        <f>IFERROR(__xludf.DUMMYFUNCTION("TRIM(REGEXREPLACE(D977, ""[0-9]+[a-f]?\."", """"))"),"Vous et votre conjoint êtes-vous déjà en désaccord sur ces sujets ?")</f>
        <v>Vous et votre conjoint êtes-vous déjà en désaccord sur ces sujets ?</v>
      </c>
      <c r="I977" s="152" t="str">
        <f>IFERROR(__xludf.DUMMYFUNCTION("TRIM(REGEXREPLACE(E977, ""[0-9]+[a-f]?\."", """"))"),"Ko kai da matarka kun taɓa samun saɓani game da waɗannan batutuwa?")</f>
        <v>Ko kai da matarka kun taɓa samun saɓani game da waɗannan batutuwa?</v>
      </c>
      <c r="J977" s="152" t="s">
        <v>6942</v>
      </c>
      <c r="K977" s="152" t="s">
        <v>6943</v>
      </c>
      <c r="L977" s="152" t="s">
        <v>6944</v>
      </c>
    </row>
    <row r="978">
      <c r="A978" s="69" t="s">
        <v>463</v>
      </c>
      <c r="B978" s="69" t="s">
        <v>6945</v>
      </c>
      <c r="C978" s="28" t="s">
        <v>6946</v>
      </c>
      <c r="D978" s="28" t="s">
        <v>6947</v>
      </c>
      <c r="E978" s="28" t="s">
        <v>6949</v>
      </c>
      <c r="F978" s="161">
        <v>422.0</v>
      </c>
      <c r="G978" s="152" t="str">
        <f>IFERROR(__xludf.DUMMYFUNCTION("TRIM(REGEXREPLACE(C978, ""[0-9]+[a-f]?\."", """"))"),"Do these conversations ever get contentious?")</f>
        <v>Do these conversations ever get contentious?</v>
      </c>
      <c r="H978" s="152" t="str">
        <f>IFERROR(__xludf.DUMMYFUNCTION("TRIM(REGEXREPLACE(D978, ""[0-9]+[a-f]?\."", """"))"),"Ces conversations deviennent-elles parfois controversées ?")</f>
        <v>Ces conversations deviennent-elles parfois controversées ?</v>
      </c>
      <c r="I978" s="152" t="str">
        <f>IFERROR(__xludf.DUMMYFUNCTION("TRIM(REGEXREPLACE(E978, ""[0-9]+[a-f]?\."", """"))"),"Ko waɗannan hirarrakin sun taɓa zama sabani?")</f>
        <v>Ko waɗannan hirarrakin sun taɓa zama sabani?</v>
      </c>
      <c r="J978" s="152" t="s">
        <v>6950</v>
      </c>
      <c r="K978" s="152" t="s">
        <v>6951</v>
      </c>
      <c r="L978" s="152" t="s">
        <v>6952</v>
      </c>
    </row>
    <row r="979" hidden="1">
      <c r="A979" s="140" t="s">
        <v>237</v>
      </c>
      <c r="B979" s="140" t="s">
        <v>6879</v>
      </c>
      <c r="C979" s="28" t="s">
        <v>6880</v>
      </c>
      <c r="D979" s="28"/>
      <c r="E979" s="28"/>
      <c r="F979" s="161">
        <v>144.0</v>
      </c>
      <c r="G979" s="152" t="str">
        <f>IFERROR(__xludf.DUMMYFUNCTION("TRIM(REGEXREPLACE(C979, ""[0-9]+[a-f]?\."", """"))"),"Family consultations")</f>
        <v>Family consultations</v>
      </c>
      <c r="H979" s="152" t="str">
        <f>IFERROR(__xludf.DUMMYFUNCTION("TRIM(REGEXREPLACE(D979, ""[0-9]+[a-f]?\."", """"))"),"")</f>
        <v/>
      </c>
      <c r="I979" s="152" t="str">
        <f>IFERROR(__xludf.DUMMYFUNCTION("TRIM(REGEXREPLACE(E979, ""[0-9]+[a-f]?\."", """"))"),"")</f>
        <v/>
      </c>
      <c r="J979" s="152" t="str">
        <f t="shared" ref="J979:L979" si="79">$F979 &amp; ". " &amp;G979</f>
        <v>144. Family consultations</v>
      </c>
      <c r="K979" s="152" t="str">
        <f t="shared" si="79"/>
        <v>144. </v>
      </c>
      <c r="L979" s="152" t="str">
        <f t="shared" si="79"/>
        <v>144. </v>
      </c>
    </row>
    <row r="980" hidden="1">
      <c r="A980" s="65" t="s">
        <v>134</v>
      </c>
      <c r="B980" s="66" t="s">
        <v>6954</v>
      </c>
      <c r="C980" s="28"/>
      <c r="D980" s="28"/>
      <c r="E980" s="28"/>
      <c r="F980" s="161">
        <v>145.0</v>
      </c>
      <c r="G980" s="152" t="str">
        <f>IFERROR(__xludf.DUMMYFUNCTION("TRIM(REGEXREPLACE(C980, ""[0-9]+[a-f]?\."", """"))"),"")</f>
        <v/>
      </c>
      <c r="H980" s="152" t="str">
        <f>IFERROR(__xludf.DUMMYFUNCTION("TRIM(REGEXREPLACE(D980, ""[0-9]+[a-f]?\."", """"))"),"")</f>
        <v/>
      </c>
      <c r="I980" s="152" t="str">
        <f>IFERROR(__xludf.DUMMYFUNCTION("TRIM(REGEXREPLACE(E980, ""[0-9]+[a-f]?\."", """"))"),"")</f>
        <v/>
      </c>
      <c r="J980" s="152" t="str">
        <f t="shared" ref="J980:L980" si="80">$F980 &amp; ". " &amp;G980</f>
        <v>145. </v>
      </c>
      <c r="K980" s="152" t="str">
        <f t="shared" si="80"/>
        <v>145. </v>
      </c>
      <c r="L980" s="152" t="str">
        <f t="shared" si="80"/>
        <v>145. </v>
      </c>
    </row>
    <row r="981" hidden="1">
      <c r="A981" s="65" t="s">
        <v>78</v>
      </c>
      <c r="B981" s="272" t="s">
        <v>6955</v>
      </c>
      <c r="C981" s="28"/>
      <c r="D981" s="28"/>
      <c r="E981" s="28"/>
      <c r="F981" s="161">
        <v>146.0</v>
      </c>
      <c r="G981" s="152" t="str">
        <f>IFERROR(__xludf.DUMMYFUNCTION("TRIM(REGEXREPLACE(C981, ""[0-9]+[a-f]?\."", """"))"),"")</f>
        <v/>
      </c>
      <c r="H981" s="152" t="str">
        <f>IFERROR(__xludf.DUMMYFUNCTION("TRIM(REGEXREPLACE(D981, ""[0-9]+[a-f]?\."", """"))"),"")</f>
        <v/>
      </c>
      <c r="I981" s="152" t="str">
        <f>IFERROR(__xludf.DUMMYFUNCTION("TRIM(REGEXREPLACE(E981, ""[0-9]+[a-f]?\."", """"))"),"")</f>
        <v/>
      </c>
      <c r="J981" s="152" t="str">
        <f t="shared" ref="J981:L981" si="81">$F981 &amp; ". " &amp;G981</f>
        <v>146. </v>
      </c>
      <c r="K981" s="152" t="str">
        <f t="shared" si="81"/>
        <v>146. </v>
      </c>
      <c r="L981" s="152" t="str">
        <f t="shared" si="81"/>
        <v>146. </v>
      </c>
    </row>
    <row r="982" hidden="1">
      <c r="A982" s="221"/>
      <c r="B982" s="221"/>
      <c r="C982" s="28" t="s">
        <v>50</v>
      </c>
      <c r="D982" s="28" t="s">
        <v>50</v>
      </c>
      <c r="E982" s="28" t="s">
        <v>50</v>
      </c>
      <c r="F982" s="161">
        <v>532.0</v>
      </c>
      <c r="G982" s="152" t="str">
        <f>IFERROR(__xludf.DUMMYFUNCTION("TRIM(REGEXREPLACE(C982, ""[0-9]+[a-f]?\."", """"))"),"")</f>
        <v/>
      </c>
      <c r="H982" s="152" t="str">
        <f>IFERROR(__xludf.DUMMYFUNCTION("TRIM(REGEXREPLACE(D982, ""[0-9]+[a-f]?\."", """"))"),"")</f>
        <v/>
      </c>
      <c r="I982" s="152" t="str">
        <f>IFERROR(__xludf.DUMMYFUNCTION("TRIM(REGEXREPLACE(E982, ""[0-9]+[a-f]?\."", """"))"),"")</f>
        <v/>
      </c>
      <c r="J982" s="152" t="s">
        <v>6958</v>
      </c>
      <c r="K982" s="152" t="s">
        <v>6959</v>
      </c>
      <c r="L982" s="152" t="s">
        <v>6960</v>
      </c>
    </row>
    <row r="983" hidden="1">
      <c r="A983" s="140" t="s">
        <v>131</v>
      </c>
      <c r="B983" s="298" t="s">
        <v>6961</v>
      </c>
      <c r="C983" s="28" t="s">
        <v>6962</v>
      </c>
      <c r="D983" s="28"/>
      <c r="E983" s="28"/>
      <c r="F983" s="161">
        <v>533.0</v>
      </c>
      <c r="G983" s="152" t="str">
        <f>IFERROR(__xludf.DUMMYFUNCTION("TRIM(REGEXREPLACE(C983, ""[0-9]+[a-f]?\."", """"))"),"Society Opinions")</f>
        <v>Society Opinions</v>
      </c>
      <c r="H983" s="152" t="str">
        <f>IFERROR(__xludf.DUMMYFUNCTION("TRIM(REGEXREPLACE(D983, ""[0-9]+[a-f]?\."", """"))"),"")</f>
        <v/>
      </c>
      <c r="I983" s="152" t="str">
        <f>IFERROR(__xludf.DUMMYFUNCTION("TRIM(REGEXREPLACE(E983, ""[0-9]+[a-f]?\."", """"))"),"")</f>
        <v/>
      </c>
      <c r="J983" s="152" t="s">
        <v>6963</v>
      </c>
      <c r="K983" s="152" t="s">
        <v>6964</v>
      </c>
      <c r="L983" s="152" t="s">
        <v>6965</v>
      </c>
    </row>
    <row r="984">
      <c r="A984" s="166" t="s">
        <v>41</v>
      </c>
      <c r="B984" s="299" t="s">
        <v>6966</v>
      </c>
      <c r="C984" s="28" t="s">
        <v>6967</v>
      </c>
      <c r="D984" s="28" t="s">
        <v>6968</v>
      </c>
      <c r="E984" s="28" t="s">
        <v>6969</v>
      </c>
      <c r="F984" s="161">
        <v>423.0</v>
      </c>
      <c r="G984" s="152" t="str">
        <f>IFERROR(__xludf.DUMMYFUNCTION("TRIM(REGEXREPLACE(C984, ""[0-9]+[a-f]?\."", """"))"),"Now I wil ask you about your opinions about the type of society you want to live in.")</f>
        <v>Now I wil ask you about your opinions about the type of society you want to live in.</v>
      </c>
      <c r="H984" s="152" t="str">
        <f>IFERROR(__xludf.DUMMYFUNCTION("TRIM(REGEXREPLACE(D984, ""[0-9]+[a-f]?\."", """"))"),"Maintenant, je vais vous demander votre opinion sur le type de société dans laquelle vous souhaitez vivre.")</f>
        <v>Maintenant, je vais vous demander votre opinion sur le type de société dans laquelle vous souhaitez vivre.</v>
      </c>
      <c r="I984" s="152" t="str">
        <f>IFERROR(__xludf.DUMMYFUNCTION("TRIM(REGEXREPLACE(E984, ""[0-9]+[a-f]?\."", """"))"),"Yanzu zan tambaye ra'ayinku game da wasu mutane daban da ku, da kuma irin al'ummar da kuke son rayuwa a ciki.")</f>
        <v>Yanzu zan tambaye ra'ayinku game da wasu mutane daban da ku, da kuma irin al'ummar da kuke son rayuwa a ciki.</v>
      </c>
      <c r="J984" s="152" t="s">
        <v>6970</v>
      </c>
      <c r="K984" s="152" t="s">
        <v>6971</v>
      </c>
      <c r="L984" s="152" t="s">
        <v>6972</v>
      </c>
    </row>
    <row r="985">
      <c r="A985" s="166" t="s">
        <v>41</v>
      </c>
      <c r="B985" s="167" t="s">
        <v>6973</v>
      </c>
      <c r="C985" s="28" t="s">
        <v>6974</v>
      </c>
      <c r="D985" s="28" t="s">
        <v>6975</v>
      </c>
      <c r="E985" s="28" t="s">
        <v>6976</v>
      </c>
      <c r="F985" s="161">
        <v>424.0</v>
      </c>
      <c r="G985" s="152" t="str">
        <f>IFERROR(__xludf.DUMMYFUNCTION("TRIM(REGEXREPLACE(C985, ""[0-9]+[a-f]?\."", """"))"),"Could you tell me your general feeling about each group of people is positive or negative on a scale of 0 to 10 where 0 is very negative and 10 is very positive")</f>
        <v>Could you tell me your general feeling about each group of people is positive or negative on a scale of 0 to 10 where 0 is very negative and 10 is very positive</v>
      </c>
      <c r="H985" s="152" t="str">
        <f>IFERROR(__xludf.DUMMYFUNCTION("TRIM(REGEXREPLACE(D985, ""[0-9]+[a-f]?\."", """"))"),"Pourriez-vous me dire votre sentiment général sur chaque groupe de personnes s'il est positif ou négatif sur une échelle de 0 à 10 où 0 est très négatif et 10 est très positif")</f>
        <v>Pourriez-vous me dire votre sentiment général sur chaque groupe de personnes s'il est positif ou négatif sur une échelle de 0 à 10 où 0 est très négatif et 10 est très positif</v>
      </c>
      <c r="I985" s="152" t="str">
        <f>IFERROR(__xludf.DUMMYFUNCTION("TRIM(REGEXREPLACE(E985, ""[0-9]+[a-f]?\."", """"))"),"Ko za ku iya gaya mini yanda kuke gani game da kowane gungun mutane, yana da kyau ko baya da kyau akan kuranga 0 zuwa 10 inda 0 ba shi da kyau sosai kuma 10 yana da inganci sosai.")</f>
        <v>Ko za ku iya gaya mini yanda kuke gani game da kowane gungun mutane, yana da kyau ko baya da kyau akan kuranga 0 zuwa 10 inda 0 ba shi da kyau sosai kuma 10 yana da inganci sosai.</v>
      </c>
      <c r="J985" s="152" t="s">
        <v>6977</v>
      </c>
      <c r="K985" s="152" t="s">
        <v>6979</v>
      </c>
      <c r="L985" s="152" t="s">
        <v>6980</v>
      </c>
    </row>
    <row r="986">
      <c r="A986" s="170" t="s">
        <v>263</v>
      </c>
      <c r="B986" s="171" t="s">
        <v>6981</v>
      </c>
      <c r="C986" s="28" t="s">
        <v>6982</v>
      </c>
      <c r="D986" s="28" t="s">
        <v>6983</v>
      </c>
      <c r="E986" s="28" t="s">
        <v>6984</v>
      </c>
      <c r="F986" s="161">
        <v>425.0</v>
      </c>
      <c r="G986" s="152" t="str">
        <f>IFERROR(__xludf.DUMMYFUNCTION("TRIM(REGEXREPLACE(C986, ""[0-9]+[a-f]?\."", """"))"),"Followers of other religions")</f>
        <v>Followers of other religions</v>
      </c>
      <c r="H986" s="152" t="str">
        <f>IFERROR(__xludf.DUMMYFUNCTION("TRIM(REGEXREPLACE(D986, ""[0-9]+[a-f]?\."", """"))"),"Adeptes d'autres religions")</f>
        <v>Adeptes d'autres religions</v>
      </c>
      <c r="I986" s="152" t="str">
        <f>IFERROR(__xludf.DUMMYFUNCTION("TRIM(REGEXREPLACE(E986, ""[0-9]+[a-f]?\."", """"))"),"Mabiya wasu addinai")</f>
        <v>Mabiya wasu addinai</v>
      </c>
      <c r="J986" s="152" t="s">
        <v>6986</v>
      </c>
      <c r="K986" s="152" t="s">
        <v>6987</v>
      </c>
      <c r="L986" s="152" t="s">
        <v>6988</v>
      </c>
    </row>
    <row r="987">
      <c r="A987" s="170" t="s">
        <v>263</v>
      </c>
      <c r="B987" s="171" t="s">
        <v>6990</v>
      </c>
      <c r="C987" s="28" t="s">
        <v>6992</v>
      </c>
      <c r="D987" s="28" t="s">
        <v>6993</v>
      </c>
      <c r="E987" s="28" t="s">
        <v>6995</v>
      </c>
      <c r="F987" s="161">
        <v>426.0</v>
      </c>
      <c r="G987" s="152" t="str">
        <f>IFERROR(__xludf.DUMMYFUNCTION("TRIM(REGEXREPLACE(C987, ""[0-9]+[a-f]?\."", """"))"),"People of different ethnic groups")</f>
        <v>People of different ethnic groups</v>
      </c>
      <c r="H987" s="152" t="str">
        <f>IFERROR(__xludf.DUMMYFUNCTION("TRIM(REGEXREPLACE(D987, ""[0-9]+[a-f]?\."", """"))"),"Personnes de différents groupes ethniques")</f>
        <v>Personnes de différents groupes ethniques</v>
      </c>
      <c r="I987" s="152" t="str">
        <f>IFERROR(__xludf.DUMMYFUNCTION("TRIM(REGEXREPLACE(E987, ""[0-9]+[a-f]?\."", """"))"),"Mutanen wasu kabilu daban")</f>
        <v>Mutanen wasu kabilu daban</v>
      </c>
      <c r="J987" s="152" t="s">
        <v>6996</v>
      </c>
      <c r="K987" s="152" t="s">
        <v>6997</v>
      </c>
      <c r="L987" s="152" t="s">
        <v>6998</v>
      </c>
    </row>
    <row r="988">
      <c r="A988" s="170" t="s">
        <v>263</v>
      </c>
      <c r="B988" s="171" t="s">
        <v>6999</v>
      </c>
      <c r="C988" s="28" t="s">
        <v>7000</v>
      </c>
      <c r="D988" s="28" t="s">
        <v>7001</v>
      </c>
      <c r="E988" s="28" t="s">
        <v>7002</v>
      </c>
      <c r="F988" s="161">
        <v>427.0</v>
      </c>
      <c r="G988" s="152" t="str">
        <f>IFERROR(__xludf.DUMMYFUNCTION("TRIM(REGEXREPLACE(C988, ""[0-9]+[a-f]?\."", """"))"),"Immigrants who come to Niger as foreign workers")</f>
        <v>Immigrants who come to Niger as foreign workers</v>
      </c>
      <c r="H988" s="152" t="str">
        <f>IFERROR(__xludf.DUMMYFUNCTION("TRIM(REGEXREPLACE(D988, ""[0-9]+[a-f]?\."", """"))"),"Les immigrés qui viennent au Niger en tant que travailleurs étrangers")</f>
        <v>Les immigrés qui viennent au Niger en tant que travailleurs étrangers</v>
      </c>
      <c r="I988" s="152" t="str">
        <f>IFERROR(__xludf.DUMMYFUNCTION("TRIM(REGEXREPLACE(E988, ""[0-9]+[a-f]?\."", """"))"),"Baƙin haure masu zuwa Nijar a matsayin ma'aikata ƴan ƙasashen waje")</f>
        <v>Baƙin haure masu zuwa Nijar a matsayin ma'aikata ƴan ƙasashen waje</v>
      </c>
      <c r="J988" s="152" t="s">
        <v>7003</v>
      </c>
      <c r="K988" s="152" t="s">
        <v>7004</v>
      </c>
      <c r="L988" s="152" t="s">
        <v>7005</v>
      </c>
    </row>
    <row r="989">
      <c r="A989" s="170" t="s">
        <v>263</v>
      </c>
      <c r="B989" s="171" t="s">
        <v>7007</v>
      </c>
      <c r="C989" s="28" t="s">
        <v>7009</v>
      </c>
      <c r="D989" s="28" t="s">
        <v>7011</v>
      </c>
      <c r="E989" s="28" t="s">
        <v>7012</v>
      </c>
      <c r="F989" s="161">
        <v>428.0</v>
      </c>
      <c r="G989" s="152" t="str">
        <f>IFERROR(__xludf.DUMMYFUNCTION("TRIM(REGEXREPLACE(C989, ""[0-9]+[a-f]?\."", """"))"),"People of a different sect of Islam")</f>
        <v>People of a different sect of Islam</v>
      </c>
      <c r="H989" s="152" t="str">
        <f>IFERROR(__xludf.DUMMYFUNCTION("TRIM(REGEXREPLACE(D989, ""[0-9]+[a-f]?\."", """"))"),"Les gens d'une autre secte de l'Islam")</f>
        <v>Les gens d'une autre secte de l'Islam</v>
      </c>
      <c r="I989" s="152" t="str">
        <f>IFERROR(__xludf.DUMMYFUNCTION("TRIM(REGEXREPLACE(E989, ""[0-9]+[a-f]?\."", """"))"),"Mabiya wasu ɗarikun musulunci")</f>
        <v>Mabiya wasu ɗarikun musulunci</v>
      </c>
      <c r="J989" s="152" t="s">
        <v>7014</v>
      </c>
      <c r="K989" s="152" t="s">
        <v>7015</v>
      </c>
      <c r="L989" s="152" t="s">
        <v>7016</v>
      </c>
    </row>
    <row r="990">
      <c r="A990" s="68" t="s">
        <v>463</v>
      </c>
      <c r="B990" s="169" t="s">
        <v>7017</v>
      </c>
      <c r="C990" s="28" t="s">
        <v>7018</v>
      </c>
      <c r="D990" s="28" t="s">
        <v>7019</v>
      </c>
      <c r="E990" s="28" t="s">
        <v>7020</v>
      </c>
      <c r="F990" s="161">
        <v>429.0</v>
      </c>
      <c r="G990" s="152" t="str">
        <f>IFERROR(__xludf.DUMMYFUNCTION("TRIM(REGEXREPLACE(C990, ""[0-9]+[a-f]?\."", """"))"),"Imagine one of your daughters wanted to marry someone of a different religious faith, would you give them your permission?")</f>
        <v>Imagine one of your daughters wanted to marry someone of a different religious faith, would you give them your permission?</v>
      </c>
      <c r="H990" s="152" t="str">
        <f>IFERROR(__xludf.DUMMYFUNCTION("TRIM(REGEXREPLACE(D990, ""[0-9]+[a-f]?\."", """"))"),"Imaginez qu'une de vos filles veuille épouser quelqu'un d'une confession religieuse différente, leur donneriez-vous votre permission ?")</f>
        <v>Imaginez qu'une de vos filles veuille épouser quelqu'un d'une confession religieuse différente, leur donneriez-vous votre permission ?</v>
      </c>
      <c r="I990" s="152" t="str">
        <f>IFERROR(__xludf.DUMMYFUNCTION("TRIM(REGEXREPLACE(E990, ""[0-9]+[a-f]?\."", """"))"),"Ku ƙaddara da wata ɗiyarku ta na son ta auri wani mai bin wani addini daban, za ku bada izininku?")</f>
        <v>Ku ƙaddara da wata ɗiyarku ta na son ta auri wani mai bin wani addini daban, za ku bada izininku?</v>
      </c>
      <c r="J990" s="152" t="s">
        <v>7024</v>
      </c>
      <c r="K990" s="152" t="s">
        <v>7025</v>
      </c>
      <c r="L990" s="152" t="s">
        <v>7026</v>
      </c>
    </row>
    <row r="991">
      <c r="A991" s="68" t="s">
        <v>463</v>
      </c>
      <c r="B991" s="169" t="s">
        <v>7027</v>
      </c>
      <c r="C991" s="28" t="s">
        <v>7028</v>
      </c>
      <c r="D991" s="28" t="s">
        <v>7029</v>
      </c>
      <c r="E991" s="28" t="s">
        <v>7030</v>
      </c>
      <c r="F991" s="161">
        <v>430.0</v>
      </c>
      <c r="G991" s="152" t="str">
        <f>IFERROR(__xludf.DUMMYFUNCTION("TRIM(REGEXREPLACE(C991, ""[0-9]+[a-f]?\."", """"))"),"Imagine one of your sons wanted to marry someone of a different religious faith, would you give them your permission?")</f>
        <v>Imagine one of your sons wanted to marry someone of a different religious faith, would you give them your permission?</v>
      </c>
      <c r="H991" s="152" t="str">
        <f>IFERROR(__xludf.DUMMYFUNCTION("TRIM(REGEXREPLACE(D991, ""[0-9]+[a-f]?\."", """"))"),"Imaginez que l'un de vos fils veuille épouser quelqu'un d'une confession religieuse différente, leur donneriez-vous votre permission ?")</f>
        <v>Imaginez que l'un de vos fils veuille épouser quelqu'un d'une confession religieuse différente, leur donneriez-vous votre permission ?</v>
      </c>
      <c r="I991" s="152" t="str">
        <f>IFERROR(__xludf.DUMMYFUNCTION("TRIM(REGEXREPLACE(E991, ""[0-9]+[a-f]?\."", """"))"),"Ku ƙaddara da wani ɗanku ya na son ya auri wata ƴar addini daban, za ku bada izininku?")</f>
        <v>Ku ƙaddara da wani ɗanku ya na son ya auri wata ƴar addini daban, za ku bada izininku?</v>
      </c>
      <c r="J991" s="152" t="s">
        <v>7031</v>
      </c>
      <c r="K991" s="152" t="s">
        <v>7032</v>
      </c>
      <c r="L991" s="152" t="s">
        <v>7033</v>
      </c>
    </row>
    <row r="992">
      <c r="A992" s="68" t="s">
        <v>463</v>
      </c>
      <c r="B992" s="169" t="s">
        <v>7035</v>
      </c>
      <c r="C992" s="28" t="s">
        <v>7036</v>
      </c>
      <c r="D992" s="28" t="s">
        <v>7037</v>
      </c>
      <c r="E992" s="28" t="s">
        <v>7038</v>
      </c>
      <c r="F992" s="161">
        <v>431.0</v>
      </c>
      <c r="G992" s="152" t="str">
        <f>IFERROR(__xludf.DUMMYFUNCTION("TRIM(REGEXREPLACE(C992, ""[0-9]+[a-f]?\."", """"))"),"Imagine one of your daughters wanted to marry someone of a different ethnic group, would you give them your permission?")</f>
        <v>Imagine one of your daughters wanted to marry someone of a different ethnic group, would you give them your permission?</v>
      </c>
      <c r="H992" s="152" t="str">
        <f>IFERROR(__xludf.DUMMYFUNCTION("TRIM(REGEXREPLACE(D992, ""[0-9]+[a-f]?\."", """"))"),"Imaginez qu'une de vos filles veuille épouser quelqu'un d'un groupe ethnique différent, leur donneriez-vous votre permission ?")</f>
        <v>Imaginez qu'une de vos filles veuille épouser quelqu'un d'un groupe ethnique différent, leur donneriez-vous votre permission ?</v>
      </c>
      <c r="I992" s="152" t="str">
        <f>IFERROR(__xludf.DUMMYFUNCTION("TRIM(REGEXREPLACE(E992, ""[0-9]+[a-f]?\."", """"))"),"Ku ƙaddara da wata ɗiyarka ta son ta auri ɗan wata kabila daban, za ku bada izininku?")</f>
        <v>Ku ƙaddara da wata ɗiyarka ta son ta auri ɗan wata kabila daban, za ku bada izininku?</v>
      </c>
      <c r="J992" s="152" t="s">
        <v>7040</v>
      </c>
      <c r="K992" s="152" t="s">
        <v>7041</v>
      </c>
      <c r="L992" s="152" t="s">
        <v>7042</v>
      </c>
    </row>
    <row r="993">
      <c r="A993" s="68" t="s">
        <v>463</v>
      </c>
      <c r="B993" s="169" t="s">
        <v>7043</v>
      </c>
      <c r="C993" s="28" t="s">
        <v>7044</v>
      </c>
      <c r="D993" s="28" t="s">
        <v>7045</v>
      </c>
      <c r="E993" s="28" t="s">
        <v>7046</v>
      </c>
      <c r="F993" s="161">
        <v>432.0</v>
      </c>
      <c r="G993" s="152" t="str">
        <f>IFERROR(__xludf.DUMMYFUNCTION("TRIM(REGEXREPLACE(C993, ""[0-9]+[a-f]?\."", """"))"),"Imagine one of your sons wanted to marry someone of a different ethnic group, would you give them your permission?")</f>
        <v>Imagine one of your sons wanted to marry someone of a different ethnic group, would you give them your permission?</v>
      </c>
      <c r="H993" s="152" t="str">
        <f>IFERROR(__xludf.DUMMYFUNCTION("TRIM(REGEXREPLACE(D993, ""[0-9]+[a-f]?\."", """"))"),"Imaginez que l'un de vos fils veuille épouser quelqu'un d'un groupe ethnique différent, leur donneriez-vous votre permission ?")</f>
        <v>Imaginez que l'un de vos fils veuille épouser quelqu'un d'un groupe ethnique différent, leur donneriez-vous votre permission ?</v>
      </c>
      <c r="I993" s="152" t="str">
        <f>IFERROR(__xludf.DUMMYFUNCTION("TRIM(REGEXREPLACE(E993, ""[0-9]+[a-f]?\."", """"))"),"Ku ƙaddara da wani ɗanku ya na son ya auri wani ɗan wata ƙabila daban, za ku bada izininku?")</f>
        <v>Ku ƙaddara da wani ɗanku ya na son ya auri wani ɗan wata ƙabila daban, za ku bada izininku?</v>
      </c>
      <c r="J993" s="152" t="s">
        <v>7050</v>
      </c>
      <c r="K993" s="152" t="s">
        <v>7051</v>
      </c>
      <c r="L993" s="152" t="s">
        <v>7052</v>
      </c>
    </row>
    <row r="994">
      <c r="A994" s="68" t="s">
        <v>7053</v>
      </c>
      <c r="B994" s="69" t="s">
        <v>7054</v>
      </c>
      <c r="C994" s="28" t="s">
        <v>7055</v>
      </c>
      <c r="D994" s="28" t="s">
        <v>7056</v>
      </c>
      <c r="E994" s="28" t="s">
        <v>7057</v>
      </c>
      <c r="F994" s="161">
        <v>433.0</v>
      </c>
      <c r="G994" s="152" t="str">
        <f>IFERROR(__xludf.DUMMYFUNCTION("TRIM(REGEXREPLACE(C994, ""[0-9]+[a-f]?\."", """"))"),"I will read you three statements. Please tell me which of these statements is closest to your opinion: 
 1) Democracy is preferable to any other kind of government 
 2) In some circumstances a non-democratic government can be preferable 
 3) For someone"&amp;" like me, it doesn't matter what kind of government we have")</f>
        <v>I will read you three statements. Please tell me which of these statements is closest to your opinion: 
 1) Democracy is preferable to any other kind of government 
 2) In some circumstances a non-democratic government can be preferable 
 3) For someone like me, it doesn't matter what kind of government we have</v>
      </c>
      <c r="H994" s="152" t="str">
        <f>IFERROR(__xludf.DUMMYFUNCTION("TRIM(REGEXREPLACE(D994, ""[0-9]+[a-f]?\."", """"))"),"Je vais vous lire trois déclarations. Veuillez me dire laquelle de ces déclarations est la plus proche de votre opinion :
 1) La démocratie est préférable à tout autre type de gouvernement
 2) Dans certaines circonstances, un gouvernement non démocrat"&amp;"ique peut être préférable
 3) Pour quelqu'un comme moi, peu importe le type de gouvernement que nous avons")</f>
        <v>Je vais vous lire trois déclarations. Veuillez me dire laquelle de ces déclarations est la plus proche de votre opinion :
 1) La démocratie est préférable à tout autre type de gouvernement
 2) Dans certaines circonstances, un gouvernement non démocratique peut être préférable
 3) Pour quelqu'un comme moi, peu importe le type de gouvernement que nous avons</v>
      </c>
      <c r="I994" s="152" t="str">
        <f>IFERROR(__xludf.DUMMYFUNCTION("TRIM(REGEXREPLACE(E994, ""[0-9]+[a-f]?\."", """"))"),"1) Tsarin dimoraɗiyya ya fi kowane irin tsari mulki
 2) A wani yanayi ana iya fifita gwamnatin da ba ta demokradiyya ba
 3) Ga mutum irina, ba ruwanmu da wane irin gwamnati muke da ita”.")</f>
        <v>1) Tsarin dimoraɗiyya ya fi kowane irin tsari mulki
 2) A wani yanayi ana iya fifita gwamnatin da ba ta demokradiyya ba
 3) Ga mutum irina, ba ruwanmu da wane irin gwamnati muke da ita”.</v>
      </c>
      <c r="J994" s="152" t="s">
        <v>7058</v>
      </c>
      <c r="K994" s="152" t="s">
        <v>7060</v>
      </c>
      <c r="L994" s="152" t="s">
        <v>7062</v>
      </c>
    </row>
    <row r="995">
      <c r="A995" s="68" t="s">
        <v>7064</v>
      </c>
      <c r="B995" s="69" t="s">
        <v>7065</v>
      </c>
      <c r="C995" s="183" t="s">
        <v>7066</v>
      </c>
      <c r="D995" s="183" t="s">
        <v>7068</v>
      </c>
      <c r="E995" s="183" t="s">
        <v>7070</v>
      </c>
      <c r="F995" s="161">
        <v>434.0</v>
      </c>
      <c r="G995" s="152" t="str">
        <f>IFERROR(__xludf.DUMMYFUNCTION("TRIM(REGEXREPLACE(C995, ""[0-9]+[a-f]?\."", """"))"),"I will read you two statements. Which of the following statements is closest to your view? Choose Statement 1 or Statement 2 
 A government that enjoys the support of the people should be free to do whatever the people want, even if it is outside the la"&amp;"w.
 The actions of any government, no matter how popular it is, must always follow the law.")</f>
        <v>I will read you two statements. Which of the following statements is closest to your view? Choose Statement 1 or Statement 2 
 A government that enjoys the support of the people should be free to do whatever the people want, even if it is outside the law.
 The actions of any government, no matter how popular it is, must always follow the law.</v>
      </c>
      <c r="H995" s="152" t="str">
        <f>IFERROR(__xludf.DUMMYFUNCTION("TRIM(REGEXREPLACE(D995, ""[0-9]+[a-f]?\."", """"))"),"Je vais vous lire deux déclarations. Laquelle des déclarations suivantes est la plus proche de votre point de vue ? Choisissez la déclaration 1 ou la déclaration 2
 Un gouvernement qui bénéficie du soutien du peuple devrait être libre de faire ce que le"&amp;" peuple veut, même si cela n'est pas prévu par la loi.
 Les actions de tout gouvernement, aussi populaire soit-il, doivent toujours respecter la loi.")</f>
        <v>Je vais vous lire deux déclarations. Laquelle des déclarations suivantes est la plus proche de votre point de vue ? Choisissez la déclaration 1 ou la déclaration 2
 Un gouvernement qui bénéficie du soutien du peuple devrait être libre de faire ce que le peuple veut, même si cela n'est pas prévu par la loi.
 Les actions de tout gouvernement, aussi populaire soit-il, doivent toujours respecter la loi.</v>
      </c>
      <c r="I995" s="152" t="str">
        <f>IFERROR(__xludf.DUMMYFUNCTION("TRIM(REGEXREPLACE(E995, ""[0-9]+[a-f]?\."", """"))"),"Zan karanta muku wasu maganganu guda biyu, a cikin waɗannan maganganu wanne ne ya fi kusa da ra'ayinku? Zabi Bayani na 1 ko Bayani na2 
 Gwamnatin da ke samun goyon bayan al’umma yana da ƴancin yin duk abin da jama’a ke so, ko da ba bisa doka ba ne.
 Ay"&amp;"yukan kowane gwamnati komai farin jininta, dole ne ta bi doka.")</f>
        <v>Zan karanta muku wasu maganganu guda biyu, a cikin waɗannan maganganu wanne ne ya fi kusa da ra'ayinku? Zabi Bayani na 1 ko Bayani na2 
 Gwamnatin da ke samun goyon bayan al’umma yana da ƴancin yin duk abin da jama’a ke so, ko da ba bisa doka ba ne.
 Ayyukan kowane gwamnati komai farin jininta, dole ne ta bi doka.</v>
      </c>
      <c r="J995" s="152" t="s">
        <v>7072</v>
      </c>
      <c r="K995" s="152" t="s">
        <v>7073</v>
      </c>
      <c r="L995" s="152" t="s">
        <v>7074</v>
      </c>
    </row>
    <row r="996">
      <c r="A996" s="68" t="s">
        <v>7064</v>
      </c>
      <c r="B996" s="69" t="s">
        <v>7075</v>
      </c>
      <c r="C996" s="183" t="s">
        <v>7076</v>
      </c>
      <c r="D996" s="183" t="s">
        <v>7077</v>
      </c>
      <c r="E996" s="183" t="s">
        <v>7078</v>
      </c>
      <c r="F996" s="161">
        <v>435.0</v>
      </c>
      <c r="G996" s="152" t="str">
        <f>IFERROR(__xludf.DUMMYFUNCTION("TRIM(REGEXREPLACE(C996, ""[0-9]+[a-f]?\."", """"))"),"I will read you two statements. Which of the following statements is closest to your view? Choose Statement 1 or Statement 2 
 Using violence to accomplish your goals is never justified, no matter how worthy your cause
 It is sometime necessary to use vio"&amp;"lence in pursuit of a good cause.")</f>
        <v>I will read you two statements. Which of the following statements is closest to your view? Choose Statement 1 or Statement 2 
 Using violence to accomplish your goals is never justified, no matter how worthy your cause
 It is sometime necessary to use violence in pursuit of a good cause.</v>
      </c>
      <c r="H996" s="152" t="str">
        <f>IFERROR(__xludf.DUMMYFUNCTION("TRIM(REGEXREPLACE(D996, ""[0-9]+[a-f]?\."", """"))"),"Je vais vous lire deux déclarations. Laquelle des déclarations suivantes est la plus proche de votre point de vue ? Choisissez la déclaration 1 ou la déclaration 2
 Utiliser la violence pour atteindre vos objectifs n'est jamais justifié, quelle que soit"&amp;" la valeur de votre cause
 Il est parfois nécessaire de recourir à la violence dans la poursuite d'une bonne cause.")</f>
        <v>Je vais vous lire deux déclarations. Laquelle des déclarations suivantes est la plus proche de votre point de vue ? Choisissez la déclaration 1 ou la déclaration 2
 Utiliser la violence pour atteindre vos objectifs n'est jamais justifié, quelle que soit la valeur de votre cause
 Il est parfois nécessaire de recourir à la violence dans la poursuite d'une bonne cause.</v>
      </c>
      <c r="I996" s="152" t="str">
        <f>IFERROR(__xludf.DUMMYFUNCTION("TRIM(REGEXREPLACE(E996, ""[0-9]+[a-f]?\."", """"))"),"Zan karanta muku maganganu guda biyu. A cikin wadannan maganganun wanne ne ya fi kusa da ra'ayin ku? Zabi Bayani na 1 ko Bayani na 2 
 Yin amfani da ƙarfi don cimma burinku ba zai taɓa zama daidai ba, komai cancantar dalilanku
 Wani lokaci ya zama dole a "&amp;"yi amfani da ƙarfi wajen neman manufa mai kyau.")</f>
        <v>Zan karanta muku maganganu guda biyu. A cikin wadannan maganganun wanne ne ya fi kusa da ra'ayin ku? Zabi Bayani na 1 ko Bayani na 2 
 Yin amfani da ƙarfi don cimma burinku ba zai taɓa zama daidai ba, komai cancantar dalilanku
 Wani lokaci ya zama dole a yi amfani da ƙarfi wajen neman manufa mai kyau.</v>
      </c>
      <c r="J996" s="152" t="s">
        <v>7079</v>
      </c>
      <c r="K996" s="152" t="s">
        <v>7080</v>
      </c>
      <c r="L996" s="152" t="s">
        <v>7081</v>
      </c>
    </row>
    <row r="997">
      <c r="A997" s="68" t="s">
        <v>7082</v>
      </c>
      <c r="B997" s="66" t="s">
        <v>7083</v>
      </c>
      <c r="C997" s="28" t="s">
        <v>7085</v>
      </c>
      <c r="D997" s="28" t="s">
        <v>7086</v>
      </c>
      <c r="E997" s="28" t="s">
        <v>7088</v>
      </c>
      <c r="F997" s="161">
        <v>436.0</v>
      </c>
      <c r="G997" s="152" t="str">
        <f>IFERROR(__xludf.DUMMYFUNCTION("TRIM(REGEXREPLACE(C997, ""[0-9]+[a-f]?\."", """"))"),"Suppose a household in your village has a better harvest than its neighbors. In your opinion, should the household:
 Save the surplus for the future
 Share its surplus with less fortunate households in the village")</f>
        <v>Suppose a household in your village has a better harvest than its neighbors. In your opinion, should the household:
 Save the surplus for the future
 Share its surplus with less fortunate households in the village</v>
      </c>
      <c r="H997" s="152" t="str">
        <f>IFERROR(__xludf.DUMMYFUNCTION("TRIM(REGEXREPLACE(D997, ""[0-9]+[a-f]?\."", """"))"),"Supposons qu'un ménage de votre village ait une meilleure récolte que ses voisins. À votre avis, le ménage devrait-il :
 Économisez le surplus pour l'avenir
 Partager son surplus avec les ménages moins fortunés du village")</f>
        <v>Supposons qu'un ménage de votre village ait une meilleure récolte que ses voisins. À votre avis, le ménage devrait-il :
 Économisez le surplus pour l'avenir
 Partager son surplus avec les ménages moins fortunés du village</v>
      </c>
      <c r="I997" s="152" t="str">
        <f>IFERROR(__xludf.DUMMYFUNCTION("TRIM(REGEXREPLACE(E997, ""[0-9]+[a-f]?\."", """"))"),"A ce wani gida a garinku ya samu amfanin gona fiye da sauran gidaje. A ra'ayinku, ya kamata gidan:
 Ajiyar ƙarin don gaba
 Raba ƙarin da sauran gidaje marasa galihu a garin")</f>
        <v>A ce wani gida a garinku ya samu amfanin gona fiye da sauran gidaje. A ra'ayinku, ya kamata gidan:
 Ajiyar ƙarin don gaba
 Raba ƙarin da sauran gidaje marasa galihu a garin</v>
      </c>
      <c r="J997" s="152" t="s">
        <v>7091</v>
      </c>
      <c r="K997" s="152" t="s">
        <v>7092</v>
      </c>
      <c r="L997" s="152" t="s">
        <v>7093</v>
      </c>
    </row>
    <row r="998">
      <c r="A998" s="68" t="s">
        <v>7094</v>
      </c>
      <c r="B998" s="66" t="s">
        <v>7095</v>
      </c>
      <c r="C998" s="28" t="s">
        <v>7096</v>
      </c>
      <c r="D998" s="28" t="s">
        <v>7097</v>
      </c>
      <c r="E998" s="28" t="s">
        <v>7098</v>
      </c>
      <c r="F998" s="161">
        <v>437.0</v>
      </c>
      <c r="G998" s="152" t="str">
        <f>IFERROR(__xludf.DUMMYFUNCTION("TRIM(REGEXREPLACE(C998, ""[0-9]+[a-f]?\."", """"))"),"I will share with you three different kinds of attitudes concerning the society we live in. Please choose the one which best describes your own opinion:
 The entire way our society is organized must be radically changed by revolutionary action
 Our societ"&amp;"y must be gradually improved by reforms
 Our present society must be valiantly defended against all subversive forces")</f>
        <v>I will share with you three different kinds of attitudes concerning the society we live in. Please choose the one which best describes your own opinion:
 The entire way our society is organized must be radically changed by revolutionary action
 Our society must be gradually improved by reforms
 Our present society must be valiantly defended against all subversive forces</v>
      </c>
      <c r="H998" s="152" t="str">
        <f>IFERROR(__xludf.DUMMYFUNCTION("TRIM(REGEXREPLACE(D998, ""[0-9]+[a-f]?\."", """"))"),"Je vais partager avec vous trois différents types d'attitudes concernant la société dans laquelle nous vivons. 
Veuillez choisir celle qui décrit le mieux votre propre opinion :
 Toute la manière dont notre société est organisée doit être radicalement c"&amp;"hangée par l'action révolutionnaire
 Notre société doit être progressivement améliorée par des réformes
 Notre société actuelle doit être vaillamment défendue contre toutes les forces subversives")</f>
        <v>Je vais partager avec vous trois différents types d'attitudes concernant la société dans laquelle nous vivons. 
Veuillez choisir celle qui décrit le mieux votre propre opinion :
 Toute la manière dont notre société est organisée doit être radicalement changée par l'action révolutionnaire
 Notre société doit être progressivement améliorée par des réformes
 Notre société actuelle doit être vaillamment défendue contre toutes les forces subversives</v>
      </c>
      <c r="I998" s="152" t="str">
        <f>IFERROR(__xludf.DUMMYFUNCTION("TRIM(REGEXREPLACE(E998, ""[0-9]+[a-f]?\."", """"))"),"Zan gaya muku halaye iri uku daban-daban game da al'ummar da muke rayuwa a ciki, ina fatan zaku zaɓi wanda ya fi dacewa da ra'ayinku:
 Dukkanin yadda al'ummarmu take da tsari dole ne a canza su ta hanyar juyin juya hali
 Dole ne a inganta al'ummarmu a ha"&amp;"nkali ta hanyar gyara
 Dole ne al'ummarmu ta yanzu ta kasance da jajircewa wajen kare kai daga duk wani yunkuri na zagon kasa")</f>
        <v>Zan gaya muku halaye iri uku daban-daban game da al'ummar da muke rayuwa a ciki, ina fatan zaku zaɓi wanda ya fi dacewa da ra'ayinku:
 Dukkanin yadda al'ummarmu take da tsari dole ne a canza su ta hanyar juyin juya hali
 Dole ne a inganta al'ummarmu a hankali ta hanyar gyara
 Dole ne al'ummarmu ta yanzu ta kasance da jajircewa wajen kare kai daga duk wani yunkuri na zagon kasa</v>
      </c>
      <c r="J998" s="152" t="s">
        <v>7103</v>
      </c>
      <c r="K998" s="152" t="s">
        <v>7104</v>
      </c>
      <c r="L998" s="152" t="s">
        <v>7105</v>
      </c>
    </row>
    <row r="999">
      <c r="A999" s="68" t="s">
        <v>7106</v>
      </c>
      <c r="B999" s="66" t="s">
        <v>7107</v>
      </c>
      <c r="C999" s="28" t="s">
        <v>7108</v>
      </c>
      <c r="D999" s="28" t="s">
        <v>7110</v>
      </c>
      <c r="E999" s="28" t="s">
        <v>7112</v>
      </c>
      <c r="F999" s="161">
        <v>438.0</v>
      </c>
      <c r="G999" s="152" t="str">
        <f>IFERROR(__xludf.DUMMYFUNCTION("TRIM(REGEXREPLACE(C999, ""[0-9]+[a-f]?\."", """"))"),"Now think about customs and habits in your society. Which of the following statements comes closer to your sentiment:
 I feel constrained by the number of customs and habits that exist in my society
 There are not enough customs and habits in my society t"&amp;"o guide me
 There are just about the right amount of customs and habits in my society")</f>
        <v>Now think about customs and habits in your society. Which of the following statements comes closer to your sentiment:
 I feel constrained by the number of customs and habits that exist in my society
 There are not enough customs and habits in my society to guide me
 There are just about the right amount of customs and habits in my society</v>
      </c>
      <c r="H999" s="152" t="str">
        <f>IFERROR(__xludf.DUMMYFUNCTION("TRIM(REGEXREPLACE(D999, ""[0-9]+[a-f]?\."", """"))"),"Pensez maintenant aux us et coutumes de votre société. Laquelle des affirmations suivantes se rapproche le plus de votre sentiment :
 Je me sens contraint par le nombre des us et coutumes qui existent dans ma société
 Il n'y a pas assez des us et coutume"&amp;"s dans ma société pour me guider
 Il y a à peu près ce qu'il faut des us et coutumes dans ma société")</f>
        <v>Pensez maintenant aux us et coutumes de votre société. Laquelle des affirmations suivantes se rapproche le plus de votre sentiment :
 Je me sens contraint par le nombre des us et coutumes qui existent dans ma société
 Il n'y a pas assez des us et coutumes dans ma société pour me guider
 Il y a à peu près ce qu'il faut des us et coutumes dans ma société</v>
      </c>
      <c r="I999" s="152" t="str">
        <f>IFERROR(__xludf.DUMMYFUNCTION("TRIM(REGEXREPLACE(E999, ""[0-9]+[a-f]?\."", """"))"),"Yanzu ku tuna da al'adu da ɗabi'u na al'ummarku. A cikin wadannan maganganu wanne ya fi kusa da ra'ayin ku:
 Ina jin takura da yawan al'adu da dabi'un da ke cikin al'ummata
 Babu isassun al'adu da ɗabi'a a cikin al'ummata da za su jagorance ni
 Akwai dai"&amp;"dai adadin al'adu da halaye a cikin al'ummata")</f>
        <v>Yanzu ku tuna da al'adu da ɗabi'u na al'ummarku. A cikin wadannan maganganu wanne ya fi kusa da ra'ayin ku:
 Ina jin takura da yawan al'adu da dabi'un da ke cikin al'ummata
 Babu isassun al'adu da ɗabi'a a cikin al'ummata da za su jagorance ni
 Akwai daidai adadin al'adu da halaye a cikin al'ummata</v>
      </c>
      <c r="J999" s="152" t="s">
        <v>7114</v>
      </c>
      <c r="K999" s="152" t="s">
        <v>7115</v>
      </c>
      <c r="L999" s="152" t="s">
        <v>7116</v>
      </c>
    </row>
    <row r="1000">
      <c r="A1000" s="68" t="s">
        <v>7064</v>
      </c>
      <c r="B1000" s="66" t="s">
        <v>7117</v>
      </c>
      <c r="C1000" s="28" t="s">
        <v>7118</v>
      </c>
      <c r="D1000" s="28" t="s">
        <v>7119</v>
      </c>
      <c r="E1000" s="28" t="s">
        <v>7120</v>
      </c>
      <c r="F1000" s="161">
        <v>439.0</v>
      </c>
      <c r="G1000" s="152" t="str">
        <f>IFERROR(__xludf.DUMMYFUNCTION("TRIM(REGEXREPLACE(C1000, ""[0-9]+[a-f]?\."", """"))"),"Which of the following statements is closest to your view? Choose Statement 1 or Statement 
Statement 1: People living in West Africa should be able to move freely across international borders in order to trade or work in other countries.
Statement 2: In"&amp;" order to protect their own citizens, governments should limit the cross-border movement of people and goods.")</f>
        <v>Which of the following statements is closest to your view? Choose Statement 1 or Statement 
Statement 1: People living in West Africa should be able to move freely across international borders in order to trade or work in other countries.
Statement 2: In order to protect their own citizens, governments should limit the cross-border movement of people and goods.</v>
      </c>
      <c r="H1000" s="152" t="str">
        <f>IFERROR(__xludf.DUMMYFUNCTION("TRIM(REGEXREPLACE(D1000, ""[0-9]+[a-f]?\."", """"))"),"Laquelle des affirmations suivantes est la plus proche de votre point de vue ? Choisissez l'affirmation 1 ou l'affirmation 
Affirmation 1 : Les personnes vivant en Afrique de l'Ouest devraient pouvoir se déplacer librement à travers les frontières intern"&amp;"ationales pour faire du commerce ou travailler dans d'autres pays.
Affirmation 2 : Afin de protéger leurs propres citoyens, les gouvernements devraient limiter les mouvements transfrontaliers de personnes et de biens.")</f>
        <v>Laquelle des affirmations suivantes est la plus proche de votre point de vue ? Choisissez l'affirmation 1 ou l'affirmation 
Affirmation 1 : Les personnes vivant en Afrique de l'Ouest devraient pouvoir se déplacer librement à travers les frontières internationales pour faire du commerce ou travailler dans d'autres pays.
Affirmation 2 : Afin de protéger leurs propres citoyens, les gouvernements devraient limiter les mouvements transfrontaliers de personnes et de biens.</v>
      </c>
      <c r="I1000" s="152" t="str">
        <f>IFERROR(__xludf.DUMMYFUNCTION("TRIM(REGEXREPLACE(E1000, ""[0-9]+[a-f]?\."", """"))"),"A cikin wadannan maganganu wanne ya fi kusa da ra'ayinku? Zaɓi Bayani na 1 ko Bayani na 
 Magana ta 1: Ya kamata mutanen yammacin Afirka su samu damar tafiya cikin walwala a kan iyakokin ƙsa da ƙasa don yin kasuwanci ko aiki a wasu ƙasashe.
 Magana ta 2: "&amp;"Domin kare ƴan ƙasarsu, ya kamata gwamnatoci su takaita zirga-zirgar jama'a da kayayyaki a kan iyaka.")</f>
        <v>A cikin wadannan maganganu wanne ya fi kusa da ra'ayinku? Zaɓi Bayani na 1 ko Bayani na 
 Magana ta 1: Ya kamata mutanen yammacin Afirka su samu damar tafiya cikin walwala a kan iyakokin ƙsa da ƙasa don yin kasuwanci ko aiki a wasu ƙasashe.
 Magana ta 2: Domin kare ƴan ƙasarsu, ya kamata gwamnatoci su takaita zirga-zirgar jama'a da kayayyaki a kan iyaka.</v>
      </c>
      <c r="J1000" s="152" t="s">
        <v>7122</v>
      </c>
      <c r="K1000" s="152" t="s">
        <v>7123</v>
      </c>
      <c r="L1000" s="152" t="s">
        <v>7124</v>
      </c>
    </row>
    <row r="1001" hidden="1">
      <c r="A1001" s="140" t="s">
        <v>237</v>
      </c>
      <c r="B1001" s="140" t="s">
        <v>6961</v>
      </c>
      <c r="C1001" s="28" t="s">
        <v>6962</v>
      </c>
      <c r="D1001" s="28"/>
      <c r="E1001" s="28"/>
      <c r="F1001" s="161">
        <v>540.0</v>
      </c>
      <c r="G1001" s="152" t="str">
        <f>IFERROR(__xludf.DUMMYFUNCTION("TRIM(REGEXREPLACE(C1001, ""[0-9]+[a-f]?\."", """"))"),"Society Opinions")</f>
        <v>Society Opinions</v>
      </c>
      <c r="H1001" s="152" t="str">
        <f>IFERROR(__xludf.DUMMYFUNCTION("TRIM(REGEXREPLACE(D1001, ""[0-9]+[a-f]?\."", """"))"),"")</f>
        <v/>
      </c>
      <c r="I1001" s="152" t="str">
        <f>IFERROR(__xludf.DUMMYFUNCTION("TRIM(REGEXREPLACE(E1001, ""[0-9]+[a-f]?\."", """"))"),"")</f>
        <v/>
      </c>
      <c r="J1001" s="152" t="s">
        <v>7125</v>
      </c>
      <c r="K1001" s="152" t="s">
        <v>7126</v>
      </c>
      <c r="L1001" s="152" t="s">
        <v>7127</v>
      </c>
    </row>
    <row r="1002" hidden="1">
      <c r="A1002" s="58"/>
      <c r="B1002" s="58"/>
      <c r="C1002" s="28"/>
      <c r="D1002" s="28"/>
      <c r="E1002" s="28"/>
      <c r="F1002" s="161">
        <v>152.0</v>
      </c>
      <c r="G1002" s="152" t="str">
        <f>IFERROR(__xludf.DUMMYFUNCTION("TRIM(REGEXREPLACE(C1002, ""[0-9]+[a-f]?\."", """"))"),"")</f>
        <v/>
      </c>
      <c r="H1002" s="152" t="str">
        <f>IFERROR(__xludf.DUMMYFUNCTION("TRIM(REGEXREPLACE(D1002, ""[0-9]+[a-f]?\."", """"))"),"")</f>
        <v/>
      </c>
      <c r="I1002" s="152" t="str">
        <f>IFERROR(__xludf.DUMMYFUNCTION("TRIM(REGEXREPLACE(E1002, ""[0-9]+[a-f]?\."", """"))"),"")</f>
        <v/>
      </c>
      <c r="J1002" s="152" t="str">
        <f t="shared" ref="J1002:L1002" si="82">$F1002 &amp; ". " &amp;G1002</f>
        <v>152. </v>
      </c>
      <c r="K1002" s="152" t="str">
        <f t="shared" si="82"/>
        <v>152. </v>
      </c>
      <c r="L1002" s="152" t="str">
        <f t="shared" si="82"/>
        <v>152. </v>
      </c>
    </row>
    <row r="1003" hidden="1">
      <c r="A1003" s="221"/>
      <c r="B1003" s="221"/>
      <c r="C1003" s="28" t="s">
        <v>50</v>
      </c>
      <c r="D1003" s="28" t="s">
        <v>50</v>
      </c>
      <c r="E1003" s="28" t="s">
        <v>50</v>
      </c>
      <c r="F1003" s="161">
        <v>581.0</v>
      </c>
      <c r="G1003" s="152" t="str">
        <f>IFERROR(__xludf.DUMMYFUNCTION("TRIM(REGEXREPLACE(C1003, ""[0-9]+[a-f]?\."", """"))"),"")</f>
        <v/>
      </c>
      <c r="H1003" s="152" t="str">
        <f>IFERROR(__xludf.DUMMYFUNCTION("TRIM(REGEXREPLACE(D1003, ""[0-9]+[a-f]?\."", """"))"),"")</f>
        <v/>
      </c>
      <c r="I1003" s="152" t="str">
        <f>IFERROR(__xludf.DUMMYFUNCTION("TRIM(REGEXREPLACE(E1003, ""[0-9]+[a-f]?\."", """"))"),"")</f>
        <v/>
      </c>
      <c r="J1003" s="152" t="s">
        <v>7131</v>
      </c>
      <c r="K1003" s="152" t="s">
        <v>7132</v>
      </c>
      <c r="L1003" s="152" t="s">
        <v>7133</v>
      </c>
    </row>
    <row r="1004" hidden="1">
      <c r="A1004" s="140" t="s">
        <v>131</v>
      </c>
      <c r="B1004" s="164" t="s">
        <v>7134</v>
      </c>
      <c r="C1004" s="28" t="s">
        <v>7135</v>
      </c>
      <c r="D1004" s="28"/>
      <c r="E1004" s="28"/>
      <c r="F1004" s="161">
        <v>582.0</v>
      </c>
      <c r="G1004" s="152" t="str">
        <f>IFERROR(__xludf.DUMMYFUNCTION("TRIM(REGEXREPLACE(C1004, ""[0-9]+[a-f]?\."", """"))"),"Cash Group")</f>
        <v>Cash Group</v>
      </c>
      <c r="H1004" s="152" t="str">
        <f>IFERROR(__xludf.DUMMYFUNCTION("TRIM(REGEXREPLACE(D1004, ""[0-9]+[a-f]?\."", """"))"),"")</f>
        <v/>
      </c>
      <c r="I1004" s="152" t="str">
        <f>IFERROR(__xludf.DUMMYFUNCTION("TRIM(REGEXREPLACE(E1004, ""[0-9]+[a-f]?\."", """"))"),"")</f>
        <v/>
      </c>
      <c r="J1004" s="152" t="s">
        <v>7136</v>
      </c>
      <c r="K1004" s="152" t="s">
        <v>7137</v>
      </c>
      <c r="L1004" s="152" t="s">
        <v>7138</v>
      </c>
    </row>
    <row r="1005" hidden="1">
      <c r="A1005" s="65" t="s">
        <v>134</v>
      </c>
      <c r="B1005" s="66" t="s">
        <v>7140</v>
      </c>
      <c r="C1005" s="28"/>
      <c r="D1005" s="28"/>
      <c r="E1005" s="28"/>
      <c r="F1005" s="161">
        <v>583.0</v>
      </c>
      <c r="G1005" s="152" t="str">
        <f>IFERROR(__xludf.DUMMYFUNCTION("TRIM(REGEXREPLACE(C1005, ""[0-9]+[a-f]?\."", """"))"),"")</f>
        <v/>
      </c>
      <c r="H1005" s="152" t="str">
        <f>IFERROR(__xludf.DUMMYFUNCTION("TRIM(REGEXREPLACE(D1005, ""[0-9]+[a-f]?\."", """"))"),"")</f>
        <v/>
      </c>
      <c r="I1005" s="152" t="str">
        <f>IFERROR(__xludf.DUMMYFUNCTION("TRIM(REGEXREPLACE(E1005, ""[0-9]+[a-f]?\."", """"))"),"")</f>
        <v/>
      </c>
      <c r="J1005" s="152" t="s">
        <v>7141</v>
      </c>
      <c r="K1005" s="152" t="s">
        <v>7142</v>
      </c>
      <c r="L1005" s="152" t="s">
        <v>7143</v>
      </c>
    </row>
    <row r="1006">
      <c r="A1006" s="166" t="s">
        <v>41</v>
      </c>
      <c r="B1006" s="167" t="s">
        <v>7144</v>
      </c>
      <c r="C1006" s="28" t="s">
        <v>7145</v>
      </c>
      <c r="D1006" s="28" t="s">
        <v>7146</v>
      </c>
      <c r="E1006" s="28" t="s">
        <v>7147</v>
      </c>
      <c r="F1006" s="161">
        <v>440.0</v>
      </c>
      <c r="G1006" s="152" t="str">
        <f>IFERROR(__xludf.DUMMYFUNCTION("TRIM(REGEXREPLACE(C1006, ""[0-9]+[a-f]?\."", """"))"),"We would now like to ask you a few questions about a cash transfer you may have recently received from Mercy Corps")</f>
        <v>We would now like to ask you a few questions about a cash transfer you may have recently received from Mercy Corps</v>
      </c>
      <c r="H1006" s="152" t="str">
        <f>IFERROR(__xludf.DUMMYFUNCTION("TRIM(REGEXREPLACE(D1006, ""[0-9]+[a-f]?\."", """"))"),"Nous aimerions maintenant vous poser quelques questions sur un transfert en espèces que vous avez peut-être récemment reçu de Mercy Corps.")</f>
        <v>Nous aimerions maintenant vous poser quelques questions sur un transfert en espèces que vous avez peut-être récemment reçu de Mercy Corps.</v>
      </c>
      <c r="I1006" s="152" t="str">
        <f>IFERROR(__xludf.DUMMYFUNCTION("TRIM(REGEXREPLACE(E1006, ""[0-9]+[a-f]?\."", """"))"),"Yanzu muna son mu muku wasu ƴan tambayoyi game da wani aiken kuɗi da wataƙila kuka samu a cikin kwanan nan daga Mercy Corps")</f>
        <v>Yanzu muna son mu muku wasu ƴan tambayoyi game da wani aiken kuɗi da wataƙila kuka samu a cikin kwanan nan daga Mercy Corps</v>
      </c>
      <c r="J1006" s="152" t="s">
        <v>7151</v>
      </c>
      <c r="K1006" s="152" t="s">
        <v>7152</v>
      </c>
      <c r="L1006" s="152" t="s">
        <v>7153</v>
      </c>
    </row>
    <row r="1007">
      <c r="A1007" s="170" t="s">
        <v>263</v>
      </c>
      <c r="B1007" s="171" t="s">
        <v>7154</v>
      </c>
      <c r="C1007" s="28" t="s">
        <v>7155</v>
      </c>
      <c r="D1007" s="28" t="s">
        <v>7156</v>
      </c>
      <c r="E1007" s="28" t="s">
        <v>7157</v>
      </c>
      <c r="F1007" s="161">
        <v>441.0</v>
      </c>
      <c r="G1007" s="152" t="str">
        <f>IFERROR(__xludf.DUMMYFUNCTION("TRIM(REGEXREPLACE(C1007, ""[0-9]+[a-f]?\."", """"))"),"How much cash in CFA did you receive from Mercy Corps in the last distribution?")</f>
        <v>How much cash in CFA did you receive from Mercy Corps in the last distribution?</v>
      </c>
      <c r="H1007" s="152" t="str">
        <f>IFERROR(__xludf.DUMMYFUNCTION("TRIM(REGEXREPLACE(D1007, ""[0-9]+[a-f]?\."", """"))"),"Combien avez-vous reçu en CFA de Mercy Corps au dernier transfert?")</f>
        <v>Combien avez-vous reçu en CFA de Mercy Corps au dernier transfert?</v>
      </c>
      <c r="I1007" s="152" t="str">
        <f>IFERROR(__xludf.DUMMYFUNCTION("TRIM(REGEXREPLACE(E1007, ""[0-9]+[a-f]?\."", """"))"),"Nawa kuka samu daga Mercy corps a zubin ƙarshe?")</f>
        <v>Nawa kuka samu daga Mercy corps a zubin ƙarshe?</v>
      </c>
      <c r="J1007" s="152" t="s">
        <v>7159</v>
      </c>
      <c r="K1007" s="152" t="s">
        <v>7160</v>
      </c>
      <c r="L1007" s="152" t="s">
        <v>7161</v>
      </c>
    </row>
    <row r="1008" hidden="1">
      <c r="A1008" s="140" t="s">
        <v>131</v>
      </c>
      <c r="B1008" s="164" t="s">
        <v>7162</v>
      </c>
      <c r="C1008" s="28"/>
      <c r="D1008" s="28"/>
      <c r="E1008" s="28"/>
      <c r="F1008" s="161">
        <v>586.0</v>
      </c>
      <c r="G1008" s="152" t="str">
        <f>IFERROR(__xludf.DUMMYFUNCTION("TRIM(REGEXREPLACE(C1008, ""[0-9]+[a-f]?\."", """"))"),"")</f>
        <v/>
      </c>
      <c r="H1008" s="152" t="str">
        <f>IFERROR(__xludf.DUMMYFUNCTION("TRIM(REGEXREPLACE(D1008, ""[0-9]+[a-f]?\."", """"))"),"")</f>
        <v/>
      </c>
      <c r="I1008" s="152" t="str">
        <f>IFERROR(__xludf.DUMMYFUNCTION("TRIM(REGEXREPLACE(E1008, ""[0-9]+[a-f]?\."", """"))"),"")</f>
        <v/>
      </c>
      <c r="J1008" s="152" t="s">
        <v>7164</v>
      </c>
      <c r="K1008" s="152" t="s">
        <v>7165</v>
      </c>
      <c r="L1008" s="152" t="s">
        <v>7166</v>
      </c>
    </row>
    <row r="1009">
      <c r="A1009" s="68" t="s">
        <v>7167</v>
      </c>
      <c r="B1009" s="169" t="s">
        <v>7168</v>
      </c>
      <c r="C1009" s="28" t="s">
        <v>7169</v>
      </c>
      <c r="D1009" s="28" t="s">
        <v>7170</v>
      </c>
      <c r="E1009" s="28" t="s">
        <v>7171</v>
      </c>
      <c r="F1009" s="161">
        <v>442.0</v>
      </c>
      <c r="G1009" s="152" t="str">
        <f>IFERROR(__xludf.DUMMYFUNCTION("TRIM(REGEXREPLACE(C1009, ""[0-9]+[a-f]?\."", """"))"),"Was the amount you received equal to, less than, or more than the amount you were told you would receive?")</f>
        <v>Was the amount you received equal to, less than, or more than the amount you were told you would receive?</v>
      </c>
      <c r="H1009" s="152" t="str">
        <f>IFERROR(__xludf.DUMMYFUNCTION("TRIM(REGEXREPLACE(D1009, ""[0-9]+[a-f]?\."", """"))"),"Le montant que vous avez reçu était égal, inférieur ou supérieur au montant promis?")</f>
        <v>Le montant que vous avez reçu était égal, inférieur ou supérieur au montant promis?</v>
      </c>
      <c r="I1009" s="152" t="str">
        <f>IFERROR(__xludf.DUMMYFUNCTION("TRIM(REGEXREPLACE(E1009, ""[0-9]+[a-f]?\."", """"))"),"Ko kuɗin da kuka samu daidai ne ko ƙasa ko yahi wanda aka muku alƙawali?")</f>
        <v>Ko kuɗin da kuka samu daidai ne ko ƙasa ko yahi wanda aka muku alƙawali?</v>
      </c>
      <c r="J1009" s="152" t="s">
        <v>7176</v>
      </c>
      <c r="K1009" s="152" t="s">
        <v>7177</v>
      </c>
      <c r="L1009" s="152" t="s">
        <v>7178</v>
      </c>
    </row>
    <row r="1010">
      <c r="A1010" s="166" t="s">
        <v>41</v>
      </c>
      <c r="B1010" s="167" t="s">
        <v>7179</v>
      </c>
      <c r="C1010" s="28" t="s">
        <v>7180</v>
      </c>
      <c r="D1010" s="28" t="s">
        <v>7181</v>
      </c>
      <c r="E1010" s="28" t="s">
        <v>7182</v>
      </c>
      <c r="F1010" s="161">
        <v>443.0</v>
      </c>
      <c r="G1010" s="152" t="str">
        <f>IFERROR(__xludf.DUMMYFUNCTION("TRIM(REGEXREPLACE(C1010, ""[0-9]+[a-f]?\."", """"))"),"You mentioned that this Mercy Corps program gave you ${pm_cash_amt} CFA for the last cash transfer.")</f>
        <v>You mentioned that this Mercy Corps program gave you ${pm_cash_amt} CFA for the last cash transfer.</v>
      </c>
      <c r="H1010" s="152" t="str">
        <f>IFERROR(__xludf.DUMMYFUNCTION("TRIM(REGEXREPLACE(D1010, ""[0-9]+[a-f]?\."", """"))"),"Vous avez mentionné que ce programme Mercy Corps vous a donné ${pm_cash_amt} CFA pour le dernier transfert d'argent.")</f>
        <v>Vous avez mentionné que ce programme Mercy Corps vous a donné ${pm_cash_amt} CFA pour le dernier transfert d'argent.</v>
      </c>
      <c r="I1010" s="152" t="str">
        <f>IFERROR(__xludf.DUMMYFUNCTION("TRIM(REGEXREPLACE(E1010, ""[0-9]+[a-f]?\."", """"))"),"Kun ce wannan shirin na Mercy corps ya muku zubin ${pm_cash_amt} CFA a zubin ƙarshe.")</f>
        <v>Kun ce wannan shirin na Mercy corps ya muku zubin ${pm_cash_amt} CFA a zubin ƙarshe.</v>
      </c>
      <c r="J1010" s="152" t="s">
        <v>7186</v>
      </c>
      <c r="K1010" s="152" t="s">
        <v>7187</v>
      </c>
      <c r="L1010" s="152" t="s">
        <v>7188</v>
      </c>
    </row>
    <row r="1011">
      <c r="A1011" s="68" t="s">
        <v>7189</v>
      </c>
      <c r="B1011" s="169" t="s">
        <v>7190</v>
      </c>
      <c r="C1011" s="28" t="s">
        <v>7191</v>
      </c>
      <c r="D1011" s="28" t="s">
        <v>7192</v>
      </c>
      <c r="E1011" s="28" t="s">
        <v>7193</v>
      </c>
      <c r="F1011" s="161">
        <v>444.0</v>
      </c>
      <c r="G1011" s="152" t="str">
        <f>IFERROR(__xludf.DUMMYFUNCTION("TRIM(REGEXREPLACE(C1011, ""[0-9]+[a-f]?\."", """"))"),"Can you please tell me what were the categories you spent the most of the assistance on?")</f>
        <v>Can you please tell me what were the categories you spent the most of the assistance on?</v>
      </c>
      <c r="H1011" s="152" t="str">
        <f>IFERROR(__xludf.DUMMYFUNCTION("TRIM(REGEXREPLACE(D1011, ""[0-9]+[a-f]?\."", """"))"),"Pouvez-vous me dire quelles étaient les trois catégories sur lesquelles vous avez dépensé le plus l'argent?")</f>
        <v>Pouvez-vous me dire quelles étaient les trois catégories sur lesquelles vous avez dépensé le plus l'argent?</v>
      </c>
      <c r="I1011" s="152" t="str">
        <f>IFERROR(__xludf.DUMMYFUNCTION("TRIM(REGEXREPLACE(E1011, ""[0-9]+[a-f]?\."", """"))"),"Ko zaku iya gaya mani bisa wane nau'ika uku ne kuka kashe yawancin kudin taimakon?")</f>
        <v>Ko zaku iya gaya mani bisa wane nau'ika uku ne kuka kashe yawancin kudin taimakon?</v>
      </c>
      <c r="J1011" s="152" t="s">
        <v>7197</v>
      </c>
      <c r="K1011" s="152" t="s">
        <v>7198</v>
      </c>
      <c r="L1011" s="152" t="s">
        <v>7199</v>
      </c>
    </row>
    <row r="1012">
      <c r="A1012" s="65" t="s">
        <v>246</v>
      </c>
      <c r="B1012" s="218" t="s">
        <v>7200</v>
      </c>
      <c r="C1012" s="28" t="s">
        <v>7201</v>
      </c>
      <c r="D1012" s="28" t="s">
        <v>7202</v>
      </c>
      <c r="E1012" s="28" t="s">
        <v>7203</v>
      </c>
      <c r="F1012" s="161">
        <v>445.0</v>
      </c>
      <c r="G1012" s="152" t="str">
        <f>IFERROR(__xludf.DUMMYFUNCTION("TRIM(REGEXREPLACE(C1012, ""[0-9]+[a-f]?\."", """"))"),"Other, specify:")</f>
        <v>Other, specify:</v>
      </c>
      <c r="H1012" s="152" t="str">
        <f>IFERROR(__xludf.DUMMYFUNCTION("TRIM(REGEXREPLACE(D1012, ""[0-9]+[a-f]?\."", """"))"),"Autre précisez:")</f>
        <v>Autre précisez:</v>
      </c>
      <c r="I1012" s="152" t="str">
        <f>IFERROR(__xludf.DUMMYFUNCTION("TRIM(REGEXREPLACE(E1012, ""[0-9]+[a-f]?\."", """"))"),"Wani daban, baiyana:")</f>
        <v>Wani daban, baiyana:</v>
      </c>
      <c r="J1012" s="152" t="s">
        <v>7205</v>
      </c>
      <c r="K1012" s="152" t="s">
        <v>7206</v>
      </c>
      <c r="L1012" s="152" t="s">
        <v>7207</v>
      </c>
    </row>
    <row r="1013">
      <c r="A1013" s="68" t="s">
        <v>463</v>
      </c>
      <c r="B1013" s="218" t="s">
        <v>7208</v>
      </c>
      <c r="C1013" s="28" t="s">
        <v>7209</v>
      </c>
      <c r="D1013" s="28" t="s">
        <v>7210</v>
      </c>
      <c r="E1013" s="28" t="s">
        <v>7211</v>
      </c>
      <c r="F1013" s="161">
        <v>446.0</v>
      </c>
      <c r="G1013" s="152" t="str">
        <f>IFERROR(__xludf.DUMMYFUNCTION("TRIM(REGEXREPLACE(C1013, ""[0-9]+[a-f]?\."", """"))"),"Did you share the cash with anyone outside the Household?")</f>
        <v>Did you share the cash with anyone outside the Household?</v>
      </c>
      <c r="H1013" s="152" t="str">
        <f>IFERROR(__xludf.DUMMYFUNCTION("TRIM(REGEXREPLACE(D1013, ""[0-9]+[a-f]?\."", """"))"),"Avez-vous partagé l'argent avec quelqu'un en dehors du ménage ?")</f>
        <v>Avez-vous partagé l'argent avec quelqu'un en dehors du ménage ?</v>
      </c>
      <c r="I1013" s="152" t="str">
        <f>IFERROR(__xludf.DUMMYFUNCTION("TRIM(REGEXREPLACE(E1013, ""[0-9]+[a-f]?\."", """"))"),"Ko ka yi kyauta da kuɗin ga wani da ba ɗan gidan ku ba?")</f>
        <v>Ko ka yi kyauta da kuɗin ga wani da ba ɗan gidan ku ba?</v>
      </c>
      <c r="J1013" s="152" t="s">
        <v>7215</v>
      </c>
      <c r="K1013" s="152" t="s">
        <v>7216</v>
      </c>
      <c r="L1013" s="152" t="s">
        <v>7217</v>
      </c>
    </row>
    <row r="1014">
      <c r="A1014" s="68" t="s">
        <v>7218</v>
      </c>
      <c r="B1014" s="218" t="s">
        <v>7219</v>
      </c>
      <c r="C1014" s="28" t="s">
        <v>7220</v>
      </c>
      <c r="D1014" s="28" t="s">
        <v>7221</v>
      </c>
      <c r="E1014" s="28" t="s">
        <v>7222</v>
      </c>
      <c r="F1014" s="161">
        <v>447.0</v>
      </c>
      <c r="G1014" s="152" t="str">
        <f>IFERROR(__xludf.DUMMYFUNCTION("TRIM(REGEXREPLACE(C1014, ""[0-9]+[a-f]?\."", """"))"),"Who did you share with?")</f>
        <v>Who did you share with?</v>
      </c>
      <c r="H1014" s="152" t="str">
        <f>IFERROR(__xludf.DUMMYFUNCTION("TRIM(REGEXREPLACE(D1014, ""[0-9]+[a-f]?\."", """"))"),"Avec qui avez-vous partagé l'argent?")</f>
        <v>Avec qui avez-vous partagé l'argent?</v>
      </c>
      <c r="I1014" s="152" t="str">
        <f>IFERROR(__xludf.DUMMYFUNCTION("TRIM(REGEXREPLACE(E1014, ""[0-9]+[a-f]?\."", """"))"),"Wanene kuka ba wannan kudin?")</f>
        <v>Wanene kuka ba wannan kudin?</v>
      </c>
      <c r="J1014" s="152" t="s">
        <v>7223</v>
      </c>
      <c r="K1014" s="152" t="s">
        <v>7224</v>
      </c>
      <c r="L1014" s="152" t="s">
        <v>7225</v>
      </c>
    </row>
    <row r="1015" hidden="1">
      <c r="A1015" s="65" t="s">
        <v>134</v>
      </c>
      <c r="B1015" s="66" t="s">
        <v>7227</v>
      </c>
      <c r="C1015" s="28"/>
      <c r="D1015" s="28"/>
      <c r="E1015" s="28"/>
      <c r="F1015" s="161">
        <v>593.0</v>
      </c>
      <c r="G1015" s="152" t="str">
        <f>IFERROR(__xludf.DUMMYFUNCTION("TRIM(REGEXREPLACE(C1015, ""[0-9]+[a-f]?\."", """"))"),"")</f>
        <v/>
      </c>
      <c r="H1015" s="152" t="str">
        <f>IFERROR(__xludf.DUMMYFUNCTION("TRIM(REGEXREPLACE(D1015, ""[0-9]+[a-f]?\."", """"))"),"")</f>
        <v/>
      </c>
      <c r="I1015" s="152" t="str">
        <f>IFERROR(__xludf.DUMMYFUNCTION("TRIM(REGEXREPLACE(E1015, ""[0-9]+[a-f]?\."", """"))"),"")</f>
        <v/>
      </c>
      <c r="J1015" s="152" t="s">
        <v>7228</v>
      </c>
      <c r="K1015" s="152" t="s">
        <v>7229</v>
      </c>
      <c r="L1015" s="152" t="s">
        <v>7230</v>
      </c>
    </row>
    <row r="1016" hidden="1">
      <c r="A1016" s="174" t="s">
        <v>698</v>
      </c>
      <c r="B1016" s="215" t="s">
        <v>7231</v>
      </c>
      <c r="C1016" s="28" t="s">
        <v>7232</v>
      </c>
      <c r="D1016" s="28"/>
      <c r="E1016" s="28"/>
      <c r="F1016" s="161">
        <v>594.0</v>
      </c>
      <c r="G1016" s="152" t="str">
        <f>IFERROR(__xludf.DUMMYFUNCTION("TRIM(REGEXREPLACE(C1016, ""[0-9]+[a-f]?\."", """"))"),"Shared Cash outside HH")</f>
        <v>Shared Cash outside HH</v>
      </c>
      <c r="H1016" s="152" t="str">
        <f>IFERROR(__xludf.DUMMYFUNCTION("TRIM(REGEXREPLACE(D1016, ""[0-9]+[a-f]?\."", """"))"),"")</f>
        <v/>
      </c>
      <c r="I1016" s="152" t="str">
        <f>IFERROR(__xludf.DUMMYFUNCTION("TRIM(REGEXREPLACE(E1016, ""[0-9]+[a-f]?\."", """"))"),"")</f>
        <v/>
      </c>
      <c r="J1016" s="152" t="s">
        <v>7233</v>
      </c>
      <c r="K1016" s="152" t="s">
        <v>7234</v>
      </c>
      <c r="L1016" s="152" t="s">
        <v>7235</v>
      </c>
    </row>
    <row r="1017" hidden="1">
      <c r="A1017" s="90" t="s">
        <v>78</v>
      </c>
      <c r="B1017" s="216" t="s">
        <v>7236</v>
      </c>
      <c r="C1017" s="28"/>
      <c r="D1017" s="28"/>
      <c r="E1017" s="28"/>
      <c r="F1017" s="161">
        <v>155.0</v>
      </c>
      <c r="G1017" s="152" t="str">
        <f>IFERROR(__xludf.DUMMYFUNCTION("TRIM(REGEXREPLACE(C1017, ""[0-9]+[a-f]?\."", """"))"),"")</f>
        <v/>
      </c>
      <c r="H1017" s="152" t="str">
        <f>IFERROR(__xludf.DUMMYFUNCTION("TRIM(REGEXREPLACE(D1017, ""[0-9]+[a-f]?\."", """"))"),"")</f>
        <v/>
      </c>
      <c r="I1017" s="152" t="str">
        <f>IFERROR(__xludf.DUMMYFUNCTION("TRIM(REGEXREPLACE(E1017, ""[0-9]+[a-f]?\."", """"))"),"")</f>
        <v/>
      </c>
      <c r="J1017" s="152" t="str">
        <f t="shared" ref="J1017:L1017" si="83">$F1017 &amp; ". " &amp;G1017</f>
        <v>155. </v>
      </c>
      <c r="K1017" s="152" t="str">
        <f t="shared" si="83"/>
        <v>155. </v>
      </c>
      <c r="L1017" s="152" t="str">
        <f t="shared" si="83"/>
        <v>155. </v>
      </c>
    </row>
    <row r="1018">
      <c r="A1018" s="170" t="s">
        <v>263</v>
      </c>
      <c r="B1018" s="271" t="s">
        <v>7242</v>
      </c>
      <c r="C1018" s="28" t="s">
        <v>7243</v>
      </c>
      <c r="D1018" s="28" t="s">
        <v>7244</v>
      </c>
      <c r="E1018" s="28" t="s">
        <v>7245</v>
      </c>
      <c r="F1018" s="161">
        <v>448.0</v>
      </c>
      <c r="G1018" s="152" t="str">
        <f>IFERROR(__xludf.DUMMYFUNCTION("TRIM(REGEXREPLACE(C1018, ""[0-9]+[a-f]?\."", """"))"),"How much did you share with ${pm_mem_rel_out} (in CFA)?")</f>
        <v>How much did you share with ${pm_mem_rel_out} (in CFA)?</v>
      </c>
      <c r="H1018" s="152" t="str">
        <f>IFERROR(__xludf.DUMMYFUNCTION("TRIM(REGEXREPLACE(D1018, ""[0-9]+[a-f]?\."", """"))"),"Combien avez-vous donné à ${pm_mem_rel_out} (en CFA)?")</f>
        <v>Combien avez-vous donné à ${pm_mem_rel_out} (en CFA)?</v>
      </c>
      <c r="I1018" s="152" t="str">
        <f>IFERROR(__xludf.DUMMYFUNCTION("TRIM(REGEXREPLACE(E1018, ""[0-9]+[a-f]?\."", """"))"),"Nawa kuka ba ${pm_mem_rel_out} (a cikin CFA)?")</f>
        <v>Nawa kuka ba ${pm_mem_rel_out} (a cikin CFA)?</v>
      </c>
      <c r="J1018" s="152" t="s">
        <v>7246</v>
      </c>
      <c r="K1018" s="152" t="s">
        <v>7247</v>
      </c>
      <c r="L1018" s="152" t="s">
        <v>7248</v>
      </c>
    </row>
    <row r="1019">
      <c r="A1019" s="123" t="s">
        <v>7249</v>
      </c>
      <c r="B1019" s="284" t="s">
        <v>7250</v>
      </c>
      <c r="C1019" s="28" t="s">
        <v>7252</v>
      </c>
      <c r="D1019" s="28" t="s">
        <v>7254</v>
      </c>
      <c r="E1019" s="28" t="s">
        <v>7256</v>
      </c>
      <c r="F1019" s="161">
        <v>449.0</v>
      </c>
      <c r="G1019" s="152" t="str">
        <f>IFERROR(__xludf.DUMMYFUNCTION("TRIM(REGEXREPLACE(C1019, ""[0-9]+[a-f]?\."", """"))"),"With the money you shared with ${pm_mem_rel_out} (${pm_cash_share_out_amt}), what do you think they spent it on?")</f>
        <v>With the money you shared with ${pm_mem_rel_out} (${pm_cash_share_out_amt}), what do you think they spent it on?</v>
      </c>
      <c r="H1019" s="152" t="str">
        <f>IFERROR(__xludf.DUMMYFUNCTION("TRIM(REGEXREPLACE(D1019, ""[0-9]+[a-f]?\."", """"))"),"Avec l'argent que vous avez partagé avec ${pm_mem_rel_out} (${pm_cash_share_out_amt}), à quoi pensez-vous qu'ils l'ont dépensé ?")</f>
        <v>Avec l'argent que vous avez partagé avec ${pm_mem_rel_out} (${pm_cash_share_out_amt}), à quoi pensez-vous qu'ils l'ont dépensé ?</v>
      </c>
      <c r="I1019" s="152" t="str">
        <f>IFERROR(__xludf.DUMMYFUNCTION("TRIM(REGEXREPLACE(E1019, ""[0-9]+[a-f]?\."", """"))"),"Da kudin da ka raba da ${pm_mem_rel_out} (${pm_cash_share_out_amt}), a kan me kake ganin suka kashe kuɗin?")</f>
        <v>Da kudin da ka raba da ${pm_mem_rel_out} (${pm_cash_share_out_amt}), a kan me kake ganin suka kashe kuɗin?</v>
      </c>
      <c r="J1019" s="152" t="s">
        <v>7257</v>
      </c>
      <c r="K1019" s="152" t="s">
        <v>7259</v>
      </c>
      <c r="L1019" s="152" t="s">
        <v>7260</v>
      </c>
    </row>
    <row r="1020">
      <c r="A1020" s="137" t="s">
        <v>246</v>
      </c>
      <c r="B1020" s="284" t="s">
        <v>7261</v>
      </c>
      <c r="C1020" s="28" t="s">
        <v>7262</v>
      </c>
      <c r="D1020" s="28" t="s">
        <v>7263</v>
      </c>
      <c r="E1020" s="28" t="s">
        <v>7264</v>
      </c>
      <c r="F1020" s="161">
        <v>450.0</v>
      </c>
      <c r="G1020" s="152" t="str">
        <f>IFERROR(__xludf.DUMMYFUNCTION("TRIM(REGEXREPLACE(C1020, ""[0-9]+[a-f]?\."", """"))"),"Other, specify:")</f>
        <v>Other, specify:</v>
      </c>
      <c r="H1020" s="152" t="str">
        <f>IFERROR(__xludf.DUMMYFUNCTION("TRIM(REGEXREPLACE(D1020, ""[0-9]+[a-f]?\."", """"))"),"Autre précisez:")</f>
        <v>Autre précisez:</v>
      </c>
      <c r="I1020" s="152" t="str">
        <f>IFERROR(__xludf.DUMMYFUNCTION("TRIM(REGEXREPLACE(E1020, ""[0-9]+[a-f]?\."", """"))"),"Wani daban, baiyana:")</f>
        <v>Wani daban, baiyana:</v>
      </c>
      <c r="J1020" s="152" t="s">
        <v>7268</v>
      </c>
      <c r="K1020" s="152" t="s">
        <v>7269</v>
      </c>
      <c r="L1020" s="152" t="s">
        <v>7270</v>
      </c>
    </row>
    <row r="1021" hidden="1">
      <c r="A1021" s="140" t="s">
        <v>131</v>
      </c>
      <c r="B1021" s="193" t="s">
        <v>7271</v>
      </c>
      <c r="C1021" s="28"/>
      <c r="D1021" s="28"/>
      <c r="E1021" s="28"/>
      <c r="F1021" s="161">
        <v>599.0</v>
      </c>
      <c r="G1021" s="152" t="str">
        <f>IFERROR(__xludf.DUMMYFUNCTION("TRIM(REGEXREPLACE(C1021, ""[0-9]+[a-f]?\."", """"))"),"")</f>
        <v/>
      </c>
      <c r="H1021" s="152" t="str">
        <f>IFERROR(__xludf.DUMMYFUNCTION("TRIM(REGEXREPLACE(D1021, ""[0-9]+[a-f]?\."", """"))"),"")</f>
        <v/>
      </c>
      <c r="I1021" s="152" t="str">
        <f>IFERROR(__xludf.DUMMYFUNCTION("TRIM(REGEXREPLACE(E1021, ""[0-9]+[a-f]?\."", """"))"),"")</f>
        <v/>
      </c>
      <c r="J1021" s="152" t="s">
        <v>7272</v>
      </c>
      <c r="K1021" s="152" t="s">
        <v>7273</v>
      </c>
      <c r="L1021" s="152" t="s">
        <v>7274</v>
      </c>
    </row>
    <row r="1022">
      <c r="A1022" s="172" t="s">
        <v>41</v>
      </c>
      <c r="B1022" s="271" t="s">
        <v>7275</v>
      </c>
      <c r="C1022" s="28" t="s">
        <v>7276</v>
      </c>
      <c r="D1022" s="28" t="s">
        <v>7278</v>
      </c>
      <c r="E1022" s="28" t="s">
        <v>7280</v>
      </c>
      <c r="F1022" s="161">
        <v>451.0</v>
      </c>
      <c r="G1022" s="152" t="str">
        <f>IFERROR(__xludf.DUMMYFUNCTION("TRIM(REGEXREPLACE(C1022, ""[0-9]+[a-f]?\."", """"))"),"How much do you think they spent on [...]?")</f>
        <v>How much do you think they spent on [...]?</v>
      </c>
      <c r="H1022" s="152" t="str">
        <f>IFERROR(__xludf.DUMMYFUNCTION("TRIM(REGEXREPLACE(D1022, ""[0-9]+[a-f]?\."", """"))"),"Combien pensez-vous qu'ils ont dépensé pour [...] ?")</f>
        <v>Combien pensez-vous qu'ils ont dépensé pour [...] ?</v>
      </c>
      <c r="I1022" s="152" t="str">
        <f>IFERROR(__xludf.DUMMYFUNCTION("TRIM(REGEXREPLACE(E1022, ""[0-9]+[a-f]?\."", """"))"),"Nawa kake tsammani suka kashe akan [...]?")</f>
        <v>Nawa kake tsammani suka kashe akan [...]?</v>
      </c>
      <c r="J1022" s="152" t="s">
        <v>7282</v>
      </c>
      <c r="K1022" s="152" t="s">
        <v>7283</v>
      </c>
      <c r="L1022" s="152" t="s">
        <v>7284</v>
      </c>
    </row>
    <row r="1023">
      <c r="A1023" s="170" t="s">
        <v>263</v>
      </c>
      <c r="B1023" s="271" t="s">
        <v>7287</v>
      </c>
      <c r="C1023" s="28" t="s">
        <v>7289</v>
      </c>
      <c r="D1023" s="28" t="s">
        <v>7290</v>
      </c>
      <c r="E1023" s="28" t="s">
        <v>7291</v>
      </c>
      <c r="F1023" s="161">
        <v>452.0</v>
      </c>
      <c r="G1023" s="152" t="str">
        <f>IFERROR(__xludf.DUMMYFUNCTION("TRIM(REGEXREPLACE(C1023, ""[0-9]+[a-f]?\."", """"))"),"Food")</f>
        <v>Food</v>
      </c>
      <c r="H1023" s="152" t="str">
        <f>IFERROR(__xludf.DUMMYFUNCTION("TRIM(REGEXREPLACE(D1023, ""[0-9]+[a-f]?\."", """"))"),"Nourriture")</f>
        <v>Nourriture</v>
      </c>
      <c r="I1023" s="152" t="str">
        <f>IFERROR(__xludf.DUMMYFUNCTION("TRIM(REGEXREPLACE(E1023, ""[0-9]+[a-f]?\."", """"))"),"Abinci")</f>
        <v>Abinci</v>
      </c>
      <c r="J1023" s="152" t="s">
        <v>7292</v>
      </c>
      <c r="K1023" s="152" t="s">
        <v>7293</v>
      </c>
      <c r="L1023" s="152" t="s">
        <v>7294</v>
      </c>
    </row>
    <row r="1024">
      <c r="A1024" s="170" t="s">
        <v>263</v>
      </c>
      <c r="B1024" s="271" t="s">
        <v>7295</v>
      </c>
      <c r="C1024" s="28" t="s">
        <v>7296</v>
      </c>
      <c r="D1024" s="28" t="s">
        <v>7297</v>
      </c>
      <c r="E1024" s="28" t="s">
        <v>7298</v>
      </c>
      <c r="F1024" s="161">
        <v>453.0</v>
      </c>
      <c r="G1024" s="152" t="str">
        <f>IFERROR(__xludf.DUMMYFUNCTION("TRIM(REGEXREPLACE(C1024, ""[0-9]+[a-f]?\."", """"))"),"Other household expenditure")</f>
        <v>Other household expenditure</v>
      </c>
      <c r="H1024" s="152" t="str">
        <f>IFERROR(__xludf.DUMMYFUNCTION("TRIM(REGEXREPLACE(D1024, ""[0-9]+[a-f]?\."", """"))"),"Autres dépenses du ménage")</f>
        <v>Autres dépenses du ménage</v>
      </c>
      <c r="I1024" s="152" t="str">
        <f>IFERROR(__xludf.DUMMYFUNCTION("TRIM(REGEXREPLACE(E1024, ""[0-9]+[a-f]?\."", """"))"),"Sauran kashe-kashen kuɗin gida")</f>
        <v>Sauran kashe-kashen kuɗin gida</v>
      </c>
      <c r="J1024" s="152" t="s">
        <v>7299</v>
      </c>
      <c r="K1024" s="152" t="s">
        <v>7300</v>
      </c>
      <c r="L1024" s="152" t="s">
        <v>7301</v>
      </c>
    </row>
    <row r="1025">
      <c r="A1025" s="170" t="s">
        <v>263</v>
      </c>
      <c r="B1025" s="271" t="s">
        <v>7302</v>
      </c>
      <c r="C1025" s="28" t="s">
        <v>7303</v>
      </c>
      <c r="D1025" s="28" t="s">
        <v>7304</v>
      </c>
      <c r="E1025" s="28" t="s">
        <v>7305</v>
      </c>
      <c r="F1025" s="161">
        <v>454.0</v>
      </c>
      <c r="G1025" s="152" t="str">
        <f>IFERROR(__xludf.DUMMYFUNCTION("TRIM(REGEXREPLACE(C1025, ""[0-9]+[a-f]?\."", """"))"),"Investments in agriculture and/or business")</f>
        <v>Investments in agriculture and/or business</v>
      </c>
      <c r="H1025" s="152" t="str">
        <f>IFERROR(__xludf.DUMMYFUNCTION("TRIM(REGEXREPLACE(D1025, ""[0-9]+[a-f]?\."", """"))"),"Investissements dans l'agriculture et/ou le commerce")</f>
        <v>Investissements dans l'agriculture et/ou le commerce</v>
      </c>
      <c r="I1025" s="152" t="str">
        <f>IFERROR(__xludf.DUMMYFUNCTION("TRIM(REGEXREPLACE(E1025, ""[0-9]+[a-f]?\."", """"))"),"Zuba jari a harkar noma da/ko kasuwanci")</f>
        <v>Zuba jari a harkar noma da/ko kasuwanci</v>
      </c>
      <c r="J1025" s="152" t="s">
        <v>7310</v>
      </c>
      <c r="K1025" s="152" t="s">
        <v>7311</v>
      </c>
      <c r="L1025" s="152" t="s">
        <v>7312</v>
      </c>
    </row>
    <row r="1026">
      <c r="A1026" s="170" t="s">
        <v>263</v>
      </c>
      <c r="B1026" s="271" t="s">
        <v>7313</v>
      </c>
      <c r="C1026" s="28" t="s">
        <v>7314</v>
      </c>
      <c r="D1026" s="28" t="s">
        <v>7315</v>
      </c>
      <c r="E1026" s="28" t="s">
        <v>7316</v>
      </c>
      <c r="F1026" s="161">
        <v>455.0</v>
      </c>
      <c r="G1026" s="152" t="str">
        <f>IFERROR(__xludf.DUMMYFUNCTION("TRIM(REGEXREPLACE(C1026, ""[0-9]+[a-f]?\."", """"))"),"Savings")</f>
        <v>Savings</v>
      </c>
      <c r="H1026" s="152" t="str">
        <f>IFERROR(__xludf.DUMMYFUNCTION("TRIM(REGEXREPLACE(D1026, ""[0-9]+[a-f]?\."", """"))"),"Épargne")</f>
        <v>Épargne</v>
      </c>
      <c r="I1026" s="152" t="str">
        <f>IFERROR(__xludf.DUMMYFUNCTION("TRIM(REGEXREPLACE(E1026, ""[0-9]+[a-f]?\."", """"))"),"Ajiya")</f>
        <v>Ajiya</v>
      </c>
      <c r="J1026" s="152" t="s">
        <v>7317</v>
      </c>
      <c r="K1026" s="152" t="s">
        <v>7318</v>
      </c>
      <c r="L1026" s="152" t="s">
        <v>7319</v>
      </c>
    </row>
    <row r="1027">
      <c r="A1027" s="170" t="s">
        <v>263</v>
      </c>
      <c r="B1027" s="271" t="s">
        <v>7320</v>
      </c>
      <c r="C1027" s="28" t="s">
        <v>7321</v>
      </c>
      <c r="D1027" s="28" t="s">
        <v>7322</v>
      </c>
      <c r="E1027" s="28" t="s">
        <v>7324</v>
      </c>
      <c r="F1027" s="161">
        <v>456.0</v>
      </c>
      <c r="G1027" s="152" t="str">
        <f>IFERROR(__xludf.DUMMYFUNCTION("TRIM(REGEXREPLACE(C1027, ""[0-9]+[a-f]?\."", """"))"),"Debt repayment")</f>
        <v>Debt repayment</v>
      </c>
      <c r="H1027" s="152" t="str">
        <f>IFERROR(__xludf.DUMMYFUNCTION("TRIM(REGEXREPLACE(D1027, ""[0-9]+[a-f]?\."", """"))"),"Remboursement des dettes")</f>
        <v>Remboursement des dettes</v>
      </c>
      <c r="I1027" s="152" t="str">
        <f>IFERROR(__xludf.DUMMYFUNCTION("TRIM(REGEXREPLACE(E1027, ""[0-9]+[a-f]?\."", """"))"),"Biyan bashi")</f>
        <v>Biyan bashi</v>
      </c>
      <c r="J1027" s="152" t="s">
        <v>7328</v>
      </c>
      <c r="K1027" s="152" t="s">
        <v>7329</v>
      </c>
      <c r="L1027" s="152" t="s">
        <v>7330</v>
      </c>
    </row>
    <row r="1028">
      <c r="A1028" s="170" t="s">
        <v>263</v>
      </c>
      <c r="B1028" s="271" t="s">
        <v>7331</v>
      </c>
      <c r="C1028" s="28" t="s">
        <v>7332</v>
      </c>
      <c r="D1028" s="28" t="s">
        <v>7333</v>
      </c>
      <c r="E1028" s="28" t="s">
        <v>7334</v>
      </c>
      <c r="F1028" s="161">
        <v>457.0</v>
      </c>
      <c r="G1028" s="152" t="str">
        <f>IFERROR(__xludf.DUMMYFUNCTION("TRIM(REGEXREPLACE(C1028, ""[0-9]+[a-f]?\."", """"))"),"Housing cost payments")</f>
        <v>Housing cost payments</v>
      </c>
      <c r="H1028" s="152" t="str">
        <f>IFERROR(__xludf.DUMMYFUNCTION("TRIM(REGEXREPLACE(D1028, ""[0-9]+[a-f]?\."", """"))"),"Paiement des frais de logement")</f>
        <v>Paiement des frais de logement</v>
      </c>
      <c r="I1028" s="152" t="str">
        <f>IFERROR(__xludf.DUMMYFUNCTION("TRIM(REGEXREPLACE(E1028, ""[0-9]+[a-f]?\."", """"))"),"Biyan kudin haya")</f>
        <v>Biyan kudin haya</v>
      </c>
      <c r="J1028" s="152" t="s">
        <v>7335</v>
      </c>
      <c r="K1028" s="152" t="s">
        <v>7336</v>
      </c>
      <c r="L1028" s="152" t="s">
        <v>7337</v>
      </c>
    </row>
    <row r="1029">
      <c r="A1029" s="170" t="s">
        <v>263</v>
      </c>
      <c r="B1029" s="271" t="s">
        <v>7338</v>
      </c>
      <c r="C1029" s="28" t="s">
        <v>7339</v>
      </c>
      <c r="D1029" s="28" t="s">
        <v>7340</v>
      </c>
      <c r="E1029" s="28" t="s">
        <v>7341</v>
      </c>
      <c r="F1029" s="161">
        <v>458.0</v>
      </c>
      <c r="G1029" s="152" t="str">
        <f>IFERROR(__xludf.DUMMYFUNCTION("TRIM(REGEXREPLACE(C1029, ""[0-9]+[a-f]?\."", """"))"),"Education/Training payments")</f>
        <v>Education/Training payments</v>
      </c>
      <c r="H1029" s="152" t="str">
        <f>IFERROR(__xludf.DUMMYFUNCTION("TRIM(REGEXREPLACE(D1029, ""[0-9]+[a-f]?\."", """"))"),"Paiements pour études/formation")</f>
        <v>Paiements pour études/formation</v>
      </c>
      <c r="I1029" s="152" t="str">
        <f>IFERROR(__xludf.DUMMYFUNCTION("TRIM(REGEXREPLACE(E1029, ""[0-9]+[a-f]?\."", """"))"),"Biyan kuɗi na ilimi / horo")</f>
        <v>Biyan kuɗi na ilimi / horo</v>
      </c>
      <c r="J1029" s="152" t="s">
        <v>7345</v>
      </c>
      <c r="K1029" s="152" t="s">
        <v>7346</v>
      </c>
      <c r="L1029" s="152" t="s">
        <v>7347</v>
      </c>
    </row>
    <row r="1030">
      <c r="A1030" s="170" t="s">
        <v>263</v>
      </c>
      <c r="B1030" s="271" t="s">
        <v>7348</v>
      </c>
      <c r="C1030" s="28" t="s">
        <v>7349</v>
      </c>
      <c r="D1030" s="28" t="s">
        <v>7350</v>
      </c>
      <c r="E1030" s="28" t="s">
        <v>7351</v>
      </c>
      <c r="F1030" s="161">
        <v>459.0</v>
      </c>
      <c r="G1030" s="152" t="str">
        <f>IFERROR(__xludf.DUMMYFUNCTION("TRIM(REGEXREPLACE(C1030, ""[0-9]+[a-f]?\."", """"))"),"Health expenditures")</f>
        <v>Health expenditures</v>
      </c>
      <c r="H1030" s="152" t="str">
        <f>IFERROR(__xludf.DUMMYFUNCTION("TRIM(REGEXREPLACE(D1030, ""[0-9]+[a-f]?\."", """"))"),"Dépenses de santé")</f>
        <v>Dépenses de santé</v>
      </c>
      <c r="I1030" s="152" t="str">
        <f>IFERROR(__xludf.DUMMYFUNCTION("TRIM(REGEXREPLACE(E1030, ""[0-9]+[a-f]?\."", """"))"),"Kuɗin kiwon lafiya")</f>
        <v>Kuɗin kiwon lafiya</v>
      </c>
      <c r="J1030" s="152" t="s">
        <v>7352</v>
      </c>
      <c r="K1030" s="152" t="s">
        <v>7353</v>
      </c>
      <c r="L1030" s="152" t="s">
        <v>7354</v>
      </c>
    </row>
    <row r="1031">
      <c r="A1031" s="170" t="s">
        <v>263</v>
      </c>
      <c r="B1031" s="271" t="s">
        <v>7355</v>
      </c>
      <c r="C1031" s="28" t="s">
        <v>7356</v>
      </c>
      <c r="D1031" s="28" t="s">
        <v>7357</v>
      </c>
      <c r="E1031" s="28" t="s">
        <v>7358</v>
      </c>
      <c r="F1031" s="161">
        <v>460.0</v>
      </c>
      <c r="G1031" s="152" t="str">
        <f>IFERROR(__xludf.DUMMYFUNCTION("TRIM(REGEXREPLACE(C1031, ""[0-9]+[a-f]?\."", """"))"),"Migration cost payments")</f>
        <v>Migration cost payments</v>
      </c>
      <c r="H1031" s="152" t="str">
        <f>IFERROR(__xludf.DUMMYFUNCTION("TRIM(REGEXREPLACE(D1031, ""[0-9]+[a-f]?\."", """"))"),"Paiement des frais de migration")</f>
        <v>Paiement des frais de migration</v>
      </c>
      <c r="I1031" s="152" t="str">
        <f>IFERROR(__xludf.DUMMYFUNCTION("TRIM(REGEXREPLACE(E1031, ""[0-9]+[a-f]?\."", """"))"),"Kashe kuɗin zuwa biɗa")</f>
        <v>Kashe kuɗin zuwa biɗa</v>
      </c>
      <c r="J1031" s="152" t="s">
        <v>7362</v>
      </c>
      <c r="K1031" s="152" t="s">
        <v>7363</v>
      </c>
      <c r="L1031" s="152" t="s">
        <v>7364</v>
      </c>
    </row>
    <row r="1032">
      <c r="A1032" s="170" t="s">
        <v>263</v>
      </c>
      <c r="B1032" s="271" t="s">
        <v>7365</v>
      </c>
      <c r="C1032" s="28" t="s">
        <v>7366</v>
      </c>
      <c r="D1032" s="28" t="s">
        <v>7367</v>
      </c>
      <c r="E1032" s="28" t="s">
        <v>7368</v>
      </c>
      <c r="F1032" s="161">
        <v>461.0</v>
      </c>
      <c r="G1032" s="152" t="str">
        <f>IFERROR(__xludf.DUMMYFUNCTION("TRIM(REGEXREPLACE(C1032, ""[0-9]+[a-f]?\."", """"))"),"Ceremonies")</f>
        <v>Ceremonies</v>
      </c>
      <c r="H1032" s="152" t="str">
        <f>IFERROR(__xludf.DUMMYFUNCTION("TRIM(REGEXREPLACE(D1032, ""[0-9]+[a-f]?\."", """"))"),"Cérémonies")</f>
        <v>Cérémonies</v>
      </c>
      <c r="I1032" s="152" t="str">
        <f>IFERROR(__xludf.DUMMYFUNCTION("TRIM(REGEXREPLACE(E1032, ""[0-9]+[a-f]?\."", """"))"),"Bukukuwa")</f>
        <v>Bukukuwa</v>
      </c>
      <c r="J1032" s="152" t="s">
        <v>7369</v>
      </c>
      <c r="K1032" s="152" t="s">
        <v>7370</v>
      </c>
      <c r="L1032" s="152" t="s">
        <v>7372</v>
      </c>
    </row>
    <row r="1033">
      <c r="A1033" s="170" t="s">
        <v>263</v>
      </c>
      <c r="B1033" s="271" t="s">
        <v>7374</v>
      </c>
      <c r="C1033" s="28" t="s">
        <v>7376</v>
      </c>
      <c r="D1033" s="28" t="s">
        <v>7378</v>
      </c>
      <c r="E1033" s="28" t="s">
        <v>7379</v>
      </c>
      <c r="F1033" s="161">
        <v>462.0</v>
      </c>
      <c r="G1033" s="152" t="str">
        <f>IFERROR(__xludf.DUMMYFUNCTION("TRIM(REGEXREPLACE(C1033, ""[0-9]+[a-f]?\."", """"))"),"Other")</f>
        <v>Other</v>
      </c>
      <c r="H1033" s="152" t="str">
        <f>IFERROR(__xludf.DUMMYFUNCTION("TRIM(REGEXREPLACE(D1033, ""[0-9]+[a-f]?\."", """"))"),"Autres")</f>
        <v>Autres</v>
      </c>
      <c r="I1033" s="152" t="str">
        <f>IFERROR(__xludf.DUMMYFUNCTION("TRIM(REGEXREPLACE(E1033, ""[0-9]+[a-f]?\."", """"))"),"Wasu")</f>
        <v>Wasu</v>
      </c>
      <c r="J1033" s="152" t="s">
        <v>7380</v>
      </c>
      <c r="K1033" s="152" t="s">
        <v>7381</v>
      </c>
      <c r="L1033" s="152" t="s">
        <v>7382</v>
      </c>
    </row>
    <row r="1034" hidden="1">
      <c r="A1034" s="140" t="s">
        <v>237</v>
      </c>
      <c r="B1034" s="193" t="s">
        <v>7271</v>
      </c>
      <c r="C1034" s="28"/>
      <c r="D1034" s="28"/>
      <c r="E1034" s="28"/>
      <c r="F1034" s="161">
        <v>557.0</v>
      </c>
      <c r="G1034" s="152" t="str">
        <f>IFERROR(__xludf.DUMMYFUNCTION("TRIM(REGEXREPLACE(C1034, ""[0-9]+[a-f]?\."", """"))"),"")</f>
        <v/>
      </c>
      <c r="H1034" s="152" t="str">
        <f>IFERROR(__xludf.DUMMYFUNCTION("TRIM(REGEXREPLACE(D1034, ""[0-9]+[a-f]?\."", """"))"),"")</f>
        <v/>
      </c>
      <c r="I1034" s="152" t="str">
        <f>IFERROR(__xludf.DUMMYFUNCTION("TRIM(REGEXREPLACE(E1034, ""[0-9]+[a-f]?\."", """"))"),"")</f>
        <v/>
      </c>
      <c r="J1034" s="152" t="s">
        <v>7385</v>
      </c>
      <c r="K1034" s="152" t="s">
        <v>7387</v>
      </c>
      <c r="L1034" s="152" t="s">
        <v>7388</v>
      </c>
    </row>
    <row r="1035" hidden="1">
      <c r="A1035" s="270" t="s">
        <v>78</v>
      </c>
      <c r="B1035" s="215" t="s">
        <v>7389</v>
      </c>
      <c r="C1035" s="28"/>
      <c r="D1035" s="28"/>
      <c r="E1035" s="28"/>
      <c r="F1035" s="161">
        <v>558.0</v>
      </c>
      <c r="G1035" s="152" t="str">
        <f>IFERROR(__xludf.DUMMYFUNCTION("TRIM(REGEXREPLACE(C1035, ""[0-9]+[a-f]?\."", """"))"),"")</f>
        <v/>
      </c>
      <c r="H1035" s="152" t="str">
        <f>IFERROR(__xludf.DUMMYFUNCTION("TRIM(REGEXREPLACE(D1035, ""[0-9]+[a-f]?\."", """"))"),"")</f>
        <v/>
      </c>
      <c r="I1035" s="152" t="str">
        <f>IFERROR(__xludf.DUMMYFUNCTION("TRIM(REGEXREPLACE(E1035, ""[0-9]+[a-f]?\."", """"))"),"")</f>
        <v/>
      </c>
      <c r="J1035" s="152" t="s">
        <v>7390</v>
      </c>
      <c r="K1035" s="152" t="s">
        <v>7391</v>
      </c>
      <c r="L1035" s="152" t="s">
        <v>7392</v>
      </c>
    </row>
    <row r="1036">
      <c r="A1036" s="270" t="s">
        <v>41</v>
      </c>
      <c r="B1036" s="215" t="s">
        <v>7395</v>
      </c>
      <c r="C1036" s="28" t="s">
        <v>7397</v>
      </c>
      <c r="D1036" s="28" t="s">
        <v>7399</v>
      </c>
      <c r="E1036" s="28" t="s">
        <v>7400</v>
      </c>
      <c r="F1036" s="161">
        <v>463.0</v>
      </c>
      <c r="G1036" s="152" t="str">
        <f>IFERROR(__xludf.DUMMYFUNCTION("TRIM(REGEXREPLACE(C1036, ""[0-9]+[a-f]?\."", """"))"),"ENUMERATOR: The total amount spent on the above categories (${pm_cash_shared_out_tot}) is not equal to the amount the respondent shared (${pm_cash_share_out_amt}). Please return and correct responses.")</f>
        <v>ENUMERATOR: The total amount spent on the above categories (${pm_cash_shared_out_tot}) is not equal to the amount the respondent shared (${pm_cash_share_out_amt}). Please return and correct responses.</v>
      </c>
      <c r="H1036" s="152" t="str">
        <f>IFERROR(__xludf.DUMMYFUNCTION("TRIM(REGEXREPLACE(D1036, ""[0-9]+[a-f]?\."", """"))"),"ENUMÉRATEUR : Le montant total dépensé pour les catégories ci-dessus (${pm_cash_shared_out_tot}) n'est pas égal au montant partagé par le répondant (${pm_cash_share_out_amt}). Veuillez revenir pour corriger les réponses.")</f>
        <v>ENUMÉRATEUR : Le montant total dépensé pour les catégories ci-dessus (${pm_cash_shared_out_tot}) n'est pas égal au montant partagé par le répondant (${pm_cash_share_out_amt}). Veuillez revenir pour corriger les réponses.</v>
      </c>
      <c r="I1036" s="152" t="str">
        <f>IFERROR(__xludf.DUMMYFUNCTION("TRIM(REGEXREPLACE(E1036, ""[0-9]+[a-f]?\."", """"))"),"Mai bincike: Jimillar adadin kuɗin da aka kashe akan nau'ikan da ke sama (${pm_cash_shared_out_tot}) bai yi daidai da adadin da (${pm_cash_share_out_amt}) ya raba ba. Da fatan za a dawo a gyara amsoshin.")</f>
        <v>Mai bincike: Jimillar adadin kuɗin da aka kashe akan nau'ikan da ke sama (${pm_cash_shared_out_tot}) bai yi daidai da adadin da (${pm_cash_share_out_amt}) ya raba ba. Da fatan za a dawo a gyara amsoshin.</v>
      </c>
      <c r="J1036" s="152" t="s">
        <v>7401</v>
      </c>
      <c r="K1036" s="152" t="s">
        <v>7402</v>
      </c>
      <c r="L1036" s="152" t="s">
        <v>7403</v>
      </c>
    </row>
    <row r="1037" hidden="1">
      <c r="A1037" s="174" t="s">
        <v>1015</v>
      </c>
      <c r="B1037" s="215" t="s">
        <v>7231</v>
      </c>
      <c r="C1037" s="28" t="s">
        <v>7232</v>
      </c>
      <c r="D1037" s="28"/>
      <c r="E1037" s="28"/>
      <c r="F1037" s="161">
        <v>560.0</v>
      </c>
      <c r="G1037" s="152" t="str">
        <f>IFERROR(__xludf.DUMMYFUNCTION("TRIM(REGEXREPLACE(C1037, ""[0-9]+[a-f]?\."", """"))"),"Shared Cash outside HH")</f>
        <v>Shared Cash outside HH</v>
      </c>
      <c r="H1037" s="152" t="str">
        <f>IFERROR(__xludf.DUMMYFUNCTION("TRIM(REGEXREPLACE(D1037, ""[0-9]+[a-f]?\."", """"))"),"")</f>
        <v/>
      </c>
      <c r="I1037" s="152" t="str">
        <f>IFERROR(__xludf.DUMMYFUNCTION("TRIM(REGEXREPLACE(E1037, ""[0-9]+[a-f]?\."", """"))"),"")</f>
        <v/>
      </c>
      <c r="J1037" s="152" t="s">
        <v>7404</v>
      </c>
      <c r="K1037" s="152" t="s">
        <v>7406</v>
      </c>
      <c r="L1037" s="152" t="s">
        <v>7407</v>
      </c>
    </row>
    <row r="1038">
      <c r="A1038" s="65" t="s">
        <v>463</v>
      </c>
      <c r="B1038" s="218" t="s">
        <v>7410</v>
      </c>
      <c r="C1038" s="28" t="s">
        <v>7411</v>
      </c>
      <c r="D1038" s="28" t="s">
        <v>7412</v>
      </c>
      <c r="E1038" s="28" t="s">
        <v>7413</v>
      </c>
      <c r="F1038" s="161">
        <v>464.0</v>
      </c>
      <c r="G1038" s="152" t="str">
        <f>IFERROR(__xludf.DUMMYFUNCTION("TRIM(REGEXREPLACE(C1038, ""[0-9]+[a-f]?\."", """"))"),"Did you share information you learned in the PPM program with people outside your household?")</f>
        <v>Did you share information you learned in the PPM program with people outside your household?</v>
      </c>
      <c r="H1038" s="152" t="str">
        <f>IFERROR(__xludf.DUMMYFUNCTION("TRIM(REGEXREPLACE(D1038, ""[0-9]+[a-f]?\."", """"))"),"Avez-vous partagé les informations que vous avez apprises dans le cadre du programme PPM avec des personnes extérieures à votre ménage ?")</f>
        <v>Avez-vous partagé les informations que vous avez apprises dans le cadre du programme PPM avec des personnes extérieures à votre ménage ?</v>
      </c>
      <c r="I1038" s="152" t="str">
        <f>IFERROR(__xludf.DUMMYFUNCTION("TRIM(REGEXREPLACE(E1038, ""[0-9]+[a-f]?\."", """"))"),"Ko ka bada bayanin da ka koya a cikin shirin PPM tare da mutanen da ke wajen gidanku?")</f>
        <v>Ko ka bada bayanin da ka koya a cikin shirin PPM tare da mutanen da ke wajen gidanku?</v>
      </c>
      <c r="J1038" s="152" t="s">
        <v>7414</v>
      </c>
      <c r="K1038" s="152" t="s">
        <v>7415</v>
      </c>
      <c r="L1038" s="152" t="s">
        <v>7416</v>
      </c>
    </row>
    <row r="1039">
      <c r="A1039" s="65" t="s">
        <v>7417</v>
      </c>
      <c r="B1039" s="218" t="s">
        <v>7418</v>
      </c>
      <c r="C1039" s="28" t="s">
        <v>7419</v>
      </c>
      <c r="D1039" s="28" t="s">
        <v>7420</v>
      </c>
      <c r="E1039" s="28" t="s">
        <v>7421</v>
      </c>
      <c r="F1039" s="161">
        <v>465.0</v>
      </c>
      <c r="G1039" s="152" t="str">
        <f>IFERROR(__xludf.DUMMYFUNCTION("TRIM(REGEXREPLACE(C1039, ""[0-9]+[a-f]?\."", """"))"),"What information did you share with them?")</f>
        <v>What information did you share with them?</v>
      </c>
      <c r="H1039" s="152" t="str">
        <f>IFERROR(__xludf.DUMMYFUNCTION("TRIM(REGEXREPLACE(D1039, ""[0-9]+[a-f]?\."", """"))"),"Quelles informations avez-vous partagées avec eux ?")</f>
        <v>Quelles informations avez-vous partagées avec eux ?</v>
      </c>
      <c r="I1039" s="152" t="str">
        <f>IFERROR(__xludf.DUMMYFUNCTION("TRIM(REGEXREPLACE(E1039, ""[0-9]+[a-f]?\."", """"))"),"Wane bayani ka ba su?")</f>
        <v>Wane bayani ka ba su?</v>
      </c>
      <c r="J1039" s="152" t="s">
        <v>7423</v>
      </c>
      <c r="K1039" s="152" t="s">
        <v>7424</v>
      </c>
      <c r="L1039" s="152" t="s">
        <v>7425</v>
      </c>
    </row>
    <row r="1040" hidden="1">
      <c r="A1040" s="65" t="s">
        <v>134</v>
      </c>
      <c r="B1040" s="66" t="s">
        <v>7426</v>
      </c>
      <c r="C1040" s="28"/>
      <c r="D1040" s="28"/>
      <c r="E1040" s="28"/>
      <c r="F1040" s="161">
        <v>614.0</v>
      </c>
      <c r="G1040" s="152" t="str">
        <f>IFERROR(__xludf.DUMMYFUNCTION("TRIM(REGEXREPLACE(C1040, ""[0-9]+[a-f]?\."", """"))"),"")</f>
        <v/>
      </c>
      <c r="H1040" s="152" t="str">
        <f>IFERROR(__xludf.DUMMYFUNCTION("TRIM(REGEXREPLACE(D1040, ""[0-9]+[a-f]?\."", """"))"),"")</f>
        <v/>
      </c>
      <c r="I1040" s="152" t="str">
        <f>IFERROR(__xludf.DUMMYFUNCTION("TRIM(REGEXREPLACE(E1040, ""[0-9]+[a-f]?\."", """"))"),"")</f>
        <v/>
      </c>
      <c r="J1040" s="152" t="s">
        <v>7427</v>
      </c>
      <c r="K1040" s="152" t="s">
        <v>7428</v>
      </c>
      <c r="L1040" s="152" t="s">
        <v>7429</v>
      </c>
    </row>
    <row r="1041" hidden="1">
      <c r="A1041" s="65" t="s">
        <v>78</v>
      </c>
      <c r="B1041" s="272" t="s">
        <v>7431</v>
      </c>
      <c r="C1041" s="28"/>
      <c r="D1041" s="28"/>
      <c r="E1041" s="28"/>
      <c r="F1041" s="161">
        <v>615.0</v>
      </c>
      <c r="G1041" s="152" t="str">
        <f>IFERROR(__xludf.DUMMYFUNCTION("TRIM(REGEXREPLACE(C1041, ""[0-9]+[a-f]?\."", """"))"),"")</f>
        <v/>
      </c>
      <c r="H1041" s="152" t="str">
        <f>IFERROR(__xludf.DUMMYFUNCTION("TRIM(REGEXREPLACE(D1041, ""[0-9]+[a-f]?\."", """"))"),"")</f>
        <v/>
      </c>
      <c r="I1041" s="152" t="str">
        <f>IFERROR(__xludf.DUMMYFUNCTION("TRIM(REGEXREPLACE(E1041, ""[0-9]+[a-f]?\."", """"))"),"")</f>
        <v/>
      </c>
      <c r="J1041" s="152" t="s">
        <v>7432</v>
      </c>
      <c r="K1041" s="152" t="s">
        <v>7433</v>
      </c>
      <c r="L1041" s="152" t="s">
        <v>7434</v>
      </c>
    </row>
    <row r="1042" hidden="1">
      <c r="A1042" s="65" t="s">
        <v>134</v>
      </c>
      <c r="B1042" s="66" t="s">
        <v>7435</v>
      </c>
      <c r="C1042" s="28"/>
      <c r="D1042" s="28"/>
      <c r="E1042" s="28"/>
      <c r="F1042" s="161">
        <v>561.0</v>
      </c>
      <c r="G1042" s="152" t="str">
        <f>IFERROR(__xludf.DUMMYFUNCTION("TRIM(REGEXREPLACE(C1042, ""[0-9]+[a-f]?\."", """"))"),"")</f>
        <v/>
      </c>
      <c r="H1042" s="152" t="str">
        <f>IFERROR(__xludf.DUMMYFUNCTION("TRIM(REGEXREPLACE(D1042, ""[0-9]+[a-f]?\."", """"))"),"")</f>
        <v/>
      </c>
      <c r="I1042" s="152" t="str">
        <f>IFERROR(__xludf.DUMMYFUNCTION("TRIM(REGEXREPLACE(E1042, ""[0-9]+[a-f]?\."", """"))"),"")</f>
        <v/>
      </c>
      <c r="J1042" s="152" t="s">
        <v>7436</v>
      </c>
      <c r="K1042" s="152" t="s">
        <v>7437</v>
      </c>
      <c r="L1042" s="152" t="s">
        <v>7438</v>
      </c>
    </row>
    <row r="1043">
      <c r="A1043" s="68" t="s">
        <v>463</v>
      </c>
      <c r="B1043" s="218" t="s">
        <v>7439</v>
      </c>
      <c r="C1043" s="28" t="s">
        <v>7440</v>
      </c>
      <c r="D1043" s="28" t="s">
        <v>7441</v>
      </c>
      <c r="E1043" s="28" t="s">
        <v>7443</v>
      </c>
      <c r="F1043" s="161">
        <v>466.0</v>
      </c>
      <c r="G1043" s="152" t="str">
        <f>IFERROR(__xludf.DUMMYFUNCTION("TRIM(REGEXREPLACE(C1043, ""[0-9]+[a-f]?\."", """"))"),"Did you share the cash with anyone within the Household?")</f>
        <v>Did you share the cash with anyone within the Household?</v>
      </c>
      <c r="H1043" s="152" t="str">
        <f>IFERROR(__xludf.DUMMYFUNCTION("TRIM(REGEXREPLACE(D1043, ""[0-9]+[a-f]?\."", """"))"),"Avez-vous partagé l'argent avec quelqu'un au sein du ménage ?")</f>
        <v>Avez-vous partagé l'argent avec quelqu'un au sein du ménage ?</v>
      </c>
      <c r="I1043" s="152" t="str">
        <f>IFERROR(__xludf.DUMMYFUNCTION("TRIM(REGEXREPLACE(E1043, ""[0-9]+[a-f]?\."", """"))"),"Ko kun raba kuɗin tare da kowa a cikin Gidan?")</f>
        <v>Ko kun raba kuɗin tare da kowa a cikin Gidan?</v>
      </c>
      <c r="J1043" s="152" t="s">
        <v>7447</v>
      </c>
      <c r="K1043" s="152" t="s">
        <v>7448</v>
      </c>
      <c r="L1043" s="152" t="s">
        <v>7449</v>
      </c>
    </row>
    <row r="1044">
      <c r="A1044" s="68" t="s">
        <v>7218</v>
      </c>
      <c r="B1044" s="218" t="s">
        <v>7450</v>
      </c>
      <c r="C1044" s="28" t="s">
        <v>7451</v>
      </c>
      <c r="D1044" s="28" t="s">
        <v>7452</v>
      </c>
      <c r="E1044" s="28" t="s">
        <v>7453</v>
      </c>
      <c r="F1044" s="161">
        <v>467.0</v>
      </c>
      <c r="G1044" s="152" t="str">
        <f>IFERROR(__xludf.DUMMYFUNCTION("TRIM(REGEXREPLACE(C1044, ""[0-9]+[a-f]?\."", """"))"),"Who did you share with?")</f>
        <v>Who did you share with?</v>
      </c>
      <c r="H1044" s="152" t="str">
        <f>IFERROR(__xludf.DUMMYFUNCTION("TRIM(REGEXREPLACE(D1044, ""[0-9]+[a-f]?\."", """"))"),"Avec qui avez-vous partagé l'argent?")</f>
        <v>Avec qui avez-vous partagé l'argent?</v>
      </c>
      <c r="I1044" s="152" t="str">
        <f>IFERROR(__xludf.DUMMYFUNCTION("TRIM(REGEXREPLACE(E1044, ""[0-9]+[a-f]?\."", """"))"),"Wanene kuka ba wannan kudin?")</f>
        <v>Wanene kuka ba wannan kudin?</v>
      </c>
      <c r="J1044" s="152" t="s">
        <v>7454</v>
      </c>
      <c r="K1044" s="152" t="s">
        <v>7455</v>
      </c>
      <c r="L1044" s="152" t="s">
        <v>7456</v>
      </c>
    </row>
    <row r="1045" hidden="1">
      <c r="A1045" s="174" t="s">
        <v>698</v>
      </c>
      <c r="B1045" s="215" t="s">
        <v>7457</v>
      </c>
      <c r="C1045" s="28" t="s">
        <v>7458</v>
      </c>
      <c r="D1045" s="28"/>
      <c r="E1045" s="28"/>
      <c r="F1045" s="161">
        <v>618.0</v>
      </c>
      <c r="G1045" s="152" t="str">
        <f>IFERROR(__xludf.DUMMYFUNCTION("TRIM(REGEXREPLACE(C1045, ""[0-9]+[a-f]?\."", """"))"),"Shared Cash within HH")</f>
        <v>Shared Cash within HH</v>
      </c>
      <c r="H1045" s="152" t="str">
        <f>IFERROR(__xludf.DUMMYFUNCTION("TRIM(REGEXREPLACE(D1045, ""[0-9]+[a-f]?\."", """"))"),"")</f>
        <v/>
      </c>
      <c r="I1045" s="152" t="str">
        <f>IFERROR(__xludf.DUMMYFUNCTION("TRIM(REGEXREPLACE(E1045, ""[0-9]+[a-f]?\."", """"))"),"")</f>
        <v/>
      </c>
      <c r="J1045" s="152" t="s">
        <v>7459</v>
      </c>
      <c r="K1045" s="152" t="s">
        <v>7461</v>
      </c>
      <c r="L1045" s="152" t="s">
        <v>7462</v>
      </c>
    </row>
    <row r="1046" hidden="1">
      <c r="A1046" s="90" t="s">
        <v>78</v>
      </c>
      <c r="B1046" s="216" t="s">
        <v>7464</v>
      </c>
      <c r="C1046" s="28"/>
      <c r="D1046" s="28"/>
      <c r="E1046" s="28"/>
      <c r="F1046" s="161">
        <v>158.0</v>
      </c>
      <c r="G1046" s="152" t="str">
        <f>IFERROR(__xludf.DUMMYFUNCTION("TRIM(REGEXREPLACE(C1046, ""[0-9]+[a-f]?\."", """"))"),"")</f>
        <v/>
      </c>
      <c r="H1046" s="152" t="str">
        <f>IFERROR(__xludf.DUMMYFUNCTION("TRIM(REGEXREPLACE(D1046, ""[0-9]+[a-f]?\."", """"))"),"")</f>
        <v/>
      </c>
      <c r="I1046" s="152" t="str">
        <f>IFERROR(__xludf.DUMMYFUNCTION("TRIM(REGEXREPLACE(E1046, ""[0-9]+[a-f]?\."", """"))"),"")</f>
        <v/>
      </c>
      <c r="J1046" s="152" t="str">
        <f t="shared" ref="J1046:L1046" si="84">$F1046 &amp; ". " &amp;G1046</f>
        <v>158. </v>
      </c>
      <c r="K1046" s="152" t="str">
        <f t="shared" si="84"/>
        <v>158. </v>
      </c>
      <c r="L1046" s="152" t="str">
        <f t="shared" si="84"/>
        <v>158. </v>
      </c>
    </row>
    <row r="1047">
      <c r="A1047" s="170" t="s">
        <v>263</v>
      </c>
      <c r="B1047" s="271" t="s">
        <v>7466</v>
      </c>
      <c r="C1047" s="28" t="s">
        <v>7467</v>
      </c>
      <c r="D1047" s="28" t="s">
        <v>7468</v>
      </c>
      <c r="E1047" s="28" t="s">
        <v>7469</v>
      </c>
      <c r="F1047" s="161">
        <v>468.0</v>
      </c>
      <c r="G1047" s="152" t="str">
        <f>IFERROR(__xludf.DUMMYFUNCTION("TRIM(REGEXREPLACE(C1047, ""[0-9]+[a-f]?\."", """"))"),"How much did you share with ${pm_mem_rel_in} (in CFA)?")</f>
        <v>How much did you share with ${pm_mem_rel_in} (in CFA)?</v>
      </c>
      <c r="H1047" s="152" t="str">
        <f>IFERROR(__xludf.DUMMYFUNCTION("TRIM(REGEXREPLACE(D1047, ""[0-9]+[a-f]?\."", """"))"),"Combien avez-vous donné à ${pm_mem_rel_in} (en CFA)?")</f>
        <v>Combien avez-vous donné à ${pm_mem_rel_in} (en CFA)?</v>
      </c>
      <c r="I1047" s="152" t="str">
        <f>IFERROR(__xludf.DUMMYFUNCTION("TRIM(REGEXREPLACE(E1047, ""[0-9]+[a-f]?\."", """"))"),"Nawa kuka ba ${pm_mem_rel_in} (a cikin CFA)?")</f>
        <v>Nawa kuka ba ${pm_mem_rel_in} (a cikin CFA)?</v>
      </c>
      <c r="J1047" s="152" t="s">
        <v>7470</v>
      </c>
      <c r="K1047" s="152" t="s">
        <v>7471</v>
      </c>
      <c r="L1047" s="152" t="s">
        <v>7472</v>
      </c>
    </row>
    <row r="1048">
      <c r="A1048" s="123" t="s">
        <v>7249</v>
      </c>
      <c r="B1048" s="284" t="s">
        <v>7473</v>
      </c>
      <c r="C1048" s="28" t="s">
        <v>7474</v>
      </c>
      <c r="D1048" s="28" t="s">
        <v>7476</v>
      </c>
      <c r="E1048" s="28" t="s">
        <v>7477</v>
      </c>
      <c r="F1048" s="161">
        <v>469.0</v>
      </c>
      <c r="G1048" s="152" t="str">
        <f>IFERROR(__xludf.DUMMYFUNCTION("TRIM(REGEXREPLACE(C1048, ""[0-9]+[a-f]?\."", """"))"),"With the money you shared with ${pm_mem_rel_in} (${pm_cash_share_in_amt}), what do you think they spent it on?")</f>
        <v>With the money you shared with ${pm_mem_rel_in} (${pm_cash_share_in_amt}), what do you think they spent it on?</v>
      </c>
      <c r="H1048" s="152" t="str">
        <f>IFERROR(__xludf.DUMMYFUNCTION("TRIM(REGEXREPLACE(D1048, ""[0-9]+[a-f]?\."", """"))"),"Avec l'argent que vous avez partagé avec ${pm_mem_rel_in} (${pm_cash_share_in_amt}), en quoi pensez-vous qu'ils l'ont dépensé ?")</f>
        <v>Avec l'argent que vous avez partagé avec ${pm_mem_rel_in} (${pm_cash_share_in_amt}), en quoi pensez-vous qu'ils l'ont dépensé ?</v>
      </c>
      <c r="I1048" s="152" t="str">
        <f>IFERROR(__xludf.DUMMYFUNCTION("TRIM(REGEXREPLACE(E1048, ""[0-9]+[a-f]?\."", """"))"),"Da kuɗin da ka raba da ${pm_mem_rel_in} (${pm_cash_share_in_amt}), a kan me kake ganin suka kashe kuɗin?")</f>
        <v>Da kuɗin da ka raba da ${pm_mem_rel_in} (${pm_cash_share_in_amt}), a kan me kake ganin suka kashe kuɗin?</v>
      </c>
      <c r="J1048" s="152" t="s">
        <v>7480</v>
      </c>
      <c r="K1048" s="152" t="s">
        <v>7481</v>
      </c>
      <c r="L1048" s="152" t="s">
        <v>7482</v>
      </c>
    </row>
    <row r="1049">
      <c r="A1049" s="137" t="s">
        <v>246</v>
      </c>
      <c r="B1049" s="284" t="s">
        <v>7483</v>
      </c>
      <c r="C1049" s="28" t="s">
        <v>7484</v>
      </c>
      <c r="D1049" s="28" t="s">
        <v>7485</v>
      </c>
      <c r="E1049" s="28" t="s">
        <v>7486</v>
      </c>
      <c r="F1049" s="161">
        <v>470.0</v>
      </c>
      <c r="G1049" s="152" t="str">
        <f>IFERROR(__xludf.DUMMYFUNCTION("TRIM(REGEXREPLACE(C1049, ""[0-9]+[a-f]?\."", """"))"),"Other, specify:")</f>
        <v>Other, specify:</v>
      </c>
      <c r="H1049" s="152" t="str">
        <f>IFERROR(__xludf.DUMMYFUNCTION("TRIM(REGEXREPLACE(D1049, ""[0-9]+[a-f]?\."", """"))"),"Autre précisez:")</f>
        <v>Autre précisez:</v>
      </c>
      <c r="I1049" s="152" t="str">
        <f>IFERROR(__xludf.DUMMYFUNCTION("TRIM(REGEXREPLACE(E1049, ""[0-9]+[a-f]?\."", """"))"),"Wani daban, baiyana:")</f>
        <v>Wani daban, baiyana:</v>
      </c>
      <c r="J1049" s="152" t="s">
        <v>7487</v>
      </c>
      <c r="K1049" s="152" t="s">
        <v>7488</v>
      </c>
      <c r="L1049" s="152" t="s">
        <v>7489</v>
      </c>
    </row>
    <row r="1050" hidden="1">
      <c r="A1050" s="140" t="s">
        <v>131</v>
      </c>
      <c r="B1050" s="193" t="s">
        <v>7490</v>
      </c>
      <c r="C1050" s="28"/>
      <c r="D1050" s="28"/>
      <c r="E1050" s="28"/>
      <c r="F1050" s="161">
        <v>623.0</v>
      </c>
      <c r="G1050" s="152" t="str">
        <f>IFERROR(__xludf.DUMMYFUNCTION("TRIM(REGEXREPLACE(C1050, ""[0-9]+[a-f]?\."", """"))"),"")</f>
        <v/>
      </c>
      <c r="H1050" s="152" t="str">
        <f>IFERROR(__xludf.DUMMYFUNCTION("TRIM(REGEXREPLACE(D1050, ""[0-9]+[a-f]?\."", """"))"),"")</f>
        <v/>
      </c>
      <c r="I1050" s="152" t="str">
        <f>IFERROR(__xludf.DUMMYFUNCTION("TRIM(REGEXREPLACE(E1050, ""[0-9]+[a-f]?\."", """"))"),"")</f>
        <v/>
      </c>
      <c r="J1050" s="152" t="s">
        <v>7494</v>
      </c>
      <c r="K1050" s="152" t="s">
        <v>7495</v>
      </c>
      <c r="L1050" s="152" t="s">
        <v>7496</v>
      </c>
    </row>
    <row r="1051">
      <c r="A1051" s="170" t="s">
        <v>263</v>
      </c>
      <c r="B1051" s="271" t="s">
        <v>7497</v>
      </c>
      <c r="C1051" s="28" t="s">
        <v>7498</v>
      </c>
      <c r="D1051" s="28" t="s">
        <v>7499</v>
      </c>
      <c r="E1051" s="28" t="s">
        <v>7500</v>
      </c>
      <c r="F1051" s="161">
        <v>471.0</v>
      </c>
      <c r="G1051" s="152" t="str">
        <f>IFERROR(__xludf.DUMMYFUNCTION("TRIM(REGEXREPLACE(C1051, ""[0-9]+[a-f]?\."", """"))"),"Food")</f>
        <v>Food</v>
      </c>
      <c r="H1051" s="152" t="str">
        <f>IFERROR(__xludf.DUMMYFUNCTION("TRIM(REGEXREPLACE(D1051, ""[0-9]+[a-f]?\."", """"))"),"Nourriture")</f>
        <v>Nourriture</v>
      </c>
      <c r="I1051" s="152" t="str">
        <f>IFERROR(__xludf.DUMMYFUNCTION("TRIM(REGEXREPLACE(E1051, ""[0-9]+[a-f]?\."", """"))"),"Abinci")</f>
        <v>Abinci</v>
      </c>
      <c r="J1051" s="152" t="s">
        <v>7502</v>
      </c>
      <c r="K1051" s="152" t="s">
        <v>7503</v>
      </c>
      <c r="L1051" s="152" t="s">
        <v>7504</v>
      </c>
    </row>
    <row r="1052">
      <c r="A1052" s="170" t="s">
        <v>263</v>
      </c>
      <c r="B1052" s="271" t="s">
        <v>7505</v>
      </c>
      <c r="C1052" s="28" t="s">
        <v>7506</v>
      </c>
      <c r="D1052" s="28" t="s">
        <v>7507</v>
      </c>
      <c r="E1052" s="28" t="s">
        <v>7508</v>
      </c>
      <c r="F1052" s="161">
        <v>472.0</v>
      </c>
      <c r="G1052" s="152" t="str">
        <f>IFERROR(__xludf.DUMMYFUNCTION("TRIM(REGEXREPLACE(C1052, ""[0-9]+[a-f]?\."", """"))"),"Other household expenditure")</f>
        <v>Other household expenditure</v>
      </c>
      <c r="H1052" s="152" t="str">
        <f>IFERROR(__xludf.DUMMYFUNCTION("TRIM(REGEXREPLACE(D1052, ""[0-9]+[a-f]?\."", """"))"),"Autres dépenses des ménages")</f>
        <v>Autres dépenses des ménages</v>
      </c>
      <c r="I1052" s="152" t="str">
        <f>IFERROR(__xludf.DUMMYFUNCTION("TRIM(REGEXREPLACE(E1052, ""[0-9]+[a-f]?\."", """"))"),"Sauran kuɗaɗen gida")</f>
        <v>Sauran kuɗaɗen gida</v>
      </c>
      <c r="J1052" s="152" t="s">
        <v>7509</v>
      </c>
      <c r="K1052" s="152" t="s">
        <v>7510</v>
      </c>
      <c r="L1052" s="152" t="s">
        <v>7511</v>
      </c>
    </row>
    <row r="1053">
      <c r="A1053" s="170" t="s">
        <v>263</v>
      </c>
      <c r="B1053" s="271" t="s">
        <v>7512</v>
      </c>
      <c r="C1053" s="28" t="s">
        <v>7513</v>
      </c>
      <c r="D1053" s="28" t="s">
        <v>7514</v>
      </c>
      <c r="E1053" s="28" t="s">
        <v>7515</v>
      </c>
      <c r="F1053" s="161">
        <v>473.0</v>
      </c>
      <c r="G1053" s="152" t="str">
        <f>IFERROR(__xludf.DUMMYFUNCTION("TRIM(REGEXREPLACE(C1053, ""[0-9]+[a-f]?\."", """"))"),"Investments in agriculture and/or business")</f>
        <v>Investments in agriculture and/or business</v>
      </c>
      <c r="H1053" s="152" t="str">
        <f>IFERROR(__xludf.DUMMYFUNCTION("TRIM(REGEXREPLACE(D1053, ""[0-9]+[a-f]?\."", """"))"),"Investissements dans l'agriculture et/ou les affaires")</f>
        <v>Investissements dans l'agriculture et/ou les affaires</v>
      </c>
      <c r="I1053" s="152" t="str">
        <f>IFERROR(__xludf.DUMMYFUNCTION("TRIM(REGEXREPLACE(E1053, ""[0-9]+[a-f]?\."", """"))"),"Zuba jari a harkar noma da/ko kasuwanci")</f>
        <v>Zuba jari a harkar noma da/ko kasuwanci</v>
      </c>
      <c r="J1053" s="152" t="s">
        <v>7516</v>
      </c>
      <c r="K1053" s="152" t="s">
        <v>7517</v>
      </c>
      <c r="L1053" s="152" t="s">
        <v>7518</v>
      </c>
    </row>
    <row r="1054">
      <c r="A1054" s="170" t="s">
        <v>263</v>
      </c>
      <c r="B1054" s="271" t="s">
        <v>7519</v>
      </c>
      <c r="C1054" s="28" t="s">
        <v>7520</v>
      </c>
      <c r="D1054" s="28" t="s">
        <v>7521</v>
      </c>
      <c r="E1054" s="28" t="s">
        <v>7522</v>
      </c>
      <c r="F1054" s="161">
        <v>474.0</v>
      </c>
      <c r="G1054" s="152" t="str">
        <f>IFERROR(__xludf.DUMMYFUNCTION("TRIM(REGEXREPLACE(C1054, ""[0-9]+[a-f]?\."", """"))"),"Savings")</f>
        <v>Savings</v>
      </c>
      <c r="H1054" s="152" t="str">
        <f>IFERROR(__xludf.DUMMYFUNCTION("TRIM(REGEXREPLACE(D1054, ""[0-9]+[a-f]?\."", """"))"),"Épargne")</f>
        <v>Épargne</v>
      </c>
      <c r="I1054" s="152" t="str">
        <f>IFERROR(__xludf.DUMMYFUNCTION("TRIM(REGEXREPLACE(E1054, ""[0-9]+[a-f]?\."", """"))"),"Ajiya")</f>
        <v>Ajiya</v>
      </c>
      <c r="J1054" s="152" t="s">
        <v>7523</v>
      </c>
      <c r="K1054" s="152" t="s">
        <v>7524</v>
      </c>
      <c r="L1054" s="152" t="s">
        <v>7525</v>
      </c>
    </row>
    <row r="1055">
      <c r="A1055" s="170" t="s">
        <v>263</v>
      </c>
      <c r="B1055" s="271" t="s">
        <v>7526</v>
      </c>
      <c r="C1055" s="28" t="s">
        <v>7527</v>
      </c>
      <c r="D1055" s="28" t="s">
        <v>7528</v>
      </c>
      <c r="E1055" s="28" t="s">
        <v>7529</v>
      </c>
      <c r="F1055" s="161">
        <v>475.0</v>
      </c>
      <c r="G1055" s="152" t="str">
        <f>IFERROR(__xludf.DUMMYFUNCTION("TRIM(REGEXREPLACE(C1055, ""[0-9]+[a-f]?\."", """"))"),"Debt repayment")</f>
        <v>Debt repayment</v>
      </c>
      <c r="H1055" s="152" t="str">
        <f>IFERROR(__xludf.DUMMYFUNCTION("TRIM(REGEXREPLACE(D1055, ""[0-9]+[a-f]?\."", """"))"),"Remboursement des dettes")</f>
        <v>Remboursement des dettes</v>
      </c>
      <c r="I1055" s="152" t="str">
        <f>IFERROR(__xludf.DUMMYFUNCTION("TRIM(REGEXREPLACE(E1055, ""[0-9]+[a-f]?\."", """"))"),"Biyan bashi")</f>
        <v>Biyan bashi</v>
      </c>
      <c r="J1055" s="152" t="s">
        <v>7530</v>
      </c>
      <c r="K1055" s="152" t="s">
        <v>7532</v>
      </c>
      <c r="L1055" s="152" t="s">
        <v>7533</v>
      </c>
    </row>
    <row r="1056">
      <c r="A1056" s="170" t="s">
        <v>263</v>
      </c>
      <c r="B1056" s="271" t="s">
        <v>7535</v>
      </c>
      <c r="C1056" s="28" t="s">
        <v>7537</v>
      </c>
      <c r="D1056" s="28" t="s">
        <v>7539</v>
      </c>
      <c r="E1056" s="28" t="s">
        <v>7540</v>
      </c>
      <c r="F1056" s="161">
        <v>476.0</v>
      </c>
      <c r="G1056" s="152" t="str">
        <f>IFERROR(__xludf.DUMMYFUNCTION("TRIM(REGEXREPLACE(C1056, ""[0-9]+[a-f]?\."", """"))"),"Housing cost payments")</f>
        <v>Housing cost payments</v>
      </c>
      <c r="H1056" s="152" t="str">
        <f>IFERROR(__xludf.DUMMYFUNCTION("TRIM(REGEXREPLACE(D1056, ""[0-9]+[a-f]?\."", """"))"),"Paiement des frais de logement")</f>
        <v>Paiement des frais de logement</v>
      </c>
      <c r="I1056" s="152" t="str">
        <f>IFERROR(__xludf.DUMMYFUNCTION("TRIM(REGEXREPLACE(E1056, ""[0-9]+[a-f]?\."", """"))"),"Biyan kuɗin haya")</f>
        <v>Biyan kuɗin haya</v>
      </c>
      <c r="J1056" s="152" t="s">
        <v>7541</v>
      </c>
      <c r="K1056" s="152" t="s">
        <v>7542</v>
      </c>
      <c r="L1056" s="152" t="s">
        <v>7543</v>
      </c>
    </row>
    <row r="1057">
      <c r="A1057" s="170" t="s">
        <v>263</v>
      </c>
      <c r="B1057" s="271" t="s">
        <v>7544</v>
      </c>
      <c r="C1057" s="28" t="s">
        <v>7545</v>
      </c>
      <c r="D1057" s="28" t="s">
        <v>7546</v>
      </c>
      <c r="E1057" s="28" t="s">
        <v>7547</v>
      </c>
      <c r="F1057" s="161">
        <v>477.0</v>
      </c>
      <c r="G1057" s="152" t="str">
        <f>IFERROR(__xludf.DUMMYFUNCTION("TRIM(REGEXREPLACE(C1057, ""[0-9]+[a-f]?\."", """"))"),"Education/Training payments")</f>
        <v>Education/Training payments</v>
      </c>
      <c r="H1057" s="152" t="str">
        <f>IFERROR(__xludf.DUMMYFUNCTION("TRIM(REGEXREPLACE(D1057, ""[0-9]+[a-f]?\."", """"))"),"Paiements pour études/formation")</f>
        <v>Paiements pour études/formation</v>
      </c>
      <c r="I1057" s="152" t="str">
        <f>IFERROR(__xludf.DUMMYFUNCTION("TRIM(REGEXREPLACE(E1057, ""[0-9]+[a-f]?\."", """"))"),"Biyan kuɗi na ilimi / horo")</f>
        <v>Biyan kuɗi na ilimi / horo</v>
      </c>
      <c r="J1057" s="152" t="s">
        <v>7548</v>
      </c>
      <c r="K1057" s="152" t="s">
        <v>7549</v>
      </c>
      <c r="L1057" s="152" t="s">
        <v>7551</v>
      </c>
    </row>
    <row r="1058">
      <c r="A1058" s="170" t="s">
        <v>263</v>
      </c>
      <c r="B1058" s="271" t="s">
        <v>7554</v>
      </c>
      <c r="C1058" s="28" t="s">
        <v>7555</v>
      </c>
      <c r="D1058" s="28" t="s">
        <v>7556</v>
      </c>
      <c r="E1058" s="28" t="s">
        <v>7557</v>
      </c>
      <c r="F1058" s="161">
        <v>478.0</v>
      </c>
      <c r="G1058" s="152" t="str">
        <f>IFERROR(__xludf.DUMMYFUNCTION("TRIM(REGEXREPLACE(C1058, ""[0-9]+[a-f]?\."", """"))"),"Health expenditures")</f>
        <v>Health expenditures</v>
      </c>
      <c r="H1058" s="152" t="str">
        <f>IFERROR(__xludf.DUMMYFUNCTION("TRIM(REGEXREPLACE(D1058, ""[0-9]+[a-f]?\."", """"))"),"Dépenses de santé")</f>
        <v>Dépenses de santé</v>
      </c>
      <c r="I1058" s="152" t="str">
        <f>IFERROR(__xludf.DUMMYFUNCTION("TRIM(REGEXREPLACE(E1058, ""[0-9]+[a-f]?\."", """"))"),"Kuɗin kiwon lafiya")</f>
        <v>Kuɗin kiwon lafiya</v>
      </c>
      <c r="J1058" s="152" t="s">
        <v>7558</v>
      </c>
      <c r="K1058" s="152" t="s">
        <v>7559</v>
      </c>
      <c r="L1058" s="152" t="s">
        <v>7560</v>
      </c>
    </row>
    <row r="1059">
      <c r="A1059" s="170" t="s">
        <v>263</v>
      </c>
      <c r="B1059" s="271" t="s">
        <v>7561</v>
      </c>
      <c r="C1059" s="28" t="s">
        <v>7562</v>
      </c>
      <c r="D1059" s="28" t="s">
        <v>7563</v>
      </c>
      <c r="E1059" s="28" t="s">
        <v>7564</v>
      </c>
      <c r="F1059" s="161">
        <v>479.0</v>
      </c>
      <c r="G1059" s="152" t="str">
        <f>IFERROR(__xludf.DUMMYFUNCTION("TRIM(REGEXREPLACE(C1059, ""[0-9]+[a-f]?\."", """"))"),"Migration cost payments")</f>
        <v>Migration cost payments</v>
      </c>
      <c r="H1059" s="152" t="str">
        <f>IFERROR(__xludf.DUMMYFUNCTION("TRIM(REGEXREPLACE(D1059, ""[0-9]+[a-f]?\."", """"))"),"Paiement des frais de migration")</f>
        <v>Paiement des frais de migration</v>
      </c>
      <c r="I1059" s="152" t="str">
        <f>IFERROR(__xludf.DUMMYFUNCTION("TRIM(REGEXREPLACE(E1059, ""[0-9]+[a-f]?\."", """"))"),"Kashe kuɗin zuwa biɗa")</f>
        <v>Kashe kuɗin zuwa biɗa</v>
      </c>
      <c r="J1059" s="152" t="s">
        <v>7565</v>
      </c>
      <c r="K1059" s="152" t="s">
        <v>7566</v>
      </c>
      <c r="L1059" s="152" t="s">
        <v>7567</v>
      </c>
    </row>
    <row r="1060">
      <c r="A1060" s="170" t="s">
        <v>263</v>
      </c>
      <c r="B1060" s="271" t="s">
        <v>7568</v>
      </c>
      <c r="C1060" s="28" t="s">
        <v>7570</v>
      </c>
      <c r="D1060" s="28" t="s">
        <v>7572</v>
      </c>
      <c r="E1060" s="28" t="s">
        <v>7573</v>
      </c>
      <c r="F1060" s="161">
        <v>480.0</v>
      </c>
      <c r="G1060" s="152" t="str">
        <f>IFERROR(__xludf.DUMMYFUNCTION("TRIM(REGEXREPLACE(C1060, ""[0-9]+[a-f]?\."", """"))"),"Ceremonies")</f>
        <v>Ceremonies</v>
      </c>
      <c r="H1060" s="152" t="str">
        <f>IFERROR(__xludf.DUMMYFUNCTION("TRIM(REGEXREPLACE(D1060, ""[0-9]+[a-f]?\."", """"))"),"Cérémonies")</f>
        <v>Cérémonies</v>
      </c>
      <c r="I1060" s="152" t="str">
        <f>IFERROR(__xludf.DUMMYFUNCTION("TRIM(REGEXREPLACE(E1060, ""[0-9]+[a-f]?\."", """"))"),"Bukukuwa")</f>
        <v>Bukukuwa</v>
      </c>
      <c r="J1060" s="152" t="s">
        <v>7575</v>
      </c>
      <c r="K1060" s="152" t="s">
        <v>7576</v>
      </c>
      <c r="L1060" s="152" t="s">
        <v>7577</v>
      </c>
    </row>
    <row r="1061">
      <c r="A1061" s="170" t="s">
        <v>263</v>
      </c>
      <c r="B1061" s="271" t="s">
        <v>7578</v>
      </c>
      <c r="C1061" s="28" t="s">
        <v>7579</v>
      </c>
      <c r="D1061" s="28" t="s">
        <v>7580</v>
      </c>
      <c r="E1061" s="28" t="s">
        <v>7581</v>
      </c>
      <c r="F1061" s="161">
        <v>481.0</v>
      </c>
      <c r="G1061" s="152" t="str">
        <f>IFERROR(__xludf.DUMMYFUNCTION("TRIM(REGEXREPLACE(C1061, ""[0-9]+[a-f]?\."", """"))"),"Other")</f>
        <v>Other</v>
      </c>
      <c r="H1061" s="152" t="str">
        <f>IFERROR(__xludf.DUMMYFUNCTION("TRIM(REGEXREPLACE(D1061, ""[0-9]+[a-f]?\."", """"))"),"Autres")</f>
        <v>Autres</v>
      </c>
      <c r="I1061" s="152" t="str">
        <f>IFERROR(__xludf.DUMMYFUNCTION("TRIM(REGEXREPLACE(E1061, ""[0-9]+[a-f]?\."", """"))"),"Wasu")</f>
        <v>Wasu</v>
      </c>
      <c r="J1061" s="152" t="s">
        <v>7582</v>
      </c>
      <c r="K1061" s="152" t="s">
        <v>7584</v>
      </c>
      <c r="L1061" s="152" t="s">
        <v>7585</v>
      </c>
    </row>
    <row r="1062" hidden="1">
      <c r="A1062" s="140" t="s">
        <v>237</v>
      </c>
      <c r="B1062" s="193" t="s">
        <v>7490</v>
      </c>
      <c r="C1062" s="28"/>
      <c r="D1062" s="28"/>
      <c r="E1062" s="28"/>
      <c r="F1062" s="161">
        <v>571.0</v>
      </c>
      <c r="G1062" s="152" t="str">
        <f>IFERROR(__xludf.DUMMYFUNCTION("TRIM(REGEXREPLACE(C1062, ""[0-9]+[a-f]?\."", """"))"),"")</f>
        <v/>
      </c>
      <c r="H1062" s="152" t="str">
        <f>IFERROR(__xludf.DUMMYFUNCTION("TRIM(REGEXREPLACE(D1062, ""[0-9]+[a-f]?\."", """"))"),"")</f>
        <v/>
      </c>
      <c r="I1062" s="152" t="str">
        <f>IFERROR(__xludf.DUMMYFUNCTION("TRIM(REGEXREPLACE(E1062, ""[0-9]+[a-f]?\."", """"))"),"")</f>
        <v/>
      </c>
      <c r="J1062" s="152" t="s">
        <v>7588</v>
      </c>
      <c r="K1062" s="152" t="s">
        <v>7589</v>
      </c>
      <c r="L1062" s="152" t="s">
        <v>7590</v>
      </c>
    </row>
    <row r="1063" hidden="1">
      <c r="A1063" s="270" t="s">
        <v>78</v>
      </c>
      <c r="B1063" s="215" t="s">
        <v>7591</v>
      </c>
      <c r="C1063" s="28"/>
      <c r="D1063" s="28"/>
      <c r="E1063" s="28"/>
      <c r="F1063" s="161">
        <v>641.0</v>
      </c>
      <c r="G1063" s="152" t="str">
        <f>IFERROR(__xludf.DUMMYFUNCTION("TRIM(REGEXREPLACE(C1063, ""[0-9]+[a-f]?\."", """"))"),"")</f>
        <v/>
      </c>
      <c r="H1063" s="152" t="str">
        <f>IFERROR(__xludf.DUMMYFUNCTION("TRIM(REGEXREPLACE(D1063, ""[0-9]+[a-f]?\."", """"))"),"")</f>
        <v/>
      </c>
      <c r="I1063" s="152" t="str">
        <f>IFERROR(__xludf.DUMMYFUNCTION("TRIM(REGEXREPLACE(E1063, ""[0-9]+[a-f]?\."", """"))"),"")</f>
        <v/>
      </c>
      <c r="J1063" s="152" t="str">
        <f t="shared" ref="J1063:L1063" si="85">$F1063&amp;". "&amp;G1063</f>
        <v>641. </v>
      </c>
      <c r="K1063" s="152" t="str">
        <f t="shared" si="85"/>
        <v>641. </v>
      </c>
      <c r="L1063" s="152" t="str">
        <f t="shared" si="85"/>
        <v>641. </v>
      </c>
    </row>
    <row r="1064">
      <c r="A1064" s="270" t="s">
        <v>41</v>
      </c>
      <c r="B1064" s="215" t="s">
        <v>7596</v>
      </c>
      <c r="C1064" s="28" t="s">
        <v>7597</v>
      </c>
      <c r="D1064" s="28" t="s">
        <v>7598</v>
      </c>
      <c r="E1064" s="28" t="s">
        <v>7599</v>
      </c>
      <c r="F1064" s="161">
        <v>482.0</v>
      </c>
      <c r="G1064" s="152" t="str">
        <f>IFERROR(__xludf.DUMMYFUNCTION("TRIM(REGEXREPLACE(C1064, ""[0-9]+[a-f]?\."", """"))"),"ENUMERATOR: The total amount spent on the above categories (${pm_cash_shared_in_tot}CFA) is not equal to the amount the respondent shared (${pm_cash_share_in_amt}CFA). Please return and correct responses.")</f>
        <v>ENUMERATOR: The total amount spent on the above categories (${pm_cash_shared_in_tot}CFA) is not equal to the amount the respondent shared (${pm_cash_share_in_amt}CFA). Please return and correct responses.</v>
      </c>
      <c r="H1064" s="152" t="str">
        <f>IFERROR(__xludf.DUMMYFUNCTION("TRIM(REGEXREPLACE(D1064, ""[0-9]+[a-f]?\."", """"))"),"ENQUÊTEUR : Le montant total dépensé pour les catégories ci-dessus (${pm_cash_shared_in_tot}CFA) n'est pas égal au montant annoncé par le répondant (${pm_cash_share_in_amt}CFA). Veuillez revenir et corriger les réponses.")</f>
        <v>ENQUÊTEUR : Le montant total dépensé pour les catégories ci-dessus (${pm_cash_shared_in_tot}CFA) n'est pas égal au montant annoncé par le répondant (${pm_cash_share_in_amt}CFA). Veuillez revenir et corriger les réponses.</v>
      </c>
      <c r="I1064" s="152" t="str">
        <f>IFERROR(__xludf.DUMMYFUNCTION("TRIM(REGEXREPLACE(E1064, ""[0-9]+[a-f]?\."", """"))"),"Mai bincike: Jimillar kuɗin da aka kashe akan waɗannan nau'ikan da ke sama (${pm_cash_shared_in_tot}CFA) bai kai yawan wanda mai amsa ya bayar ba (${pm_cash_share_in_amt}CFA). Da fatan za a dawo a gyara amsoshin.")</f>
        <v>Mai bincike: Jimillar kuɗin da aka kashe akan waɗannan nau'ikan da ke sama (${pm_cash_shared_in_tot}CFA) bai kai yawan wanda mai amsa ya bayar ba (${pm_cash_share_in_amt}CFA). Da fatan za a dawo a gyara amsoshin.</v>
      </c>
      <c r="J1064" s="152" t="s">
        <v>7600</v>
      </c>
      <c r="K1064" s="152" t="s">
        <v>7601</v>
      </c>
      <c r="L1064" s="152" t="s">
        <v>7602</v>
      </c>
    </row>
    <row r="1065" hidden="1">
      <c r="A1065" s="174" t="s">
        <v>1015</v>
      </c>
      <c r="B1065" s="215" t="s">
        <v>7457</v>
      </c>
      <c r="C1065" s="28" t="s">
        <v>7458</v>
      </c>
      <c r="D1065" s="28"/>
      <c r="E1065" s="28"/>
      <c r="F1065" s="161">
        <v>643.0</v>
      </c>
      <c r="G1065" s="152" t="str">
        <f>IFERROR(__xludf.DUMMYFUNCTION("TRIM(REGEXREPLACE(C1065, ""[0-9]+[a-f]?\."", """"))"),"Shared Cash within HH")</f>
        <v>Shared Cash within HH</v>
      </c>
      <c r="H1065" s="152" t="str">
        <f>IFERROR(__xludf.DUMMYFUNCTION("TRIM(REGEXREPLACE(D1065, ""[0-9]+[a-f]?\."", """"))"),"")</f>
        <v/>
      </c>
      <c r="I1065" s="152" t="str">
        <f>IFERROR(__xludf.DUMMYFUNCTION("TRIM(REGEXREPLACE(E1065, ""[0-9]+[a-f]?\."", """"))"),"")</f>
        <v/>
      </c>
      <c r="J1065" s="152" t="str">
        <f t="shared" ref="J1065:L1065" si="86">$F1065&amp;". "&amp;G1065</f>
        <v>643. Shared Cash within HH</v>
      </c>
      <c r="K1065" s="152" t="str">
        <f t="shared" si="86"/>
        <v>643. </v>
      </c>
      <c r="L1065" s="152" t="str">
        <f t="shared" si="86"/>
        <v>643. </v>
      </c>
    </row>
    <row r="1066" hidden="1">
      <c r="A1066" s="150" t="s">
        <v>78</v>
      </c>
      <c r="B1066" s="216" t="s">
        <v>7607</v>
      </c>
      <c r="C1066" s="28"/>
      <c r="D1066" s="28"/>
      <c r="E1066" s="28"/>
      <c r="F1066" s="161">
        <v>630.0</v>
      </c>
      <c r="G1066" s="152" t="str">
        <f>IFERROR(__xludf.DUMMYFUNCTION("TRIM(REGEXREPLACE(C1066, ""[0-9]+[a-f]?\."", """"))"),"")</f>
        <v/>
      </c>
      <c r="H1066" s="152" t="str">
        <f>IFERROR(__xludf.DUMMYFUNCTION("TRIM(REGEXREPLACE(D1066, ""[0-9]+[a-f]?\."", """"))"),"")</f>
        <v/>
      </c>
      <c r="I1066" s="152" t="str">
        <f>IFERROR(__xludf.DUMMYFUNCTION("TRIM(REGEXREPLACE(E1066, ""[0-9]+[a-f]?\."", """"))"),"")</f>
        <v/>
      </c>
      <c r="J1066" s="152" t="s">
        <v>7608</v>
      </c>
      <c r="K1066" s="152" t="s">
        <v>7609</v>
      </c>
      <c r="L1066" s="152" t="s">
        <v>7610</v>
      </c>
    </row>
    <row r="1067" hidden="1">
      <c r="A1067" s="150" t="s">
        <v>78</v>
      </c>
      <c r="B1067" s="216" t="s">
        <v>7611</v>
      </c>
      <c r="C1067" s="28"/>
      <c r="D1067" s="28"/>
      <c r="E1067" s="28"/>
      <c r="F1067" s="161">
        <v>572.0</v>
      </c>
      <c r="G1067" s="152" t="str">
        <f>IFERROR(__xludf.DUMMYFUNCTION("TRIM(REGEXREPLACE(C1067, ""[0-9]+[a-f]?\."", """"))"),"")</f>
        <v/>
      </c>
      <c r="H1067" s="152" t="str">
        <f>IFERROR(__xludf.DUMMYFUNCTION("TRIM(REGEXREPLACE(D1067, ""[0-9]+[a-f]?\."", """"))"),"")</f>
        <v/>
      </c>
      <c r="I1067" s="152" t="str">
        <f>IFERROR(__xludf.DUMMYFUNCTION("TRIM(REGEXREPLACE(E1067, ""[0-9]+[a-f]?\."", """"))"),"")</f>
        <v/>
      </c>
      <c r="J1067" s="152" t="s">
        <v>7612</v>
      </c>
      <c r="K1067" s="152" t="s">
        <v>7613</v>
      </c>
      <c r="L1067" s="152" t="s">
        <v>7614</v>
      </c>
    </row>
    <row r="1068" hidden="1">
      <c r="A1068" s="150" t="s">
        <v>78</v>
      </c>
      <c r="B1068" s="216" t="s">
        <v>7615</v>
      </c>
      <c r="C1068" s="28"/>
      <c r="D1068" s="28"/>
      <c r="E1068" s="28"/>
      <c r="F1068" s="161">
        <v>164.0</v>
      </c>
      <c r="G1068" s="152" t="str">
        <f>IFERROR(__xludf.DUMMYFUNCTION("TRIM(REGEXREPLACE(C1068, ""[0-9]+[a-f]?\."", """"))"),"")</f>
        <v/>
      </c>
      <c r="H1068" s="152" t="str">
        <f>IFERROR(__xludf.DUMMYFUNCTION("TRIM(REGEXREPLACE(D1068, ""[0-9]+[a-f]?\."", """"))"),"")</f>
        <v/>
      </c>
      <c r="I1068" s="152" t="str">
        <f>IFERROR(__xludf.DUMMYFUNCTION("TRIM(REGEXREPLACE(E1068, ""[0-9]+[a-f]?\."", """"))"),"")</f>
        <v/>
      </c>
      <c r="J1068" s="152" t="str">
        <f t="shared" ref="J1068:L1068" si="87">$F1068 &amp; ". " &amp;G1068</f>
        <v>164. </v>
      </c>
      <c r="K1068" s="152" t="str">
        <f t="shared" si="87"/>
        <v>164. </v>
      </c>
      <c r="L1068" s="152" t="str">
        <f t="shared" si="87"/>
        <v>164. </v>
      </c>
    </row>
    <row r="1069" hidden="1">
      <c r="A1069" s="150" t="s">
        <v>78</v>
      </c>
      <c r="B1069" s="92" t="s">
        <v>7616</v>
      </c>
      <c r="C1069" s="28"/>
      <c r="D1069" s="28"/>
      <c r="E1069" s="28"/>
      <c r="F1069" s="161">
        <v>165.0</v>
      </c>
      <c r="G1069" s="152" t="str">
        <f>IFERROR(__xludf.DUMMYFUNCTION("TRIM(REGEXREPLACE(C1069, ""[0-9]+[a-f]?\."", """"))"),"")</f>
        <v/>
      </c>
      <c r="H1069" s="152" t="str">
        <f>IFERROR(__xludf.DUMMYFUNCTION("TRIM(REGEXREPLACE(D1069, ""[0-9]+[a-f]?\."", """"))"),"")</f>
        <v/>
      </c>
      <c r="I1069" s="152" t="str">
        <f>IFERROR(__xludf.DUMMYFUNCTION("TRIM(REGEXREPLACE(E1069, ""[0-9]+[a-f]?\."", """"))"),"")</f>
        <v/>
      </c>
      <c r="J1069" s="152" t="str">
        <f t="shared" ref="J1069:L1069" si="88">$F1069 &amp; ". " &amp;G1069</f>
        <v>165. </v>
      </c>
      <c r="K1069" s="152" t="str">
        <f t="shared" si="88"/>
        <v>165. </v>
      </c>
      <c r="L1069" s="152" t="str">
        <f t="shared" si="88"/>
        <v>165. </v>
      </c>
    </row>
    <row r="1070">
      <c r="A1070" s="166" t="s">
        <v>41</v>
      </c>
      <c r="B1070" s="167" t="s">
        <v>7619</v>
      </c>
      <c r="C1070" s="28" t="s">
        <v>7620</v>
      </c>
      <c r="D1070" s="28" t="s">
        <v>7622</v>
      </c>
      <c r="E1070" s="28" t="s">
        <v>7623</v>
      </c>
      <c r="F1070" s="161">
        <v>483.0</v>
      </c>
      <c r="G1070" s="152" t="str">
        <f>IFERROR(__xludf.DUMMYFUNCTION("TRIM(REGEXREPLACE(C1070, ""[0-9]+[a-f]?\."", """"))"),"You mentioned that you shared ${pm_cash_share_amt}, which is greater than the amount you received (${pm_cash_amt}). Please reassess your responses.")</f>
        <v>You mentioned that you shared ${pm_cash_share_amt}, which is greater than the amount you received (${pm_cash_amt}). Please reassess your responses.</v>
      </c>
      <c r="H1070" s="152" t="str">
        <f>IFERROR(__xludf.DUMMYFUNCTION("TRIM(REGEXREPLACE(D1070, ""[0-9]+[a-f]?\."", """"))"),"Vous avez mentionné que vous aviez partagé ${pm_cash_share_amt}, ce qui est supérieur au montant que vous avez gardé pour vous (${pm_cash_amt}). Veuillez revoir vos réponses.")</f>
        <v>Vous avez mentionné que vous aviez partagé ${pm_cash_share_amt}, ce qui est supérieur au montant que vous avez gardé pour vous (${pm_cash_amt}). Veuillez revoir vos réponses.</v>
      </c>
      <c r="I1070" s="152" t="str">
        <f>IFERROR(__xludf.DUMMYFUNCTION("TRIM(REGEXREPLACE(E1070, ""[0-9]+[a-f]?\."", """"))"),"Kun ambaci cewa kun raba ${pm_cash_share_amt}, wanda ya fi yawan kuɗin da kuka ajiye don kanku (${pm_cash_amt}). Da fatan za ku sake duba amsarku.")</f>
        <v>Kun ambaci cewa kun raba ${pm_cash_share_amt}, wanda ya fi yawan kuɗin da kuka ajiye don kanku (${pm_cash_amt}). Da fatan za ku sake duba amsarku.</v>
      </c>
      <c r="J1070" s="152" t="s">
        <v>7625</v>
      </c>
      <c r="K1070" s="152" t="s">
        <v>7626</v>
      </c>
      <c r="L1070" s="152" t="s">
        <v>7627</v>
      </c>
    </row>
    <row r="1071" hidden="1">
      <c r="A1071" s="65" t="s">
        <v>134</v>
      </c>
      <c r="B1071" s="66" t="s">
        <v>7628</v>
      </c>
      <c r="C1071" s="28"/>
      <c r="D1071" s="28"/>
      <c r="E1071" s="28"/>
      <c r="F1071" s="161">
        <v>575.0</v>
      </c>
      <c r="G1071" s="152" t="str">
        <f>IFERROR(__xludf.DUMMYFUNCTION("TRIM(REGEXREPLACE(C1071, ""[0-9]+[a-f]?\."", """"))"),"")</f>
        <v/>
      </c>
      <c r="H1071" s="152" t="str">
        <f>IFERROR(__xludf.DUMMYFUNCTION("TRIM(REGEXREPLACE(D1071, ""[0-9]+[a-f]?\."", """"))"),"")</f>
        <v/>
      </c>
      <c r="I1071" s="152" t="str">
        <f>IFERROR(__xludf.DUMMYFUNCTION("TRIM(REGEXREPLACE(E1071, ""[0-9]+[a-f]?\."", """"))"),"")</f>
        <v/>
      </c>
      <c r="J1071" s="152" t="s">
        <v>7629</v>
      </c>
      <c r="K1071" s="152" t="s">
        <v>7630</v>
      </c>
      <c r="L1071" s="152" t="s">
        <v>7631</v>
      </c>
    </row>
    <row r="1072" hidden="1">
      <c r="A1072" s="65" t="s">
        <v>78</v>
      </c>
      <c r="B1072" s="272" t="s">
        <v>7632</v>
      </c>
      <c r="C1072" s="28"/>
      <c r="D1072" s="28"/>
      <c r="E1072" s="28"/>
      <c r="F1072" s="161">
        <v>166.0</v>
      </c>
      <c r="G1072" s="152" t="str">
        <f>IFERROR(__xludf.DUMMYFUNCTION("TRIM(REGEXREPLACE(C1072, ""[0-9]+[a-f]?\."", """"))"),"")</f>
        <v/>
      </c>
      <c r="H1072" s="152" t="str">
        <f>IFERROR(__xludf.DUMMYFUNCTION("TRIM(REGEXREPLACE(D1072, ""[0-9]+[a-f]?\."", """"))"),"")</f>
        <v/>
      </c>
      <c r="I1072" s="152" t="str">
        <f>IFERROR(__xludf.DUMMYFUNCTION("TRIM(REGEXREPLACE(E1072, ""[0-9]+[a-f]?\."", """"))"),"")</f>
        <v/>
      </c>
      <c r="J1072" s="152" t="str">
        <f t="shared" ref="J1072:L1072" si="89">$F1072 &amp; ". " &amp;G1072</f>
        <v>166. </v>
      </c>
      <c r="K1072" s="152" t="str">
        <f t="shared" si="89"/>
        <v>166. </v>
      </c>
      <c r="L1072" s="152" t="str">
        <f t="shared" si="89"/>
        <v>166. </v>
      </c>
    </row>
    <row r="1073" hidden="1">
      <c r="A1073" s="140" t="s">
        <v>131</v>
      </c>
      <c r="B1073" s="164" t="s">
        <v>7634</v>
      </c>
      <c r="C1073" s="28"/>
      <c r="D1073" s="28"/>
      <c r="E1073" s="28"/>
      <c r="F1073" s="161">
        <v>167.0</v>
      </c>
      <c r="G1073" s="152" t="str">
        <f>IFERROR(__xludf.DUMMYFUNCTION("TRIM(REGEXREPLACE(C1073, ""[0-9]+[a-f]?\."", """"))"),"")</f>
        <v/>
      </c>
      <c r="H1073" s="152" t="str">
        <f>IFERROR(__xludf.DUMMYFUNCTION("TRIM(REGEXREPLACE(D1073, ""[0-9]+[a-f]?\."", """"))"),"")</f>
        <v/>
      </c>
      <c r="I1073" s="152" t="str">
        <f>IFERROR(__xludf.DUMMYFUNCTION("TRIM(REGEXREPLACE(E1073, ""[0-9]+[a-f]?\."", """"))"),"")</f>
        <v/>
      </c>
      <c r="J1073" s="152" t="str">
        <f t="shared" ref="J1073:L1073" si="90">$F1073 &amp; ". " &amp;G1073</f>
        <v>167. </v>
      </c>
      <c r="K1073" s="152" t="str">
        <f t="shared" si="90"/>
        <v>167. </v>
      </c>
      <c r="L1073" s="152" t="str">
        <f t="shared" si="90"/>
        <v>167. </v>
      </c>
    </row>
    <row r="1074" hidden="1">
      <c r="A1074" s="65" t="s">
        <v>134</v>
      </c>
      <c r="B1074" s="66" t="s">
        <v>7638</v>
      </c>
      <c r="C1074" s="28"/>
      <c r="D1074" s="28"/>
      <c r="E1074" s="28"/>
      <c r="F1074" s="161">
        <v>634.0</v>
      </c>
      <c r="G1074" s="152" t="str">
        <f>IFERROR(__xludf.DUMMYFUNCTION("TRIM(REGEXREPLACE(C1074, ""[0-9]+[a-f]?\."", """"))"),"")</f>
        <v/>
      </c>
      <c r="H1074" s="152" t="str">
        <f>IFERROR(__xludf.DUMMYFUNCTION("TRIM(REGEXREPLACE(D1074, ""[0-9]+[a-f]?\."", """"))"),"")</f>
        <v/>
      </c>
      <c r="I1074" s="152" t="str">
        <f>IFERROR(__xludf.DUMMYFUNCTION("TRIM(REGEXREPLACE(E1074, ""[0-9]+[a-f]?\."", """"))"),"")</f>
        <v/>
      </c>
      <c r="J1074" s="152" t="s">
        <v>7639</v>
      </c>
      <c r="K1074" s="152" t="s">
        <v>7640</v>
      </c>
      <c r="L1074" s="152" t="s">
        <v>7642</v>
      </c>
    </row>
    <row r="1075">
      <c r="A1075" s="166" t="s">
        <v>41</v>
      </c>
      <c r="B1075" s="167" t="s">
        <v>7645</v>
      </c>
      <c r="C1075" s="28" t="s">
        <v>7646</v>
      </c>
      <c r="D1075" s="28" t="s">
        <v>7647</v>
      </c>
      <c r="E1075" s="28" t="s">
        <v>7648</v>
      </c>
      <c r="F1075" s="161">
        <v>484.0</v>
      </c>
      <c r="G1075" s="152" t="str">
        <f>IFERROR(__xludf.DUMMYFUNCTION("TRIM(REGEXREPLACE(C1075, ""[0-9]+[a-f]?\."", """"))"),"With the money you kept for yourself (${pm_cash_resid}), how much did you use for each of the following:")</f>
        <v>With the money you kept for yourself (${pm_cash_resid}), how much did you use for each of the following:</v>
      </c>
      <c r="H1075" s="152" t="str">
        <f>IFERROR(__xludf.DUMMYFUNCTION("TRIM(REGEXREPLACE(D1075, ""[0-9]+[a-f]?\."", """"))"),"Avec l'argent que vous avez gardé pour vous (${pm_cash_resid}) , combien avez-vous utilisé pour chacun des éléments suivants:")</f>
        <v>Avec l'argent que vous avez gardé pour vous (${pm_cash_resid}) , combien avez-vous utilisé pour chacun des éléments suivants:</v>
      </c>
      <c r="I1075" s="152" t="str">
        <f>IFERROR(__xludf.DUMMYFUNCTION("TRIM(REGEXREPLACE(E1075, ""[0-9]+[a-f]?\."", """"))"),"Game da Kuɗin da kuka ajiye wa kanku (${pm_cash_resid}), nawa kuka yi amfani kan kowane ɗayan cikin abubuwa nan masu zuwa:")</f>
        <v>Game da Kuɗin da kuka ajiye wa kanku (${pm_cash_resid}), nawa kuka yi amfani kan kowane ɗayan cikin abubuwa nan masu zuwa:</v>
      </c>
      <c r="J1075" s="152" t="s">
        <v>7651</v>
      </c>
      <c r="K1075" s="152" t="s">
        <v>7653</v>
      </c>
      <c r="L1075" s="152" t="s">
        <v>7654</v>
      </c>
    </row>
    <row r="1076">
      <c r="A1076" s="170" t="s">
        <v>263</v>
      </c>
      <c r="B1076" s="271" t="s">
        <v>7655</v>
      </c>
      <c r="C1076" s="28" t="s">
        <v>7656</v>
      </c>
      <c r="D1076" s="28" t="s">
        <v>7657</v>
      </c>
      <c r="E1076" s="28" t="s">
        <v>7658</v>
      </c>
      <c r="F1076" s="161">
        <v>485.0</v>
      </c>
      <c r="G1076" s="152" t="str">
        <f>IFERROR(__xludf.DUMMYFUNCTION("TRIM(REGEXREPLACE(C1076, ""[0-9]+[a-f]?\."", """"))"),"Food")</f>
        <v>Food</v>
      </c>
      <c r="H1076" s="152" t="str">
        <f>IFERROR(__xludf.DUMMYFUNCTION("TRIM(REGEXREPLACE(D1076, ""[0-9]+[a-f]?\."", """"))"),"Nourriture")</f>
        <v>Nourriture</v>
      </c>
      <c r="I1076" s="152" t="str">
        <f>IFERROR(__xludf.DUMMYFUNCTION("TRIM(REGEXREPLACE(E1076, ""[0-9]+[a-f]?\."", """"))"),"Abinci")</f>
        <v>Abinci</v>
      </c>
      <c r="J1076" s="152" t="s">
        <v>7659</v>
      </c>
      <c r="K1076" s="152" t="s">
        <v>7660</v>
      </c>
      <c r="L1076" s="152" t="s">
        <v>7661</v>
      </c>
    </row>
    <row r="1077">
      <c r="A1077" s="170" t="s">
        <v>263</v>
      </c>
      <c r="B1077" s="171" t="s">
        <v>7662</v>
      </c>
      <c r="C1077" s="28" t="s">
        <v>7663</v>
      </c>
      <c r="D1077" s="28" t="s">
        <v>7664</v>
      </c>
      <c r="E1077" s="28" t="s">
        <v>7665</v>
      </c>
      <c r="F1077" s="161">
        <v>486.0</v>
      </c>
      <c r="G1077" s="152" t="str">
        <f>IFERROR(__xludf.DUMMYFUNCTION("TRIM(REGEXREPLACE(C1077, ""[0-9]+[a-f]?\."", """"))"),"Other household expenditure")</f>
        <v>Other household expenditure</v>
      </c>
      <c r="H1077" s="152" t="str">
        <f>IFERROR(__xludf.DUMMYFUNCTION("TRIM(REGEXREPLACE(D1077, ""[0-9]+[a-f]?\."", """"))"),"Autres dépenses des ménages")</f>
        <v>Autres dépenses des ménages</v>
      </c>
      <c r="I1077" s="152" t="str">
        <f>IFERROR(__xludf.DUMMYFUNCTION("TRIM(REGEXREPLACE(E1077, ""[0-9]+[a-f]?\."", """"))"),"Sauran kuɗaɗen gida")</f>
        <v>Sauran kuɗaɗen gida</v>
      </c>
      <c r="J1077" s="152" t="s">
        <v>7666</v>
      </c>
      <c r="K1077" s="152" t="s">
        <v>7667</v>
      </c>
      <c r="L1077" s="152" t="s">
        <v>7668</v>
      </c>
    </row>
    <row r="1078">
      <c r="A1078" s="170" t="s">
        <v>263</v>
      </c>
      <c r="B1078" s="171" t="s">
        <v>7670</v>
      </c>
      <c r="C1078" s="28" t="s">
        <v>7671</v>
      </c>
      <c r="D1078" s="28" t="s">
        <v>7672</v>
      </c>
      <c r="E1078" s="28" t="s">
        <v>7673</v>
      </c>
      <c r="F1078" s="161">
        <v>487.0</v>
      </c>
      <c r="G1078" s="152" t="str">
        <f>IFERROR(__xludf.DUMMYFUNCTION("TRIM(REGEXREPLACE(C1078, ""[0-9]+[a-f]?\."", """"))"),"Investments in agriculture and/or business")</f>
        <v>Investments in agriculture and/or business</v>
      </c>
      <c r="H1078" s="152" t="str">
        <f>IFERROR(__xludf.DUMMYFUNCTION("TRIM(REGEXREPLACE(D1078, ""[0-9]+[a-f]?\."", """"))"),"Investissements dans l'agriculture et/ou les affaires")</f>
        <v>Investissements dans l'agriculture et/ou les affaires</v>
      </c>
      <c r="I1078" s="152" t="str">
        <f>IFERROR(__xludf.DUMMYFUNCTION("TRIM(REGEXREPLACE(E1078, ""[0-9]+[a-f]?\."", """"))"),"Zuba jari a harkar noma da/ko kasuwanci")</f>
        <v>Zuba jari a harkar noma da/ko kasuwanci</v>
      </c>
      <c r="J1078" s="152" t="s">
        <v>7674</v>
      </c>
      <c r="K1078" s="152" t="s">
        <v>7675</v>
      </c>
      <c r="L1078" s="152" t="s">
        <v>7676</v>
      </c>
    </row>
    <row r="1079">
      <c r="A1079" s="170" t="s">
        <v>263</v>
      </c>
      <c r="B1079" s="171" t="s">
        <v>7677</v>
      </c>
      <c r="C1079" s="28" t="s">
        <v>7678</v>
      </c>
      <c r="D1079" s="28" t="s">
        <v>7679</v>
      </c>
      <c r="E1079" s="28" t="s">
        <v>7680</v>
      </c>
      <c r="F1079" s="161">
        <v>488.0</v>
      </c>
      <c r="G1079" s="152" t="str">
        <f>IFERROR(__xludf.DUMMYFUNCTION("TRIM(REGEXREPLACE(C1079, ""[0-9]+[a-f]?\."", """"))"),"Savings")</f>
        <v>Savings</v>
      </c>
      <c r="H1079" s="152" t="str">
        <f>IFERROR(__xludf.DUMMYFUNCTION("TRIM(REGEXREPLACE(D1079, ""[0-9]+[a-f]?\."", """"))"),"Épargne")</f>
        <v>Épargne</v>
      </c>
      <c r="I1079" s="152" t="str">
        <f>IFERROR(__xludf.DUMMYFUNCTION("TRIM(REGEXREPLACE(E1079, ""[0-9]+[a-f]?\."", """"))"),"Ajiya")</f>
        <v>Ajiya</v>
      </c>
      <c r="J1079" s="152" t="s">
        <v>7682</v>
      </c>
      <c r="K1079" s="152" t="s">
        <v>7683</v>
      </c>
      <c r="L1079" s="152" t="s">
        <v>7685</v>
      </c>
    </row>
    <row r="1080">
      <c r="A1080" s="170" t="s">
        <v>263</v>
      </c>
      <c r="B1080" s="171" t="s">
        <v>7687</v>
      </c>
      <c r="C1080" s="28" t="s">
        <v>7688</v>
      </c>
      <c r="D1080" s="28" t="s">
        <v>7689</v>
      </c>
      <c r="E1080" s="28" t="s">
        <v>7690</v>
      </c>
      <c r="F1080" s="161">
        <v>489.0</v>
      </c>
      <c r="G1080" s="152" t="str">
        <f>IFERROR(__xludf.DUMMYFUNCTION("TRIM(REGEXREPLACE(C1080, ""[0-9]+[a-f]?\."", """"))"),"Debt repayment")</f>
        <v>Debt repayment</v>
      </c>
      <c r="H1080" s="152" t="str">
        <f>IFERROR(__xludf.DUMMYFUNCTION("TRIM(REGEXREPLACE(D1080, ""[0-9]+[a-f]?\."", """"))"),"Remboursement des dettes")</f>
        <v>Remboursement des dettes</v>
      </c>
      <c r="I1080" s="152" t="str">
        <f>IFERROR(__xludf.DUMMYFUNCTION("TRIM(REGEXREPLACE(E1080, ""[0-9]+[a-f]?\."", """"))"),"Biyan bashi")</f>
        <v>Biyan bashi</v>
      </c>
      <c r="J1080" s="152" t="s">
        <v>7691</v>
      </c>
      <c r="K1080" s="152" t="s">
        <v>7692</v>
      </c>
      <c r="L1080" s="152" t="s">
        <v>7693</v>
      </c>
    </row>
    <row r="1081">
      <c r="A1081" s="170" t="s">
        <v>263</v>
      </c>
      <c r="B1081" s="171" t="s">
        <v>7694</v>
      </c>
      <c r="C1081" s="28" t="s">
        <v>7695</v>
      </c>
      <c r="D1081" s="28" t="s">
        <v>7696</v>
      </c>
      <c r="E1081" s="28" t="s">
        <v>7697</v>
      </c>
      <c r="F1081" s="161">
        <v>490.0</v>
      </c>
      <c r="G1081" s="152" t="str">
        <f>IFERROR(__xludf.DUMMYFUNCTION("TRIM(REGEXREPLACE(C1081, ""[0-9]+[a-f]?\."", """"))"),"Housing cost payments")</f>
        <v>Housing cost payments</v>
      </c>
      <c r="H1081" s="152" t="str">
        <f>IFERROR(__xludf.DUMMYFUNCTION("TRIM(REGEXREPLACE(D1081, ""[0-9]+[a-f]?\."", """"))"),"Paiement des frais de logement")</f>
        <v>Paiement des frais de logement</v>
      </c>
      <c r="I1081" s="152" t="str">
        <f>IFERROR(__xludf.DUMMYFUNCTION("TRIM(REGEXREPLACE(E1081, ""[0-9]+[a-f]?\."", """"))"),"Biyan kuɗin haya")</f>
        <v>Biyan kuɗin haya</v>
      </c>
      <c r="J1081" s="152" t="s">
        <v>7698</v>
      </c>
      <c r="K1081" s="152" t="s">
        <v>7699</v>
      </c>
      <c r="L1081" s="152" t="s">
        <v>7700</v>
      </c>
    </row>
    <row r="1082">
      <c r="A1082" s="170" t="s">
        <v>263</v>
      </c>
      <c r="B1082" s="171" t="s">
        <v>7701</v>
      </c>
      <c r="C1082" s="28" t="s">
        <v>7702</v>
      </c>
      <c r="D1082" s="28" t="s">
        <v>7703</v>
      </c>
      <c r="E1082" s="28" t="s">
        <v>7704</v>
      </c>
      <c r="F1082" s="161">
        <v>491.0</v>
      </c>
      <c r="G1082" s="152" t="str">
        <f>IFERROR(__xludf.DUMMYFUNCTION("TRIM(REGEXREPLACE(C1082, ""[0-9]+[a-f]?\."", """"))"),"Education/Training payments")</f>
        <v>Education/Training payments</v>
      </c>
      <c r="H1082" s="152" t="str">
        <f>IFERROR(__xludf.DUMMYFUNCTION("TRIM(REGEXREPLACE(D1082, ""[0-9]+[a-f]?\."", """"))"),"Paiements pour études/formation")</f>
        <v>Paiements pour études/formation</v>
      </c>
      <c r="I1082" s="152" t="str">
        <f>IFERROR(__xludf.DUMMYFUNCTION("TRIM(REGEXREPLACE(E1082, ""[0-9]+[a-f]?\."", """"))"),"Biyan kuɗi na ilimi / horo")</f>
        <v>Biyan kuɗi na ilimi / horo</v>
      </c>
      <c r="J1082" s="152" t="s">
        <v>7705</v>
      </c>
      <c r="K1082" s="152" t="s">
        <v>7706</v>
      </c>
      <c r="L1082" s="152" t="s">
        <v>7707</v>
      </c>
    </row>
    <row r="1083">
      <c r="A1083" s="170" t="s">
        <v>263</v>
      </c>
      <c r="B1083" s="271" t="s">
        <v>7708</v>
      </c>
      <c r="C1083" s="28" t="s">
        <v>7709</v>
      </c>
      <c r="D1083" s="28" t="s">
        <v>7710</v>
      </c>
      <c r="E1083" s="28" t="s">
        <v>7711</v>
      </c>
      <c r="F1083" s="161">
        <v>492.0</v>
      </c>
      <c r="G1083" s="152" t="str">
        <f>IFERROR(__xludf.DUMMYFUNCTION("TRIM(REGEXREPLACE(C1083, ""[0-9]+[a-f]?\."", """"))"),"Health expenditures")</f>
        <v>Health expenditures</v>
      </c>
      <c r="H1083" s="152" t="str">
        <f>IFERROR(__xludf.DUMMYFUNCTION("TRIM(REGEXREPLACE(D1083, ""[0-9]+[a-f]?\."", """"))"),"Dépenses de santé")</f>
        <v>Dépenses de santé</v>
      </c>
      <c r="I1083" s="152" t="str">
        <f>IFERROR(__xludf.DUMMYFUNCTION("TRIM(REGEXREPLACE(E1083, ""[0-9]+[a-f]?\."", """"))"),"Kuɗin kiwon lafiya")</f>
        <v>Kuɗin kiwon lafiya</v>
      </c>
      <c r="J1083" s="152" t="s">
        <v>7712</v>
      </c>
      <c r="K1083" s="152" t="s">
        <v>7713</v>
      </c>
      <c r="L1083" s="152" t="s">
        <v>7714</v>
      </c>
    </row>
    <row r="1084">
      <c r="A1084" s="170" t="s">
        <v>263</v>
      </c>
      <c r="B1084" s="171" t="s">
        <v>7715</v>
      </c>
      <c r="C1084" s="28" t="s">
        <v>7716</v>
      </c>
      <c r="D1084" s="28" t="s">
        <v>7717</v>
      </c>
      <c r="E1084" s="28" t="s">
        <v>7718</v>
      </c>
      <c r="F1084" s="161">
        <v>493.0</v>
      </c>
      <c r="G1084" s="152" t="str">
        <f>IFERROR(__xludf.DUMMYFUNCTION("TRIM(REGEXREPLACE(C1084, ""[0-9]+[a-f]?\."", """"))"),"Migration cost payments")</f>
        <v>Migration cost payments</v>
      </c>
      <c r="H1084" s="152" t="str">
        <f>IFERROR(__xludf.DUMMYFUNCTION("TRIM(REGEXREPLACE(D1084, ""[0-9]+[a-f]?\."", """"))"),"Paiement des frais de migration")</f>
        <v>Paiement des frais de migration</v>
      </c>
      <c r="I1084" s="152" t="str">
        <f>IFERROR(__xludf.DUMMYFUNCTION("TRIM(REGEXREPLACE(E1084, ""[0-9]+[a-f]?\."", """"))"),"Kashe kuɗin zuwa biɗa")</f>
        <v>Kashe kuɗin zuwa biɗa</v>
      </c>
      <c r="J1084" s="152" t="s">
        <v>7719</v>
      </c>
      <c r="K1084" s="152" t="s">
        <v>7720</v>
      </c>
      <c r="L1084" s="152" t="s">
        <v>7721</v>
      </c>
    </row>
    <row r="1085">
      <c r="A1085" s="170" t="s">
        <v>263</v>
      </c>
      <c r="B1085" s="271" t="s">
        <v>7722</v>
      </c>
      <c r="C1085" s="28" t="s">
        <v>7723</v>
      </c>
      <c r="D1085" s="28" t="s">
        <v>7724</v>
      </c>
      <c r="E1085" s="28" t="s">
        <v>7725</v>
      </c>
      <c r="F1085" s="161">
        <v>494.0</v>
      </c>
      <c r="G1085" s="152" t="str">
        <f>IFERROR(__xludf.DUMMYFUNCTION("TRIM(REGEXREPLACE(C1085, ""[0-9]+[a-f]?\."", """"))"),"Ceremonies")</f>
        <v>Ceremonies</v>
      </c>
      <c r="H1085" s="152" t="str">
        <f>IFERROR(__xludf.DUMMYFUNCTION("TRIM(REGEXREPLACE(D1085, ""[0-9]+[a-f]?\."", """"))"),"Cérémonies")</f>
        <v>Cérémonies</v>
      </c>
      <c r="I1085" s="152" t="str">
        <f>IFERROR(__xludf.DUMMYFUNCTION("TRIM(REGEXREPLACE(E1085, ""[0-9]+[a-f]?\."", """"))"),"Bukukuwa")</f>
        <v>Bukukuwa</v>
      </c>
      <c r="J1085" s="152" t="s">
        <v>7726</v>
      </c>
      <c r="K1085" s="152" t="s">
        <v>7727</v>
      </c>
      <c r="L1085" s="152" t="s">
        <v>7728</v>
      </c>
    </row>
    <row r="1086">
      <c r="A1086" s="170" t="s">
        <v>263</v>
      </c>
      <c r="B1086" s="271" t="s">
        <v>7729</v>
      </c>
      <c r="C1086" s="28" t="s">
        <v>7730</v>
      </c>
      <c r="D1086" s="28" t="s">
        <v>7731</v>
      </c>
      <c r="E1086" s="28" t="s">
        <v>7732</v>
      </c>
      <c r="F1086" s="161">
        <v>495.0</v>
      </c>
      <c r="G1086" s="152" t="str">
        <f>IFERROR(__xludf.DUMMYFUNCTION("TRIM(REGEXREPLACE(C1086, ""[0-9]+[a-f]?\."", """"))"),"Other")</f>
        <v>Other</v>
      </c>
      <c r="H1086" s="152" t="str">
        <f>IFERROR(__xludf.DUMMYFUNCTION("TRIM(REGEXREPLACE(D1086, ""[0-9]+[a-f]?\."", """"))"),"Autres")</f>
        <v>Autres</v>
      </c>
      <c r="I1086" s="152" t="str">
        <f>IFERROR(__xludf.DUMMYFUNCTION("TRIM(REGEXREPLACE(E1086, ""[0-9]+[a-f]?\."", """"))"),"Wasu daban")</f>
        <v>Wasu daban</v>
      </c>
      <c r="J1086" s="152" t="s">
        <v>7733</v>
      </c>
      <c r="K1086" s="152" t="s">
        <v>7734</v>
      </c>
      <c r="L1086" s="152" t="s">
        <v>7735</v>
      </c>
    </row>
    <row r="1087" hidden="1">
      <c r="A1087" s="140" t="s">
        <v>237</v>
      </c>
      <c r="B1087" s="191" t="s">
        <v>7634</v>
      </c>
      <c r="C1087" s="28"/>
      <c r="D1087" s="28"/>
      <c r="E1087" s="28"/>
      <c r="F1087" s="161">
        <v>585.0</v>
      </c>
      <c r="G1087" s="152" t="str">
        <f>IFERROR(__xludf.DUMMYFUNCTION("TRIM(REGEXREPLACE(C1087, ""[0-9]+[a-f]?\."", """"))"),"")</f>
        <v/>
      </c>
      <c r="H1087" s="152" t="str">
        <f>IFERROR(__xludf.DUMMYFUNCTION("TRIM(REGEXREPLACE(D1087, ""[0-9]+[a-f]?\."", """"))"),"")</f>
        <v/>
      </c>
      <c r="I1087" s="152" t="str">
        <f>IFERROR(__xludf.DUMMYFUNCTION("TRIM(REGEXREPLACE(E1087, ""[0-9]+[a-f]?\."", """"))"),"")</f>
        <v/>
      </c>
      <c r="J1087" s="152" t="s">
        <v>7738</v>
      </c>
      <c r="K1087" s="152" t="s">
        <v>7740</v>
      </c>
      <c r="L1087" s="152" t="s">
        <v>7741</v>
      </c>
    </row>
    <row r="1088" hidden="1">
      <c r="A1088" s="90" t="s">
        <v>134</v>
      </c>
      <c r="B1088" s="92" t="s">
        <v>7743</v>
      </c>
      <c r="C1088" s="28"/>
      <c r="D1088" s="28"/>
      <c r="E1088" s="28"/>
      <c r="F1088" s="161">
        <v>586.0</v>
      </c>
      <c r="G1088" s="152" t="str">
        <f>IFERROR(__xludf.DUMMYFUNCTION("TRIM(REGEXREPLACE(C1088, ""[0-9]+[a-f]?\."", """"))"),"")</f>
        <v/>
      </c>
      <c r="H1088" s="152" t="str">
        <f>IFERROR(__xludf.DUMMYFUNCTION("TRIM(REGEXREPLACE(D1088, ""[0-9]+[a-f]?\."", """"))"),"")</f>
        <v/>
      </c>
      <c r="I1088" s="152" t="str">
        <f>IFERROR(__xludf.DUMMYFUNCTION("TRIM(REGEXREPLACE(E1088, ""[0-9]+[a-f]?\."", """"))"),"")</f>
        <v/>
      </c>
      <c r="J1088" s="152" t="s">
        <v>7744</v>
      </c>
      <c r="K1088" s="152" t="s">
        <v>7745</v>
      </c>
      <c r="L1088" s="152" t="s">
        <v>7746</v>
      </c>
    </row>
    <row r="1089">
      <c r="A1089" s="123" t="s">
        <v>246</v>
      </c>
      <c r="B1089" s="284" t="s">
        <v>7747</v>
      </c>
      <c r="C1089" s="28" t="s">
        <v>7748</v>
      </c>
      <c r="D1089" s="28" t="s">
        <v>7748</v>
      </c>
      <c r="E1089" s="28" t="s">
        <v>7748</v>
      </c>
      <c r="F1089" s="161">
        <v>496.0</v>
      </c>
      <c r="G1089" s="152" t="str">
        <f>IFERROR(__xludf.DUMMYFUNCTION("TRIM(REGEXREPLACE(C1089, ""[0-9]+[a-f]?\."", """"))"),"You spent ${pm_cash_resid_exp_other} CFA on ""other"" categories. Please describe them:")</f>
        <v>You spent ${pm_cash_resid_exp_other} CFA on "other" categories. Please describe them:</v>
      </c>
      <c r="H1089" s="152" t="str">
        <f>IFERROR(__xludf.DUMMYFUNCTION("TRIM(REGEXREPLACE(D1089, ""[0-9]+[a-f]?\."", """"))"),"You spent ${pm_cash_resid_exp_other} CFA on ""other"" categories. Please describe them:")</f>
        <v>You spent ${pm_cash_resid_exp_other} CFA on "other" categories. Please describe them:</v>
      </c>
      <c r="I1089" s="152" t="str">
        <f>IFERROR(__xludf.DUMMYFUNCTION("TRIM(REGEXREPLACE(E1089, ""[0-9]+[a-f]?\."", """"))"),"You spent ${pm_cash_resid_exp_other} CFA on ""other"" categories. Please describe them:")</f>
        <v>You spent ${pm_cash_resid_exp_other} CFA on "other" categories. Please describe them:</v>
      </c>
      <c r="J1089" s="152" t="s">
        <v>7749</v>
      </c>
      <c r="K1089" s="152" t="s">
        <v>7749</v>
      </c>
      <c r="L1089" s="152" t="s">
        <v>7749</v>
      </c>
    </row>
    <row r="1090">
      <c r="A1090" s="166" t="s">
        <v>41</v>
      </c>
      <c r="B1090" s="167" t="s">
        <v>7750</v>
      </c>
      <c r="C1090" s="28" t="s">
        <v>7751</v>
      </c>
      <c r="D1090" s="28" t="s">
        <v>7752</v>
      </c>
      <c r="E1090" s="28" t="s">
        <v>7754</v>
      </c>
      <c r="F1090" s="161">
        <v>497.0</v>
      </c>
      <c r="G1090" s="152" t="str">
        <f>IFERROR(__xludf.DUMMYFUNCTION("TRIM(REGEXREPLACE(C1090, ""[0-9]+[a-f]?\."", """"))"),"You mentioned that you spent ${pm_cash_resid_use}, which is greater than the amount you kept for yourself (${pm_cash_resid}). Please reassess your responses.")</f>
        <v>You mentioned that you spent ${pm_cash_resid_use}, which is greater than the amount you kept for yourself (${pm_cash_resid}). Please reassess your responses.</v>
      </c>
      <c r="H1090" s="152" t="str">
        <f>IFERROR(__xludf.DUMMYFUNCTION("TRIM(REGEXREPLACE(D1090, ""[0-9]+[a-f]?\."", """"))"),"Vous avez mentionné que vous aviez partagé ${pm_cash_resid_use}, ce qui est supérieur au montant que vous avez gardé pour vous (${pm_cash_resid}). Veuillez revoir vos réponses.")</f>
        <v>Vous avez mentionné que vous aviez partagé ${pm_cash_resid_use}, ce qui est supérieur au montant que vous avez gardé pour vous (${pm_cash_resid}). Veuillez revoir vos réponses.</v>
      </c>
      <c r="I1090" s="152" t="str">
        <f>IFERROR(__xludf.DUMMYFUNCTION("TRIM(REGEXREPLACE(E1090, ""[0-9]+[a-f]?\."", """"))"),"Kun ambaci cewa kun raba ${pm_cash_resid_use}, wanda ya fi yawan kuɗin da kuka ajiye don kanku (${pm_cash_resid}). Da fatan za ku sake duba amsarku.")</f>
        <v>Kun ambaci cewa kun raba ${pm_cash_resid_use}, wanda ya fi yawan kuɗin da kuka ajiye don kanku (${pm_cash_resid}). Da fatan za ku sake duba amsarku.</v>
      </c>
      <c r="J1090" s="152" t="s">
        <v>7757</v>
      </c>
      <c r="K1090" s="152" t="s">
        <v>7758</v>
      </c>
      <c r="L1090" s="152" t="s">
        <v>7759</v>
      </c>
    </row>
    <row r="1091" hidden="1">
      <c r="A1091" s="65" t="s">
        <v>134</v>
      </c>
      <c r="B1091" s="66" t="s">
        <v>7760</v>
      </c>
      <c r="C1091" s="28"/>
      <c r="D1091" s="28"/>
      <c r="E1091" s="28"/>
      <c r="F1091" s="161">
        <v>589.0</v>
      </c>
      <c r="G1091" s="152" t="str">
        <f>IFERROR(__xludf.DUMMYFUNCTION("TRIM(REGEXREPLACE(C1091, ""[0-9]+[a-f]?\."", """"))"),"")</f>
        <v/>
      </c>
      <c r="H1091" s="152" t="str">
        <f>IFERROR(__xludf.DUMMYFUNCTION("TRIM(REGEXREPLACE(D1091, ""[0-9]+[a-f]?\."", """"))"),"")</f>
        <v/>
      </c>
      <c r="I1091" s="152" t="str">
        <f>IFERROR(__xludf.DUMMYFUNCTION("TRIM(REGEXREPLACE(E1091, ""[0-9]+[a-f]?\."", """"))"),"")</f>
        <v/>
      </c>
      <c r="J1091" s="152" t="s">
        <v>7761</v>
      </c>
      <c r="K1091" s="152" t="s">
        <v>7762</v>
      </c>
      <c r="L1091" s="152" t="s">
        <v>7763</v>
      </c>
    </row>
    <row r="1092" hidden="1">
      <c r="A1092" s="65" t="s">
        <v>78</v>
      </c>
      <c r="B1092" s="272" t="s">
        <v>7764</v>
      </c>
      <c r="C1092" s="28"/>
      <c r="D1092" s="28"/>
      <c r="E1092" s="28"/>
      <c r="F1092" s="161">
        <v>590.0</v>
      </c>
      <c r="G1092" s="152" t="str">
        <f>IFERROR(__xludf.DUMMYFUNCTION("TRIM(REGEXREPLACE(C1092, ""[0-9]+[a-f]?\."", """"))"),"")</f>
        <v/>
      </c>
      <c r="H1092" s="152" t="str">
        <f>IFERROR(__xludf.DUMMYFUNCTION("TRIM(REGEXREPLACE(D1092, ""[0-9]+[a-f]?\."", """"))"),"")</f>
        <v/>
      </c>
      <c r="I1092" s="152" t="str">
        <f>IFERROR(__xludf.DUMMYFUNCTION("TRIM(REGEXREPLACE(E1092, ""[0-9]+[a-f]?\."", """"))"),"")</f>
        <v/>
      </c>
      <c r="J1092" s="152" t="s">
        <v>7768</v>
      </c>
      <c r="K1092" s="152" t="s">
        <v>7769</v>
      </c>
      <c r="L1092" s="152" t="s">
        <v>7770</v>
      </c>
    </row>
    <row r="1093">
      <c r="A1093" s="65" t="s">
        <v>2625</v>
      </c>
      <c r="B1093" s="169" t="s">
        <v>7771</v>
      </c>
      <c r="C1093" s="28" t="s">
        <v>7772</v>
      </c>
      <c r="D1093" s="28" t="s">
        <v>7773</v>
      </c>
      <c r="E1093" s="28" t="s">
        <v>7774</v>
      </c>
      <c r="F1093" s="161">
        <v>498.0</v>
      </c>
      <c r="G1093" s="152" t="str">
        <f>IFERROR(__xludf.DUMMYFUNCTION("TRIM(REGEXREPLACE(C1093, ""[0-9]+[a-f]?\."", """"))"),"Did the assistance you received from Mercy Corps allow you to spend money on something you normally would not have spent money on?")</f>
        <v>Did the assistance you received from Mercy Corps allow you to spend money on something you normally would not have spent money on?</v>
      </c>
      <c r="H1093" s="152" t="str">
        <f>IFERROR(__xludf.DUMMYFUNCTION("TRIM(REGEXREPLACE(D1093, ""[0-9]+[a-f]?\."", """"))"),"L'assistance que vous avez reçue du Mercy Corps vous a permis de dépenser de l'argent pour quelque chose sur lequel vous n'auriez normalement pas dépensé de l'argent?")</f>
        <v>L'assistance que vous avez reçue du Mercy Corps vous a permis de dépenser de l'argent pour quelque chose sur lequel vous n'auriez normalement pas dépensé de l'argent?</v>
      </c>
      <c r="I1093" s="152" t="str">
        <f>IFERROR(__xludf.DUMMYFUNCTION("TRIM(REGEXREPLACE(E1093, ""[0-9]+[a-f]?\."", """"))"),"Ko taimakon da kuka samu daga Mercy Corps ya baku damar kashe kuɗi a kan abinda baku yi niyyar kashe kudi ba?")</f>
        <v>Ko taimakon da kuka samu daga Mercy Corps ya baku damar kashe kuɗi a kan abinda baku yi niyyar kashe kudi ba?</v>
      </c>
      <c r="J1093" s="152" t="s">
        <v>7775</v>
      </c>
      <c r="K1093" s="152" t="s">
        <v>7776</v>
      </c>
      <c r="L1093" s="152" t="s">
        <v>7777</v>
      </c>
    </row>
    <row r="1094">
      <c r="A1094" s="68" t="s">
        <v>7189</v>
      </c>
      <c r="B1094" s="169" t="s">
        <v>7778</v>
      </c>
      <c r="C1094" s="28" t="s">
        <v>7779</v>
      </c>
      <c r="D1094" s="28" t="s">
        <v>7780</v>
      </c>
      <c r="E1094" s="28" t="s">
        <v>7781</v>
      </c>
      <c r="F1094" s="161">
        <v>499.0</v>
      </c>
      <c r="G1094" s="152" t="str">
        <f>IFERROR(__xludf.DUMMYFUNCTION("TRIM(REGEXREPLACE(C1094, ""[0-9]+[a-f]?\."", """"))"),"What did it allow you to spend money on?")</f>
        <v>What did it allow you to spend money on?</v>
      </c>
      <c r="H1094" s="152" t="str">
        <f>IFERROR(__xludf.DUMMYFUNCTION("TRIM(REGEXREPLACE(D1094, ""[0-9]+[a-f]?\."", """"))"),"Sur quoi vous a-t-il permis de dépenser de l'argent?")</f>
        <v>Sur quoi vous a-t-il permis de dépenser de l'argent?</v>
      </c>
      <c r="I1094" s="152" t="str">
        <f>IFERROR(__xludf.DUMMYFUNCTION("TRIM(REGEXREPLACE(E1094, ""[0-9]+[a-f]?\."", """"))"),"A kan me ya ba ku damar kashe kuɗi?")</f>
        <v>A kan me ya ba ku damar kashe kuɗi?</v>
      </c>
      <c r="J1094" s="152" t="s">
        <v>7782</v>
      </c>
      <c r="K1094" s="152" t="s">
        <v>7783</v>
      </c>
      <c r="L1094" s="152" t="s">
        <v>7784</v>
      </c>
    </row>
    <row r="1095">
      <c r="A1095" s="68" t="s">
        <v>7785</v>
      </c>
      <c r="B1095" s="169" t="s">
        <v>7786</v>
      </c>
      <c r="C1095" s="28" t="s">
        <v>7789</v>
      </c>
      <c r="D1095" s="28" t="s">
        <v>7790</v>
      </c>
      <c r="E1095" s="28" t="s">
        <v>7792</v>
      </c>
      <c r="F1095" s="161">
        <v>500.0</v>
      </c>
      <c r="G1095" s="152" t="str">
        <f>IFERROR(__xludf.DUMMYFUNCTION("TRIM(REGEXREPLACE(C1095, ""[0-9]+[a-f]?\."", """"))"),"Who makes the decisions in your home specifically about the use of the cash transfer?")</f>
        <v>Who makes the decisions in your home specifically about the use of the cash transfer?</v>
      </c>
      <c r="H1095" s="152" t="str">
        <f>IFERROR(__xludf.DUMMYFUNCTION("TRIM(REGEXREPLACE(D1095, ""[0-9]+[a-f]?\."", """"))"),"Qui prend les décisions dans votre maison spécifiquement sur l'utilisation du transfert en espèces?")</f>
        <v>Qui prend les décisions dans votre maison spécifiquement sur l'utilisation du transfert en espèces?</v>
      </c>
      <c r="I1095" s="152" t="str">
        <f>IFERROR(__xludf.DUMMYFUNCTION("TRIM(REGEXREPLACE(E1095, ""[0-9]+[a-f]?\."", """"))"),"You spent ${pm_cash_resid_exp_other} CFA on ""other"" categories. Please describe them:")</f>
        <v>You spent ${pm_cash_resid_exp_other} CFA on "other" categories. Please describe them:</v>
      </c>
      <c r="J1095" s="152" t="s">
        <v>7793</v>
      </c>
      <c r="K1095" s="152" t="s">
        <v>7794</v>
      </c>
      <c r="L1095" s="152" t="s">
        <v>7795</v>
      </c>
    </row>
    <row r="1096" hidden="1">
      <c r="A1096" s="140" t="s">
        <v>237</v>
      </c>
      <c r="B1096" s="191" t="s">
        <v>7162</v>
      </c>
      <c r="C1096" s="28"/>
      <c r="D1096" s="28"/>
      <c r="E1096" s="28"/>
      <c r="F1096" s="161">
        <v>172.0</v>
      </c>
      <c r="G1096" s="152" t="str">
        <f>IFERROR(__xludf.DUMMYFUNCTION("TRIM(REGEXREPLACE(C1096, ""[0-9]+[a-f]?\."", """"))"),"")</f>
        <v/>
      </c>
      <c r="H1096" s="152" t="str">
        <f>IFERROR(__xludf.DUMMYFUNCTION("TRIM(REGEXREPLACE(D1096, ""[0-9]+[a-f]?\."", """"))"),"")</f>
        <v/>
      </c>
      <c r="I1096" s="152" t="str">
        <f>IFERROR(__xludf.DUMMYFUNCTION("TRIM(REGEXREPLACE(E1096, ""[0-9]+[a-f]?\."", """"))"),"")</f>
        <v/>
      </c>
      <c r="J1096" s="152" t="str">
        <f t="shared" ref="J1096:L1096" si="91">$F1096 &amp; ". " &amp;G1096</f>
        <v>172. </v>
      </c>
      <c r="K1096" s="152" t="str">
        <f t="shared" si="91"/>
        <v>172. </v>
      </c>
      <c r="L1096" s="152" t="str">
        <f t="shared" si="91"/>
        <v>172. </v>
      </c>
    </row>
    <row r="1097" hidden="1">
      <c r="A1097" s="65" t="s">
        <v>134</v>
      </c>
      <c r="B1097" s="66" t="s">
        <v>7796</v>
      </c>
      <c r="C1097" s="28"/>
      <c r="D1097" s="28"/>
      <c r="E1097" s="28"/>
      <c r="F1097" s="161">
        <v>173.0</v>
      </c>
      <c r="G1097" s="152" t="str">
        <f>IFERROR(__xludf.DUMMYFUNCTION("TRIM(REGEXREPLACE(C1097, ""[0-9]+[a-f]?\."", """"))"),"")</f>
        <v/>
      </c>
      <c r="H1097" s="152" t="str">
        <f>IFERROR(__xludf.DUMMYFUNCTION("TRIM(REGEXREPLACE(D1097, ""[0-9]+[a-f]?\."", """"))"),"")</f>
        <v/>
      </c>
      <c r="I1097" s="152" t="str">
        <f>IFERROR(__xludf.DUMMYFUNCTION("TRIM(REGEXREPLACE(E1097, ""[0-9]+[a-f]?\."", """"))"),"")</f>
        <v/>
      </c>
      <c r="J1097" s="152" t="str">
        <f t="shared" ref="J1097:L1097" si="92">$F1097 &amp; ". " &amp;G1097</f>
        <v>173. </v>
      </c>
      <c r="K1097" s="152" t="str">
        <f t="shared" si="92"/>
        <v>173. </v>
      </c>
      <c r="L1097" s="152" t="str">
        <f t="shared" si="92"/>
        <v>173. </v>
      </c>
    </row>
    <row r="1098" hidden="1">
      <c r="A1098" s="65" t="s">
        <v>78</v>
      </c>
      <c r="B1098" s="272" t="s">
        <v>7797</v>
      </c>
      <c r="C1098" s="28"/>
      <c r="D1098" s="28"/>
      <c r="E1098" s="28"/>
      <c r="F1098" s="161">
        <v>174.0</v>
      </c>
      <c r="G1098" s="152" t="str">
        <f>IFERROR(__xludf.DUMMYFUNCTION("TRIM(REGEXREPLACE(C1098, ""[0-9]+[a-f]?\."", """"))"),"")</f>
        <v/>
      </c>
      <c r="H1098" s="152" t="str">
        <f>IFERROR(__xludf.DUMMYFUNCTION("TRIM(REGEXREPLACE(D1098, ""[0-9]+[a-f]?\."", """"))"),"")</f>
        <v/>
      </c>
      <c r="I1098" s="152" t="str">
        <f>IFERROR(__xludf.DUMMYFUNCTION("TRIM(REGEXREPLACE(E1098, ""[0-9]+[a-f]?\."", """"))"),"")</f>
        <v/>
      </c>
      <c r="J1098" s="152" t="str">
        <f t="shared" ref="J1098:L1098" si="93">$F1098 &amp; ". " &amp;G1098</f>
        <v>174. </v>
      </c>
      <c r="K1098" s="152" t="str">
        <f t="shared" si="93"/>
        <v>174. </v>
      </c>
      <c r="L1098" s="152" t="str">
        <f t="shared" si="93"/>
        <v>174. </v>
      </c>
    </row>
    <row r="1099" hidden="1">
      <c r="A1099" s="140" t="s">
        <v>237</v>
      </c>
      <c r="B1099" s="191" t="s">
        <v>7134</v>
      </c>
      <c r="C1099" s="28" t="s">
        <v>7135</v>
      </c>
      <c r="D1099" s="28"/>
      <c r="E1099" s="28"/>
      <c r="F1099" s="161">
        <v>175.0</v>
      </c>
      <c r="G1099" s="152" t="str">
        <f>IFERROR(__xludf.DUMMYFUNCTION("TRIM(REGEXREPLACE(C1099, ""[0-9]+[a-f]?\."", """"))"),"Cash Group")</f>
        <v>Cash Group</v>
      </c>
      <c r="H1099" s="152" t="str">
        <f>IFERROR(__xludf.DUMMYFUNCTION("TRIM(REGEXREPLACE(D1099, ""[0-9]+[a-f]?\."", """"))"),"")</f>
        <v/>
      </c>
      <c r="I1099" s="152" t="str">
        <f>IFERROR(__xludf.DUMMYFUNCTION("TRIM(REGEXREPLACE(E1099, ""[0-9]+[a-f]?\."", """"))"),"")</f>
        <v/>
      </c>
      <c r="J1099" s="152" t="str">
        <f t="shared" ref="J1099:L1099" si="94">$F1099 &amp; ". " &amp;G1099</f>
        <v>175. Cash Group</v>
      </c>
      <c r="K1099" s="152" t="str">
        <f t="shared" si="94"/>
        <v>175. </v>
      </c>
      <c r="L1099" s="152" t="str">
        <f t="shared" si="94"/>
        <v>175. </v>
      </c>
    </row>
    <row r="1100" hidden="1">
      <c r="A1100" s="58" t="s">
        <v>237</v>
      </c>
      <c r="B1100" s="58" t="s">
        <v>608</v>
      </c>
      <c r="C1100" s="28" t="s">
        <v>609</v>
      </c>
      <c r="D1100" s="28"/>
      <c r="E1100" s="28"/>
      <c r="F1100" s="161">
        <v>176.0</v>
      </c>
      <c r="G1100" s="152" t="str">
        <f>IFERROR(__xludf.DUMMYFUNCTION("TRIM(REGEXREPLACE(C1100, ""[0-9]+[a-f]?\."", """"))"),"PM Questionnaire")</f>
        <v>PM Questionnaire</v>
      </c>
      <c r="H1100" s="152" t="str">
        <f>IFERROR(__xludf.DUMMYFUNCTION("TRIM(REGEXREPLACE(D1100, ""[0-9]+[a-f]?\."", """"))"),"")</f>
        <v/>
      </c>
      <c r="I1100" s="152" t="str">
        <f>IFERROR(__xludf.DUMMYFUNCTION("TRIM(REGEXREPLACE(E1100, ""[0-9]+[a-f]?\."", """"))"),"")</f>
        <v/>
      </c>
      <c r="J1100" s="152" t="str">
        <f t="shared" ref="J1100:L1100" si="95">$F1100 &amp; ". " &amp;G1100</f>
        <v>176. PM Questionnaire</v>
      </c>
      <c r="K1100" s="152" t="str">
        <f t="shared" si="95"/>
        <v>176. </v>
      </c>
      <c r="L1100" s="152" t="str">
        <f t="shared" si="95"/>
        <v>176. </v>
      </c>
    </row>
    <row r="1101" hidden="1">
      <c r="A1101" s="65" t="s">
        <v>134</v>
      </c>
      <c r="B1101" s="66" t="s">
        <v>7803</v>
      </c>
      <c r="C1101" s="28"/>
      <c r="D1101" s="28"/>
      <c r="E1101" s="28"/>
      <c r="F1101" s="161">
        <v>177.0</v>
      </c>
      <c r="G1101" s="152" t="str">
        <f>IFERROR(__xludf.DUMMYFUNCTION("TRIM(REGEXREPLACE(C1101, ""[0-9]+[a-f]?\."", """"))"),"")</f>
        <v/>
      </c>
      <c r="H1101" s="152" t="str">
        <f>IFERROR(__xludf.DUMMYFUNCTION("TRIM(REGEXREPLACE(D1101, ""[0-9]+[a-f]?\."", """"))"),"")</f>
        <v/>
      </c>
      <c r="I1101" s="152" t="str">
        <f>IFERROR(__xludf.DUMMYFUNCTION("TRIM(REGEXREPLACE(E1101, ""[0-9]+[a-f]?\."", """"))"),"")</f>
        <v/>
      </c>
      <c r="J1101" s="152" t="str">
        <f t="shared" ref="J1101:L1101" si="96">$F1101 &amp; ". " &amp;G1101</f>
        <v>177. </v>
      </c>
      <c r="K1101" s="152" t="str">
        <f t="shared" si="96"/>
        <v>177. </v>
      </c>
      <c r="L1101" s="152" t="str">
        <f t="shared" si="96"/>
        <v>177. </v>
      </c>
    </row>
    <row r="1102" hidden="1">
      <c r="A1102" s="58" t="s">
        <v>78</v>
      </c>
      <c r="B1102" s="272" t="s">
        <v>7807</v>
      </c>
      <c r="C1102" s="28"/>
      <c r="D1102" s="28"/>
      <c r="E1102" s="28"/>
      <c r="F1102" s="161">
        <v>178.0</v>
      </c>
      <c r="G1102" s="152" t="str">
        <f>IFERROR(__xludf.DUMMYFUNCTION("TRIM(REGEXREPLACE(C1102, ""[0-9]+[a-f]?\."", """"))"),"")</f>
        <v/>
      </c>
      <c r="H1102" s="152" t="str">
        <f>IFERROR(__xludf.DUMMYFUNCTION("TRIM(REGEXREPLACE(D1102, ""[0-9]+[a-f]?\."", """"))"),"")</f>
        <v/>
      </c>
      <c r="I1102" s="152" t="str">
        <f>IFERROR(__xludf.DUMMYFUNCTION("TRIM(REGEXREPLACE(E1102, ""[0-9]+[a-f]?\."", """"))"),"")</f>
        <v/>
      </c>
      <c r="J1102" s="152" t="str">
        <f t="shared" ref="J1102:L1102" si="97">$F1102 &amp; ". " &amp;G1102</f>
        <v>178. </v>
      </c>
      <c r="K1102" s="152" t="str">
        <f t="shared" si="97"/>
        <v>178. </v>
      </c>
      <c r="L1102" s="152" t="str">
        <f t="shared" si="97"/>
        <v>178. </v>
      </c>
    </row>
    <row r="1103" hidden="1">
      <c r="A1103" s="24"/>
      <c r="B1103" s="24"/>
      <c r="C1103" s="28"/>
      <c r="D1103" s="28"/>
      <c r="E1103" s="28"/>
      <c r="F1103" s="161">
        <v>179.0</v>
      </c>
      <c r="G1103" s="152" t="str">
        <f>IFERROR(__xludf.DUMMYFUNCTION("TRIM(REGEXREPLACE(C1103, ""[0-9]+[a-f]?\."", """"))"),"")</f>
        <v/>
      </c>
      <c r="H1103" s="152" t="str">
        <f>IFERROR(__xludf.DUMMYFUNCTION("TRIM(REGEXREPLACE(D1103, ""[0-9]+[a-f]?\."", """"))"),"")</f>
        <v/>
      </c>
      <c r="I1103" s="152" t="str">
        <f>IFERROR(__xludf.DUMMYFUNCTION("TRIM(REGEXREPLACE(E1103, ""[0-9]+[a-f]?\."", """"))"),"")</f>
        <v/>
      </c>
      <c r="J1103" s="152" t="str">
        <f t="shared" ref="J1103:L1103" si="98">$F1103 &amp; ". " &amp;G1103</f>
        <v>179. </v>
      </c>
      <c r="K1103" s="152" t="str">
        <f t="shared" si="98"/>
        <v>179. </v>
      </c>
      <c r="L1103" s="152" t="str">
        <f t="shared" si="98"/>
        <v>179. </v>
      </c>
    </row>
    <row r="1104" hidden="1">
      <c r="A1104" s="90" t="s">
        <v>134</v>
      </c>
      <c r="B1104" s="92" t="s">
        <v>7815</v>
      </c>
      <c r="C1104" s="28"/>
      <c r="D1104" s="28"/>
      <c r="E1104" s="28"/>
      <c r="F1104" s="161">
        <v>180.0</v>
      </c>
      <c r="G1104" s="152" t="str">
        <f>IFERROR(__xludf.DUMMYFUNCTION("TRIM(REGEXREPLACE(C1104, ""[0-9]+[a-f]?\."", """"))"),"")</f>
        <v/>
      </c>
      <c r="H1104" s="152" t="str">
        <f>IFERROR(__xludf.DUMMYFUNCTION("TRIM(REGEXREPLACE(D1104, ""[0-9]+[a-f]?\."", """"))"),"")</f>
        <v/>
      </c>
      <c r="I1104" s="152" t="str">
        <f>IFERROR(__xludf.DUMMYFUNCTION("TRIM(REGEXREPLACE(E1104, ""[0-9]+[a-f]?\."", """"))"),"")</f>
        <v/>
      </c>
      <c r="J1104" s="152" t="str">
        <f t="shared" ref="J1104:L1104" si="99">$F1104 &amp; ". " &amp;G1104</f>
        <v>180. </v>
      </c>
      <c r="K1104" s="152" t="str">
        <f t="shared" si="99"/>
        <v>180. </v>
      </c>
      <c r="L1104" s="152" t="str">
        <f t="shared" si="99"/>
        <v>180. </v>
      </c>
    </row>
    <row r="1105" hidden="1">
      <c r="A1105" s="58" t="s">
        <v>131</v>
      </c>
      <c r="B1105" s="58" t="s">
        <v>7819</v>
      </c>
      <c r="C1105" s="28" t="s">
        <v>7820</v>
      </c>
      <c r="D1105" s="28"/>
      <c r="E1105" s="28"/>
      <c r="F1105" s="161">
        <v>181.0</v>
      </c>
      <c r="G1105" s="152" t="str">
        <f>IFERROR(__xludf.DUMMYFUNCTION("TRIM(REGEXREPLACE(C1105, ""[0-9]+[a-f]?\."", """"))"),"HoH Questionnaire")</f>
        <v>HoH Questionnaire</v>
      </c>
      <c r="H1105" s="152" t="str">
        <f>IFERROR(__xludf.DUMMYFUNCTION("TRIM(REGEXREPLACE(D1105, ""[0-9]+[a-f]?\."", """"))"),"")</f>
        <v/>
      </c>
      <c r="I1105" s="152" t="str">
        <f>IFERROR(__xludf.DUMMYFUNCTION("TRIM(REGEXREPLACE(E1105, ""[0-9]+[a-f]?\."", """"))"),"")</f>
        <v/>
      </c>
      <c r="J1105" s="152" t="str">
        <f t="shared" ref="J1105:L1105" si="100">$F1105 &amp; ". " &amp;G1105</f>
        <v>181. HoH Questionnaire</v>
      </c>
      <c r="K1105" s="152" t="str">
        <f t="shared" si="100"/>
        <v>181. </v>
      </c>
      <c r="L1105" s="152" t="str">
        <f t="shared" si="100"/>
        <v>181. </v>
      </c>
    </row>
    <row r="1106">
      <c r="A1106" s="166" t="s">
        <v>41</v>
      </c>
      <c r="B1106" s="299" t="s">
        <v>7821</v>
      </c>
      <c r="C1106" s="28" t="s">
        <v>7822</v>
      </c>
      <c r="D1106" s="28" t="s">
        <v>7822</v>
      </c>
      <c r="E1106" s="28" t="s">
        <v>7822</v>
      </c>
      <c r="F1106" s="161">
        <v>501.0</v>
      </c>
      <c r="G1106" s="152" t="str">
        <f>IFERROR(__xludf.DUMMYFUNCTION("TRIM(REGEXREPLACE(C1106, ""[0-9]+[a-f]?\."", """"))"),"HoH Questions")</f>
        <v>HoH Questions</v>
      </c>
      <c r="H1106" s="152" t="str">
        <f>IFERROR(__xludf.DUMMYFUNCTION("TRIM(REGEXREPLACE(D1106, ""[0-9]+[a-f]?\."", """"))"),"HoH Questions")</f>
        <v>HoH Questions</v>
      </c>
      <c r="I1106" s="152" t="str">
        <f>IFERROR(__xludf.DUMMYFUNCTION("TRIM(REGEXREPLACE(E1106, ""[0-9]+[a-f]?\."", """"))"),"HoH Questions")</f>
        <v>HoH Questions</v>
      </c>
      <c r="J1106" s="152" t="s">
        <v>7825</v>
      </c>
      <c r="K1106" s="152" t="s">
        <v>7825</v>
      </c>
      <c r="L1106" s="152" t="s">
        <v>7825</v>
      </c>
    </row>
    <row r="1107" hidden="1">
      <c r="A1107" s="90" t="s">
        <v>134</v>
      </c>
      <c r="B1107" s="92" t="s">
        <v>7828</v>
      </c>
      <c r="C1107" s="28"/>
      <c r="D1107" s="28"/>
      <c r="E1107" s="28"/>
      <c r="F1107" s="161">
        <v>605.0</v>
      </c>
      <c r="G1107" s="152" t="str">
        <f>IFERROR(__xludf.DUMMYFUNCTION("TRIM(REGEXREPLACE(C1107, ""[0-9]+[a-f]?\."", """"))"),"")</f>
        <v/>
      </c>
      <c r="H1107" s="152" t="str">
        <f>IFERROR(__xludf.DUMMYFUNCTION("TRIM(REGEXREPLACE(D1107, ""[0-9]+[a-f]?\."", """"))"),"")</f>
        <v/>
      </c>
      <c r="I1107" s="152" t="str">
        <f>IFERROR(__xludf.DUMMYFUNCTION("TRIM(REGEXREPLACE(E1107, ""[0-9]+[a-f]?\."", """"))"),"")</f>
        <v/>
      </c>
      <c r="J1107" s="152" t="s">
        <v>7829</v>
      </c>
      <c r="K1107" s="152" t="s">
        <v>7830</v>
      </c>
      <c r="L1107" s="152" t="s">
        <v>7831</v>
      </c>
    </row>
    <row r="1108">
      <c r="A1108" s="166" t="s">
        <v>41</v>
      </c>
      <c r="B1108" s="167" t="s">
        <v>7832</v>
      </c>
      <c r="C1108" s="28" t="s">
        <v>7833</v>
      </c>
      <c r="D1108" s="28" t="s">
        <v>7834</v>
      </c>
      <c r="E1108" s="28" t="s">
        <v>7835</v>
      </c>
      <c r="F1108" s="161">
        <v>502.0</v>
      </c>
      <c r="G1108" s="152" t="str">
        <f>IFERROR(__xludf.DUMMYFUNCTION("TRIM(REGEXREPLACE(C1108, ""[0-9]+[a-f]?\."", """"))"),"A household is a group of people, related or unrelated, who live together in the same housing, pool their resources together, share their meals and recognize the authority of the same one person who is the head of household.")</f>
        <v>A household is a group of people, related or unrelated, who live together in the same housing, pool their resources together, share their meals and recognize the authority of the same one person who is the head of household.</v>
      </c>
      <c r="H1108" s="152" t="str">
        <f>IFERROR(__xludf.DUMMYFUNCTION("TRIM(REGEXREPLACE(D1108, ""[0-9]+[a-f]?\."", """"))"),"Un ménage est l’ensemble des personnes apparentées ou non qui vivent habituellement dans un même logement, mettent en commun leurs ressources, partagent leurs repas, et reconnaissent l’autorité d’une seule et même personne appelée chef de ménage.")</f>
        <v>Un ménage est l’ensemble des personnes apparentées ou non qui vivent habituellement dans un même logement, mettent en commun leurs ressources, partagent leurs repas, et reconnaissent l’autorité d’une seule et même personne appelée chef de ménage.</v>
      </c>
      <c r="I1108" s="152" t="str">
        <f>IFERROR(__xludf.DUMMYFUNCTION("TRIM(REGEXREPLACE(E1108, ""[0-9]+[a-f]?\."", """"))"),"Gida shine mutanen da ko dangi ko a'a wanda suke rayuwa cikin gida guda, sun sa dukiyar su tare, suna cin abinci tare, kuma sun yarda da shugabancin mutum ɗaya wanda a ke ce ma mai gida.")</f>
        <v>Gida shine mutanen da ko dangi ko a'a wanda suke rayuwa cikin gida guda, sun sa dukiyar su tare, suna cin abinci tare, kuma sun yarda da shugabancin mutum ɗaya wanda a ke ce ma mai gida.</v>
      </c>
      <c r="J1108" s="152" t="s">
        <v>7836</v>
      </c>
      <c r="K1108" s="152" t="s">
        <v>7837</v>
      </c>
      <c r="L1108" s="152" t="s">
        <v>7838</v>
      </c>
    </row>
    <row r="1109">
      <c r="A1109" s="68" t="s">
        <v>463</v>
      </c>
      <c r="B1109" s="169" t="s">
        <v>7839</v>
      </c>
      <c r="C1109" s="28" t="s">
        <v>7840</v>
      </c>
      <c r="D1109" s="28" t="s">
        <v>7841</v>
      </c>
      <c r="E1109" s="28" t="s">
        <v>7842</v>
      </c>
      <c r="F1109" s="161">
        <v>503.0</v>
      </c>
      <c r="G1109" s="152" t="str">
        <f>IFERROR(__xludf.DUMMYFUNCTION("TRIM(REGEXREPLACE(C1109, ""[0-9]+[a-f]?\."", """"))"),"Are there new members in the household since we last spoke to you? For reference, these are the members you mentioned:
 ${hoh_roster_list}")</f>
        <v>Are there new members in the household since we last spoke to you? For reference, these are the members you mentioned:
 ${hoh_roster_list}</v>
      </c>
      <c r="H1109" s="152" t="str">
        <f>IFERROR(__xludf.DUMMYFUNCTION("TRIM(REGEXREPLACE(D1109, ""[0-9]+[a-f]?\."", """"))"),"Y a-t-il de nouveaux membres dans le foyer depuis notre dernière conversation ? Pour référence, voici les membres que vous avez mentionnés : 
 ${hoh_roster_list}")</f>
        <v>Y a-t-il de nouveaux membres dans le foyer depuis notre dernière conversation ? Pour référence, voici les membres que vous avez mentionnés : 
 ${hoh_roster_list}</v>
      </c>
      <c r="I1109" s="152" t="str">
        <f>IFERROR(__xludf.DUMMYFUNCTION("TRIM(REGEXREPLACE(E1109, ""[0-9]+[a-f]?\."", """"))"),"Shin akwai sabbin membobi a gidan tun hirar mu ta ƙarshe? Don tunatarwa, waɗannan su ne membobin da ka ambata: 
 ${hoh_roster_list}")</f>
        <v>Shin akwai sabbin membobi a gidan tun hirar mu ta ƙarshe? Don tunatarwa, waɗannan su ne membobin da ka ambata: 
 ${hoh_roster_list}</v>
      </c>
      <c r="J1109" s="152" t="s">
        <v>7844</v>
      </c>
      <c r="K1109" s="152" t="s">
        <v>7845</v>
      </c>
      <c r="L1109" s="152" t="s">
        <v>7846</v>
      </c>
    </row>
    <row r="1110">
      <c r="A1110" s="170" t="s">
        <v>263</v>
      </c>
      <c r="B1110" s="171" t="s">
        <v>7847</v>
      </c>
      <c r="C1110" s="28" t="s">
        <v>7848</v>
      </c>
      <c r="D1110" s="28" t="s">
        <v>7849</v>
      </c>
      <c r="E1110" s="28" t="s">
        <v>7850</v>
      </c>
      <c r="F1110" s="161">
        <v>504.0</v>
      </c>
      <c r="G1110" s="152" t="str">
        <f>IFERROR(__xludf.DUMMYFUNCTION("TRIM(REGEXREPLACE(C1110, ""[0-9]+[a-f]?\."", """"))"),"How many?")</f>
        <v>How many?</v>
      </c>
      <c r="H1110" s="152" t="str">
        <f>IFERROR(__xludf.DUMMYFUNCTION("TRIM(REGEXREPLACE(D1110, ""[0-9]+[a-f]?\."", """"))"),"Combien?")</f>
        <v>Combien?</v>
      </c>
      <c r="I1110" s="152" t="str">
        <f>IFERROR(__xludf.DUMMYFUNCTION("TRIM(REGEXREPLACE(E1110, ""[0-9]+[a-f]?\."", """"))"),"Nawa?")</f>
        <v>Nawa?</v>
      </c>
      <c r="J1110" s="152" t="s">
        <v>7851</v>
      </c>
      <c r="K1110" s="152" t="s">
        <v>7852</v>
      </c>
      <c r="L1110" s="152" t="s">
        <v>7853</v>
      </c>
    </row>
    <row r="1111" hidden="1">
      <c r="A1111" s="174" t="s">
        <v>698</v>
      </c>
      <c r="B1111" s="175" t="s">
        <v>7854</v>
      </c>
      <c r="C1111" s="28" t="s">
        <v>7855</v>
      </c>
      <c r="D1111" s="28"/>
      <c r="E1111" s="28"/>
      <c r="F1111" s="161">
        <v>609.0</v>
      </c>
      <c r="G1111" s="152" t="str">
        <f>IFERROR(__xludf.DUMMYFUNCTION("TRIM(REGEXREPLACE(C1111, ""[0-9]+[a-f]?\."", """"))"),"Add new members to existing roster")</f>
        <v>Add new members to existing roster</v>
      </c>
      <c r="H1111" s="152" t="str">
        <f>IFERROR(__xludf.DUMMYFUNCTION("TRIM(REGEXREPLACE(D1111, ""[0-9]+[a-f]?\."", """"))"),"")</f>
        <v/>
      </c>
      <c r="I1111" s="152" t="str">
        <f>IFERROR(__xludf.DUMMYFUNCTION("TRIM(REGEXREPLACE(E1111, ""[0-9]+[a-f]?\."", """"))"),"")</f>
        <v/>
      </c>
      <c r="J1111" s="152" t="s">
        <v>7857</v>
      </c>
      <c r="K1111" s="152" t="s">
        <v>7858</v>
      </c>
      <c r="L1111" s="152" t="s">
        <v>7859</v>
      </c>
    </row>
    <row r="1112" hidden="1">
      <c r="A1112" s="90" t="s">
        <v>78</v>
      </c>
      <c r="B1112" s="92" t="s">
        <v>7862</v>
      </c>
      <c r="C1112" s="28" t="s">
        <v>7864</v>
      </c>
      <c r="D1112" s="28"/>
      <c r="E1112" s="28"/>
      <c r="F1112" s="161">
        <v>610.0</v>
      </c>
      <c r="G1112" s="152" t="str">
        <f>IFERROR(__xludf.DUMMYFUNCTION("TRIM(REGEXREPLACE(C1112, ""[0-9]+[a-f]?\."", """"))"),"Index")</f>
        <v>Index</v>
      </c>
      <c r="H1112" s="152" t="str">
        <f>IFERROR(__xludf.DUMMYFUNCTION("TRIM(REGEXREPLACE(D1112, ""[0-9]+[a-f]?\."", """"))"),"")</f>
        <v/>
      </c>
      <c r="I1112" s="152" t="str">
        <f>IFERROR(__xludf.DUMMYFUNCTION("TRIM(REGEXREPLACE(E1112, ""[0-9]+[a-f]?\."", """"))"),"")</f>
        <v/>
      </c>
      <c r="J1112" s="152" t="s">
        <v>7865</v>
      </c>
      <c r="K1112" s="152" t="s">
        <v>7867</v>
      </c>
      <c r="L1112" s="152" t="s">
        <v>7868</v>
      </c>
    </row>
    <row r="1113" hidden="1">
      <c r="A1113" s="90" t="s">
        <v>78</v>
      </c>
      <c r="B1113" s="92" t="s">
        <v>7869</v>
      </c>
      <c r="C1113" s="28"/>
      <c r="D1113" s="28"/>
      <c r="E1113" s="28"/>
      <c r="F1113" s="161">
        <v>611.0</v>
      </c>
      <c r="G1113" s="152" t="str">
        <f>IFERROR(__xludf.DUMMYFUNCTION("TRIM(REGEXREPLACE(C1113, ""[0-9]+[a-f]?\."", """"))"),"")</f>
        <v/>
      </c>
      <c r="H1113" s="152" t="str">
        <f>IFERROR(__xludf.DUMMYFUNCTION("TRIM(REGEXREPLACE(D1113, ""[0-9]+[a-f]?\."", """"))"),"")</f>
        <v/>
      </c>
      <c r="I1113" s="152" t="str">
        <f>IFERROR(__xludf.DUMMYFUNCTION("TRIM(REGEXREPLACE(E1113, ""[0-9]+[a-f]?\."", """"))"),"")</f>
        <v/>
      </c>
      <c r="J1113" s="152" t="s">
        <v>7870</v>
      </c>
      <c r="K1113" s="152" t="s">
        <v>7871</v>
      </c>
      <c r="L1113" s="152" t="s">
        <v>7872</v>
      </c>
    </row>
    <row r="1114" hidden="1">
      <c r="A1114" s="90" t="s">
        <v>78</v>
      </c>
      <c r="B1114" s="92" t="s">
        <v>7876</v>
      </c>
      <c r="C1114" s="28"/>
      <c r="D1114" s="28"/>
      <c r="E1114" s="28"/>
      <c r="F1114" s="161">
        <v>612.0</v>
      </c>
      <c r="G1114" s="152" t="str">
        <f>IFERROR(__xludf.DUMMYFUNCTION("TRIM(REGEXREPLACE(C1114, ""[0-9]+[a-f]?\."", """"))"),"")</f>
        <v/>
      </c>
      <c r="H1114" s="152" t="str">
        <f>IFERROR(__xludf.DUMMYFUNCTION("TRIM(REGEXREPLACE(D1114, ""[0-9]+[a-f]?\."", """"))"),"")</f>
        <v/>
      </c>
      <c r="I1114" s="152" t="str">
        <f>IFERROR(__xludf.DUMMYFUNCTION("TRIM(REGEXREPLACE(E1114, ""[0-9]+[a-f]?\."", """"))"),"")</f>
        <v/>
      </c>
      <c r="J1114" s="152" t="s">
        <v>7877</v>
      </c>
      <c r="K1114" s="152" t="s">
        <v>7878</v>
      </c>
      <c r="L1114" s="152" t="s">
        <v>7879</v>
      </c>
    </row>
    <row r="1115" hidden="1">
      <c r="A1115" s="90" t="s">
        <v>78</v>
      </c>
      <c r="B1115" s="92" t="s">
        <v>7880</v>
      </c>
      <c r="C1115" s="28"/>
      <c r="D1115" s="28"/>
      <c r="E1115" s="28"/>
      <c r="F1115" s="161">
        <v>693.0</v>
      </c>
      <c r="G1115" s="152" t="str">
        <f>IFERROR(__xludf.DUMMYFUNCTION("TRIM(REGEXREPLACE(C1115, ""[0-9]+[a-f]?\."", """"))"),"")</f>
        <v/>
      </c>
      <c r="H1115" s="152" t="str">
        <f>IFERROR(__xludf.DUMMYFUNCTION("TRIM(REGEXREPLACE(D1115, ""[0-9]+[a-f]?\."", """"))"),"")</f>
        <v/>
      </c>
      <c r="I1115" s="152" t="str">
        <f>IFERROR(__xludf.DUMMYFUNCTION("TRIM(REGEXREPLACE(E1115, ""[0-9]+[a-f]?\."", """"))"),"")</f>
        <v/>
      </c>
      <c r="J1115" s="152" t="str">
        <f t="shared" ref="J1115:L1115" si="101">$F1115&amp;". "&amp;G1115</f>
        <v>693. </v>
      </c>
      <c r="K1115" s="152" t="str">
        <f t="shared" si="101"/>
        <v>693. </v>
      </c>
      <c r="L1115" s="152" t="str">
        <f t="shared" si="101"/>
        <v>693. </v>
      </c>
    </row>
    <row r="1116" hidden="1">
      <c r="A1116" s="140" t="s">
        <v>131</v>
      </c>
      <c r="B1116" s="164" t="s">
        <v>7884</v>
      </c>
      <c r="C1116" s="28" t="s">
        <v>7885</v>
      </c>
      <c r="D1116" s="28"/>
      <c r="E1116" s="28"/>
      <c r="F1116" s="161">
        <v>694.0</v>
      </c>
      <c r="G1116" s="152" t="str">
        <f>IFERROR(__xludf.DUMMYFUNCTION("TRIM(REGEXREPLACE(C1116, ""[0-9]+[a-f]?\."", """"))"),"Name")</f>
        <v>Name</v>
      </c>
      <c r="H1116" s="152" t="str">
        <f>IFERROR(__xludf.DUMMYFUNCTION("TRIM(REGEXREPLACE(D1116, ""[0-9]+[a-f]?\."", """"))"),"")</f>
        <v/>
      </c>
      <c r="I1116" s="152" t="str">
        <f>IFERROR(__xludf.DUMMYFUNCTION("TRIM(REGEXREPLACE(E1116, ""[0-9]+[a-f]?\."", """"))"),"")</f>
        <v/>
      </c>
      <c r="J1116" s="152" t="str">
        <f t="shared" ref="J1116:L1116" si="102">$F1116&amp;". "&amp;G1116</f>
        <v>694. Name</v>
      </c>
      <c r="K1116" s="152" t="str">
        <f t="shared" si="102"/>
        <v>694. </v>
      </c>
      <c r="L1116" s="152" t="str">
        <f t="shared" si="102"/>
        <v>694. </v>
      </c>
    </row>
    <row r="1117">
      <c r="A1117" s="179" t="s">
        <v>246</v>
      </c>
      <c r="B1117" s="180" t="s">
        <v>7889</v>
      </c>
      <c r="C1117" s="28" t="s">
        <v>7890</v>
      </c>
      <c r="D1117" s="28" t="s">
        <v>7891</v>
      </c>
      <c r="E1117" s="28" t="s">
        <v>7892</v>
      </c>
      <c r="F1117" s="161">
        <v>505.0</v>
      </c>
      <c r="G1117" s="152" t="str">
        <f>IFERROR(__xludf.DUMMYFUNCTION("TRIM(REGEXREPLACE(C1117, ""[0-9]+[a-f]?\."", """"))"),"What is the last name of ${hoh_hhtext}?")</f>
        <v>What is the last name of ${hoh_hhtext}?</v>
      </c>
      <c r="H1117" s="152" t="str">
        <f>IFERROR(__xludf.DUMMYFUNCTION("TRIM(REGEXREPLACE(D1117, ""[0-9]+[a-f]?\."", """"))"),"Quel est le nom de ${hoh_hhtextfrench} ?")</f>
        <v>Quel est le nom de ${hoh_hhtextfrench} ?</v>
      </c>
      <c r="I1117" s="152" t="str">
        <f>IFERROR(__xludf.DUMMYFUNCTION("TRIM(REGEXREPLACE(E1117, ""[0-9]+[a-f]?\."", """"))"),"Menene sunan uban ${hoh_hhtexthausa}?")</f>
        <v>Menene sunan uban ${hoh_hhtexthausa}?</v>
      </c>
      <c r="J1117" s="152" t="s">
        <v>7893</v>
      </c>
      <c r="K1117" s="152" t="s">
        <v>7894</v>
      </c>
      <c r="L1117" s="152" t="s">
        <v>7895</v>
      </c>
    </row>
    <row r="1118">
      <c r="A1118" s="179" t="s">
        <v>246</v>
      </c>
      <c r="B1118" s="180" t="s">
        <v>7896</v>
      </c>
      <c r="C1118" s="28" t="s">
        <v>7897</v>
      </c>
      <c r="D1118" s="28" t="s">
        <v>7898</v>
      </c>
      <c r="E1118" s="28" t="s">
        <v>7900</v>
      </c>
      <c r="F1118" s="161">
        <v>506.0</v>
      </c>
      <c r="G1118" s="152" t="str">
        <f>IFERROR(__xludf.DUMMYFUNCTION("TRIM(REGEXREPLACE(C1118, ""[0-9]+[a-f]?\."", """"))"),"What is the first name of ${hoh_hhtext}?")</f>
        <v>What is the first name of ${hoh_hhtext}?</v>
      </c>
      <c r="H1118" s="152" t="str">
        <f>IFERROR(__xludf.DUMMYFUNCTION("TRIM(REGEXREPLACE(D1118, ""[0-9]+[a-f]?\."", """"))"),"Quel est le prenom de cette personne ${hoh_hhtextfrench} ?")</f>
        <v>Quel est le prenom de cette personne ${hoh_hhtextfrench} ?</v>
      </c>
      <c r="I1118" s="152" t="str">
        <f>IFERROR(__xludf.DUMMYFUNCTION("TRIM(REGEXREPLACE(E1118, ""[0-9]+[a-f]?\."", """"))"),"Menene sunan ${hoh_hhtexthausa}?")</f>
        <v>Menene sunan ${hoh_hhtexthausa}?</v>
      </c>
      <c r="J1118" s="152" t="s">
        <v>7903</v>
      </c>
      <c r="K1118" s="152" t="s">
        <v>7904</v>
      </c>
      <c r="L1118" s="152" t="s">
        <v>7905</v>
      </c>
    </row>
    <row r="1119" hidden="1">
      <c r="A1119" s="140" t="s">
        <v>237</v>
      </c>
      <c r="B1119" s="191" t="s">
        <v>7884</v>
      </c>
      <c r="C1119" s="28"/>
      <c r="D1119" s="28"/>
      <c r="E1119" s="28"/>
      <c r="F1119" s="161">
        <v>697.0</v>
      </c>
      <c r="G1119" s="152" t="str">
        <f>IFERROR(__xludf.DUMMYFUNCTION("TRIM(REGEXREPLACE(C1119, ""[0-9]+[a-f]?\."", """"))"),"")</f>
        <v/>
      </c>
      <c r="H1119" s="152" t="str">
        <f>IFERROR(__xludf.DUMMYFUNCTION("TRIM(REGEXREPLACE(D1119, ""[0-9]+[a-f]?\."", """"))"),"")</f>
        <v/>
      </c>
      <c r="I1119" s="152" t="str">
        <f>IFERROR(__xludf.DUMMYFUNCTION("TRIM(REGEXREPLACE(E1119, ""[0-9]+[a-f]?\."", """"))"),"")</f>
        <v/>
      </c>
      <c r="J1119" s="152" t="str">
        <f t="shared" ref="J1119:L1119" si="103">$F1119&amp;". "&amp;G1119</f>
        <v>697. </v>
      </c>
      <c r="K1119" s="152" t="str">
        <f t="shared" si="103"/>
        <v>697. </v>
      </c>
      <c r="L1119" s="152" t="str">
        <f t="shared" si="103"/>
        <v>697. </v>
      </c>
    </row>
    <row r="1120" hidden="1">
      <c r="A1120" s="90" t="s">
        <v>78</v>
      </c>
      <c r="B1120" s="92" t="s">
        <v>7906</v>
      </c>
      <c r="C1120" s="28"/>
      <c r="D1120" s="28"/>
      <c r="E1120" s="28"/>
      <c r="F1120" s="161">
        <v>183.0</v>
      </c>
      <c r="G1120" s="152" t="str">
        <f>IFERROR(__xludf.DUMMYFUNCTION("TRIM(REGEXREPLACE(C1120, ""[0-9]+[a-f]?\."", """"))"),"")</f>
        <v/>
      </c>
      <c r="H1120" s="152" t="str">
        <f>IFERROR(__xludf.DUMMYFUNCTION("TRIM(REGEXREPLACE(D1120, ""[0-9]+[a-f]?\."", """"))"),"")</f>
        <v/>
      </c>
      <c r="I1120" s="152" t="str">
        <f>IFERROR(__xludf.DUMMYFUNCTION("TRIM(REGEXREPLACE(E1120, ""[0-9]+[a-f]?\."", """"))"),"")</f>
        <v/>
      </c>
      <c r="J1120" s="152" t="str">
        <f t="shared" ref="J1120:L1120" si="104">$F1120 &amp; ". " &amp;G1120</f>
        <v>183. </v>
      </c>
      <c r="K1120" s="152" t="str">
        <f t="shared" si="104"/>
        <v>183. </v>
      </c>
      <c r="L1120" s="152" t="str">
        <f t="shared" si="104"/>
        <v>183. </v>
      </c>
    </row>
    <row r="1121">
      <c r="A1121" s="68" t="s">
        <v>7910</v>
      </c>
      <c r="B1121" s="169" t="s">
        <v>7911</v>
      </c>
      <c r="C1121" s="28" t="s">
        <v>7912</v>
      </c>
      <c r="D1121" s="28" t="s">
        <v>7913</v>
      </c>
      <c r="E1121" s="28" t="s">
        <v>7914</v>
      </c>
      <c r="F1121" s="161">
        <v>507.0</v>
      </c>
      <c r="G1121" s="152" t="str">
        <f>IFERROR(__xludf.DUMMYFUNCTION("TRIM(REGEXREPLACE(C1121, ""[0-9]+[a-f]?\."", """"))"),"What is ${hoh_new_mem_name}'s relationship to you, the household head?")</f>
        <v>What is ${hoh_new_mem_name}'s relationship to you, the household head?</v>
      </c>
      <c r="H1121" s="152" t="str">
        <f>IFERROR(__xludf.DUMMYFUNCTION("TRIM(REGEXREPLACE(D1121, ""[0-9]+[a-f]?\."", """"))"),"Quelle est la relation entre ${hoh_new_mem_name} et vous, le chef de ménage ?")</f>
        <v>Quelle est la relation entre ${hoh_new_mem_name} et vous, le chef de ménage ?</v>
      </c>
      <c r="I1121" s="152" t="str">
        <f>IFERROR(__xludf.DUMMYFUNCTION("TRIM(REGEXREPLACE(E1121, ""[0-9]+[a-f]?\."", """"))"),"Menene alaƙa tsakanin ${hoh_new_mem_name} da, mai gida?")</f>
        <v>Menene alaƙa tsakanin ${hoh_new_mem_name} da, mai gida?</v>
      </c>
      <c r="J1121" s="152" t="s">
        <v>7918</v>
      </c>
      <c r="K1121" s="152" t="s">
        <v>7919</v>
      </c>
      <c r="L1121" s="152" t="s">
        <v>7920</v>
      </c>
    </row>
    <row r="1122">
      <c r="A1122" s="68" t="s">
        <v>7921</v>
      </c>
      <c r="B1122" s="169" t="s">
        <v>7922</v>
      </c>
      <c r="C1122" s="28" t="s">
        <v>7923</v>
      </c>
      <c r="D1122" s="28" t="s">
        <v>7924</v>
      </c>
      <c r="E1122" s="28" t="s">
        <v>7925</v>
      </c>
      <c r="F1122" s="161">
        <v>508.0</v>
      </c>
      <c r="G1122" s="152" t="str">
        <f>IFERROR(__xludf.DUMMYFUNCTION("TRIM(REGEXREPLACE(C1122, ""[0-9]+[a-f]?\."", """"))"),"What is ${hoh_new_mem_name}'s sex?")</f>
        <v>What is ${hoh_new_mem_name}'s sex?</v>
      </c>
      <c r="H1122" s="152" t="str">
        <f>IFERROR(__xludf.DUMMYFUNCTION("TRIM(REGEXREPLACE(D1122, ""[0-9]+[a-f]?\."", """"))"),"Quel est le sexe de ${hoh_new_mem_name} ?")</f>
        <v>Quel est le sexe de ${hoh_new_mem_name} ?</v>
      </c>
      <c r="I1122" s="152" t="str">
        <f>IFERROR(__xludf.DUMMYFUNCTION("TRIM(REGEXREPLACE(E1122, ""[0-9]+[a-f]?\."", """"))"),"Menene jinsin ${hoh_new_mem_name}?")</f>
        <v>Menene jinsin ${hoh_new_mem_name}?</v>
      </c>
      <c r="J1122" s="152" t="s">
        <v>7926</v>
      </c>
      <c r="K1122" s="152" t="s">
        <v>7927</v>
      </c>
      <c r="L1122" s="152" t="s">
        <v>7928</v>
      </c>
    </row>
    <row r="1123">
      <c r="A1123" s="170" t="s">
        <v>263</v>
      </c>
      <c r="B1123" s="171" t="s">
        <v>7929</v>
      </c>
      <c r="C1123" s="28" t="s">
        <v>7931</v>
      </c>
      <c r="D1123" s="28" t="s">
        <v>7933</v>
      </c>
      <c r="E1123" s="28" t="s">
        <v>7936</v>
      </c>
      <c r="F1123" s="161">
        <v>509.0</v>
      </c>
      <c r="G1123" s="152" t="str">
        <f>IFERROR(__xludf.DUMMYFUNCTION("TRIM(REGEXREPLACE(C1123, ""[0-9]+[a-f]?\."", """"))"),"What is ${hoh_new_mem_name}'s age?")</f>
        <v>What is ${hoh_new_mem_name}'s age?</v>
      </c>
      <c r="H1123" s="152" t="str">
        <f>IFERROR(__xludf.DUMMYFUNCTION("TRIM(REGEXREPLACE(D1123, ""[0-9]+[a-f]?\."", """"))"),"Quel âge a ${hoh_new_mem_name} ?")</f>
        <v>Quel âge a ${hoh_new_mem_name} ?</v>
      </c>
      <c r="I1123" s="152" t="str">
        <f>IFERROR(__xludf.DUMMYFUNCTION("TRIM(REGEXREPLACE(E1123, ""[0-9]+[a-f]?\."", """"))"),"${hoh_new_mem_name} Shekarun shi/ta nawa?")</f>
        <v>${hoh_new_mem_name} Shekarun shi/ta nawa?</v>
      </c>
      <c r="J1123" s="152" t="s">
        <v>7937</v>
      </c>
      <c r="K1123" s="152" t="s">
        <v>7938</v>
      </c>
      <c r="L1123" s="152" t="s">
        <v>7939</v>
      </c>
    </row>
    <row r="1124" hidden="1">
      <c r="A1124" s="174" t="s">
        <v>1015</v>
      </c>
      <c r="B1124" s="204" t="s">
        <v>7854</v>
      </c>
      <c r="C1124" s="28" t="s">
        <v>7855</v>
      </c>
      <c r="D1124" s="28"/>
      <c r="E1124" s="28"/>
      <c r="F1124" s="161">
        <v>187.0</v>
      </c>
      <c r="G1124" s="152" t="str">
        <f>IFERROR(__xludf.DUMMYFUNCTION("TRIM(REGEXREPLACE(C1124, ""[0-9]+[a-f]?\."", """"))"),"Add new members to existing roster")</f>
        <v>Add new members to existing roster</v>
      </c>
      <c r="H1124" s="152" t="str">
        <f>IFERROR(__xludf.DUMMYFUNCTION("TRIM(REGEXREPLACE(D1124, ""[0-9]+[a-f]?\."", """"))"),"")</f>
        <v/>
      </c>
      <c r="I1124" s="152" t="str">
        <f>IFERROR(__xludf.DUMMYFUNCTION("TRIM(REGEXREPLACE(E1124, ""[0-9]+[a-f]?\."", """"))"),"")</f>
        <v/>
      </c>
      <c r="J1124" s="152" t="str">
        <f t="shared" ref="J1124:L1124" si="105">$F1124 &amp; ". " &amp;G1124</f>
        <v>187. Add new members to existing roster</v>
      </c>
      <c r="K1124" s="152" t="str">
        <f t="shared" si="105"/>
        <v>187. </v>
      </c>
      <c r="L1124" s="152" t="str">
        <f t="shared" si="105"/>
        <v>187. </v>
      </c>
    </row>
    <row r="1125" hidden="1">
      <c r="A1125" s="90" t="s">
        <v>134</v>
      </c>
      <c r="B1125" s="92" t="s">
        <v>7943</v>
      </c>
      <c r="C1125" s="28"/>
      <c r="D1125" s="28"/>
      <c r="E1125" s="28"/>
      <c r="F1125" s="161">
        <v>188.0</v>
      </c>
      <c r="G1125" s="152" t="str">
        <f>IFERROR(__xludf.DUMMYFUNCTION("TRIM(REGEXREPLACE(C1125, ""[0-9]+[a-f]?\."", """"))"),"")</f>
        <v/>
      </c>
      <c r="H1125" s="152" t="str">
        <f>IFERROR(__xludf.DUMMYFUNCTION("TRIM(REGEXREPLACE(D1125, ""[0-9]+[a-f]?\."", """"))"),"")</f>
        <v/>
      </c>
      <c r="I1125" s="152" t="str">
        <f>IFERROR(__xludf.DUMMYFUNCTION("TRIM(REGEXREPLACE(E1125, ""[0-9]+[a-f]?\."", """"))"),"")</f>
        <v/>
      </c>
      <c r="J1125" s="152" t="str">
        <f t="shared" ref="J1125:L1125" si="106">$F1125 &amp; ". " &amp;G1125</f>
        <v>188. </v>
      </c>
      <c r="K1125" s="152" t="str">
        <f t="shared" si="106"/>
        <v>188. </v>
      </c>
      <c r="L1125" s="152" t="str">
        <f t="shared" si="106"/>
        <v>188. </v>
      </c>
    </row>
    <row r="1126" hidden="1">
      <c r="A1126" s="90" t="s">
        <v>78</v>
      </c>
      <c r="B1126" s="92" t="s">
        <v>7947</v>
      </c>
      <c r="C1126" s="28"/>
      <c r="D1126" s="28"/>
      <c r="E1126" s="28"/>
      <c r="F1126" s="161">
        <v>667.0</v>
      </c>
      <c r="G1126" s="152" t="str">
        <f>IFERROR(__xludf.DUMMYFUNCTION("TRIM(REGEXREPLACE(C1126, ""[0-9]+[a-f]?\."", """"))"),"")</f>
        <v/>
      </c>
      <c r="H1126" s="152" t="str">
        <f>IFERROR(__xludf.DUMMYFUNCTION("TRIM(REGEXREPLACE(D1126, ""[0-9]+[a-f]?\."", """"))"),"")</f>
        <v/>
      </c>
      <c r="I1126" s="152" t="str">
        <f>IFERROR(__xludf.DUMMYFUNCTION("TRIM(REGEXREPLACE(E1126, ""[0-9]+[a-f]?\."", """"))"),"")</f>
        <v/>
      </c>
      <c r="J1126" s="152" t="s">
        <v>7948</v>
      </c>
      <c r="K1126" s="152" t="s">
        <v>7949</v>
      </c>
      <c r="L1126" s="152" t="s">
        <v>7950</v>
      </c>
    </row>
    <row r="1127" hidden="1">
      <c r="A1127" s="90" t="s">
        <v>78</v>
      </c>
      <c r="B1127" s="154" t="s">
        <v>7952</v>
      </c>
      <c r="C1127" s="28"/>
      <c r="D1127" s="28"/>
      <c r="E1127" s="28"/>
      <c r="F1127" s="161">
        <v>189.0</v>
      </c>
      <c r="G1127" s="152" t="str">
        <f>IFERROR(__xludf.DUMMYFUNCTION("TRIM(REGEXREPLACE(C1127, ""[0-9]+[a-f]?\."", """"))"),"")</f>
        <v/>
      </c>
      <c r="H1127" s="152" t="str">
        <f>IFERROR(__xludf.DUMMYFUNCTION("TRIM(REGEXREPLACE(D1127, ""[0-9]+[a-f]?\."", """"))"),"")</f>
        <v/>
      </c>
      <c r="I1127" s="152" t="str">
        <f>IFERROR(__xludf.DUMMYFUNCTION("TRIM(REGEXREPLACE(E1127, ""[0-9]+[a-f]?\."", """"))"),"")</f>
        <v/>
      </c>
      <c r="J1127" s="152" t="str">
        <f t="shared" ref="J1127:L1127" si="107">$F1127 &amp; ". " &amp;G1127</f>
        <v>189. </v>
      </c>
      <c r="K1127" s="152" t="str">
        <f t="shared" si="107"/>
        <v>189. </v>
      </c>
      <c r="L1127" s="152" t="str">
        <f t="shared" si="107"/>
        <v>189. </v>
      </c>
    </row>
    <row r="1128">
      <c r="A1128" s="166" t="s">
        <v>41</v>
      </c>
      <c r="B1128" s="167" t="s">
        <v>7958</v>
      </c>
      <c r="C1128" s="28" t="s">
        <v>7959</v>
      </c>
      <c r="D1128" s="28" t="s">
        <v>7960</v>
      </c>
      <c r="E1128" s="28" t="s">
        <v>7961</v>
      </c>
      <c r="F1128" s="161">
        <v>510.0</v>
      </c>
      <c r="G1128" s="152" t="str">
        <f>IFERROR(__xludf.DUMMYFUNCTION("TRIM(REGEXREPLACE(C1128, ""[0-9]+[a-f]?\."", """"))"),"I want to ask a few questions about the members of your household who are currently residing here.")</f>
        <v>I want to ask a few questions about the members of your household who are currently residing here.</v>
      </c>
      <c r="H1128" s="152" t="str">
        <f>IFERROR(__xludf.DUMMYFUNCTION("TRIM(REGEXREPLACE(D1128, ""[0-9]+[a-f]?\."", """"))"),"Je veux poser quelques questions sur les membres de votre ménage qui résident actuellement ici.")</f>
        <v>Je veux poser quelques questions sur les membres de votre ménage qui résident actuellement ici.</v>
      </c>
      <c r="I1128" s="152" t="str">
        <f>IFERROR(__xludf.DUMMYFUNCTION("TRIM(REGEXREPLACE(E1128, ""[0-9]+[a-f]?\."", """"))"),"Ina so in muku ƴan tambayoyi bisa yan gidanku da ke zaune a gida a yanzu.")</f>
        <v>Ina so in muku ƴan tambayoyi bisa yan gidanku da ke zaune a gida a yanzu.</v>
      </c>
      <c r="J1128" s="152" t="s">
        <v>7963</v>
      </c>
      <c r="K1128" s="152" t="s">
        <v>7964</v>
      </c>
      <c r="L1128" s="152" t="s">
        <v>7965</v>
      </c>
    </row>
    <row r="1129" hidden="1">
      <c r="A1129" s="118"/>
      <c r="B1129" s="118"/>
      <c r="C1129" s="28"/>
      <c r="D1129" s="28"/>
      <c r="E1129" s="28"/>
      <c r="F1129" s="161">
        <v>621.0</v>
      </c>
      <c r="G1129" s="152" t="str">
        <f>IFERROR(__xludf.DUMMYFUNCTION("TRIM(REGEXREPLACE(C1129, ""[0-9]+[a-f]?\."", """"))"),"")</f>
        <v/>
      </c>
      <c r="H1129" s="152" t="str">
        <f>IFERROR(__xludf.DUMMYFUNCTION("TRIM(REGEXREPLACE(D1129, ""[0-9]+[a-f]?\."", """"))"),"")</f>
        <v/>
      </c>
      <c r="I1129" s="152" t="str">
        <f>IFERROR(__xludf.DUMMYFUNCTION("TRIM(REGEXREPLACE(E1129, ""[0-9]+[a-f]?\."", """"))"),"")</f>
        <v/>
      </c>
      <c r="J1129" s="152" t="s">
        <v>7969</v>
      </c>
      <c r="K1129" s="152" t="s">
        <v>7970</v>
      </c>
      <c r="L1129" s="152" t="s">
        <v>7971</v>
      </c>
    </row>
    <row r="1130" hidden="1">
      <c r="A1130" s="174" t="s">
        <v>698</v>
      </c>
      <c r="B1130" s="175" t="s">
        <v>7972</v>
      </c>
      <c r="C1130" s="28" t="s">
        <v>1389</v>
      </c>
      <c r="D1130" s="28"/>
      <c r="E1130" s="28"/>
      <c r="F1130" s="161">
        <v>190.0</v>
      </c>
      <c r="G1130" s="152" t="str">
        <f>IFERROR(__xludf.DUMMYFUNCTION("TRIM(REGEXREPLACE(C1130, ""[0-9]+[a-f]?\."", """"))"),"Roster")</f>
        <v>Roster</v>
      </c>
      <c r="H1130" s="152" t="str">
        <f>IFERROR(__xludf.DUMMYFUNCTION("TRIM(REGEXREPLACE(D1130, ""[0-9]+[a-f]?\."", """"))"),"")</f>
        <v/>
      </c>
      <c r="I1130" s="152" t="str">
        <f>IFERROR(__xludf.DUMMYFUNCTION("TRIM(REGEXREPLACE(E1130, ""[0-9]+[a-f]?\."", """"))"),"")</f>
        <v/>
      </c>
      <c r="J1130" s="152" t="str">
        <f t="shared" ref="J1130:L1130" si="108">$F1130 &amp; ". " &amp;G1130</f>
        <v>190. Roster</v>
      </c>
      <c r="K1130" s="152" t="str">
        <f t="shared" si="108"/>
        <v>190. </v>
      </c>
      <c r="L1130" s="152" t="str">
        <f t="shared" si="108"/>
        <v>190. </v>
      </c>
    </row>
    <row r="1131" hidden="1">
      <c r="A1131" s="90" t="s">
        <v>134</v>
      </c>
      <c r="B1131" s="92" t="s">
        <v>7976</v>
      </c>
      <c r="C1131" s="28"/>
      <c r="D1131" s="28"/>
      <c r="E1131" s="28"/>
      <c r="F1131" s="161">
        <v>623.0</v>
      </c>
      <c r="G1131" s="152" t="str">
        <f>IFERROR(__xludf.DUMMYFUNCTION("TRIM(REGEXREPLACE(C1131, ""[0-9]+[a-f]?\."", """"))"),"")</f>
        <v/>
      </c>
      <c r="H1131" s="152" t="str">
        <f>IFERROR(__xludf.DUMMYFUNCTION("TRIM(REGEXREPLACE(D1131, ""[0-9]+[a-f]?\."", """"))"),"")</f>
        <v/>
      </c>
      <c r="I1131" s="152" t="str">
        <f>IFERROR(__xludf.DUMMYFUNCTION("TRIM(REGEXREPLACE(E1131, ""[0-9]+[a-f]?\."", """"))"),"")</f>
        <v/>
      </c>
      <c r="J1131" s="152" t="s">
        <v>7978</v>
      </c>
      <c r="K1131" s="152" t="s">
        <v>7979</v>
      </c>
      <c r="L1131" s="152" t="s">
        <v>7980</v>
      </c>
    </row>
    <row r="1132" hidden="1">
      <c r="A1132" s="90" t="s">
        <v>78</v>
      </c>
      <c r="B1132" s="92" t="s">
        <v>7981</v>
      </c>
      <c r="C1132" s="28"/>
      <c r="D1132" s="28"/>
      <c r="E1132" s="28"/>
      <c r="F1132" s="161">
        <v>624.0</v>
      </c>
      <c r="G1132" s="152" t="str">
        <f>IFERROR(__xludf.DUMMYFUNCTION("TRIM(REGEXREPLACE(C1132, ""[0-9]+[a-f]?\."", """"))"),"")</f>
        <v/>
      </c>
      <c r="H1132" s="152" t="str">
        <f>IFERROR(__xludf.DUMMYFUNCTION("TRIM(REGEXREPLACE(D1132, ""[0-9]+[a-f]?\."", """"))"),"")</f>
        <v/>
      </c>
      <c r="I1132" s="152" t="str">
        <f>IFERROR(__xludf.DUMMYFUNCTION("TRIM(REGEXREPLACE(E1132, ""[0-9]+[a-f]?\."", """"))"),"")</f>
        <v/>
      </c>
      <c r="J1132" s="152" t="s">
        <v>7985</v>
      </c>
      <c r="K1132" s="152" t="s">
        <v>7986</v>
      </c>
      <c r="L1132" s="152" t="s">
        <v>7987</v>
      </c>
    </row>
    <row r="1133" hidden="1">
      <c r="A1133" s="90" t="s">
        <v>78</v>
      </c>
      <c r="B1133" s="92" t="s">
        <v>7988</v>
      </c>
      <c r="C1133" s="28" t="s">
        <v>1405</v>
      </c>
      <c r="D1133" s="28"/>
      <c r="E1133" s="28"/>
      <c r="F1133" s="161">
        <v>711.0</v>
      </c>
      <c r="G1133" s="152" t="str">
        <f>IFERROR(__xludf.DUMMYFUNCTION("TRIM(REGEXREPLACE(C1133, ""[0-9]+[a-f]?\."", """"))"),"Member name from case management")</f>
        <v>Member name from case management</v>
      </c>
      <c r="H1133" s="152" t="str">
        <f>IFERROR(__xludf.DUMMYFUNCTION("TRIM(REGEXREPLACE(D1133, ""[0-9]+[a-f]?\."", """"))"),"")</f>
        <v/>
      </c>
      <c r="I1133" s="152" t="str">
        <f>IFERROR(__xludf.DUMMYFUNCTION("TRIM(REGEXREPLACE(E1133, ""[0-9]+[a-f]?\."", """"))"),"")</f>
        <v/>
      </c>
      <c r="J1133" s="152" t="str">
        <f t="shared" ref="J1133:L1133" si="109">$F1133&amp;". "&amp;G1133</f>
        <v>711. Member name from case management</v>
      </c>
      <c r="K1133" s="152" t="str">
        <f t="shared" si="109"/>
        <v>711. </v>
      </c>
      <c r="L1133" s="152" t="str">
        <f t="shared" si="109"/>
        <v>711. </v>
      </c>
    </row>
    <row r="1134" hidden="1">
      <c r="A1134" s="90" t="s">
        <v>78</v>
      </c>
      <c r="B1134" s="92" t="s">
        <v>7990</v>
      </c>
      <c r="C1134" s="28" t="s">
        <v>1413</v>
      </c>
      <c r="D1134" s="28"/>
      <c r="E1134" s="28"/>
      <c r="F1134" s="161">
        <v>712.0</v>
      </c>
      <c r="G1134" s="152" t="str">
        <f>IFERROR(__xludf.DUMMYFUNCTION("TRIM(REGEXREPLACE(C1134, ""[0-9]+[a-f]?\."", """"))"),"Member age from case management")</f>
        <v>Member age from case management</v>
      </c>
      <c r="H1134" s="152" t="str">
        <f>IFERROR(__xludf.DUMMYFUNCTION("TRIM(REGEXREPLACE(D1134, ""[0-9]+[a-f]?\."", """"))"),"")</f>
        <v/>
      </c>
      <c r="I1134" s="152" t="str">
        <f>IFERROR(__xludf.DUMMYFUNCTION("TRIM(REGEXREPLACE(E1134, ""[0-9]+[a-f]?\."", """"))"),"")</f>
        <v/>
      </c>
      <c r="J1134" s="152" t="str">
        <f t="shared" ref="J1134:L1134" si="110">$F1134&amp;". "&amp;G1134</f>
        <v>712. Member age from case management</v>
      </c>
      <c r="K1134" s="152" t="str">
        <f t="shared" si="110"/>
        <v>712. </v>
      </c>
      <c r="L1134" s="152" t="str">
        <f t="shared" si="110"/>
        <v>712. </v>
      </c>
    </row>
    <row r="1135" hidden="1">
      <c r="A1135" s="90" t="s">
        <v>78</v>
      </c>
      <c r="B1135" s="92" t="s">
        <v>7994</v>
      </c>
      <c r="C1135" s="28" t="s">
        <v>1420</v>
      </c>
      <c r="D1135" s="28"/>
      <c r="E1135" s="28"/>
      <c r="F1135" s="161">
        <v>713.0</v>
      </c>
      <c r="G1135" s="152" t="str">
        <f>IFERROR(__xludf.DUMMYFUNCTION("TRIM(REGEXREPLACE(C1135, ""[0-9]+[a-f]?\."", """"))"),"Member sex from case management")</f>
        <v>Member sex from case management</v>
      </c>
      <c r="H1135" s="152" t="str">
        <f>IFERROR(__xludf.DUMMYFUNCTION("TRIM(REGEXREPLACE(D1135, ""[0-9]+[a-f]?\."", """"))"),"")</f>
        <v/>
      </c>
      <c r="I1135" s="152" t="str">
        <f>IFERROR(__xludf.DUMMYFUNCTION("TRIM(REGEXREPLACE(E1135, ""[0-9]+[a-f]?\."", """"))"),"")</f>
        <v/>
      </c>
      <c r="J1135" s="152" t="str">
        <f t="shared" ref="J1135:L1135" si="111">$F1135&amp;". "&amp;G1135</f>
        <v>713. Member sex from case management</v>
      </c>
      <c r="K1135" s="152" t="str">
        <f t="shared" si="111"/>
        <v>713. </v>
      </c>
      <c r="L1135" s="152" t="str">
        <f t="shared" si="111"/>
        <v>713. </v>
      </c>
    </row>
    <row r="1136" hidden="1">
      <c r="A1136" s="90" t="s">
        <v>78</v>
      </c>
      <c r="B1136" s="92" t="s">
        <v>7995</v>
      </c>
      <c r="C1136" s="28"/>
      <c r="D1136" s="28"/>
      <c r="E1136" s="28"/>
      <c r="F1136" s="161">
        <v>625.0</v>
      </c>
      <c r="G1136" s="152" t="str">
        <f>IFERROR(__xludf.DUMMYFUNCTION("TRIM(REGEXREPLACE(C1136, ""[0-9]+[a-f]?\."", """"))"),"")</f>
        <v/>
      </c>
      <c r="H1136" s="152" t="str">
        <f>IFERROR(__xludf.DUMMYFUNCTION("TRIM(REGEXREPLACE(D1136, ""[0-9]+[a-f]?\."", """"))"),"")</f>
        <v/>
      </c>
      <c r="I1136" s="152" t="str">
        <f>IFERROR(__xludf.DUMMYFUNCTION("TRIM(REGEXREPLACE(E1136, ""[0-9]+[a-f]?\."", """"))"),"")</f>
        <v/>
      </c>
      <c r="J1136" s="152" t="s">
        <v>7999</v>
      </c>
      <c r="K1136" s="152" t="s">
        <v>8000</v>
      </c>
      <c r="L1136" s="152" t="s">
        <v>8001</v>
      </c>
    </row>
    <row r="1137" hidden="1">
      <c r="A1137" s="90" t="s">
        <v>78</v>
      </c>
      <c r="B1137" s="92" t="s">
        <v>8002</v>
      </c>
      <c r="C1137" s="28" t="s">
        <v>8003</v>
      </c>
      <c r="D1137" s="28"/>
      <c r="E1137" s="28"/>
      <c r="F1137" s="161">
        <v>626.0</v>
      </c>
      <c r="G1137" s="152" t="str">
        <f>IFERROR(__xludf.DUMMYFUNCTION("TRIM(REGEXREPLACE(C1137, ""[0-9]+[a-f]?\."", """"))"),"New member name (only populated if no more members to enumerate in the cases data)")</f>
        <v>New member name (only populated if no more members to enumerate in the cases data)</v>
      </c>
      <c r="H1137" s="152" t="str">
        <f>IFERROR(__xludf.DUMMYFUNCTION("TRIM(REGEXREPLACE(D1137, ""[0-9]+[a-f]?\."", """"))"),"")</f>
        <v/>
      </c>
      <c r="I1137" s="152" t="str">
        <f>IFERROR(__xludf.DUMMYFUNCTION("TRIM(REGEXREPLACE(E1137, ""[0-9]+[a-f]?\."", """"))"),"")</f>
        <v/>
      </c>
      <c r="J1137" s="152" t="s">
        <v>8004</v>
      </c>
      <c r="K1137" s="152" t="s">
        <v>8005</v>
      </c>
      <c r="L1137" s="152" t="s">
        <v>8006</v>
      </c>
    </row>
    <row r="1138" hidden="1">
      <c r="A1138" s="90" t="s">
        <v>78</v>
      </c>
      <c r="B1138" s="92" t="s">
        <v>8007</v>
      </c>
      <c r="C1138" s="28" t="s">
        <v>8008</v>
      </c>
      <c r="D1138" s="28"/>
      <c r="E1138" s="28"/>
      <c r="F1138" s="161">
        <v>627.0</v>
      </c>
      <c r="G1138" s="152" t="str">
        <f>IFERROR(__xludf.DUMMYFUNCTION("TRIM(REGEXREPLACE(C1138, ""[0-9]+[a-f]?\."", """"))"),"New member age")</f>
        <v>New member age</v>
      </c>
      <c r="H1138" s="152" t="str">
        <f>IFERROR(__xludf.DUMMYFUNCTION("TRIM(REGEXREPLACE(D1138, ""[0-9]+[a-f]?\."", """"))"),"")</f>
        <v/>
      </c>
      <c r="I1138" s="152" t="str">
        <f>IFERROR(__xludf.DUMMYFUNCTION("TRIM(REGEXREPLACE(E1138, ""[0-9]+[a-f]?\."", """"))"),"")</f>
        <v/>
      </c>
      <c r="J1138" s="152" t="s">
        <v>8012</v>
      </c>
      <c r="K1138" s="152" t="s">
        <v>8013</v>
      </c>
      <c r="L1138" s="152" t="s">
        <v>8014</v>
      </c>
    </row>
    <row r="1139" hidden="1">
      <c r="A1139" s="90" t="s">
        <v>78</v>
      </c>
      <c r="B1139" s="92" t="s">
        <v>8015</v>
      </c>
      <c r="C1139" s="28" t="s">
        <v>8016</v>
      </c>
      <c r="D1139" s="28"/>
      <c r="E1139" s="28"/>
      <c r="F1139" s="161">
        <v>669.0</v>
      </c>
      <c r="G1139" s="152" t="str">
        <f>IFERROR(__xludf.DUMMYFUNCTION("TRIM(REGEXREPLACE(C1139, ""[0-9]+[a-f]?\."", """"))"),"New member sex")</f>
        <v>New member sex</v>
      </c>
      <c r="H1139" s="152" t="str">
        <f>IFERROR(__xludf.DUMMYFUNCTION("TRIM(REGEXREPLACE(D1139, ""[0-9]+[a-f]?\."", """"))"),"")</f>
        <v/>
      </c>
      <c r="I1139" s="152" t="str">
        <f>IFERROR(__xludf.DUMMYFUNCTION("TRIM(REGEXREPLACE(E1139, ""[0-9]+[a-f]?\."", """"))"),"")</f>
        <v/>
      </c>
      <c r="J1139" s="152" t="s">
        <v>8020</v>
      </c>
      <c r="K1139" s="152" t="s">
        <v>8021</v>
      </c>
      <c r="L1139" s="152" t="s">
        <v>8022</v>
      </c>
    </row>
    <row r="1140" hidden="1">
      <c r="A1140" s="90" t="s">
        <v>78</v>
      </c>
      <c r="B1140" s="92" t="s">
        <v>8023</v>
      </c>
      <c r="C1140" s="28"/>
      <c r="D1140" s="28"/>
      <c r="E1140" s="28"/>
      <c r="F1140" s="161">
        <v>670.0</v>
      </c>
      <c r="G1140" s="152" t="str">
        <f>IFERROR(__xludf.DUMMYFUNCTION("TRIM(REGEXREPLACE(C1140, ""[0-9]+[a-f]?\."", """"))"),"")</f>
        <v/>
      </c>
      <c r="H1140" s="152" t="str">
        <f>IFERROR(__xludf.DUMMYFUNCTION("TRIM(REGEXREPLACE(D1140, ""[0-9]+[a-f]?\."", """"))"),"")</f>
        <v/>
      </c>
      <c r="I1140" s="152" t="str">
        <f>IFERROR(__xludf.DUMMYFUNCTION("TRIM(REGEXREPLACE(E1140, ""[0-9]+[a-f]?\."", """"))"),"")</f>
        <v/>
      </c>
      <c r="J1140" s="152" t="s">
        <v>8025</v>
      </c>
      <c r="K1140" s="152" t="s">
        <v>8026</v>
      </c>
      <c r="L1140" s="152" t="s">
        <v>8027</v>
      </c>
    </row>
    <row r="1141" hidden="1">
      <c r="A1141" s="90" t="s">
        <v>78</v>
      </c>
      <c r="B1141" s="92" t="s">
        <v>8028</v>
      </c>
      <c r="C1141" s="28"/>
      <c r="D1141" s="28"/>
      <c r="E1141" s="28"/>
      <c r="F1141" s="161">
        <v>671.0</v>
      </c>
      <c r="G1141" s="152" t="str">
        <f>IFERROR(__xludf.DUMMYFUNCTION("TRIM(REGEXREPLACE(C1141, ""[0-9]+[a-f]?\."", """"))"),"")</f>
        <v/>
      </c>
      <c r="H1141" s="152" t="str">
        <f>IFERROR(__xludf.DUMMYFUNCTION("TRIM(REGEXREPLACE(D1141, ""[0-9]+[a-f]?\."", """"))"),"")</f>
        <v/>
      </c>
      <c r="I1141" s="152" t="str">
        <f>IFERROR(__xludf.DUMMYFUNCTION("TRIM(REGEXREPLACE(E1141, ""[0-9]+[a-f]?\."", """"))"),"")</f>
        <v/>
      </c>
      <c r="J1141" s="152" t="s">
        <v>8032</v>
      </c>
      <c r="K1141" s="152" t="s">
        <v>8033</v>
      </c>
      <c r="L1141" s="152" t="s">
        <v>8034</v>
      </c>
    </row>
    <row r="1142" hidden="1">
      <c r="A1142" s="90" t="s">
        <v>78</v>
      </c>
      <c r="B1142" s="92" t="s">
        <v>8035</v>
      </c>
      <c r="C1142" s="28"/>
      <c r="D1142" s="28"/>
      <c r="E1142" s="28"/>
      <c r="F1142" s="161">
        <v>628.0</v>
      </c>
      <c r="G1142" s="152" t="str">
        <f>IFERROR(__xludf.DUMMYFUNCTION("TRIM(REGEXREPLACE(C1142, ""[0-9]+[a-f]?\."", """"))"),"")</f>
        <v/>
      </c>
      <c r="H1142" s="152" t="str">
        <f>IFERROR(__xludf.DUMMYFUNCTION("TRIM(REGEXREPLACE(D1142, ""[0-9]+[a-f]?\."", """"))"),"")</f>
        <v/>
      </c>
      <c r="I1142" s="152" t="str">
        <f>IFERROR(__xludf.DUMMYFUNCTION("TRIM(REGEXREPLACE(E1142, ""[0-9]+[a-f]?\."", """"))"),"")</f>
        <v/>
      </c>
      <c r="J1142" s="152" t="s">
        <v>8039</v>
      </c>
      <c r="K1142" s="152" t="s">
        <v>8040</v>
      </c>
      <c r="L1142" s="152" t="s">
        <v>8041</v>
      </c>
    </row>
    <row r="1143">
      <c r="A1143" s="166" t="s">
        <v>41</v>
      </c>
      <c r="B1143" s="167" t="s">
        <v>8042</v>
      </c>
      <c r="C1143" s="28" t="s">
        <v>8043</v>
      </c>
      <c r="D1143" s="28" t="s">
        <v>8043</v>
      </c>
      <c r="E1143" s="28" t="s">
        <v>8043</v>
      </c>
      <c r="F1143" s="161">
        <v>511.0</v>
      </c>
      <c r="G1143" s="152" t="str">
        <f>IFERROR(__xludf.DUMMYFUNCTION("TRIM(REGEXREPLACE(C1143, ""[0-9]+[a-f]?\."", """"))"),"${hoh_roster_name}
 Sex: ${hoh_roster_sex}
 Age: ${hoh_roster_age}")</f>
        <v>${hoh_roster_name}
 Sex: ${hoh_roster_sex}
 Age: ${hoh_roster_age}</v>
      </c>
      <c r="H1143" s="152" t="str">
        <f>IFERROR(__xludf.DUMMYFUNCTION("TRIM(REGEXREPLACE(D1143, ""[0-9]+[a-f]?\."", """"))"),"${hoh_roster_name}
 Sex: ${hoh_roster_sex}
 Age: ${hoh_roster_age}")</f>
        <v>${hoh_roster_name}
 Sex: ${hoh_roster_sex}
 Age: ${hoh_roster_age}</v>
      </c>
      <c r="I1143" s="152" t="str">
        <f>IFERROR(__xludf.DUMMYFUNCTION("TRIM(REGEXREPLACE(E1143, ""[0-9]+[a-f]?\."", """"))"),"${hoh_roster_name}
 Sex: ${hoh_roster_sex}
 Age: ${hoh_roster_age}")</f>
        <v>${hoh_roster_name}
 Sex: ${hoh_roster_sex}
 Age: ${hoh_roster_age}</v>
      </c>
      <c r="J1143" s="152" t="s">
        <v>8044</v>
      </c>
      <c r="K1143" s="152" t="s">
        <v>8044</v>
      </c>
      <c r="L1143" s="152" t="s">
        <v>8044</v>
      </c>
    </row>
    <row r="1144">
      <c r="A1144" s="68" t="s">
        <v>2625</v>
      </c>
      <c r="B1144" s="169" t="s">
        <v>8045</v>
      </c>
      <c r="C1144" s="28" t="s">
        <v>8046</v>
      </c>
      <c r="D1144" s="28" t="s">
        <v>8047</v>
      </c>
      <c r="E1144" s="28" t="s">
        <v>8048</v>
      </c>
      <c r="F1144" s="161">
        <v>512.0</v>
      </c>
      <c r="G1144" s="152" t="str">
        <f>IFERROR(__xludf.DUMMYFUNCTION("TRIM(REGEXREPLACE(C1144, ""[0-9]+[a-f]?\."", """"))"),"Is ${hoh_roster_name} a Nigerien national?")</f>
        <v>Is ${hoh_roster_name} a Nigerien national?</v>
      </c>
      <c r="H1144" s="152" t="str">
        <f>IFERROR(__xludf.DUMMYFUNCTION("TRIM(REGEXREPLACE(D1144, ""[0-9]+[a-f]?\."", """"))"),"${hoh_roster_name} est-il un citoyen(ne) du Niger ?")</f>
        <v>${hoh_roster_name} est-il un citoyen(ne) du Niger ?</v>
      </c>
      <c r="I1144" s="152" t="str">
        <f>IFERROR(__xludf.DUMMYFUNCTION("TRIM(REGEXREPLACE(E1144, ""[0-9]+[a-f]?\."", """"))"),"Ko ${hoh_roster_name} ɗan ƙasar Nijar ne?")</f>
        <v>Ko ${hoh_roster_name} ɗan ƙasar Nijar ne?</v>
      </c>
      <c r="J1144" s="152" t="s">
        <v>8049</v>
      </c>
      <c r="K1144" s="152" t="s">
        <v>8050</v>
      </c>
      <c r="L1144" s="152" t="s">
        <v>8051</v>
      </c>
    </row>
    <row r="1145">
      <c r="A1145" s="68" t="s">
        <v>749</v>
      </c>
      <c r="B1145" s="169" t="s">
        <v>8052</v>
      </c>
      <c r="C1145" s="28" t="s">
        <v>8053</v>
      </c>
      <c r="D1145" s="28" t="s">
        <v>8054</v>
      </c>
      <c r="E1145" s="28" t="s">
        <v>8055</v>
      </c>
      <c r="F1145" s="161">
        <v>513.0</v>
      </c>
      <c r="G1145" s="152" t="str">
        <f>IFERROR(__xludf.DUMMYFUNCTION("TRIM(REGEXREPLACE(C1145, ""[0-9]+[a-f]?\."", """"))"),"Where are they a cititzen of?")</f>
        <v>Where are they a cititzen of?</v>
      </c>
      <c r="H1145" s="152" t="str">
        <f>IFERROR(__xludf.DUMMYFUNCTION("TRIM(REGEXREPLACE(D1145, ""[0-9]+[a-f]?\."", """"))"),"D'où sont-ils citoyens ?")</f>
        <v>D'où sont-ils citoyens ?</v>
      </c>
      <c r="I1145" s="152" t="str">
        <f>IFERROR(__xludf.DUMMYFUNCTION("TRIM(REGEXREPLACE(E1145, ""[0-9]+[a-f]?\."", """"))"),"Ƴan wace ƙasa ce?")</f>
        <v>Ƴan wace ƙasa ce?</v>
      </c>
      <c r="J1145" s="152" t="s">
        <v>8058</v>
      </c>
      <c r="K1145" s="152" t="s">
        <v>8060</v>
      </c>
      <c r="L1145" s="152" t="s">
        <v>8063</v>
      </c>
    </row>
    <row r="1146">
      <c r="A1146" s="179" t="s">
        <v>246</v>
      </c>
      <c r="B1146" s="180" t="s">
        <v>8064</v>
      </c>
      <c r="C1146" s="28" t="s">
        <v>8065</v>
      </c>
      <c r="D1146" s="28" t="s">
        <v>8066</v>
      </c>
      <c r="E1146" s="28" t="s">
        <v>8067</v>
      </c>
      <c r="F1146" s="161">
        <v>514.0</v>
      </c>
      <c r="G1146" s="152" t="str">
        <f>IFERROR(__xludf.DUMMYFUNCTION("TRIM(REGEXREPLACE(C1146, ""[0-9]+[a-f]?\."", """"))"),"Please enter the nationality of ${hoh_roster_name}")</f>
        <v>Please enter the nationality of ${hoh_roster_name}</v>
      </c>
      <c r="H1146" s="152" t="str">
        <f>IFERROR(__xludf.DUMMYFUNCTION("TRIM(REGEXREPLACE(D1146, ""[0-9]+[a-f]?\."", """"))"),"Veuillez saisir la nationalité de ${hoh_roster_name}")</f>
        <v>Veuillez saisir la nationalité de ${hoh_roster_name}</v>
      </c>
      <c r="I1146" s="152" t="str">
        <f>IFERROR(__xludf.DUMMYFUNCTION("TRIM(REGEXREPLACE(E1146, ""[0-9]+[a-f]?\."", """"))"),"Da fatan za a shigar da ƙasar ${hoh_roster_name}")</f>
        <v>Da fatan za a shigar da ƙasar ${hoh_roster_name}</v>
      </c>
      <c r="J1146" s="152" t="s">
        <v>8068</v>
      </c>
      <c r="K1146" s="152" t="s">
        <v>8069</v>
      </c>
      <c r="L1146" s="152" t="s">
        <v>8070</v>
      </c>
    </row>
    <row r="1147">
      <c r="A1147" s="68" t="s">
        <v>463</v>
      </c>
      <c r="B1147" s="169" t="s">
        <v>8071</v>
      </c>
      <c r="C1147" s="28" t="s">
        <v>8072</v>
      </c>
      <c r="D1147" s="28" t="s">
        <v>8073</v>
      </c>
      <c r="E1147" s="28" t="s">
        <v>8074</v>
      </c>
      <c r="F1147" s="161">
        <v>515.0</v>
      </c>
      <c r="G1147" s="152" t="str">
        <f>IFERROR(__xludf.DUMMYFUNCTION("TRIM(REGEXREPLACE(C1147, ""[0-9]+[a-f]?\."", """"))"),"Is ${hoh_roster_name} still a member of this household?")</f>
        <v>Is ${hoh_roster_name} still a member of this household?</v>
      </c>
      <c r="H1147" s="152" t="str">
        <f>IFERROR(__xludf.DUMMYFUNCTION("TRIM(REGEXREPLACE(D1147, ""[0-9]+[a-f]?\."", """"))"),"${hoh_roster_name} est-il toujours membre de ce ménage ?")</f>
        <v>${hoh_roster_name} est-il toujours membre de ce ménage ?</v>
      </c>
      <c r="I1147" s="152" t="str">
        <f>IFERROR(__xludf.DUMMYFUNCTION("TRIM(REGEXREPLACE(E1147, ""[0-9]+[a-f]?\."", """"))"),"Ko suna yana cikin ƴan gidan nan?")</f>
        <v>Ko suna yana cikin ƴan gidan nan?</v>
      </c>
      <c r="J1147" s="152" t="s">
        <v>8078</v>
      </c>
      <c r="K1147" s="152" t="s">
        <v>8079</v>
      </c>
      <c r="L1147" s="152" t="s">
        <v>8080</v>
      </c>
    </row>
    <row r="1148">
      <c r="A1148" s="68" t="s">
        <v>8081</v>
      </c>
      <c r="B1148" s="169" t="s">
        <v>8082</v>
      </c>
      <c r="C1148" s="28" t="s">
        <v>8083</v>
      </c>
      <c r="D1148" s="28" t="s">
        <v>8084</v>
      </c>
      <c r="E1148" s="28" t="s">
        <v>8085</v>
      </c>
      <c r="F1148" s="161">
        <v>516.0</v>
      </c>
      <c r="G1148" s="152" t="str">
        <f>IFERROR(__xludf.DUMMYFUNCTION("TRIM(REGEXREPLACE(C1148, ""[0-9]+[a-f]?\."", """"))"),"Why are they not a member of this household?")</f>
        <v>Why are they not a member of this household?</v>
      </c>
      <c r="H1148" s="152" t="str">
        <f>IFERROR(__xludf.DUMMYFUNCTION("TRIM(REGEXREPLACE(D1148, ""[0-9]+[a-f]?\."", """"))"),"Pourquoi ne font-ils pas partie de ce ménage ?")</f>
        <v>Pourquoi ne font-ils pas partie de ce ménage ?</v>
      </c>
      <c r="I1148" s="152" t="str">
        <f>IFERROR(__xludf.DUMMYFUNCTION("TRIM(REGEXREPLACE(E1148, ""[0-9]+[a-f]?\."", """"))"),"Me ya sa ba su cikin ƴan gidan nan ?")</f>
        <v>Me ya sa ba su cikin ƴan gidan nan ?</v>
      </c>
      <c r="J1148" s="152" t="s">
        <v>8087</v>
      </c>
      <c r="K1148" s="152" t="s">
        <v>8088</v>
      </c>
      <c r="L1148" s="152" t="s">
        <v>8089</v>
      </c>
    </row>
    <row r="1149">
      <c r="A1149" s="179" t="s">
        <v>246</v>
      </c>
      <c r="B1149" s="180" t="s">
        <v>8090</v>
      </c>
      <c r="C1149" s="28" t="s">
        <v>8091</v>
      </c>
      <c r="D1149" s="28" t="s">
        <v>8092</v>
      </c>
      <c r="E1149" s="28" t="s">
        <v>8093</v>
      </c>
      <c r="F1149" s="161">
        <v>517.0</v>
      </c>
      <c r="G1149" s="152" t="str">
        <f>IFERROR(__xludf.DUMMYFUNCTION("TRIM(REGEXREPLACE(C1149, ""[0-9]+[a-f]?\."", """"))"),"Other, specify:")</f>
        <v>Other, specify:</v>
      </c>
      <c r="H1149" s="152" t="str">
        <f>IFERROR(__xludf.DUMMYFUNCTION("TRIM(REGEXREPLACE(D1149, ""[0-9]+[a-f]?\."", """"))"),"Autre précisez:")</f>
        <v>Autre précisez:</v>
      </c>
      <c r="I1149" s="152" t="str">
        <f>IFERROR(__xludf.DUMMYFUNCTION("TRIM(REGEXREPLACE(E1149, ""[0-9]+[a-f]?\."", """"))"),"Sauran, bayar da cikakkun bayanai:")</f>
        <v>Sauran, bayar da cikakkun bayanai:</v>
      </c>
      <c r="J1149" s="152" t="s">
        <v>8094</v>
      </c>
      <c r="K1149" s="152" t="s">
        <v>8095</v>
      </c>
      <c r="L1149" s="152" t="s">
        <v>8096</v>
      </c>
    </row>
    <row r="1150">
      <c r="A1150" s="68" t="s">
        <v>7910</v>
      </c>
      <c r="B1150" s="169" t="s">
        <v>8097</v>
      </c>
      <c r="C1150" s="28" t="s">
        <v>8098</v>
      </c>
      <c r="D1150" s="28" t="s">
        <v>8099</v>
      </c>
      <c r="E1150" s="28" t="s">
        <v>8100</v>
      </c>
      <c r="F1150" s="161">
        <v>518.0</v>
      </c>
      <c r="G1150" s="152" t="str">
        <f>IFERROR(__xludf.DUMMYFUNCTION("TRIM(REGEXREPLACE(C1150, ""[0-9]+[a-f]?\."", """"))"),"Please indicate the relation of this member to ${pm_name}")</f>
        <v>Please indicate the relation of this member to ${pm_name}</v>
      </c>
      <c r="H1150" s="152" t="str">
        <f>IFERROR(__xludf.DUMMYFUNCTION("TRIM(REGEXREPLACE(D1150, ""[0-9]+[a-f]?\."", """"))"),"Veuillez indiquer la relation de ce membre avec ${pm_name}")</f>
        <v>Veuillez indiquer la relation de ce membre avec ${pm_name}</v>
      </c>
      <c r="I1150" s="152" t="str">
        <f>IFERROR(__xludf.DUMMYFUNCTION("TRIM(REGEXREPLACE(E1150, ""[0-9]+[a-f]?\."", """"))"),"Da fatan za a nuna alakar wannan memba zuwa ${pm_name}")</f>
        <v>Da fatan za a nuna alakar wannan memba zuwa ${pm_name}</v>
      </c>
      <c r="J1150" s="152" t="s">
        <v>8101</v>
      </c>
      <c r="K1150" s="152" t="s">
        <v>8102</v>
      </c>
      <c r="L1150" s="152" t="s">
        <v>8103</v>
      </c>
    </row>
    <row r="1151">
      <c r="A1151" s="179" t="s">
        <v>246</v>
      </c>
      <c r="B1151" s="180" t="s">
        <v>8104</v>
      </c>
      <c r="C1151" s="28" t="s">
        <v>8105</v>
      </c>
      <c r="D1151" s="28" t="s">
        <v>8106</v>
      </c>
      <c r="E1151" s="28" t="s">
        <v>8106</v>
      </c>
      <c r="F1151" s="161">
        <v>519.0</v>
      </c>
      <c r="G1151" s="152" t="str">
        <f>IFERROR(__xludf.DUMMYFUNCTION("TRIM(REGEXREPLACE(C1151, ""[0-9]+[a-f]?\."", """"))"),"Enumerator: Record any details about the death of the family member")</f>
        <v>Enumerator: Record any details about the death of the family member</v>
      </c>
      <c r="H1151" s="152" t="str">
        <f>IFERROR(__xludf.DUMMYFUNCTION("TRIM(REGEXREPLACE(D1151, ""[0-9]+[a-f]?\."", """"))"),"Enqueteur: Veuillez noter toute information pertinente concernant le décès")</f>
        <v>Enqueteur: Veuillez noter toute information pertinente concernant le décès</v>
      </c>
      <c r="I1151" s="152" t="str">
        <f>IFERROR(__xludf.DUMMYFUNCTION("TRIM(REGEXREPLACE(E1151, ""[0-9]+[a-f]?\."", """"))"),"Enqueteur: Veuillez noter toute information pertinente concernant le décès")</f>
        <v>Enqueteur: Veuillez noter toute information pertinente concernant le décès</v>
      </c>
      <c r="J1151" s="152" t="s">
        <v>8108</v>
      </c>
      <c r="K1151" s="152" t="s">
        <v>8109</v>
      </c>
      <c r="L1151" s="152" t="s">
        <v>8109</v>
      </c>
    </row>
    <row r="1152">
      <c r="A1152" s="68" t="s">
        <v>463</v>
      </c>
      <c r="B1152" s="169" t="s">
        <v>8110</v>
      </c>
      <c r="C1152" s="28" t="s">
        <v>8111</v>
      </c>
      <c r="D1152" s="28" t="s">
        <v>8112</v>
      </c>
      <c r="E1152" s="28" t="s">
        <v>8113</v>
      </c>
      <c r="F1152" s="161">
        <v>520.0</v>
      </c>
      <c r="G1152" s="152" t="str">
        <f>IFERROR(__xludf.DUMMYFUNCTION("TRIM(REGEXREPLACE(C1152, ""[0-9]+[a-f]?\."", """"))"),"Is ${hoh_roster_name} currently living in your household?")</f>
        <v>Is ${hoh_roster_name} currently living in your household?</v>
      </c>
      <c r="H1152" s="152" t="str">
        <f>IFERROR(__xludf.DUMMYFUNCTION("TRIM(REGEXREPLACE(D1152, ""[0-9]+[a-f]?\."", """"))"),"Est-ce que ${hoh_roster_name} vit actuellement dans votre ménage ?")</f>
        <v>Est-ce que ${hoh_roster_name} vit actuellement dans votre ménage ?</v>
      </c>
      <c r="I1152" s="152" t="str">
        <f>IFERROR(__xludf.DUMMYFUNCTION("TRIM(REGEXREPLACE(E1152, ""[0-9]+[a-f]?\."", """"))"),"Ko ${hoh_roster_name} yana zaune a gidanku a halin yanzu ?")</f>
        <v>Ko ${hoh_roster_name} yana zaune a gidanku a halin yanzu ?</v>
      </c>
      <c r="J1152" s="152" t="s">
        <v>8114</v>
      </c>
      <c r="K1152" s="152" t="s">
        <v>8115</v>
      </c>
      <c r="L1152" s="152" t="s">
        <v>8116</v>
      </c>
    </row>
    <row r="1153">
      <c r="A1153" s="68" t="s">
        <v>2625</v>
      </c>
      <c r="B1153" s="169" t="s">
        <v>8117</v>
      </c>
      <c r="C1153" s="28" t="s">
        <v>8118</v>
      </c>
      <c r="D1153" s="28" t="s">
        <v>8119</v>
      </c>
      <c r="E1153" s="28" t="s">
        <v>8120</v>
      </c>
      <c r="F1153" s="161">
        <v>521.0</v>
      </c>
      <c r="G1153" s="152" t="str">
        <f>IFERROR(__xludf.DUMMYFUNCTION("TRIM(REGEXREPLACE(C1153, ""[0-9]+[a-f]?\."", """"))"),"Is ${hoh_roster_name} currently living in Niger?")</f>
        <v>Is ${hoh_roster_name} currently living in Niger?</v>
      </c>
      <c r="H1153" s="152" t="str">
        <f>IFERROR(__xludf.DUMMYFUNCTION("TRIM(REGEXREPLACE(D1153, ""[0-9]+[a-f]?\."", """"))"),"Est-ce que ${hoh_roster_name} vit actuellement au Niger ?")</f>
        <v>Est-ce que ${hoh_roster_name} vit actuellement au Niger ?</v>
      </c>
      <c r="I1153" s="152" t="str">
        <f>IFERROR(__xludf.DUMMYFUNCTION("TRIM(REGEXREPLACE(E1153, ""[0-9]+[a-f]?\."", """"))"),"Ko ${hoh_roster_name} yana zaune a Nijar a halin yanzu?")</f>
        <v>Ko ${hoh_roster_name} yana zaune a Nijar a halin yanzu?</v>
      </c>
      <c r="J1153" s="152" t="s">
        <v>8121</v>
      </c>
      <c r="K1153" s="152" t="s">
        <v>8122</v>
      </c>
      <c r="L1153" s="152" t="s">
        <v>8123</v>
      </c>
    </row>
    <row r="1154">
      <c r="A1154" s="68" t="s">
        <v>738</v>
      </c>
      <c r="B1154" s="169" t="s">
        <v>8124</v>
      </c>
      <c r="C1154" s="28" t="s">
        <v>8125</v>
      </c>
      <c r="D1154" s="28" t="s">
        <v>8126</v>
      </c>
      <c r="E1154" s="28" t="s">
        <v>8127</v>
      </c>
      <c r="F1154" s="161">
        <v>522.0</v>
      </c>
      <c r="G1154" s="152" t="str">
        <f>IFERROR(__xludf.DUMMYFUNCTION("TRIM(REGEXREPLACE(C1154, ""[0-9]+[a-f]?\."", """"))"),"What region is ${hoh_roster_name} currently living in?")</f>
        <v>What region is ${hoh_roster_name} currently living in?</v>
      </c>
      <c r="H1154" s="152" t="str">
        <f>IFERROR(__xludf.DUMMYFUNCTION("TRIM(REGEXREPLACE(D1154, ""[0-9]+[a-f]?\."", """"))"),"Dans quelle région vit actuellement ${hoh_roster_name} ?")</f>
        <v>Dans quelle région vit actuellement ${hoh_roster_name} ?</v>
      </c>
      <c r="I1154" s="152" t="str">
        <f>IFERROR(__xludf.DUMMYFUNCTION("TRIM(REGEXREPLACE(E1154, ""[0-9]+[a-f]?\."", """"))"),"A cikin wace jaha ce ${hoh_roster_name} yake zaune a yanzu?")</f>
        <v>A cikin wace jaha ce ${hoh_roster_name} yake zaune a yanzu?</v>
      </c>
      <c r="J1154" s="152" t="s">
        <v>8128</v>
      </c>
      <c r="K1154" s="152" t="s">
        <v>8129</v>
      </c>
      <c r="L1154" s="152" t="s">
        <v>8130</v>
      </c>
    </row>
    <row r="1155">
      <c r="A1155" s="68" t="s">
        <v>5346</v>
      </c>
      <c r="B1155" s="169" t="s">
        <v>8131</v>
      </c>
      <c r="C1155" s="28" t="s">
        <v>8132</v>
      </c>
      <c r="D1155" s="28" t="s">
        <v>8133</v>
      </c>
      <c r="E1155" s="28" t="s">
        <v>8134</v>
      </c>
      <c r="F1155" s="161">
        <v>523.0</v>
      </c>
      <c r="G1155" s="152" t="str">
        <f>IFERROR(__xludf.DUMMYFUNCTION("TRIM(REGEXREPLACE(C1155, ""[0-9]+[a-f]?\."", """"))"),"What country is ${hoh_roster_name} currently living in?")</f>
        <v>What country is ${hoh_roster_name} currently living in?</v>
      </c>
      <c r="H1155" s="152" t="str">
        <f>IFERROR(__xludf.DUMMYFUNCTION("TRIM(REGEXREPLACE(D1155, ""[0-9]+[a-f]?\."", """"))"),"Dans quel pays vit actuellement ${hoh_roster_name} ?")</f>
        <v>Dans quel pays vit actuellement ${hoh_roster_name} ?</v>
      </c>
      <c r="I1155" s="152" t="str">
        <f>IFERROR(__xludf.DUMMYFUNCTION("TRIM(REGEXREPLACE(E1155, ""[0-9]+[a-f]?\."", """"))"),"A cikin wace kasa ce ${hoh_roster_name} yake zaune a yanzu?")</f>
        <v>A cikin wace kasa ce ${hoh_roster_name} yake zaune a yanzu?</v>
      </c>
      <c r="J1155" s="152" t="s">
        <v>8135</v>
      </c>
      <c r="K1155" s="152" t="s">
        <v>8137</v>
      </c>
      <c r="L1155" s="152" t="s">
        <v>8138</v>
      </c>
    </row>
    <row r="1156">
      <c r="A1156" s="179" t="s">
        <v>246</v>
      </c>
      <c r="B1156" s="180" t="s">
        <v>8139</v>
      </c>
      <c r="C1156" s="28" t="s">
        <v>8140</v>
      </c>
      <c r="D1156" s="28" t="s">
        <v>8141</v>
      </c>
      <c r="E1156" s="28" t="s">
        <v>8142</v>
      </c>
      <c r="F1156" s="161">
        <v>524.0</v>
      </c>
      <c r="G1156" s="152" t="str">
        <f>IFERROR(__xludf.DUMMYFUNCTION("TRIM(REGEXREPLACE(C1156, ""[0-9]+[a-f]?\."", """"))"),"Specify other")</f>
        <v>Specify other</v>
      </c>
      <c r="H1156" s="152" t="str">
        <f>IFERROR(__xludf.DUMMYFUNCTION("TRIM(REGEXREPLACE(D1156, ""[0-9]+[a-f]?\."", """"))"),"Autre à préciser")</f>
        <v>Autre à préciser</v>
      </c>
      <c r="I1156" s="152" t="str">
        <f>IFERROR(__xludf.DUMMYFUNCTION("TRIM(REGEXREPLACE(E1156, ""[0-9]+[a-f]?\."", """"))"),"Wani daban a Bayyana")</f>
        <v>Wani daban a Bayyana</v>
      </c>
      <c r="J1156" s="152" t="s">
        <v>8143</v>
      </c>
      <c r="K1156" s="152" t="s">
        <v>8144</v>
      </c>
      <c r="L1156" s="152" t="s">
        <v>8145</v>
      </c>
    </row>
    <row r="1157">
      <c r="A1157" s="68" t="s">
        <v>785</v>
      </c>
      <c r="B1157" s="169" t="s">
        <v>8146</v>
      </c>
      <c r="C1157" s="28" t="s">
        <v>8147</v>
      </c>
      <c r="D1157" s="28" t="s">
        <v>8148</v>
      </c>
      <c r="E1157" s="28" t="s">
        <v>8149</v>
      </c>
      <c r="F1157" s="161">
        <v>525.0</v>
      </c>
      <c r="G1157" s="152" t="str">
        <f>IFERROR(__xludf.DUMMYFUNCTION("TRIM(REGEXREPLACE(C1157, ""[0-9]+[a-f]?\."", """"))"),"Enumerator: Select town")</f>
        <v>Enumerator: Select town</v>
      </c>
      <c r="H1157" s="152" t="str">
        <f>IFERROR(__xludf.DUMMYFUNCTION("TRIM(REGEXREPLACE(D1157, ""[0-9]+[a-f]?\."", """"))"),"Enquêteur : Sélectionnez la ville")</f>
        <v>Enquêteur : Sélectionnez la ville</v>
      </c>
      <c r="I1157" s="152" t="str">
        <f>IFERROR(__xludf.DUMMYFUNCTION("TRIM(REGEXREPLACE(E1157, ""[0-9]+[a-f]?\."", """"))"),"Ɗan bincike: Zaɓi gari")</f>
        <v>Ɗan bincike: Zaɓi gari</v>
      </c>
      <c r="J1157" s="152" t="s">
        <v>8150</v>
      </c>
      <c r="K1157" s="152" t="s">
        <v>8151</v>
      </c>
      <c r="L1157" s="152" t="s">
        <v>8152</v>
      </c>
    </row>
    <row r="1158">
      <c r="A1158" s="179" t="s">
        <v>246</v>
      </c>
      <c r="B1158" s="180" t="s">
        <v>8153</v>
      </c>
      <c r="C1158" s="28" t="s">
        <v>8154</v>
      </c>
      <c r="D1158" s="28" t="s">
        <v>8155</v>
      </c>
      <c r="E1158" s="28" t="s">
        <v>8156</v>
      </c>
      <c r="F1158" s="161">
        <v>526.0</v>
      </c>
      <c r="G1158" s="152" t="str">
        <f>IFERROR(__xludf.DUMMYFUNCTION("TRIM(REGEXREPLACE(C1158, ""[0-9]+[a-f]?\."", """"))"),"Specify other")</f>
        <v>Specify other</v>
      </c>
      <c r="H1158" s="152" t="str">
        <f>IFERROR(__xludf.DUMMYFUNCTION("TRIM(REGEXREPLACE(D1158, ""[0-9]+[a-f]?\."", """"))"),"Autre à préciser")</f>
        <v>Autre à préciser</v>
      </c>
      <c r="I1158" s="152" t="str">
        <f>IFERROR(__xludf.DUMMYFUNCTION("TRIM(REGEXREPLACE(E1158, ""[0-9]+[a-f]?\."", """"))"),"Wani daban a Bayyana")</f>
        <v>Wani daban a Bayyana</v>
      </c>
      <c r="J1158" s="152" t="s">
        <v>8157</v>
      </c>
      <c r="K1158" s="152" t="s">
        <v>8158</v>
      </c>
      <c r="L1158" s="152" t="s">
        <v>8159</v>
      </c>
    </row>
    <row r="1159" hidden="1">
      <c r="A1159" s="140" t="s">
        <v>131</v>
      </c>
      <c r="B1159" s="164" t="s">
        <v>8160</v>
      </c>
      <c r="C1159" s="28"/>
      <c r="D1159" s="28"/>
      <c r="E1159" s="28"/>
      <c r="F1159" s="161">
        <v>197.0</v>
      </c>
      <c r="G1159" s="152" t="str">
        <f>IFERROR(__xludf.DUMMYFUNCTION("TRIM(REGEXREPLACE(C1159, ""[0-9]+[a-f]?\."", """"))"),"")</f>
        <v/>
      </c>
      <c r="H1159" s="152" t="str">
        <f>IFERROR(__xludf.DUMMYFUNCTION("TRIM(REGEXREPLACE(D1159, ""[0-9]+[a-f]?\."", """"))"),"")</f>
        <v/>
      </c>
      <c r="I1159" s="152" t="str">
        <f>IFERROR(__xludf.DUMMYFUNCTION("TRIM(REGEXREPLACE(E1159, ""[0-9]+[a-f]?\."", """"))"),"")</f>
        <v/>
      </c>
      <c r="J1159" s="152" t="str">
        <f t="shared" ref="J1159:L1159" si="112">$F1159 &amp; ". " &amp;G1159</f>
        <v>197. </v>
      </c>
      <c r="K1159" s="152" t="str">
        <f t="shared" si="112"/>
        <v>197. </v>
      </c>
      <c r="L1159" s="152" t="str">
        <f t="shared" si="112"/>
        <v>197. </v>
      </c>
    </row>
    <row r="1160">
      <c r="A1160" s="68" t="s">
        <v>463</v>
      </c>
      <c r="B1160" s="169" t="s">
        <v>8162</v>
      </c>
      <c r="C1160" s="28" t="s">
        <v>8163</v>
      </c>
      <c r="D1160" s="28" t="s">
        <v>8164</v>
      </c>
      <c r="E1160" s="28" t="s">
        <v>8165</v>
      </c>
      <c r="F1160" s="161">
        <v>527.0</v>
      </c>
      <c r="G1160" s="152" t="str">
        <f>IFERROR(__xludf.DUMMYFUNCTION("TRIM(REGEXREPLACE(C1160, ""[0-9]+[a-f]?\."", """"))"),"Does ${hoh_roster_name} currently suffer from any illness or disability that limits their ability to travel or work?")</f>
        <v>Does ${hoh_roster_name} currently suffer from any illness or disability that limits their ability to travel or work?</v>
      </c>
      <c r="H1160" s="152" t="str">
        <f>IFERROR(__xludf.DUMMYFUNCTION("TRIM(REGEXREPLACE(D1160, ""[0-9]+[a-f]?\."", """"))"),"Est-ce que ${hoh_roster_name} souffre actuellement d'une maladie ou d'un handicap qui limite sa capacité à voyager ou à travailler ?")</f>
        <v>Est-ce que ${hoh_roster_name} souffre actuellement d'une maladie ou d'un handicap qui limite sa capacité à voyager ou à travailler ?</v>
      </c>
      <c r="I1160" s="152" t="str">
        <f>IFERROR(__xludf.DUMMYFUNCTION("TRIM(REGEXREPLACE(E1160, ""[0-9]+[a-f]?\."", """"))"),"ko a halin yanzu ${hoh_roster_name} yana da rashin lafiya ko naƙasa wanda ke iya hanashi zuwa balaguro ko yin aiki?")</f>
        <v>ko a halin yanzu ${hoh_roster_name} yana da rashin lafiya ko naƙasa wanda ke iya hanashi zuwa balaguro ko yin aiki?</v>
      </c>
      <c r="J1160" s="152" t="s">
        <v>8166</v>
      </c>
      <c r="K1160" s="152" t="s">
        <v>8167</v>
      </c>
      <c r="L1160" s="152" t="s">
        <v>8168</v>
      </c>
    </row>
    <row r="1161">
      <c r="A1161" s="68" t="s">
        <v>5848</v>
      </c>
      <c r="B1161" s="169" t="s">
        <v>8169</v>
      </c>
      <c r="C1161" s="28" t="s">
        <v>8171</v>
      </c>
      <c r="D1161" s="28" t="s">
        <v>8172</v>
      </c>
      <c r="E1161" s="28" t="s">
        <v>8173</v>
      </c>
      <c r="F1161" s="161">
        <v>528.0</v>
      </c>
      <c r="G1161" s="152" t="str">
        <f>IFERROR(__xludf.DUMMYFUNCTION("TRIM(REGEXREPLACE(C1161, ""[0-9]+[a-f]?\."", """"))"),"What illness limits ${hoh_roster_name} in this way?")</f>
        <v>What illness limits ${hoh_roster_name} in this way?</v>
      </c>
      <c r="H1161" s="152" t="str">
        <f>IFERROR(__xludf.DUMMYFUNCTION("TRIM(REGEXREPLACE(D1161, ""[0-9]+[a-f]?\."", """"))"),"Quelle maladie limite ${hoh_roster_name} de cette manière ?")</f>
        <v>Quelle maladie limite ${hoh_roster_name} de cette manière ?</v>
      </c>
      <c r="I1161" s="152" t="str">
        <f>IFERROR(__xludf.DUMMYFUNCTION("TRIM(REGEXREPLACE(E1161, ""[0-9]+[a-f]?\."", """"))"),"Wace rashin lafiya ke tsaida ${hoh_roster_name} ta haka ?")</f>
        <v>Wace rashin lafiya ke tsaida ${hoh_roster_name} ta haka ?</v>
      </c>
      <c r="J1161" s="152" t="s">
        <v>8176</v>
      </c>
      <c r="K1161" s="152" t="s">
        <v>8177</v>
      </c>
      <c r="L1161" s="152" t="s">
        <v>8178</v>
      </c>
    </row>
    <row r="1162">
      <c r="A1162" s="179" t="s">
        <v>246</v>
      </c>
      <c r="B1162" s="180" t="s">
        <v>8179</v>
      </c>
      <c r="C1162" s="28" t="s">
        <v>8180</v>
      </c>
      <c r="D1162" s="28" t="s">
        <v>8181</v>
      </c>
      <c r="E1162" s="28" t="s">
        <v>8182</v>
      </c>
      <c r="F1162" s="161">
        <v>529.0</v>
      </c>
      <c r="G1162" s="152" t="str">
        <f>IFERROR(__xludf.DUMMYFUNCTION("TRIM(REGEXREPLACE(C1162, ""[0-9]+[a-f]?\."", """"))"),"Other, specify:")</f>
        <v>Other, specify:</v>
      </c>
      <c r="H1162" s="152" t="str">
        <f>IFERROR(__xludf.DUMMYFUNCTION("TRIM(REGEXREPLACE(D1162, ""[0-9]+[a-f]?\."", """"))"),"Autre précisez:")</f>
        <v>Autre précisez:</v>
      </c>
      <c r="I1162" s="152" t="str">
        <f>IFERROR(__xludf.DUMMYFUNCTION("TRIM(REGEXREPLACE(E1162, ""[0-9]+[a-f]?\."", """"))"),"Sauran, bayar da cikakkun bayanai:")</f>
        <v>Sauran, bayar da cikakkun bayanai:</v>
      </c>
      <c r="J1162" s="152" t="s">
        <v>8183</v>
      </c>
      <c r="K1162" s="152" t="s">
        <v>8184</v>
      </c>
      <c r="L1162" s="152" t="s">
        <v>8185</v>
      </c>
    </row>
    <row r="1163">
      <c r="A1163" s="68" t="s">
        <v>463</v>
      </c>
      <c r="B1163" s="169" t="s">
        <v>8186</v>
      </c>
      <c r="C1163" s="28" t="s">
        <v>8187</v>
      </c>
      <c r="D1163" s="28" t="s">
        <v>8188</v>
      </c>
      <c r="E1163" s="28" t="s">
        <v>8190</v>
      </c>
      <c r="F1163" s="161">
        <v>530.0</v>
      </c>
      <c r="G1163" s="152" t="str">
        <f>IFERROR(__xludf.DUMMYFUNCTION("TRIM(REGEXREPLACE(C1163, ""[0-9]+[a-f]?\."", """"))"),"Does ${hoh_roster_name} have children?")</f>
        <v>Does ${hoh_roster_name} have children?</v>
      </c>
      <c r="H1163" s="152" t="str">
        <f>IFERROR(__xludf.DUMMYFUNCTION("TRIM(REGEXREPLACE(D1163, ""[0-9]+[a-f]?\."", """"))"),"Est-ce que ${hoh_roster_name} a des enfants ?")</f>
        <v>Est-ce que ${hoh_roster_name} a des enfants ?</v>
      </c>
      <c r="I1163" s="152" t="str">
        <f>IFERROR(__xludf.DUMMYFUNCTION("TRIM(REGEXREPLACE(E1163, ""[0-9]+[a-f]?\."", """"))"),"ko ${hoh_roster_name} yana da yara?")</f>
        <v>ko ${hoh_roster_name} yana da yara?</v>
      </c>
      <c r="J1163" s="152" t="s">
        <v>8194</v>
      </c>
      <c r="K1163" s="152" t="s">
        <v>8195</v>
      </c>
      <c r="L1163" s="152" t="s">
        <v>8196</v>
      </c>
    </row>
    <row r="1164">
      <c r="A1164" s="170" t="s">
        <v>263</v>
      </c>
      <c r="B1164" s="171" t="s">
        <v>8197</v>
      </c>
      <c r="C1164" s="28" t="s">
        <v>8198</v>
      </c>
      <c r="D1164" s="28" t="s">
        <v>8199</v>
      </c>
      <c r="E1164" s="28" t="s">
        <v>8200</v>
      </c>
      <c r="F1164" s="161">
        <v>531.0</v>
      </c>
      <c r="G1164" s="152" t="str">
        <f>IFERROR(__xludf.DUMMYFUNCTION("TRIM(REGEXREPLACE(C1164, ""[0-9]+[a-f]?\."", """"))"),"How many children is ${hoh_roster_name} responsible for?")</f>
        <v>How many children is ${hoh_roster_name} responsible for?</v>
      </c>
      <c r="H1164" s="152" t="str">
        <f>IFERROR(__xludf.DUMMYFUNCTION("TRIM(REGEXREPLACE(D1164, ""[0-9]+[a-f]?\."", """"))"),"De combien d'enfants ${hoh_roster_name} est-il responsable ?")</f>
        <v>De combien d'enfants ${hoh_roster_name} est-il responsable ?</v>
      </c>
      <c r="I1164" s="152" t="str">
        <f>IFERROR(__xludf.DUMMYFUNCTION("TRIM(REGEXREPLACE(E1164, ""[0-9]+[a-f]?\."", """"))"),"Yara nawa ne ${hoh_roster_name} yake ɗauke da Nauyinsu?")</f>
        <v>Yara nawa ne ${hoh_roster_name} yake ɗauke da Nauyinsu?</v>
      </c>
      <c r="J1164" s="152" t="s">
        <v>8204</v>
      </c>
      <c r="K1164" s="152" t="s">
        <v>8205</v>
      </c>
      <c r="L1164" s="152" t="s">
        <v>8206</v>
      </c>
    </row>
    <row r="1165">
      <c r="A1165" s="68" t="s">
        <v>8208</v>
      </c>
      <c r="B1165" s="169" t="s">
        <v>8209</v>
      </c>
      <c r="C1165" s="28" t="s">
        <v>8210</v>
      </c>
      <c r="D1165" s="28" t="s">
        <v>8211</v>
      </c>
      <c r="E1165" s="28" t="s">
        <v>8212</v>
      </c>
      <c r="F1165" s="161">
        <v>532.0</v>
      </c>
      <c r="G1165" s="152" t="str">
        <f>IFERROR(__xludf.DUMMYFUNCTION("TRIM(REGEXREPLACE(C1165, ""[0-9]+[a-f]?\."", """"))"),"What is the highest level of education that ${hoh_roster_name} has completed?")</f>
        <v>What is the highest level of education that ${hoh_roster_name} has completed?</v>
      </c>
      <c r="H1165" s="152" t="str">
        <f>IFERROR(__xludf.DUMMYFUNCTION("TRIM(REGEXREPLACE(D1165, ""[0-9]+[a-f]?\."", """"))"),"Quel est le plus haut niveau d'études atteint par ${hoh_roster_name} ?")</f>
        <v>Quel est le plus haut niveau d'études atteint par ${hoh_roster_name} ?</v>
      </c>
      <c r="I1165" s="152" t="str">
        <f>IFERROR(__xludf.DUMMYFUNCTION("TRIM(REGEXREPLACE(E1165, ""[0-9]+[a-f]?\."", """"))"),"Menene mafi girman mastayin ilimi da ${hoh_roster_name} ya kai?")</f>
        <v>Menene mafi girman mastayin ilimi da ${hoh_roster_name} ya kai?</v>
      </c>
      <c r="J1165" s="152" t="s">
        <v>8216</v>
      </c>
      <c r="K1165" s="152" t="s">
        <v>8218</v>
      </c>
      <c r="L1165" s="152" t="s">
        <v>8220</v>
      </c>
    </row>
    <row r="1166">
      <c r="A1166" s="68" t="s">
        <v>463</v>
      </c>
      <c r="B1166" s="169" t="s">
        <v>8225</v>
      </c>
      <c r="C1166" s="28" t="s">
        <v>8227</v>
      </c>
      <c r="D1166" s="28" t="s">
        <v>8228</v>
      </c>
      <c r="E1166" s="28" t="s">
        <v>8229</v>
      </c>
      <c r="F1166" s="161">
        <v>533.0</v>
      </c>
      <c r="G1166" s="152" t="str">
        <f>IFERROR(__xludf.DUMMYFUNCTION("TRIM(REGEXREPLACE(C1166, ""[0-9]+[a-f]?\."", """"))"),"Is ${hoh_roster_name} currently enrolled in school?")</f>
        <v>Is ${hoh_roster_name} currently enrolled in school?</v>
      </c>
      <c r="H1166" s="152" t="str">
        <f>IFERROR(__xludf.DUMMYFUNCTION("TRIM(REGEXREPLACE(D1166, ""[0-9]+[a-f]?\."", """"))"),"Est-ce que ${hoh_roster_name} est actuellement inscrit à l'école ?")</f>
        <v>Est-ce que ${hoh_roster_name} est actuellement inscrit à l'école ?</v>
      </c>
      <c r="I1166" s="152" t="str">
        <f>IFERROR(__xludf.DUMMYFUNCTION("TRIM(REGEXREPLACE(E1166, ""[0-9]+[a-f]?\."", """"))"),"Ko ${hoh_roster_name} yana yin lakwal a halin yanzu?")</f>
        <v>Ko ${hoh_roster_name} yana yin lakwal a halin yanzu?</v>
      </c>
      <c r="J1166" s="152" t="s">
        <v>8230</v>
      </c>
      <c r="K1166" s="152" t="s">
        <v>8231</v>
      </c>
      <c r="L1166" s="152" t="s">
        <v>8232</v>
      </c>
    </row>
    <row r="1167">
      <c r="A1167" s="68" t="s">
        <v>8233</v>
      </c>
      <c r="B1167" s="169" t="s">
        <v>8234</v>
      </c>
      <c r="C1167" s="28" t="s">
        <v>8235</v>
      </c>
      <c r="D1167" s="28" t="s">
        <v>8236</v>
      </c>
      <c r="E1167" s="28" t="s">
        <v>8237</v>
      </c>
      <c r="F1167" s="161">
        <v>534.0</v>
      </c>
      <c r="G1167" s="152" t="str">
        <f>IFERROR(__xludf.DUMMYFUNCTION("TRIM(REGEXREPLACE(C1167, ""[0-9]+[a-f]?\."", """"))"),"What kind of school is ${hoh_roster_name} enrolled in?")</f>
        <v>What kind of school is ${hoh_roster_name} enrolled in?</v>
      </c>
      <c r="H1167" s="152" t="str">
        <f>IFERROR(__xludf.DUMMYFUNCTION("TRIM(REGEXREPLACE(D1167, ""[0-9]+[a-f]?\."", """"))"),"Dans quel type d'école est inscrit ${hoh_roster_name} ?")</f>
        <v>Dans quel type d'école est inscrit ${hoh_roster_name} ?</v>
      </c>
      <c r="I1167" s="152" t="str">
        <f>IFERROR(__xludf.DUMMYFUNCTION("TRIM(REGEXREPLACE(E1167, ""[0-9]+[a-f]?\."", """"))"),"Wace irin makaranta aka rubuta ${hoh_roster_name}?")</f>
        <v>Wace irin makaranta aka rubuta ${hoh_roster_name}?</v>
      </c>
      <c r="J1167" s="152" t="s">
        <v>8238</v>
      </c>
      <c r="K1167" s="152" t="s">
        <v>8239</v>
      </c>
      <c r="L1167" s="152" t="s">
        <v>8240</v>
      </c>
    </row>
    <row r="1168">
      <c r="A1168" s="170" t="s">
        <v>263</v>
      </c>
      <c r="B1168" s="171" t="s">
        <v>8242</v>
      </c>
      <c r="C1168" s="28" t="s">
        <v>8244</v>
      </c>
      <c r="D1168" s="28" t="s">
        <v>8246</v>
      </c>
      <c r="E1168" s="28" t="s">
        <v>8247</v>
      </c>
      <c r="F1168" s="161">
        <v>535.0</v>
      </c>
      <c r="G1168" s="152" t="str">
        <f>IFERROR(__xludf.DUMMYFUNCTION("TRIM(REGEXREPLACE(C1168, ""[0-9]+[a-f]?\."", """"))"),"What is the cost of school fees for the current academic year in CFA?")</f>
        <v>What is the cost of school fees for the current academic year in CFA?</v>
      </c>
      <c r="H1168" s="152" t="str">
        <f>IFERROR(__xludf.DUMMYFUNCTION("TRIM(REGEXREPLACE(D1168, ""[0-9]+[a-f]?\."", """"))"),"Quel est le coût des frais de scolarité pour l'année scolaire en cours (en CFA) ?")</f>
        <v>Quel est le coût des frais de scolarité pour l'année scolaire en cours (en CFA) ?</v>
      </c>
      <c r="I1168" s="152" t="str">
        <f>IFERROR(__xludf.DUMMYFUNCTION("TRIM(REGEXREPLACE(E1168, ""[0-9]+[a-f]?\."", """"))"),"Nawa ne kuɗin makaranta na wannan shekarar (a sefa)?")</f>
        <v>Nawa ne kuɗin makaranta na wannan shekarar (a sefa)?</v>
      </c>
      <c r="J1168" s="152" t="s">
        <v>8248</v>
      </c>
      <c r="K1168" s="152" t="s">
        <v>8249</v>
      </c>
      <c r="L1168" s="152" t="s">
        <v>8250</v>
      </c>
    </row>
    <row r="1169">
      <c r="A1169" s="170" t="s">
        <v>263</v>
      </c>
      <c r="B1169" s="171" t="s">
        <v>8251</v>
      </c>
      <c r="C1169" s="28" t="s">
        <v>8252</v>
      </c>
      <c r="D1169" s="28" t="s">
        <v>8253</v>
      </c>
      <c r="E1169" s="28" t="s">
        <v>8254</v>
      </c>
      <c r="F1169" s="161">
        <v>536.0</v>
      </c>
      <c r="G1169" s="152" t="str">
        <f>IFERROR(__xludf.DUMMYFUNCTION("TRIM(REGEXREPLACE(C1169, ""[0-9]+[a-f]?\."", """"))"),"In the past month (four weeks) how many days has ${hoh_roster_name} missed school for health reasons?")</f>
        <v>In the past month (four weeks) how many days has ${hoh_roster_name} missed school for health reasons?</v>
      </c>
      <c r="H1169" s="152" t="str">
        <f>IFERROR(__xludf.DUMMYFUNCTION("TRIM(REGEXREPLACE(D1169, ""[0-9]+[a-f]?\."", """"))"),"Au cours du dernier mois (quatre semaines), combien de jours ${hoh_roster_name} a-t-il manqué l'école pour des raisons de santé ?")</f>
        <v>Au cours du dernier mois (quatre semaines), combien de jours ${hoh_roster_name} a-t-il manqué l'école pour des raisons de santé ?</v>
      </c>
      <c r="I1169" s="152" t="str">
        <f>IFERROR(__xludf.DUMMYFUNCTION("TRIM(REGEXREPLACE(E1169, ""[0-9]+[a-f]?\."", """"))"),"A cikin watan da ya gabata (sati hudu), kwanaki nawa ${hoh_roster_name} yayi fashin zuwa makaranta saboda wata rishin lafiya?")</f>
        <v>A cikin watan da ya gabata (sati hudu), kwanaki nawa ${hoh_roster_name} yayi fashin zuwa makaranta saboda wata rishin lafiya?</v>
      </c>
      <c r="J1169" s="152" t="s">
        <v>8258</v>
      </c>
      <c r="K1169" s="152" t="s">
        <v>8259</v>
      </c>
      <c r="L1169" s="152" t="s">
        <v>8260</v>
      </c>
    </row>
    <row r="1170">
      <c r="A1170" s="170" t="s">
        <v>263</v>
      </c>
      <c r="B1170" s="171" t="s">
        <v>8261</v>
      </c>
      <c r="C1170" s="28" t="s">
        <v>8262</v>
      </c>
      <c r="D1170" s="28" t="s">
        <v>8263</v>
      </c>
      <c r="E1170" s="28" t="s">
        <v>8264</v>
      </c>
      <c r="F1170" s="161">
        <v>537.0</v>
      </c>
      <c r="G1170" s="152" t="str">
        <f>IFERROR(__xludf.DUMMYFUNCTION("TRIM(REGEXREPLACE(C1170, ""[0-9]+[a-f]?\."", """"))"),"In the past month (four weeks) how many days has ${hoh_roster_name} missed school for work or other reasons?")</f>
        <v>In the past month (four weeks) how many days has ${hoh_roster_name} missed school for work or other reasons?</v>
      </c>
      <c r="H1170" s="152" t="str">
        <f>IFERROR(__xludf.DUMMYFUNCTION("TRIM(REGEXREPLACE(D1170, ""[0-9]+[a-f]?\."", """"))"),"Au cours du dernier mois (quatre semaines), combien de jours ${hoh_roster_name} a-t-il manqué l'école pour le travail ou pour d'autres raisons ?")</f>
        <v>Au cours du dernier mois (quatre semaines), combien de jours ${hoh_roster_name} a-t-il manqué l'école pour le travail ou pour d'autres raisons ?</v>
      </c>
      <c r="I1170" s="152" t="str">
        <f>IFERROR(__xludf.DUMMYFUNCTION("TRIM(REGEXREPLACE(E1170, ""[0-9]+[a-f]?\."", """"))"),"A cikin watan da ya gabata (makonni hudu), kwanaki nawa ${hoh_roster_name} yayi fashin makaranta saboda aiki ko wasu dalilai?")</f>
        <v>A cikin watan da ya gabata (makonni hudu), kwanaki nawa ${hoh_roster_name} yayi fashin makaranta saboda aiki ko wasu dalilai?</v>
      </c>
      <c r="J1170" s="152" t="s">
        <v>8265</v>
      </c>
      <c r="K1170" s="152" t="s">
        <v>8266</v>
      </c>
      <c r="L1170" s="152" t="s">
        <v>8267</v>
      </c>
    </row>
    <row r="1171">
      <c r="A1171" s="68" t="s">
        <v>2625</v>
      </c>
      <c r="B1171" s="169" t="s">
        <v>8271</v>
      </c>
      <c r="C1171" s="28" t="s">
        <v>8272</v>
      </c>
      <c r="D1171" s="28" t="s">
        <v>8273</v>
      </c>
      <c r="E1171" s="28" t="s">
        <v>8274</v>
      </c>
      <c r="F1171" s="161">
        <v>538.0</v>
      </c>
      <c r="G1171" s="152" t="str">
        <f>IFERROR(__xludf.DUMMYFUNCTION("TRIM(REGEXREPLACE(C1171, ""[0-9]+[a-f]?\."", """"))"),"Is ${hoh_roster_name} married?")</f>
        <v>Is ${hoh_roster_name} married?</v>
      </c>
      <c r="H1171" s="152" t="str">
        <f>IFERROR(__xludf.DUMMYFUNCTION("TRIM(REGEXREPLACE(D1171, ""[0-9]+[a-f]?\."", """"))"),"Est-ce que ${hoh_roster_name} est marié ?")</f>
        <v>Est-ce que ${hoh_roster_name} est marié ?</v>
      </c>
      <c r="I1171" s="152" t="str">
        <f>IFERROR(__xludf.DUMMYFUNCTION("TRIM(REGEXREPLACE(E1171, ""[0-9]+[a-f]?\."", """"))"),"Ko ${hoh_roster_name} yanada aure?")</f>
        <v>Ko ${hoh_roster_name} yanada aure?</v>
      </c>
      <c r="J1171" s="152" t="s">
        <v>8275</v>
      </c>
      <c r="K1171" s="152" t="s">
        <v>8276</v>
      </c>
      <c r="L1171" s="152" t="s">
        <v>8277</v>
      </c>
    </row>
    <row r="1172">
      <c r="A1172" s="170" t="s">
        <v>263</v>
      </c>
      <c r="B1172" s="171" t="s">
        <v>8278</v>
      </c>
      <c r="C1172" s="28" t="s">
        <v>8279</v>
      </c>
      <c r="D1172" s="28" t="s">
        <v>8280</v>
      </c>
      <c r="E1172" s="28" t="s">
        <v>8281</v>
      </c>
      <c r="F1172" s="161">
        <v>539.0</v>
      </c>
      <c r="G1172" s="152" t="str">
        <f>IFERROR(__xludf.DUMMYFUNCTION("TRIM(REGEXREPLACE(C1172, ""[0-9]+[a-f]?\."", """"))"),"How many wives does ${hoh_new_mem_name} have?")</f>
        <v>How many wives does ${hoh_new_mem_name} have?</v>
      </c>
      <c r="H1172" s="152" t="str">
        <f>IFERROR(__xludf.DUMMYFUNCTION("TRIM(REGEXREPLACE(D1172, ""[0-9]+[a-f]?\."", """"))"),"Combien de femmes a ${hoh_roster_name} ?")</f>
        <v>Combien de femmes a ${hoh_roster_name} ?</v>
      </c>
      <c r="I1172" s="152" t="str">
        <f>IFERROR(__xludf.DUMMYFUNCTION("TRIM(REGEXREPLACE(E1172, ""[0-9]+[a-f]?\."", """"))"),"Mata nawa ${hoh_roster_name} yake da su?")</f>
        <v>Mata nawa ${hoh_roster_name} yake da su?</v>
      </c>
      <c r="J1172" s="152" t="s">
        <v>8282</v>
      </c>
      <c r="K1172" s="152" t="s">
        <v>8283</v>
      </c>
      <c r="L1172" s="152" t="s">
        <v>8284</v>
      </c>
    </row>
    <row r="1173" hidden="1">
      <c r="A1173" s="140" t="s">
        <v>237</v>
      </c>
      <c r="B1173" s="191" t="s">
        <v>8285</v>
      </c>
      <c r="C1173" s="28"/>
      <c r="D1173" s="28"/>
      <c r="E1173" s="28"/>
      <c r="F1173" s="161">
        <v>643.0</v>
      </c>
      <c r="G1173" s="152" t="str">
        <f>IFERROR(__xludf.DUMMYFUNCTION("TRIM(REGEXREPLACE(C1173, ""[0-9]+[a-f]?\."", """"))"),"")</f>
        <v/>
      </c>
      <c r="H1173" s="152" t="str">
        <f>IFERROR(__xludf.DUMMYFUNCTION("TRIM(REGEXREPLACE(D1173, ""[0-9]+[a-f]?\."", """"))"),"")</f>
        <v/>
      </c>
      <c r="I1173" s="152" t="str">
        <f>IFERROR(__xludf.DUMMYFUNCTION("TRIM(REGEXREPLACE(E1173, ""[0-9]+[a-f]?\."", """"))"),"")</f>
        <v/>
      </c>
      <c r="J1173" s="152" t="s">
        <v>8289</v>
      </c>
      <c r="K1173" s="152" t="s">
        <v>8290</v>
      </c>
      <c r="L1173" s="152" t="s">
        <v>8291</v>
      </c>
    </row>
    <row r="1174" hidden="1">
      <c r="A1174" s="221"/>
      <c r="B1174" s="222"/>
      <c r="C1174" s="28"/>
      <c r="D1174" s="28"/>
      <c r="E1174" s="28"/>
      <c r="F1174" s="161">
        <v>199.0</v>
      </c>
      <c r="G1174" s="152" t="str">
        <f>IFERROR(__xludf.DUMMYFUNCTION("TRIM(REGEXREPLACE(C1174, ""[0-9]+[a-f]?\."", """"))"),"")</f>
        <v/>
      </c>
      <c r="H1174" s="152" t="str">
        <f>IFERROR(__xludf.DUMMYFUNCTION("TRIM(REGEXREPLACE(D1174, ""[0-9]+[a-f]?\."", """"))"),"")</f>
        <v/>
      </c>
      <c r="I1174" s="152" t="str">
        <f>IFERROR(__xludf.DUMMYFUNCTION("TRIM(REGEXREPLACE(E1174, ""[0-9]+[a-f]?\."", """"))"),"")</f>
        <v/>
      </c>
      <c r="J1174" s="152" t="str">
        <f t="shared" ref="J1174:L1174" si="113">$F1174 &amp; ". " &amp;G1174</f>
        <v>199. </v>
      </c>
      <c r="K1174" s="152" t="str">
        <f t="shared" si="113"/>
        <v>199. </v>
      </c>
      <c r="L1174" s="152" t="str">
        <f t="shared" si="113"/>
        <v>199. </v>
      </c>
    </row>
    <row r="1175" hidden="1">
      <c r="A1175" s="140" t="s">
        <v>131</v>
      </c>
      <c r="B1175" s="164" t="s">
        <v>8295</v>
      </c>
      <c r="C1175" s="28" t="s">
        <v>8296</v>
      </c>
      <c r="D1175" s="28"/>
      <c r="E1175" s="28"/>
      <c r="F1175" s="161">
        <v>200.0</v>
      </c>
      <c r="G1175" s="152" t="str">
        <f>IFERROR(__xludf.DUMMYFUNCTION("TRIM(REGEXREPLACE(C1175, ""[0-9]+[a-f]?\."", """"))"),"Past Migration")</f>
        <v>Past Migration</v>
      </c>
      <c r="H1175" s="152" t="str">
        <f>IFERROR(__xludf.DUMMYFUNCTION("TRIM(REGEXREPLACE(D1175, ""[0-9]+[a-f]?\."", """"))"),"")</f>
        <v/>
      </c>
      <c r="I1175" s="152" t="str">
        <f>IFERROR(__xludf.DUMMYFUNCTION("TRIM(REGEXREPLACE(E1175, ""[0-9]+[a-f]?\."", """"))"),"")</f>
        <v/>
      </c>
      <c r="J1175" s="152" t="str">
        <f t="shared" ref="J1175:L1175" si="114">$F1175 &amp; ". " &amp;G1175</f>
        <v>200. Past Migration</v>
      </c>
      <c r="K1175" s="152" t="str">
        <f t="shared" si="114"/>
        <v>200. </v>
      </c>
      <c r="L1175" s="152" t="str">
        <f t="shared" si="114"/>
        <v>200. </v>
      </c>
    </row>
    <row r="1176">
      <c r="A1176" s="166" t="s">
        <v>41</v>
      </c>
      <c r="B1176" s="167" t="s">
        <v>8301</v>
      </c>
      <c r="C1176" s="28" t="s">
        <v>8302</v>
      </c>
      <c r="D1176" s="28" t="s">
        <v>8303</v>
      </c>
      <c r="E1176" s="28" t="s">
        <v>8304</v>
      </c>
      <c r="F1176" s="161">
        <v>540.0</v>
      </c>
      <c r="G1176" s="152" t="str">
        <f>IFERROR(__xludf.DUMMYFUNCTION("TRIM(REGEXREPLACE(C1176, ""[0-9]+[a-f]?\."", """"))"),"We would now like to ask you about the migration history of ${hoh_roster_name}.")</f>
        <v>We would now like to ask you about the migration history of ${hoh_roster_name}.</v>
      </c>
      <c r="H1176" s="152" t="str">
        <f>IFERROR(__xludf.DUMMYFUNCTION("TRIM(REGEXREPLACE(D1176, ""[0-9]+[a-f]?\."", """"))"),"Nous aimerions maintenant vous poser des questions sur l'historique de migration de ${hoh_roster_name}.")</f>
        <v>Nous aimerions maintenant vous poser des questions sur l'historique de migration de ${hoh_roster_name}.</v>
      </c>
      <c r="I1176" s="152" t="str">
        <f>IFERROR(__xludf.DUMMYFUNCTION("TRIM(REGEXREPLACE(E1176, ""[0-9]+[a-f]?\."", """"))"),"Yanzu muna so mu tambaye ka tarihin zuwa biɗa na ${hoh_roster_name}.")</f>
        <v>Yanzu muna so mu tambaye ka tarihin zuwa biɗa na ${hoh_roster_name}.</v>
      </c>
      <c r="J1176" s="152" t="s">
        <v>8305</v>
      </c>
      <c r="K1176" s="152" t="s">
        <v>8306</v>
      </c>
      <c r="L1176" s="152" t="s">
        <v>8307</v>
      </c>
    </row>
    <row r="1177">
      <c r="A1177" s="68" t="s">
        <v>2625</v>
      </c>
      <c r="B1177" s="169" t="s">
        <v>8308</v>
      </c>
      <c r="C1177" s="28" t="s">
        <v>8309</v>
      </c>
      <c r="D1177" s="28" t="s">
        <v>8310</v>
      </c>
      <c r="E1177" s="28" t="s">
        <v>8311</v>
      </c>
      <c r="F1177" s="161">
        <v>541.0</v>
      </c>
      <c r="G1177" s="152" t="str">
        <f>IFERROR(__xludf.DUMMYFUNCTION("TRIM(REGEXREPLACE(C1177, ""[0-9]+[a-f]?\."", """"))"),"Since ${period}, has ${hoh_roster_name} spent more than a week (7 days) away from home?")</f>
        <v>Since ${period}, has ${hoh_roster_name} spent more than a week (7 days) away from home?</v>
      </c>
      <c r="H1177" s="152" t="str">
        <f>IFERROR(__xludf.DUMMYFUNCTION("TRIM(REGEXREPLACE(D1177, ""[0-9]+[a-f]?\."", """"))"),"Depuis cette ${period_french}, ${hoh_roster_name} a-t-il passé plus d'une semaine (7 jours) loin de chez lui ?")</f>
        <v>Depuis cette ${period_french}, ${hoh_roster_name} a-t-il passé plus d'une semaine (7 jours) loin de chez lui ?</v>
      </c>
      <c r="I1177" s="152" t="str">
        <f>IFERROR(__xludf.DUMMYFUNCTION("TRIM(REGEXREPLACE(E1177, ""[0-9]+[a-f]?\."", """"))"),"Tun wancan ${period_hausa}, ${hoh_roster_name} ya shafe fiye da sati guda (kwana 7) baya gida?")</f>
        <v>Tun wancan ${period_hausa}, ${hoh_roster_name} ya shafe fiye da sati guda (kwana 7) baya gida?</v>
      </c>
      <c r="J1177" s="152" t="s">
        <v>8312</v>
      </c>
      <c r="K1177" s="152" t="s">
        <v>8313</v>
      </c>
      <c r="L1177" s="152" t="s">
        <v>8314</v>
      </c>
    </row>
    <row r="1178">
      <c r="A1178" s="68" t="s">
        <v>4994</v>
      </c>
      <c r="B1178" s="169" t="s">
        <v>8317</v>
      </c>
      <c r="C1178" s="28" t="s">
        <v>8319</v>
      </c>
      <c r="D1178" s="28" t="s">
        <v>8320</v>
      </c>
      <c r="E1178" s="28" t="s">
        <v>8321</v>
      </c>
      <c r="F1178" s="161">
        <v>542.0</v>
      </c>
      <c r="G1178" s="152" t="str">
        <f>IFERROR(__xludf.DUMMYFUNCTION("TRIM(REGEXREPLACE(C1178, ""[0-9]+[a-f]?\."", """"))"),"Since ${period}, in which of the following countries has ${hoh_roster_name} spent more than one week? Select all that apply")</f>
        <v>Since ${period}, in which of the following countries has ${hoh_roster_name} spent more than one week? Select all that apply</v>
      </c>
      <c r="H1178" s="152" t="str">
        <f>IFERROR(__xludf.DUMMYFUNCTION("TRIM(REGEXREPLACE(D1178, ""[0-9]+[a-f]?\."", """"))"),"Depuis cette ${period_french}, dans lequel des pays suivants hoh_roster_name a-t-il passé plus d'une semaine ? Sélectionnez tout ce qui s'y rapporte")</f>
        <v>Depuis cette ${period_french}, dans lequel des pays suivants hoh_roster_name a-t-il passé plus d'une semaine ? Sélectionnez tout ce qui s'y rapporte</v>
      </c>
      <c r="I1178" s="152" t="str">
        <f>IFERROR(__xludf.DUMMYFUNCTION("TRIM(REGEXREPLACE(E1178, ""[0-9]+[a-f]?\."", """"))"),"Tun daga wancan ${period_hausa}, a cikin waɗanne ƙasashe ne ${hoh_roster_name} ya shafe fiye da mako ɗaya? Zaɓi duk abin da ya dace")</f>
        <v>Tun daga wancan ${period_hausa}, a cikin waɗanne ƙasashe ne ${hoh_roster_name} ya shafe fiye da mako ɗaya? Zaɓi duk abin da ya dace</v>
      </c>
      <c r="J1178" s="152" t="s">
        <v>8322</v>
      </c>
      <c r="K1178" s="152" t="s">
        <v>8323</v>
      </c>
      <c r="L1178" s="152" t="s">
        <v>8324</v>
      </c>
    </row>
    <row r="1179">
      <c r="A1179" s="179" t="s">
        <v>246</v>
      </c>
      <c r="B1179" s="180" t="s">
        <v>8326</v>
      </c>
      <c r="C1179" s="28" t="s">
        <v>8327</v>
      </c>
      <c r="D1179" s="28" t="s">
        <v>8328</v>
      </c>
      <c r="E1179" s="28" t="s">
        <v>8329</v>
      </c>
      <c r="F1179" s="161">
        <v>543.0</v>
      </c>
      <c r="G1179" s="152" t="str">
        <f>IFERROR(__xludf.DUMMYFUNCTION("TRIM(REGEXREPLACE(C1179, ""[0-9]+[a-f]?\."", """"))"),"Specify other")</f>
        <v>Specify other</v>
      </c>
      <c r="H1179" s="152" t="str">
        <f>IFERROR(__xludf.DUMMYFUNCTION("TRIM(REGEXREPLACE(D1179, ""[0-9]+[a-f]?\."", """"))"),"Autre à préciser")</f>
        <v>Autre à préciser</v>
      </c>
      <c r="I1179" s="152" t="str">
        <f>IFERROR(__xludf.DUMMYFUNCTION("TRIM(REGEXREPLACE(E1179, ""[0-9]+[a-f]?\."", """"))"),"Wani daban a Bayyana")</f>
        <v>Wani daban a Bayyana</v>
      </c>
      <c r="J1179" s="152" t="s">
        <v>8330</v>
      </c>
      <c r="K1179" s="152" t="s">
        <v>8331</v>
      </c>
      <c r="L1179" s="152" t="s">
        <v>8333</v>
      </c>
    </row>
    <row r="1180" hidden="1">
      <c r="A1180" s="90" t="s">
        <v>78</v>
      </c>
      <c r="B1180" s="92" t="s">
        <v>8336</v>
      </c>
      <c r="C1180" s="28"/>
      <c r="D1180" s="28"/>
      <c r="E1180" s="28"/>
      <c r="F1180" s="161">
        <v>758.0</v>
      </c>
      <c r="G1180" s="152" t="str">
        <f>IFERROR(__xludf.DUMMYFUNCTION("TRIM(REGEXREPLACE(C1180, ""[0-9]+[a-f]?\."", """"))"),"")</f>
        <v/>
      </c>
      <c r="H1180" s="152" t="str">
        <f>IFERROR(__xludf.DUMMYFUNCTION("TRIM(REGEXREPLACE(D1180, ""[0-9]+[a-f]?\."", """"))"),"")</f>
        <v/>
      </c>
      <c r="I1180" s="152" t="str">
        <f>IFERROR(__xludf.DUMMYFUNCTION("TRIM(REGEXREPLACE(E1180, ""[0-9]+[a-f]?\."", """"))"),"")</f>
        <v/>
      </c>
      <c r="J1180" s="152" t="str">
        <f t="shared" ref="J1180:L1180" si="115">$F1180&amp;". "&amp;G1180</f>
        <v>758. </v>
      </c>
      <c r="K1180" s="152" t="str">
        <f t="shared" si="115"/>
        <v>758. </v>
      </c>
      <c r="L1180" s="152" t="str">
        <f t="shared" si="115"/>
        <v>758. </v>
      </c>
    </row>
    <row r="1181" hidden="1">
      <c r="A1181" s="90" t="s">
        <v>78</v>
      </c>
      <c r="B1181" s="92" t="s">
        <v>8337</v>
      </c>
      <c r="C1181" s="28"/>
      <c r="D1181" s="28"/>
      <c r="E1181" s="28"/>
      <c r="F1181" s="161">
        <v>700.0</v>
      </c>
      <c r="G1181" s="152" t="str">
        <f>IFERROR(__xludf.DUMMYFUNCTION("TRIM(REGEXREPLACE(C1181, ""[0-9]+[a-f]?\."", """"))"),"")</f>
        <v/>
      </c>
      <c r="H1181" s="152" t="str">
        <f>IFERROR(__xludf.DUMMYFUNCTION("TRIM(REGEXREPLACE(D1181, ""[0-9]+[a-f]?\."", """"))"),"")</f>
        <v/>
      </c>
      <c r="I1181" s="152" t="str">
        <f>IFERROR(__xludf.DUMMYFUNCTION("TRIM(REGEXREPLACE(E1181, ""[0-9]+[a-f]?\."", """"))"),"")</f>
        <v/>
      </c>
      <c r="J1181" s="152" t="s">
        <v>8340</v>
      </c>
      <c r="K1181" s="152" t="s">
        <v>8342</v>
      </c>
      <c r="L1181" s="152" t="s">
        <v>8343</v>
      </c>
    </row>
    <row r="1182" hidden="1">
      <c r="A1182" s="90" t="s">
        <v>78</v>
      </c>
      <c r="B1182" s="92" t="s">
        <v>8344</v>
      </c>
      <c r="C1182" s="28" t="s">
        <v>8345</v>
      </c>
      <c r="D1182" s="28"/>
      <c r="E1182" s="28"/>
      <c r="F1182" s="161">
        <v>203.0</v>
      </c>
      <c r="G1182" s="152" t="str">
        <f>IFERROR(__xludf.DUMMYFUNCTION("TRIM(REGEXREPLACE(C1182, ""[0-9]+[a-f]?\."", """"))"),"Excludes Burkina Faso and Mali")</f>
        <v>Excludes Burkina Faso and Mali</v>
      </c>
      <c r="H1182" s="152" t="str">
        <f>IFERROR(__xludf.DUMMYFUNCTION("TRIM(REGEXREPLACE(D1182, ""[0-9]+[a-f]?\."", """"))"),"")</f>
        <v/>
      </c>
      <c r="I1182" s="152" t="str">
        <f>IFERROR(__xludf.DUMMYFUNCTION("TRIM(REGEXREPLACE(E1182, ""[0-9]+[a-f]?\."", """"))"),"")</f>
        <v/>
      </c>
      <c r="J1182" s="152" t="str">
        <f t="shared" ref="J1182:L1182" si="116">$F1182 &amp; ". " &amp;G1182</f>
        <v>203. Excludes Burkina Faso and Mali</v>
      </c>
      <c r="K1182" s="152" t="str">
        <f t="shared" si="116"/>
        <v>203. </v>
      </c>
      <c r="L1182" s="152" t="str">
        <f t="shared" si="116"/>
        <v>203. </v>
      </c>
    </row>
    <row r="1183" hidden="1">
      <c r="A1183" s="90" t="s">
        <v>78</v>
      </c>
      <c r="B1183" s="92" t="s">
        <v>8348</v>
      </c>
      <c r="C1183" s="28"/>
      <c r="D1183" s="28"/>
      <c r="E1183" s="28"/>
      <c r="F1183" s="161">
        <v>204.0</v>
      </c>
      <c r="G1183" s="152" t="str">
        <f>IFERROR(__xludf.DUMMYFUNCTION("TRIM(REGEXREPLACE(C1183, ""[0-9]+[a-f]?\."", """"))"),"")</f>
        <v/>
      </c>
      <c r="H1183" s="152" t="str">
        <f>IFERROR(__xludf.DUMMYFUNCTION("TRIM(REGEXREPLACE(D1183, ""[0-9]+[a-f]?\."", """"))"),"")</f>
        <v/>
      </c>
      <c r="I1183" s="152" t="str">
        <f>IFERROR(__xludf.DUMMYFUNCTION("TRIM(REGEXREPLACE(E1183, ""[0-9]+[a-f]?\."", """"))"),"")</f>
        <v/>
      </c>
      <c r="J1183" s="152" t="str">
        <f t="shared" ref="J1183:L1183" si="117">$F1183 &amp; ". " &amp;G1183</f>
        <v>204. </v>
      </c>
      <c r="K1183" s="152" t="str">
        <f t="shared" si="117"/>
        <v>204. </v>
      </c>
      <c r="L1183" s="152" t="str">
        <f t="shared" si="117"/>
        <v>204. </v>
      </c>
    </row>
    <row r="1184" hidden="1">
      <c r="A1184" s="90" t="s">
        <v>134</v>
      </c>
      <c r="B1184" s="92" t="s">
        <v>8352</v>
      </c>
      <c r="C1184" s="28"/>
      <c r="D1184" s="28"/>
      <c r="E1184" s="28"/>
      <c r="F1184" s="161">
        <v>205.0</v>
      </c>
      <c r="G1184" s="152" t="str">
        <f>IFERROR(__xludf.DUMMYFUNCTION("TRIM(REGEXREPLACE(C1184, ""[0-9]+[a-f]?\."", """"))"),"")</f>
        <v/>
      </c>
      <c r="H1184" s="152" t="str">
        <f>IFERROR(__xludf.DUMMYFUNCTION("TRIM(REGEXREPLACE(D1184, ""[0-9]+[a-f]?\."", """"))"),"")</f>
        <v/>
      </c>
      <c r="I1184" s="152" t="str">
        <f>IFERROR(__xludf.DUMMYFUNCTION("TRIM(REGEXREPLACE(E1184, ""[0-9]+[a-f]?\."", """"))"),"")</f>
        <v/>
      </c>
      <c r="J1184" s="152" t="str">
        <f t="shared" ref="J1184:L1184" si="118">$F1184 &amp; ". " &amp;G1184</f>
        <v>205. </v>
      </c>
      <c r="K1184" s="152" t="str">
        <f t="shared" si="118"/>
        <v>205. </v>
      </c>
      <c r="L1184" s="152" t="str">
        <f t="shared" si="118"/>
        <v>205. </v>
      </c>
    </row>
    <row r="1185" hidden="1">
      <c r="A1185" s="174" t="s">
        <v>698</v>
      </c>
      <c r="B1185" s="175" t="s">
        <v>8353</v>
      </c>
      <c r="C1185" s="28" t="s">
        <v>8355</v>
      </c>
      <c r="D1185" s="28"/>
      <c r="E1185" s="28"/>
      <c r="F1185" s="161">
        <v>206.0</v>
      </c>
      <c r="G1185" s="152" t="str">
        <f>IFERROR(__xludf.DUMMYFUNCTION("TRIM(REGEXREPLACE(C1185, ""[0-9]+[a-f]?\."", """"))"),"Countries")</f>
        <v>Countries</v>
      </c>
      <c r="H1185" s="152" t="str">
        <f>IFERROR(__xludf.DUMMYFUNCTION("TRIM(REGEXREPLACE(D1185, ""[0-9]+[a-f]?\."", """"))"),"")</f>
        <v/>
      </c>
      <c r="I1185" s="152" t="str">
        <f>IFERROR(__xludf.DUMMYFUNCTION("TRIM(REGEXREPLACE(E1185, ""[0-9]+[a-f]?\."", """"))"),"")</f>
        <v/>
      </c>
      <c r="J1185" s="152" t="str">
        <f t="shared" ref="J1185:L1185" si="119">$F1185 &amp; ". " &amp;G1185</f>
        <v>206. Countries</v>
      </c>
      <c r="K1185" s="152" t="str">
        <f t="shared" si="119"/>
        <v>206. </v>
      </c>
      <c r="L1185" s="152" t="str">
        <f t="shared" si="119"/>
        <v>206. </v>
      </c>
    </row>
    <row r="1186" hidden="1">
      <c r="A1186" s="90" t="s">
        <v>78</v>
      </c>
      <c r="B1186" s="92" t="s">
        <v>8358</v>
      </c>
      <c r="C1186" s="28" t="s">
        <v>8359</v>
      </c>
      <c r="D1186" s="28"/>
      <c r="E1186" s="28"/>
      <c r="F1186" s="161">
        <v>207.0</v>
      </c>
      <c r="G1186" s="152" t="str">
        <f>IFERROR(__xludf.DUMMYFUNCTION("TRIM(REGEXREPLACE(C1186, ""[0-9]+[a-f]?\."", """"))"),"Repeat Group Index")</f>
        <v>Repeat Group Index</v>
      </c>
      <c r="H1186" s="152" t="str">
        <f>IFERROR(__xludf.DUMMYFUNCTION("TRIM(REGEXREPLACE(D1186, ""[0-9]+[a-f]?\."", """"))"),"")</f>
        <v/>
      </c>
      <c r="I1186" s="152" t="str">
        <f>IFERROR(__xludf.DUMMYFUNCTION("TRIM(REGEXREPLACE(E1186, ""[0-9]+[a-f]?\."", """"))"),"")</f>
        <v/>
      </c>
      <c r="J1186" s="152" t="str">
        <f t="shared" ref="J1186:L1186" si="120">$F1186 &amp; ". " &amp;G1186</f>
        <v>207. Repeat Group Index</v>
      </c>
      <c r="K1186" s="152" t="str">
        <f t="shared" si="120"/>
        <v>207. </v>
      </c>
      <c r="L1186" s="152" t="str">
        <f t="shared" si="120"/>
        <v>207. </v>
      </c>
    </row>
    <row r="1187" hidden="1">
      <c r="A1187" s="90" t="s">
        <v>78</v>
      </c>
      <c r="B1187" s="92" t="s">
        <v>8363</v>
      </c>
      <c r="C1187" s="28" t="s">
        <v>8364</v>
      </c>
      <c r="D1187" s="28"/>
      <c r="E1187" s="28"/>
      <c r="F1187" s="161">
        <v>654.0</v>
      </c>
      <c r="G1187" s="152" t="str">
        <f>IFERROR(__xludf.DUMMYFUNCTION("TRIM(REGEXREPLACE(C1187, ""[0-9]+[a-f]?\."", """"))"),"Country Index")</f>
        <v>Country Index</v>
      </c>
      <c r="H1187" s="152" t="str">
        <f>IFERROR(__xludf.DUMMYFUNCTION("TRIM(REGEXREPLACE(D1187, ""[0-9]+[a-f]?\."", """"))"),"")</f>
        <v/>
      </c>
      <c r="I1187" s="152" t="str">
        <f>IFERROR(__xludf.DUMMYFUNCTION("TRIM(REGEXREPLACE(E1187, ""[0-9]+[a-f]?\."", """"))"),"")</f>
        <v/>
      </c>
      <c r="J1187" s="152" t="s">
        <v>8365</v>
      </c>
      <c r="K1187" s="152" t="s">
        <v>8366</v>
      </c>
      <c r="L1187" s="152" t="s">
        <v>8367</v>
      </c>
    </row>
    <row r="1188" hidden="1">
      <c r="A1188" s="90" t="s">
        <v>78</v>
      </c>
      <c r="B1188" s="92" t="s">
        <v>8368</v>
      </c>
      <c r="C1188" s="28" t="s">
        <v>5026</v>
      </c>
      <c r="D1188" s="28"/>
      <c r="E1188" s="28"/>
      <c r="F1188" s="161">
        <v>655.0</v>
      </c>
      <c r="G1188" s="152" t="str">
        <f>IFERROR(__xludf.DUMMYFUNCTION("TRIM(REGEXREPLACE(C1188, ""[0-9]+[a-f]?\."", """"))"),"Country Name")</f>
        <v>Country Name</v>
      </c>
      <c r="H1188" s="152" t="str">
        <f>IFERROR(__xludf.DUMMYFUNCTION("TRIM(REGEXREPLACE(D1188, ""[0-9]+[a-f]?\."", """"))"),"")</f>
        <v/>
      </c>
      <c r="I1188" s="152" t="str">
        <f>IFERROR(__xludf.DUMMYFUNCTION("TRIM(REGEXREPLACE(E1188, ""[0-9]+[a-f]?\."", """"))"),"")</f>
        <v/>
      </c>
      <c r="J1188" s="152" t="s">
        <v>8369</v>
      </c>
      <c r="K1188" s="152" t="s">
        <v>8370</v>
      </c>
      <c r="L1188" s="152" t="s">
        <v>8371</v>
      </c>
    </row>
    <row r="1189">
      <c r="A1189" s="68" t="s">
        <v>5030</v>
      </c>
      <c r="B1189" s="169" t="s">
        <v>8374</v>
      </c>
      <c r="C1189" s="28" t="s">
        <v>8375</v>
      </c>
      <c r="D1189" s="28" t="s">
        <v>8377</v>
      </c>
      <c r="E1189" s="28" t="s">
        <v>8378</v>
      </c>
      <c r="F1189" s="161">
        <v>544.0</v>
      </c>
      <c r="G1189" s="152" t="str">
        <f>IFERROR(__xludf.DUMMYFUNCTION("TRIM(REGEXREPLACE(C1189, ""[0-9]+[a-f]?\."", """"))"),"In ${hoh_destination}, what was the name of the city or town that ${hoh_roster_name} moved to?")</f>
        <v>In ${hoh_destination}, what was the name of the city or town that ${hoh_roster_name} moved to?</v>
      </c>
      <c r="H1189" s="152" t="str">
        <f>IFERROR(__xludf.DUMMYFUNCTION("TRIM(REGEXREPLACE(D1189, ""[0-9]+[a-f]?\."", """"))"),"À ${hoh_destination}, quel était le nom de la ville dans laquelle ${hoh_roster_name} il a séjourné ?")</f>
        <v>À ${hoh_destination}, quel était le nom de la ville dans laquelle ${hoh_roster_name} il a séjourné ?</v>
      </c>
      <c r="I1189" s="152" t="str">
        <f>IFERROR(__xludf.DUMMYFUNCTION("TRIM(REGEXREPLACE(E1189, ""[0-9]+[a-f]?\."", """"))"),"A ${hoh_destination}, menene sunan birnin da ${hoh_roster_name} ya zauna?")</f>
        <v>A ${hoh_destination}, menene sunan birnin da ${hoh_roster_name} ya zauna?</v>
      </c>
      <c r="J1189" s="152" t="s">
        <v>8380</v>
      </c>
      <c r="K1189" s="152" t="s">
        <v>8381</v>
      </c>
      <c r="L1189" s="152" t="s">
        <v>8382</v>
      </c>
    </row>
    <row r="1190">
      <c r="A1190" s="179" t="s">
        <v>246</v>
      </c>
      <c r="B1190" s="180" t="s">
        <v>8383</v>
      </c>
      <c r="C1190" s="28" t="s">
        <v>8384</v>
      </c>
      <c r="D1190" s="28" t="s">
        <v>8385</v>
      </c>
      <c r="E1190" s="28" t="s">
        <v>8386</v>
      </c>
      <c r="F1190" s="161">
        <v>545.0</v>
      </c>
      <c r="G1190" s="152" t="str">
        <f>IFERROR(__xludf.DUMMYFUNCTION("TRIM(REGEXREPLACE(C1190, ""[0-9]+[a-f]?\."", """"))"),"Specify other")</f>
        <v>Specify other</v>
      </c>
      <c r="H1190" s="152" t="str">
        <f>IFERROR(__xludf.DUMMYFUNCTION("TRIM(REGEXREPLACE(D1190, ""[0-9]+[a-f]?\."", """"))"),"Autre à préciser")</f>
        <v>Autre à préciser</v>
      </c>
      <c r="I1190" s="152" t="str">
        <f>IFERROR(__xludf.DUMMYFUNCTION("TRIM(REGEXREPLACE(E1190, ""[0-9]+[a-f]?\."", """"))"),"Wani daban a Bayyana")</f>
        <v>Wani daban a Bayyana</v>
      </c>
      <c r="J1190" s="152" t="s">
        <v>8389</v>
      </c>
      <c r="K1190" s="152" t="s">
        <v>8390</v>
      </c>
      <c r="L1190" s="152" t="s">
        <v>8392</v>
      </c>
    </row>
    <row r="1191">
      <c r="A1191" s="68" t="s">
        <v>5050</v>
      </c>
      <c r="B1191" s="169" t="s">
        <v>8393</v>
      </c>
      <c r="C1191" s="28" t="s">
        <v>8394</v>
      </c>
      <c r="D1191" s="28" t="s">
        <v>8395</v>
      </c>
      <c r="E1191" s="28" t="s">
        <v>8396</v>
      </c>
      <c r="F1191" s="161">
        <v>546.0</v>
      </c>
      <c r="G1191" s="152" t="str">
        <f>IFERROR(__xludf.DUMMYFUNCTION("TRIM(REGEXREPLACE(C1191, ""[0-9]+[a-f]?\."", """"))"),"In ${hoh_destination}, what was the name of the region that ${hoh_roster_name} moved to?")</f>
        <v>In ${hoh_destination}, what was the name of the region that ${hoh_roster_name} moved to?</v>
      </c>
      <c r="H1191" s="152" t="str">
        <f>IFERROR(__xludf.DUMMYFUNCTION("TRIM(REGEXREPLACE(D1191, ""[0-9]+[a-f]?\."", """"))"),"Dans ${hoh_destination}, quel était le nom de la région vers laquelle ${hoh_roster_name} a été déplacé ?")</f>
        <v>Dans ${hoh_destination}, quel était le nom de la région vers laquelle ${hoh_roster_name} a été déplacé ?</v>
      </c>
      <c r="I1191" s="152" t="str">
        <f>IFERROR(__xludf.DUMMYFUNCTION("TRIM(REGEXREPLACE(E1191, ""[0-9]+[a-f]?\."", """"))"),"A ${hoh_destination}, menene sunan yankin da ${hoh_roster_name} ya koma?")</f>
        <v>A ${hoh_destination}, menene sunan yankin da ${hoh_roster_name} ya koma?</v>
      </c>
      <c r="J1191" s="152" t="s">
        <v>8397</v>
      </c>
      <c r="K1191" s="152" t="s">
        <v>8398</v>
      </c>
      <c r="L1191" s="152" t="s">
        <v>8399</v>
      </c>
    </row>
    <row r="1192">
      <c r="A1192" s="179" t="s">
        <v>246</v>
      </c>
      <c r="B1192" s="180" t="s">
        <v>8400</v>
      </c>
      <c r="C1192" s="28" t="s">
        <v>8401</v>
      </c>
      <c r="D1192" s="28" t="s">
        <v>8402</v>
      </c>
      <c r="E1192" s="28" t="s">
        <v>8403</v>
      </c>
      <c r="F1192" s="161">
        <v>547.0</v>
      </c>
      <c r="G1192" s="152" t="str">
        <f>IFERROR(__xludf.DUMMYFUNCTION("TRIM(REGEXREPLACE(C1192, ""[0-9]+[a-f]?\."", """"))"),"Specify other")</f>
        <v>Specify other</v>
      </c>
      <c r="H1192" s="152" t="str">
        <f>IFERROR(__xludf.DUMMYFUNCTION("TRIM(REGEXREPLACE(D1192, ""[0-9]+[a-f]?\."", """"))"),"Autre à préciser")</f>
        <v>Autre à préciser</v>
      </c>
      <c r="I1192" s="152" t="str">
        <f>IFERROR(__xludf.DUMMYFUNCTION("TRIM(REGEXREPLACE(E1192, ""[0-9]+[a-f]?\."", """"))"),"Wani daban a Bayyana")</f>
        <v>Wani daban a Bayyana</v>
      </c>
      <c r="J1192" s="152" t="s">
        <v>8404</v>
      </c>
      <c r="K1192" s="152" t="s">
        <v>8405</v>
      </c>
      <c r="L1192" s="152" t="s">
        <v>8406</v>
      </c>
    </row>
    <row r="1193">
      <c r="A1193" s="170" t="s">
        <v>263</v>
      </c>
      <c r="B1193" s="171" t="s">
        <v>8407</v>
      </c>
      <c r="C1193" s="28" t="s">
        <v>8408</v>
      </c>
      <c r="D1193" s="28" t="s">
        <v>8409</v>
      </c>
      <c r="E1193" s="28" t="s">
        <v>8410</v>
      </c>
      <c r="F1193" s="161">
        <v>548.0</v>
      </c>
      <c r="G1193" s="152" t="str">
        <f>IFERROR(__xludf.DUMMYFUNCTION("TRIM(REGEXREPLACE(C1193, ""[0-9]+[a-f]?\."", """"))"),"How many times did ${hoh_roster_name} travel to ${hoh_destination} since ${period}?")</f>
        <v>How many times did ${hoh_roster_name} travel to ${hoh_destination} since ${period}?</v>
      </c>
      <c r="H1193" s="152" t="str">
        <f>IFERROR(__xludf.DUMMYFUNCTION("TRIM(REGEXREPLACE(D1193, ""[0-9]+[a-f]?\."", """"))"),"Combien de fois ${hoh_roster_name} s'est-il rendu à ${hoh_destination} depuis la ${period_french}?")</f>
        <v>Combien de fois ${hoh_roster_name} s'est-il rendu à ${hoh_destination} depuis la ${period_french}?</v>
      </c>
      <c r="I1193" s="152" t="str">
        <f>IFERROR(__xludf.DUMMYFUNCTION("TRIM(REGEXREPLACE(E1193, ""[0-9]+[a-f]?\."", """"))"),"Sau nawa ${hoh_roster_name} yayi tafiya zuwa ${hoh_destination} tun daga wancan ${period_hausa}?")</f>
        <v>Sau nawa ${hoh_roster_name} yayi tafiya zuwa ${hoh_destination} tun daga wancan ${period_hausa}?</v>
      </c>
      <c r="J1193" s="152" t="s">
        <v>8411</v>
      </c>
      <c r="K1193" s="152" t="s">
        <v>8412</v>
      </c>
      <c r="L1193" s="152" t="s">
        <v>8413</v>
      </c>
    </row>
    <row r="1194" hidden="1">
      <c r="A1194" s="174" t="s">
        <v>1015</v>
      </c>
      <c r="B1194" s="204" t="s">
        <v>8353</v>
      </c>
      <c r="C1194" s="28" t="s">
        <v>8414</v>
      </c>
      <c r="D1194" s="28"/>
      <c r="E1194" s="28"/>
      <c r="J1194" s="152"/>
      <c r="K1194" s="152"/>
      <c r="L1194" s="152"/>
    </row>
    <row r="1195" hidden="1">
      <c r="A1195" s="90" t="s">
        <v>134</v>
      </c>
      <c r="B1195" s="92" t="s">
        <v>8415</v>
      </c>
      <c r="C1195" s="28"/>
      <c r="D1195" s="28"/>
      <c r="E1195" s="28"/>
      <c r="J1195" s="152"/>
      <c r="K1195" s="152"/>
      <c r="L1195" s="152"/>
    </row>
    <row r="1196" hidden="1">
      <c r="A1196" s="90" t="s">
        <v>78</v>
      </c>
      <c r="B1196" s="92" t="s">
        <v>8417</v>
      </c>
      <c r="C1196" s="28"/>
      <c r="D1196" s="28"/>
      <c r="E1196" s="28"/>
      <c r="J1196" s="152"/>
      <c r="K1196" s="152"/>
      <c r="L1196" s="152"/>
    </row>
    <row r="1197">
      <c r="A1197" s="68" t="s">
        <v>2625</v>
      </c>
      <c r="B1197" s="169" t="s">
        <v>8419</v>
      </c>
      <c r="C1197" s="28" t="s">
        <v>8420</v>
      </c>
      <c r="D1197" s="28" t="s">
        <v>8421</v>
      </c>
      <c r="E1197" s="28" t="s">
        <v>8422</v>
      </c>
      <c r="F1197" s="161">
        <v>549.0</v>
      </c>
      <c r="G1197" s="152" t="str">
        <f>IFERROR(__xludf.DUMMYFUNCTION("TRIM(REGEXREPLACE(C1197, ""[0-9]+[a-f]?\."", """"))"),"Since ${period}, was there ever a time when ${hoh_roster_name} planned to migrate but then had to cancel their plans?")</f>
        <v>Since ${period}, was there ever a time when ${hoh_roster_name} planned to migrate but then had to cancel their plans?</v>
      </c>
      <c r="H1197" s="152" t="str">
        <f>IFERROR(__xludf.DUMMYFUNCTION("TRIM(REGEXREPLACE(D1197, ""[0-9]+[a-f]?\."", """"))"),"Depuis cette ${period_french}, y a-t-il déjà eu un moment où ${hoh_roster_name} avait prévu de migrer mais a ensuite dû annuler ses projets ?")</f>
        <v>Depuis cette ${period_french}, y a-t-il déjà eu un moment où ${hoh_roster_name} avait prévu de migrer mais a ensuite dû annuler ses projets ?</v>
      </c>
      <c r="I1197" s="152" t="str">
        <f>IFERROR(__xludf.DUMMYFUNCTION("TRIM(REGEXREPLACE(E1197, ""[0-9]+[a-f]?\."", """"))"),"${period_hausa}, ko akwai lokacin da ${hoh_roster_name} ya shirya zuwa biɗa amma sai ya soke shirinshi?")</f>
        <v>${period_hausa}, ko akwai lokacin da ${hoh_roster_name} ya shirya zuwa biɗa amma sai ya soke shirinshi?</v>
      </c>
      <c r="J1197" s="152" t="s">
        <v>8424</v>
      </c>
      <c r="K1197" s="152" t="s">
        <v>8425</v>
      </c>
      <c r="L1197" s="152" t="s">
        <v>8426</v>
      </c>
    </row>
    <row r="1198">
      <c r="A1198" s="68" t="s">
        <v>4994</v>
      </c>
      <c r="B1198" s="169" t="s">
        <v>8427</v>
      </c>
      <c r="C1198" s="28" t="s">
        <v>8428</v>
      </c>
      <c r="D1198" s="28" t="s">
        <v>8429</v>
      </c>
      <c r="E1198" s="28" t="s">
        <v>8430</v>
      </c>
      <c r="F1198" s="161">
        <v>550.0</v>
      </c>
      <c r="G1198" s="152" t="str">
        <f>IFERROR(__xludf.DUMMYFUNCTION("TRIM(REGEXREPLACE(C1198, ""[0-9]+[a-f]?\."", """"))"),"Where did they plan to migrate?")</f>
        <v>Where did they plan to migrate?</v>
      </c>
      <c r="H1198" s="152" t="str">
        <f>IFERROR(__xludf.DUMMYFUNCTION("TRIM(REGEXREPLACE(D1198, ""[0-9]+[a-f]?\."", """"))"),"Où envisageait-il de migrer ?")</f>
        <v>Où envisageait-il de migrer ?</v>
      </c>
      <c r="I1198" s="152" t="str">
        <f>IFERROR(__xludf.DUMMYFUNCTION("TRIM(REGEXREPLACE(E1198, ""[0-9]+[a-f]?\."", """"))"),"Ina ya shirya zuwa biɗar?")</f>
        <v>Ina ya shirya zuwa biɗar?</v>
      </c>
      <c r="J1198" s="152" t="s">
        <v>8432</v>
      </c>
      <c r="K1198" s="152" t="s">
        <v>8433</v>
      </c>
      <c r="L1198" s="152" t="s">
        <v>8434</v>
      </c>
    </row>
    <row r="1199">
      <c r="A1199" s="179" t="s">
        <v>246</v>
      </c>
      <c r="B1199" s="180" t="s">
        <v>8435</v>
      </c>
      <c r="C1199" s="28" t="s">
        <v>8436</v>
      </c>
      <c r="D1199" s="28" t="s">
        <v>8437</v>
      </c>
      <c r="E1199" s="28" t="s">
        <v>8438</v>
      </c>
      <c r="F1199" s="161">
        <v>551.0</v>
      </c>
      <c r="G1199" s="152" t="str">
        <f>IFERROR(__xludf.DUMMYFUNCTION("TRIM(REGEXREPLACE(C1199, ""[0-9]+[a-f]?\."", """"))"),"Specify other")</f>
        <v>Specify other</v>
      </c>
      <c r="H1199" s="152" t="str">
        <f>IFERROR(__xludf.DUMMYFUNCTION("TRIM(REGEXREPLACE(D1199, ""[0-9]+[a-f]?\."", """"))"),"Autre à préciser")</f>
        <v>Autre à préciser</v>
      </c>
      <c r="I1199" s="152" t="str">
        <f>IFERROR(__xludf.DUMMYFUNCTION("TRIM(REGEXREPLACE(E1199, ""[0-9]+[a-f]?\."", """"))"),"Wani daban a Bayyana")</f>
        <v>Wani daban a Bayyana</v>
      </c>
      <c r="J1199" s="152" t="s">
        <v>8440</v>
      </c>
      <c r="K1199" s="152" t="s">
        <v>8441</v>
      </c>
      <c r="L1199" s="152" t="s">
        <v>8443</v>
      </c>
    </row>
    <row r="1200" hidden="1">
      <c r="A1200" s="174" t="s">
        <v>698</v>
      </c>
      <c r="B1200" s="175" t="s">
        <v>8444</v>
      </c>
      <c r="C1200" s="28" t="s">
        <v>5013</v>
      </c>
      <c r="D1200" s="28"/>
      <c r="E1200" s="28"/>
      <c r="J1200" s="152"/>
      <c r="K1200" s="152"/>
      <c r="L1200" s="152"/>
    </row>
    <row r="1201" hidden="1">
      <c r="A1201" s="90" t="s">
        <v>78</v>
      </c>
      <c r="B1201" s="92" t="s">
        <v>8445</v>
      </c>
      <c r="C1201" s="28"/>
      <c r="D1201" s="28"/>
      <c r="E1201" s="28"/>
      <c r="F1201" s="161">
        <v>212.0</v>
      </c>
      <c r="G1201" s="152" t="str">
        <f>IFERROR(__xludf.DUMMYFUNCTION("TRIM(REGEXREPLACE(C1201, ""[0-9]+[a-f]?\."", """"))"),"")</f>
        <v/>
      </c>
      <c r="H1201" s="152" t="str">
        <f>IFERROR(__xludf.DUMMYFUNCTION("TRIM(REGEXREPLACE(D1201, ""[0-9]+[a-f]?\."", """"))"),"")</f>
        <v/>
      </c>
      <c r="I1201" s="152" t="str">
        <f>IFERROR(__xludf.DUMMYFUNCTION("TRIM(REGEXREPLACE(E1201, ""[0-9]+[a-f]?\."", """"))"),"")</f>
        <v/>
      </c>
      <c r="J1201" s="152" t="str">
        <f t="shared" ref="J1201:L1201" si="121">$F1201 &amp; ". " &amp;G1201</f>
        <v>212. </v>
      </c>
      <c r="K1201" s="152" t="str">
        <f t="shared" si="121"/>
        <v>212. </v>
      </c>
      <c r="L1201" s="152" t="str">
        <f t="shared" si="121"/>
        <v>212. </v>
      </c>
    </row>
    <row r="1202" hidden="1">
      <c r="A1202" s="90" t="s">
        <v>78</v>
      </c>
      <c r="B1202" s="92" t="s">
        <v>8450</v>
      </c>
      <c r="C1202" s="28"/>
      <c r="D1202" s="28"/>
      <c r="E1202" s="28"/>
      <c r="J1202" s="152"/>
      <c r="K1202" s="152"/>
      <c r="L1202" s="152"/>
    </row>
    <row r="1203" hidden="1">
      <c r="A1203" s="90" t="s">
        <v>78</v>
      </c>
      <c r="B1203" s="92" t="s">
        <v>8452</v>
      </c>
      <c r="C1203" s="28" t="s">
        <v>5026</v>
      </c>
      <c r="D1203" s="28"/>
      <c r="E1203" s="28"/>
      <c r="F1203" s="161">
        <v>213.0</v>
      </c>
      <c r="G1203" s="152" t="str">
        <f>IFERROR(__xludf.DUMMYFUNCTION("TRIM(REGEXREPLACE(C1203, ""[0-9]+[a-f]?\."", """"))"),"Country Name")</f>
        <v>Country Name</v>
      </c>
      <c r="H1203" s="152" t="str">
        <f>IFERROR(__xludf.DUMMYFUNCTION("TRIM(REGEXREPLACE(D1203, ""[0-9]+[a-f]?\."", """"))"),"")</f>
        <v/>
      </c>
      <c r="I1203" s="152" t="str">
        <f>IFERROR(__xludf.DUMMYFUNCTION("TRIM(REGEXREPLACE(E1203, ""[0-9]+[a-f]?\."", """"))"),"")</f>
        <v/>
      </c>
      <c r="J1203" s="152" t="str">
        <f t="shared" ref="J1203:L1203" si="122">$F1203 &amp; ". " &amp;G1203</f>
        <v>213. Country Name</v>
      </c>
      <c r="K1203" s="152" t="str">
        <f t="shared" si="122"/>
        <v>213. </v>
      </c>
      <c r="L1203" s="152" t="str">
        <f t="shared" si="122"/>
        <v>213. </v>
      </c>
    </row>
    <row r="1204">
      <c r="A1204" s="68" t="s">
        <v>5030</v>
      </c>
      <c r="B1204" s="169" t="s">
        <v>8455</v>
      </c>
      <c r="C1204" s="28" t="s">
        <v>8456</v>
      </c>
      <c r="D1204" s="28" t="s">
        <v>8457</v>
      </c>
      <c r="E1204" s="28" t="s">
        <v>8458</v>
      </c>
      <c r="F1204" s="161">
        <v>552.0</v>
      </c>
      <c r="G1204" s="152" t="str">
        <f>IFERROR(__xludf.DUMMYFUNCTION("TRIM(REGEXREPLACE(C1204, ""[0-9]+[a-f]?\."", """"))"),"In ${hoh_failed_country}, what was the name of the city or town that ${hoh_roster_name} planned to move to?")</f>
        <v>In ${hoh_failed_country}, what was the name of the city or town that ${hoh_roster_name} planned to move to?</v>
      </c>
      <c r="H1204" s="152" t="str">
        <f>IFERROR(__xludf.DUMMYFUNCTION("TRIM(REGEXREPLACE(D1204, ""[0-9]+[a-f]?\."", """"))"),"Dans ${hoh_failed_country}, quel était le nom de la ville ou du village vers lequel ${hoh_roster_name} prévoyait de voyager ?")</f>
        <v>Dans ${hoh_failed_country}, quel était le nom de la ville ou du village vers lequel ${hoh_roster_name} prévoyait de voyager ?</v>
      </c>
      <c r="I1204" s="152" t="str">
        <f>IFERROR(__xludf.DUMMYFUNCTION("TRIM(REGEXREPLACE(E1204, ""[0-9]+[a-f]?\."", """"))"),"A ƙasar ${hoh_failed_country}, menene sunan birni ko garin da sunan ${hoh_roster_name} yayi shirin zuwa?")</f>
        <v>A ƙasar ${hoh_failed_country}, menene sunan birni ko garin da sunan ${hoh_roster_name} yayi shirin zuwa?</v>
      </c>
      <c r="J1204" s="152" t="s">
        <v>8460</v>
      </c>
      <c r="K1204" s="152" t="s">
        <v>8461</v>
      </c>
      <c r="L1204" s="152" t="s">
        <v>8462</v>
      </c>
    </row>
    <row r="1205">
      <c r="A1205" s="179" t="s">
        <v>246</v>
      </c>
      <c r="B1205" s="180" t="s">
        <v>8464</v>
      </c>
      <c r="C1205" s="28" t="s">
        <v>8465</v>
      </c>
      <c r="D1205" s="28" t="s">
        <v>8467</v>
      </c>
      <c r="E1205" s="28" t="s">
        <v>8468</v>
      </c>
      <c r="F1205" s="161">
        <v>553.0</v>
      </c>
      <c r="G1205" s="152" t="str">
        <f>IFERROR(__xludf.DUMMYFUNCTION("TRIM(REGEXREPLACE(C1205, ""[0-9]+[a-f]?\."", """"))"),"Specify other")</f>
        <v>Specify other</v>
      </c>
      <c r="H1205" s="152" t="str">
        <f>IFERROR(__xludf.DUMMYFUNCTION("TRIM(REGEXREPLACE(D1205, ""[0-9]+[a-f]?\."", """"))"),"Autre à préciser")</f>
        <v>Autre à préciser</v>
      </c>
      <c r="I1205" s="152" t="str">
        <f>IFERROR(__xludf.DUMMYFUNCTION("TRIM(REGEXREPLACE(E1205, ""[0-9]+[a-f]?\."", """"))"),"Wani daban a Bayyana")</f>
        <v>Wani daban a Bayyana</v>
      </c>
      <c r="J1205" s="152" t="s">
        <v>8469</v>
      </c>
      <c r="K1205" s="152" t="s">
        <v>8470</v>
      </c>
      <c r="L1205" s="152" t="s">
        <v>8471</v>
      </c>
    </row>
    <row r="1206">
      <c r="A1206" s="68" t="s">
        <v>5050</v>
      </c>
      <c r="B1206" s="169" t="s">
        <v>8472</v>
      </c>
      <c r="C1206" s="28" t="s">
        <v>8473</v>
      </c>
      <c r="D1206" s="28" t="s">
        <v>8474</v>
      </c>
      <c r="E1206" s="28" t="s">
        <v>8476</v>
      </c>
      <c r="F1206" s="161">
        <v>554.0</v>
      </c>
      <c r="G1206" s="152" t="str">
        <f>IFERROR(__xludf.DUMMYFUNCTION("TRIM(REGEXREPLACE(C1206, ""[0-9]+[a-f]?\."", """"))"),"In ${hoh_failed_country}, what was the name of the region that ${hoh_roster_name} planned to move to?")</f>
        <v>In ${hoh_failed_country}, what was the name of the region that ${hoh_roster_name} planned to move to?</v>
      </c>
      <c r="H1206" s="152" t="str">
        <f>IFERROR(__xludf.DUMMYFUNCTION("TRIM(REGEXREPLACE(D1206, ""[0-9]+[a-f]?\."", """"))"),"Dans ${hoh_failed_country}, quel était le nom de la région dans laquelle ${hoh_roster_name} prévoyait de voyager ?")</f>
        <v>Dans ${hoh_failed_country}, quel était le nom de la région dans laquelle ${hoh_roster_name} prévoyait de voyager ?</v>
      </c>
      <c r="I1206" s="152" t="str">
        <f>IFERROR(__xludf.DUMMYFUNCTION("TRIM(REGEXREPLACE(E1206, ""[0-9]+[a-f]?\."", """"))"),"A kasar ${hoh_failed_country}, menene sunan yankin da sunan ${hoh_roster_name} ya shirya zuwa?")</f>
        <v>A kasar ${hoh_failed_country}, menene sunan yankin da sunan ${hoh_roster_name} ya shirya zuwa?</v>
      </c>
      <c r="J1206" s="152" t="s">
        <v>8477</v>
      </c>
      <c r="K1206" s="152" t="s">
        <v>8478</v>
      </c>
      <c r="L1206" s="152" t="s">
        <v>8479</v>
      </c>
    </row>
    <row r="1207">
      <c r="A1207" s="179" t="s">
        <v>246</v>
      </c>
      <c r="B1207" s="180" t="s">
        <v>8480</v>
      </c>
      <c r="C1207" s="28" t="s">
        <v>8481</v>
      </c>
      <c r="D1207" s="28" t="s">
        <v>8482</v>
      </c>
      <c r="E1207" s="28" t="s">
        <v>8484</v>
      </c>
      <c r="F1207" s="161">
        <v>555.0</v>
      </c>
      <c r="G1207" s="152" t="str">
        <f>IFERROR(__xludf.DUMMYFUNCTION("TRIM(REGEXREPLACE(C1207, ""[0-9]+[a-f]?\."", """"))"),"Specify other")</f>
        <v>Specify other</v>
      </c>
      <c r="H1207" s="152" t="str">
        <f>IFERROR(__xludf.DUMMYFUNCTION("TRIM(REGEXREPLACE(D1207, ""[0-9]+[a-f]?\."", """"))"),"Autre à préciser")</f>
        <v>Autre à préciser</v>
      </c>
      <c r="I1207" s="152" t="str">
        <f>IFERROR(__xludf.DUMMYFUNCTION("TRIM(REGEXREPLACE(E1207, ""[0-9]+[a-f]?\."", """"))"),"Wani daban a Bayyana")</f>
        <v>Wani daban a Bayyana</v>
      </c>
      <c r="J1207" s="152" t="s">
        <v>8485</v>
      </c>
      <c r="K1207" s="152" t="s">
        <v>8486</v>
      </c>
      <c r="L1207" s="152" t="s">
        <v>8487</v>
      </c>
    </row>
    <row r="1208">
      <c r="A1208" s="170" t="s">
        <v>263</v>
      </c>
      <c r="B1208" s="171" t="s">
        <v>8488</v>
      </c>
      <c r="C1208" s="28" t="s">
        <v>8489</v>
      </c>
      <c r="D1208" s="28" t="s">
        <v>8490</v>
      </c>
      <c r="E1208" s="28" t="s">
        <v>8491</v>
      </c>
      <c r="F1208" s="161">
        <v>556.0</v>
      </c>
      <c r="G1208" s="152" t="str">
        <f>IFERROR(__xludf.DUMMYFUNCTION("TRIM(REGEXREPLACE(C1208, ""[0-9]+[a-f]?\."", """"))"),"How many times did they plan to migrate to ${hoh_failed_country} and fail?")</f>
        <v>How many times did they plan to migrate to ${hoh_failed_country} and fail?</v>
      </c>
      <c r="H1208" s="152" t="str">
        <f>IFERROR(__xludf.DUMMYFUNCTION("TRIM(REGEXREPLACE(D1208, ""[0-9]+[a-f]?\."", """"))"),"Combien de fois ont-ils prévu de migrer vers ${hoh_failed_country} et ont-ils échoué ?")</f>
        <v>Combien de fois ont-ils prévu de migrer vers ${hoh_failed_country} et ont-ils échoué ?</v>
      </c>
      <c r="I1208" s="152" t="str">
        <f>IFERROR(__xludf.DUMMYFUNCTION("TRIM(REGEXREPLACE(E1208, ""[0-9]+[a-f]?\."", """"))"),"Sau nawa ya shirya zuwa ƙasar ${hoh_failed_country} kuma ya kasa?")</f>
        <v>Sau nawa ya shirya zuwa ƙasar ${hoh_failed_country} kuma ya kasa?</v>
      </c>
      <c r="J1208" s="152" t="s">
        <v>8493</v>
      </c>
      <c r="K1208" s="152" t="s">
        <v>8494</v>
      </c>
      <c r="L1208" s="152" t="s">
        <v>8495</v>
      </c>
    </row>
    <row r="1209">
      <c r="A1209" s="68" t="s">
        <v>5074</v>
      </c>
      <c r="B1209" s="169" t="s">
        <v>8496</v>
      </c>
      <c r="C1209" s="28" t="s">
        <v>8497</v>
      </c>
      <c r="D1209" s="28" t="s">
        <v>8498</v>
      </c>
      <c r="E1209" s="28" t="s">
        <v>8499</v>
      </c>
      <c r="F1209" s="161">
        <v>557.0</v>
      </c>
      <c r="G1209" s="152" t="str">
        <f>IFERROR(__xludf.DUMMYFUNCTION("TRIM(REGEXREPLACE(C1209, ""[0-9]+[a-f]?\."", """"))"),"Why did they change their plans?")</f>
        <v>Why did they change their plans?</v>
      </c>
      <c r="H1209" s="152" t="str">
        <f>IFERROR(__xludf.DUMMYFUNCTION("TRIM(REGEXREPLACE(D1209, ""[0-9]+[a-f]?\."", """"))"),"Pourquoi a-t-il changé son plan?")</f>
        <v>Pourquoi a-t-il changé son plan?</v>
      </c>
      <c r="I1209" s="152" t="str">
        <f>IFERROR(__xludf.DUMMYFUNCTION("TRIM(REGEXREPLACE(E1209, ""[0-9]+[a-f]?\."", """"))"),"Me yasa ya fasa tafiyar?")</f>
        <v>Me yasa ya fasa tafiyar?</v>
      </c>
      <c r="J1209" s="152" t="s">
        <v>8500</v>
      </c>
      <c r="K1209" s="152" t="s">
        <v>8501</v>
      </c>
      <c r="L1209" s="152" t="s">
        <v>8502</v>
      </c>
    </row>
    <row r="1210">
      <c r="A1210" s="179" t="s">
        <v>246</v>
      </c>
      <c r="B1210" s="180" t="s">
        <v>8504</v>
      </c>
      <c r="C1210" s="28" t="s">
        <v>8505</v>
      </c>
      <c r="D1210" s="28" t="s">
        <v>8506</v>
      </c>
      <c r="E1210" s="28" t="s">
        <v>8507</v>
      </c>
      <c r="F1210" s="161">
        <v>558.0</v>
      </c>
      <c r="G1210" s="152" t="str">
        <f>IFERROR(__xludf.DUMMYFUNCTION("TRIM(REGEXREPLACE(C1210, ""[0-9]+[a-f]?\."", """"))"),"Specify other reason")</f>
        <v>Specify other reason</v>
      </c>
      <c r="H1210" s="152" t="str">
        <f>IFERROR(__xludf.DUMMYFUNCTION("TRIM(REGEXREPLACE(D1210, ""[0-9]+[a-f]?\."", """"))"),"Précisez une autre raison")</f>
        <v>Précisez une autre raison</v>
      </c>
      <c r="I1210" s="152" t="str">
        <f>IFERROR(__xludf.DUMMYFUNCTION("TRIM(REGEXREPLACE(E1210, ""[0-9]+[a-f]?\."", """"))"),"Baiyana wani dalili daban")</f>
        <v>Baiyana wani dalili daban</v>
      </c>
      <c r="J1210" s="152" t="s">
        <v>8508</v>
      </c>
      <c r="K1210" s="152" t="s">
        <v>8509</v>
      </c>
      <c r="L1210" s="152" t="s">
        <v>8510</v>
      </c>
    </row>
    <row r="1211" hidden="1">
      <c r="A1211" s="174" t="s">
        <v>1015</v>
      </c>
      <c r="B1211" s="204" t="s">
        <v>8444</v>
      </c>
      <c r="C1211" s="28"/>
      <c r="D1211" s="28"/>
      <c r="E1211" s="28"/>
      <c r="F1211" s="161">
        <v>217.0</v>
      </c>
      <c r="G1211" s="152" t="str">
        <f>IFERROR(__xludf.DUMMYFUNCTION("TRIM(REGEXREPLACE(C1211, ""[0-9]+[a-f]?\."", """"))"),"")</f>
        <v/>
      </c>
      <c r="H1211" s="152" t="str">
        <f>IFERROR(__xludf.DUMMYFUNCTION("TRIM(REGEXREPLACE(D1211, ""[0-9]+[a-f]?\."", """"))"),"")</f>
        <v/>
      </c>
      <c r="I1211" s="152" t="str">
        <f>IFERROR(__xludf.DUMMYFUNCTION("TRIM(REGEXREPLACE(E1211, ""[0-9]+[a-f]?\."", """"))"),"")</f>
        <v/>
      </c>
      <c r="J1211" s="152" t="str">
        <f t="shared" ref="J1211:L1211" si="123">$F1211 &amp; ". " &amp;G1211</f>
        <v>217. </v>
      </c>
      <c r="K1211" s="152" t="str">
        <f t="shared" si="123"/>
        <v>217. </v>
      </c>
      <c r="L1211" s="152" t="str">
        <f t="shared" si="123"/>
        <v>217. </v>
      </c>
    </row>
    <row r="1212" hidden="1">
      <c r="A1212" s="140" t="s">
        <v>237</v>
      </c>
      <c r="B1212" s="191" t="s">
        <v>8295</v>
      </c>
      <c r="C1212" s="28" t="s">
        <v>8296</v>
      </c>
      <c r="D1212" s="28"/>
      <c r="E1212" s="28"/>
      <c r="F1212" s="161">
        <v>667.0</v>
      </c>
      <c r="G1212" s="152" t="str">
        <f>IFERROR(__xludf.DUMMYFUNCTION("TRIM(REGEXREPLACE(C1212, ""[0-9]+[a-f]?\."", """"))"),"Past Migration")</f>
        <v>Past Migration</v>
      </c>
      <c r="H1212" s="152" t="str">
        <f>IFERROR(__xludf.DUMMYFUNCTION("TRIM(REGEXREPLACE(D1212, ""[0-9]+[a-f]?\."", """"))"),"")</f>
        <v/>
      </c>
      <c r="I1212" s="152" t="str">
        <f>IFERROR(__xludf.DUMMYFUNCTION("TRIM(REGEXREPLACE(E1212, ""[0-9]+[a-f]?\."", """"))"),"")</f>
        <v/>
      </c>
      <c r="J1212" s="152" t="s">
        <v>8513</v>
      </c>
      <c r="K1212" s="152" t="s">
        <v>8514</v>
      </c>
      <c r="L1212" s="152" t="s">
        <v>8515</v>
      </c>
    </row>
    <row r="1213" hidden="1">
      <c r="A1213" s="90" t="s">
        <v>134</v>
      </c>
      <c r="B1213" s="92" t="s">
        <v>8517</v>
      </c>
      <c r="C1213" s="28"/>
      <c r="D1213" s="28"/>
      <c r="E1213" s="28"/>
      <c r="F1213" s="161">
        <v>668.0</v>
      </c>
      <c r="G1213" s="152" t="str">
        <f>IFERROR(__xludf.DUMMYFUNCTION("TRIM(REGEXREPLACE(C1213, ""[0-9]+[a-f]?\."", """"))"),"")</f>
        <v/>
      </c>
      <c r="H1213" s="152" t="str">
        <f>IFERROR(__xludf.DUMMYFUNCTION("TRIM(REGEXREPLACE(D1213, ""[0-9]+[a-f]?\."", """"))"),"")</f>
        <v/>
      </c>
      <c r="I1213" s="152" t="str">
        <f>IFERROR(__xludf.DUMMYFUNCTION("TRIM(REGEXREPLACE(E1213, ""[0-9]+[a-f]?\."", """"))"),"")</f>
        <v/>
      </c>
      <c r="J1213" s="152" t="s">
        <v>8518</v>
      </c>
      <c r="K1213" s="152" t="s">
        <v>8519</v>
      </c>
      <c r="L1213" s="152" t="s">
        <v>8520</v>
      </c>
    </row>
    <row r="1214" hidden="1">
      <c r="A1214" s="90" t="s">
        <v>78</v>
      </c>
      <c r="B1214" s="92" t="s">
        <v>8521</v>
      </c>
      <c r="C1214" s="28"/>
      <c r="D1214" s="28"/>
      <c r="E1214" s="28"/>
    </row>
    <row r="1215" hidden="1">
      <c r="A1215" s="174" t="s">
        <v>1015</v>
      </c>
      <c r="B1215" s="204" t="s">
        <v>7972</v>
      </c>
      <c r="C1215" s="28" t="s">
        <v>1389</v>
      </c>
      <c r="D1215" s="28"/>
      <c r="E1215" s="28"/>
    </row>
    <row r="1216" hidden="1">
      <c r="A1216" s="118"/>
      <c r="B1216" s="118"/>
      <c r="C1216" s="28"/>
      <c r="D1216" s="28"/>
      <c r="E1216" s="28"/>
    </row>
    <row r="1217" hidden="1">
      <c r="A1217" s="90" t="s">
        <v>78</v>
      </c>
      <c r="B1217" s="154" t="s">
        <v>8524</v>
      </c>
      <c r="C1217" s="28" t="s">
        <v>8525</v>
      </c>
      <c r="D1217" s="28" t="s">
        <v>8526</v>
      </c>
      <c r="E1217" s="28" t="s">
        <v>8527</v>
      </c>
    </row>
    <row r="1218" hidden="1">
      <c r="A1218" s="90" t="s">
        <v>78</v>
      </c>
      <c r="B1218" s="154" t="s">
        <v>8528</v>
      </c>
      <c r="C1218" s="28" t="s">
        <v>8529</v>
      </c>
      <c r="D1218" s="28"/>
      <c r="E1218" s="28"/>
    </row>
    <row r="1219" hidden="1">
      <c r="A1219" s="90" t="s">
        <v>78</v>
      </c>
      <c r="B1219" s="154" t="s">
        <v>8530</v>
      </c>
      <c r="C1219" s="28"/>
      <c r="D1219" s="28"/>
      <c r="E1219" s="28"/>
    </row>
    <row r="1220" hidden="1">
      <c r="A1220" s="90" t="s">
        <v>78</v>
      </c>
      <c r="B1220" s="154" t="s">
        <v>8532</v>
      </c>
      <c r="C1220" s="28"/>
      <c r="D1220" s="28"/>
      <c r="E1220" s="28"/>
    </row>
    <row r="1221" hidden="1">
      <c r="A1221" s="90" t="s">
        <v>78</v>
      </c>
      <c r="B1221" s="154" t="s">
        <v>8533</v>
      </c>
      <c r="C1221" s="28"/>
      <c r="D1221" s="28"/>
      <c r="E1221" s="28"/>
    </row>
    <row r="1222" hidden="1">
      <c r="A1222" s="90" t="s">
        <v>78</v>
      </c>
      <c r="B1222" s="154" t="s">
        <v>8535</v>
      </c>
      <c r="C1222" s="28"/>
      <c r="D1222" s="28"/>
      <c r="E1222" s="28"/>
    </row>
    <row r="1223" hidden="1">
      <c r="A1223" s="90" t="s">
        <v>78</v>
      </c>
      <c r="B1223" s="154" t="s">
        <v>8536</v>
      </c>
      <c r="C1223" s="28"/>
      <c r="D1223" s="28"/>
      <c r="E1223" s="28"/>
    </row>
    <row r="1224" hidden="1">
      <c r="A1224" s="221"/>
      <c r="B1224" s="221"/>
      <c r="C1224" s="28"/>
      <c r="D1224" s="28"/>
      <c r="E1224" s="28"/>
    </row>
    <row r="1225" hidden="1">
      <c r="A1225" s="140" t="s">
        <v>131</v>
      </c>
      <c r="B1225" s="164" t="s">
        <v>8538</v>
      </c>
      <c r="C1225" s="28" t="s">
        <v>8539</v>
      </c>
      <c r="D1225" s="28"/>
      <c r="E1225" s="28"/>
    </row>
    <row r="1226">
      <c r="A1226" s="166" t="s">
        <v>41</v>
      </c>
      <c r="B1226" s="167" t="s">
        <v>8540</v>
      </c>
      <c r="C1226" s="28" t="s">
        <v>8541</v>
      </c>
      <c r="D1226" s="28" t="s">
        <v>8542</v>
      </c>
      <c r="E1226" s="28" t="s">
        <v>8543</v>
      </c>
      <c r="F1226" s="161">
        <v>559.0</v>
      </c>
      <c r="G1226" s="152" t="str">
        <f>IFERROR(__xludf.DUMMYFUNCTION("TRIM(REGEXREPLACE(C1226, ""[0-9]+[a-f]?\."", """"))"),"Now I will ask you about how your household manages its resources.")</f>
        <v>Now I will ask you about how your household manages its resources.</v>
      </c>
      <c r="H1226" s="152" t="str">
        <f>IFERROR(__xludf.DUMMYFUNCTION("TRIM(REGEXREPLACE(D1226, ""[0-9]+[a-f]?\."", """"))"),"Je vais maintenant vous demander comment votre ménage gère ses ressources.")</f>
        <v>Je vais maintenant vous demander comment votre ménage gère ses ressources.</v>
      </c>
      <c r="I1226" s="152" t="str">
        <f>IFERROR(__xludf.DUMMYFUNCTION("TRIM(REGEXREPLACE(E1226, ""[0-9]+[a-f]?\."", """"))"),"Yanzu zan tambaye ku yadda gidanku yake sarrafa dukiyoyinshi.")</f>
        <v>Yanzu zan tambaye ku yadda gidanku yake sarrafa dukiyoyinshi.</v>
      </c>
      <c r="J1226" s="152" t="s">
        <v>8545</v>
      </c>
      <c r="K1226" s="152" t="s">
        <v>8546</v>
      </c>
      <c r="L1226" s="152" t="s">
        <v>8547</v>
      </c>
    </row>
    <row r="1227">
      <c r="A1227" s="68" t="s">
        <v>2625</v>
      </c>
      <c r="B1227" s="169" t="s">
        <v>8549</v>
      </c>
      <c r="C1227" s="28" t="s">
        <v>8550</v>
      </c>
      <c r="D1227" s="28" t="s">
        <v>8551</v>
      </c>
      <c r="E1227" s="28" t="s">
        <v>8552</v>
      </c>
      <c r="F1227" s="161">
        <v>560.0</v>
      </c>
      <c r="G1227" s="152" t="str">
        <f>IFERROR(__xludf.DUMMYFUNCTION("TRIM(REGEXREPLACE(C1227, ""[0-9]+[a-f]?\."", """"))"),"Do you or another member of the household own this house?")</f>
        <v>Do you or another member of the household own this house?</v>
      </c>
      <c r="H1227" s="152" t="str">
        <f>IFERROR(__xludf.DUMMYFUNCTION("TRIM(REGEXREPLACE(D1227, ""[0-9]+[a-f]?\."", """"))"),"Est-ce que vous ou un autre membre du ménage êtes propriétaire de cette maison ?")</f>
        <v>Est-ce que vous ou un autre membre du ménage êtes propriétaire de cette maison ?</v>
      </c>
      <c r="I1227" s="152" t="str">
        <f>IFERROR(__xludf.DUMMYFUNCTION("TRIM(REGEXREPLACE(E1227, ""[0-9]+[a-f]?\."", """"))"),"Shin wannan gidan mallakarku ne kai ko wani dan cikin gidan ?")</f>
        <v>Shin wannan gidan mallakarku ne kai ko wani dan cikin gidan ?</v>
      </c>
      <c r="J1227" s="152" t="s">
        <v>8553</v>
      </c>
      <c r="K1227" s="152" t="s">
        <v>8554</v>
      </c>
      <c r="L1227" s="152" t="s">
        <v>8555</v>
      </c>
    </row>
    <row r="1228">
      <c r="A1228" s="170" t="s">
        <v>263</v>
      </c>
      <c r="B1228" s="171" t="s">
        <v>8556</v>
      </c>
      <c r="C1228" s="28" t="s">
        <v>8557</v>
      </c>
      <c r="D1228" s="28" t="s">
        <v>8558</v>
      </c>
      <c r="E1228" s="28" t="s">
        <v>8559</v>
      </c>
      <c r="F1228" s="161">
        <v>561.0</v>
      </c>
      <c r="G1228" s="152" t="str">
        <f>IFERROR(__xludf.DUMMYFUNCTION("TRIM(REGEXREPLACE(C1228, ""[0-9]+[a-f]?\."", """"))"),"What is your best estimate of the value of your home in CFA?")</f>
        <v>What is your best estimate of the value of your home in CFA?</v>
      </c>
      <c r="H1228" s="152" t="str">
        <f>IFERROR(__xludf.DUMMYFUNCTION("TRIM(REGEXREPLACE(D1228, ""[0-9]+[a-f]?\."", """"))"),"Quelle est votre meilleure estimation de la valeur de votre maison en CFA ?")</f>
        <v>Quelle est votre meilleure estimation de la valeur de votre maison en CFA ?</v>
      </c>
      <c r="I1228" s="152" t="str">
        <f>IFERROR(__xludf.DUMMYFUNCTION("TRIM(REGEXREPLACE(E1228, ""[0-9]+[a-f]?\."", """"))"),"A ganinka wannan gidan aƙalla ya yi nawa a kudin CFA ?")</f>
        <v>A ganinka wannan gidan aƙalla ya yi nawa a kudin CFA ?</v>
      </c>
      <c r="J1228" s="152" t="s">
        <v>8561</v>
      </c>
      <c r="K1228" s="152" t="s">
        <v>8562</v>
      </c>
      <c r="L1228" s="152" t="s">
        <v>8563</v>
      </c>
    </row>
    <row r="1229">
      <c r="A1229" s="68" t="s">
        <v>8565</v>
      </c>
      <c r="B1229" s="169" t="s">
        <v>8566</v>
      </c>
      <c r="C1229" s="28" t="s">
        <v>8567</v>
      </c>
      <c r="D1229" s="28" t="s">
        <v>8568</v>
      </c>
      <c r="E1229" s="28" t="s">
        <v>8569</v>
      </c>
      <c r="F1229" s="161">
        <v>562.0</v>
      </c>
      <c r="G1229" s="152" t="str">
        <f>IFERROR(__xludf.DUMMYFUNCTION("TRIM(REGEXREPLACE(C1229, ""[0-9]+[a-f]?\."", """"))"),"Does your household own the following goods?")</f>
        <v>Does your household own the following goods?</v>
      </c>
      <c r="H1229" s="152" t="str">
        <f>IFERROR(__xludf.DUMMYFUNCTION("TRIM(REGEXREPLACE(D1229, ""[0-9]+[a-f]?\."", """"))"),"Votre ménage possède-t-il les biens suivants ?")</f>
        <v>Votre ménage possède-t-il les biens suivants ?</v>
      </c>
      <c r="I1229" s="152" t="str">
        <f>IFERROR(__xludf.DUMMYFUNCTION("TRIM(REGEXREPLACE(E1229, ""[0-9]+[a-f]?\."", """"))"),"Ko gidanku na da kadarori masu zuwa?")</f>
        <v>Ko gidanku na da kadarori masu zuwa?</v>
      </c>
      <c r="J1229" s="152" t="s">
        <v>8570</v>
      </c>
      <c r="K1229" s="152" t="s">
        <v>8571</v>
      </c>
      <c r="L1229" s="152" t="s">
        <v>8572</v>
      </c>
    </row>
    <row r="1230">
      <c r="A1230" s="68" t="s">
        <v>8573</v>
      </c>
      <c r="B1230" s="169" t="s">
        <v>8575</v>
      </c>
      <c r="C1230" s="28" t="s">
        <v>8576</v>
      </c>
      <c r="D1230" s="28" t="s">
        <v>8577</v>
      </c>
      <c r="E1230" s="28" t="s">
        <v>8578</v>
      </c>
      <c r="F1230" s="161">
        <v>563.0</v>
      </c>
      <c r="G1230" s="152" t="str">
        <f>IFERROR(__xludf.DUMMYFUNCTION("TRIM(REGEXREPLACE(C1230, ""[0-9]+[a-f]?\."", """"))"),"Does your household own any of the following types of livestock?")</f>
        <v>Does your household own any of the following types of livestock?</v>
      </c>
      <c r="H1230" s="152" t="str">
        <f>IFERROR(__xludf.DUMMYFUNCTION("TRIM(REGEXREPLACE(D1230, ""[0-9]+[a-f]?\."", """"))"),"Votre ménage possède-t-il l'un des types de bétail suivants ?")</f>
        <v>Votre ménage possède-t-il l'un des types de bétail suivants ?</v>
      </c>
      <c r="I1230" s="152" t="str">
        <f>IFERROR(__xludf.DUMMYFUNCTION("TRIM(REGEXREPLACE(E1230, ""[0-9]+[a-f]?\."", """"))"),"ko gidanku yana da ɗaya daga cikin irin wadannan dabbobi?")</f>
        <v>ko gidanku yana da ɗaya daga cikin irin wadannan dabbobi?</v>
      </c>
      <c r="J1230" s="152" t="s">
        <v>8579</v>
      </c>
      <c r="K1230" s="152" t="s">
        <v>8580</v>
      </c>
      <c r="L1230" s="152" t="s">
        <v>8581</v>
      </c>
    </row>
    <row r="1231" hidden="1">
      <c r="A1231" s="90" t="s">
        <v>134</v>
      </c>
      <c r="B1231" s="92" t="s">
        <v>8582</v>
      </c>
      <c r="C1231" s="28"/>
      <c r="D1231" s="28"/>
      <c r="E1231" s="28"/>
      <c r="F1231" s="161">
        <v>223.0</v>
      </c>
      <c r="G1231" s="152" t="str">
        <f>IFERROR(__xludf.DUMMYFUNCTION("TRIM(REGEXREPLACE(C1231, ""[0-9]+[a-f]?\."", """"))"),"")</f>
        <v/>
      </c>
      <c r="H1231" s="152" t="str">
        <f>IFERROR(__xludf.DUMMYFUNCTION("TRIM(REGEXREPLACE(D1231, ""[0-9]+[a-f]?\."", """"))"),"")</f>
        <v/>
      </c>
      <c r="I1231" s="152" t="str">
        <f>IFERROR(__xludf.DUMMYFUNCTION("TRIM(REGEXREPLACE(E1231, ""[0-9]+[a-f]?\."", """"))"),"")</f>
        <v/>
      </c>
      <c r="J1231" s="152" t="str">
        <f t="shared" ref="J1231:L1231" si="124">$F1231 &amp; ". " &amp;G1231</f>
        <v>223. </v>
      </c>
      <c r="K1231" s="152" t="str">
        <f t="shared" si="124"/>
        <v>223. </v>
      </c>
      <c r="L1231" s="152" t="str">
        <f t="shared" si="124"/>
        <v>223. </v>
      </c>
    </row>
    <row r="1232" hidden="1">
      <c r="A1232" s="174" t="s">
        <v>698</v>
      </c>
      <c r="B1232" s="175" t="s">
        <v>8585</v>
      </c>
      <c r="C1232" s="28" t="s">
        <v>8586</v>
      </c>
      <c r="D1232" s="28" t="s">
        <v>8587</v>
      </c>
      <c r="E1232" s="28" t="s">
        <v>8588</v>
      </c>
      <c r="F1232" s="161">
        <v>224.0</v>
      </c>
      <c r="G1232" s="152" t="str">
        <f>IFERROR(__xludf.DUMMYFUNCTION("TRIM(REGEXREPLACE(C1232, ""[0-9]+[a-f]?\."", """"))"),"Assets")</f>
        <v>Assets</v>
      </c>
      <c r="H1232" s="152" t="str">
        <f>IFERROR(__xludf.DUMMYFUNCTION("TRIM(REGEXREPLACE(D1232, ""[0-9]+[a-f]?\."", """"))"),"Actifs")</f>
        <v>Actifs</v>
      </c>
      <c r="I1232" s="152" t="str">
        <f>IFERROR(__xludf.DUMMYFUNCTION("TRIM(REGEXREPLACE(E1232, ""[0-9]+[a-f]?\."", """"))"),"Kadara")</f>
        <v>Kadara</v>
      </c>
      <c r="J1232" s="152" t="str">
        <f t="shared" ref="J1232:L1232" si="125">$F1232 &amp; ". " &amp;G1232</f>
        <v>224. Assets</v>
      </c>
      <c r="K1232" s="152" t="str">
        <f t="shared" si="125"/>
        <v>224. Actifs</v>
      </c>
      <c r="L1232" s="152" t="str">
        <f t="shared" si="125"/>
        <v>224. Kadara</v>
      </c>
    </row>
    <row r="1233" hidden="1">
      <c r="A1233" s="90" t="s">
        <v>78</v>
      </c>
      <c r="B1233" s="92" t="s">
        <v>8590</v>
      </c>
      <c r="C1233" s="28" t="s">
        <v>8591</v>
      </c>
      <c r="D1233" s="28" t="s">
        <v>8592</v>
      </c>
      <c r="E1233" s="28" t="s">
        <v>8593</v>
      </c>
      <c r="F1233" s="161">
        <v>225.0</v>
      </c>
      <c r="G1233" s="152" t="str">
        <f>IFERROR(__xludf.DUMMYFUNCTION("TRIM(REGEXREPLACE(C1233, ""[0-9]+[a-f]?\."", """"))"),"Asset Name")</f>
        <v>Asset Name</v>
      </c>
      <c r="H1233" s="152" t="str">
        <f>IFERROR(__xludf.DUMMYFUNCTION("TRIM(REGEXREPLACE(D1233, ""[0-9]+[a-f]?\."", """"))"),"Nom de l'actif")</f>
        <v>Nom de l'actif</v>
      </c>
      <c r="I1233" s="152" t="str">
        <f>IFERROR(__xludf.DUMMYFUNCTION("TRIM(REGEXREPLACE(E1233, ""[0-9]+[a-f]?\."", """"))"),"Sunan kadara")</f>
        <v>Sunan kadara</v>
      </c>
      <c r="J1233" s="152" t="str">
        <f t="shared" ref="J1233:L1233" si="126">$F1233 &amp; ". " &amp;G1233</f>
        <v>225. Asset Name</v>
      </c>
      <c r="K1233" s="152" t="str">
        <f t="shared" si="126"/>
        <v>225. Nom de l'actif</v>
      </c>
      <c r="L1233" s="152" t="str">
        <f t="shared" si="126"/>
        <v>225. Sunan kadara</v>
      </c>
    </row>
    <row r="1234">
      <c r="A1234" s="170" t="s">
        <v>263</v>
      </c>
      <c r="B1234" s="171" t="s">
        <v>8594</v>
      </c>
      <c r="C1234" s="28" t="s">
        <v>8595</v>
      </c>
      <c r="D1234" s="28" t="s">
        <v>8596</v>
      </c>
      <c r="E1234" s="28" t="s">
        <v>8597</v>
      </c>
      <c r="F1234" s="161">
        <v>564.0</v>
      </c>
      <c r="G1234" s="152" t="str">
        <f>IFERROR(__xludf.DUMMYFUNCTION("TRIM(REGEXREPLACE(C1234, ""[0-9]+[a-f]?\."", """"))"),"How many ${hoh_livestock_name} does your household own?")</f>
        <v>How many ${hoh_livestock_name} does your household own?</v>
      </c>
      <c r="H1234" s="152" t="str">
        <f>IFERROR(__xludf.DUMMYFUNCTION("TRIM(REGEXREPLACE(D1234, ""[0-9]+[a-f]?\."", """"))"),"Combien de ${hoh_livestock_name} votre ménage possède-t-il ?")</f>
        <v>Combien de ${hoh_livestock_name} votre ménage possède-t-il ?</v>
      </c>
      <c r="I1234" s="152" t="str">
        <f>IFERROR(__xludf.DUMMYFUNCTION("TRIM(REGEXREPLACE(E1234, ""[0-9]+[a-f]?\."", """"))"),"${hoh_livestock_name} Nawa gidan ku ya mallaka ?")</f>
        <v>${hoh_livestock_name} Nawa gidan ku ya mallaka ?</v>
      </c>
      <c r="J1234" s="152" t="s">
        <v>8599</v>
      </c>
      <c r="K1234" s="152" t="s">
        <v>8600</v>
      </c>
      <c r="L1234" s="152" t="s">
        <v>8601</v>
      </c>
    </row>
    <row r="1235">
      <c r="A1235" s="170" t="s">
        <v>263</v>
      </c>
      <c r="B1235" s="171" t="s">
        <v>8602</v>
      </c>
      <c r="C1235" s="28" t="s">
        <v>8603</v>
      </c>
      <c r="D1235" s="28" t="s">
        <v>8604</v>
      </c>
      <c r="E1235" s="28" t="s">
        <v>8605</v>
      </c>
      <c r="F1235" s="161">
        <v>565.0</v>
      </c>
      <c r="G1235" s="152" t="str">
        <f>IFERROR(__xludf.DUMMYFUNCTION("TRIM(REGEXREPLACE(C1235, ""[0-9]+[a-f]?\."", """"))"),"How much is ${hoh_livestock_name} worth in CFA?")</f>
        <v>How much is ${hoh_livestock_name} worth in CFA?</v>
      </c>
      <c r="H1235" s="152" t="str">
        <f>IFERROR(__xludf.DUMMYFUNCTION("TRIM(REGEXREPLACE(D1235, ""[0-9]+[a-f]?\."", """"))"),"Combien vaut ${hoh_livestock_name} en CFA ?")</f>
        <v>Combien vaut ${hoh_livestock_name} en CFA ?</v>
      </c>
      <c r="I1235" s="152" t="str">
        <f>IFERROR(__xludf.DUMMYFUNCTION("TRIM(REGEXREPLACE(E1235, ""[0-9]+[a-f]?\."", """"))"),"Nawa ne kuɗin ${hoh_livestock_name} a sefa?")</f>
        <v>Nawa ne kuɗin ${hoh_livestock_name} a sefa?</v>
      </c>
      <c r="J1235" s="152" t="s">
        <v>8607</v>
      </c>
      <c r="K1235" s="152" t="s">
        <v>8608</v>
      </c>
      <c r="L1235" s="152" t="s">
        <v>8609</v>
      </c>
    </row>
    <row r="1236" hidden="1">
      <c r="A1236" s="174" t="s">
        <v>1015</v>
      </c>
      <c r="B1236" s="204" t="s">
        <v>8585</v>
      </c>
      <c r="C1236" s="28" t="s">
        <v>8586</v>
      </c>
      <c r="D1236" s="28" t="s">
        <v>8587</v>
      </c>
      <c r="E1236" s="28" t="s">
        <v>8588</v>
      </c>
      <c r="F1236" s="161">
        <v>679.0</v>
      </c>
      <c r="G1236" s="152" t="str">
        <f>IFERROR(__xludf.DUMMYFUNCTION("TRIM(REGEXREPLACE(C1236, ""[0-9]+[a-f]?\."", """"))"),"Assets")</f>
        <v>Assets</v>
      </c>
      <c r="H1236" s="152" t="str">
        <f>IFERROR(__xludf.DUMMYFUNCTION("TRIM(REGEXREPLACE(D1236, ""[0-9]+[a-f]?\."", """"))"),"Actifs")</f>
        <v>Actifs</v>
      </c>
      <c r="I1236" s="152" t="str">
        <f>IFERROR(__xludf.DUMMYFUNCTION("TRIM(REGEXREPLACE(E1236, ""[0-9]+[a-f]?\."", """"))"),"Kadara")</f>
        <v>Kadara</v>
      </c>
      <c r="J1236" s="152" t="s">
        <v>8612</v>
      </c>
      <c r="K1236" s="152" t="s">
        <v>8613</v>
      </c>
      <c r="L1236" s="152" t="s">
        <v>8614</v>
      </c>
    </row>
    <row r="1237" hidden="1">
      <c r="A1237" s="90" t="s">
        <v>134</v>
      </c>
      <c r="B1237" s="92" t="s">
        <v>8615</v>
      </c>
      <c r="C1237" s="28"/>
      <c r="D1237" s="28"/>
      <c r="E1237" s="28"/>
      <c r="F1237" s="161">
        <v>680.0</v>
      </c>
      <c r="G1237" s="152" t="str">
        <f>IFERROR(__xludf.DUMMYFUNCTION("TRIM(REGEXREPLACE(C1237, ""[0-9]+[a-f]?\."", """"))"),"")</f>
        <v/>
      </c>
      <c r="H1237" s="152" t="str">
        <f>IFERROR(__xludf.DUMMYFUNCTION("TRIM(REGEXREPLACE(D1237, ""[0-9]+[a-f]?\."", """"))"),"")</f>
        <v/>
      </c>
      <c r="I1237" s="152" t="str">
        <f>IFERROR(__xludf.DUMMYFUNCTION("TRIM(REGEXREPLACE(E1237, ""[0-9]+[a-f]?\."", """"))"),"")</f>
        <v/>
      </c>
      <c r="J1237" s="152" t="s">
        <v>8616</v>
      </c>
      <c r="K1237" s="152" t="s">
        <v>8617</v>
      </c>
      <c r="L1237" s="152" t="s">
        <v>8618</v>
      </c>
    </row>
    <row r="1238" hidden="1">
      <c r="A1238" s="90" t="s">
        <v>78</v>
      </c>
      <c r="B1238" s="92" t="s">
        <v>8619</v>
      </c>
      <c r="C1238" s="28"/>
      <c r="D1238" s="28"/>
      <c r="E1238" s="28"/>
      <c r="F1238" s="161">
        <v>681.0</v>
      </c>
      <c r="G1238" s="152" t="str">
        <f>IFERROR(__xludf.DUMMYFUNCTION("TRIM(REGEXREPLACE(C1238, ""[0-9]+[a-f]?\."", """"))"),"")</f>
        <v/>
      </c>
      <c r="H1238" s="152" t="str">
        <f>IFERROR(__xludf.DUMMYFUNCTION("TRIM(REGEXREPLACE(D1238, ""[0-9]+[a-f]?\."", """"))"),"")</f>
        <v/>
      </c>
      <c r="I1238" s="152" t="str">
        <f>IFERROR(__xludf.DUMMYFUNCTION("TRIM(REGEXREPLACE(E1238, ""[0-9]+[a-f]?\."", """"))"),"")</f>
        <v/>
      </c>
      <c r="J1238" s="152" t="s">
        <v>8622</v>
      </c>
      <c r="K1238" s="152" t="s">
        <v>8623</v>
      </c>
      <c r="L1238" s="152" t="s">
        <v>8624</v>
      </c>
    </row>
    <row r="1239" hidden="1">
      <c r="A1239" s="90" t="s">
        <v>134</v>
      </c>
      <c r="B1239" s="92" t="s">
        <v>8625</v>
      </c>
      <c r="C1239" s="28"/>
      <c r="D1239" s="28"/>
      <c r="E1239" s="28"/>
    </row>
    <row r="1240">
      <c r="A1240" s="166" t="s">
        <v>41</v>
      </c>
      <c r="B1240" s="167" t="s">
        <v>8626</v>
      </c>
      <c r="C1240" s="28" t="s">
        <v>8627</v>
      </c>
      <c r="D1240" s="28" t="s">
        <v>8628</v>
      </c>
      <c r="E1240" s="28" t="s">
        <v>8629</v>
      </c>
      <c r="F1240" s="161">
        <v>566.0</v>
      </c>
      <c r="G1240" s="152" t="str">
        <f>IFERROR(__xludf.DUMMYFUNCTION("TRIM(REGEXREPLACE(C1240, ""[0-9]+[a-f]?\."", """"))"),"Now we'll talk about your households' agricultural and and animal husbandry activities. 
 Let's starting with the most recent agricultural season")</f>
        <v>Now we'll talk about your households' agricultural and and animal husbandry activities. 
 Let's starting with the most recent agricultural season</v>
      </c>
      <c r="H1240" s="152" t="str">
        <f>IFERROR(__xludf.DUMMYFUNCTION("TRIM(REGEXREPLACE(D1240, ""[0-9]+[a-f]?\."", """"))"),"Maintenant, nous allons parler des activités agricoles et d'élevage de votre ménage.
 Commençons par la dernière saison agricole")</f>
        <v>Maintenant, nous allons parler des activités agricoles et d'élevage de votre ménage.
 Commençons par la dernière saison agricole</v>
      </c>
      <c r="I1240" s="152" t="str">
        <f>IFERROR(__xludf.DUMMYFUNCTION("TRIM(REGEXREPLACE(E1240, ""[0-9]+[a-f]?\."", """"))"),"Yanzu za mu yi hira bisa aikin noma da kiwo na gidanku.")</f>
        <v>Yanzu za mu yi hira bisa aikin noma da kiwo na gidanku.</v>
      </c>
      <c r="J1240" s="152" t="s">
        <v>8631</v>
      </c>
      <c r="K1240" s="152" t="s">
        <v>8632</v>
      </c>
      <c r="L1240" s="152" t="s">
        <v>8633</v>
      </c>
    </row>
    <row r="1241">
      <c r="A1241" s="318" t="s">
        <v>275</v>
      </c>
      <c r="B1241" s="319" t="s">
        <v>8635</v>
      </c>
      <c r="C1241" s="28" t="s">
        <v>8637</v>
      </c>
      <c r="D1241" s="28" t="s">
        <v>8638</v>
      </c>
      <c r="E1241" s="28" t="s">
        <v>8639</v>
      </c>
      <c r="F1241" s="161">
        <v>567.0</v>
      </c>
      <c r="G1241" s="152" t="str">
        <f>IFERROR(__xludf.DUMMYFUNCTION("TRIM(REGEXREPLACE(C1241, ""[0-9]+[a-f]?\."", """"))"),"Thinking of all the agricultural land your household owned, rented or and had access to during the last agricultural season, please estimate its total size in hectres")</f>
        <v>Thinking of all the agricultural land your household owned, rented or and had access to during the last agricultural season, please estimate its total size in hectres</v>
      </c>
      <c r="H1241" s="152" t="str">
        <f>IFERROR(__xludf.DUMMYFUNCTION("TRIM(REGEXREPLACE(D1241, ""[0-9]+[a-f]?\."", """"))"),"En pensant à toutes les terres agricoles que votre ménage possédait, louait ou auxquelles il avait accès au cours de la dernière saison agricole, veuillez estimer leur superficie totale en hectares")</f>
        <v>En pensant à toutes les terres agricoles que votre ménage possédait, louait ou auxquelles il avait accès au cours de la dernière saison agricole, veuillez estimer leur superficie totale en hectares</v>
      </c>
      <c r="I1241" s="152" t="str">
        <f>IFERROR(__xludf.DUMMYFUNCTION("TRIM(REGEXREPLACE(E1241, ""[0-9]+[a-f]?\."", """"))"),"A ganinka da gonakan da kuka mallaka da na haya da na aro wanda kuka noma a bana sun kai eka nawa?")</f>
        <v>A ganinka da gonakan da kuka mallaka da na haya da na aro wanda kuka noma a bana sun kai eka nawa?</v>
      </c>
      <c r="J1241" s="152" t="s">
        <v>8640</v>
      </c>
      <c r="K1241" s="152" t="s">
        <v>8641</v>
      </c>
      <c r="L1241" s="152" t="s">
        <v>8642</v>
      </c>
    </row>
    <row r="1242">
      <c r="A1242" s="318" t="s">
        <v>275</v>
      </c>
      <c r="B1242" s="319" t="s">
        <v>8643</v>
      </c>
      <c r="C1242" s="28" t="s">
        <v>8644</v>
      </c>
      <c r="D1242" s="28" t="s">
        <v>8645</v>
      </c>
      <c r="E1242" s="28" t="s">
        <v>8646</v>
      </c>
      <c r="F1242" s="161">
        <v>568.0</v>
      </c>
      <c r="G1242" s="152" t="str">
        <f>IFERROR(__xludf.DUMMYFUNCTION("TRIM(REGEXREPLACE(C1242, ""[0-9]+[a-f]?\."", """"))"),"How much of this land (in hectares) do you or another member of your household own?")</f>
        <v>How much of this land (in hectares) do you or another member of your household own?</v>
      </c>
      <c r="H1242" s="152" t="str">
        <f>IFERROR(__xludf.DUMMYFUNCTION("TRIM(REGEXREPLACE(D1242, ""[0-9]+[a-f]?\."", """"))"),"Quelle superficie de cette terre (en hectares) vous ou un autre membre de votre ménage possédez?")</f>
        <v>Quelle superficie de cette terre (en hectares) vous ou un autre membre de votre ménage possédez?</v>
      </c>
      <c r="I1242" s="152" t="str">
        <f>IFERROR(__xludf.DUMMYFUNCTION("TRIM(REGEXREPLACE(E1242, ""[0-9]+[a-f]?\."", """"))"),"Eka nawa ne mallakinku cikin wadannan gonakin, ku ko wani ɗan gidanku?")</f>
        <v>Eka nawa ne mallakinku cikin wadannan gonakin, ku ko wani ɗan gidanku?</v>
      </c>
      <c r="J1242" s="152" t="s">
        <v>8647</v>
      </c>
      <c r="K1242" s="152" t="s">
        <v>8649</v>
      </c>
      <c r="L1242" s="152" t="s">
        <v>8650</v>
      </c>
    </row>
    <row r="1243">
      <c r="A1243" s="318" t="s">
        <v>275</v>
      </c>
      <c r="B1243" s="319" t="s">
        <v>8651</v>
      </c>
      <c r="C1243" s="28" t="s">
        <v>8652</v>
      </c>
      <c r="D1243" s="28" t="s">
        <v>8653</v>
      </c>
      <c r="E1243" s="28" t="s">
        <v>8654</v>
      </c>
      <c r="F1243" s="161">
        <v>569.0</v>
      </c>
      <c r="G1243" s="152" t="str">
        <f>IFERROR(__xludf.DUMMYFUNCTION("TRIM(REGEXREPLACE(C1243, ""[0-9]+[a-f]?\."", """"))"),"How much of this land, if any have you sold in the past year?")</f>
        <v>How much of this land, if any have you sold in the past year?</v>
      </c>
      <c r="H1243" s="152" t="str">
        <f>IFERROR(__xludf.DUMMYFUNCTION("TRIM(REGEXREPLACE(D1243, ""[0-9]+[a-f]?\."", """"))"),"Quelle superficie de ce terrain, si c'est déjà arrivé, avez-vous vendu au cours de l'année écoulée ?")</f>
        <v>Quelle superficie de ce terrain, si c'est déjà arrivé, avez-vous vendu au cours de l'année écoulée ?</v>
      </c>
      <c r="I1243" s="152" t="str">
        <f>IFERROR(__xludf.DUMMYFUNCTION("TRIM(REGEXREPLACE(E1243, ""[0-9]+[a-f]?\."", """"))"),"Eka nawa ne kuka saida, idan ya taɓa faruwa, a cikin shekarar da ta gabata?")</f>
        <v>Eka nawa ne kuka saida, idan ya taɓa faruwa, a cikin shekarar da ta gabata?</v>
      </c>
      <c r="J1243" s="152" t="s">
        <v>8655</v>
      </c>
      <c r="K1243" s="152" t="s">
        <v>8656</v>
      </c>
      <c r="L1243" s="152" t="s">
        <v>8657</v>
      </c>
    </row>
    <row r="1244">
      <c r="A1244" s="318" t="s">
        <v>275</v>
      </c>
      <c r="B1244" s="319" t="s">
        <v>8658</v>
      </c>
      <c r="C1244" s="28" t="s">
        <v>8659</v>
      </c>
      <c r="D1244" s="28" t="s">
        <v>8660</v>
      </c>
      <c r="E1244" s="28" t="s">
        <v>8661</v>
      </c>
      <c r="F1244" s="161">
        <v>570.0</v>
      </c>
      <c r="G1244" s="152" t="str">
        <f>IFERROR(__xludf.DUMMYFUNCTION("TRIM(REGEXREPLACE(C1244, ""[0-9]+[a-f]?\."", """"))"),"How much of this land, if any have you purchased in the past year?")</f>
        <v>How much of this land, if any have you purchased in the past year?</v>
      </c>
      <c r="H1244" s="152" t="str">
        <f>IFERROR(__xludf.DUMMYFUNCTION("TRIM(REGEXREPLACE(D1244, ""[0-9]+[a-f]?\."", """"))"),"Quelle superficie de ce terrain, si c'est déjà arrivé, avez-vous acheté au cours de la dernière année ?")</f>
        <v>Quelle superficie de ce terrain, si c'est déjà arrivé, avez-vous acheté au cours de la dernière année ?</v>
      </c>
      <c r="I1244" s="152" t="str">
        <f>IFERROR(__xludf.DUMMYFUNCTION("TRIM(REGEXREPLACE(E1244, ""[0-9]+[a-f]?\."", """"))"),"Eka nawa ne kuka saye, idan ya faru, a cikin shekarar da ta gabata?")</f>
        <v>Eka nawa ne kuka saye, idan ya faru, a cikin shekarar da ta gabata?</v>
      </c>
      <c r="J1244" s="152" t="s">
        <v>8664</v>
      </c>
      <c r="K1244" s="152" t="s">
        <v>8666</v>
      </c>
      <c r="L1244" s="152" t="s">
        <v>8668</v>
      </c>
    </row>
    <row r="1245">
      <c r="A1245" s="318" t="s">
        <v>275</v>
      </c>
      <c r="B1245" s="319" t="s">
        <v>8669</v>
      </c>
      <c r="C1245" s="28" t="s">
        <v>8670</v>
      </c>
      <c r="D1245" s="28" t="s">
        <v>8671</v>
      </c>
      <c r="E1245" s="28" t="s">
        <v>8672</v>
      </c>
      <c r="F1245" s="161">
        <v>571.0</v>
      </c>
      <c r="G1245" s="152" t="str">
        <f>IFERROR(__xludf.DUMMYFUNCTION("TRIM(REGEXREPLACE(C1245, ""[0-9]+[a-f]?\."", """"))"),"How much of this land (in hectares) did you rent during the last agricultural season?")</f>
        <v>How much of this land (in hectares) did you rent during the last agricultural season?</v>
      </c>
      <c r="H1245" s="152" t="str">
        <f>IFERROR(__xludf.DUMMYFUNCTION("TRIM(REGEXREPLACE(D1245, ""[0-9]+[a-f]?\."", """"))"),"Quelle superficie de cette terre (en hectares) avez-vous louée au cours de la dernière saison agricole ?")</f>
        <v>Quelle superficie de cette terre (en hectares) avez-vous louée au cours de la dernière saison agricole ?</v>
      </c>
      <c r="I1245" s="152" t="str">
        <f>IFERROR(__xludf.DUMMYFUNCTION("TRIM(REGEXREPLACE(E1245, ""[0-9]+[a-f]?\."", """"))"),"Eka nawa ne kuka yi haya a lokacin noman da ta wuce?")</f>
        <v>Eka nawa ne kuka yi haya a lokacin noman da ta wuce?</v>
      </c>
      <c r="J1245" s="152" t="s">
        <v>8673</v>
      </c>
      <c r="K1245" s="152" t="s">
        <v>8674</v>
      </c>
      <c r="L1245" s="152" t="s">
        <v>8675</v>
      </c>
    </row>
    <row r="1246">
      <c r="A1246" s="170" t="s">
        <v>263</v>
      </c>
      <c r="B1246" s="171" t="s">
        <v>8676</v>
      </c>
      <c r="C1246" s="28" t="s">
        <v>8677</v>
      </c>
      <c r="D1246" s="28" t="s">
        <v>8678</v>
      </c>
      <c r="E1246" s="28" t="s">
        <v>8679</v>
      </c>
      <c r="F1246" s="161">
        <v>572.0</v>
      </c>
      <c r="G1246" s="152" t="str">
        <f>IFERROR(__xludf.DUMMYFUNCTION("TRIM(REGEXREPLACE(C1246, ""[0-9]+[a-f]?\."", """"))"),"How much did you pay to rent this land during the last agricultural season (in CFA)?")</f>
        <v>How much did you pay to rent this land during the last agricultural season (in CFA)?</v>
      </c>
      <c r="H1246" s="152" t="str">
        <f>IFERROR(__xludf.DUMMYFUNCTION("TRIM(REGEXREPLACE(D1246, ""[0-9]+[a-f]?\."", """"))"),"A combien avez-vous loué ce terrain (en CFA) au cours de la dernière saison agricole ?")</f>
        <v>A combien avez-vous loué ce terrain (en CFA) au cours de la dernière saison agricole ?</v>
      </c>
      <c r="I1246" s="152" t="str">
        <f>IFERROR(__xludf.DUMMYFUNCTION("TRIM(REGEXREPLACE(E1246, ""[0-9]+[a-f]?\."", """"))"),"A nawa kuka yi hayar wannan gonar a lokacin noman da ta wuce (a sefa)?")</f>
        <v>A nawa kuka yi hayar wannan gonar a lokacin noman da ta wuce (a sefa)?</v>
      </c>
      <c r="J1246" s="152" t="s">
        <v>8682</v>
      </c>
      <c r="K1246" s="152" t="s">
        <v>8683</v>
      </c>
      <c r="L1246" s="152" t="s">
        <v>8684</v>
      </c>
    </row>
    <row r="1247" hidden="1">
      <c r="A1247" s="90" t="s">
        <v>134</v>
      </c>
      <c r="B1247" s="216" t="s">
        <v>8685</v>
      </c>
      <c r="C1247" s="28"/>
      <c r="D1247" s="28"/>
      <c r="E1247" s="28"/>
    </row>
    <row r="1248" hidden="1">
      <c r="A1248" s="90" t="s">
        <v>78</v>
      </c>
      <c r="B1248" s="92" t="s">
        <v>8688</v>
      </c>
      <c r="C1248" s="28"/>
      <c r="D1248" s="28"/>
      <c r="E1248" s="28"/>
      <c r="F1248" s="161">
        <v>229.0</v>
      </c>
      <c r="G1248" s="152" t="str">
        <f>IFERROR(__xludf.DUMMYFUNCTION("TRIM(REGEXREPLACE(C1248, ""[0-9]+[a-f]?\."", """"))"),"")</f>
        <v/>
      </c>
      <c r="H1248" s="152" t="str">
        <f>IFERROR(__xludf.DUMMYFUNCTION("TRIM(REGEXREPLACE(D1248, ""[0-9]+[a-f]?\."", """"))"),"")</f>
        <v/>
      </c>
      <c r="I1248" s="152" t="str">
        <f>IFERROR(__xludf.DUMMYFUNCTION("TRIM(REGEXREPLACE(E1248, ""[0-9]+[a-f]?\."", """"))"),"")</f>
        <v/>
      </c>
      <c r="J1248" s="152" t="str">
        <f t="shared" ref="J1248:L1248" si="127">$F1248 &amp; ". " &amp;G1248</f>
        <v>229. </v>
      </c>
      <c r="K1248" s="152" t="str">
        <f t="shared" si="127"/>
        <v>229. </v>
      </c>
      <c r="L1248" s="152" t="str">
        <f t="shared" si="127"/>
        <v>229. </v>
      </c>
    </row>
    <row r="1249">
      <c r="A1249" s="166" t="s">
        <v>41</v>
      </c>
      <c r="B1249" s="167" t="s">
        <v>8690</v>
      </c>
      <c r="C1249" s="28" t="s">
        <v>8691</v>
      </c>
      <c r="D1249" s="28" t="s">
        <v>8692</v>
      </c>
      <c r="E1249" s="28" t="s">
        <v>8693</v>
      </c>
      <c r="F1249" s="161">
        <v>573.0</v>
      </c>
      <c r="G1249" s="152" t="str">
        <f>IFERROR(__xludf.DUMMYFUNCTION("TRIM(REGEXREPLACE(C1249, ""[0-9]+[a-f]?\."", """"))"),"Now we will focus on agricultural activities during last agricultural season")</f>
        <v>Now we will focus on agricultural activities during last agricultural season</v>
      </c>
      <c r="H1249" s="152" t="str">
        <f>IFERROR(__xludf.DUMMYFUNCTION("TRIM(REGEXREPLACE(D1249, ""[0-9]+[a-f]?\."", """"))"),"Maintenant, nous allons nous concentrer sur les activités agricoles au cours de la dernière saison agricole")</f>
        <v>Maintenant, nous allons nous concentrer sur les activités agricoles au cours de la dernière saison agricole</v>
      </c>
      <c r="I1249" s="152" t="str">
        <f>IFERROR(__xludf.DUMMYFUNCTION("TRIM(REGEXREPLACE(E1249, ""[0-9]+[a-f]?\."", """"))"),"Yanzu za mu maida hankali kan ayyukan noma a lokacin damanar da ta wuce")</f>
        <v>Yanzu za mu maida hankali kan ayyukan noma a lokacin damanar da ta wuce</v>
      </c>
      <c r="J1249" s="152" t="s">
        <v>8695</v>
      </c>
      <c r="K1249" s="152" t="s">
        <v>8696</v>
      </c>
      <c r="L1249" s="152" t="s">
        <v>8697</v>
      </c>
    </row>
    <row r="1250">
      <c r="A1250" s="68" t="s">
        <v>8698</v>
      </c>
      <c r="B1250" s="169" t="s">
        <v>8699</v>
      </c>
      <c r="C1250" s="28" t="s">
        <v>8700</v>
      </c>
      <c r="D1250" s="28" t="s">
        <v>8701</v>
      </c>
      <c r="E1250" s="28" t="s">
        <v>8702</v>
      </c>
      <c r="F1250" s="161">
        <v>574.0</v>
      </c>
      <c r="G1250" s="152" t="str">
        <f>IFERROR(__xludf.DUMMYFUNCTION("TRIM(REGEXREPLACE(C1250, ""[0-9]+[a-f]?\."", """"))"),"Which of the following crops did your household grow during the last agricultural season?")</f>
        <v>Which of the following crops did your household grow during the last agricultural season?</v>
      </c>
      <c r="H1250" s="152" t="str">
        <f>IFERROR(__xludf.DUMMYFUNCTION("TRIM(REGEXREPLACE(D1250, ""[0-9]+[a-f]?\."", """"))"),"Laquelle des cultures suivantes votre ménage a-t-il cultivées au cours de la dernière saison agricole ?")</f>
        <v>Laquelle des cultures suivantes votre ménage a-t-il cultivées au cours de la dernière saison agricole ?</v>
      </c>
      <c r="I1250" s="152" t="str">
        <f>IFERROR(__xludf.DUMMYFUNCTION("TRIM(REGEXREPLACE(E1250, ""[0-9]+[a-f]?\."", """"))"),"Wanne daga cikin waɗannan amfanin gidanku ya noma a damanar da ta gabata?")</f>
        <v>Wanne daga cikin waɗannan amfanin gidanku ya noma a damanar da ta gabata?</v>
      </c>
      <c r="J1250" s="152" t="s">
        <v>8703</v>
      </c>
      <c r="K1250" s="152" t="s">
        <v>8704</v>
      </c>
      <c r="L1250" s="152" t="s">
        <v>8705</v>
      </c>
    </row>
    <row r="1251">
      <c r="A1251" s="179" t="s">
        <v>246</v>
      </c>
      <c r="B1251" s="180" t="s">
        <v>8706</v>
      </c>
      <c r="C1251" s="28" t="s">
        <v>8708</v>
      </c>
      <c r="D1251" s="28" t="s">
        <v>8709</v>
      </c>
      <c r="E1251" s="28" t="s">
        <v>8710</v>
      </c>
      <c r="F1251" s="161">
        <v>575.0</v>
      </c>
      <c r="G1251" s="152" t="str">
        <f>IFERROR(__xludf.DUMMYFUNCTION("TRIM(REGEXREPLACE(C1251, ""[0-9]+[a-f]?\."", """"))"),"Specify other:")</f>
        <v>Specify other:</v>
      </c>
      <c r="H1251" s="152" t="str">
        <f>IFERROR(__xludf.DUMMYFUNCTION("TRIM(REGEXREPLACE(D1251, ""[0-9]+[a-f]?\."", """"))"),"Précisez la culture")</f>
        <v>Précisez la culture</v>
      </c>
      <c r="I1251" s="152" t="str">
        <f>IFERROR(__xludf.DUMMYFUNCTION("TRIM(REGEXREPLACE(E1251, ""[0-9]+[a-f]?\."", """"))"),"Baiyana wani abu daban:")</f>
        <v>Baiyana wani abu daban:</v>
      </c>
      <c r="J1251" s="152" t="s">
        <v>8712</v>
      </c>
      <c r="K1251" s="152" t="s">
        <v>8713</v>
      </c>
      <c r="L1251" s="152" t="s">
        <v>8714</v>
      </c>
    </row>
    <row r="1252" hidden="1">
      <c r="A1252" s="90" t="s">
        <v>134</v>
      </c>
      <c r="B1252" s="92" t="s">
        <v>8715</v>
      </c>
      <c r="C1252" s="28"/>
      <c r="D1252" s="28"/>
      <c r="E1252" s="28"/>
      <c r="F1252" s="161">
        <v>690.0</v>
      </c>
      <c r="G1252" s="152" t="str">
        <f>IFERROR(__xludf.DUMMYFUNCTION("TRIM(REGEXREPLACE(C1252, ""[0-9]+[a-f]?\."", """"))"),"")</f>
        <v/>
      </c>
      <c r="H1252" s="152" t="str">
        <f>IFERROR(__xludf.DUMMYFUNCTION("TRIM(REGEXREPLACE(D1252, ""[0-9]+[a-f]?\."", """"))"),"")</f>
        <v/>
      </c>
      <c r="I1252" s="152" t="str">
        <f>IFERROR(__xludf.DUMMYFUNCTION("TRIM(REGEXREPLACE(E1252, ""[0-9]+[a-f]?\."", """"))"),"")</f>
        <v/>
      </c>
      <c r="J1252" s="152" t="s">
        <v>8716</v>
      </c>
      <c r="K1252" s="152" t="s">
        <v>8717</v>
      </c>
      <c r="L1252" s="152" t="s">
        <v>8718</v>
      </c>
    </row>
    <row r="1253" hidden="1">
      <c r="A1253" s="174" t="s">
        <v>698</v>
      </c>
      <c r="B1253" s="175" t="s">
        <v>8719</v>
      </c>
      <c r="C1253" s="28" t="s">
        <v>8720</v>
      </c>
      <c r="D1253" s="28" t="s">
        <v>8722</v>
      </c>
      <c r="E1253" s="28" t="s">
        <v>8724</v>
      </c>
      <c r="F1253" s="161">
        <v>691.0</v>
      </c>
      <c r="G1253" s="152" t="str">
        <f>IFERROR(__xludf.DUMMYFUNCTION("TRIM(REGEXREPLACE(C1253, ""[0-9]+[a-f]?\."", """"))"),"Crops - ${hoh_crop_name}")</f>
        <v>Crops - ${hoh_crop_name}</v>
      </c>
      <c r="H1253" s="152" t="str">
        <f>IFERROR(__xludf.DUMMYFUNCTION("TRIM(REGEXREPLACE(D1253, ""[0-9]+[a-f]?\."", """"))"),"Cultures - ${hoh_crop_name}")</f>
        <v>Cultures - ${hoh_crop_name}</v>
      </c>
      <c r="I1253" s="152" t="str">
        <f>IFERROR(__xludf.DUMMYFUNCTION("TRIM(REGEXREPLACE(E1253, ""[0-9]+[a-f]?\."", """"))"),"amfanin gona - ${hoh_crop_name}")</f>
        <v>amfanin gona - ${hoh_crop_name}</v>
      </c>
      <c r="J1253" s="152" t="s">
        <v>8726</v>
      </c>
      <c r="K1253" s="152" t="s">
        <v>8727</v>
      </c>
      <c r="L1253" s="152" t="s">
        <v>8728</v>
      </c>
    </row>
    <row r="1254" hidden="1">
      <c r="A1254" s="90" t="s">
        <v>78</v>
      </c>
      <c r="B1254" s="92" t="s">
        <v>8729</v>
      </c>
      <c r="C1254" s="28" t="s">
        <v>8730</v>
      </c>
      <c r="D1254" s="28" t="s">
        <v>8731</v>
      </c>
      <c r="E1254" s="28" t="s">
        <v>8732</v>
      </c>
      <c r="F1254" s="161">
        <v>233.0</v>
      </c>
      <c r="G1254" s="152" t="str">
        <f>IFERROR(__xludf.DUMMYFUNCTION("TRIM(REGEXREPLACE(C1254, ""[0-9]+[a-f]?\."", """"))"),"Crop Name")</f>
        <v>Crop Name</v>
      </c>
      <c r="H1254" s="152" t="str">
        <f>IFERROR(__xludf.DUMMYFUNCTION("TRIM(REGEXREPLACE(D1254, ""[0-9]+[a-f]?\."", """"))"),"Nom de la culture")</f>
        <v>Nom de la culture</v>
      </c>
      <c r="I1254" s="152" t="str">
        <f>IFERROR(__xludf.DUMMYFUNCTION("TRIM(REGEXREPLACE(E1254, ""[0-9]+[a-f]?\."", """"))"),"Sunan amfanin gona")</f>
        <v>Sunan amfanin gona</v>
      </c>
      <c r="J1254" s="152" t="str">
        <f t="shared" ref="J1254:L1254" si="128">$F1254 &amp; ". " &amp;G1254</f>
        <v>233. Crop Name</v>
      </c>
      <c r="K1254" s="152" t="str">
        <f t="shared" si="128"/>
        <v>233. Nom de la culture</v>
      </c>
      <c r="L1254" s="152" t="str">
        <f t="shared" si="128"/>
        <v>233. Sunan amfanin gona</v>
      </c>
    </row>
    <row r="1255" hidden="1">
      <c r="A1255" s="140" t="s">
        <v>131</v>
      </c>
      <c r="B1255" s="164" t="s">
        <v>8737</v>
      </c>
      <c r="C1255" s="28"/>
      <c r="D1255" s="28"/>
      <c r="E1255" s="28"/>
    </row>
    <row r="1256">
      <c r="A1256" s="318" t="s">
        <v>275</v>
      </c>
      <c r="B1256" s="319" t="s">
        <v>8738</v>
      </c>
      <c r="C1256" s="28" t="s">
        <v>8739</v>
      </c>
      <c r="D1256" s="28" t="s">
        <v>8740</v>
      </c>
      <c r="E1256" s="28" t="s">
        <v>8741</v>
      </c>
      <c r="F1256" s="161">
        <v>576.0</v>
      </c>
      <c r="G1256" s="152" t="str">
        <f>IFERROR(__xludf.DUMMYFUNCTION("TRIM(REGEXREPLACE(C1256, ""[0-9]+[a-f]?\."", """"))"),"How much of ${hoh_crop_name} did your household produce?")</f>
        <v>How much of ${hoh_crop_name} did your household produce?</v>
      </c>
      <c r="H1256" s="152" t="str">
        <f>IFERROR(__xludf.DUMMYFUNCTION("TRIM(REGEXREPLACE(D1256, ""[0-9]+[a-f]?\."", """"))"),"Quelle quantité de ${hoh_crop_name} votre ménage a-t-il produit ?")</f>
        <v>Quelle quantité de ${hoh_crop_name} votre ménage a-t-il produit ?</v>
      </c>
      <c r="I1256" s="152" t="str">
        <f>IFERROR(__xludf.DUMMYFUNCTION("TRIM(REGEXREPLACE(E1256, ""[0-9]+[a-f]?\."", """"))"),"${hoh_crop_name} Nawa gidanku ya samu?")</f>
        <v>${hoh_crop_name} Nawa gidanku ya samu?</v>
      </c>
      <c r="J1256" s="152" t="s">
        <v>8742</v>
      </c>
      <c r="K1256" s="152" t="s">
        <v>8743</v>
      </c>
      <c r="L1256" s="152" t="s">
        <v>8744</v>
      </c>
    </row>
    <row r="1257">
      <c r="A1257" s="68" t="s">
        <v>8745</v>
      </c>
      <c r="B1257" s="169" t="s">
        <v>8746</v>
      </c>
      <c r="C1257" s="28" t="s">
        <v>8747</v>
      </c>
      <c r="D1257" s="28" t="s">
        <v>8748</v>
      </c>
      <c r="E1257" s="28" t="s">
        <v>8749</v>
      </c>
      <c r="F1257" s="161">
        <v>577.0</v>
      </c>
      <c r="G1257" s="152" t="str">
        <f>IFERROR(__xludf.DUMMYFUNCTION("TRIM(REGEXREPLACE(C1257, ""[0-9]+[a-f]?\."", """"))"),"Select crop unit for ${hoh_crop_name}")</f>
        <v>Select crop unit for ${hoh_crop_name}</v>
      </c>
      <c r="H1257" s="152" t="str">
        <f>IFERROR(__xludf.DUMMYFUNCTION("TRIM(REGEXREPLACE(D1257, ""[0-9]+[a-f]?\."", """"))"),"Sélectionnez l'unité de culture pour ${hoh_crop_name}")</f>
        <v>Sélectionnez l'unité de culture pour ${hoh_crop_name}</v>
      </c>
      <c r="I1257" s="152" t="str">
        <f>IFERROR(__xludf.DUMMYFUNCTION("TRIM(REGEXREPLACE(E1257, ""[0-9]+[a-f]?\."", """"))"),"Zaɓi amfanin gonar don ${hoh_crop_name}")</f>
        <v>Zaɓi amfanin gonar don ${hoh_crop_name}</v>
      </c>
      <c r="J1257" s="152" t="s">
        <v>8750</v>
      </c>
      <c r="K1257" s="152" t="s">
        <v>8751</v>
      </c>
      <c r="L1257" s="152" t="s">
        <v>8752</v>
      </c>
    </row>
    <row r="1258" hidden="1">
      <c r="A1258" s="140" t="s">
        <v>237</v>
      </c>
      <c r="B1258" s="191" t="s">
        <v>8737</v>
      </c>
      <c r="C1258" s="28"/>
      <c r="D1258" s="28"/>
      <c r="E1258" s="28"/>
    </row>
    <row r="1259">
      <c r="A1259" s="179" t="s">
        <v>246</v>
      </c>
      <c r="B1259" s="180" t="s">
        <v>8753</v>
      </c>
      <c r="C1259" s="28" t="s">
        <v>8754</v>
      </c>
      <c r="D1259" s="28" t="s">
        <v>8755</v>
      </c>
      <c r="E1259" s="28" t="s">
        <v>8756</v>
      </c>
      <c r="F1259" s="161">
        <v>578.0</v>
      </c>
      <c r="G1259" s="152" t="str">
        <f>IFERROR(__xludf.DUMMYFUNCTION("TRIM(REGEXREPLACE(C1259, ""[0-9]+[a-f]?\."", """"))"),"Specify other unit:")</f>
        <v>Specify other unit:</v>
      </c>
      <c r="H1259" s="152" t="str">
        <f>IFERROR(__xludf.DUMMYFUNCTION("TRIM(REGEXREPLACE(D1259, ""[0-9]+[a-f]?\."", """"))"),"Spécifiez une autre unité :")</f>
        <v>Spécifiez une autre unité :</v>
      </c>
      <c r="I1259" s="152" t="str">
        <f>IFERROR(__xludf.DUMMYFUNCTION("TRIM(REGEXREPLACE(E1259, ""[0-9]+[a-f]?\."", """"))"),"Baiyana wani amfanin gonar daban:")</f>
        <v>Baiyana wani amfanin gonar daban:</v>
      </c>
      <c r="J1259" s="152" t="s">
        <v>8757</v>
      </c>
      <c r="K1259" s="152" t="s">
        <v>8758</v>
      </c>
      <c r="L1259" s="152" t="s">
        <v>8759</v>
      </c>
    </row>
    <row r="1260" hidden="1">
      <c r="A1260" s="90" t="s">
        <v>78</v>
      </c>
      <c r="B1260" s="92" t="s">
        <v>8760</v>
      </c>
      <c r="C1260" s="28" t="s">
        <v>8761</v>
      </c>
      <c r="D1260" s="28"/>
      <c r="E1260" s="28"/>
      <c r="F1260" s="161">
        <v>236.0</v>
      </c>
      <c r="G1260" s="152" t="str">
        <f>IFERROR(__xludf.DUMMYFUNCTION("TRIM(REGEXREPLACE(C1260, ""[0-9]+[a-f]?\."", """"))"),"Unit Name")</f>
        <v>Unit Name</v>
      </c>
      <c r="H1260" s="152" t="str">
        <f>IFERROR(__xludf.DUMMYFUNCTION("TRIM(REGEXREPLACE(D1260, ""[0-9]+[a-f]?\."", """"))"),"")</f>
        <v/>
      </c>
      <c r="I1260" s="152" t="str">
        <f>IFERROR(__xludf.DUMMYFUNCTION("TRIM(REGEXREPLACE(E1260, ""[0-9]+[a-f]?\."", """"))"),"")</f>
        <v/>
      </c>
      <c r="J1260" s="152" t="str">
        <f t="shared" ref="J1260:L1260" si="129">$F1260 &amp; ". " &amp;G1260</f>
        <v>236. Unit Name</v>
      </c>
      <c r="K1260" s="152" t="str">
        <f t="shared" si="129"/>
        <v>236. </v>
      </c>
      <c r="L1260" s="152" t="str">
        <f t="shared" si="129"/>
        <v>236. </v>
      </c>
    </row>
    <row r="1261">
      <c r="A1261" s="318" t="s">
        <v>275</v>
      </c>
      <c r="B1261" s="319" t="s">
        <v>8764</v>
      </c>
      <c r="C1261" s="28" t="s">
        <v>8766</v>
      </c>
      <c r="D1261" s="28" t="s">
        <v>8767</v>
      </c>
      <c r="E1261" s="28" t="s">
        <v>8768</v>
      </c>
      <c r="F1261" s="161">
        <v>579.0</v>
      </c>
      <c r="G1261" s="152" t="str">
        <f>IFERROR(__xludf.DUMMYFUNCTION("TRIM(REGEXREPLACE(C1261, ""[0-9]+[a-f]?\."", """"))"),"What quantity (${hoh_crop_unit_name}) of ${hoh_crop_name} did your household sell since the last harvest?")</f>
        <v>What quantity (${hoh_crop_unit_name}) of ${hoh_crop_name} did your household sell since the last harvest?</v>
      </c>
      <c r="H1261" s="152" t="str">
        <f>IFERROR(__xludf.DUMMYFUNCTION("TRIM(REGEXREPLACE(D1261, ""[0-9]+[a-f]?\."", """"))"),"Quelle quantité (${hoh_crop_unit_name}) de ${hoh_crop_name} votre ménage a-t-il vendu depuis la dernière récolte ?")</f>
        <v>Quelle quantité (${hoh_crop_unit_name}) de ${hoh_crop_name} votre ménage a-t-il vendu depuis la dernière récolte ?</v>
      </c>
      <c r="I1261" s="152" t="str">
        <f>IFERROR(__xludf.DUMMYFUNCTION("TRIM(REGEXREPLACE(E1261, ""[0-9]+[a-f]?\."", """"))"),"Nawa ne yawan (${hoh_crop_unit_name}) na ${hoh_crop_name} gidanku ya saida tun daga kaka na ƙarshe?")</f>
        <v>Nawa ne yawan (${hoh_crop_unit_name}) na ${hoh_crop_name} gidanku ya saida tun daga kaka na ƙarshe?</v>
      </c>
      <c r="J1261" s="152" t="s">
        <v>8770</v>
      </c>
      <c r="K1261" s="152" t="s">
        <v>8771</v>
      </c>
      <c r="L1261" s="152" t="s">
        <v>8772</v>
      </c>
    </row>
    <row r="1262">
      <c r="A1262" s="170" t="s">
        <v>263</v>
      </c>
      <c r="B1262" s="171" t="s">
        <v>8773</v>
      </c>
      <c r="C1262" s="28" t="s">
        <v>8774</v>
      </c>
      <c r="D1262" s="28" t="s">
        <v>8775</v>
      </c>
      <c r="E1262" s="28" t="s">
        <v>8776</v>
      </c>
      <c r="F1262" s="161">
        <v>580.0</v>
      </c>
      <c r="G1262" s="152" t="str">
        <f>IFERROR(__xludf.DUMMYFUNCTION("TRIM(REGEXREPLACE(C1262, ""[0-9]+[a-f]?\."", """"))"),"What was the price per ${hoh_crop_unit_name} of ${hoh_crop_name} you sold in CFA?")</f>
        <v>What was the price per ${hoh_crop_unit_name} of ${hoh_crop_name} you sold in CFA?</v>
      </c>
      <c r="H1262" s="152" t="str">
        <f>IFERROR(__xludf.DUMMYFUNCTION("TRIM(REGEXREPLACE(D1262, ""[0-9]+[a-f]?\."", """"))"),"Quel était le prix unitaire (${hoh_crop_unit_name}) de ${hoh_crop_name} que vous avez vendu en CFA ?")</f>
        <v>Quel était le prix unitaire (${hoh_crop_unit_name}) de ${hoh_crop_name} que vous avez vendu en CFA ?</v>
      </c>
      <c r="I1262" s="152" t="str">
        <f>IFERROR(__xludf.DUMMYFUNCTION("TRIM(REGEXREPLACE(E1262, ""[0-9]+[a-f]?\."", """"))"),"Nawa farashin kowane ${hoh_crop_unit_name} na ${hoh_crop_name} da kuka saida a CFA?")</f>
        <v>Nawa farashin kowane ${hoh_crop_unit_name} na ${hoh_crop_name} da kuka saida a CFA?</v>
      </c>
      <c r="J1262" s="152" t="s">
        <v>8777</v>
      </c>
      <c r="K1262" s="152" t="s">
        <v>8778</v>
      </c>
      <c r="L1262" s="152" t="s">
        <v>8779</v>
      </c>
    </row>
    <row r="1263">
      <c r="A1263" s="318" t="s">
        <v>275</v>
      </c>
      <c r="B1263" s="319" t="s">
        <v>8781</v>
      </c>
      <c r="C1263" s="28" t="s">
        <v>8782</v>
      </c>
      <c r="D1263" s="28" t="s">
        <v>8783</v>
      </c>
      <c r="E1263" s="28" t="s">
        <v>8784</v>
      </c>
      <c r="F1263" s="161">
        <v>581.0</v>
      </c>
      <c r="G1263" s="152" t="str">
        <f>IFERROR(__xludf.DUMMYFUNCTION("TRIM(REGEXREPLACE(C1263, ""[0-9]+[a-f]?\."", """"))"),"How many ${hoh_crop_unit_name}s of ${hoh_crop_name} did your household consume?")</f>
        <v>How many ${hoh_crop_unit_name}s of ${hoh_crop_name} did your household consume?</v>
      </c>
      <c r="H1263" s="152" t="str">
        <f>IFERROR(__xludf.DUMMYFUNCTION("TRIM(REGEXREPLACE(D1263, ""[0-9]+[a-f]?\."", """"))"),"Quelle quantité (${hoh_crop_unit_name}) de ${hoh_crop_name} votre ménage a-t-il consommé ?")</f>
        <v>Quelle quantité (${hoh_crop_unit_name}) de ${hoh_crop_name} votre ménage a-t-il consommé ?</v>
      </c>
      <c r="I1263" s="152" t="str">
        <f>IFERROR(__xludf.DUMMYFUNCTION("TRIM(REGEXREPLACE(E1263, ""[0-9]+[a-f]?\."", """"))"),"Nawa yawan ${hoh_crop_unit_name} na ${hoh_crop_name} gidanku ya cinye?")</f>
        <v>Nawa yawan ${hoh_crop_unit_name} na ${hoh_crop_name} gidanku ya cinye?</v>
      </c>
      <c r="J1263" s="152" t="s">
        <v>8786</v>
      </c>
      <c r="K1263" s="152" t="s">
        <v>8787</v>
      </c>
      <c r="L1263" s="152" t="s">
        <v>8788</v>
      </c>
    </row>
    <row r="1264">
      <c r="A1264" s="170" t="s">
        <v>263</v>
      </c>
      <c r="B1264" s="271" t="s">
        <v>8789</v>
      </c>
      <c r="C1264" s="28" t="s">
        <v>8790</v>
      </c>
      <c r="D1264" s="28" t="s">
        <v>8791</v>
      </c>
      <c r="E1264" s="28" t="s">
        <v>8793</v>
      </c>
      <c r="F1264" s="161">
        <v>582.0</v>
      </c>
      <c r="G1264" s="152" t="str">
        <f>IFERROR(__xludf.DUMMYFUNCTION("TRIM(REGEXREPLACE(C1264, ""[0-9]+[a-f]?\."", """"))"),"If you were to sell the ${hoh_crop_name} that you consumed, what would be the price per ${hoh_crop_unit_name} in CFA?")</f>
        <v>If you were to sell the ${hoh_crop_name} that you consumed, what would be the price per ${hoh_crop_unit_name} in CFA?</v>
      </c>
      <c r="H1264" s="152" t="str">
        <f>IFERROR(__xludf.DUMMYFUNCTION("TRIM(REGEXREPLACE(D1264, ""[0-9]+[a-f]?\."", """"))"),"Si vous devriez vendre les ${hoh_crop_name} que vous avez consommés, quel serait le prix par ${hoh_crop_unit_name} en CFA ?")</f>
        <v>Si vous devriez vendre les ${hoh_crop_name} que vous avez consommés, quel serait le prix par ${hoh_crop_unit_name} en CFA ?</v>
      </c>
      <c r="I1264" s="152" t="str">
        <f>IFERROR(__xludf.DUMMYFUNCTION("TRIM(REGEXREPLACE(E1264, ""[0-9]+[a-f]?\."", """"))"),"Idan za ku sayar da ${hoh_crop_name} da kuka cinye, nawa zaku iya sayar da $ {hoh_crop_unit_name} a CFA?")</f>
        <v>Idan za ku sayar da ${hoh_crop_name} da kuka cinye, nawa zaku iya sayar da $ {hoh_crop_unit_name} a CFA?</v>
      </c>
      <c r="J1264" s="152" t="s">
        <v>8794</v>
      </c>
      <c r="K1264" s="152" t="s">
        <v>8795</v>
      </c>
      <c r="L1264" s="152" t="s">
        <v>8796</v>
      </c>
    </row>
    <row r="1265" hidden="1">
      <c r="A1265" s="90" t="s">
        <v>78</v>
      </c>
      <c r="B1265" s="92" t="s">
        <v>8797</v>
      </c>
      <c r="C1265" s="28"/>
      <c r="D1265" s="28"/>
      <c r="E1265" s="28"/>
      <c r="F1265" s="161">
        <v>700.0</v>
      </c>
      <c r="G1265" s="152" t="str">
        <f>IFERROR(__xludf.DUMMYFUNCTION("TRIM(REGEXREPLACE(C1265, ""[0-9]+[a-f]?\."", """"))"),"")</f>
        <v/>
      </c>
      <c r="H1265" s="152" t="str">
        <f>IFERROR(__xludf.DUMMYFUNCTION("TRIM(REGEXREPLACE(D1265, ""[0-9]+[a-f]?\."", """"))"),"")</f>
        <v/>
      </c>
      <c r="I1265" s="152" t="str">
        <f>IFERROR(__xludf.DUMMYFUNCTION("TRIM(REGEXREPLACE(E1265, ""[0-9]+[a-f]?\."", """"))"),"")</f>
        <v/>
      </c>
      <c r="J1265" s="152" t="s">
        <v>8803</v>
      </c>
      <c r="K1265" s="152" t="s">
        <v>8804</v>
      </c>
      <c r="L1265" s="152" t="s">
        <v>8805</v>
      </c>
    </row>
    <row r="1266" hidden="1">
      <c r="A1266" s="166"/>
      <c r="B1266" s="167"/>
      <c r="C1266" s="28"/>
      <c r="D1266" s="28"/>
      <c r="E1266" s="28"/>
    </row>
    <row r="1267">
      <c r="A1267" s="166" t="s">
        <v>41</v>
      </c>
      <c r="B1267" s="167" t="s">
        <v>8807</v>
      </c>
      <c r="C1267" s="28" t="s">
        <v>8808</v>
      </c>
      <c r="D1267" s="28" t="s">
        <v>8809</v>
      </c>
      <c r="E1267" s="28" t="s">
        <v>8810</v>
      </c>
      <c r="F1267" s="161">
        <v>583.0</v>
      </c>
      <c r="G1267" s="152" t="str">
        <f>IFERROR(__xludf.DUMMYFUNCTION("TRIM(REGEXREPLACE(C1267, ""[0-9]+[a-f]?\."", """"))"),"The amount you have left (${hoh_qty_left}) is negative. Please return and revise your responses.")</f>
        <v>The amount you have left (${hoh_qty_left}) is negative. Please return and revise your responses.</v>
      </c>
      <c r="H1267" s="152" t="str">
        <f>IFERROR(__xludf.DUMMYFUNCTION("TRIM(REGEXREPLACE(D1267, ""[0-9]+[a-f]?\."", """"))"),"Le montant qu'il vous reste (${hoh_qty_left}) est négatif. Veuillez revenir et réviser vos réponses.")</f>
        <v>Le montant qu'il vous reste (${hoh_qty_left}) est négatif. Veuillez revenir et réviser vos réponses.</v>
      </c>
      <c r="I1267" s="152" t="str">
        <f>IFERROR(__xludf.DUMMYFUNCTION("TRIM(REGEXREPLACE(E1267, ""[0-9]+[a-f]?\."", """"))"),"jimillar kuɗin da suka saura (${hoh_qty_left}) maras kyau ne. Da fatan za a dawo a sake duba amsoshin.")</f>
        <v>jimillar kuɗin da suka saura (${hoh_qty_left}) maras kyau ne. Da fatan za a dawo a sake duba amsoshin.</v>
      </c>
      <c r="J1267" s="152" t="s">
        <v>8811</v>
      </c>
      <c r="K1267" s="152" t="s">
        <v>8812</v>
      </c>
      <c r="L1267" s="152" t="s">
        <v>8813</v>
      </c>
    </row>
    <row r="1268">
      <c r="A1268" s="68" t="s">
        <v>2625</v>
      </c>
      <c r="B1268" s="169" t="s">
        <v>8814</v>
      </c>
      <c r="C1268" s="28" t="s">
        <v>8815</v>
      </c>
      <c r="D1268" s="28" t="s">
        <v>8816</v>
      </c>
      <c r="E1268" s="28" t="s">
        <v>8817</v>
      </c>
      <c r="F1268" s="161">
        <v>584.0</v>
      </c>
      <c r="G1268" s="152" t="str">
        <f>IFERROR(__xludf.DUMMYFUNCTION("TRIM(REGEXREPLACE(C1268, ""[0-9]+[a-f]?\."", """"))"),"Based on your responses, you had ${hoh_qty_left} ${hoh_crop_unit_name} left over. Does this sound correct?")</f>
        <v>Based on your responses, you had ${hoh_qty_left} ${hoh_crop_unit_name} left over. Does this sound correct?</v>
      </c>
      <c r="H1268" s="152" t="str">
        <f>IFERROR(__xludf.DUMMYFUNCTION("TRIM(REGEXREPLACE(D1268, ""[0-9]+[a-f]?\."", """"))"),"D'après vos réponses, il vous restait ${hoh_qty_left} ${hoh_crop_unit_name}. Est-ce que cela semble correct ?")</f>
        <v>D'après vos réponses, il vous restait ${hoh_qty_left} ${hoh_crop_unit_name}. Est-ce que cela semble correct ?</v>
      </c>
      <c r="I1268" s="152" t="str">
        <f>IFERROR(__xludf.DUMMYFUNCTION("TRIM(REGEXREPLACE(E1268, ""[0-9]+[a-f]?\."", """"))"),"Dangane da amsoshinku, kuna da sauran ${hoh_qty_left} ${hoh_crop_unit_name}. Ko wannan yayi daidai?")</f>
        <v>Dangane da amsoshinku, kuna da sauran ${hoh_qty_left} ${hoh_crop_unit_name}. Ko wannan yayi daidai?</v>
      </c>
      <c r="J1268" s="152" t="s">
        <v>8819</v>
      </c>
      <c r="K1268" s="152" t="s">
        <v>8821</v>
      </c>
      <c r="L1268" s="152" t="s">
        <v>8822</v>
      </c>
    </row>
    <row r="1269">
      <c r="A1269" s="170" t="s">
        <v>263</v>
      </c>
      <c r="B1269" s="271" t="s">
        <v>8823</v>
      </c>
      <c r="C1269" s="28" t="s">
        <v>8824</v>
      </c>
      <c r="D1269" s="28" t="s">
        <v>8825</v>
      </c>
      <c r="E1269" s="28" t="s">
        <v>8826</v>
      </c>
      <c r="F1269" s="161">
        <v>585.0</v>
      </c>
      <c r="G1269" s="152" t="str">
        <f>IFERROR(__xludf.DUMMYFUNCTION("TRIM(REGEXREPLACE(C1269, ""[0-9]+[a-f]?\."", """"))"),"If you were to sell the ${hoh_crop_name} that you had left over, what would be the price per ${hoh_crop_unit_name} in CFA?")</f>
        <v>If you were to sell the ${hoh_crop_name} that you had left over, what would be the price per ${hoh_crop_unit_name} in CFA?</v>
      </c>
      <c r="H1269" s="152" t="str">
        <f>IFERROR(__xludf.DUMMYFUNCTION("TRIM(REGEXREPLACE(D1269, ""[0-9]+[a-f]?\."", """"))"),"Si vous deviez vendre les ${hoh_crop_name} qui vous reste, quel serait le prix par ${hoh_crop_unit_name} en CFA ?")</f>
        <v>Si vous deviez vendre les ${hoh_crop_name} qui vous reste, quel serait le prix par ${hoh_crop_unit_name} en CFA ?</v>
      </c>
      <c r="I1269" s="152" t="str">
        <f>IFERROR(__xludf.DUMMYFUNCTION("TRIM(REGEXREPLACE(E1269, ""[0-9]+[a-f]?\."", """"))"),"Idan za ku sayar da ${hoh_crop_name} da ya muku saura, zaku iya sayar da $ {hoh_crop_unit_name} a CFA?")</f>
        <v>Idan za ku sayar da ${hoh_crop_name} da ya muku saura, zaku iya sayar da $ {hoh_crop_unit_name} a CFA?</v>
      </c>
      <c r="J1269" s="152" t="s">
        <v>8827</v>
      </c>
      <c r="K1269" s="152" t="s">
        <v>8828</v>
      </c>
      <c r="L1269" s="152" t="s">
        <v>8829</v>
      </c>
    </row>
    <row r="1270" hidden="1">
      <c r="A1270" s="90" t="s">
        <v>78</v>
      </c>
      <c r="B1270" s="92" t="s">
        <v>8830</v>
      </c>
      <c r="C1270" s="28"/>
      <c r="D1270" s="28"/>
      <c r="E1270" s="28"/>
      <c r="F1270" s="161">
        <v>702.0</v>
      </c>
      <c r="G1270" s="152" t="str">
        <f>IFERROR(__xludf.DUMMYFUNCTION("TRIM(REGEXREPLACE(C1270, ""[0-9]+[a-f]?\."", """"))"),"")</f>
        <v/>
      </c>
      <c r="H1270" s="152" t="str">
        <f>IFERROR(__xludf.DUMMYFUNCTION("TRIM(REGEXREPLACE(D1270, ""[0-9]+[a-f]?\."", """"))"),"")</f>
        <v/>
      </c>
      <c r="I1270" s="152" t="str">
        <f>IFERROR(__xludf.DUMMYFUNCTION("TRIM(REGEXREPLACE(E1270, ""[0-9]+[a-f]?\."", """"))"),"")</f>
        <v/>
      </c>
      <c r="J1270" s="152" t="s">
        <v>8831</v>
      </c>
      <c r="K1270" s="152" t="s">
        <v>8832</v>
      </c>
      <c r="L1270" s="152" t="s">
        <v>8834</v>
      </c>
    </row>
    <row r="1271" hidden="1">
      <c r="A1271" s="174" t="s">
        <v>1015</v>
      </c>
      <c r="B1271" s="204" t="s">
        <v>8719</v>
      </c>
      <c r="C1271" s="28" t="s">
        <v>8835</v>
      </c>
      <c r="D1271" s="28" t="s">
        <v>8836</v>
      </c>
      <c r="E1271" s="28" t="s">
        <v>8837</v>
      </c>
      <c r="F1271" s="161">
        <v>240.0</v>
      </c>
      <c r="G1271" s="152" t="str">
        <f>IFERROR(__xludf.DUMMYFUNCTION("TRIM(REGEXREPLACE(C1271, ""[0-9]+[a-f]?\."", """"))"),"Crops")</f>
        <v>Crops</v>
      </c>
      <c r="H1271" s="152" t="str">
        <f>IFERROR(__xludf.DUMMYFUNCTION("TRIM(REGEXREPLACE(D1271, ""[0-9]+[a-f]?\."", """"))"),"Cultures")</f>
        <v>Cultures</v>
      </c>
      <c r="I1271" s="152" t="str">
        <f>IFERROR(__xludf.DUMMYFUNCTION("TRIM(REGEXREPLACE(E1271, ""[0-9]+[a-f]?\."", """"))"),"amfanin gona")</f>
        <v>amfanin gona</v>
      </c>
      <c r="J1271" s="152" t="str">
        <f t="shared" ref="J1271:L1271" si="130">$F1271 &amp; ". " &amp;G1271</f>
        <v>240. Crops</v>
      </c>
      <c r="K1271" s="152" t="str">
        <f t="shared" si="130"/>
        <v>240. Cultures</v>
      </c>
      <c r="L1271" s="152" t="str">
        <f t="shared" si="130"/>
        <v>240. amfanin gona</v>
      </c>
    </row>
    <row r="1272" hidden="1">
      <c r="A1272" s="221"/>
      <c r="B1272" s="222"/>
      <c r="C1272" s="28"/>
      <c r="D1272" s="28"/>
      <c r="E1272" s="28"/>
      <c r="F1272" s="161">
        <v>241.0</v>
      </c>
      <c r="G1272" s="152" t="str">
        <f>IFERROR(__xludf.DUMMYFUNCTION("TRIM(REGEXREPLACE(C1272, ""[0-9]+[a-f]?\."", """"))"),"")</f>
        <v/>
      </c>
      <c r="H1272" s="152" t="str">
        <f>IFERROR(__xludf.DUMMYFUNCTION("TRIM(REGEXREPLACE(D1272, ""[0-9]+[a-f]?\."", """"))"),"")</f>
        <v/>
      </c>
      <c r="I1272" s="152" t="str">
        <f>IFERROR(__xludf.DUMMYFUNCTION("TRIM(REGEXREPLACE(E1272, ""[0-9]+[a-f]?\."", """"))"),"")</f>
        <v/>
      </c>
      <c r="J1272" s="152" t="str">
        <f t="shared" ref="J1272:L1272" si="131">$F1272 &amp; ". " &amp;G1272</f>
        <v>241. </v>
      </c>
      <c r="K1272" s="152" t="str">
        <f t="shared" si="131"/>
        <v>241. </v>
      </c>
      <c r="L1272" s="152" t="str">
        <f t="shared" si="131"/>
        <v>241. </v>
      </c>
    </row>
    <row r="1273" hidden="1">
      <c r="A1273" s="140" t="s">
        <v>131</v>
      </c>
      <c r="B1273" s="164" t="s">
        <v>8842</v>
      </c>
      <c r="C1273" s="28" t="s">
        <v>8843</v>
      </c>
      <c r="D1273" s="28" t="s">
        <v>8844</v>
      </c>
      <c r="E1273" s="28" t="s">
        <v>8846</v>
      </c>
      <c r="F1273" s="161">
        <v>242.0</v>
      </c>
      <c r="G1273" s="152" t="str">
        <f>IFERROR(__xludf.DUMMYFUNCTION("TRIM(REGEXREPLACE(C1273, ""[0-9]+[a-f]?\."", """"))"),"Household Agriculture Expenses")</f>
        <v>Household Agriculture Expenses</v>
      </c>
      <c r="H1273" s="152" t="str">
        <f>IFERROR(__xludf.DUMMYFUNCTION("TRIM(REGEXREPLACE(D1273, ""[0-9]+[a-f]?\."", """"))"),"Dépenses agricoles du ménage")</f>
        <v>Dépenses agricoles du ménage</v>
      </c>
      <c r="I1273" s="152" t="str">
        <f>IFERROR(__xludf.DUMMYFUNCTION("TRIM(REGEXREPLACE(E1273, ""[0-9]+[a-f]?\."", """"))"),"Kashe kashen kuɗin aikin gona na gida")</f>
        <v>Kashe kashen kuɗin aikin gona na gida</v>
      </c>
      <c r="J1273" s="152" t="str">
        <f t="shared" ref="J1273:L1273" si="132">$F1273 &amp; ". " &amp;G1273</f>
        <v>242. Household Agriculture Expenses</v>
      </c>
      <c r="K1273" s="152" t="str">
        <f t="shared" si="132"/>
        <v>242. Dépenses agricoles du ménage</v>
      </c>
      <c r="L1273" s="152" t="str">
        <f t="shared" si="132"/>
        <v>242. Kashe kashen kuɗin aikin gona na gida</v>
      </c>
    </row>
    <row r="1274">
      <c r="A1274" s="166" t="s">
        <v>41</v>
      </c>
      <c r="B1274" s="167" t="s">
        <v>8849</v>
      </c>
      <c r="C1274" s="28" t="s">
        <v>8850</v>
      </c>
      <c r="D1274" s="28" t="s">
        <v>8851</v>
      </c>
      <c r="E1274" s="28" t="s">
        <v>8853</v>
      </c>
      <c r="F1274" s="161">
        <v>586.0</v>
      </c>
      <c r="G1274" s="152" t="str">
        <f>IFERROR(__xludf.DUMMYFUNCTION("TRIM(REGEXREPLACE(C1274, ""[0-9]+[a-f]?\."", """"))"),"How much did your household spend on the following types of expenses during the last agricultural season in CFA?")</f>
        <v>How much did your household spend on the following types of expenses during the last agricultural season in CFA?</v>
      </c>
      <c r="H1274" s="152" t="str">
        <f>IFERROR(__xludf.DUMMYFUNCTION("TRIM(REGEXREPLACE(D1274, ""[0-9]+[a-f]?\."", """"))"),"Combien votre ménage a-t-il dépensé pour les types de dépenses suivantes au cours de la dernière saison agricole (en CFA) ?")</f>
        <v>Combien votre ménage a-t-il dépensé pour les types de dépenses suivantes au cours de la dernière saison agricole (en CFA) ?</v>
      </c>
      <c r="I1274" s="152" t="str">
        <f>IFERROR(__xludf.DUMMYFUNCTION("TRIM(REGEXREPLACE(E1274, ""[0-9]+[a-f]?\."", """"))"),"Nawa ne gidanku ya kashe akan waɗannan abubuwan a lokacin noman da ya wuce (a sefa)?")</f>
        <v>Nawa ne gidanku ya kashe akan waɗannan abubuwan a lokacin noman da ya wuce (a sefa)?</v>
      </c>
      <c r="J1274" s="152" t="s">
        <v>8856</v>
      </c>
      <c r="K1274" s="152" t="s">
        <v>8858</v>
      </c>
      <c r="L1274" s="152" t="s">
        <v>8859</v>
      </c>
    </row>
    <row r="1275">
      <c r="A1275" s="170" t="s">
        <v>263</v>
      </c>
      <c r="B1275" s="171" t="s">
        <v>8860</v>
      </c>
      <c r="C1275" s="28" t="s">
        <v>8861</v>
      </c>
      <c r="D1275" s="28" t="s">
        <v>8862</v>
      </c>
      <c r="E1275" s="28" t="s">
        <v>8863</v>
      </c>
      <c r="F1275" s="161">
        <v>587.0</v>
      </c>
      <c r="G1275" s="152" t="str">
        <f>IFERROR(__xludf.DUMMYFUNCTION("TRIM(REGEXREPLACE(C1275, ""[0-9]+[a-f]?\."", """"))"),"Seeds")</f>
        <v>Seeds</v>
      </c>
      <c r="H1275" s="152" t="str">
        <f>IFERROR(__xludf.DUMMYFUNCTION("TRIM(REGEXREPLACE(D1275, ""[0-9]+[a-f]?\."", """"))"),"Semences")</f>
        <v>Semences</v>
      </c>
      <c r="I1275" s="152" t="str">
        <f>IFERROR(__xludf.DUMMYFUNCTION("TRIM(REGEXREPLACE(E1275, ""[0-9]+[a-f]?\."", """"))"),"Iri")</f>
        <v>Iri</v>
      </c>
      <c r="J1275" s="152" t="s">
        <v>8864</v>
      </c>
      <c r="K1275" s="152" t="s">
        <v>8865</v>
      </c>
      <c r="L1275" s="152" t="s">
        <v>8866</v>
      </c>
    </row>
    <row r="1276">
      <c r="A1276" s="170" t="s">
        <v>263</v>
      </c>
      <c r="B1276" s="171" t="s">
        <v>8867</v>
      </c>
      <c r="C1276" s="28" t="s">
        <v>8868</v>
      </c>
      <c r="D1276" s="28" t="s">
        <v>8869</v>
      </c>
      <c r="E1276" s="28" t="s">
        <v>8870</v>
      </c>
      <c r="F1276" s="161">
        <v>588.0</v>
      </c>
      <c r="G1276" s="152" t="str">
        <f>IFERROR(__xludf.DUMMYFUNCTION("TRIM(REGEXREPLACE(C1276, ""[0-9]+[a-f]?\."", """"))"),"Fertilizer")</f>
        <v>Fertilizer</v>
      </c>
      <c r="H1276" s="152" t="str">
        <f>IFERROR(__xludf.DUMMYFUNCTION("TRIM(REGEXREPLACE(D1276, ""[0-9]+[a-f]?\."", """"))"),"Engrais")</f>
        <v>Engrais</v>
      </c>
      <c r="I1276" s="152" t="str">
        <f>IFERROR(__xludf.DUMMYFUNCTION("TRIM(REGEXREPLACE(E1276, ""[0-9]+[a-f]?\."", """"))"),"Takin zamani")</f>
        <v>Takin zamani</v>
      </c>
      <c r="J1276" s="152" t="s">
        <v>8874</v>
      </c>
      <c r="K1276" s="152" t="s">
        <v>8876</v>
      </c>
      <c r="L1276" s="152" t="s">
        <v>8877</v>
      </c>
    </row>
    <row r="1277">
      <c r="A1277" s="170" t="s">
        <v>263</v>
      </c>
      <c r="B1277" s="171" t="s">
        <v>8878</v>
      </c>
      <c r="C1277" s="28" t="s">
        <v>8879</v>
      </c>
      <c r="D1277" s="28" t="s">
        <v>8880</v>
      </c>
      <c r="E1277" s="28" t="s">
        <v>8881</v>
      </c>
      <c r="F1277" s="161">
        <v>589.0</v>
      </c>
      <c r="G1277" s="152" t="str">
        <f>IFERROR(__xludf.DUMMYFUNCTION("TRIM(REGEXREPLACE(C1277, ""[0-9]+[a-f]?\."", """"))"),"Renting machines and tools (i.e. for plowing or spraying)")</f>
        <v>Renting machines and tools (i.e. for plowing or spraying)</v>
      </c>
      <c r="H1277" s="152" t="str">
        <f>IFERROR(__xludf.DUMMYFUNCTION("TRIM(REGEXREPLACE(D1277, ""[0-9]+[a-f]?\."", """"))"),"Location de machines et d'outils (c'est-à-dire pour labourer ou pulvériser)")</f>
        <v>Location de machines et d'outils (c'est-à-dire pour labourer ou pulvériser)</v>
      </c>
      <c r="I1277" s="152" t="str">
        <f>IFERROR(__xludf.DUMMYFUNCTION("TRIM(REGEXREPLACE(E1277, ""[0-9]+[a-f]?\."", """"))"),"Hayar injina da kayan aiki ( don noma ko feshi)")</f>
        <v>Hayar injina da kayan aiki ( don noma ko feshi)</v>
      </c>
      <c r="J1277" s="152" t="s">
        <v>8882</v>
      </c>
      <c r="K1277" s="152" t="s">
        <v>8883</v>
      </c>
      <c r="L1277" s="152" t="s">
        <v>8884</v>
      </c>
    </row>
    <row r="1278">
      <c r="A1278" s="170" t="s">
        <v>263</v>
      </c>
      <c r="B1278" s="171" t="s">
        <v>8887</v>
      </c>
      <c r="C1278" s="28" t="s">
        <v>8889</v>
      </c>
      <c r="D1278" s="28" t="s">
        <v>8890</v>
      </c>
      <c r="E1278" s="28" t="s">
        <v>8891</v>
      </c>
      <c r="F1278" s="161">
        <v>590.0</v>
      </c>
      <c r="G1278" s="152" t="str">
        <f>IFERROR(__xludf.DUMMYFUNCTION("TRIM(REGEXREPLACE(C1278, ""[0-9]+[a-f]?\."", """"))"),"Water")</f>
        <v>Water</v>
      </c>
      <c r="H1278" s="152" t="str">
        <f>IFERROR(__xludf.DUMMYFUNCTION("TRIM(REGEXREPLACE(D1278, ""[0-9]+[a-f]?\."", """"))"),"Eau")</f>
        <v>Eau</v>
      </c>
      <c r="I1278" s="152" t="str">
        <f>IFERROR(__xludf.DUMMYFUNCTION("TRIM(REGEXREPLACE(E1278, ""[0-9]+[a-f]?\."", """"))"),"Ruwa")</f>
        <v>Ruwa</v>
      </c>
      <c r="J1278" s="152" t="s">
        <v>8892</v>
      </c>
      <c r="K1278" s="152" t="s">
        <v>8893</v>
      </c>
      <c r="L1278" s="152" t="s">
        <v>8894</v>
      </c>
    </row>
    <row r="1279" hidden="1">
      <c r="A1279" s="140" t="s">
        <v>237</v>
      </c>
      <c r="B1279" s="191" t="s">
        <v>8842</v>
      </c>
      <c r="C1279" s="28" t="s">
        <v>8843</v>
      </c>
      <c r="D1279" s="28" t="s">
        <v>8896</v>
      </c>
      <c r="E1279" s="28" t="s">
        <v>8898</v>
      </c>
    </row>
    <row r="1280" hidden="1">
      <c r="A1280" s="90" t="s">
        <v>134</v>
      </c>
      <c r="B1280" s="92" t="s">
        <v>8900</v>
      </c>
      <c r="C1280" s="28"/>
      <c r="D1280" s="28"/>
      <c r="E1280" s="28"/>
    </row>
    <row r="1281" hidden="1">
      <c r="A1281" s="90" t="s">
        <v>78</v>
      </c>
      <c r="B1281" s="92" t="s">
        <v>8901</v>
      </c>
      <c r="C1281" s="28"/>
      <c r="D1281" s="28"/>
      <c r="E1281" s="28"/>
    </row>
    <row r="1282" hidden="1">
      <c r="A1282" s="221"/>
      <c r="B1282" s="222"/>
      <c r="C1282" s="28"/>
      <c r="D1282" s="28"/>
      <c r="E1282" s="28"/>
    </row>
    <row r="1283" hidden="1">
      <c r="A1283" s="90" t="s">
        <v>134</v>
      </c>
      <c r="B1283" s="92" t="s">
        <v>8906</v>
      </c>
      <c r="C1283" s="28"/>
      <c r="D1283" s="28"/>
      <c r="E1283" s="28"/>
    </row>
    <row r="1284">
      <c r="A1284" s="166" t="s">
        <v>41</v>
      </c>
      <c r="B1284" s="167" t="s">
        <v>8907</v>
      </c>
      <c r="C1284" s="28" t="s">
        <v>8908</v>
      </c>
      <c r="D1284" s="28" t="s">
        <v>8909</v>
      </c>
      <c r="E1284" s="28" t="s">
        <v>8910</v>
      </c>
      <c r="F1284" s="161">
        <v>591.0</v>
      </c>
      <c r="G1284" s="152" t="str">
        <f>IFERROR(__xludf.DUMMYFUNCTION("TRIM(REGEXREPLACE(C1284, ""[0-9]+[a-f]?\."", """"))"),"We want to understand how many days people worked in your fields and who did this work.")</f>
        <v>We want to understand how many days people worked in your fields and who did this work.</v>
      </c>
      <c r="H1284" s="152" t="str">
        <f>IFERROR(__xludf.DUMMYFUNCTION("TRIM(REGEXREPLACE(D1284, ""[0-9]+[a-f]?\."", """"))"),"Nous voulons comprendre combien de jours des gens ont travaillé dans vos champs et qui a fait ce travail.")</f>
        <v>Nous voulons comprendre combien de jours des gens ont travaillé dans vos champs et qui a fait ce travail.</v>
      </c>
      <c r="I1284" s="152" t="str">
        <f>IFERROR(__xludf.DUMMYFUNCTION("TRIM(REGEXREPLACE(E1284, ""[0-9]+[a-f]?\."", """"))"),"Muna son mu fahimci kwanaki nawa mutane suka yi aiki a gonakinku da kuma wanda ya yi wannan aikin.")</f>
        <v>Muna son mu fahimci kwanaki nawa mutane suka yi aiki a gonakinku da kuma wanda ya yi wannan aikin.</v>
      </c>
      <c r="J1284" s="152" t="s">
        <v>8914</v>
      </c>
      <c r="K1284" s="152" t="s">
        <v>8915</v>
      </c>
      <c r="L1284" s="152" t="s">
        <v>8916</v>
      </c>
    </row>
    <row r="1285">
      <c r="A1285" s="170" t="s">
        <v>263</v>
      </c>
      <c r="B1285" s="171" t="s">
        <v>8917</v>
      </c>
      <c r="C1285" s="28" t="s">
        <v>8918</v>
      </c>
      <c r="D1285" s="28" t="s">
        <v>8919</v>
      </c>
      <c r="E1285" s="28" t="s">
        <v>8920</v>
      </c>
      <c r="F1285" s="161">
        <v>592.0</v>
      </c>
      <c r="G1285" s="152" t="str">
        <f>IFERROR(__xludf.DUMMYFUNCTION("TRIM(REGEXREPLACE(C1285, ""[0-9]+[a-f]?\."", """"))"),"Think about the last agricultural season. How many weeks were people working in your fields? This includes work by people who are members of your household and those who are not members of your household.")</f>
        <v>Think about the last agricultural season. How many weeks were people working in your fields? This includes work by people who are members of your household and those who are not members of your household.</v>
      </c>
      <c r="H1285" s="152" t="str">
        <f>IFERROR(__xludf.DUMMYFUNCTION("TRIM(REGEXREPLACE(D1285, ""[0-9]+[a-f]?\."", """"))"),"Pensez à la dernière saison agricole. Combien de semaines au total les gens ont-ils travaillé dans vos champs ? Cela inclut le travail des personnes qui sont membres de votre ménage et celles qui ne le sont pas.")</f>
        <v>Pensez à la dernière saison agricole. Combien de semaines au total les gens ont-ils travaillé dans vos champs ? Cela inclut le travail des personnes qui sont membres de votre ménage et celles qui ne le sont pas.</v>
      </c>
      <c r="I1285" s="152" t="str">
        <f>IFERROR(__xludf.DUMMYFUNCTION("TRIM(REGEXREPLACE(E1285, ""[0-9]+[a-f]?\."", """"))"),"Ku tuna da lokacin noma na ƙarshe. Makonni nawa mutane ke aiki a filayenku? Wannan ya haɗa da aikin mutanen da ke cikin gidanku da waɗanda ba ƴan gidanku ba ne.")</f>
        <v>Ku tuna da lokacin noma na ƙarshe. Makonni nawa mutane ke aiki a filayenku? Wannan ya haɗa da aikin mutanen da ke cikin gidanku da waɗanda ba ƴan gidanku ba ne.</v>
      </c>
      <c r="J1285" s="152" t="s">
        <v>8925</v>
      </c>
      <c r="K1285" s="152" t="s">
        <v>8926</v>
      </c>
      <c r="L1285" s="152" t="s">
        <v>8927</v>
      </c>
    </row>
    <row r="1286">
      <c r="A1286" s="170" t="s">
        <v>263</v>
      </c>
      <c r="B1286" s="171" t="s">
        <v>8928</v>
      </c>
      <c r="C1286" s="28" t="s">
        <v>8929</v>
      </c>
      <c r="D1286" s="28" t="s">
        <v>8930</v>
      </c>
      <c r="E1286" s="28" t="s">
        <v>8931</v>
      </c>
      <c r="F1286" s="161">
        <v>593.0</v>
      </c>
      <c r="G1286" s="152" t="str">
        <f>IFERROR(__xludf.DUMMYFUNCTION("TRIM(REGEXREPLACE(C1286, ""[0-9]+[a-f]?\."", """"))"),"Think about a typical week during the last agricultural season. How many days were people working in your fields? This includes work by people who are members of your household and those who are not members of your household.")</f>
        <v>Think about a typical week during the last agricultural season. How many days were people working in your fields? This includes work by people who are members of your household and those who are not members of your household.</v>
      </c>
      <c r="H1286" s="152" t="str">
        <f>IFERROR(__xludf.DUMMYFUNCTION("TRIM(REGEXREPLACE(D1286, ""[0-9]+[a-f]?\."", """"))"),"Pensez à une semaine typique au cours de la dernière saison agricole. Combien de jours les gens ont-ils travaillé dans vos champs par semaine ? Cela inclut le travail des personnes qui sont membres de votre ménage et celles qui ne le sont pas.")</f>
        <v>Pensez à une semaine typique au cours de la dernière saison agricole. Combien de jours les gens ont-ils travaillé dans vos champs par semaine ? Cela inclut le travail des personnes qui sont membres de votre ménage et celles qui ne le sont pas.</v>
      </c>
      <c r="I1286" s="152" t="str">
        <f>IFERROR(__xludf.DUMMYFUNCTION("TRIM(REGEXREPLACE(E1286, ""[0-9]+[a-f]?\."", """"))"),"Ku tuna da mako guda na lokacin damana ta ƙarshe. Kwanaki nawa mutane suke aiki a gonkinku a cikin kowane sati? Wannan ya haɗa da aikin mutanen da ke cikin gidan ku da waɗanda ba 'yan gidan ku ba ne.")</f>
        <v>Ku tuna da mako guda na lokacin damana ta ƙarshe. Kwanaki nawa mutane suke aiki a gonkinku a cikin kowane sati? Wannan ya haɗa da aikin mutanen da ke cikin gidan ku da waɗanda ba 'yan gidan ku ba ne.</v>
      </c>
      <c r="J1286" s="152" t="s">
        <v>8935</v>
      </c>
      <c r="K1286" s="152" t="s">
        <v>8936</v>
      </c>
      <c r="L1286" s="152" t="s">
        <v>8937</v>
      </c>
    </row>
    <row r="1287" hidden="1">
      <c r="A1287" s="221"/>
      <c r="B1287" s="222"/>
      <c r="C1287" s="28"/>
      <c r="D1287" s="28"/>
      <c r="E1287" s="28"/>
    </row>
    <row r="1288" hidden="1">
      <c r="A1288" s="174" t="s">
        <v>698</v>
      </c>
      <c r="B1288" s="175" t="s">
        <v>8939</v>
      </c>
      <c r="C1288" s="28" t="s">
        <v>8940</v>
      </c>
      <c r="D1288" s="28" t="s">
        <v>8941</v>
      </c>
      <c r="E1288" s="28" t="s">
        <v>8942</v>
      </c>
    </row>
    <row r="1289" hidden="1">
      <c r="A1289" s="90" t="s">
        <v>78</v>
      </c>
      <c r="B1289" s="92" t="s">
        <v>8943</v>
      </c>
      <c r="C1289" s="28"/>
      <c r="D1289" s="28"/>
      <c r="E1289" s="28"/>
    </row>
    <row r="1290" hidden="1">
      <c r="A1290" s="90" t="s">
        <v>78</v>
      </c>
      <c r="B1290" s="92" t="s">
        <v>8944</v>
      </c>
      <c r="C1290" s="28" t="s">
        <v>8945</v>
      </c>
      <c r="D1290" s="28" t="s">
        <v>8946</v>
      </c>
      <c r="E1290" s="28" t="s">
        <v>8947</v>
      </c>
    </row>
    <row r="1291">
      <c r="A1291" s="170" t="s">
        <v>263</v>
      </c>
      <c r="B1291" s="171" t="s">
        <v>8948</v>
      </c>
      <c r="C1291" s="28" t="s">
        <v>8949</v>
      </c>
      <c r="D1291" s="28" t="s">
        <v>8950</v>
      </c>
      <c r="E1291" s="28" t="s">
        <v>8951</v>
      </c>
      <c r="F1291" s="161">
        <v>594.0</v>
      </c>
      <c r="G1291" s="152" t="str">
        <f>IFERROR(__xludf.DUMMYFUNCTION("TRIM(REGEXREPLACE(C1291, ""[0-9]+[a-f]?\."", """"))"),"Can you estimate how many days during the last agricultural season did ${hoh_labor_name} work in field?")</f>
        <v>Can you estimate how many days during the last agricultural season did ${hoh_labor_name} work in field?</v>
      </c>
      <c r="H1291" s="152" t="str">
        <f>IFERROR(__xludf.DUMMYFUNCTION("TRIM(REGEXREPLACE(D1291, ""[0-9]+[a-f]?\."", """"))"),"Pouvez-vous estimer combien de jours au cours de la dernière saison agricole ${hoh_labor_name} a-t-il travaillé dans les champs ?")</f>
        <v>Pouvez-vous estimer combien de jours au cours de la dernière saison agricole ${hoh_labor_name} a-t-il travaillé dans les champs ?</v>
      </c>
      <c r="I1291" s="152" t="str">
        <f>IFERROR(__xludf.DUMMYFUNCTION("TRIM(REGEXREPLACE(E1291, ""[0-9]+[a-f]?\."", """"))"),"Za ku iya ƙiyasin kwanaki nawa a lokacin noman da ya gabata ${hoh_labor_name} ya yi aikin a noma?")</f>
        <v>Za ku iya ƙiyasin kwanaki nawa a lokacin noman da ya gabata ${hoh_labor_name} ya yi aikin a noma?</v>
      </c>
      <c r="J1291" s="152" t="s">
        <v>8953</v>
      </c>
      <c r="K1291" s="152" t="s">
        <v>8954</v>
      </c>
      <c r="L1291" s="152" t="s">
        <v>8955</v>
      </c>
    </row>
    <row r="1292" hidden="1">
      <c r="A1292" s="174" t="s">
        <v>1015</v>
      </c>
      <c r="B1292" s="204" t="s">
        <v>8939</v>
      </c>
      <c r="C1292" s="28" t="s">
        <v>8940</v>
      </c>
      <c r="D1292" s="28" t="s">
        <v>8941</v>
      </c>
      <c r="E1292" s="28" t="s">
        <v>8942</v>
      </c>
    </row>
    <row r="1293">
      <c r="A1293" s="166" t="s">
        <v>41</v>
      </c>
      <c r="B1293" s="167" t="s">
        <v>8956</v>
      </c>
      <c r="C1293" s="28" t="s">
        <v>8957</v>
      </c>
      <c r="D1293" s="28" t="s">
        <v>8958</v>
      </c>
      <c r="E1293" s="28" t="s">
        <v>8959</v>
      </c>
      <c r="F1293" s="161">
        <v>595.0</v>
      </c>
      <c r="G1293" s="152" t="str">
        <f>IFERROR(__xludf.DUMMYFUNCTION("TRIM(REGEXREPLACE(C1293, ""[0-9]+[a-f]?\."", """"))"),"The following questions about agricultural labor are for the last agricultural season (last 180 days).")</f>
        <v>The following questions about agricultural labor are for the last agricultural season (last 180 days).</v>
      </c>
      <c r="H1293" s="152" t="str">
        <f>IFERROR(__xludf.DUMMYFUNCTION("TRIM(REGEXREPLACE(D1293, ""[0-9]+[a-f]?\."", """"))"),"Les questions suivantes sur le travail agricole concernent la dernière saison agricole (180 derniers jours).")</f>
        <v>Les questions suivantes sur le travail agricole concernent la dernière saison agricole (180 derniers jours).</v>
      </c>
      <c r="I1293" s="152" t="str">
        <f>IFERROR(__xludf.DUMMYFUNCTION("TRIM(REGEXREPLACE(E1293, ""[0-9]+[a-f]?\."", """"))"),"Tambayoyi masu zuwa game da aikin noma na ƙarshe ne (kwanaki 180 na ƙarshe).")</f>
        <v>Tambayoyi masu zuwa game da aikin noma na ƙarshe ne (kwanaki 180 na ƙarshe).</v>
      </c>
      <c r="J1293" s="152" t="s">
        <v>8965</v>
      </c>
      <c r="K1293" s="152" t="s">
        <v>8966</v>
      </c>
      <c r="L1293" s="152" t="s">
        <v>8967</v>
      </c>
    </row>
    <row r="1294">
      <c r="A1294" s="68" t="s">
        <v>463</v>
      </c>
      <c r="B1294" s="169" t="s">
        <v>8968</v>
      </c>
      <c r="C1294" s="28" t="s">
        <v>8969</v>
      </c>
      <c r="D1294" s="28" t="s">
        <v>8970</v>
      </c>
      <c r="E1294" s="28" t="s">
        <v>8971</v>
      </c>
      <c r="F1294" s="161">
        <v>596.0</v>
      </c>
      <c r="G1294" s="152" t="str">
        <f>IFERROR(__xludf.DUMMYFUNCTION("TRIM(REGEXREPLACE(C1294, ""[0-9]+[a-f]?\."", """"))"),"Did you hire anyone outside of your household to work in your fields?")</f>
        <v>Did you hire anyone outside of your household to work in your fields?</v>
      </c>
      <c r="H1294" s="152" t="str">
        <f>IFERROR(__xludf.DUMMYFUNCTION("TRIM(REGEXREPLACE(D1294, ""[0-9]+[a-f]?\."", """"))"),"Avez-vous embauché quelqu'un en dehors de votre ménage pour travailler dans vos champs ?")</f>
        <v>Avez-vous embauché quelqu'un en dehors de votre ménage pour travailler dans vos champs ?</v>
      </c>
      <c r="I1294" s="152" t="str">
        <f>IFERROR(__xludf.DUMMYFUNCTION("TRIM(REGEXREPLACE(E1294, ""[0-9]+[a-f]?\."", """"))"),"Ko kun ɗauki wani dan barema da ba ɗan gidanku ba don yin aiki a gonakinku?")</f>
        <v>Ko kun ɗauki wani dan barema da ba ɗan gidanku ba don yin aiki a gonakinku?</v>
      </c>
      <c r="J1294" s="152" t="s">
        <v>8972</v>
      </c>
      <c r="K1294" s="152" t="s">
        <v>8973</v>
      </c>
      <c r="L1294" s="152" t="s">
        <v>8975</v>
      </c>
    </row>
    <row r="1295">
      <c r="A1295" s="170" t="s">
        <v>263</v>
      </c>
      <c r="B1295" s="171" t="s">
        <v>8979</v>
      </c>
      <c r="C1295" s="28" t="s">
        <v>8980</v>
      </c>
      <c r="D1295" s="28" t="s">
        <v>8981</v>
      </c>
      <c r="E1295" s="28" t="s">
        <v>8982</v>
      </c>
      <c r="F1295" s="161">
        <v>597.0</v>
      </c>
      <c r="G1295" s="152" t="str">
        <f>IFERROR(__xludf.DUMMYFUNCTION("TRIM(REGEXREPLACE(C1295, ""[0-9]+[a-f]?\."", """"))"),"How many different people did you hire people to work in your fields?")</f>
        <v>How many different people did you hire people to work in your fields?</v>
      </c>
      <c r="H1295" s="152" t="str">
        <f>IFERROR(__xludf.DUMMYFUNCTION("TRIM(REGEXREPLACE(D1295, ""[0-9]+[a-f]?\."", """"))"),"Combien de personnes avez-vous embauchées pour travailler dans vos champs ?")</f>
        <v>Combien de personnes avez-vous embauchées pour travailler dans vos champs ?</v>
      </c>
      <c r="I1295" s="152" t="str">
        <f>IFERROR(__xludf.DUMMYFUNCTION("TRIM(REGEXREPLACE(E1295, ""[0-9]+[a-f]?\."", """"))"),"Mutane nawa kuka ɗauka don yin aiki a gonakinku?")</f>
        <v>Mutane nawa kuka ɗauka don yin aiki a gonakinku?</v>
      </c>
      <c r="J1295" s="152" t="s">
        <v>8983</v>
      </c>
      <c r="K1295" s="152" t="s">
        <v>8984</v>
      </c>
      <c r="L1295" s="152" t="s">
        <v>8985</v>
      </c>
    </row>
    <row r="1296">
      <c r="A1296" s="170" t="s">
        <v>263</v>
      </c>
      <c r="B1296" s="171" t="s">
        <v>8986</v>
      </c>
      <c r="C1296" s="28" t="s">
        <v>8987</v>
      </c>
      <c r="D1296" s="28" t="s">
        <v>8988</v>
      </c>
      <c r="E1296" s="28" t="s">
        <v>8989</v>
      </c>
      <c r="F1296" s="161">
        <v>598.0</v>
      </c>
      <c r="G1296" s="152" t="str">
        <f>IFERROR(__xludf.DUMMYFUNCTION("TRIM(REGEXREPLACE(C1296, ""[0-9]+[a-f]?\."", """"))"),"How many days did each laborer work in your fields?")</f>
        <v>How many days did each laborer work in your fields?</v>
      </c>
      <c r="H1296" s="152" t="str">
        <f>IFERROR(__xludf.DUMMYFUNCTION("TRIM(REGEXREPLACE(D1296, ""[0-9]+[a-f]?\."", """"))"),"Combien de jours chaque ouvrier a-t-il travaillé dans vos champs ?")</f>
        <v>Combien de jours chaque ouvrier a-t-il travaillé dans vos champs ?</v>
      </c>
      <c r="I1296" s="152" t="str">
        <f>IFERROR(__xludf.DUMMYFUNCTION("TRIM(REGEXREPLACE(E1296, ""[0-9]+[a-f]?\."", """"))"),"Kwanaki nawa kowane ma'aikaci yayi aiki a gonakinku?")</f>
        <v>Kwanaki nawa kowane ma'aikaci yayi aiki a gonakinku?</v>
      </c>
      <c r="J1296" s="152" t="s">
        <v>8993</v>
      </c>
      <c r="K1296" s="152" t="s">
        <v>8994</v>
      </c>
      <c r="L1296" s="152" t="s">
        <v>8995</v>
      </c>
    </row>
    <row r="1297">
      <c r="A1297" s="170" t="s">
        <v>263</v>
      </c>
      <c r="B1297" s="171" t="s">
        <v>8996</v>
      </c>
      <c r="C1297" s="28" t="s">
        <v>8997</v>
      </c>
      <c r="D1297" s="28" t="s">
        <v>8998</v>
      </c>
      <c r="E1297" s="28" t="s">
        <v>9000</v>
      </c>
      <c r="F1297" s="161">
        <v>599.0</v>
      </c>
      <c r="G1297" s="152" t="str">
        <f>IFERROR(__xludf.DUMMYFUNCTION("TRIM(REGEXREPLACE(C1297, ""[0-9]+[a-f]?\."", """"))"),"What was the daily wage you paid for people to work in your fields, or how much would you pay in CFA?")</f>
        <v>What was the daily wage you paid for people to work in your fields, or how much would you pay in CFA?</v>
      </c>
      <c r="H1297" s="152" t="str">
        <f>IFERROR(__xludf.DUMMYFUNCTION("TRIM(REGEXREPLACE(D1297, ""[0-9]+[a-f]?\."", """"))"),"Quel était le salaire journalier que vous payiez pour que les gens travaillent dans vos champs, ou combien paieriez-vous en CFA ?")</f>
        <v>Quel était le salaire journalier que vous payiez pour que les gens travaillent dans vos champs, ou combien paieriez-vous en CFA ?</v>
      </c>
      <c r="I1297" s="152" t="str">
        <f>IFERROR(__xludf.DUMMYFUNCTION("TRIM(REGEXREPLACE(E1297, ""[0-9]+[a-f]?\."", """"))"),"Nawa ne kuke biyan waɗanda suka yi aiki a gonakinku a dukkan wuni a sefa ?")</f>
        <v>Nawa ne kuke biyan waɗanda suka yi aiki a gonakinku a dukkan wuni a sefa ?</v>
      </c>
      <c r="J1297" s="152" t="s">
        <v>9001</v>
      </c>
      <c r="K1297" s="152" t="s">
        <v>9002</v>
      </c>
      <c r="L1297" s="152" t="s">
        <v>9003</v>
      </c>
    </row>
    <row r="1298" hidden="1">
      <c r="A1298" s="90" t="s">
        <v>78</v>
      </c>
      <c r="B1298" s="92" t="s">
        <v>9005</v>
      </c>
      <c r="C1298" s="28" t="s">
        <v>9007</v>
      </c>
      <c r="D1298" s="28" t="s">
        <v>9009</v>
      </c>
      <c r="E1298" s="28" t="s">
        <v>9010</v>
      </c>
    </row>
    <row r="1299">
      <c r="A1299" s="68" t="s">
        <v>463</v>
      </c>
      <c r="B1299" s="169" t="s">
        <v>9011</v>
      </c>
      <c r="C1299" s="28" t="s">
        <v>9012</v>
      </c>
      <c r="D1299" s="28" t="s">
        <v>9013</v>
      </c>
      <c r="E1299" s="28" t="s">
        <v>9014</v>
      </c>
      <c r="F1299" s="161">
        <v>600.0</v>
      </c>
      <c r="G1299" s="152" t="str">
        <f>IFERROR(__xludf.DUMMYFUNCTION("TRIM(REGEXREPLACE(C1299, ""[0-9]+[a-f]?\."", """"))"),"Thinking of your expenses related to labor and investment in your fields during the last agricultural season, you spent a total of ${hoh_total_paid} in CFA, is this correct?")</f>
        <v>Thinking of your expenses related to labor and investment in your fields during the last agricultural season, you spent a total of ${hoh_total_paid} in CFA, is this correct?</v>
      </c>
      <c r="H1299" s="152" t="str">
        <f>IFERROR(__xludf.DUMMYFUNCTION("TRIM(REGEXREPLACE(D1299, ""[0-9]+[a-f]?\."", """"))"),"Pour toutes les dépenses pour vos champs dont nous avons parlé, vous avez payé ${hoh_total_paid} en CFA, est-ce correct ?")</f>
        <v>Pour toutes les dépenses pour vos champs dont nous avons parlé, vous avez payé ${hoh_total_paid} en CFA, est-ce correct ?</v>
      </c>
      <c r="I1299" s="152" t="str">
        <f>IFERROR(__xludf.DUMMYFUNCTION("TRIM(REGEXREPLACE(E1299, ""[0-9]+[a-f]?\."", """"))"),"Ku tuna da dukkan kuɗaɗen da kuka kashe a kan aikin gona a lokacin aikin noma na ƙarshe, kun kashe jimillar ${hoh_total_paid} a CFA, wannan daidai ne?")</f>
        <v>Ku tuna da dukkan kuɗaɗen da kuka kashe a kan aikin gona a lokacin aikin noma na ƙarshe, kun kashe jimillar ${hoh_total_paid} a CFA, wannan daidai ne?</v>
      </c>
      <c r="J1299" s="152" t="s">
        <v>9015</v>
      </c>
      <c r="K1299" s="152" t="s">
        <v>9016</v>
      </c>
      <c r="L1299" s="152" t="s">
        <v>9018</v>
      </c>
    </row>
    <row r="1300">
      <c r="A1300" s="166" t="s">
        <v>41</v>
      </c>
      <c r="B1300" s="167" t="s">
        <v>9019</v>
      </c>
      <c r="C1300" s="28" t="s">
        <v>9020</v>
      </c>
      <c r="D1300" s="28" t="s">
        <v>9021</v>
      </c>
      <c r="E1300" s="28" t="s">
        <v>9022</v>
      </c>
      <c r="F1300" s="161">
        <v>601.0</v>
      </c>
      <c r="G1300" s="152" t="str">
        <f>IFERROR(__xludf.DUMMYFUNCTION("TRIM(REGEXREPLACE(C1300, ""[0-9]+[a-f]?\."", """"))"),"Now we'll ask about any work by members of your household in fields owned by other people.")</f>
        <v>Now we'll ask about any work by members of your household in fields owned by other people.</v>
      </c>
      <c r="H1300" s="152" t="str">
        <f>IFERROR(__xludf.DUMMYFUNCTION("TRIM(REGEXREPLACE(D1300, ""[0-9]+[a-f]?\."", """"))"),"Nous allons maintenant poser des questions sur tout travail effectué par des membres de votre ménage dans des champs appartenant à d'autres personnes.")</f>
        <v>Nous allons maintenant poser des questions sur tout travail effectué par des membres de votre ménage dans des champs appartenant à d'autres personnes.</v>
      </c>
      <c r="I1300" s="152" t="str">
        <f>IFERROR(__xludf.DUMMYFUNCTION("TRIM(REGEXREPLACE(E1300, ""[0-9]+[a-f]?\."", """"))"),"Yanzu za mu yi tambayoyi game da duk wani aiki da ƴan gidanku suka yi a gonakin wasu mutane.")</f>
        <v>Yanzu za mu yi tambayoyi game da duk wani aiki da ƴan gidanku suka yi a gonakin wasu mutane.</v>
      </c>
      <c r="J1300" s="152" t="s">
        <v>9023</v>
      </c>
      <c r="K1300" s="152" t="s">
        <v>9024</v>
      </c>
      <c r="L1300" s="152" t="s">
        <v>9025</v>
      </c>
    </row>
    <row r="1301">
      <c r="A1301" s="68" t="s">
        <v>463</v>
      </c>
      <c r="B1301" s="169" t="s">
        <v>9026</v>
      </c>
      <c r="C1301" s="28" t="s">
        <v>9027</v>
      </c>
      <c r="D1301" s="28" t="s">
        <v>9028</v>
      </c>
      <c r="E1301" s="28" t="s">
        <v>9029</v>
      </c>
      <c r="F1301" s="161">
        <v>602.0</v>
      </c>
      <c r="G1301" s="152" t="str">
        <f>IFERROR(__xludf.DUMMYFUNCTION("TRIM(REGEXREPLACE(C1301, ""[0-9]+[a-f]?\."", """"))"),"Have any family members worked as a day labor in fields for someone else?")</f>
        <v>Have any family members worked as a day labor in fields for someone else?</v>
      </c>
      <c r="H1301" s="152" t="str">
        <f>IFERROR(__xludf.DUMMYFUNCTION("TRIM(REGEXREPLACE(D1301, ""[0-9]+[a-f]?\."", """"))"),"Pensez à tout membre de votre ménage, y-a t-il des membres de votre ménage qui ont travaillé comme journaliers dans le champs de quelqu'un d'autre ?")</f>
        <v>Pensez à tout membre de votre ménage, y-a t-il des membres de votre ménage qui ont travaillé comme journaliers dans le champs de quelqu'un d'autre ?</v>
      </c>
      <c r="I1301" s="152" t="str">
        <f>IFERROR(__xludf.DUMMYFUNCTION("TRIM(REGEXREPLACE(E1301, ""[0-9]+[a-f]?\."", """"))"),"Ko wani ɗan gidanku ya yi aiki a matsayin ɗan barema a gonar wani?")</f>
        <v>Ko wani ɗan gidanku ya yi aiki a matsayin ɗan barema a gonar wani?</v>
      </c>
      <c r="J1301" s="152" t="s">
        <v>9031</v>
      </c>
      <c r="K1301" s="152" t="s">
        <v>9032</v>
      </c>
      <c r="L1301" s="152" t="s">
        <v>9033</v>
      </c>
    </row>
    <row r="1302" hidden="1">
      <c r="A1302" s="90" t="s">
        <v>134</v>
      </c>
      <c r="B1302" s="92" t="s">
        <v>9035</v>
      </c>
      <c r="C1302" s="28"/>
      <c r="D1302" s="28"/>
      <c r="E1302" s="28"/>
    </row>
    <row r="1303" hidden="1">
      <c r="A1303" s="90" t="s">
        <v>78</v>
      </c>
      <c r="B1303" s="92" t="s">
        <v>9038</v>
      </c>
      <c r="C1303" s="28"/>
      <c r="D1303" s="28"/>
      <c r="E1303" s="28"/>
    </row>
    <row r="1304" hidden="1">
      <c r="A1304" s="90" t="s">
        <v>134</v>
      </c>
      <c r="B1304" s="92" t="s">
        <v>9039</v>
      </c>
      <c r="C1304" s="28"/>
      <c r="D1304" s="28"/>
      <c r="E1304" s="28"/>
    </row>
    <row r="1305" hidden="1">
      <c r="A1305" s="174" t="s">
        <v>698</v>
      </c>
      <c r="B1305" s="175" t="s">
        <v>9040</v>
      </c>
      <c r="C1305" s="28" t="s">
        <v>9042</v>
      </c>
      <c r="D1305" s="28" t="s">
        <v>9043</v>
      </c>
      <c r="E1305" s="28" t="s">
        <v>9044</v>
      </c>
    </row>
    <row r="1306" hidden="1">
      <c r="A1306" s="90" t="s">
        <v>78</v>
      </c>
      <c r="B1306" s="92" t="s">
        <v>9048</v>
      </c>
      <c r="C1306" s="28"/>
      <c r="D1306" s="28"/>
      <c r="E1306" s="28"/>
    </row>
    <row r="1307" hidden="1">
      <c r="A1307" s="90" t="s">
        <v>78</v>
      </c>
      <c r="B1307" s="92" t="s">
        <v>9049</v>
      </c>
      <c r="C1307" s="28"/>
      <c r="D1307" s="28"/>
      <c r="E1307" s="28"/>
    </row>
    <row r="1308">
      <c r="A1308" s="170" t="s">
        <v>263</v>
      </c>
      <c r="B1308" s="171" t="s">
        <v>9050</v>
      </c>
      <c r="C1308" s="28" t="s">
        <v>9051</v>
      </c>
      <c r="D1308" s="28" t="s">
        <v>9052</v>
      </c>
      <c r="E1308" s="28" t="s">
        <v>9053</v>
      </c>
      <c r="F1308" s="161">
        <v>603.0</v>
      </c>
      <c r="G1308" s="152" t="str">
        <f>IFERROR(__xludf.DUMMYFUNCTION("TRIM(REGEXREPLACE(C1308, ""[0-9]+[a-f]?\."", """"))"),"Can you estimate how many days ${hoh_paid_name} worked as a day laborer in the fields for someone else?")</f>
        <v>Can you estimate how many days ${hoh_paid_name} worked as a day laborer in the fields for someone else?</v>
      </c>
      <c r="H1308" s="152" t="str">
        <f>IFERROR(__xludf.DUMMYFUNCTION("TRIM(REGEXREPLACE(D1308, ""[0-9]+[a-f]?\."", """"))"),"Pouvez-vous estimer combien de jours ${hoh_paid_name} a travaillé comme journalier dans les champs d'autres personnes ?")</f>
        <v>Pouvez-vous estimer combien de jours ${hoh_paid_name} a travaillé comme journalier dans les champs d'autres personnes ?</v>
      </c>
      <c r="I1308" s="152" t="str">
        <f>IFERROR(__xludf.DUMMYFUNCTION("TRIM(REGEXREPLACE(E1308, ""[0-9]+[a-f]?\."", """"))"),"Za ku iya misalta ko wuni nawa ${hoh_paid_name} yayi aiki a matsayin ma'aikacin barema a gonar wasu mutane?")</f>
        <v>Za ku iya misalta ko wuni nawa ${hoh_paid_name} yayi aiki a matsayin ma'aikacin barema a gonar wasu mutane?</v>
      </c>
      <c r="J1308" s="152" t="s">
        <v>9054</v>
      </c>
      <c r="K1308" s="152" t="s">
        <v>9055</v>
      </c>
      <c r="L1308" s="152" t="s">
        <v>9056</v>
      </c>
    </row>
    <row r="1309">
      <c r="A1309" s="170" t="s">
        <v>263</v>
      </c>
      <c r="B1309" s="171" t="s">
        <v>9057</v>
      </c>
      <c r="C1309" s="28" t="s">
        <v>9058</v>
      </c>
      <c r="D1309" s="28" t="s">
        <v>9059</v>
      </c>
      <c r="E1309" s="28" t="s">
        <v>9060</v>
      </c>
      <c r="F1309" s="161">
        <v>604.0</v>
      </c>
      <c r="G1309" s="152" t="str">
        <f>IFERROR(__xludf.DUMMYFUNCTION("TRIM(REGEXREPLACE(C1309, ""[0-9]+[a-f]?\."", """"))"),"What was the daily wage paid to ${hoh_paid_name} working as a day laborer for someone else in CFA?")</f>
        <v>What was the daily wage paid to ${hoh_paid_name} working as a day laborer for someone else in CFA?</v>
      </c>
      <c r="H1309" s="152" t="str">
        <f>IFERROR(__xludf.DUMMYFUNCTION("TRIM(REGEXREPLACE(D1309, ""[0-9]+[a-f]?\."", """"))"),"Quel était le salaire journalier payé à ${hoh_paid_name} travaillant comme journalier pour quelqu'un d'autre en CFA ?")</f>
        <v>Quel était le salaire journalier payé à ${hoh_paid_name} travaillant comme journalier pour quelqu'un d'autre en CFA ?</v>
      </c>
      <c r="I1309" s="152" t="str">
        <f>IFERROR(__xludf.DUMMYFUNCTION("TRIM(REGEXREPLACE(E1309, ""[0-9]+[a-f]?\."", """"))"),"Nawa biyan ${hoh_paid_name} na wuni a lokacin da yake barema a gonar wani a sefa?")</f>
        <v>Nawa biyan ${hoh_paid_name} na wuni a lokacin da yake barema a gonar wani a sefa?</v>
      </c>
      <c r="J1309" s="152" t="s">
        <v>9061</v>
      </c>
      <c r="K1309" s="152" t="s">
        <v>9062</v>
      </c>
      <c r="L1309" s="152" t="s">
        <v>9063</v>
      </c>
    </row>
    <row r="1310" hidden="1">
      <c r="A1310" s="90" t="s">
        <v>78</v>
      </c>
      <c r="B1310" s="92" t="s">
        <v>9064</v>
      </c>
      <c r="C1310" s="28" t="s">
        <v>9065</v>
      </c>
      <c r="D1310" s="28" t="s">
        <v>9066</v>
      </c>
      <c r="E1310" s="28" t="s">
        <v>9067</v>
      </c>
    </row>
    <row r="1311" hidden="1">
      <c r="A1311" s="174" t="s">
        <v>1015</v>
      </c>
      <c r="B1311" s="204" t="s">
        <v>9040</v>
      </c>
      <c r="C1311" s="28"/>
      <c r="D1311" s="28"/>
      <c r="E1311" s="28"/>
    </row>
    <row r="1312" hidden="1">
      <c r="A1312" s="90" t="s">
        <v>134</v>
      </c>
      <c r="B1312" s="92" t="s">
        <v>9068</v>
      </c>
      <c r="C1312" s="28"/>
      <c r="D1312" s="28"/>
      <c r="E1312" s="28"/>
    </row>
    <row r="1313" hidden="1">
      <c r="A1313" s="90" t="s">
        <v>78</v>
      </c>
      <c r="B1313" s="92" t="s">
        <v>9069</v>
      </c>
      <c r="C1313" s="28"/>
      <c r="D1313" s="28"/>
      <c r="E1313" s="28"/>
    </row>
    <row r="1314">
      <c r="A1314" s="68" t="s">
        <v>463</v>
      </c>
      <c r="B1314" s="169" t="s">
        <v>9070</v>
      </c>
      <c r="C1314" s="28" t="s">
        <v>9071</v>
      </c>
      <c r="D1314" s="28" t="s">
        <v>9072</v>
      </c>
      <c r="E1314" s="28" t="s">
        <v>9073</v>
      </c>
      <c r="F1314" s="161">
        <v>605.0</v>
      </c>
      <c r="G1314" s="152" t="str">
        <f>IFERROR(__xludf.DUMMYFUNCTION("TRIM(REGEXREPLACE(C1314, ""[0-9]+[a-f]?\."", """"))"),"Thinking about the last agricultural season, did you need to pay other expenses we did not ask you about?")</f>
        <v>Thinking about the last agricultural season, did you need to pay other expenses we did not ask you about?</v>
      </c>
      <c r="H1314" s="152" t="str">
        <f>IFERROR(__xludf.DUMMYFUNCTION("TRIM(REGEXREPLACE(D1314, ""[0-9]+[a-f]?\."", """"))"),"En pensant à la dernière saison agricole, avez-vous dû faire d'autres dépenses dont nous n'avons pas parlé ?")</f>
        <v>En pensant à la dernière saison agricole, avez-vous dû faire d'autres dépenses dont nous n'avons pas parlé ?</v>
      </c>
      <c r="I1314" s="152" t="str">
        <f>IFERROR(__xludf.DUMMYFUNCTION("TRIM(REGEXREPLACE(E1314, ""[0-9]+[a-f]?\."", """"))"),"A tunaninka a lokacin noman da ya gabata, akwai wasu kashe kashen kuɗi da kuka yi wanda ba mu yi zancen su ba?")</f>
        <v>A tunaninka a lokacin noman da ya gabata, akwai wasu kashe kashen kuɗi da kuka yi wanda ba mu yi zancen su ba?</v>
      </c>
      <c r="J1314" s="152" t="s">
        <v>9074</v>
      </c>
      <c r="K1314" s="152" t="s">
        <v>9075</v>
      </c>
      <c r="L1314" s="152" t="s">
        <v>9076</v>
      </c>
    </row>
    <row r="1315">
      <c r="A1315" s="179" t="s">
        <v>246</v>
      </c>
      <c r="B1315" s="180" t="s">
        <v>9077</v>
      </c>
      <c r="C1315" s="28" t="s">
        <v>9078</v>
      </c>
      <c r="D1315" s="28" t="s">
        <v>9079</v>
      </c>
      <c r="E1315" s="28" t="s">
        <v>9080</v>
      </c>
      <c r="F1315" s="161">
        <v>606.0</v>
      </c>
      <c r="G1315" s="152" t="str">
        <f>IFERROR(__xludf.DUMMYFUNCTION("TRIM(REGEXREPLACE(C1315, ""[0-9]+[a-f]?\."", """"))"),"What was the expense?")</f>
        <v>What was the expense?</v>
      </c>
      <c r="H1315" s="152" t="str">
        <f>IFERROR(__xludf.DUMMYFUNCTION("TRIM(REGEXREPLACE(D1315, ""[0-9]+[a-f]?\."", """"))"),"Quelle était la dépense ?")</f>
        <v>Quelle était la dépense ?</v>
      </c>
      <c r="I1315" s="152" t="str">
        <f>IFERROR(__xludf.DUMMYFUNCTION("TRIM(REGEXREPLACE(E1315, ""[0-9]+[a-f]?\."", """"))"),"wane kashe kuɗi ne ?")</f>
        <v>wane kashe kuɗi ne ?</v>
      </c>
      <c r="J1315" s="152" t="s">
        <v>9081</v>
      </c>
      <c r="K1315" s="152" t="s">
        <v>9082</v>
      </c>
      <c r="L1315" s="152" t="s">
        <v>9083</v>
      </c>
    </row>
    <row r="1316">
      <c r="A1316" s="170" t="s">
        <v>263</v>
      </c>
      <c r="B1316" s="171" t="s">
        <v>9084</v>
      </c>
      <c r="C1316" s="28" t="s">
        <v>9085</v>
      </c>
      <c r="D1316" s="28" t="s">
        <v>9086</v>
      </c>
      <c r="E1316" s="28" t="s">
        <v>9087</v>
      </c>
      <c r="F1316" s="161">
        <v>607.0</v>
      </c>
      <c r="G1316" s="152" t="str">
        <f>IFERROR(__xludf.DUMMYFUNCTION("TRIM(REGEXREPLACE(C1316, ""[0-9]+[a-f]?\."", """"))"),"What was the approximate value of ${hoh_ag_exp_other_name} in CFA?")</f>
        <v>What was the approximate value of ${hoh_ag_exp_other_name} in CFA?</v>
      </c>
      <c r="H1316" s="152" t="str">
        <f>IFERROR(__xludf.DUMMYFUNCTION("TRIM(REGEXREPLACE(D1316, ""[0-9]+[a-f]?\."", """"))"),"Quelle était la valeur approximative de ${hoh_ag_exp_other_name} en CFA ?")</f>
        <v>Quelle était la valeur approximative de ${hoh_ag_exp_other_name} en CFA ?</v>
      </c>
      <c r="I1316" s="152" t="str">
        <f>IFERROR(__xludf.DUMMYFUNCTION("TRIM(REGEXREPLACE(E1316, ""[0-9]+[a-f]?\."", """"))"),"Nawa farashin ${hoh_ag_exp_other_name} a wacan lokacin a sefa?")</f>
        <v>Nawa farashin ${hoh_ag_exp_other_name} a wacan lokacin a sefa?</v>
      </c>
      <c r="J1316" s="152" t="s">
        <v>9088</v>
      </c>
      <c r="K1316" s="152" t="s">
        <v>9089</v>
      </c>
      <c r="L1316" s="152" t="s">
        <v>9090</v>
      </c>
    </row>
    <row r="1317" hidden="1">
      <c r="A1317" s="90" t="s">
        <v>78</v>
      </c>
      <c r="B1317" s="92" t="s">
        <v>9091</v>
      </c>
      <c r="C1317" s="28" t="s">
        <v>9092</v>
      </c>
      <c r="D1317" s="28"/>
      <c r="E1317" s="28"/>
    </row>
    <row r="1318" hidden="1">
      <c r="A1318" s="90" t="s">
        <v>78</v>
      </c>
      <c r="B1318" s="92" t="s">
        <v>9093</v>
      </c>
      <c r="C1318" s="28" t="s">
        <v>9094</v>
      </c>
      <c r="D1318" s="28"/>
      <c r="E1318" s="28"/>
    </row>
    <row r="1319" hidden="1">
      <c r="A1319" s="90" t="s">
        <v>78</v>
      </c>
      <c r="B1319" s="92" t="s">
        <v>9096</v>
      </c>
      <c r="C1319" s="28" t="s">
        <v>9098</v>
      </c>
      <c r="D1319" s="28"/>
      <c r="E1319" s="28"/>
    </row>
    <row r="1320" hidden="1">
      <c r="A1320" s="90" t="s">
        <v>78</v>
      </c>
      <c r="B1320" s="92" t="s">
        <v>9100</v>
      </c>
      <c r="C1320" s="28" t="s">
        <v>9101</v>
      </c>
      <c r="D1320" s="28"/>
      <c r="E1320" s="28"/>
    </row>
    <row r="1321" hidden="1">
      <c r="A1321" s="90" t="s">
        <v>78</v>
      </c>
      <c r="B1321" s="92" t="s">
        <v>9102</v>
      </c>
      <c r="C1321" s="28" t="s">
        <v>9103</v>
      </c>
      <c r="D1321" s="28"/>
      <c r="E1321" s="28"/>
    </row>
    <row r="1322" hidden="1">
      <c r="A1322" s="90" t="s">
        <v>78</v>
      </c>
      <c r="B1322" s="92" t="s">
        <v>9104</v>
      </c>
      <c r="C1322" s="28" t="s">
        <v>9105</v>
      </c>
      <c r="D1322" s="28"/>
      <c r="E1322" s="28"/>
    </row>
    <row r="1323" hidden="1">
      <c r="A1323" s="90" t="s">
        <v>78</v>
      </c>
      <c r="B1323" s="92" t="s">
        <v>9106</v>
      </c>
      <c r="C1323" s="28" t="s">
        <v>9107</v>
      </c>
      <c r="D1323" s="28"/>
      <c r="E1323" s="28"/>
    </row>
    <row r="1324" hidden="1">
      <c r="A1324" s="90" t="s">
        <v>78</v>
      </c>
      <c r="B1324" s="92" t="s">
        <v>9108</v>
      </c>
      <c r="C1324" s="28" t="s">
        <v>9109</v>
      </c>
      <c r="D1324" s="28"/>
      <c r="E1324" s="28"/>
    </row>
    <row r="1325" hidden="1">
      <c r="A1325" s="90" t="s">
        <v>78</v>
      </c>
      <c r="B1325" s="92" t="s">
        <v>9110</v>
      </c>
      <c r="C1325" s="28"/>
      <c r="D1325" s="28"/>
      <c r="E1325" s="28"/>
    </row>
    <row r="1326">
      <c r="A1326" s="68" t="s">
        <v>463</v>
      </c>
      <c r="B1326" s="169" t="s">
        <v>9111</v>
      </c>
      <c r="C1326" s="28" t="s">
        <v>9112</v>
      </c>
      <c r="D1326" s="28" t="s">
        <v>9113</v>
      </c>
      <c r="E1326" s="28" t="s">
        <v>9114</v>
      </c>
      <c r="F1326" s="161">
        <v>608.0</v>
      </c>
      <c r="G1326" s="152" t="str">
        <f>IFERROR(__xludf.DUMMYFUNCTION("TRIM(REGEXREPLACE(C1326, ""[0-9]+[a-f]?\."", """"))"),"Total income: ${hoh_total_income}
 Does this seem right?")</f>
        <v>Total income: ${hoh_total_income}
 Does this seem right?</v>
      </c>
      <c r="H1326" s="152" t="str">
        <f>IFERROR(__xludf.DUMMYFUNCTION("TRIM(REGEXREPLACE(D1326, ""[0-9]+[a-f]?\."", """"))"),"Revenu total : ${hoh_total_income}
 Cela vous semble-t-il juste ?")</f>
        <v>Revenu total : ${hoh_total_income}
 Cela vous semble-t-il juste ?</v>
      </c>
      <c r="I1326" s="152" t="str">
        <f>IFERROR(__xludf.DUMMYFUNCTION("TRIM(REGEXREPLACE(E1326, ""[0-9]+[a-f]?\."", """"))"),"Jimillar kuɗin shiga: ${hoh_total_income}
 ko kuna ganin hakan yayi daidai?")</f>
        <v>Jimillar kuɗin shiga: ${hoh_total_income}
 ko kuna ganin hakan yayi daidai?</v>
      </c>
      <c r="J1326" s="152" t="s">
        <v>9116</v>
      </c>
      <c r="K1326" s="152" t="s">
        <v>9117</v>
      </c>
      <c r="L1326" s="152" t="s">
        <v>9118</v>
      </c>
    </row>
    <row r="1327">
      <c r="A1327" s="166" t="s">
        <v>41</v>
      </c>
      <c r="B1327" s="167" t="s">
        <v>9119</v>
      </c>
      <c r="C1327" s="28" t="s">
        <v>9120</v>
      </c>
      <c r="D1327" s="28"/>
      <c r="E1327" s="28"/>
      <c r="F1327" s="161">
        <v>609.0</v>
      </c>
      <c r="G1327" s="152" t="str">
        <f>IFERROR(__xludf.DUMMYFUNCTION("TRIM(REGEXREPLACE(C1327, ""[0-9]+[a-f]?\."", """"))"),"Now we'll ask about income generating activity from animal husbandry in the past six months")</f>
        <v>Now we'll ask about income generating activity from animal husbandry in the past six months</v>
      </c>
      <c r="H1327" s="152" t="str">
        <f>IFERROR(__xludf.DUMMYFUNCTION("TRIM(REGEXREPLACE(D1327, ""[0-9]+[a-f]?\."", """"))"),"")</f>
        <v/>
      </c>
      <c r="I1327" s="152" t="str">
        <f>IFERROR(__xludf.DUMMYFUNCTION("TRIM(REGEXREPLACE(E1327, ""[0-9]+[a-f]?\."", """"))"),"")</f>
        <v/>
      </c>
      <c r="J1327" s="152" t="s">
        <v>9121</v>
      </c>
      <c r="K1327" s="152" t="s">
        <v>9122</v>
      </c>
      <c r="L1327" s="152" t="s">
        <v>9122</v>
      </c>
    </row>
    <row r="1328" hidden="1">
      <c r="A1328" s="90" t="s">
        <v>134</v>
      </c>
      <c r="B1328" s="92" t="s">
        <v>9123</v>
      </c>
      <c r="C1328" s="28"/>
      <c r="D1328" s="28"/>
      <c r="E1328" s="28"/>
    </row>
    <row r="1329" hidden="1">
      <c r="A1329" s="174" t="s">
        <v>698</v>
      </c>
      <c r="B1329" s="175" t="s">
        <v>9124</v>
      </c>
      <c r="C1329" s="28" t="s">
        <v>9125</v>
      </c>
      <c r="D1329" s="28" t="s">
        <v>9126</v>
      </c>
      <c r="E1329" s="28" t="s">
        <v>9127</v>
      </c>
    </row>
    <row r="1330" hidden="1">
      <c r="A1330" s="90" t="s">
        <v>78</v>
      </c>
      <c r="B1330" s="92" t="s">
        <v>9128</v>
      </c>
      <c r="C1330" s="28"/>
      <c r="D1330" s="28"/>
      <c r="E1330" s="28"/>
    </row>
    <row r="1331">
      <c r="A1331" s="170" t="s">
        <v>263</v>
      </c>
      <c r="B1331" s="171" t="s">
        <v>9129</v>
      </c>
      <c r="C1331" s="28" t="s">
        <v>9130</v>
      </c>
      <c r="D1331" s="28" t="s">
        <v>9131</v>
      </c>
      <c r="E1331" s="28" t="s">
        <v>9132</v>
      </c>
      <c r="F1331" s="161">
        <v>610.0</v>
      </c>
      <c r="G1331" s="152" t="str">
        <f>IFERROR(__xludf.DUMMYFUNCTION("TRIM(REGEXREPLACE(C1331, ""[0-9]+[a-f]?\."", """"))"),"How many ${hoh_livestock_act_name} did you buy?")</f>
        <v>How many ${hoh_livestock_act_name} did you buy?</v>
      </c>
      <c r="H1331" s="152" t="str">
        <f>IFERROR(__xludf.DUMMYFUNCTION("TRIM(REGEXREPLACE(D1331, ""[0-9]+[a-f]?\."", """"))"),"Au cours des trois derniers mois, combien de ${hoh_livestock_act_name} avez-vous acheté ?")</f>
        <v>Au cours des trois derniers mois, combien de ${hoh_livestock_act_name} avez-vous acheté ?</v>
      </c>
      <c r="I1331" s="152" t="str">
        <f>IFERROR(__xludf.DUMMYFUNCTION("TRIM(REGEXREPLACE(E1331, ""[0-9]+[a-f]?\."", """"))"),"${hoh_livestock_act_name} Nawa kuka saye?")</f>
        <v>${hoh_livestock_act_name} Nawa kuka saye?</v>
      </c>
      <c r="J1331" s="152" t="s">
        <v>9134</v>
      </c>
      <c r="K1331" s="152" t="s">
        <v>9135</v>
      </c>
      <c r="L1331" s="152" t="s">
        <v>9136</v>
      </c>
    </row>
    <row r="1332">
      <c r="A1332" s="170" t="s">
        <v>263</v>
      </c>
      <c r="B1332" s="171" t="s">
        <v>9137</v>
      </c>
      <c r="C1332" s="28" t="s">
        <v>9138</v>
      </c>
      <c r="D1332" s="28" t="s">
        <v>9139</v>
      </c>
      <c r="E1332" s="28" t="s">
        <v>9140</v>
      </c>
      <c r="F1332" s="161">
        <v>611.0</v>
      </c>
      <c r="G1332" s="152" t="str">
        <f>IFERROR(__xludf.DUMMYFUNCTION("TRIM(REGEXREPLACE(C1332, ""[0-9]+[a-f]?\."", """"))"),"How much did you buy ${hoh_livestock_act_name} for in CFA?")</f>
        <v>How much did you buy ${hoh_livestock_act_name} for in CFA?</v>
      </c>
      <c r="H1332" s="152" t="str">
        <f>IFERROR(__xludf.DUMMYFUNCTION("TRIM(REGEXREPLACE(D1332, ""[0-9]+[a-f]?\."", """"))"),"Pour combien avez-vous acheté ${hoh_livestock_act_name} en CFA ?")</f>
        <v>Pour combien avez-vous acheté ${hoh_livestock_act_name} en CFA ?</v>
      </c>
      <c r="I1332" s="152" t="str">
        <f>IFERROR(__xludf.DUMMYFUNCTION("TRIM(REGEXREPLACE(E1332, ""[0-9]+[a-f]?\."", """"))"),"A nawa kuka sayi ${hoh_livestock_act_name} a kuɗin CFA?")</f>
        <v>A nawa kuka sayi ${hoh_livestock_act_name} a kuɗin CFA?</v>
      </c>
      <c r="J1332" s="152" t="s">
        <v>9141</v>
      </c>
      <c r="K1332" s="152" t="s">
        <v>9142</v>
      </c>
      <c r="L1332" s="152" t="s">
        <v>9143</v>
      </c>
    </row>
    <row r="1333">
      <c r="A1333" s="170" t="s">
        <v>263</v>
      </c>
      <c r="B1333" s="171" t="s">
        <v>9144</v>
      </c>
      <c r="C1333" s="28" t="s">
        <v>9145</v>
      </c>
      <c r="D1333" s="28" t="s">
        <v>9146</v>
      </c>
      <c r="E1333" s="28" t="s">
        <v>9147</v>
      </c>
      <c r="F1333" s="161">
        <v>612.0</v>
      </c>
      <c r="G1333" s="152" t="str">
        <f>IFERROR(__xludf.DUMMYFUNCTION("TRIM(REGEXREPLACE(C1333, ""[0-9]+[a-f]?\."", """"))"),"How many ${hoh_livestock_act_name} did you sell?")</f>
        <v>How many ${hoh_livestock_act_name} did you sell?</v>
      </c>
      <c r="H1333" s="152" t="str">
        <f>IFERROR(__xludf.DUMMYFUNCTION("TRIM(REGEXREPLACE(D1333, ""[0-9]+[a-f]?\."", """"))"),"Au cours des trois derniers mois, combien de ${hoh_livestock_act_name} avez-vous vendu ?")</f>
        <v>Au cours des trois derniers mois, combien de ${hoh_livestock_act_name} avez-vous vendu ?</v>
      </c>
      <c r="I1333" s="152" t="str">
        <f>IFERROR(__xludf.DUMMYFUNCTION("TRIM(REGEXREPLACE(E1333, ""[0-9]+[a-f]?\."", """"))"),"${hoh_livestock_act_name} nawa kuka saida?")</f>
        <v>${hoh_livestock_act_name} nawa kuka saida?</v>
      </c>
      <c r="J1333" s="152" t="s">
        <v>9148</v>
      </c>
      <c r="K1333" s="152" t="s">
        <v>9149</v>
      </c>
      <c r="L1333" s="152" t="s">
        <v>9150</v>
      </c>
    </row>
    <row r="1334">
      <c r="A1334" s="170" t="s">
        <v>263</v>
      </c>
      <c r="B1334" s="171" t="s">
        <v>9151</v>
      </c>
      <c r="C1334" s="28" t="s">
        <v>9152</v>
      </c>
      <c r="D1334" s="28" t="s">
        <v>9153</v>
      </c>
      <c r="E1334" s="28" t="s">
        <v>9154</v>
      </c>
      <c r="F1334" s="161">
        <v>613.0</v>
      </c>
      <c r="G1334" s="152" t="str">
        <f>IFERROR(__xludf.DUMMYFUNCTION("TRIM(REGEXREPLACE(C1334, ""[0-9]+[a-f]?\."", """"))"),"How much did you sell ${hoh_livestock_act_name} for in CFA?")</f>
        <v>How much did you sell ${hoh_livestock_act_name} for in CFA?</v>
      </c>
      <c r="H1334" s="152" t="str">
        <f>IFERROR(__xludf.DUMMYFUNCTION("TRIM(REGEXREPLACE(D1334, ""[0-9]+[a-f]?\."", """"))"),"Pour combien avez-vous vendu ${hoh_livestock_act_name} en CFA ?")</f>
        <v>Pour combien avez-vous vendu ${hoh_livestock_act_name} en CFA ?</v>
      </c>
      <c r="I1334" s="152" t="str">
        <f>IFERROR(__xludf.DUMMYFUNCTION("TRIM(REGEXREPLACE(E1334, ""[0-9]+[a-f]?\."", """"))"),"Nawa kuka sayar da ${hoh_livestock_act_name} a kuɗin CFA?")</f>
        <v>Nawa kuka sayar da ${hoh_livestock_act_name} a kuɗin CFA?</v>
      </c>
      <c r="J1334" s="152" t="s">
        <v>9156</v>
      </c>
      <c r="K1334" s="152" t="s">
        <v>9157</v>
      </c>
      <c r="L1334" s="152" t="s">
        <v>9158</v>
      </c>
    </row>
    <row r="1335">
      <c r="A1335" s="170" t="s">
        <v>263</v>
      </c>
      <c r="B1335" s="171" t="s">
        <v>9159</v>
      </c>
      <c r="C1335" s="28" t="s">
        <v>9160</v>
      </c>
      <c r="D1335" s="28" t="s">
        <v>9161</v>
      </c>
      <c r="E1335" s="28" t="s">
        <v>9162</v>
      </c>
      <c r="F1335" s="161">
        <v>614.0</v>
      </c>
      <c r="G1335" s="152" t="str">
        <f>IFERROR(__xludf.DUMMYFUNCTION("TRIM(REGEXREPLACE(C1335, ""[0-9]+[a-f]?\."", """"))"),"How many ${hoh_livestock_act_name} did you consume?")</f>
        <v>How many ${hoh_livestock_act_name} did you consume?</v>
      </c>
      <c r="H1335" s="152" t="str">
        <f>IFERROR(__xludf.DUMMYFUNCTION("TRIM(REGEXREPLACE(D1335, ""[0-9]+[a-f]?\."", """"))"),"Au cours des trois derniers mois, combien de ${hoh_livestock_act_name} avez-vous consommé ?")</f>
        <v>Au cours des trois derniers mois, combien de ${hoh_livestock_act_name} avez-vous consommé ?</v>
      </c>
      <c r="I1335" s="152" t="str">
        <f>IFERROR(__xludf.DUMMYFUNCTION("TRIM(REGEXREPLACE(E1335, ""[0-9]+[a-f]?\."", """"))"),"${hoh_livestock_act_name} Nawa kuka cinye ?")</f>
        <v>${hoh_livestock_act_name} Nawa kuka cinye ?</v>
      </c>
      <c r="J1335" s="152" t="s">
        <v>9163</v>
      </c>
      <c r="K1335" s="152" t="s">
        <v>9164</v>
      </c>
      <c r="L1335" s="152" t="s">
        <v>9165</v>
      </c>
    </row>
    <row r="1336">
      <c r="A1336" s="170" t="s">
        <v>263</v>
      </c>
      <c r="B1336" s="171" t="s">
        <v>9166</v>
      </c>
      <c r="C1336" s="28" t="s">
        <v>9167</v>
      </c>
      <c r="D1336" s="28" t="s">
        <v>9168</v>
      </c>
      <c r="E1336" s="28" t="s">
        <v>9169</v>
      </c>
      <c r="F1336" s="161">
        <v>615.0</v>
      </c>
      <c r="G1336" s="152" t="str">
        <f>IFERROR(__xludf.DUMMYFUNCTION("TRIM(REGEXREPLACE(C1336, ""[0-9]+[a-f]?\."", """"))"),"If you were to sell the ${hoh_livestock_act_name} you consumed, how much would you sell them for in CFA?")</f>
        <v>If you were to sell the ${hoh_livestock_act_name} you consumed, how much would you sell them for in CFA?</v>
      </c>
      <c r="H1336" s="152" t="str">
        <f>IFERROR(__xludf.DUMMYFUNCTION("TRIM(REGEXREPLACE(D1336, ""[0-9]+[a-f]?\."", """"))"),"Si vous devriez vendre les ${hoh_livestock_act_name} que vous avez consommés, à combien les vendriez-vous en CFA ?")</f>
        <v>Si vous devriez vendre les ${hoh_livestock_act_name} que vous avez consommés, à combien les vendriez-vous en CFA ?</v>
      </c>
      <c r="I1336" s="152" t="str">
        <f>IFERROR(__xludf.DUMMYFUNCTION("TRIM(REGEXREPLACE(E1336, ""[0-9]+[a-f]?\."", """"))"),"Idan za ku sayar da ${hoh_livestock_act_name} da kuka cinye, nawa za ku sayar da su a CFA?")</f>
        <v>Idan za ku sayar da ${hoh_livestock_act_name} da kuka cinye, nawa za ku sayar da su a CFA?</v>
      </c>
      <c r="J1336" s="152" t="s">
        <v>9170</v>
      </c>
      <c r="K1336" s="152" t="s">
        <v>9171</v>
      </c>
      <c r="L1336" s="152" t="s">
        <v>9172</v>
      </c>
    </row>
    <row r="1337" hidden="1">
      <c r="A1337" s="174" t="s">
        <v>1015</v>
      </c>
      <c r="B1337" s="204" t="s">
        <v>9124</v>
      </c>
      <c r="C1337" s="28" t="s">
        <v>9125</v>
      </c>
      <c r="D1337" s="28" t="s">
        <v>9126</v>
      </c>
      <c r="E1337" s="28" t="s">
        <v>9127</v>
      </c>
    </row>
    <row r="1338" hidden="1">
      <c r="A1338" s="221"/>
      <c r="B1338" s="222"/>
      <c r="C1338" s="28"/>
      <c r="D1338" s="28"/>
      <c r="E1338" s="28"/>
    </row>
    <row r="1339">
      <c r="A1339" s="170" t="s">
        <v>263</v>
      </c>
      <c r="B1339" s="171" t="s">
        <v>9173</v>
      </c>
      <c r="C1339" s="28" t="s">
        <v>9174</v>
      </c>
      <c r="D1339" s="28" t="s">
        <v>9175</v>
      </c>
      <c r="E1339" s="28" t="s">
        <v>9176</v>
      </c>
      <c r="F1339" s="161">
        <v>616.0</v>
      </c>
      <c r="G1339" s="152" t="str">
        <f>IFERROR(__xludf.DUMMYFUNCTION("TRIM(REGEXREPLACE(C1339, ""[0-9]+[a-f]?\."", """"))"),"In the past six months, how much did you spend on food and health expense for all of your animals (in CFA)?")</f>
        <v>In the past six months, how much did you spend on food and health expense for all of your animals (in CFA)?</v>
      </c>
      <c r="H1339" s="152" t="str">
        <f>IFERROR(__xludf.DUMMYFUNCTION("TRIM(REGEXREPLACE(D1339, ""[0-9]+[a-f]?\."", """"))"),"Au cours des six derniers mois, combien avez-vous dépensé en nourriture et en soins pour tous vos animaux (en CFA) ?")</f>
        <v>Au cours des six derniers mois, combien avez-vous dépensé en nourriture et en soins pour tous vos animaux (en CFA) ?</v>
      </c>
      <c r="I1339" s="152" t="str">
        <f>IFERROR(__xludf.DUMMYFUNCTION("TRIM(REGEXREPLACE(E1339, ""[0-9]+[a-f]?\."", """"))"),"A cikin watanni shida da suka gabata, nawa kuka kashe akan abinci da kuɗin kiwon lafiya ga dukan dabbobinku (a cikin CFA)?")</f>
        <v>A cikin watanni shida da suka gabata, nawa kuka kashe akan abinci da kuɗin kiwon lafiya ga dukan dabbobinku (a cikin CFA)?</v>
      </c>
      <c r="J1339" s="152" t="s">
        <v>9177</v>
      </c>
      <c r="K1339" s="152" t="s">
        <v>9178</v>
      </c>
      <c r="L1339" s="152" t="s">
        <v>9179</v>
      </c>
    </row>
    <row r="1340">
      <c r="A1340" s="166" t="s">
        <v>41</v>
      </c>
      <c r="B1340" s="167" t="s">
        <v>9181</v>
      </c>
      <c r="C1340" s="28" t="s">
        <v>9182</v>
      </c>
      <c r="D1340" s="28" t="s">
        <v>9183</v>
      </c>
      <c r="E1340" s="28" t="s">
        <v>9184</v>
      </c>
      <c r="F1340" s="161">
        <v>617.0</v>
      </c>
      <c r="G1340" s="152" t="str">
        <f>IFERROR(__xludf.DUMMYFUNCTION("TRIM(REGEXREPLACE(C1340, ""[0-9]+[a-f]?\."", """"))"),"When thinking about the past six months, I would like to ask you about how many days a typical week people in your household worked. We know people may work more during some weeks rather than others, please think about what happens during most weeks.")</f>
        <v>When thinking about the past six months, I would like to ask you about how many days a typical week people in your household worked. We know people may work more during some weeks rather than others, please think about what happens during most weeks.</v>
      </c>
      <c r="H1340" s="152" t="str">
        <f>IFERROR(__xludf.DUMMYFUNCTION("TRIM(REGEXREPLACE(D1340, ""[0-9]+[a-f]?\."", """"))"),"En pensant aux six derniers mois, j'aimerais vous demander combien de jours par semaine les membres de votre menage ont travaillé en moyenne. Nous savons que certaines personnes travaillent plus certaines semaines que d'autres ; pensez donc à ce qui se pa"&amp;"sse la plupart du temps.")</f>
        <v>En pensant aux six derniers mois, j'aimerais vous demander combien de jours par semaine les membres de votre menage ont travaillé en moyenne. Nous savons que certaines personnes travaillent plus certaines semaines que d'autres ; pensez donc à ce qui se passe la plupart du temps.</v>
      </c>
      <c r="I1340" s="152" t="str">
        <f>IFERROR(__xludf.DUMMYFUNCTION("TRIM(REGEXREPLACE(E1340, ""[0-9]+[a-f]?\."", """"))"),"Yi tunani game da watanni shida da suka gabata, Ina so in tambaye ku game da kwanaki nawa a mako na yau da kullun mutane a gidanku suke aiki. Mun san cewa zasu mutane na iya yin aiki da yawa a cikin wasu makonni maimakon wasu, kenan muna fatan za ku yi tu"&amp;"nanin abin da ke faruwa a yawancin lokaci.")</f>
        <v>Yi tunani game da watanni shida da suka gabata, Ina so in tambaye ku game da kwanaki nawa a mako na yau da kullun mutane a gidanku suke aiki. Mun san cewa zasu mutane na iya yin aiki da yawa a cikin wasu makonni maimakon wasu, kenan muna fatan za ku yi tunanin abin da ke faruwa a yawancin lokaci.</v>
      </c>
      <c r="J1340" s="152" t="s">
        <v>9185</v>
      </c>
      <c r="K1340" s="152" t="s">
        <v>9186</v>
      </c>
      <c r="L1340" s="152" t="s">
        <v>9187</v>
      </c>
    </row>
    <row r="1341">
      <c r="A1341" s="170" t="s">
        <v>263</v>
      </c>
      <c r="B1341" s="171" t="s">
        <v>9188</v>
      </c>
      <c r="C1341" s="28" t="s">
        <v>9189</v>
      </c>
      <c r="D1341" s="28" t="s">
        <v>9190</v>
      </c>
      <c r="E1341" s="28" t="s">
        <v>9191</v>
      </c>
      <c r="F1341" s="161">
        <v>618.0</v>
      </c>
      <c r="G1341" s="152" t="str">
        <f>IFERROR(__xludf.DUMMYFUNCTION("TRIM(REGEXREPLACE(C1341, ""[0-9]+[a-f]?\."", """"))"),"How many days did people in your household work to care for your animals in a typical week in the past six months?")</f>
        <v>How many days did people in your household work to care for your animals in a typical week in the past six months?</v>
      </c>
      <c r="H1341" s="152" t="str">
        <f>IFERROR(__xludf.DUMMYFUNCTION("TRIM(REGEXREPLACE(D1341, ""[0-9]+[a-f]?\."", """"))"),"Au cours des six derniers mois, combien de jours de travail les membres de votre menage ont-ils consacrés à vos animaux par semaine ?")</f>
        <v>Au cours des six derniers mois, combien de jours de travail les membres de votre menage ont-ils consacrés à vos animaux par semaine ?</v>
      </c>
      <c r="I1341" s="152" t="str">
        <f>IFERROR(__xludf.DUMMYFUNCTION("TRIM(REGEXREPLACE(E1341, ""[0-9]+[a-f]?\."", """"))"),"A cikin watanni shida da suka gabata, kwana nawa mutanen gidanku suka yi aiki don kula da dabbobinku a cikin mako guda ?")</f>
        <v>A cikin watanni shida da suka gabata, kwana nawa mutanen gidanku suka yi aiki don kula da dabbobinku a cikin mako guda ?</v>
      </c>
      <c r="J1341" s="152" t="s">
        <v>9192</v>
      </c>
      <c r="K1341" s="152" t="s">
        <v>9193</v>
      </c>
      <c r="L1341" s="152" t="s">
        <v>9194</v>
      </c>
    </row>
    <row r="1342">
      <c r="A1342" s="68" t="s">
        <v>463</v>
      </c>
      <c r="B1342" s="169" t="s">
        <v>9195</v>
      </c>
      <c r="C1342" s="28" t="s">
        <v>9196</v>
      </c>
      <c r="D1342" s="28" t="s">
        <v>9197</v>
      </c>
      <c r="E1342" s="28" t="s">
        <v>9198</v>
      </c>
      <c r="F1342" s="161">
        <v>619.0</v>
      </c>
      <c r="G1342" s="152" t="str">
        <f>IFERROR(__xludf.DUMMYFUNCTION("TRIM(REGEXREPLACE(C1342, ""[0-9]+[a-f]?\."", """"))"),"In the past six months, did you hire anyone outside your household to care for your animals?")</f>
        <v>In the past six months, did you hire anyone outside your household to care for your animals?</v>
      </c>
      <c r="H1342" s="152" t="str">
        <f>IFERROR(__xludf.DUMMYFUNCTION("TRIM(REGEXREPLACE(D1342, ""[0-9]+[a-f]?\."", """"))"),"Au cours des six derniers mois, avez-vous embauché une personne extérieure à votre foyer pour s'occuper de vos animaux ?")</f>
        <v>Au cours des six derniers mois, avez-vous embauché une personne extérieure à votre foyer pour s'occuper de vos animaux ?</v>
      </c>
      <c r="I1342" s="152" t="str">
        <f>IFERROR(__xludf.DUMMYFUNCTION("TRIM(REGEXREPLACE(E1342, ""[0-9]+[a-f]?\."", """"))"),"A cikin wata shida da suka gabata, ko kun dauki hayar wani wanda ba ɗan gidanku ba don kula da dabbobinku?")</f>
        <v>A cikin wata shida da suka gabata, ko kun dauki hayar wani wanda ba ɗan gidanku ba don kula da dabbobinku?</v>
      </c>
      <c r="J1342" s="152" t="s">
        <v>9199</v>
      </c>
      <c r="K1342" s="152" t="s">
        <v>9200</v>
      </c>
      <c r="L1342" s="152" t="s">
        <v>9201</v>
      </c>
    </row>
    <row r="1343">
      <c r="A1343" s="170" t="s">
        <v>263</v>
      </c>
      <c r="B1343" s="171" t="s">
        <v>9203</v>
      </c>
      <c r="C1343" s="28" t="s">
        <v>9204</v>
      </c>
      <c r="D1343" s="28" t="s">
        <v>9205</v>
      </c>
      <c r="E1343" s="28" t="s">
        <v>9206</v>
      </c>
      <c r="F1343" s="161">
        <v>620.0</v>
      </c>
      <c r="G1343" s="152" t="str">
        <f>IFERROR(__xludf.DUMMYFUNCTION("TRIM(REGEXREPLACE(C1343, ""[0-9]+[a-f]?\."", """"))"),"In the last six months, for how many weeks did you hire people to care for your livestock?")</f>
        <v>In the last six months, for how many weeks did you hire people to care for your livestock?</v>
      </c>
      <c r="H1343" s="152" t="str">
        <f>IFERROR(__xludf.DUMMYFUNCTION("TRIM(REGEXREPLACE(D1343, ""[0-9]+[a-f]?\."", """"))"),"Au cours des six derniers mois, pendant combien de semaines avez-vous embauché des personnes pour s'occuper de votre bétail ?")</f>
        <v>Au cours des six derniers mois, pendant combien de semaines avez-vous embauché des personnes pour s'occuper de votre bétail ?</v>
      </c>
      <c r="I1343" s="152" t="str">
        <f>IFERROR(__xludf.DUMMYFUNCTION("TRIM(REGEXREPLACE(E1343, ""[0-9]+[a-f]?\."", """"))"),"A cikin watanni shida da suka gabata, tsawon makonni nawa kuka dauki hayar mutane don kula da dabbobinku?")</f>
        <v>A cikin watanni shida da suka gabata, tsawon makonni nawa kuka dauki hayar mutane don kula da dabbobinku?</v>
      </c>
      <c r="J1343" s="152" t="s">
        <v>9207</v>
      </c>
      <c r="K1343" s="152" t="s">
        <v>9208</v>
      </c>
      <c r="L1343" s="152" t="s">
        <v>9209</v>
      </c>
    </row>
    <row r="1344">
      <c r="A1344" s="170" t="s">
        <v>263</v>
      </c>
      <c r="B1344" s="171" t="s">
        <v>9210</v>
      </c>
      <c r="C1344" s="28" t="s">
        <v>9211</v>
      </c>
      <c r="D1344" s="28" t="s">
        <v>9212</v>
      </c>
      <c r="E1344" s="28" t="s">
        <v>9213</v>
      </c>
      <c r="F1344" s="161">
        <v>621.0</v>
      </c>
      <c r="G1344" s="152" t="str">
        <f>IFERROR(__xludf.DUMMYFUNCTION("TRIM(REGEXREPLACE(C1344, ""[0-9]+[a-f]?\."", """"))"),"What was the weekly wage paid to people who care for your animals, or how much would you pay in CFA?")</f>
        <v>What was the weekly wage paid to people who care for your animals, or how much would you pay in CFA?</v>
      </c>
      <c r="H1344" s="152" t="str">
        <f>IFERROR(__xludf.DUMMYFUNCTION("TRIM(REGEXREPLACE(D1344, ""[0-9]+[a-f]?\."", """"))"),"Quel était les frais hebdomadaire payés aux personnes qui s'occupent de vos animaux, ou combien paieriez-vous en CFA ?")</f>
        <v>Quel était les frais hebdomadaire payés aux personnes qui s'occupent de vos animaux, ou combien paieriez-vous en CFA ?</v>
      </c>
      <c r="I1344" s="152" t="str">
        <f>IFERROR(__xludf.DUMMYFUNCTION("TRIM(REGEXREPLACE(E1344, ""[0-9]+[a-f]?\."", """"))"),"105 a. Nawa albashin mako-mako na wannan mutanen da ke kula da dabbobinku a CFA?")</f>
        <v>105 a. Nawa albashin mako-mako na wannan mutanen da ke kula da dabbobinku a CFA?</v>
      </c>
      <c r="J1344" s="152" t="s">
        <v>9214</v>
      </c>
      <c r="K1344" s="152" t="s">
        <v>9215</v>
      </c>
      <c r="L1344" s="152" t="s">
        <v>9216</v>
      </c>
    </row>
    <row r="1345" hidden="1">
      <c r="A1345" s="90" t="s">
        <v>78</v>
      </c>
      <c r="B1345" s="92" t="s">
        <v>9217</v>
      </c>
      <c r="C1345" s="28"/>
      <c r="D1345" s="28"/>
      <c r="E1345" s="28"/>
    </row>
    <row r="1346">
      <c r="A1346" s="68" t="s">
        <v>463</v>
      </c>
      <c r="B1346" s="169" t="s">
        <v>9218</v>
      </c>
      <c r="C1346" s="28" t="s">
        <v>9219</v>
      </c>
      <c r="D1346" s="28" t="s">
        <v>9220</v>
      </c>
      <c r="E1346" s="28" t="s">
        <v>9221</v>
      </c>
      <c r="F1346" s="161">
        <v>622.0</v>
      </c>
      <c r="G1346" s="152" t="str">
        <f>IFERROR(__xludf.DUMMYFUNCTION("TRIM(REGEXREPLACE(C1346, ""[0-9]+[a-f]?\."", """"))"),"You paid ${hoh_hire_livestock_total} in CFA for people to care for your animals, is this correct?")</f>
        <v>You paid ${hoh_hire_livestock_total} in CFA for people to care for your animals, is this correct?</v>
      </c>
      <c r="H1346" s="152" t="str">
        <f>IFERROR(__xludf.DUMMYFUNCTION("TRIM(REGEXREPLACE(D1346, ""[0-9]+[a-f]?\."", """"))"),"Vous avez payé ${hoh_hire_livestock_total} (en CFA) aux personnes qui s'occupent de vos animaux, est-ce exact ?")</f>
        <v>Vous avez payé ${hoh_hire_livestock_total} (en CFA) aux personnes qui s'occupent de vos animaux, est-ce exact ?</v>
      </c>
      <c r="I1346" s="152" t="str">
        <f>IFERROR(__xludf.DUMMYFUNCTION("TRIM(REGEXREPLACE(E1346, ""[0-9]+[a-f]?\."", """"))"),"${hoh_hire_livestock_total} (a sefa) kuka biya, ko daidai ne?")</f>
        <v>${hoh_hire_livestock_total} (a sefa) kuka biya, ko daidai ne?</v>
      </c>
      <c r="J1346" s="152" t="s">
        <v>9222</v>
      </c>
      <c r="K1346" s="152" t="s">
        <v>9223</v>
      </c>
      <c r="L1346" s="152" t="s">
        <v>9224</v>
      </c>
    </row>
    <row r="1347">
      <c r="A1347" s="68" t="s">
        <v>463</v>
      </c>
      <c r="B1347" s="169" t="s">
        <v>9225</v>
      </c>
      <c r="C1347" s="28" t="s">
        <v>9227</v>
      </c>
      <c r="D1347" s="28" t="s">
        <v>9228</v>
      </c>
      <c r="E1347" s="28" t="s">
        <v>9229</v>
      </c>
      <c r="F1347" s="161">
        <v>623.0</v>
      </c>
      <c r="G1347" s="152" t="str">
        <f>IFERROR(__xludf.DUMMYFUNCTION("TRIM(REGEXREPLACE(C1347, ""[0-9]+[a-f]?\."", """"))"),"In the past six months, did any member of your household care for livestock owned by other people?")</f>
        <v>In the past six months, did any member of your household care for livestock owned by other people?</v>
      </c>
      <c r="H1347" s="152" t="str">
        <f>IFERROR(__xludf.DUMMYFUNCTION("TRIM(REGEXREPLACE(D1347, ""[0-9]+[a-f]?\."", """"))"),"Au cours des six derniers mois, un membre de votre menage a-t-il pris soin du bétail appartenant à d'autres personnes ?")</f>
        <v>Au cours des six derniers mois, un membre de votre menage a-t-il pris soin du bétail appartenant à d'autres personnes ?</v>
      </c>
      <c r="I1347" s="152" t="str">
        <f>IFERROR(__xludf.DUMMYFUNCTION("TRIM(REGEXREPLACE(E1347, ""[0-9]+[a-f]?\."", """"))"),"A cikin wata shida da suka wuce, akwai wani daga cikin ƴan gidan ku da ya kula da dabbobin wasu mutane?")</f>
        <v>A cikin wata shida da suka wuce, akwai wani daga cikin ƴan gidan ku da ya kula da dabbobin wasu mutane?</v>
      </c>
      <c r="J1347" s="152" t="s">
        <v>9230</v>
      </c>
      <c r="K1347" s="152" t="s">
        <v>9231</v>
      </c>
      <c r="L1347" s="152" t="s">
        <v>9232</v>
      </c>
    </row>
    <row r="1348">
      <c r="A1348" s="170" t="s">
        <v>263</v>
      </c>
      <c r="B1348" s="171" t="s">
        <v>9233</v>
      </c>
      <c r="C1348" s="28" t="s">
        <v>9234</v>
      </c>
      <c r="D1348" s="28" t="s">
        <v>9236</v>
      </c>
      <c r="E1348" s="28" t="s">
        <v>9237</v>
      </c>
      <c r="F1348" s="161">
        <v>624.0</v>
      </c>
      <c r="G1348" s="152" t="str">
        <f>IFERROR(__xludf.DUMMYFUNCTION("TRIM(REGEXREPLACE(C1348, ""[0-9]+[a-f]?\."", """"))"),"In a typical week, how many days did they do this job?")</f>
        <v>In a typical week, how many days did they do this job?</v>
      </c>
      <c r="H1348" s="152" t="str">
        <f>IFERROR(__xludf.DUMMYFUNCTION("TRIM(REGEXREPLACE(D1348, ""[0-9]+[a-f]?\."", """"))"),"Au cours d'une semaine normale, combien de jours ont-ils fait ce travail ?")</f>
        <v>Au cours d'une semaine normale, combien de jours ont-ils fait ce travail ?</v>
      </c>
      <c r="I1348" s="152" t="str">
        <f>IFERROR(__xludf.DUMMYFUNCTION("TRIM(REGEXREPLACE(E1348, ""[0-9]+[a-f]?\."", """"))"),"A cikin mako, kwana nawa suka yi wannan aikin?")</f>
        <v>A cikin mako, kwana nawa suka yi wannan aikin?</v>
      </c>
      <c r="J1348" s="152" t="s">
        <v>9240</v>
      </c>
      <c r="K1348" s="152" t="s">
        <v>9241</v>
      </c>
      <c r="L1348" s="152" t="s">
        <v>9242</v>
      </c>
    </row>
    <row r="1349">
      <c r="A1349" s="170" t="s">
        <v>263</v>
      </c>
      <c r="B1349" s="171" t="s">
        <v>9243</v>
      </c>
      <c r="C1349" s="28" t="s">
        <v>9244</v>
      </c>
      <c r="D1349" s="28" t="s">
        <v>9245</v>
      </c>
      <c r="E1349" s="28" t="s">
        <v>9246</v>
      </c>
      <c r="F1349" s="161">
        <v>625.0</v>
      </c>
      <c r="G1349" s="152" t="str">
        <f>IFERROR(__xludf.DUMMYFUNCTION("TRIM(REGEXREPLACE(C1349, ""[0-9]+[a-f]?\."", """"))"),"What was the daily wage paid to household members who cared for livestock owned by other people?")</f>
        <v>What was the daily wage paid to household members who cared for livestock owned by other people?</v>
      </c>
      <c r="H1349" s="152" t="str">
        <f>IFERROR(__xludf.DUMMYFUNCTION("TRIM(REGEXREPLACE(D1349, ""[0-9]+[a-f]?\."", """"))"),"Quel étaient les frais journaliers payés aux membres de votre ménage qui s'occupent des animaux du bétail appartenant à d'autres personnes en CFA ?")</f>
        <v>Quel étaient les frais journaliers payés aux membres de votre ménage qui s'occupent des animaux du bétail appartenant à d'autres personnes en CFA ?</v>
      </c>
      <c r="I1349" s="152" t="str">
        <f>IFERROR(__xludf.DUMMYFUNCTION("TRIM(REGEXREPLACE(E1349, ""[0-9]+[a-f]?\."", """"))"),"Nawa ne biyan wuni na ƴan gida masu kula da dabbobin wasu mutane (a kuɗin CFA)?")</f>
        <v>Nawa ne biyan wuni na ƴan gida masu kula da dabbobin wasu mutane (a kuɗin CFA)?</v>
      </c>
      <c r="J1349" s="152" t="s">
        <v>9247</v>
      </c>
      <c r="K1349" s="152" t="s">
        <v>9248</v>
      </c>
      <c r="L1349" s="152" t="s">
        <v>9249</v>
      </c>
    </row>
    <row r="1350">
      <c r="A1350" s="166" t="s">
        <v>41</v>
      </c>
      <c r="B1350" s="167" t="s">
        <v>9250</v>
      </c>
      <c r="C1350" s="28" t="s">
        <v>9251</v>
      </c>
      <c r="D1350" s="28"/>
      <c r="E1350" s="28"/>
      <c r="F1350" s="161">
        <v>626.0</v>
      </c>
      <c r="G1350" s="152" t="str">
        <f>IFERROR(__xludf.DUMMYFUNCTION("TRIM(REGEXREPLACE(C1350, ""[0-9]+[a-f]?\."", """"))"),"Now we will ask about other forms of income people in your household may have earned in the past six months.")</f>
        <v>Now we will ask about other forms of income people in your household may have earned in the past six months.</v>
      </c>
      <c r="H1350" s="152" t="str">
        <f>IFERROR(__xludf.DUMMYFUNCTION("TRIM(REGEXREPLACE(D1350, ""[0-9]+[a-f]?\."", """"))"),"")</f>
        <v/>
      </c>
      <c r="I1350" s="152" t="str">
        <f>IFERROR(__xludf.DUMMYFUNCTION("TRIM(REGEXREPLACE(E1350, ""[0-9]+[a-f]?\."", """"))"),"")</f>
        <v/>
      </c>
      <c r="J1350" s="152" t="s">
        <v>9252</v>
      </c>
      <c r="K1350" s="152" t="s">
        <v>9253</v>
      </c>
      <c r="L1350" s="152" t="s">
        <v>9253</v>
      </c>
    </row>
    <row r="1351">
      <c r="A1351" s="68" t="s">
        <v>463</v>
      </c>
      <c r="B1351" s="169" t="s">
        <v>9256</v>
      </c>
      <c r="C1351" s="28" t="s">
        <v>9258</v>
      </c>
      <c r="D1351" s="28" t="s">
        <v>9259</v>
      </c>
      <c r="E1351" s="28" t="s">
        <v>9260</v>
      </c>
      <c r="F1351" s="161">
        <v>627.0</v>
      </c>
      <c r="G1351" s="152" t="str">
        <f>IFERROR(__xludf.DUMMYFUNCTION("TRIM(REGEXREPLACE(C1351, ""[0-9]+[a-f]?\."", """"))"),"Do you or another member of your household own land that is currently not used for agriculture, outside of your current home?")</f>
        <v>Do you or another member of your household own land that is currently not used for agriculture, outside of your current home?</v>
      </c>
      <c r="H1351" s="152" t="str">
        <f>IFERROR(__xludf.DUMMYFUNCTION("TRIM(REGEXREPLACE(D1351, ""[0-9]+[a-f]?\."", """"))"),"Est-ce que vous ou un autre membre de votre ménage possédez des terres qui ne sont actuellement pas utilisées pour l'agriculture, en dehors de votre domicile actuel ?")</f>
        <v>Est-ce que vous ou un autre membre de votre ménage possédez des terres qui ne sont actuellement pas utilisées pour l'agriculture, en dehors de votre domicile actuel ?</v>
      </c>
      <c r="I1351" s="152" t="str">
        <f>IFERROR(__xludf.DUMMYFUNCTION("TRIM(REGEXREPLACE(E1351, ""[0-9]+[a-f]?\."", """"))"),"Shin kai ko wani na gidanku kuna da wasu hilaye wanda ba na noma ba bancin gidanku da kuke ciki a halin yanzu?")</f>
        <v>Shin kai ko wani na gidanku kuna da wasu hilaye wanda ba na noma ba bancin gidanku da kuke ciki a halin yanzu?</v>
      </c>
      <c r="J1351" s="152" t="s">
        <v>9262</v>
      </c>
      <c r="K1351" s="152" t="s">
        <v>9263</v>
      </c>
      <c r="L1351" s="152" t="s">
        <v>9264</v>
      </c>
    </row>
    <row r="1352">
      <c r="A1352" s="170" t="s">
        <v>263</v>
      </c>
      <c r="B1352" s="171" t="s">
        <v>9265</v>
      </c>
      <c r="C1352" s="28" t="s">
        <v>9266</v>
      </c>
      <c r="D1352" s="28" t="s">
        <v>9267</v>
      </c>
      <c r="E1352" s="28" t="s">
        <v>9268</v>
      </c>
      <c r="F1352" s="161">
        <v>628.0</v>
      </c>
      <c r="G1352" s="152" t="str">
        <f>IFERROR(__xludf.DUMMYFUNCTION("TRIM(REGEXREPLACE(C1352, ""[0-9]+[a-f]?\."", """"))"),"In the past six months, what is the total revenue from rent of land or other property in CFA?")</f>
        <v>In the past six months, what is the total revenue from rent of land or other property in CFA?</v>
      </c>
      <c r="H1352" s="152" t="str">
        <f>IFERROR(__xludf.DUMMYFUNCTION("TRIM(REGEXREPLACE(D1352, ""[0-9]+[a-f]?\."", """"))"),"Au cours des six derniers mois, quel a été le montant total des revenus locatifs de terres ou d'autres biens en CFA ?")</f>
        <v>Au cours des six derniers mois, quel a été le montant total des revenus locatifs de terres ou d'autres biens en CFA ?</v>
      </c>
      <c r="I1352" s="152" t="str">
        <f>IFERROR(__xludf.DUMMYFUNCTION("TRIM(REGEXREPLACE(E1352, ""[0-9]+[a-f]?\."", """"))"),"A cikin watanni shida da suka gabata, nawa ne jimillar kuɗaɗen da kuka samu daga hayar filaye ko wasu kadarori a CFA?")</f>
        <v>A cikin watanni shida da suka gabata, nawa ne jimillar kuɗaɗen da kuka samu daga hayar filaye ko wasu kadarori a CFA?</v>
      </c>
      <c r="J1352" s="152" t="s">
        <v>9270</v>
      </c>
      <c r="K1352" s="152" t="s">
        <v>9271</v>
      </c>
      <c r="L1352" s="152" t="s">
        <v>9273</v>
      </c>
    </row>
    <row r="1353">
      <c r="A1353" s="170" t="s">
        <v>263</v>
      </c>
      <c r="B1353" s="171" t="s">
        <v>9275</v>
      </c>
      <c r="C1353" s="28" t="s">
        <v>9276</v>
      </c>
      <c r="D1353" s="28" t="s">
        <v>9277</v>
      </c>
      <c r="E1353" s="28" t="s">
        <v>9278</v>
      </c>
      <c r="F1353" s="161">
        <v>629.0</v>
      </c>
      <c r="G1353" s="152" t="str">
        <f>IFERROR(__xludf.DUMMYFUNCTION("TRIM(REGEXREPLACE(C1353, ""[0-9]+[a-f]?\."", """"))"),"In the past six months, what is the total value of interest from loans you have given to others in CFA?")</f>
        <v>In the past six months, what is the total value of interest from loans you have given to others in CFA?</v>
      </c>
      <c r="H1353" s="152" t="str">
        <f>IFERROR(__xludf.DUMMYFUNCTION("TRIM(REGEXREPLACE(D1353, ""[0-9]+[a-f]?\."", """"))"),"Au cours des six derniers mois, quel a été le montant total des intérêts des prêts que vous avez accordés à d'autres en CFA ?")</f>
        <v>Au cours des six derniers mois, quel a été le montant total des intérêts des prêts que vous avez accordés à d'autres en CFA ?</v>
      </c>
      <c r="I1353" s="152" t="str">
        <f>IFERROR(__xludf.DUMMYFUNCTION("TRIM(REGEXREPLACE(E1353, ""[0-9]+[a-f]?\."", """"))"),"A cikin watanni shida da suka gabata, nawa ne jimillar ribar da kuka samu daga rancen da kuka bai wa wasu a CFA?")</f>
        <v>A cikin watanni shida da suka gabata, nawa ne jimillar ribar da kuka samu daga rancen da kuka bai wa wasu a CFA?</v>
      </c>
      <c r="J1353" s="152" t="s">
        <v>9279</v>
      </c>
      <c r="K1353" s="152" t="s">
        <v>9280</v>
      </c>
      <c r="L1353" s="152" t="s">
        <v>9281</v>
      </c>
    </row>
    <row r="1354" hidden="1">
      <c r="A1354" s="90" t="s">
        <v>134</v>
      </c>
      <c r="B1354" s="92" t="s">
        <v>9282</v>
      </c>
      <c r="C1354" s="28"/>
      <c r="D1354" s="28"/>
      <c r="E1354" s="28"/>
    </row>
    <row r="1355" hidden="1">
      <c r="A1355" s="90" t="s">
        <v>78</v>
      </c>
      <c r="B1355" s="92" t="s">
        <v>9283</v>
      </c>
      <c r="C1355" s="28"/>
      <c r="D1355" s="28"/>
      <c r="E1355" s="28"/>
    </row>
    <row r="1356" hidden="1">
      <c r="A1356" s="221"/>
      <c r="B1356" s="222"/>
      <c r="C1356" s="28"/>
      <c r="D1356" s="28"/>
      <c r="E1356" s="28"/>
    </row>
    <row r="1357" hidden="1">
      <c r="A1357" s="90" t="s">
        <v>134</v>
      </c>
      <c r="B1357" s="92" t="s">
        <v>9284</v>
      </c>
      <c r="C1357" s="28"/>
      <c r="D1357" s="28"/>
      <c r="E1357" s="28"/>
    </row>
    <row r="1358">
      <c r="A1358" s="68" t="s">
        <v>463</v>
      </c>
      <c r="B1358" s="169" t="s">
        <v>9285</v>
      </c>
      <c r="C1358" s="28" t="s">
        <v>9286</v>
      </c>
      <c r="D1358" s="28" t="s">
        <v>9287</v>
      </c>
      <c r="E1358" s="28" t="s">
        <v>9288</v>
      </c>
      <c r="F1358" s="161">
        <v>630.0</v>
      </c>
      <c r="G1358" s="152" t="str">
        <f>IFERROR(__xludf.DUMMYFUNCTION("TRIM(REGEXREPLACE(C1358, ""[0-9]+[a-f]?\."", """"))"),"Does anyone in the household fully, or partly own and operate an income generating activity that is not farming or herding? (i.e. a shop where you sell goods, restaurant, butcher shop)?")</f>
        <v>Does anyone in the household fully, or partly own and operate an income generating activity that is not farming or herding? (i.e. a shop where you sell goods, restaurant, butcher shop)?</v>
      </c>
      <c r="H1358" s="152" t="str">
        <f>IFERROR(__xludf.DUMMYFUNCTION("TRIM(REGEXREPLACE(D1358, ""[0-9]+[a-f]?\."", """"))"),"Quelqu'un dans le ménage possède-t-il entièrement ou partiellement une activité génératrice de revenus autre que l'agriculture ou l'élevage ? (C'est-à-dire un magasin où vous vendez des marchandises, un restaurant, une boucherie) ?")</f>
        <v>Quelqu'un dans le ménage possède-t-il entièrement ou partiellement une activité génératrice de revenus autre que l'agriculture ou l'élevage ? (C'est-à-dire un magasin où vous vendez des marchandises, un restaurant, une boucherie) ?</v>
      </c>
      <c r="I1358" s="152" t="str">
        <f>IFERROR(__xludf.DUMMYFUNCTION("TRIM(REGEXREPLACE(E1358, ""[0-9]+[a-f]?\."", """"))"),"Ko akwai wani ɗan gidanku mai sana'a wanda jarin gaba daya nashi ko na hadin gwiwa ne banda noma da kiyo? ( kantin saida kaya, gidan abinci, fawa)?")</f>
        <v>Ko akwai wani ɗan gidanku mai sana'a wanda jarin gaba daya nashi ko na hadin gwiwa ne banda noma da kiyo? ( kantin saida kaya, gidan abinci, fawa)?</v>
      </c>
      <c r="J1358" s="152" t="s">
        <v>9289</v>
      </c>
      <c r="K1358" s="152" t="s">
        <v>9290</v>
      </c>
      <c r="L1358" s="152" t="s">
        <v>9291</v>
      </c>
    </row>
    <row r="1359">
      <c r="A1359" s="68" t="s">
        <v>4036</v>
      </c>
      <c r="B1359" s="169" t="s">
        <v>9292</v>
      </c>
      <c r="C1359" s="28" t="s">
        <v>9293</v>
      </c>
      <c r="D1359" s="28" t="s">
        <v>9294</v>
      </c>
      <c r="E1359" s="28" t="s">
        <v>9295</v>
      </c>
      <c r="F1359" s="161">
        <v>631.0</v>
      </c>
      <c r="G1359" s="152" t="str">
        <f>IFERROR(__xludf.DUMMYFUNCTION("TRIM(REGEXREPLACE(C1359, ""[0-9]+[a-f]?\."", """"))"),"What type of business is this?")</f>
        <v>What type of business is this?</v>
      </c>
      <c r="H1359" s="152" t="str">
        <f>IFERROR(__xludf.DUMMYFUNCTION("TRIM(REGEXREPLACE(D1359, ""[0-9]+[a-f]?\."", """"))"),"Quel type d'entreprise est-ce?")</f>
        <v>Quel type d'entreprise est-ce?</v>
      </c>
      <c r="I1359" s="152" t="str">
        <f>IFERROR(__xludf.DUMMYFUNCTION("TRIM(REGEXREPLACE(E1359, ""[0-9]+[a-f]?\."", """"))"),"Wane irin kasuwanci ne?")</f>
        <v>Wane irin kasuwanci ne?</v>
      </c>
      <c r="J1359" s="152" t="s">
        <v>9296</v>
      </c>
      <c r="K1359" s="152" t="s">
        <v>9297</v>
      </c>
      <c r="L1359" s="152" t="s">
        <v>9298</v>
      </c>
    </row>
    <row r="1360">
      <c r="A1360" s="179" t="s">
        <v>246</v>
      </c>
      <c r="B1360" s="180" t="s">
        <v>9299</v>
      </c>
      <c r="C1360" s="28" t="s">
        <v>9300</v>
      </c>
      <c r="D1360" s="28" t="s">
        <v>9301</v>
      </c>
      <c r="E1360" s="28" t="s">
        <v>9302</v>
      </c>
      <c r="F1360" s="161">
        <v>632.0</v>
      </c>
      <c r="G1360" s="152" t="str">
        <f>IFERROR(__xludf.DUMMYFUNCTION("TRIM(REGEXREPLACE(C1360, ""[0-9]+[a-f]?\."", """"))"),"Specify other")</f>
        <v>Specify other</v>
      </c>
      <c r="H1360" s="152" t="str">
        <f>IFERROR(__xludf.DUMMYFUNCTION("TRIM(REGEXREPLACE(D1360, ""[0-9]+[a-f]?\."", """"))"),"Autre à préciser :")</f>
        <v>Autre à préciser :</v>
      </c>
      <c r="I1360" s="152" t="str">
        <f>IFERROR(__xludf.DUMMYFUNCTION("TRIM(REGEXREPLACE(E1360, ""[0-9]+[a-f]?\."", """"))"),"Baiyana wani abu daban:")</f>
        <v>Baiyana wani abu daban:</v>
      </c>
      <c r="J1360" s="152" t="s">
        <v>9303</v>
      </c>
      <c r="K1360" s="152" t="s">
        <v>9304</v>
      </c>
      <c r="L1360" s="152" t="s">
        <v>9305</v>
      </c>
    </row>
    <row r="1361" hidden="1">
      <c r="A1361" s="90" t="s">
        <v>78</v>
      </c>
      <c r="B1361" s="92" t="s">
        <v>9306</v>
      </c>
      <c r="C1361" s="28"/>
      <c r="D1361" s="28"/>
      <c r="E1361" s="28"/>
    </row>
    <row r="1362">
      <c r="A1362" s="68" t="s">
        <v>463</v>
      </c>
      <c r="B1362" s="169" t="s">
        <v>9307</v>
      </c>
      <c r="C1362" s="28" t="s">
        <v>9308</v>
      </c>
      <c r="D1362" s="28" t="s">
        <v>9309</v>
      </c>
      <c r="E1362" s="28" t="s">
        <v>9310</v>
      </c>
      <c r="F1362" s="161">
        <v>633.0</v>
      </c>
      <c r="G1362" s="152" t="str">
        <f>IFERROR(__xludf.DUMMYFUNCTION("TRIM(REGEXREPLACE(C1362, ""[0-9]+[a-f]?\."", """"))"),"Do you have a permanent location (i.e. building)?")</f>
        <v>Do you have a permanent location (i.e. building)?</v>
      </c>
      <c r="H1362" s="152" t="str">
        <f>IFERROR(__xludf.DUMMYFUNCTION("TRIM(REGEXREPLACE(D1362, ""[0-9]+[a-f]?\."", """"))"),"Avez-vous un emplacement permanent (c'est-à-dire un bâtiment) ?")</f>
        <v>Avez-vous un emplacement permanent (c'est-à-dire un bâtiment) ?</v>
      </c>
      <c r="I1362" s="152" t="str">
        <f>IFERROR(__xludf.DUMMYFUNCTION("TRIM(REGEXREPLACE(E1362, ""[0-9]+[a-f]?\."", """"))"),"Kuna da wurin dindindin (kamar gini)?")</f>
        <v>Kuna da wurin dindindin (kamar gini)?</v>
      </c>
      <c r="J1362" s="152" t="s">
        <v>9311</v>
      </c>
      <c r="K1362" s="152" t="s">
        <v>9312</v>
      </c>
      <c r="L1362" s="152" t="s">
        <v>9313</v>
      </c>
    </row>
    <row r="1363">
      <c r="A1363" s="170" t="s">
        <v>263</v>
      </c>
      <c r="B1363" s="171" t="s">
        <v>9314</v>
      </c>
      <c r="C1363" s="28" t="s">
        <v>9315</v>
      </c>
      <c r="D1363" s="28" t="s">
        <v>9316</v>
      </c>
      <c r="E1363" s="28" t="s">
        <v>9317</v>
      </c>
      <c r="F1363" s="161">
        <v>634.0</v>
      </c>
      <c r="G1363" s="152" t="str">
        <f>IFERROR(__xludf.DUMMYFUNCTION("TRIM(REGEXREPLACE(C1363, ""[0-9]+[a-f]?\."", """"))"),"How many people outside of your household do you employ in this business?")</f>
        <v>How many people outside of your household do you employ in this business?</v>
      </c>
      <c r="H1363" s="152" t="str">
        <f>IFERROR(__xludf.DUMMYFUNCTION("TRIM(REGEXREPLACE(D1363, ""[0-9]+[a-f]?\."", """"))"),"Combien de personnes en dehors de votre ménage employez-vous dans cette entreprise ?")</f>
        <v>Combien de personnes en dehors de votre ménage employez-vous dans cette entreprise ?</v>
      </c>
      <c r="I1363" s="152" t="str">
        <f>IFERROR(__xludf.DUMMYFUNCTION("TRIM(REGEXREPLACE(E1363, ""[0-9]+[a-f]?\."", """"))"),"Mutane nawa ne kuka dauka aiki banda ƴan gidan a wannan kasuwancin?")</f>
        <v>Mutane nawa ne kuka dauka aiki banda ƴan gidan a wannan kasuwancin?</v>
      </c>
      <c r="J1363" s="152" t="s">
        <v>9318</v>
      </c>
      <c r="K1363" s="152" t="s">
        <v>9319</v>
      </c>
      <c r="L1363" s="152" t="s">
        <v>9320</v>
      </c>
    </row>
    <row r="1364">
      <c r="A1364" s="170" t="s">
        <v>263</v>
      </c>
      <c r="B1364" s="171" t="s">
        <v>9321</v>
      </c>
      <c r="C1364" s="28" t="s">
        <v>9322</v>
      </c>
      <c r="D1364" s="28" t="s">
        <v>9323</v>
      </c>
      <c r="E1364" s="28" t="s">
        <v>9324</v>
      </c>
      <c r="F1364" s="161">
        <v>635.0</v>
      </c>
      <c r="G1364" s="152" t="str">
        <f>IFERROR(__xludf.DUMMYFUNCTION("TRIM(REGEXREPLACE(C1364, ""[0-9]+[a-f]?\."", """"))"),"How much do you pay per day for people to work in this business in CFA?")</f>
        <v>How much do you pay per day for people to work in this business in CFA?</v>
      </c>
      <c r="H1364" s="152" t="str">
        <f>IFERROR(__xludf.DUMMYFUNCTION("TRIM(REGEXREPLACE(D1364, ""[0-9]+[a-f]?\."", """"))"),"Combien payez-vous par jour pour que les gens travaillent dans cette entreprise (en CFA) ?")</f>
        <v>Combien payez-vous par jour pour que les gens travaillent dans cette entreprise (en CFA) ?</v>
      </c>
      <c r="I1364" s="152" t="str">
        <f>IFERROR(__xludf.DUMMYFUNCTION("TRIM(REGEXREPLACE(E1364, ""[0-9]+[a-f]?\."", """"))"),"Nawa kuke biyan su a wuni (a sefa) ?")</f>
        <v>Nawa kuke biyan su a wuni (a sefa) ?</v>
      </c>
      <c r="J1364" s="152" t="s">
        <v>9325</v>
      </c>
      <c r="K1364" s="152" t="s">
        <v>9326</v>
      </c>
      <c r="L1364" s="152" t="s">
        <v>9327</v>
      </c>
    </row>
    <row r="1365" hidden="1">
      <c r="A1365" s="221"/>
      <c r="B1365" s="222"/>
      <c r="C1365" s="28"/>
      <c r="D1365" s="28"/>
      <c r="E1365" s="28"/>
    </row>
    <row r="1366" hidden="1">
      <c r="A1366" s="174" t="s">
        <v>698</v>
      </c>
      <c r="B1366" s="175" t="s">
        <v>9329</v>
      </c>
      <c r="C1366" s="28" t="s">
        <v>9330</v>
      </c>
      <c r="D1366" s="28"/>
      <c r="E1366" s="28"/>
    </row>
    <row r="1367" hidden="1">
      <c r="A1367" s="90" t="s">
        <v>78</v>
      </c>
      <c r="B1367" s="92" t="s">
        <v>9331</v>
      </c>
      <c r="C1367" s="28"/>
      <c r="D1367" s="28"/>
      <c r="E1367" s="28"/>
    </row>
    <row r="1368" hidden="1">
      <c r="A1368" s="90" t="s">
        <v>78</v>
      </c>
      <c r="B1368" s="92" t="s">
        <v>9332</v>
      </c>
      <c r="C1368" s="28"/>
      <c r="D1368" s="28"/>
      <c r="E1368" s="28"/>
    </row>
    <row r="1369" hidden="1">
      <c r="A1369" s="90" t="s">
        <v>78</v>
      </c>
      <c r="B1369" s="92" t="s">
        <v>9333</v>
      </c>
      <c r="C1369" s="28"/>
      <c r="D1369" s="28"/>
      <c r="E1369" s="28"/>
    </row>
    <row r="1370">
      <c r="A1370" s="170" t="s">
        <v>263</v>
      </c>
      <c r="B1370" s="171" t="s">
        <v>9334</v>
      </c>
      <c r="C1370" s="28" t="s">
        <v>9335</v>
      </c>
      <c r="D1370" s="28" t="s">
        <v>9336</v>
      </c>
      <c r="E1370" s="28" t="s">
        <v>9337</v>
      </c>
      <c r="F1370" s="161">
        <v>636.0</v>
      </c>
      <c r="G1370" s="152" t="str">
        <f>IFERROR(__xludf.DUMMYFUNCTION("TRIM(REGEXREPLACE(C1370, ""[0-9]+[a-f]?\."", """"))"),"In a typical week during the past six months, how many days did ${hoh_biz_name} work in the household business?")</f>
        <v>In a typical week during the past six months, how many days did ${hoh_biz_name} work in the household business?</v>
      </c>
      <c r="H1370" s="152" t="str">
        <f>IFERROR(__xludf.DUMMYFUNCTION("TRIM(REGEXREPLACE(D1370, ""[0-9]+[a-f]?\."", """"))"),"Au cours d'une semaine normale dans les six derniers mois, combien de jours ${hoh_biz_name} a-t-il travaillé dans l'entreprise familiale ?")</f>
        <v>Au cours d'une semaine normale dans les six derniers mois, combien de jours ${hoh_biz_name} a-t-il travaillé dans l'entreprise familiale ?</v>
      </c>
      <c r="I1370" s="152" t="str">
        <f>IFERROR(__xludf.DUMMYFUNCTION("TRIM(REGEXREPLACE(E1370, ""[0-9]+[a-f]?\."", """"))"),"A cikin mako guda a cikin watanni shida da suka gabata, kwanaki nawa ${hoh_biz_name} yayi aiki a cikin kasuwancin gida?")</f>
        <v>A cikin mako guda a cikin watanni shida da suka gabata, kwanaki nawa ${hoh_biz_name} yayi aiki a cikin kasuwancin gida?</v>
      </c>
      <c r="J1370" s="152" t="s">
        <v>9338</v>
      </c>
      <c r="K1370" s="152" t="s">
        <v>9339</v>
      </c>
      <c r="L1370" s="152" t="s">
        <v>9340</v>
      </c>
    </row>
    <row r="1371" hidden="1">
      <c r="A1371" s="174" t="s">
        <v>1015</v>
      </c>
      <c r="B1371" s="204" t="s">
        <v>9329</v>
      </c>
      <c r="C1371" s="28" t="s">
        <v>9330</v>
      </c>
      <c r="D1371" s="28"/>
      <c r="E1371" s="28"/>
    </row>
    <row r="1372" hidden="1">
      <c r="A1372" s="90" t="s">
        <v>134</v>
      </c>
      <c r="B1372" s="92" t="s">
        <v>9341</v>
      </c>
      <c r="C1372" s="28"/>
      <c r="D1372" s="28"/>
      <c r="E1372" s="28"/>
    </row>
    <row r="1373" hidden="1">
      <c r="A1373" s="90" t="s">
        <v>78</v>
      </c>
      <c r="B1373" s="92" t="s">
        <v>9342</v>
      </c>
      <c r="C1373" s="28"/>
      <c r="D1373" s="28"/>
      <c r="E1373" s="28"/>
    </row>
    <row r="1374">
      <c r="A1374" s="170" t="s">
        <v>263</v>
      </c>
      <c r="B1374" s="171" t="s">
        <v>9343</v>
      </c>
      <c r="C1374" s="28" t="s">
        <v>9344</v>
      </c>
      <c r="D1374" s="28" t="s">
        <v>9345</v>
      </c>
      <c r="E1374" s="28" t="s">
        <v>9346</v>
      </c>
      <c r="F1374" s="161">
        <v>637.0</v>
      </c>
      <c r="G1374" s="152" t="str">
        <f>IFERROR(__xludf.DUMMYFUNCTION("TRIM(REGEXREPLACE(C1374, ""[0-9]+[a-f]?\."", """"))"),"Thinking about all of the revenues from this business in the past six months, what was the total amount of money coming in from this business in the last six months?")</f>
        <v>Thinking about all of the revenues from this business in the past six months, what was the total amount of money coming in from this business in the last six months?</v>
      </c>
      <c r="H1374" s="152" t="str">
        <f>IFERROR(__xludf.DUMMYFUNCTION("TRIM(REGEXREPLACE(D1374, ""[0-9]+[a-f]?\."", """"))"),"En considérant tous les revenus de cette entreprise au cours des six derniers mois, quel a été le montant total des rentrées d'argent provenant de cette entreprise au cours des six derniers mois ?")</f>
        <v>En considérant tous les revenus de cette entreprise au cours des six derniers mois, quel a été le montant total des rentrées d'argent provenant de cette entreprise au cours des six derniers mois ?</v>
      </c>
      <c r="I1374" s="152" t="str">
        <f>IFERROR(__xludf.DUMMYFUNCTION("TRIM(REGEXREPLACE(E1374, ""[0-9]+[a-f]?\."", """"))"),"Idan aka yi la’akari da dukkan kuɗaɗen shiga da aka samu daga wannan sana’ar a cikin watanni shida da suka gabata, nawa ne yawan kuɗaɗen da aka samu daga wannan sana’ar a cikin watanni shida da suka gabata?")</f>
        <v>Idan aka yi la’akari da dukkan kuɗaɗen shiga da aka samu daga wannan sana’ar a cikin watanni shida da suka gabata, nawa ne yawan kuɗaɗen da aka samu daga wannan sana’ar a cikin watanni shida da suka gabata?</v>
      </c>
      <c r="J1374" s="152" t="s">
        <v>9347</v>
      </c>
      <c r="K1374" s="152" t="s">
        <v>9348</v>
      </c>
      <c r="L1374" s="152" t="s">
        <v>9349</v>
      </c>
    </row>
    <row r="1375">
      <c r="A1375" s="170" t="s">
        <v>263</v>
      </c>
      <c r="B1375" s="171" t="s">
        <v>9350</v>
      </c>
      <c r="C1375" s="28" t="s">
        <v>9351</v>
      </c>
      <c r="D1375" s="28" t="s">
        <v>9352</v>
      </c>
      <c r="E1375" s="28" t="s">
        <v>9353</v>
      </c>
      <c r="F1375" s="161">
        <v>638.0</v>
      </c>
      <c r="G1375" s="152" t="str">
        <f>IFERROR(__xludf.DUMMYFUNCTION("TRIM(REGEXREPLACE(C1375, ""[0-9]+[a-f]?\."", """"))"),"Thinking about all of the the expenses from this business, what was the total amount of money you spent on costs related to this business in the last six months?")</f>
        <v>Thinking about all of the the expenses from this business, what was the total amount of money you spent on costs related to this business in the last six months?</v>
      </c>
      <c r="H1375" s="152" t="str">
        <f>IFERROR(__xludf.DUMMYFUNCTION("TRIM(REGEXREPLACE(D1375, ""[0-9]+[a-f]?\."", """"))"),"En considérant toutes les dépenses de cette entreprise, quel a été le montant total des dépenses liées à cette entreprise au cours des six derniers mois ?")</f>
        <v>En considérant toutes les dépenses de cette entreprise, quel a été le montant total des dépenses liées à cette entreprise au cours des six derniers mois ?</v>
      </c>
      <c r="I1375" s="152" t="str">
        <f>IFERROR(__xludf.DUMMYFUNCTION("TRIM(REGEXREPLACE(E1375, ""[0-9]+[a-f]?\."", """"))"),"Idan aka yi la’akari da duk abin da aka kashe daga wannan kasuwancin, nawa ne jimlar kuɗin da kuka kashe akan farashi mai alaƙa da wannan kasuwancin a cikin watanni shida da suka gabata?")</f>
        <v>Idan aka yi la’akari da duk abin da aka kashe daga wannan kasuwancin, nawa ne jimlar kuɗin da kuka kashe akan farashi mai alaƙa da wannan kasuwancin a cikin watanni shida da suka gabata?</v>
      </c>
      <c r="J1375" s="152" t="s">
        <v>9354</v>
      </c>
      <c r="K1375" s="152" t="s">
        <v>9355</v>
      </c>
      <c r="L1375" s="152" t="s">
        <v>9356</v>
      </c>
    </row>
    <row r="1376" hidden="1">
      <c r="A1376" s="90" t="s">
        <v>78</v>
      </c>
      <c r="B1376" s="92" t="s">
        <v>9357</v>
      </c>
      <c r="C1376" s="28"/>
      <c r="D1376" s="28"/>
      <c r="E1376" s="28"/>
    </row>
    <row r="1377">
      <c r="A1377" s="68" t="s">
        <v>463</v>
      </c>
      <c r="B1377" s="169" t="s">
        <v>9358</v>
      </c>
      <c r="C1377" s="28" t="s">
        <v>9359</v>
      </c>
      <c r="D1377" s="28" t="s">
        <v>9360</v>
      </c>
      <c r="E1377" s="28" t="s">
        <v>9361</v>
      </c>
      <c r="F1377" s="161">
        <v>639.0</v>
      </c>
      <c r="G1377" s="152" t="str">
        <f>IFERROR(__xludf.DUMMYFUNCTION("TRIM(REGEXREPLACE(C1377, ""[0-9]+[a-f]?\."", """"))"),"Thinking about all the revenue and expense related to this business during the past six months, you said that the net income from this business for your household is ${hoh_biz_income}. Is that correct?")</f>
        <v>Thinking about all the revenue and expense related to this business during the past six months, you said that the net income from this business for your household is ${hoh_biz_income}. Is that correct?</v>
      </c>
      <c r="H1377" s="152" t="str">
        <f>IFERROR(__xludf.DUMMYFUNCTION("TRIM(REGEXREPLACE(D1377, ""[0-9]+[a-f]?\."", """"))"),"En considérant tous les revenus et dépenses liés à cette entreprise au cours des six derniers mois, vous avez indiqué que le revenu net de votre menage s'élevait à ${hoh_biz_income}. Est-ce exact ?")</f>
        <v>En considérant tous les revenus et dépenses liés à cette entreprise au cours des six derniers mois, vous avez indiqué que le revenu net de votre menage s'élevait à ${hoh_biz_income}. Est-ce exact ?</v>
      </c>
      <c r="I1377" s="152" t="str">
        <f>IFERROR(__xludf.DUMMYFUNCTION("TRIM(REGEXREPLACE(E1377, ""[0-9]+[a-f]?\."", """"))"),"Idan aka yi la'akari da duk kuɗaɗen shiga da kashewa da suka shafi wannan kasuwancin a cikin watanni shida da suka gabata, kun ce yawan kuɗin da aka samu daga wannan kasuwancin na gidan ku shine ${hoh_biz_income}. Shin hakan daidai ne?")</f>
        <v>Idan aka yi la'akari da duk kuɗaɗen shiga da kashewa da suka shafi wannan kasuwancin a cikin watanni shida da suka gabata, kun ce yawan kuɗin da aka samu daga wannan kasuwancin na gidan ku shine ${hoh_biz_income}. Shin hakan daidai ne?</v>
      </c>
      <c r="J1377" s="152" t="s">
        <v>9362</v>
      </c>
      <c r="K1377" s="152" t="s">
        <v>9363</v>
      </c>
      <c r="L1377" s="152" t="s">
        <v>9364</v>
      </c>
    </row>
    <row r="1378">
      <c r="A1378" s="166" t="s">
        <v>41</v>
      </c>
      <c r="B1378" s="167" t="s">
        <v>9365</v>
      </c>
      <c r="C1378" s="28" t="s">
        <v>9366</v>
      </c>
      <c r="D1378" s="28" t="s">
        <v>9367</v>
      </c>
      <c r="E1378" s="28" t="s">
        <v>9368</v>
      </c>
      <c r="F1378" s="161">
        <v>640.0</v>
      </c>
      <c r="G1378" s="152" t="str">
        <f>IFERROR(__xludf.DUMMYFUNCTION("TRIM(REGEXREPLACE(C1378, ""[0-9]+[a-f]?\."", """"))"),"We have discussed work done by members of your household in agriculture, in husbandry, in a business owned by your family.")</f>
        <v>We have discussed work done by members of your household in agriculture, in husbandry, in a business owned by your family.</v>
      </c>
      <c r="H1378" s="152" t="str">
        <f>IFERROR(__xludf.DUMMYFUNCTION("TRIM(REGEXREPLACE(D1378, ""[0-9]+[a-f]?\."", """"))"),"Nous avons discuté du travail effectué par les membres de votre ménage dans l'agriculture, l'élevage, dans une entreprise appartenant à votre famille.")</f>
        <v>Nous avons discuté du travail effectué par les membres de votre ménage dans l'agriculture, l'élevage, dans une entreprise appartenant à votre famille.</v>
      </c>
      <c r="I1378" s="152" t="str">
        <f>IFERROR(__xludf.DUMMYFUNCTION("TRIM(REGEXREPLACE(E1378, ""[0-9]+[a-f]?\."", """"))"),"“Mun tattauna bisa ayyukan da ƴan gidanku suka yi a harakar noma da kiwo, kasuwancin da ƴan gidanku suka mallaka.")</f>
        <v>“Mun tattauna bisa ayyukan da ƴan gidanku suka yi a harakar noma da kiwo, kasuwancin da ƴan gidanku suka mallaka.</v>
      </c>
      <c r="J1378" s="152" t="s">
        <v>9369</v>
      </c>
      <c r="K1378" s="152" t="s">
        <v>9370</v>
      </c>
      <c r="L1378" s="152" t="s">
        <v>9371</v>
      </c>
    </row>
    <row r="1379" hidden="1">
      <c r="A1379" s="90" t="s">
        <v>134</v>
      </c>
      <c r="B1379" s="92" t="s">
        <v>9372</v>
      </c>
      <c r="C1379" s="28"/>
      <c r="D1379" s="28"/>
      <c r="E1379" s="28"/>
    </row>
    <row r="1380" hidden="1">
      <c r="A1380" s="174" t="s">
        <v>698</v>
      </c>
      <c r="B1380" s="175" t="s">
        <v>9373</v>
      </c>
      <c r="C1380" s="28" t="s">
        <v>9374</v>
      </c>
      <c r="D1380" s="28" t="s">
        <v>9375</v>
      </c>
      <c r="E1380" s="28" t="s">
        <v>9376</v>
      </c>
    </row>
    <row r="1381" hidden="1">
      <c r="A1381" s="90" t="s">
        <v>78</v>
      </c>
      <c r="B1381" s="92" t="s">
        <v>9377</v>
      </c>
      <c r="C1381" s="28"/>
      <c r="D1381" s="28"/>
      <c r="E1381" s="28"/>
    </row>
    <row r="1382" hidden="1">
      <c r="A1382" s="90" t="s">
        <v>78</v>
      </c>
      <c r="B1382" s="92" t="s">
        <v>9378</v>
      </c>
      <c r="C1382" s="28"/>
      <c r="D1382" s="28"/>
      <c r="E1382" s="28"/>
    </row>
    <row r="1383">
      <c r="A1383" s="68" t="s">
        <v>463</v>
      </c>
      <c r="B1383" s="169" t="s">
        <v>9379</v>
      </c>
      <c r="C1383" s="28" t="s">
        <v>9380</v>
      </c>
      <c r="D1383" s="28" t="s">
        <v>9381</v>
      </c>
      <c r="E1383" s="28" t="s">
        <v>9382</v>
      </c>
      <c r="F1383" s="161">
        <v>641.0</v>
      </c>
      <c r="G1383" s="152" t="str">
        <f>IFERROR(__xludf.DUMMYFUNCTION("TRIM(REGEXREPLACE(C1383, ""[0-9]+[a-f]?\."", """"))"),"In the past six months, did ${hoh_member_act_name} earn money from any other activity?")</f>
        <v>In the past six months, did ${hoh_member_act_name} earn money from any other activity?</v>
      </c>
      <c r="H1383" s="152" t="str">
        <f>IFERROR(__xludf.DUMMYFUNCTION("TRIM(REGEXREPLACE(D1383, ""[0-9]+[a-f]?\."", """"))"),"Au cours des six derniers mois, ${hoh_member_act_name} a-t-il gagné de l'argent grâce à une autre activité ?")</f>
        <v>Au cours des six derniers mois, ${hoh_member_act_name} a-t-il gagné de l'argent grâce à une autre activité ?</v>
      </c>
      <c r="I1383" s="152" t="str">
        <f>IFERROR(__xludf.DUMMYFUNCTION("TRIM(REGEXREPLACE(E1383, ""[0-9]+[a-f]?\."", """"))"),"A cikin watanni shida da suka gabata, ${hoh_member_act_name} ya sami kuɗi daga wani aiki daban ?")</f>
        <v>A cikin watanni shida da suka gabata, ${hoh_member_act_name} ya sami kuɗi daga wani aiki daban ?</v>
      </c>
      <c r="J1383" s="152" t="s">
        <v>9383</v>
      </c>
      <c r="K1383" s="152" t="s">
        <v>9384</v>
      </c>
      <c r="L1383" s="152" t="s">
        <v>9385</v>
      </c>
    </row>
    <row r="1384">
      <c r="A1384" s="68" t="s">
        <v>4036</v>
      </c>
      <c r="B1384" s="169" t="s">
        <v>9387</v>
      </c>
      <c r="C1384" s="28" t="s">
        <v>9389</v>
      </c>
      <c r="D1384" s="28" t="s">
        <v>9390</v>
      </c>
      <c r="E1384" s="28" t="s">
        <v>9391</v>
      </c>
      <c r="F1384" s="161">
        <v>642.0</v>
      </c>
      <c r="G1384" s="152" t="str">
        <f>IFERROR(__xludf.DUMMYFUNCTION("TRIM(REGEXREPLACE(C1384, ""[0-9]+[a-f]?\."", """"))"),"What was the activity?")</f>
        <v>What was the activity?</v>
      </c>
      <c r="H1384" s="152" t="str">
        <f>IFERROR(__xludf.DUMMYFUNCTION("TRIM(REGEXREPLACE(D1384, ""[0-9]+[a-f]?\."", """"))"),"Quelle était l'activité ?")</f>
        <v>Quelle était l'activité ?</v>
      </c>
      <c r="I1384" s="152" t="str">
        <f>IFERROR(__xludf.DUMMYFUNCTION("TRIM(REGEXREPLACE(E1384, ""[0-9]+[a-f]?\."", """"))"),"Menene aikin?")</f>
        <v>Menene aikin?</v>
      </c>
      <c r="J1384" s="152" t="s">
        <v>9393</v>
      </c>
      <c r="K1384" s="152" t="s">
        <v>9394</v>
      </c>
      <c r="L1384" s="152" t="s">
        <v>9395</v>
      </c>
    </row>
    <row r="1385">
      <c r="A1385" s="179" t="s">
        <v>246</v>
      </c>
      <c r="B1385" s="180" t="s">
        <v>9396</v>
      </c>
      <c r="C1385" s="28" t="s">
        <v>9397</v>
      </c>
      <c r="D1385" s="28" t="s">
        <v>9398</v>
      </c>
      <c r="E1385" s="28" t="s">
        <v>9399</v>
      </c>
      <c r="F1385" s="161">
        <v>643.0</v>
      </c>
      <c r="G1385" s="152" t="str">
        <f>IFERROR(__xludf.DUMMYFUNCTION("TRIM(REGEXREPLACE(C1385, ""[0-9]+[a-f]?\."", """"))"),"Specify the activity")</f>
        <v>Specify the activity</v>
      </c>
      <c r="H1385" s="152" t="str">
        <f>IFERROR(__xludf.DUMMYFUNCTION("TRIM(REGEXREPLACE(D1385, ""[0-9]+[a-f]?\."", """"))"),"Précisez l'activité")</f>
        <v>Précisez l'activité</v>
      </c>
      <c r="I1385" s="152" t="str">
        <f>IFERROR(__xludf.DUMMYFUNCTION("TRIM(REGEXREPLACE(E1385, ""[0-9]+[a-f]?\."", """"))"),"Baiyana aikin")</f>
        <v>Baiyana aikin</v>
      </c>
      <c r="J1385" s="152" t="s">
        <v>9400</v>
      </c>
      <c r="K1385" s="152" t="s">
        <v>9401</v>
      </c>
      <c r="L1385" s="152" t="s">
        <v>9402</v>
      </c>
    </row>
    <row r="1386" hidden="1">
      <c r="A1386" s="90" t="s">
        <v>78</v>
      </c>
      <c r="B1386" s="92" t="s">
        <v>9403</v>
      </c>
      <c r="C1386" s="28"/>
      <c r="D1386" s="28"/>
      <c r="E1386" s="28"/>
    </row>
    <row r="1387">
      <c r="A1387" s="170" t="s">
        <v>263</v>
      </c>
      <c r="B1387" s="171" t="s">
        <v>9404</v>
      </c>
      <c r="C1387" s="28" t="s">
        <v>9405</v>
      </c>
      <c r="D1387" s="28" t="s">
        <v>9406</v>
      </c>
      <c r="E1387" s="28" t="s">
        <v>9407</v>
      </c>
      <c r="F1387" s="161">
        <v>644.0</v>
      </c>
      <c r="G1387" s="152" t="str">
        <f>IFERROR(__xludf.DUMMYFUNCTION("TRIM(REGEXREPLACE(C1387, ""[0-9]+[a-f]?\."", """"))"),"How much does ${hoh_member_act_name} earn from this activity during an average week (that they are engaged in ${hoh_member_other_activity_name})?")</f>
        <v>How much does ${hoh_member_act_name} earn from this activity during an average week (that they are engaged in ${hoh_member_other_activity_name})?</v>
      </c>
      <c r="H1387" s="152" t="str">
        <f>IFERROR(__xludf.DUMMYFUNCTION("TRIM(REGEXREPLACE(D1387, ""[0-9]+[a-f]?\."", """"))"),"Combien ${hoh_member_act_name} gagne-t-il grâce à cette activité au cours d'une semaine en moyenne (pendant laquelle il est engagé comme ${hoh_member_other_activity_name}) ?")</f>
        <v>Combien ${hoh_member_act_name} gagne-t-il grâce à cette activité au cours d'une semaine en moyenne (pendant laquelle il est engagé comme ${hoh_member_other_activity_name}) ?</v>
      </c>
      <c r="I1387" s="152" t="str">
        <f>IFERROR(__xludf.DUMMYFUNCTION("TRIM(REGEXREPLACE(E1387, ""[0-9]+[a-f]?\."", """"))"),"A takaice nawa ${hoh_member_act_name} yake samu daga wannan aiki a cikin sati (a lokacin da suke cikin aikin ${hoh_member_other_activity_name})?")</f>
        <v>A takaice nawa ${hoh_member_act_name} yake samu daga wannan aiki a cikin sati (a lokacin da suke cikin aikin ${hoh_member_other_activity_name})?</v>
      </c>
      <c r="J1387" s="152" t="s">
        <v>9408</v>
      </c>
      <c r="K1387" s="152" t="s">
        <v>9409</v>
      </c>
      <c r="L1387" s="152" t="s">
        <v>9410</v>
      </c>
    </row>
    <row r="1388">
      <c r="A1388" s="170" t="s">
        <v>263</v>
      </c>
      <c r="B1388" s="171" t="s">
        <v>9411</v>
      </c>
      <c r="C1388" s="28" t="s">
        <v>9412</v>
      </c>
      <c r="D1388" s="28" t="s">
        <v>9413</v>
      </c>
      <c r="E1388" s="28" t="s">
        <v>9414</v>
      </c>
      <c r="F1388" s="161">
        <v>645.0</v>
      </c>
      <c r="G1388" s="152" t="str">
        <f>IFERROR(__xludf.DUMMYFUNCTION("TRIM(REGEXREPLACE(C1388, ""[0-9]+[a-f]?\."", """"))"),"Think about the past six months how many weeks did they engage in ${hoh_member_other_activity_name}?")</f>
        <v>Think about the past six months how many weeks did they engage in ${hoh_member_other_activity_name}?</v>
      </c>
      <c r="H1388" s="152" t="str">
        <f>IFERROR(__xludf.DUMMYFUNCTION("TRIM(REGEXREPLACE(D1388, ""[0-9]+[a-f]?\."", """"))"),"Pensez aux six derniers mois, combien de semaines ont-ils consacrées à ${hoh_member_other_activity_name} ?")</f>
        <v>Pensez aux six derniers mois, combien de semaines ont-ils consacrées à ${hoh_member_other_activity_name} ?</v>
      </c>
      <c r="I1388" s="152" t="str">
        <f>IFERROR(__xludf.DUMMYFUNCTION("TRIM(REGEXREPLACE(E1388, ""[0-9]+[a-f]?\."", """"))"),"Ku tuna da lokacin da ${hoh_member_other_activity_name} a watanni shida da suka gabata tsawon makonni nawa suka yi wannan aikin ?")</f>
        <v>Ku tuna da lokacin da ${hoh_member_other_activity_name} a watanni shida da suka gabata tsawon makonni nawa suka yi wannan aikin ?</v>
      </c>
      <c r="J1388" s="152" t="s">
        <v>9415</v>
      </c>
      <c r="K1388" s="152" t="s">
        <v>9416</v>
      </c>
      <c r="L1388" s="152" t="s">
        <v>9417</v>
      </c>
    </row>
    <row r="1389">
      <c r="A1389" s="170" t="s">
        <v>263</v>
      </c>
      <c r="B1389" s="171" t="s">
        <v>9418</v>
      </c>
      <c r="C1389" s="28" t="s">
        <v>9419</v>
      </c>
      <c r="D1389" s="28" t="s">
        <v>9420</v>
      </c>
      <c r="E1389" s="28" t="s">
        <v>9421</v>
      </c>
      <c r="F1389" s="161">
        <v>646.0</v>
      </c>
      <c r="G1389" s="152" t="str">
        <f>IFERROR(__xludf.DUMMYFUNCTION("TRIM(REGEXREPLACE(C1389, ""[0-9]+[a-f]?\."", """"))"),"Can you estimate how much ${hoh_member_act_name} contributes to the household common pot in a typical week (excluding labor) including both cash and in goods?")</f>
        <v>Can you estimate how much ${hoh_member_act_name} contributes to the household common pot in a typical week (excluding labor) including both cash and in goods?</v>
      </c>
      <c r="H1389" s="152" t="str">
        <f>IFERROR(__xludf.DUMMYFUNCTION("TRIM(REGEXREPLACE(D1389, ""[0-9]+[a-f]?\."", """"))"),"Pouvez-vous estimer la contribution de ${hoh_member_act_name} au fond commun du ménage au cours d'une semaine normale (hors main-d'œuvre), y compris en espèces et en nature ?")</f>
        <v>Pouvez-vous estimer la contribution de ${hoh_member_act_name} au fond commun du ménage au cours d'une semaine normale (hors main-d'œuvre), y compris en espèces et en nature ?</v>
      </c>
      <c r="I1389" s="152" t="str">
        <f>IFERROR(__xludf.DUMMYFUNCTION("TRIM(REGEXREPLACE(E1389, ""[0-9]+[a-f]?\."", """"))"),"Ko za ku iya kimanta gudunmawar kuɗi da kaya da ${hoh_member_act_name} ya kawo gidan a cikin sati guda (banda aiki)?")</f>
        <v>Ko za ku iya kimanta gudunmawar kuɗi da kaya da ${hoh_member_act_name} ya kawo gidan a cikin sati guda (banda aiki)?</v>
      </c>
      <c r="J1389" s="152" t="s">
        <v>9423</v>
      </c>
      <c r="K1389" s="152" t="s">
        <v>9424</v>
      </c>
      <c r="L1389" s="152" t="s">
        <v>9425</v>
      </c>
    </row>
    <row r="1390" hidden="1">
      <c r="A1390" s="174" t="s">
        <v>1015</v>
      </c>
      <c r="B1390" s="204" t="s">
        <v>9373</v>
      </c>
      <c r="C1390" s="28" t="s">
        <v>9374</v>
      </c>
      <c r="D1390" s="28" t="s">
        <v>9375</v>
      </c>
      <c r="E1390" s="28" t="s">
        <v>9376</v>
      </c>
    </row>
    <row r="1391" hidden="1">
      <c r="A1391" s="90" t="s">
        <v>134</v>
      </c>
      <c r="B1391" s="92" t="s">
        <v>9426</v>
      </c>
      <c r="C1391" s="28"/>
      <c r="D1391" s="28"/>
      <c r="E1391" s="28"/>
    </row>
    <row r="1392" hidden="1">
      <c r="A1392" s="90" t="s">
        <v>78</v>
      </c>
      <c r="B1392" s="92" t="s">
        <v>9427</v>
      </c>
      <c r="C1392" s="28"/>
      <c r="D1392" s="28"/>
      <c r="E1392" s="28"/>
    </row>
    <row r="1393" hidden="1">
      <c r="A1393" s="221"/>
      <c r="B1393" s="222"/>
      <c r="C1393" s="28"/>
      <c r="D1393" s="28"/>
      <c r="E1393" s="28"/>
    </row>
    <row r="1394" hidden="1">
      <c r="A1394" s="140" t="s">
        <v>131</v>
      </c>
      <c r="B1394" s="164" t="s">
        <v>9428</v>
      </c>
      <c r="C1394" s="28" t="s">
        <v>9429</v>
      </c>
      <c r="D1394" s="28"/>
      <c r="E1394" s="28"/>
    </row>
    <row r="1395" hidden="1">
      <c r="A1395" s="90" t="s">
        <v>134</v>
      </c>
      <c r="B1395" s="92" t="s">
        <v>9430</v>
      </c>
      <c r="C1395" s="28"/>
      <c r="D1395" s="28"/>
      <c r="E1395" s="28"/>
    </row>
    <row r="1396">
      <c r="A1396" s="68" t="s">
        <v>4445</v>
      </c>
      <c r="B1396" s="169" t="s">
        <v>9431</v>
      </c>
      <c r="C1396" s="169" t="s">
        <v>9432</v>
      </c>
      <c r="D1396" s="169" t="s">
        <v>9433</v>
      </c>
      <c r="E1396" s="169" t="s">
        <v>9434</v>
      </c>
      <c r="F1396" s="161">
        <v>647.0</v>
      </c>
      <c r="G1396" s="152" t="str">
        <f>IFERROR(__xludf.DUMMYFUNCTION("TRIM(REGEXREPLACE(C1396, ""[0-9]+[a-f]?\."", """"))"),"Since Tabaski of last year (2024), has your household received money from ${pm_name} from locations outside your village through the following methods?")</f>
        <v>Since Tabaski of last year (2024), has your household received money from ${pm_name} from locations outside your village through the following methods?</v>
      </c>
      <c r="H1396" s="152" t="str">
        <f>IFERROR(__xludf.DUMMYFUNCTION("TRIM(REGEXREPLACE(D1396, ""[0-9]+[a-f]?\."", """"))"),"Depuis la Tabaski de l'année dernière (2024), votre menage a-t-il reçu de l'argent de ${pm_name} en dehors de votre village par les moyens suivants ?")</f>
        <v>Depuis la Tabaski de l'année dernière (2024), votre menage a-t-il reçu de l'argent de ${pm_name} en dehors de votre village par les moyens suivants ?</v>
      </c>
      <c r="I1396" s="152" t="str">
        <f>IFERROR(__xludf.DUMMYFUNCTION("TRIM(REGEXREPLACE(E1396, ""[0-9]+[a-f]?\."", """"))"),"Tun layya ta bara (2024), ko ƴan gidanku sun karɓi kuɗi daga ${pm_name} daga wajen ƙauyenku ta hanyoyi masu zuwa?")</f>
        <v>Tun layya ta bara (2024), ko ƴan gidanku sun karɓi kuɗi daga ${pm_name} daga wajen ƙauyenku ta hanyoyi masu zuwa?</v>
      </c>
      <c r="J1396" s="152" t="s">
        <v>9435</v>
      </c>
      <c r="K1396" s="152" t="s">
        <v>9436</v>
      </c>
      <c r="L1396" s="152" t="s">
        <v>9437</v>
      </c>
    </row>
    <row r="1397">
      <c r="A1397" s="170" t="s">
        <v>263</v>
      </c>
      <c r="B1397" s="171" t="s">
        <v>9438</v>
      </c>
      <c r="C1397" s="271" t="s">
        <v>9439</v>
      </c>
      <c r="D1397" s="271" t="s">
        <v>9440</v>
      </c>
      <c r="E1397" s="271" t="s">
        <v>9441</v>
      </c>
      <c r="F1397" s="161">
        <v>648.0</v>
      </c>
      <c r="G1397" s="152" t="str">
        <f>IFERROR(__xludf.DUMMYFUNCTION("TRIM(REGEXREPLACE(C1397, ""[0-9]+[a-f]?\."", """"))"),"How much have you received from ${pm_name} (in CFA) since tabaski last year?")</f>
        <v>How much have you received from ${pm_name} (in CFA) since tabaski last year?</v>
      </c>
      <c r="H1397" s="152" t="str">
        <f>IFERROR(__xludf.DUMMYFUNCTION("TRIM(REGEXREPLACE(D1397, ""[0-9]+[a-f]?\."", """"))"),"Combien avez-vous reçu de ${pm_name} (en francs CFA) depuis la Tabaski de l'année dernière?")</f>
        <v>Combien avez-vous reçu de ${pm_name} (en francs CFA) depuis la Tabaski de l'année dernière?</v>
      </c>
      <c r="I1397" s="152" t="str">
        <f>IFERROR(__xludf.DUMMYFUNCTION("TRIM(REGEXREPLACE(E1397, ""[0-9]+[a-f]?\."", """"))"),"Nawa kuka karɓa daga ${pm_name} (a ​​kuɗin CFA) tun tabaski bara?")</f>
        <v>Nawa kuka karɓa daga ${pm_name} (a ​​kuɗin CFA) tun tabaski bara?</v>
      </c>
      <c r="J1397" s="152" t="s">
        <v>9442</v>
      </c>
      <c r="K1397" s="152" t="s">
        <v>9443</v>
      </c>
      <c r="L1397" s="152" t="s">
        <v>9444</v>
      </c>
    </row>
    <row r="1398">
      <c r="A1398" s="68" t="s">
        <v>4445</v>
      </c>
      <c r="B1398" s="169" t="s">
        <v>9445</v>
      </c>
      <c r="C1398" s="169" t="s">
        <v>9446</v>
      </c>
      <c r="D1398" s="169" t="s">
        <v>9447</v>
      </c>
      <c r="E1398" s="169" t="s">
        <v>9448</v>
      </c>
      <c r="F1398" s="161">
        <v>649.0</v>
      </c>
      <c r="G1398" s="152" t="str">
        <f>IFERROR(__xludf.DUMMYFUNCTION("TRIM(REGEXREPLACE(C1398, ""[0-9]+[a-f]?\."", """"))"),"Since Tabaski of last year (2024), has your household received money from other members (not including ${pm_name}) from locations outside your village through the following methods?")</f>
        <v>Since Tabaski of last year (2024), has your household received money from other members (not including ${pm_name}) from locations outside your village through the following methods?</v>
      </c>
      <c r="H1398" s="152" t="str">
        <f>IFERROR(__xludf.DUMMYFUNCTION("TRIM(REGEXREPLACE(D1398, ""[0-9]+[a-f]?\."", """"))"),"Depuis la Tabaski de l'année dernière (2024), votre menage a-t-il reçu de l'argent d'autres personnes (hors ${pm_name}) provenant de lieux extérieurs à votre village par les moyens suivants ?")</f>
        <v>Depuis la Tabaski de l'année dernière (2024), votre menage a-t-il reçu de l'argent d'autres personnes (hors ${pm_name}) provenant de lieux extérieurs à votre village par les moyens suivants ?</v>
      </c>
      <c r="I1398" s="152" t="str">
        <f>IFERROR(__xludf.DUMMYFUNCTION("TRIM(REGEXREPLACE(E1398, ""[0-9]+[a-f]?\."", """"))"),"Tun daga laiya na shekarar bara (2024), ƴan gidan ku sun karɓi kuɗi daga wasu mutanin (ba tare da ${pm_name} ba) daga wajen ƙauyenku ta hanyoyi masu zuwa?")</f>
        <v>Tun daga laiya na shekarar bara (2024), ƴan gidan ku sun karɓi kuɗi daga wasu mutanin (ba tare da ${pm_name} ba) daga wajen ƙauyenku ta hanyoyi masu zuwa?</v>
      </c>
      <c r="J1398" s="152" t="s">
        <v>9449</v>
      </c>
      <c r="K1398" s="152" t="s">
        <v>9450</v>
      </c>
      <c r="L1398" s="152" t="s">
        <v>9451</v>
      </c>
    </row>
    <row r="1399">
      <c r="A1399" s="170" t="s">
        <v>263</v>
      </c>
      <c r="B1399" s="171" t="s">
        <v>9452</v>
      </c>
      <c r="C1399" s="28" t="s">
        <v>9453</v>
      </c>
      <c r="D1399" s="28" t="s">
        <v>9454</v>
      </c>
      <c r="E1399" s="28" t="s">
        <v>9455</v>
      </c>
      <c r="F1399" s="161">
        <v>650.0</v>
      </c>
      <c r="G1399" s="152" t="str">
        <f>IFERROR(__xludf.DUMMYFUNCTION("TRIM(REGEXREPLACE(C1399, ""[0-9]+[a-f]?\."", """"))"),"How much have you received from other members of the household (in CFA)?")</f>
        <v>How much have you received from other members of the household (in CFA)?</v>
      </c>
      <c r="H1399" s="152" t="str">
        <f>IFERROR(__xludf.DUMMYFUNCTION("TRIM(REGEXREPLACE(D1399, ""[0-9]+[a-f]?\."", """"))"),"Combien avez-vous reçu d'autres membres du menage (en francs CFA) depuis la Tabaski de l'année dernière?")</f>
        <v>Combien avez-vous reçu d'autres membres du menage (en francs CFA) depuis la Tabaski de l'année dernière?</v>
      </c>
      <c r="I1399" s="152" t="str">
        <f>IFERROR(__xludf.DUMMYFUNCTION("TRIM(REGEXREPLACE(E1399, ""[0-9]+[a-f]?\."", """"))"),"Nawa kuka karɓa daga sauran membobin gidan (a cikin CFA) tun tabaski bara?")</f>
        <v>Nawa kuka karɓa daga sauran membobin gidan (a cikin CFA) tun tabaski bara?</v>
      </c>
      <c r="J1399" s="152" t="s">
        <v>9456</v>
      </c>
      <c r="K1399" s="152" t="s">
        <v>9457</v>
      </c>
      <c r="L1399" s="152" t="s">
        <v>9458</v>
      </c>
    </row>
    <row r="1400">
      <c r="A1400" s="68" t="s">
        <v>2625</v>
      </c>
      <c r="B1400" s="169" t="s">
        <v>9459</v>
      </c>
      <c r="C1400" s="28" t="s">
        <v>9460</v>
      </c>
      <c r="D1400" s="28" t="s">
        <v>9461</v>
      </c>
      <c r="E1400" s="28" t="s">
        <v>9463</v>
      </c>
      <c r="F1400" s="161">
        <v>651.0</v>
      </c>
      <c r="G1400" s="152" t="str">
        <f>IFERROR(__xludf.DUMMYFUNCTION("TRIM(REGEXREPLACE(C1400, ""[0-9]+[a-f]?\."", """"))"),"In the past six months, have you or anyone in your household received money from someone who is not a member of your household and who lives elsewhere in Niger (outside your village)?")</f>
        <v>In the past six months, have you or anyone in your household received money from someone who is not a member of your household and who lives elsewhere in Niger (outside your village)?</v>
      </c>
      <c r="H1400" s="152" t="str">
        <f>IFERROR(__xludf.DUMMYFUNCTION("TRIM(REGEXREPLACE(D1400, ""[0-9]+[a-f]?\."", """"))"),"Au cours des six derniers mois, avez-vous, vous ou un membre de votre menage, reçu de l'argent d'une personne extérieure à votre menage et résidant ailleurs au Niger (hors de votre village) ?")</f>
        <v>Au cours des six derniers mois, avez-vous, vous ou un membre de votre menage, reçu de l'argent d'une personne extérieure à votre menage et résidant ailleurs au Niger (hors de votre village) ?</v>
      </c>
      <c r="I1400" s="152" t="str">
        <f>IFERROR(__xludf.DUMMYFUNCTION("TRIM(REGEXREPLACE(E1400, ""[0-9]+[a-f]?\."", """"))"),"A cikin watanni shida da suka gabata, kai ko wani a cikin gidan ku kun karɓi kuɗi daga wanda ba ɗan gidanku ba ne kuma yana zaune a wani wuri a Nijar (a wajen ƙauyenku)?")</f>
        <v>A cikin watanni shida da suka gabata, kai ko wani a cikin gidan ku kun karɓi kuɗi daga wanda ba ɗan gidanku ba ne kuma yana zaune a wani wuri a Nijar (a wajen ƙauyenku)?</v>
      </c>
      <c r="J1400" s="152" t="s">
        <v>9464</v>
      </c>
      <c r="K1400" s="152" t="s">
        <v>9465</v>
      </c>
      <c r="L1400" s="152" t="s">
        <v>9466</v>
      </c>
    </row>
    <row r="1401">
      <c r="A1401" s="170" t="s">
        <v>263</v>
      </c>
      <c r="B1401" s="171" t="s">
        <v>9467</v>
      </c>
      <c r="C1401" s="28" t="s">
        <v>9468</v>
      </c>
      <c r="D1401" s="28" t="s">
        <v>9469</v>
      </c>
      <c r="E1401" s="28" t="s">
        <v>9470</v>
      </c>
      <c r="F1401" s="161">
        <v>652.0</v>
      </c>
      <c r="G1401" s="152" t="str">
        <f>IFERROR(__xludf.DUMMYFUNCTION("TRIM(REGEXREPLACE(C1401, ""[0-9]+[a-f]?\."", """"))"),"How much in total did members of your household receive from people elsewhere in Niger (in CFA)?")</f>
        <v>How much in total did members of your household receive from people elsewhere in Niger (in CFA)?</v>
      </c>
      <c r="H1401" s="152" t="str">
        <f>IFERROR(__xludf.DUMMYFUNCTION("TRIM(REGEXREPLACE(D1401, ""[0-9]+[a-f]?\."", """"))"),"Combien au total les membres de votre ménage ont-ils reçu des personnes qui sont quelques part au Niger (en USD)?")</f>
        <v>Combien au total les membres de votre ménage ont-ils reçu des personnes qui sont quelques part au Niger (en USD)?</v>
      </c>
      <c r="I1401" s="152" t="str">
        <f>IFERROR(__xludf.DUMMYFUNCTION("TRIM(REGEXREPLACE(E1401, ""[0-9]+[a-f]?\."", """"))"),"Nawa ne ƴan gidanku suka samu daga wasu matanen da ke wani gari a Nijar (in CFA)?")</f>
        <v>Nawa ne ƴan gidanku suka samu daga wasu matanen da ke wani gari a Nijar (in CFA)?</v>
      </c>
      <c r="J1401" s="152" t="s">
        <v>9471</v>
      </c>
      <c r="K1401" s="152" t="s">
        <v>9472</v>
      </c>
      <c r="L1401" s="152" t="s">
        <v>9473</v>
      </c>
    </row>
    <row r="1402">
      <c r="A1402" s="68" t="s">
        <v>4445</v>
      </c>
      <c r="B1402" s="169" t="s">
        <v>9474</v>
      </c>
      <c r="C1402" s="28" t="s">
        <v>9475</v>
      </c>
      <c r="D1402" s="28" t="s">
        <v>9476</v>
      </c>
      <c r="E1402" s="28" t="s">
        <v>9477</v>
      </c>
      <c r="F1402" s="161">
        <v>653.0</v>
      </c>
      <c r="G1402" s="152" t="str">
        <f>IFERROR(__xludf.DUMMYFUNCTION("TRIM(REGEXREPLACE(C1402, ""[0-9]+[a-f]?\."", """"))"),"How was this money transmitted to your household?")</f>
        <v>How was this money transmitted to your household?</v>
      </c>
      <c r="H1402" s="152" t="str">
        <f>IFERROR(__xludf.DUMMYFUNCTION("TRIM(REGEXREPLACE(D1402, ""[0-9]+[a-f]?\."", """"))"),"Comment cet argent a-t-il été envoyé à votre ménage ?")</f>
        <v>Comment cet argent a-t-il été envoyé à votre ménage ?</v>
      </c>
      <c r="I1402" s="152" t="str">
        <f>IFERROR(__xludf.DUMMYFUNCTION("TRIM(REGEXREPLACE(E1402, ""[0-9]+[a-f]?\."", """"))"),"Ta wace hanya aka aikawa gidanku wannan kuɗin ?")</f>
        <v>Ta wace hanya aka aikawa gidanku wannan kuɗin ?</v>
      </c>
      <c r="J1402" s="152" t="s">
        <v>9478</v>
      </c>
      <c r="K1402" s="152" t="s">
        <v>9479</v>
      </c>
      <c r="L1402" s="152" t="s">
        <v>9480</v>
      </c>
    </row>
    <row r="1403">
      <c r="A1403" s="179" t="s">
        <v>246</v>
      </c>
      <c r="B1403" s="180" t="s">
        <v>9481</v>
      </c>
      <c r="C1403" s="28" t="s">
        <v>7857</v>
      </c>
      <c r="D1403" s="28" t="s">
        <v>9482</v>
      </c>
      <c r="E1403" s="28" t="s">
        <v>7859</v>
      </c>
      <c r="F1403" s="161">
        <v>654.0</v>
      </c>
      <c r="G1403" s="152" t="str">
        <f>IFERROR(__xludf.DUMMYFUNCTION("TRIM(REGEXREPLACE(C1403, ""[0-9]+[a-f]?\."", """"))"),"Specify other transfer method")</f>
        <v>Specify other transfer method</v>
      </c>
      <c r="H1403" s="152" t="str">
        <f>IFERROR(__xludf.DUMMYFUNCTION("TRIM(REGEXREPLACE(D1403, ""[0-9]+[a-f]?\."", """"))"),"Précisez la méthode du transfert")</f>
        <v>Précisez la méthode du transfert</v>
      </c>
      <c r="I1403" s="152" t="str">
        <f>IFERROR(__xludf.DUMMYFUNCTION("TRIM(REGEXREPLACE(E1403, ""[0-9]+[a-f]?\."", """"))"),"Wani daban a Bayyana")</f>
        <v>Wani daban a Bayyana</v>
      </c>
      <c r="J1403" s="152" t="s">
        <v>9483</v>
      </c>
      <c r="K1403" s="152" t="s">
        <v>9484</v>
      </c>
      <c r="L1403" s="152" t="s">
        <v>9485</v>
      </c>
    </row>
    <row r="1404">
      <c r="A1404" s="68" t="s">
        <v>2625</v>
      </c>
      <c r="B1404" s="169" t="s">
        <v>9486</v>
      </c>
      <c r="C1404" s="28" t="s">
        <v>9487</v>
      </c>
      <c r="D1404" s="28" t="s">
        <v>9488</v>
      </c>
      <c r="E1404" s="28" t="s">
        <v>9489</v>
      </c>
      <c r="F1404" s="161">
        <v>655.0</v>
      </c>
      <c r="G1404" s="152" t="str">
        <f>IFERROR(__xludf.DUMMYFUNCTION("TRIM(REGEXREPLACE(C1404, ""[0-9]+[a-f]?\."", """"))"),"In the past six months, have you or anyone in your household received goods (payment in kind) from someone who is not a member of your household and who lives elsewhere in Niger (outside your village)?")</f>
        <v>In the past six months, have you or anyone in your household received goods (payment in kind) from someone who is not a member of your household and who lives elsewhere in Niger (outside your village)?</v>
      </c>
      <c r="H1404" s="152" t="str">
        <f>IFERROR(__xludf.DUMMYFUNCTION("TRIM(REGEXREPLACE(D1404, ""[0-9]+[a-f]?\."", """"))"),"Au cours des six derniers mois, avez-vous, vous ou un membre de votre foyer, reçu des biens (paiement en nature) d'une personne extérieure à votre menage et résidant ailleurs au Niger (hors de votre village) ?")</f>
        <v>Au cours des six derniers mois, avez-vous, vous ou un membre de votre foyer, reçu des biens (paiement en nature) d'une personne extérieure à votre menage et résidant ailleurs au Niger (hors de votre village) ?</v>
      </c>
      <c r="I1404" s="152" t="str">
        <f>IFERROR(__xludf.DUMMYFUNCTION("TRIM(REGEXREPLACE(E1404, ""[0-9]+[a-f]?\."", """"))"),"A cikin watanni shida da suka gabata, kai ko wani a cikin gidan ku kun karɓi kaya (biya daga kaya) daga wanda ba ɗan gidanku ba ne kuma yana zaune a wani wuri a Nijar (a wajen ƙauyenku)?")</f>
        <v>A cikin watanni shida da suka gabata, kai ko wani a cikin gidan ku kun karɓi kaya (biya daga kaya) daga wanda ba ɗan gidanku ba ne kuma yana zaune a wani wuri a Nijar (a wajen ƙauyenku)?</v>
      </c>
      <c r="J1404" s="152" t="s">
        <v>9490</v>
      </c>
      <c r="K1404" s="152" t="s">
        <v>9491</v>
      </c>
      <c r="L1404" s="152" t="s">
        <v>9492</v>
      </c>
    </row>
    <row r="1405">
      <c r="A1405" s="170" t="s">
        <v>263</v>
      </c>
      <c r="B1405" s="171" t="s">
        <v>9494</v>
      </c>
      <c r="C1405" s="28" t="s">
        <v>9495</v>
      </c>
      <c r="D1405" s="28" t="s">
        <v>9496</v>
      </c>
      <c r="E1405" s="28" t="s">
        <v>9497</v>
      </c>
      <c r="F1405" s="161">
        <v>656.0</v>
      </c>
      <c r="G1405" s="152" t="str">
        <f>IFERROR(__xludf.DUMMYFUNCTION("TRIM(REGEXREPLACE(C1405, ""[0-9]+[a-f]?\."", """"))"),"What was the value of the goods members of your household receive from people elsewhere in Niger (in CFA)?")</f>
        <v>What was the value of the goods members of your household receive from people elsewhere in Niger (in CFA)?</v>
      </c>
      <c r="H1405" s="152" t="str">
        <f>IFERROR(__xludf.DUMMYFUNCTION("TRIM(REGEXREPLACE(D1405, ""[0-9]+[a-f]?\."", """"))"),"Quel était la valeur au totale des biens que les membres de votre ménage ont reçu des personnes qui sont quelques part au Niger 
 (en USD)?")</f>
        <v>Quel était la valeur au totale des biens que les membres de votre ménage ont reçu des personnes qui sont quelques part au Niger 
 (en USD)?</v>
      </c>
      <c r="I1405" s="152" t="str">
        <f>IFERROR(__xludf.DUMMYFUNCTION("TRIM(REGEXREPLACE(E1405, ""[0-9]+[a-f]?\."", """"))"),"Nawa kimar kayayyakin da ƴan gidanku suka karba daga wasu mutane a wasu wurare a Nijar (in CFA)?")</f>
        <v>Nawa kimar kayayyakin da ƴan gidanku suka karba daga wasu mutane a wasu wurare a Nijar (in CFA)?</v>
      </c>
      <c r="J1405" s="152" t="s">
        <v>9498</v>
      </c>
      <c r="K1405" s="152" t="s">
        <v>9499</v>
      </c>
      <c r="L1405" s="152" t="s">
        <v>9500</v>
      </c>
    </row>
    <row r="1406">
      <c r="A1406" s="68" t="s">
        <v>9501</v>
      </c>
      <c r="B1406" s="169" t="s">
        <v>9502</v>
      </c>
      <c r="C1406" s="28" t="s">
        <v>9503</v>
      </c>
      <c r="D1406" s="28" t="s">
        <v>9504</v>
      </c>
      <c r="E1406" s="28" t="s">
        <v>9505</v>
      </c>
      <c r="F1406" s="161">
        <v>657.0</v>
      </c>
      <c r="G1406" s="152" t="str">
        <f>IFERROR(__xludf.DUMMYFUNCTION("TRIM(REGEXREPLACE(C1406, ""[0-9]+[a-f]?\."", """"))"),"How were these goods transmitted to your household?")</f>
        <v>How were these goods transmitted to your household?</v>
      </c>
      <c r="H1406" s="152" t="str">
        <f>IFERROR(__xludf.DUMMYFUNCTION("TRIM(REGEXREPLACE(D1406, ""[0-9]+[a-f]?\."", """"))"),"Comment ces biens ont-ils été envoyé à votre ménage ?")</f>
        <v>Comment ces biens ont-ils été envoyé à votre ménage ?</v>
      </c>
      <c r="I1406" s="152" t="str">
        <f>IFERROR(__xludf.DUMMYFUNCTION("TRIM(REGEXREPLACE(E1406, ""[0-9]+[a-f]?\."", """"))"),"Ta yaya aka aika waɗannan kayayyakin zuwa gidanku?")</f>
        <v>Ta yaya aka aika waɗannan kayayyakin zuwa gidanku?</v>
      </c>
      <c r="J1406" s="152" t="s">
        <v>9506</v>
      </c>
      <c r="K1406" s="152" t="s">
        <v>9507</v>
      </c>
      <c r="L1406" s="152" t="s">
        <v>9508</v>
      </c>
    </row>
    <row r="1407">
      <c r="A1407" s="179" t="s">
        <v>246</v>
      </c>
      <c r="B1407" s="180" t="s">
        <v>9509</v>
      </c>
      <c r="C1407" s="28" t="s">
        <v>9510</v>
      </c>
      <c r="D1407" s="28" t="s">
        <v>9511</v>
      </c>
      <c r="E1407" s="28" t="s">
        <v>9512</v>
      </c>
      <c r="F1407" s="161">
        <v>658.0</v>
      </c>
      <c r="G1407" s="152" t="str">
        <f>IFERROR(__xludf.DUMMYFUNCTION("TRIM(REGEXREPLACE(C1407, ""[0-9]+[a-f]?\."", """"))"),"Specify other transfer method")</f>
        <v>Specify other transfer method</v>
      </c>
      <c r="H1407" s="152" t="str">
        <f>IFERROR(__xludf.DUMMYFUNCTION("TRIM(REGEXREPLACE(D1407, ""[0-9]+[a-f]?\."", """"))"),"Précisez la méthode du transfert")</f>
        <v>Précisez la méthode du transfert</v>
      </c>
      <c r="I1407" s="152" t="str">
        <f>IFERROR(__xludf.DUMMYFUNCTION("TRIM(REGEXREPLACE(E1407, ""[0-9]+[a-f]?\."", """"))"),"Wani daban a Bayyana")</f>
        <v>Wani daban a Bayyana</v>
      </c>
      <c r="J1407" s="152" t="s">
        <v>9513</v>
      </c>
      <c r="K1407" s="152" t="s">
        <v>9514</v>
      </c>
      <c r="L1407" s="152" t="s">
        <v>9515</v>
      </c>
    </row>
    <row r="1408">
      <c r="A1408" s="68" t="s">
        <v>2625</v>
      </c>
      <c r="B1408" s="169" t="s">
        <v>9516</v>
      </c>
      <c r="C1408" s="28" t="s">
        <v>9517</v>
      </c>
      <c r="D1408" s="28" t="s">
        <v>9518</v>
      </c>
      <c r="E1408" s="28" t="s">
        <v>9519</v>
      </c>
      <c r="F1408" s="161">
        <v>659.0</v>
      </c>
      <c r="G1408" s="152" t="str">
        <f>IFERROR(__xludf.DUMMYFUNCTION("TRIM(REGEXREPLACE(C1408, ""[0-9]+[a-f]?\."", """"))"),"In the past six months, have you or anyone in your household received money from someone who is not a member of your household and who lives in a foreign country (outside of Niger)?")</f>
        <v>In the past six months, have you or anyone in your household received money from someone who is not a member of your household and who lives in a foreign country (outside of Niger)?</v>
      </c>
      <c r="H1408" s="152" t="str">
        <f>IFERROR(__xludf.DUMMYFUNCTION("TRIM(REGEXREPLACE(D1408, ""[0-9]+[a-f]?\."", """"))"),"Au cours des six derniers mois, avez-vous, ou un membre de votre menage, reçu de l'argent d'une personne extérieure à votre menage et résidant à l'étranger (hors du Niger) ?")</f>
        <v>Au cours des six derniers mois, avez-vous, ou un membre de votre menage, reçu de l'argent d'une personne extérieure à votre menage et résidant à l'étranger (hors du Niger) ?</v>
      </c>
      <c r="I1408" s="152" t="str">
        <f>IFERROR(__xludf.DUMMYFUNCTION("TRIM(REGEXREPLACE(E1408, ""[0-9]+[a-f]?\."", """"))"),"A cikin watanni shida da suka gabata, kai ko wani a cikin gidanku ya sami kuɗi daga wani wanda ba dan gidan ku ba kuma yana zaune a wata ƙasa (wajen Nijar)?")</f>
        <v>A cikin watanni shida da suka gabata, kai ko wani a cikin gidanku ya sami kuɗi daga wani wanda ba dan gidan ku ba kuma yana zaune a wata ƙasa (wajen Nijar)?</v>
      </c>
      <c r="J1408" s="152" t="s">
        <v>9520</v>
      </c>
      <c r="K1408" s="152" t="s">
        <v>9521</v>
      </c>
      <c r="L1408" s="152" t="s">
        <v>9522</v>
      </c>
    </row>
    <row r="1409">
      <c r="A1409" s="170" t="s">
        <v>263</v>
      </c>
      <c r="B1409" s="171" t="s">
        <v>9523</v>
      </c>
      <c r="C1409" s="28" t="s">
        <v>9524</v>
      </c>
      <c r="D1409" s="28" t="s">
        <v>9525</v>
      </c>
      <c r="E1409" s="28" t="s">
        <v>9526</v>
      </c>
      <c r="F1409" s="161">
        <v>660.0</v>
      </c>
      <c r="G1409" s="152" t="str">
        <f>IFERROR(__xludf.DUMMYFUNCTION("TRIM(REGEXREPLACE(C1409, ""[0-9]+[a-f]?\."", """"))"),"How much in total did members of your household receive from people out of Niger?")</f>
        <v>How much in total did members of your household receive from people out of Niger?</v>
      </c>
      <c r="H1409" s="152" t="str">
        <f>IFERROR(__xludf.DUMMYFUNCTION("TRIM(REGEXREPLACE(D1409, ""[0-9]+[a-f]?\."", """"))"),"Combien au total les membres de votre ménage ont-ils reçu des personnes qui ne sont pas au Niger ?")</f>
        <v>Combien au total les membres de votre ménage ont-ils reçu des personnes qui ne sont pas au Niger ?</v>
      </c>
      <c r="I1409" s="152" t="str">
        <f>IFERROR(__xludf.DUMMYFUNCTION("TRIM(REGEXREPLACE(E1409, ""[0-9]+[a-f]?\."", """"))"),"Nawa ne yan gidanku ya samu daga mutanen da ke zaune a ƙasar waje ba Nijar ba?")</f>
        <v>Nawa ne yan gidanku ya samu daga mutanen da ke zaune a ƙasar waje ba Nijar ba?</v>
      </c>
      <c r="J1409" s="152" t="s">
        <v>9527</v>
      </c>
      <c r="K1409" s="152" t="s">
        <v>9528</v>
      </c>
      <c r="L1409" s="152" t="s">
        <v>9529</v>
      </c>
    </row>
    <row r="1410">
      <c r="A1410" s="68" t="s">
        <v>4445</v>
      </c>
      <c r="B1410" s="169" t="s">
        <v>9530</v>
      </c>
      <c r="C1410" s="28" t="s">
        <v>9531</v>
      </c>
      <c r="D1410" s="28" t="s">
        <v>9532</v>
      </c>
      <c r="E1410" s="28" t="s">
        <v>9533</v>
      </c>
      <c r="F1410" s="161">
        <v>661.0</v>
      </c>
      <c r="G1410" s="152" t="str">
        <f>IFERROR(__xludf.DUMMYFUNCTION("TRIM(REGEXREPLACE(C1410, ""[0-9]+[a-f]?\."", """"))"),"How was this money transmitted to your household?")</f>
        <v>How was this money transmitted to your household?</v>
      </c>
      <c r="H1410" s="152" t="str">
        <f>IFERROR(__xludf.DUMMYFUNCTION("TRIM(REGEXREPLACE(D1410, ""[0-9]+[a-f]?\."", """"))"),"Comment cet argent a-t-il été envoyé à votre ménage ?")</f>
        <v>Comment cet argent a-t-il été envoyé à votre ménage ?</v>
      </c>
      <c r="I1410" s="152" t="str">
        <f>IFERROR(__xludf.DUMMYFUNCTION("TRIM(REGEXREPLACE(E1410, ""[0-9]+[a-f]?\."", """"))"),"Ta wace hanya aka aikawa gidanku wannan kuɗin ?")</f>
        <v>Ta wace hanya aka aikawa gidanku wannan kuɗin ?</v>
      </c>
      <c r="J1410" s="152" t="s">
        <v>9534</v>
      </c>
      <c r="K1410" s="152" t="s">
        <v>9535</v>
      </c>
      <c r="L1410" s="152" t="s">
        <v>9536</v>
      </c>
    </row>
    <row r="1411">
      <c r="A1411" s="179" t="s">
        <v>246</v>
      </c>
      <c r="B1411" s="180" t="s">
        <v>9537</v>
      </c>
      <c r="C1411" s="28" t="s">
        <v>9538</v>
      </c>
      <c r="D1411" s="28" t="s">
        <v>9539</v>
      </c>
      <c r="E1411" s="28" t="s">
        <v>9540</v>
      </c>
      <c r="F1411" s="161">
        <v>662.0</v>
      </c>
      <c r="G1411" s="152" t="str">
        <f>IFERROR(__xludf.DUMMYFUNCTION("TRIM(REGEXREPLACE(C1411, ""[0-9]+[a-f]?\."", """"))"),"Specify other transfer method")</f>
        <v>Specify other transfer method</v>
      </c>
      <c r="H1411" s="152" t="str">
        <f>IFERROR(__xludf.DUMMYFUNCTION("TRIM(REGEXREPLACE(D1411, ""[0-9]+[a-f]?\."", """"))"),"Précisez la méthode du transfert")</f>
        <v>Précisez la méthode du transfert</v>
      </c>
      <c r="I1411" s="152" t="str">
        <f>IFERROR(__xludf.DUMMYFUNCTION("TRIM(REGEXREPLACE(E1411, ""[0-9]+[a-f]?\."", """"))"),"Wani daban a Bayyana")</f>
        <v>Wani daban a Bayyana</v>
      </c>
      <c r="J1411" s="152" t="s">
        <v>9541</v>
      </c>
      <c r="K1411" s="152" t="s">
        <v>9542</v>
      </c>
      <c r="L1411" s="152" t="s">
        <v>9543</v>
      </c>
    </row>
    <row r="1412">
      <c r="A1412" s="68" t="s">
        <v>2625</v>
      </c>
      <c r="B1412" s="169" t="s">
        <v>9544</v>
      </c>
      <c r="C1412" s="28" t="s">
        <v>9545</v>
      </c>
      <c r="D1412" s="28" t="s">
        <v>9546</v>
      </c>
      <c r="E1412" s="28" t="s">
        <v>9547</v>
      </c>
      <c r="F1412" s="161">
        <v>663.0</v>
      </c>
      <c r="G1412" s="152" t="str">
        <f>IFERROR(__xludf.DUMMYFUNCTION("TRIM(REGEXREPLACE(C1412, ""[0-9]+[a-f]?\."", """"))"),"In the past six months, have you or anyone in your household received goods (payment in kind) from someone who is not a member of your household and who lives in a foreign country (outside of Niger)?")</f>
        <v>In the past six months, have you or anyone in your household received goods (payment in kind) from someone who is not a member of your household and who lives in a foreign country (outside of Niger)?</v>
      </c>
      <c r="H1412" s="152" t="str">
        <f>IFERROR(__xludf.DUMMYFUNCTION("TRIM(REGEXREPLACE(D1412, ""[0-9]+[a-f]?\."", """"))"),"Au cours des six derniers mois, avez-vous, vous ou un membre de votre menage, reçu des biens (paiement en nature) d'une personne extérieure à votre menage et résidant à l'étranger (hors du Niger) ?")</f>
        <v>Au cours des six derniers mois, avez-vous, vous ou un membre de votre menage, reçu des biens (paiement en nature) d'une personne extérieure à votre menage et résidant à l'étranger (hors du Niger) ?</v>
      </c>
      <c r="I1412" s="152" t="str">
        <f>IFERROR(__xludf.DUMMYFUNCTION("TRIM(REGEXREPLACE(E1412, ""[0-9]+[a-f]?\."", """"))"),"A cikin watanni shida da suka gabata, kai ko wani a cikin gidanku ya sami kaya (biyan daga kaya ) daga wanda ba ɗan gidanku ba ne kuma yana zaune a wata ƙasa (wajen Nijar)?")</f>
        <v>A cikin watanni shida da suka gabata, kai ko wani a cikin gidanku ya sami kaya (biyan daga kaya ) daga wanda ba ɗan gidanku ba ne kuma yana zaune a wata ƙasa (wajen Nijar)?</v>
      </c>
      <c r="J1412" s="152" t="s">
        <v>9548</v>
      </c>
      <c r="K1412" s="152" t="s">
        <v>9549</v>
      </c>
      <c r="L1412" s="152" t="s">
        <v>9550</v>
      </c>
    </row>
    <row r="1413">
      <c r="A1413" s="170" t="s">
        <v>263</v>
      </c>
      <c r="B1413" s="171" t="s">
        <v>9551</v>
      </c>
      <c r="C1413" s="28" t="s">
        <v>9552</v>
      </c>
      <c r="D1413" s="28" t="s">
        <v>9553</v>
      </c>
      <c r="E1413" s="28" t="s">
        <v>9554</v>
      </c>
      <c r="F1413" s="161">
        <v>664.0</v>
      </c>
      <c r="G1413" s="152" t="str">
        <f>IFERROR(__xludf.DUMMYFUNCTION("TRIM(REGEXREPLACE(C1413, ""[0-9]+[a-f]?\."", """"))"),"What was the value of the goods members of your household receive from people out of Niger?")</f>
        <v>What was the value of the goods members of your household receive from people out of Niger?</v>
      </c>
      <c r="H1413" s="152" t="str">
        <f>IFERROR(__xludf.DUMMYFUNCTION("TRIM(REGEXREPLACE(D1413, ""[0-9]+[a-f]?\."", """"))"),"Quel était la valeur au totale des biens que les membres de votre ménage ont reçu des personnes qui ne sont pas au Niger ?")</f>
        <v>Quel était la valeur au totale des biens que les membres de votre ménage ont reçu des personnes qui ne sont pas au Niger ?</v>
      </c>
      <c r="I1413" s="152" t="str">
        <f>IFERROR(__xludf.DUMMYFUNCTION("TRIM(REGEXREPLACE(E1413, ""[0-9]+[a-f]?\."", """"))"),"Nawa kimar kayan da ƴan gidanku suka samo daga mutanen da ke zaune a ƙasar waje ba Nijar ba?")</f>
        <v>Nawa kimar kayan da ƴan gidanku suka samo daga mutanen da ke zaune a ƙasar waje ba Nijar ba?</v>
      </c>
      <c r="J1413" s="152" t="s">
        <v>9555</v>
      </c>
      <c r="K1413" s="152" t="s">
        <v>9556</v>
      </c>
      <c r="L1413" s="152" t="s">
        <v>9557</v>
      </c>
    </row>
    <row r="1414">
      <c r="A1414" s="68" t="s">
        <v>9501</v>
      </c>
      <c r="B1414" s="169" t="s">
        <v>9558</v>
      </c>
      <c r="C1414" s="28" t="s">
        <v>9559</v>
      </c>
      <c r="D1414" s="28" t="s">
        <v>9560</v>
      </c>
      <c r="E1414" s="28" t="s">
        <v>9561</v>
      </c>
      <c r="F1414" s="161">
        <v>665.0</v>
      </c>
      <c r="G1414" s="152" t="str">
        <f>IFERROR(__xludf.DUMMYFUNCTION("TRIM(REGEXREPLACE(C1414, ""[0-9]+[a-f]?\."", """"))"),"How were these goods transmitted to your household?")</f>
        <v>How were these goods transmitted to your household?</v>
      </c>
      <c r="H1414" s="152" t="str">
        <f>IFERROR(__xludf.DUMMYFUNCTION("TRIM(REGEXREPLACE(D1414, ""[0-9]+[a-f]?\."", """"))"),"Comment ces biens ont-ils été envoyé à votre ménage ?")</f>
        <v>Comment ces biens ont-ils été envoyé à votre ménage ?</v>
      </c>
      <c r="I1414" s="152" t="str">
        <f>IFERROR(__xludf.DUMMYFUNCTION("TRIM(REGEXREPLACE(E1414, ""[0-9]+[a-f]?\."", """"))"),"Ta yaya aka aika waɗannan kayan zuwa gidanku?")</f>
        <v>Ta yaya aka aika waɗannan kayan zuwa gidanku?</v>
      </c>
      <c r="J1414" s="152" t="s">
        <v>9562</v>
      </c>
      <c r="K1414" s="152" t="s">
        <v>9563</v>
      </c>
      <c r="L1414" s="152" t="s">
        <v>9564</v>
      </c>
    </row>
    <row r="1415">
      <c r="A1415" s="179" t="s">
        <v>246</v>
      </c>
      <c r="B1415" s="180" t="s">
        <v>9565</v>
      </c>
      <c r="C1415" s="28" t="s">
        <v>9566</v>
      </c>
      <c r="D1415" s="28" t="s">
        <v>9567</v>
      </c>
      <c r="E1415" s="28" t="s">
        <v>9568</v>
      </c>
      <c r="F1415" s="161">
        <v>666.0</v>
      </c>
      <c r="G1415" s="152" t="str">
        <f>IFERROR(__xludf.DUMMYFUNCTION("TRIM(REGEXREPLACE(C1415, ""[0-9]+[a-f]?\."", """"))"),"Specify other transfer method")</f>
        <v>Specify other transfer method</v>
      </c>
      <c r="H1415" s="152" t="str">
        <f>IFERROR(__xludf.DUMMYFUNCTION("TRIM(REGEXREPLACE(D1415, ""[0-9]+[a-f]?\."", """"))"),"Précisez la méthode du transfert")</f>
        <v>Précisez la méthode du transfert</v>
      </c>
      <c r="I1415" s="152" t="str">
        <f>IFERROR(__xludf.DUMMYFUNCTION("TRIM(REGEXREPLACE(E1415, ""[0-9]+[a-f]?\."", """"))"),"Wani daban a Bayyana")</f>
        <v>Wani daban a Bayyana</v>
      </c>
      <c r="J1415" s="152" t="s">
        <v>9569</v>
      </c>
      <c r="K1415" s="152" t="s">
        <v>9570</v>
      </c>
      <c r="L1415" s="152" t="s">
        <v>9571</v>
      </c>
    </row>
    <row r="1416">
      <c r="A1416" s="68" t="s">
        <v>2625</v>
      </c>
      <c r="B1416" s="169" t="s">
        <v>9572</v>
      </c>
      <c r="C1416" s="28" t="s">
        <v>9573</v>
      </c>
      <c r="D1416" s="28" t="s">
        <v>9574</v>
      </c>
      <c r="E1416" s="28" t="s">
        <v>9575</v>
      </c>
      <c r="F1416" s="161">
        <v>667.0</v>
      </c>
      <c r="G1416" s="152" t="str">
        <f>IFERROR(__xludf.DUMMYFUNCTION("TRIM(REGEXREPLACE(C1416, ""[0-9]+[a-f]?\."", """"))"),"In the past six months, have you or anyone in your household shared or sent money to someone who is not a member of your household and who lives elsewhere in Niger (outside your village)?")</f>
        <v>In the past six months, have you or anyone in your household shared or sent money to someone who is not a member of your household and who lives elsewhere in Niger (outside your village)?</v>
      </c>
      <c r="H1416" s="152" t="str">
        <f>IFERROR(__xludf.DUMMYFUNCTION("TRIM(REGEXREPLACE(D1416, ""[0-9]+[a-f]?\."", """"))"),"Au cours des six derniers mois, avez-vous, vous ou un membre de votre menage, partagé ou envoyé de l'argent à une personne extérieure à votre menage et résidant ailleurs à l'intérieur du Niger (hors de votre village) ?")</f>
        <v>Au cours des six derniers mois, avez-vous, vous ou un membre de votre menage, partagé ou envoyé de l'argent à une personne extérieure à votre menage et résidant ailleurs à l'intérieur du Niger (hors de votre village) ?</v>
      </c>
      <c r="I1416" s="152" t="str">
        <f>IFERROR(__xludf.DUMMYFUNCTION("TRIM(REGEXREPLACE(E1416, ""[0-9]+[a-f]?\."", """"))"),"A cikin watanni shida da suka gabata, kai ko wani a cikin gidanku kun aika kudi ga wanda ba an gidanku ba kuma yana zaune a wani wuri a Nijar (a wajen kauyenku)?")</f>
        <v>A cikin watanni shida da suka gabata, kai ko wani a cikin gidanku kun aika kudi ga wanda ba an gidanku ba kuma yana zaune a wani wuri a Nijar (a wajen kauyenku)?</v>
      </c>
      <c r="J1416" s="152" t="s">
        <v>9576</v>
      </c>
      <c r="K1416" s="152" t="s">
        <v>9577</v>
      </c>
      <c r="L1416" s="152" t="s">
        <v>9578</v>
      </c>
    </row>
    <row r="1417">
      <c r="A1417" s="170" t="s">
        <v>263</v>
      </c>
      <c r="B1417" s="171" t="s">
        <v>9579</v>
      </c>
      <c r="C1417" s="28" t="s">
        <v>9580</v>
      </c>
      <c r="D1417" s="28" t="s">
        <v>9581</v>
      </c>
      <c r="E1417" s="28" t="s">
        <v>9582</v>
      </c>
      <c r="F1417" s="161">
        <v>668.0</v>
      </c>
      <c r="G1417" s="152" t="str">
        <f>IFERROR(__xludf.DUMMYFUNCTION("TRIM(REGEXREPLACE(C1417, ""[0-9]+[a-f]?\."", """"))"),"How much did your household send to people elsewhere in Niger?")</f>
        <v>How much did your household send to people elsewhere in Niger?</v>
      </c>
      <c r="H1417" s="152" t="str">
        <f>IFERROR(__xludf.DUMMYFUNCTION("TRIM(REGEXREPLACE(D1417, ""[0-9]+[a-f]?\."", """"))"),"Combien votre ménage a-t-il envoyé à des personnes qui sont quelque part au Niger ?")</f>
        <v>Combien votre ménage a-t-il envoyé à des personnes qui sont quelque part au Niger ?</v>
      </c>
      <c r="I1417" s="152" t="str">
        <f>IFERROR(__xludf.DUMMYFUNCTION("TRIM(REGEXREPLACE(E1417, ""[0-9]+[a-f]?\."", """"))"),"Nawa ne gidanku ya aikawa mutanen da ke wasu wurare a Nijar?")</f>
        <v>Nawa ne gidanku ya aikawa mutanen da ke wasu wurare a Nijar?</v>
      </c>
      <c r="J1417" s="152" t="s">
        <v>9583</v>
      </c>
      <c r="K1417" s="152" t="s">
        <v>9584</v>
      </c>
      <c r="L1417" s="152" t="s">
        <v>9585</v>
      </c>
    </row>
    <row r="1418">
      <c r="A1418" s="68" t="s">
        <v>4445</v>
      </c>
      <c r="B1418" s="169" t="s">
        <v>9586</v>
      </c>
      <c r="C1418" s="28" t="s">
        <v>9587</v>
      </c>
      <c r="D1418" s="28" t="s">
        <v>9588</v>
      </c>
      <c r="E1418" s="28" t="s">
        <v>9589</v>
      </c>
      <c r="F1418" s="161">
        <v>669.0</v>
      </c>
      <c r="G1418" s="152" t="str">
        <f>IFERROR(__xludf.DUMMYFUNCTION("TRIM(REGEXREPLACE(C1418, ""[0-9]+[a-f]?\."", """"))"),"How did you transmit the money to the recipient?")</f>
        <v>How did you transmit the money to the recipient?</v>
      </c>
      <c r="H1418" s="152" t="str">
        <f>IFERROR(__xludf.DUMMYFUNCTION("TRIM(REGEXREPLACE(D1418, ""[0-9]+[a-f]?\."", """"))"),"Comment avez-vous envoyé l'argent au destinataire ?")</f>
        <v>Comment avez-vous envoyé l'argent au destinataire ?</v>
      </c>
      <c r="I1418" s="152" t="str">
        <f>IFERROR(__xludf.DUMMYFUNCTION("TRIM(REGEXREPLACE(E1418, ""[0-9]+[a-f]?\."", """"))"),"Ta wace hanya kuka aika kuɗin ga mai karɓa?")</f>
        <v>Ta wace hanya kuka aika kuɗin ga mai karɓa?</v>
      </c>
      <c r="J1418" s="152" t="s">
        <v>9590</v>
      </c>
      <c r="K1418" s="152" t="s">
        <v>9591</v>
      </c>
      <c r="L1418" s="152" t="s">
        <v>9592</v>
      </c>
    </row>
    <row r="1419">
      <c r="A1419" s="179" t="s">
        <v>246</v>
      </c>
      <c r="B1419" s="180" t="s">
        <v>9593</v>
      </c>
      <c r="C1419" s="28" t="s">
        <v>9594</v>
      </c>
      <c r="D1419" s="28" t="s">
        <v>9595</v>
      </c>
      <c r="E1419" s="28" t="s">
        <v>9596</v>
      </c>
      <c r="F1419" s="161">
        <v>670.0</v>
      </c>
      <c r="G1419" s="152" t="str">
        <f>IFERROR(__xludf.DUMMYFUNCTION("TRIM(REGEXREPLACE(C1419, ""[0-9]+[a-f]?\."", """"))"),"Specify other transfer method")</f>
        <v>Specify other transfer method</v>
      </c>
      <c r="H1419" s="152" t="str">
        <f>IFERROR(__xludf.DUMMYFUNCTION("TRIM(REGEXREPLACE(D1419, ""[0-9]+[a-f]?\."", """"))"),"Précisez la méthode du transfert")</f>
        <v>Précisez la méthode du transfert</v>
      </c>
      <c r="I1419" s="152" t="str">
        <f>IFERROR(__xludf.DUMMYFUNCTION("TRIM(REGEXREPLACE(E1419, ""[0-9]+[a-f]?\."", """"))"),"Wani daban a Bayyana")</f>
        <v>Wani daban a Bayyana</v>
      </c>
      <c r="J1419" s="152" t="s">
        <v>9597</v>
      </c>
      <c r="K1419" s="152" t="s">
        <v>9598</v>
      </c>
      <c r="L1419" s="152" t="s">
        <v>9599</v>
      </c>
    </row>
    <row r="1420">
      <c r="A1420" s="68" t="s">
        <v>2625</v>
      </c>
      <c r="B1420" s="169" t="s">
        <v>9600</v>
      </c>
      <c r="C1420" s="28" t="s">
        <v>9601</v>
      </c>
      <c r="D1420" s="28" t="s">
        <v>9602</v>
      </c>
      <c r="E1420" s="28" t="s">
        <v>9603</v>
      </c>
      <c r="F1420" s="161">
        <v>671.0</v>
      </c>
      <c r="G1420" s="152" t="str">
        <f>IFERROR(__xludf.DUMMYFUNCTION("TRIM(REGEXREPLACE(C1420, ""[0-9]+[a-f]?\."", """"))"),"In the past six months, have you or anyone in your household shared or sent goods (payment in kind) to someone who is not a member of your household and who lives elsewhere in Niger (outside your village)?")</f>
        <v>In the past six months, have you or anyone in your household shared or sent goods (payment in kind) to someone who is not a member of your household and who lives elsewhere in Niger (outside your village)?</v>
      </c>
      <c r="H1420" s="152" t="str">
        <f>IFERROR(__xludf.DUMMYFUNCTION("TRIM(REGEXREPLACE(D1420, ""[0-9]+[a-f]?\."", """"))"),"Au cours des six derniers mois, avez-vous, ou un membre de votre foyer, partagé ou envoyé des biens (paiement en nature) à une personne extérieure à votre foyer et résidant ailleurs au Niger (hors de votre village) ?")</f>
        <v>Au cours des six derniers mois, avez-vous, ou un membre de votre foyer, partagé ou envoyé des biens (paiement en nature) à une personne extérieure à votre foyer et résidant ailleurs au Niger (hors de votre village) ?</v>
      </c>
      <c r="I1420" s="152" t="str">
        <f>IFERROR(__xludf.DUMMYFUNCTION("TRIM(REGEXREPLACE(E1420, ""[0-9]+[a-f]?\."", """"))"),"A cikin watanni shida da suka gabata, kai ko wani a cikin gidanku kun aika kaya (biya daga kaya) ga wanda ba ɗan gidanku ba kuma yana zaune a wani wuri a Nijar (wajen ƙauyenku)?")</f>
        <v>A cikin watanni shida da suka gabata, kai ko wani a cikin gidanku kun aika kaya (biya daga kaya) ga wanda ba ɗan gidanku ba kuma yana zaune a wani wuri a Nijar (wajen ƙauyenku)?</v>
      </c>
      <c r="J1420" s="152" t="s">
        <v>9604</v>
      </c>
      <c r="K1420" s="152" t="s">
        <v>9605</v>
      </c>
      <c r="L1420" s="152" t="s">
        <v>9606</v>
      </c>
    </row>
    <row r="1421">
      <c r="A1421" s="170" t="s">
        <v>263</v>
      </c>
      <c r="B1421" s="171" t="s">
        <v>9607</v>
      </c>
      <c r="C1421" s="28" t="s">
        <v>9608</v>
      </c>
      <c r="D1421" s="28" t="s">
        <v>9609</v>
      </c>
      <c r="E1421" s="28" t="s">
        <v>9610</v>
      </c>
      <c r="F1421" s="161">
        <v>672.0</v>
      </c>
      <c r="G1421" s="152" t="str">
        <f>IFERROR(__xludf.DUMMYFUNCTION("TRIM(REGEXREPLACE(C1421, ""[0-9]+[a-f]?\."", """"))"),"What was the value of the goods members of your household sent to people elsewhere in Niger?")</f>
        <v>What was the value of the goods members of your household sent to people elsewhere in Niger?</v>
      </c>
      <c r="H1421" s="152" t="str">
        <f>IFERROR(__xludf.DUMMYFUNCTION("TRIM(REGEXREPLACE(D1421, ""[0-9]+[a-f]?\."", """"))"),"Quel était la valeur au totale des biens que les membres de votre ménage ont envoyé aux personnes qui sont quelques part au Niger ?")</f>
        <v>Quel était la valeur au totale des biens que les membres de votre ménage ont envoyé aux personnes qui sont quelques part au Niger ?</v>
      </c>
      <c r="I1421" s="152" t="str">
        <f>IFERROR(__xludf.DUMMYFUNCTION("TRIM(REGEXREPLACE(E1421, ""[0-9]+[a-f]?\."", """"))"),"Nawa ne kimar kayan da ƴan gidanku suka aika wa mutane a wasu wurare a cikin Nijar?")</f>
        <v>Nawa ne kimar kayan da ƴan gidanku suka aika wa mutane a wasu wurare a cikin Nijar?</v>
      </c>
      <c r="J1421" s="152" t="s">
        <v>9611</v>
      </c>
      <c r="K1421" s="152" t="s">
        <v>9612</v>
      </c>
      <c r="L1421" s="152" t="s">
        <v>9613</v>
      </c>
    </row>
    <row r="1422">
      <c r="A1422" s="68" t="s">
        <v>9501</v>
      </c>
      <c r="B1422" s="169" t="s">
        <v>9614</v>
      </c>
      <c r="C1422" s="28" t="s">
        <v>9615</v>
      </c>
      <c r="D1422" s="28" t="s">
        <v>9616</v>
      </c>
      <c r="E1422" s="28" t="s">
        <v>9617</v>
      </c>
      <c r="F1422" s="161">
        <v>673.0</v>
      </c>
      <c r="G1422" s="152" t="str">
        <f>IFERROR(__xludf.DUMMYFUNCTION("TRIM(REGEXREPLACE(C1422, ""[0-9]+[a-f]?\."", """"))"),"How were these goods transmitted to the recipient?")</f>
        <v>How were these goods transmitted to the recipient?</v>
      </c>
      <c r="H1422" s="152" t="str">
        <f>IFERROR(__xludf.DUMMYFUNCTION("TRIM(REGEXREPLACE(D1422, ""[0-9]+[a-f]?\."", """"))"),"Comment ces biens ont-ils été envoyé au destinataire ?")</f>
        <v>Comment ces biens ont-ils été envoyé au destinataire ?</v>
      </c>
      <c r="I1422" s="152" t="str">
        <f>IFERROR(__xludf.DUMMYFUNCTION("TRIM(REGEXREPLACE(E1422, ""[0-9]+[a-f]?\."", """"))"),"Ta yaya aka aika waɗannan kayayyaki zuwa ga mai karɓa?")</f>
        <v>Ta yaya aka aika waɗannan kayayyaki zuwa ga mai karɓa?</v>
      </c>
      <c r="J1422" s="152" t="s">
        <v>9618</v>
      </c>
      <c r="K1422" s="152" t="s">
        <v>9619</v>
      </c>
      <c r="L1422" s="152" t="s">
        <v>9620</v>
      </c>
    </row>
    <row r="1423">
      <c r="A1423" s="179" t="s">
        <v>246</v>
      </c>
      <c r="B1423" s="180" t="s">
        <v>9622</v>
      </c>
      <c r="C1423" s="28" t="s">
        <v>9624</v>
      </c>
      <c r="D1423" s="28" t="s">
        <v>9625</v>
      </c>
      <c r="E1423" s="28" t="s">
        <v>9626</v>
      </c>
      <c r="F1423" s="161">
        <v>674.0</v>
      </c>
      <c r="G1423" s="152" t="str">
        <f>IFERROR(__xludf.DUMMYFUNCTION("TRIM(REGEXREPLACE(C1423, ""[0-9]+[a-f]?\."", """"))"),"Specify other transfer method")</f>
        <v>Specify other transfer method</v>
      </c>
      <c r="H1423" s="152" t="str">
        <f>IFERROR(__xludf.DUMMYFUNCTION("TRIM(REGEXREPLACE(D1423, ""[0-9]+[a-f]?\."", """"))"),"Precisez la methode du transfert")</f>
        <v>Precisez la methode du transfert</v>
      </c>
      <c r="I1423" s="152" t="str">
        <f>IFERROR(__xludf.DUMMYFUNCTION("TRIM(REGEXREPLACE(E1423, ""[0-9]+[a-f]?\."", """"))"),"Wani daban a Bayyana")</f>
        <v>Wani daban a Bayyana</v>
      </c>
      <c r="J1423" s="152" t="s">
        <v>9627</v>
      </c>
      <c r="K1423" s="152" t="s">
        <v>9628</v>
      </c>
      <c r="L1423" s="152" t="s">
        <v>9629</v>
      </c>
    </row>
    <row r="1424">
      <c r="A1424" s="68" t="s">
        <v>2625</v>
      </c>
      <c r="B1424" s="169" t="s">
        <v>9630</v>
      </c>
      <c r="C1424" s="28" t="s">
        <v>9631</v>
      </c>
      <c r="D1424" s="28" t="s">
        <v>9632</v>
      </c>
      <c r="E1424" s="28" t="s">
        <v>9633</v>
      </c>
      <c r="F1424" s="161">
        <v>675.0</v>
      </c>
      <c r="G1424" s="152" t="str">
        <f>IFERROR(__xludf.DUMMYFUNCTION("TRIM(REGEXREPLACE(C1424, ""[0-9]+[a-f]?\."", """"))"),"In the past six months, have you or anyone in your household shared or sent money to someone who is not a member of your household and who lives in a foreign country (outside of Niger)?")</f>
        <v>In the past six months, have you or anyone in your household shared or sent money to someone who is not a member of your household and who lives in a foreign country (outside of Niger)?</v>
      </c>
      <c r="H1424" s="152" t="str">
        <f>IFERROR(__xludf.DUMMYFUNCTION("TRIM(REGEXREPLACE(D1424, ""[0-9]+[a-f]?\."", """"))"),"Au cours des six derniers mois, avez-vous, ou un membre de votre foyer, partagé ou envoyé de l'argent à une personne extérieure à votre foyer et résidant à l'étranger (hors du Niger) ?")</f>
        <v>Au cours des six derniers mois, avez-vous, ou un membre de votre foyer, partagé ou envoyé de l'argent à une personne extérieure à votre foyer et résidant à l'étranger (hors du Niger) ?</v>
      </c>
      <c r="I1424" s="152" t="str">
        <f>IFERROR(__xludf.DUMMYFUNCTION("TRIM(REGEXREPLACE(E1424, ""[0-9]+[a-f]?\."", """"))"),"A cikin watanni shida da suka gabata, kai ko wani a cikin gidanku kun raba ko aika kudi ga wanda ba dan gidanku ba kuma yana zaune a wata kasa (wajen Nijar)?")</f>
        <v>A cikin watanni shida da suka gabata, kai ko wani a cikin gidanku kun raba ko aika kudi ga wanda ba dan gidanku ba kuma yana zaune a wata kasa (wajen Nijar)?</v>
      </c>
      <c r="J1424" s="152" t="s">
        <v>9634</v>
      </c>
      <c r="K1424" s="152" t="s">
        <v>9635</v>
      </c>
      <c r="L1424" s="152" t="s">
        <v>9636</v>
      </c>
    </row>
    <row r="1425">
      <c r="A1425" s="170" t="s">
        <v>263</v>
      </c>
      <c r="B1425" s="171" t="s">
        <v>9637</v>
      </c>
      <c r="C1425" s="28" t="s">
        <v>9638</v>
      </c>
      <c r="D1425" s="28" t="s">
        <v>9639</v>
      </c>
      <c r="E1425" s="28" t="s">
        <v>9640</v>
      </c>
      <c r="F1425" s="161">
        <v>676.0</v>
      </c>
      <c r="G1425" s="152" t="str">
        <f>IFERROR(__xludf.DUMMYFUNCTION("TRIM(REGEXREPLACE(C1425, ""[0-9]+[a-f]?\."", """"))"),"How much did your household send to people people out of Niger?")</f>
        <v>How much did your household send to people people out of Niger?</v>
      </c>
      <c r="H1425" s="152" t="str">
        <f>IFERROR(__xludf.DUMMYFUNCTION("TRIM(REGEXREPLACE(D1425, ""[0-9]+[a-f]?\."", """"))"),"Combien votre ménage a-t-il envoyé à d'autres personnes qui sont quelque part hors du Niger ?")</f>
        <v>Combien votre ménage a-t-il envoyé à d'autres personnes qui sont quelque part hors du Niger ?</v>
      </c>
      <c r="I1425" s="152" t="str">
        <f>IFERROR(__xludf.DUMMYFUNCTION("TRIM(REGEXREPLACE(E1425, ""[0-9]+[a-f]?\."", """"))"),"Nawa gidanku ya aikawa wasu mutane da ke wani wuri ba a Nijar ba?")</f>
        <v>Nawa gidanku ya aikawa wasu mutane da ke wani wuri ba a Nijar ba?</v>
      </c>
      <c r="J1425" s="152" t="s">
        <v>9641</v>
      </c>
      <c r="K1425" s="152" t="s">
        <v>9642</v>
      </c>
      <c r="L1425" s="152" t="s">
        <v>9643</v>
      </c>
    </row>
    <row r="1426">
      <c r="A1426" s="68" t="s">
        <v>4445</v>
      </c>
      <c r="B1426" s="169" t="s">
        <v>9644</v>
      </c>
      <c r="C1426" s="28" t="s">
        <v>9645</v>
      </c>
      <c r="D1426" s="28" t="s">
        <v>9646</v>
      </c>
      <c r="E1426" s="28" t="s">
        <v>9647</v>
      </c>
      <c r="F1426" s="161">
        <v>677.0</v>
      </c>
      <c r="G1426" s="152" t="str">
        <f>IFERROR(__xludf.DUMMYFUNCTION("TRIM(REGEXREPLACE(C1426, ""[0-9]+[a-f]?\."", """"))"),"How did you transmit the money to the recipient?")</f>
        <v>How did you transmit the money to the recipient?</v>
      </c>
      <c r="H1426" s="152" t="str">
        <f>IFERROR(__xludf.DUMMYFUNCTION("TRIM(REGEXREPLACE(D1426, ""[0-9]+[a-f]?\."", """"))"),"Comment avez-vous transmis l'argent au destinataire ?")</f>
        <v>Comment avez-vous transmis l'argent au destinataire ?</v>
      </c>
      <c r="I1426" s="152" t="str">
        <f>IFERROR(__xludf.DUMMYFUNCTION("TRIM(REGEXREPLACE(E1426, ""[0-9]+[a-f]?\."", """"))"),"Ta wace hanya kuka aika kuɗin ga mai karɓa?")</f>
        <v>Ta wace hanya kuka aika kuɗin ga mai karɓa?</v>
      </c>
      <c r="J1426" s="152" t="s">
        <v>9648</v>
      </c>
      <c r="K1426" s="152" t="s">
        <v>9649</v>
      </c>
      <c r="L1426" s="152" t="s">
        <v>9650</v>
      </c>
    </row>
    <row r="1427">
      <c r="A1427" s="179" t="s">
        <v>246</v>
      </c>
      <c r="B1427" s="180" t="s">
        <v>9651</v>
      </c>
      <c r="C1427" s="28" t="s">
        <v>9652</v>
      </c>
      <c r="D1427" s="28" t="s">
        <v>9653</v>
      </c>
      <c r="E1427" s="28" t="s">
        <v>9654</v>
      </c>
      <c r="F1427" s="161">
        <v>678.0</v>
      </c>
      <c r="G1427" s="152" t="str">
        <f>IFERROR(__xludf.DUMMYFUNCTION("TRIM(REGEXREPLACE(C1427, ""[0-9]+[a-f]?\."", """"))"),"Specify other transfer method")</f>
        <v>Specify other transfer method</v>
      </c>
      <c r="H1427" s="152" t="str">
        <f>IFERROR(__xludf.DUMMYFUNCTION("TRIM(REGEXREPLACE(D1427, ""[0-9]+[a-f]?\."", """"))"),"Precisez la methode du transfert")</f>
        <v>Precisez la methode du transfert</v>
      </c>
      <c r="I1427" s="152" t="str">
        <f>IFERROR(__xludf.DUMMYFUNCTION("TRIM(REGEXREPLACE(E1427, ""[0-9]+[a-f]?\."", """"))"),"Wani daban a Bayyana")</f>
        <v>Wani daban a Bayyana</v>
      </c>
      <c r="J1427" s="152" t="s">
        <v>9655</v>
      </c>
      <c r="K1427" s="152" t="s">
        <v>9656</v>
      </c>
      <c r="L1427" s="152" t="s">
        <v>9657</v>
      </c>
    </row>
    <row r="1428">
      <c r="A1428" s="68" t="s">
        <v>2625</v>
      </c>
      <c r="B1428" s="169" t="s">
        <v>9658</v>
      </c>
      <c r="C1428" s="28" t="s">
        <v>9659</v>
      </c>
      <c r="D1428" s="28" t="s">
        <v>9660</v>
      </c>
      <c r="E1428" s="28" t="s">
        <v>9661</v>
      </c>
      <c r="F1428" s="161">
        <v>679.0</v>
      </c>
      <c r="G1428" s="152" t="str">
        <f>IFERROR(__xludf.DUMMYFUNCTION("TRIM(REGEXREPLACE(C1428, ""[0-9]+[a-f]?\."", """"))"),"In the past six months, have you or anyone in your household shared or sent goods (payment in kind) to someone who is not a member of your household and who lives in a foreign country (outside of Niger)?")</f>
        <v>In the past six months, have you or anyone in your household shared or sent goods (payment in kind) to someone who is not a member of your household and who lives in a foreign country (outside of Niger)?</v>
      </c>
      <c r="H1428" s="152" t="str">
        <f>IFERROR(__xludf.DUMMYFUNCTION("TRIM(REGEXREPLACE(D1428, ""[0-9]+[a-f]?\."", """"))"),"Au cours des six derniers mois, avez-vous, ou un membre de votre foyer, partagé ou envoyé des biens (paiement en nature) à une personne extérieure à votre foyer et résidant à l'étranger (hors du Niger) ?")</f>
        <v>Au cours des six derniers mois, avez-vous, ou un membre de votre foyer, partagé ou envoyé des biens (paiement en nature) à une personne extérieure à votre foyer et résidant à l'étranger (hors du Niger) ?</v>
      </c>
      <c r="I1428" s="152" t="str">
        <f>IFERROR(__xludf.DUMMYFUNCTION("TRIM(REGEXREPLACE(E1428, ""[0-9]+[a-f]?\."", """"))"),"A cikin watanni shida da suka gabata, kai ko wani a cikin gidanku kun aika kaya (biya daga kaya) ga wanda ba ɗan gidanku ba kuma yana zaune a wata ƙasa (a wajen Nijar)?")</f>
        <v>A cikin watanni shida da suka gabata, kai ko wani a cikin gidanku kun aika kaya (biya daga kaya) ga wanda ba ɗan gidanku ba kuma yana zaune a wata ƙasa (a wajen Nijar)?</v>
      </c>
      <c r="J1428" s="152" t="s">
        <v>9662</v>
      </c>
      <c r="K1428" s="152" t="s">
        <v>9663</v>
      </c>
      <c r="L1428" s="152" t="s">
        <v>9664</v>
      </c>
    </row>
    <row r="1429">
      <c r="A1429" s="170" t="s">
        <v>263</v>
      </c>
      <c r="B1429" s="171" t="s">
        <v>9665</v>
      </c>
      <c r="C1429" s="28" t="s">
        <v>9666</v>
      </c>
      <c r="D1429" s="28" t="s">
        <v>9667</v>
      </c>
      <c r="E1429" s="28" t="s">
        <v>9668</v>
      </c>
      <c r="F1429" s="161">
        <v>680.0</v>
      </c>
      <c r="G1429" s="152" t="str">
        <f>IFERROR(__xludf.DUMMYFUNCTION("TRIM(REGEXREPLACE(C1429, ""[0-9]+[a-f]?\."", """"))"),"What was the value of the goods members of your household sent to people out of Niger?")</f>
        <v>What was the value of the goods members of your household sent to people out of Niger?</v>
      </c>
      <c r="H1429" s="152" t="str">
        <f>IFERROR(__xludf.DUMMYFUNCTION("TRIM(REGEXREPLACE(D1429, ""[0-9]+[a-f]?\."", """"))"),"Quel était le valeur au total des biens que les membres de votre ménage ont envoyé aux personnes qui sont quelques part hors du Niger ?")</f>
        <v>Quel était le valeur au total des biens que les membres de votre ménage ont envoyé aux personnes qui sont quelques part hors du Niger ?</v>
      </c>
      <c r="I1429" s="152" t="str">
        <f>IFERROR(__xludf.DUMMYFUNCTION("TRIM(REGEXREPLACE(E1429, ""[0-9]+[a-f]?\."", """"))"),"Nawa ne kimar kayan da ƴan gidanku suka aikawa wasu mutane da ke wani wuri ba a Nijar ba?")</f>
        <v>Nawa ne kimar kayan da ƴan gidanku suka aikawa wasu mutane da ke wani wuri ba a Nijar ba?</v>
      </c>
      <c r="J1429" s="152" t="s">
        <v>9669</v>
      </c>
      <c r="K1429" s="152" t="s">
        <v>9670</v>
      </c>
      <c r="L1429" s="152" t="s">
        <v>9671</v>
      </c>
    </row>
    <row r="1430">
      <c r="A1430" s="68" t="s">
        <v>9501</v>
      </c>
      <c r="B1430" s="169" t="s">
        <v>9672</v>
      </c>
      <c r="C1430" s="28" t="s">
        <v>9673</v>
      </c>
      <c r="D1430" s="28" t="s">
        <v>9674</v>
      </c>
      <c r="E1430" s="28" t="s">
        <v>9675</v>
      </c>
      <c r="F1430" s="161">
        <v>681.0</v>
      </c>
      <c r="G1430" s="152" t="str">
        <f>IFERROR(__xludf.DUMMYFUNCTION("TRIM(REGEXREPLACE(C1430, ""[0-9]+[a-f]?\."", """"))"),"How were these goods transmitted to the recipient?")</f>
        <v>How were these goods transmitted to the recipient?</v>
      </c>
      <c r="H1430" s="152" t="str">
        <f>IFERROR(__xludf.DUMMYFUNCTION("TRIM(REGEXREPLACE(D1430, ""[0-9]+[a-f]?\."", """"))"),"Comment ces biens ont-ils été envoyé au destinataire ?")</f>
        <v>Comment ces biens ont-ils été envoyé au destinataire ?</v>
      </c>
      <c r="I1430" s="152" t="str">
        <f>IFERROR(__xludf.DUMMYFUNCTION("TRIM(REGEXREPLACE(E1430, ""[0-9]+[a-f]?\."", """"))"),"Ta yaya aka aika waɗannan kayayyaki zuwa ga mai karɓa?")</f>
        <v>Ta yaya aka aika waɗannan kayayyaki zuwa ga mai karɓa?</v>
      </c>
      <c r="J1430" s="152" t="s">
        <v>9676</v>
      </c>
      <c r="K1430" s="152" t="s">
        <v>9677</v>
      </c>
      <c r="L1430" s="152" t="s">
        <v>9678</v>
      </c>
    </row>
    <row r="1431">
      <c r="A1431" s="179" t="s">
        <v>246</v>
      </c>
      <c r="B1431" s="180" t="s">
        <v>9679</v>
      </c>
      <c r="C1431" s="28" t="s">
        <v>9680</v>
      </c>
      <c r="D1431" s="28" t="s">
        <v>9681</v>
      </c>
      <c r="E1431" s="28" t="s">
        <v>9682</v>
      </c>
      <c r="F1431" s="161">
        <v>682.0</v>
      </c>
      <c r="G1431" s="152" t="str">
        <f>IFERROR(__xludf.DUMMYFUNCTION("TRIM(REGEXREPLACE(C1431, ""[0-9]+[a-f]?\."", """"))"),"Specify other transfer method")</f>
        <v>Specify other transfer method</v>
      </c>
      <c r="H1431" s="152" t="str">
        <f>IFERROR(__xludf.DUMMYFUNCTION("TRIM(REGEXREPLACE(D1431, ""[0-9]+[a-f]?\."", """"))"),"Precisez la methode du transfert")</f>
        <v>Precisez la methode du transfert</v>
      </c>
      <c r="I1431" s="152" t="str">
        <f>IFERROR(__xludf.DUMMYFUNCTION("TRIM(REGEXREPLACE(E1431, ""[0-9]+[a-f]?\."", """"))"),"Wani daban a Bayyana")</f>
        <v>Wani daban a Bayyana</v>
      </c>
      <c r="J1431" s="152" t="s">
        <v>9683</v>
      </c>
      <c r="K1431" s="152" t="s">
        <v>9684</v>
      </c>
      <c r="L1431" s="152" t="s">
        <v>9685</v>
      </c>
    </row>
    <row r="1432">
      <c r="A1432" s="68" t="s">
        <v>9686</v>
      </c>
      <c r="B1432" s="169" t="s">
        <v>9687</v>
      </c>
      <c r="C1432" s="28" t="s">
        <v>9688</v>
      </c>
      <c r="D1432" s="28" t="s">
        <v>9689</v>
      </c>
      <c r="E1432" s="28" t="s">
        <v>9690</v>
      </c>
      <c r="F1432" s="161">
        <v>683.0</v>
      </c>
      <c r="G1432" s="152" t="str">
        <f>IFERROR(__xludf.DUMMYFUNCTION("TRIM(REGEXREPLACE(C1432, ""[0-9]+[a-f]?\."", """"))"),"In the past six months, have you received support from any of the following sources?")</f>
        <v>In the past six months, have you received support from any of the following sources?</v>
      </c>
      <c r="H1432" s="152" t="str">
        <f>IFERROR(__xludf.DUMMYFUNCTION("TRIM(REGEXREPLACE(D1432, ""[0-9]+[a-f]?\."", """"))"),"Au cours des six derniers mois, avez-vous reçu une aide de l'une des sources suivantes ?")</f>
        <v>Au cours des six derniers mois, avez-vous reçu une aide de l'une des sources suivantes ?</v>
      </c>
      <c r="I1432" s="152" t="str">
        <f>IFERROR(__xludf.DUMMYFUNCTION("TRIM(REGEXREPLACE(E1432, ""[0-9]+[a-f]?\."", """"))"),"A cikin watanni shida da suka gabata, kun sami tallafi daga ɗayan waɗannan kafofin?")</f>
        <v>A cikin watanni shida da suka gabata, kun sami tallafi daga ɗayan waɗannan kafofin?</v>
      </c>
      <c r="J1432" s="152" t="s">
        <v>9691</v>
      </c>
      <c r="K1432" s="152" t="s">
        <v>9692</v>
      </c>
      <c r="L1432" s="152" t="s">
        <v>9693</v>
      </c>
    </row>
    <row r="1433">
      <c r="A1433" s="170" t="s">
        <v>263</v>
      </c>
      <c r="B1433" s="171" t="s">
        <v>9694</v>
      </c>
      <c r="C1433" s="183" t="s">
        <v>9695</v>
      </c>
      <c r="D1433" s="183" t="s">
        <v>9696</v>
      </c>
      <c r="E1433" s="183" t="s">
        <v>9697</v>
      </c>
      <c r="F1433" s="161">
        <v>684.0</v>
      </c>
      <c r="G1433" s="152" t="str">
        <f>IFERROR(__xludf.DUMMYFUNCTION("TRIM(REGEXREPLACE(C1433, ""[0-9]+[a-f]?\."", """"))"),"How much did you receive from all the sources combined?")</f>
        <v>How much did you receive from all the sources combined?</v>
      </c>
      <c r="H1433" s="152" t="str">
        <f>IFERROR(__xludf.DUMMYFUNCTION("TRIM(REGEXREPLACE(D1433, ""[0-9]+[a-f]?\."", """"))"),"Combien avez-vous reçu de toutes les sources confondues ?")</f>
        <v>Combien avez-vous reçu de toutes les sources confondues ?</v>
      </c>
      <c r="I1433" s="152" t="str">
        <f>IFERROR(__xludf.DUMMYFUNCTION("TRIM(REGEXREPLACE(E1433, ""[0-9]+[a-f]?\."", """"))"),"Nawa kuka samu daga duk hanyoyin shiga gaba ɗayan su?")</f>
        <v>Nawa kuka samu daga duk hanyoyin shiga gaba ɗayan su?</v>
      </c>
      <c r="J1433" s="152" t="s">
        <v>9698</v>
      </c>
      <c r="K1433" s="152" t="s">
        <v>9699</v>
      </c>
      <c r="L1433" s="152" t="s">
        <v>9700</v>
      </c>
    </row>
    <row r="1434">
      <c r="A1434" s="170" t="s">
        <v>263</v>
      </c>
      <c r="B1434" s="171" t="s">
        <v>9701</v>
      </c>
      <c r="C1434" s="28" t="s">
        <v>9702</v>
      </c>
      <c r="D1434" s="28" t="s">
        <v>9703</v>
      </c>
      <c r="E1434" s="28" t="s">
        <v>9704</v>
      </c>
      <c r="F1434" s="161">
        <v>685.0</v>
      </c>
      <c r="G1434" s="152" t="str">
        <f>IFERROR(__xludf.DUMMYFUNCTION("TRIM(REGEXREPLACE(C1434, ""[0-9]+[a-f]?\."", """"))"),"In addition to the transfers we just discussed, what is the total value of income from charity or gifts your household has received &lt;b&gt;in the past six months&lt;/b&gt; in CFA?")</f>
        <v>In addition to the transfers we just discussed, what is the total value of income from charity or gifts your household has received &lt;b&gt;in the past six months&lt;/b&gt; in CFA?</v>
      </c>
      <c r="H1434" s="152" t="str">
        <f>IFERROR(__xludf.DUMMYFUNCTION("TRIM(REGEXREPLACE(D1434, ""[0-9]+[a-f]?\."", """"))"),"Outre les transferts que nous venons d'évoquer, quel est le montant total des revenus provenant d'œuvres caritatives ou de dons que votre ménage a reçus &lt;b&gt;au cours des six derniers mois&lt;/b&gt; en francs CFA ?")</f>
        <v>Outre les transferts que nous venons d'évoquer, quel est le montant total des revenus provenant d'œuvres caritatives ou de dons que votre ménage a reçus &lt;b&gt;au cours des six derniers mois&lt;/b&gt; en francs CFA ?</v>
      </c>
      <c r="I1434" s="152" t="str">
        <f>IFERROR(__xludf.DUMMYFUNCTION("TRIM(REGEXREPLACE(E1434, ""[0-9]+[a-f]?\."", """"))"),"Bancin aiken kuɗi da muka tattauna yanzu, nawa ne jimillar kuɗin da kuka samu na taimako ko kyaututtukan &lt;b&gt;a cikin watanni shida da suka gabata a CFA?")</f>
        <v>Bancin aiken kuɗi da muka tattauna yanzu, nawa ne jimillar kuɗin da kuka samu na taimako ko kyaututtukan &lt;b&gt;a cikin watanni shida da suka gabata a CFA?</v>
      </c>
      <c r="J1434" s="152" t="s">
        <v>9705</v>
      </c>
      <c r="K1434" s="152" t="s">
        <v>9706</v>
      </c>
      <c r="L1434" s="152" t="s">
        <v>9707</v>
      </c>
    </row>
    <row r="1435" hidden="1">
      <c r="A1435" s="90" t="s">
        <v>134</v>
      </c>
      <c r="B1435" s="92" t="s">
        <v>9708</v>
      </c>
      <c r="C1435" s="28"/>
      <c r="D1435" s="28"/>
      <c r="E1435" s="28"/>
    </row>
    <row r="1436" hidden="1">
      <c r="A1436" s="90" t="s">
        <v>78</v>
      </c>
      <c r="B1436" s="92" t="s">
        <v>9709</v>
      </c>
      <c r="C1436" s="28"/>
      <c r="D1436" s="28"/>
      <c r="E1436" s="28"/>
    </row>
    <row r="1437" hidden="1">
      <c r="A1437" s="140" t="s">
        <v>237</v>
      </c>
      <c r="B1437" s="191" t="s">
        <v>9428</v>
      </c>
      <c r="C1437" s="28" t="s">
        <v>9429</v>
      </c>
      <c r="D1437" s="28"/>
      <c r="E1437" s="28"/>
    </row>
    <row r="1438" hidden="1">
      <c r="A1438" s="90" t="s">
        <v>134</v>
      </c>
      <c r="B1438" s="216" t="s">
        <v>9710</v>
      </c>
      <c r="C1438" s="28"/>
      <c r="D1438" s="28"/>
      <c r="E1438" s="28"/>
    </row>
    <row r="1439" hidden="1">
      <c r="A1439" s="140" t="s">
        <v>131</v>
      </c>
      <c r="B1439" s="164" t="s">
        <v>9711</v>
      </c>
      <c r="C1439" s="28" t="s">
        <v>9712</v>
      </c>
      <c r="D1439" s="28" t="s">
        <v>9713</v>
      </c>
      <c r="E1439" s="28" t="s">
        <v>9714</v>
      </c>
    </row>
    <row r="1440">
      <c r="A1440" s="68" t="s">
        <v>463</v>
      </c>
      <c r="B1440" s="169" t="s">
        <v>9715</v>
      </c>
      <c r="C1440" s="28" t="s">
        <v>9716</v>
      </c>
      <c r="D1440" s="28" t="s">
        <v>9717</v>
      </c>
      <c r="E1440" s="28" t="s">
        <v>9718</v>
      </c>
      <c r="F1440" s="161">
        <v>686.0</v>
      </c>
      <c r="G1440" s="152" t="str">
        <f>IFERROR(__xludf.DUMMYFUNCTION("TRIM(REGEXREPLACE(C1440, ""[0-9]+[a-f]?\."", """"))"),"In the past six months did your household make a significant investment or improvement in the house you reside in?")</f>
        <v>In the past six months did your household make a significant investment or improvement in the house you reside in?</v>
      </c>
      <c r="H1440" s="152" t="str">
        <f>IFERROR(__xludf.DUMMYFUNCTION("TRIM(REGEXREPLACE(D1440, ""[0-9]+[a-f]?\."", """"))"),"Au cours des six derniers mois, votre ménage a-t-il réalisé un investissement ou une amélioration significative dans la maison que vous occupez ?")</f>
        <v>Au cours des six derniers mois, votre ménage a-t-il réalisé un investissement ou une amélioration significative dans la maison que vous occupez ?</v>
      </c>
      <c r="I1440" s="152" t="str">
        <f>IFERROR(__xludf.DUMMYFUNCTION("TRIM(REGEXREPLACE(E1440, ""[0-9]+[a-f]?\."", """"))"),"A cikin watanni shida da suka gabata, an yi wasu kashe kashen kuɗi don gyara gidan ku wanda kuke zaune a ciki?")</f>
        <v>A cikin watanni shida da suka gabata, an yi wasu kashe kashen kuɗi don gyara gidan ku wanda kuke zaune a ciki?</v>
      </c>
      <c r="J1440" s="152" t="s">
        <v>9719</v>
      </c>
      <c r="K1440" s="152" t="s">
        <v>9720</v>
      </c>
      <c r="L1440" s="152" t="s">
        <v>9721</v>
      </c>
    </row>
    <row r="1441">
      <c r="A1441" s="68" t="s">
        <v>463</v>
      </c>
      <c r="B1441" s="169" t="s">
        <v>9722</v>
      </c>
      <c r="C1441" s="28" t="s">
        <v>9723</v>
      </c>
      <c r="D1441" s="28" t="s">
        <v>9724</v>
      </c>
      <c r="E1441" s="28" t="s">
        <v>9725</v>
      </c>
      <c r="F1441" s="161">
        <v>687.0</v>
      </c>
      <c r="G1441" s="152" t="str">
        <f>IFERROR(__xludf.DUMMYFUNCTION("TRIM(REGEXREPLACE(C1441, ""[0-9]+[a-f]?\."", """"))"),"Build additional rooms")</f>
        <v>Build additional rooms</v>
      </c>
      <c r="H1441" s="152" t="str">
        <f>IFERROR(__xludf.DUMMYFUNCTION("TRIM(REGEXREPLACE(D1441, ""[0-9]+[a-f]?\."", """"))"),"Construire des chambres supplémentaires")</f>
        <v>Construire des chambres supplémentaires</v>
      </c>
      <c r="I1441" s="152" t="str">
        <f>IFERROR(__xludf.DUMMYFUNCTION("TRIM(REGEXREPLACE(E1441, ""[0-9]+[a-f]?\."", """"))"),"Ginin ƙarin ɗakuna")</f>
        <v>Ginin ƙarin ɗakuna</v>
      </c>
      <c r="J1441" s="152" t="s">
        <v>9726</v>
      </c>
      <c r="K1441" s="152" t="s">
        <v>9727</v>
      </c>
      <c r="L1441" s="152" t="s">
        <v>9728</v>
      </c>
    </row>
    <row r="1442">
      <c r="A1442" s="68" t="s">
        <v>463</v>
      </c>
      <c r="B1442" s="169" t="s">
        <v>9729</v>
      </c>
      <c r="C1442" s="28" t="s">
        <v>9730</v>
      </c>
      <c r="D1442" s="28" t="s">
        <v>9731</v>
      </c>
      <c r="E1442" s="28" t="s">
        <v>9732</v>
      </c>
      <c r="F1442" s="161">
        <v>688.0</v>
      </c>
      <c r="G1442" s="152" t="str">
        <f>IFERROR(__xludf.DUMMYFUNCTION("TRIM(REGEXREPLACE(C1442, ""[0-9]+[a-f]?\."", """"))"),"Improve floors")</f>
        <v>Improve floors</v>
      </c>
      <c r="H1442" s="152" t="str">
        <f>IFERROR(__xludf.DUMMYFUNCTION("TRIM(REGEXREPLACE(D1442, ""[0-9]+[a-f]?\."", """"))"),"Améliorer les sols")</f>
        <v>Améliorer les sols</v>
      </c>
      <c r="I1442" s="152" t="str">
        <f>IFERROR(__xludf.DUMMYFUNCTION("TRIM(REGEXREPLACE(E1442, ""[0-9]+[a-f]?\."", """"))"),"Inganta filalayen gida")</f>
        <v>Inganta filalayen gida</v>
      </c>
      <c r="J1442" s="152" t="s">
        <v>9733</v>
      </c>
      <c r="K1442" s="152" t="s">
        <v>9734</v>
      </c>
      <c r="L1442" s="152" t="s">
        <v>9735</v>
      </c>
    </row>
    <row r="1443">
      <c r="A1443" s="68" t="s">
        <v>463</v>
      </c>
      <c r="B1443" s="169" t="s">
        <v>9736</v>
      </c>
      <c r="C1443" s="28" t="s">
        <v>9737</v>
      </c>
      <c r="D1443" s="28" t="s">
        <v>9738</v>
      </c>
      <c r="E1443" s="28" t="s">
        <v>9739</v>
      </c>
      <c r="F1443" s="161">
        <v>689.0</v>
      </c>
      <c r="G1443" s="152" t="str">
        <f>IFERROR(__xludf.DUMMYFUNCTION("TRIM(REGEXREPLACE(C1443, ""[0-9]+[a-f]?\."", """"))"),"Improve walls")</f>
        <v>Improve walls</v>
      </c>
      <c r="H1443" s="152" t="str">
        <f>IFERROR(__xludf.DUMMYFUNCTION("TRIM(REGEXREPLACE(D1443, ""[0-9]+[a-f]?\."", """"))"),"Réfectionner les murs")</f>
        <v>Réfectionner les murs</v>
      </c>
      <c r="I1443" s="152" t="str">
        <f>IFERROR(__xludf.DUMMYFUNCTION("TRIM(REGEXREPLACE(E1443, ""[0-9]+[a-f]?\."", """"))"),"gyara katangun gida")</f>
        <v>gyara katangun gida</v>
      </c>
      <c r="J1443" s="152" t="s">
        <v>9740</v>
      </c>
      <c r="K1443" s="152" t="s">
        <v>9741</v>
      </c>
      <c r="L1443" s="152" t="s">
        <v>9742</v>
      </c>
    </row>
    <row r="1444">
      <c r="A1444" s="68" t="s">
        <v>463</v>
      </c>
      <c r="B1444" s="169" t="s">
        <v>9743</v>
      </c>
      <c r="C1444" s="28" t="s">
        <v>9744</v>
      </c>
      <c r="D1444" s="28" t="s">
        <v>9745</v>
      </c>
      <c r="E1444" s="28" t="s">
        <v>9746</v>
      </c>
      <c r="F1444" s="161">
        <v>690.0</v>
      </c>
      <c r="G1444" s="152" t="str">
        <f>IFERROR(__xludf.DUMMYFUNCTION("TRIM(REGEXREPLACE(C1444, ""[0-9]+[a-f]?\."", """"))"),"Improve roof")</f>
        <v>Improve roof</v>
      </c>
      <c r="H1444" s="152" t="str">
        <f>IFERROR(__xludf.DUMMYFUNCTION("TRIM(REGEXREPLACE(D1444, ""[0-9]+[a-f]?\."", """"))"),"Réfectionner le toit")</f>
        <v>Réfectionner le toit</v>
      </c>
      <c r="I1444" s="152" t="str">
        <f>IFERROR(__xludf.DUMMYFUNCTION("TRIM(REGEXREPLACE(E1444, ""[0-9]+[a-f]?\."", """"))"),"gyara rufin gida")</f>
        <v>gyara rufin gida</v>
      </c>
      <c r="J1444" s="152" t="s">
        <v>9747</v>
      </c>
      <c r="K1444" s="152" t="s">
        <v>9748</v>
      </c>
      <c r="L1444" s="152" t="s">
        <v>9749</v>
      </c>
    </row>
    <row r="1445">
      <c r="A1445" s="68" t="s">
        <v>463</v>
      </c>
      <c r="B1445" s="169" t="s">
        <v>9750</v>
      </c>
      <c r="C1445" s="28" t="s">
        <v>9751</v>
      </c>
      <c r="D1445" s="28" t="s">
        <v>9752</v>
      </c>
      <c r="E1445" s="28" t="s">
        <v>9753</v>
      </c>
      <c r="F1445" s="161">
        <v>691.0</v>
      </c>
      <c r="G1445" s="152" t="str">
        <f>IFERROR(__xludf.DUMMYFUNCTION("TRIM(REGEXREPLACE(C1445, ""[0-9]+[a-f]?\."", """"))"),"Other improvement")</f>
        <v>Other improvement</v>
      </c>
      <c r="H1445" s="152" t="str">
        <f>IFERROR(__xludf.DUMMYFUNCTION("TRIM(REGEXREPLACE(D1445, ""[0-9]+[a-f]?\."", """"))"),"Autre amélioration")</f>
        <v>Autre amélioration</v>
      </c>
      <c r="I1445" s="152" t="str">
        <f>IFERROR(__xludf.DUMMYFUNCTION("TRIM(REGEXREPLACE(E1445, ""[0-9]+[a-f]?\."", """"))"),"Wasu gyare gyare daban")</f>
        <v>Wasu gyare gyare daban</v>
      </c>
      <c r="J1445" s="152" t="s">
        <v>9754</v>
      </c>
      <c r="K1445" s="152" t="s">
        <v>9755</v>
      </c>
      <c r="L1445" s="152" t="s">
        <v>9756</v>
      </c>
    </row>
    <row r="1446" hidden="1">
      <c r="A1446" s="140" t="s">
        <v>237</v>
      </c>
      <c r="B1446" s="191" t="s">
        <v>9711</v>
      </c>
      <c r="C1446" s="28" t="s">
        <v>9712</v>
      </c>
      <c r="D1446" s="28" t="s">
        <v>9713</v>
      </c>
      <c r="E1446" s="28" t="s">
        <v>9714</v>
      </c>
    </row>
    <row r="1447">
      <c r="A1447" s="179" t="s">
        <v>246</v>
      </c>
      <c r="B1447" s="180" t="s">
        <v>9757</v>
      </c>
      <c r="C1447" s="28" t="s">
        <v>9758</v>
      </c>
      <c r="D1447" s="28" t="s">
        <v>9759</v>
      </c>
      <c r="E1447" s="28" t="s">
        <v>9760</v>
      </c>
      <c r="F1447" s="161">
        <v>692.0</v>
      </c>
      <c r="G1447" s="152" t="str">
        <f>IFERROR(__xludf.DUMMYFUNCTION("TRIM(REGEXREPLACE(C1447, ""[0-9]+[a-f]?\."", """"))"),"Specify other improvement (i.e. connect to electricity, build latrine)")</f>
        <v>Specify other improvement (i.e. connect to electricity, build latrine)</v>
      </c>
      <c r="H1447" s="152" t="str">
        <f>IFERROR(__xludf.DUMMYFUNCTION("TRIM(REGEXREPLACE(D1447, ""[0-9]+[a-f]?\."", """"))"),"Précisez les autres améliorations (c.-à-d. connecter de l'électricité, construire des latrines)")</f>
        <v>Précisez les autres améliorations (c.-à-d. connecter de l'électricité, construire des latrines)</v>
      </c>
      <c r="I1447" s="152" t="str">
        <f>IFERROR(__xludf.DUMMYFUNCTION("TRIM(REGEXREPLACE(E1447, ""[0-9]+[a-f]?\."", """"))"),"Baiyana wasu abubuwan ingantawa (kamar sa wutar lantarki, gina salga (masai ) )")</f>
        <v>Baiyana wasu abubuwan ingantawa (kamar sa wutar lantarki, gina salga (masai ) )</v>
      </c>
      <c r="J1447" s="152" t="s">
        <v>9761</v>
      </c>
      <c r="K1447" s="152" t="s">
        <v>9762</v>
      </c>
      <c r="L1447" s="152" t="s">
        <v>9763</v>
      </c>
    </row>
    <row r="1448">
      <c r="A1448" s="170" t="s">
        <v>263</v>
      </c>
      <c r="B1448" s="171" t="s">
        <v>9764</v>
      </c>
      <c r="C1448" s="28" t="s">
        <v>9766</v>
      </c>
      <c r="D1448" s="28" t="s">
        <v>9767</v>
      </c>
      <c r="E1448" s="28" t="s">
        <v>9768</v>
      </c>
      <c r="F1448" s="161">
        <v>693.0</v>
      </c>
      <c r="G1448" s="152" t="str">
        <f>IFERROR(__xludf.DUMMYFUNCTION("TRIM(REGEXREPLACE(C1448, ""[0-9]+[a-f]?\."", """"))"),"Approximately how much did all of these investments together cost in CFA?")</f>
        <v>Approximately how much did all of these investments together cost in CFA?</v>
      </c>
      <c r="H1448" s="152" t="str">
        <f>IFERROR(__xludf.DUMMYFUNCTION("TRIM(REGEXREPLACE(D1448, ""[0-9]+[a-f]?\."", """"))"),"Combien ont coûté approximativement tous ces investissements (en CFA) ?")</f>
        <v>Combien ont coûté approximativement tous ces investissements (en CFA) ?</v>
      </c>
      <c r="I1448" s="152" t="str">
        <f>IFERROR(__xludf.DUMMYFUNCTION("TRIM(REGEXREPLACE(E1448, ""[0-9]+[a-f]?\."", """"))"),"Aƙalla nawa aka kashe akan waɗannan ayyukan a sefa?")</f>
        <v>Aƙalla nawa aka kashe akan waɗannan ayyukan a sefa?</v>
      </c>
      <c r="J1448" s="152" t="s">
        <v>9769</v>
      </c>
      <c r="K1448" s="152" t="s">
        <v>9770</v>
      </c>
      <c r="L1448" s="152" t="s">
        <v>9771</v>
      </c>
    </row>
    <row r="1449">
      <c r="A1449" s="68" t="s">
        <v>463</v>
      </c>
      <c r="B1449" s="169" t="s">
        <v>9772</v>
      </c>
      <c r="C1449" s="28" t="s">
        <v>9773</v>
      </c>
      <c r="D1449" s="28" t="s">
        <v>9774</v>
      </c>
      <c r="E1449" s="28" t="s">
        <v>9775</v>
      </c>
      <c r="F1449" s="161">
        <v>694.0</v>
      </c>
      <c r="G1449" s="152" t="str">
        <f>IFERROR(__xludf.DUMMYFUNCTION("TRIM(REGEXREPLACE(C1449, ""[0-9]+[a-f]?\."", """"))"),"In the past six months did you make any investments in your non-agricultural business?")</f>
        <v>In the past six months did you make any investments in your non-agricultural business?</v>
      </c>
      <c r="H1449" s="152" t="str">
        <f>IFERROR(__xludf.DUMMYFUNCTION("TRIM(REGEXREPLACE(D1449, ""[0-9]+[a-f]?\."", """"))"),"Au cours des six derniers mois, avez-vous investi dans votre entreprise non agricole ?")</f>
        <v>Au cours des six derniers mois, avez-vous investi dans votre entreprise non agricole ?</v>
      </c>
      <c r="I1449" s="152" t="str">
        <f>IFERROR(__xludf.DUMMYFUNCTION("TRIM(REGEXREPLACE(E1449, ""[0-9]+[a-f]?\."", """"))"),"A cikin watanni shida da suka gabata kun saka wani jari a cikin kasuwancin ku wanda ba na noma ba?")</f>
        <v>A cikin watanni shida da suka gabata kun saka wani jari a cikin kasuwancin ku wanda ba na noma ba?</v>
      </c>
      <c r="J1449" s="152" t="s">
        <v>9776</v>
      </c>
      <c r="K1449" s="152" t="s">
        <v>9777</v>
      </c>
      <c r="L1449" s="152" t="s">
        <v>9778</v>
      </c>
    </row>
    <row r="1450">
      <c r="A1450" s="179" t="s">
        <v>246</v>
      </c>
      <c r="B1450" s="180" t="s">
        <v>9779</v>
      </c>
      <c r="C1450" s="28" t="s">
        <v>9780</v>
      </c>
      <c r="D1450" s="28" t="s">
        <v>9781</v>
      </c>
      <c r="E1450" s="28" t="s">
        <v>9782</v>
      </c>
      <c r="F1450" s="161">
        <v>695.0</v>
      </c>
      <c r="G1450" s="152" t="str">
        <f>IFERROR(__xludf.DUMMYFUNCTION("TRIM(REGEXREPLACE(C1450, ""[0-9]+[a-f]?\."", """"))"),"Specify the improvement to your business")</f>
        <v>Specify the improvement to your business</v>
      </c>
      <c r="H1450" s="152" t="str">
        <f>IFERROR(__xludf.DUMMYFUNCTION("TRIM(REGEXREPLACE(D1450, ""[0-9]+[a-f]?\."", """"))"),"Précisez les investissements que vous avez fait dans votre entreprise")</f>
        <v>Précisez les investissements que vous avez fait dans votre entreprise</v>
      </c>
      <c r="I1450" s="152" t="str">
        <f>IFERROR(__xludf.DUMMYFUNCTION("TRIM(REGEXREPLACE(E1450, ""[0-9]+[a-f]?\."", """"))"),"Ku bayyana kuɗin da kuka kashe don haɓɓaka kasuwancin ku")</f>
        <v>Ku bayyana kuɗin da kuka kashe don haɓɓaka kasuwancin ku</v>
      </c>
      <c r="J1450" s="152" t="s">
        <v>9785</v>
      </c>
      <c r="K1450" s="152" t="s">
        <v>9786</v>
      </c>
      <c r="L1450" s="152" t="s">
        <v>9787</v>
      </c>
    </row>
    <row r="1451">
      <c r="A1451" s="68" t="s">
        <v>463</v>
      </c>
      <c r="B1451" s="169" t="s">
        <v>9788</v>
      </c>
      <c r="C1451" s="28" t="s">
        <v>9789</v>
      </c>
      <c r="D1451" s="28" t="s">
        <v>9790</v>
      </c>
      <c r="E1451" s="28" t="s">
        <v>9791</v>
      </c>
      <c r="F1451" s="161">
        <v>696.0</v>
      </c>
      <c r="G1451" s="152" t="str">
        <f>IFERROR(__xludf.DUMMYFUNCTION("TRIM(REGEXREPLACE(C1451, ""[0-9]+[a-f]?\."", """"))"),"In the past six months did you make any investments to improve the productivity of your land?")</f>
        <v>In the past six months did you make any investments to improve the productivity of your land?</v>
      </c>
      <c r="H1451" s="152" t="str">
        <f>IFERROR(__xludf.DUMMYFUNCTION("TRIM(REGEXREPLACE(D1451, ""[0-9]+[a-f]?\."", """"))"),"Au cours des six derniers mois, avez-vous investi pour améliorer la productivité de vos terres ?")</f>
        <v>Au cours des six derniers mois, avez-vous investi pour améliorer la productivité de vos terres ?</v>
      </c>
      <c r="I1451" s="152" t="str">
        <f>IFERROR(__xludf.DUMMYFUNCTION("TRIM(REGEXREPLACE(E1451, ""[0-9]+[a-f]?\."", """"))"),"A cikin watanni shida da suka gabata kun yi wasu kashe kashen kuɗi don inganta samun amfani a gonakin ku?")</f>
        <v>A cikin watanni shida da suka gabata kun yi wasu kashe kashen kuɗi don inganta samun amfani a gonakin ku?</v>
      </c>
      <c r="J1451" s="152" t="s">
        <v>9792</v>
      </c>
      <c r="K1451" s="152" t="s">
        <v>9793</v>
      </c>
      <c r="L1451" s="152" t="s">
        <v>9794</v>
      </c>
    </row>
    <row r="1452">
      <c r="A1452" s="179" t="s">
        <v>246</v>
      </c>
      <c r="B1452" s="180" t="s">
        <v>9795</v>
      </c>
      <c r="C1452" s="28" t="s">
        <v>9796</v>
      </c>
      <c r="D1452" s="28" t="s">
        <v>9797</v>
      </c>
      <c r="E1452" s="28" t="s">
        <v>9798</v>
      </c>
      <c r="F1452" s="161">
        <v>697.0</v>
      </c>
      <c r="G1452" s="152" t="str">
        <f>IFERROR(__xludf.DUMMYFUNCTION("TRIM(REGEXREPLACE(C1452, ""[0-9]+[a-f]?\."", """"))"),"Specify improvement to land")</f>
        <v>Specify improvement to land</v>
      </c>
      <c r="H1452" s="152" t="str">
        <f>IFERROR(__xludf.DUMMYFUNCTION("TRIM(REGEXREPLACE(D1452, ""[0-9]+[a-f]?\."", """"))"),"Précisez les améliorations de votre terre que vous avez fait")</f>
        <v>Précisez les améliorations de votre terre que vous avez fait</v>
      </c>
      <c r="I1452" s="152" t="str">
        <f>IFERROR(__xludf.DUMMYFUNCTION("TRIM(REGEXREPLACE(E1452, ""[0-9]+[a-f]?\."", """"))"),"Ku bayyana kuɗin da kuka kashe don haɓɓaka gonarku")</f>
        <v>Ku bayyana kuɗin da kuka kashe don haɓɓaka gonarku</v>
      </c>
      <c r="J1452" s="152" t="s">
        <v>9799</v>
      </c>
      <c r="K1452" s="152" t="s">
        <v>9800</v>
      </c>
      <c r="L1452" s="152" t="s">
        <v>9801</v>
      </c>
    </row>
    <row r="1453" hidden="1">
      <c r="A1453" s="90" t="s">
        <v>134</v>
      </c>
      <c r="B1453" s="92" t="s">
        <v>9802</v>
      </c>
      <c r="C1453" s="28"/>
      <c r="D1453" s="28"/>
      <c r="E1453" s="28"/>
    </row>
    <row r="1454" hidden="1">
      <c r="A1454" s="90" t="s">
        <v>78</v>
      </c>
      <c r="B1454" s="92" t="s">
        <v>9803</v>
      </c>
      <c r="C1454" s="28"/>
      <c r="D1454" s="28"/>
      <c r="E1454" s="28"/>
    </row>
    <row r="1455" hidden="1">
      <c r="A1455" s="90" t="s">
        <v>134</v>
      </c>
      <c r="B1455" s="92" t="s">
        <v>9804</v>
      </c>
      <c r="C1455" s="28"/>
      <c r="D1455" s="28"/>
      <c r="E1455" s="28"/>
    </row>
    <row r="1456">
      <c r="A1456" s="166" t="s">
        <v>41</v>
      </c>
      <c r="B1456" s="167" t="s">
        <v>9805</v>
      </c>
      <c r="C1456" s="28" t="s">
        <v>9806</v>
      </c>
      <c r="D1456" s="28" t="s">
        <v>9807</v>
      </c>
      <c r="E1456" s="28" t="s">
        <v>9808</v>
      </c>
      <c r="F1456" s="161">
        <v>698.0</v>
      </c>
      <c r="G1456" s="152" t="str">
        <f>IFERROR(__xludf.DUMMYFUNCTION("TRIM(REGEXREPLACE(C1456, ""[0-9]+[a-f]?\."", """"))"),"Now I will ask you about different ways your household may use money that you earn.")</f>
        <v>Now I will ask you about different ways your household may use money that you earn.</v>
      </c>
      <c r="H1456" s="152" t="str">
        <f>IFERROR(__xludf.DUMMYFUNCTION("TRIM(REGEXREPLACE(D1456, ""[0-9]+[a-f]?\."", """"))"),"Je vais maintenant vous poser des questions sur les différentes façons dont votre ménage peut utiliser l'argent que vous gagnez.")</f>
        <v>Je vais maintenant vous poser des questions sur les différentes façons dont votre ménage peut utiliser l'argent que vous gagnez.</v>
      </c>
      <c r="I1456" s="152" t="str">
        <f>IFERROR(__xludf.DUMMYFUNCTION("TRIM(REGEXREPLACE(E1456, ""[0-9]+[a-f]?\."", """"))"),"Yanzu zan yi muku tambayoyi game hanyoyi daban-daban da gidanku ke iya amfani da su don kashe kuɗin da yake samu.")</f>
        <v>Yanzu zan yi muku tambayoyi game hanyoyi daban-daban da gidanku ke iya amfani da su don kashe kuɗin da yake samu.</v>
      </c>
      <c r="J1456" s="152" t="s">
        <v>9809</v>
      </c>
      <c r="K1456" s="152" t="s">
        <v>9810</v>
      </c>
      <c r="L1456" s="152" t="s">
        <v>9811</v>
      </c>
    </row>
    <row r="1457">
      <c r="A1457" s="68" t="s">
        <v>5581</v>
      </c>
      <c r="B1457" s="169" t="s">
        <v>9812</v>
      </c>
      <c r="C1457" s="28" t="s">
        <v>9813</v>
      </c>
      <c r="D1457" s="28" t="s">
        <v>9814</v>
      </c>
      <c r="E1457" s="28" t="s">
        <v>9815</v>
      </c>
      <c r="F1457" s="161">
        <v>699.0</v>
      </c>
      <c r="G1457" s="152" t="str">
        <f>IFERROR(__xludf.DUMMYFUNCTION("TRIM(REGEXREPLACE(C1457, ""[0-9]+[a-f]?\."", """"))"),"Does your household currently have any savings that you keep in any of the following ways?")</f>
        <v>Does your household currently have any savings that you keep in any of the following ways?</v>
      </c>
      <c r="H1457" s="152" t="str">
        <f>IFERROR(__xludf.DUMMYFUNCTION("TRIM(REGEXREPLACE(D1457, ""[0-9]+[a-f]?\."", """"))"),"Votre ménage dispose-t-il actuellement d'économies que vous conservez de l'une des manières suivantes ?")</f>
        <v>Votre ménage dispose-t-il actuellement d'économies que vous conservez de l'une des manières suivantes ?</v>
      </c>
      <c r="I1457" s="152" t="str">
        <f>IFERROR(__xludf.DUMMYFUNCTION("TRIM(REGEXREPLACE(E1457, ""[0-9]+[a-f]?\."", """"))"),"Ko a halin yanzu gidanku na da ajiyar kuɗi daga ɗaya a cikin wanɗannan dubaru?")</f>
        <v>Ko a halin yanzu gidanku na da ajiyar kuɗi daga ɗaya a cikin wanɗannan dubaru?</v>
      </c>
      <c r="J1457" s="152" t="s">
        <v>9816</v>
      </c>
      <c r="K1457" s="152" t="s">
        <v>9817</v>
      </c>
      <c r="L1457" s="152" t="s">
        <v>9818</v>
      </c>
    </row>
    <row r="1458">
      <c r="A1458" s="179" t="s">
        <v>246</v>
      </c>
      <c r="B1458" s="180" t="s">
        <v>9819</v>
      </c>
      <c r="C1458" s="28" t="s">
        <v>9820</v>
      </c>
      <c r="D1458" s="28" t="s">
        <v>9821</v>
      </c>
      <c r="E1458" s="28" t="s">
        <v>9822</v>
      </c>
      <c r="F1458" s="161">
        <v>700.0</v>
      </c>
      <c r="G1458" s="152" t="str">
        <f>IFERROR(__xludf.DUMMYFUNCTION("TRIM(REGEXREPLACE(C1458, ""[0-9]+[a-f]?\."", """"))"),"Specify other:")</f>
        <v>Specify other:</v>
      </c>
      <c r="H1458" s="152" t="str">
        <f>IFERROR(__xludf.DUMMYFUNCTION("TRIM(REGEXREPLACE(D1458, ""[0-9]+[a-f]?\."", """"))"),"Autre a préciser :")</f>
        <v>Autre a préciser :</v>
      </c>
      <c r="I1458" s="152" t="str">
        <f>IFERROR(__xludf.DUMMYFUNCTION("TRIM(REGEXREPLACE(E1458, ""[0-9]+[a-f]?\."", """"))"),"Baiyana wani abu daban:")</f>
        <v>Baiyana wani abu daban:</v>
      </c>
      <c r="J1458" s="152" t="s">
        <v>9823</v>
      </c>
      <c r="K1458" s="152" t="s">
        <v>9824</v>
      </c>
      <c r="L1458" s="152" t="s">
        <v>9825</v>
      </c>
    </row>
    <row r="1459" hidden="1">
      <c r="A1459" s="174" t="s">
        <v>698</v>
      </c>
      <c r="B1459" s="175" t="s">
        <v>9826</v>
      </c>
      <c r="C1459" s="28" t="s">
        <v>5598</v>
      </c>
      <c r="D1459" s="28" t="s">
        <v>5599</v>
      </c>
      <c r="E1459" s="28" t="s">
        <v>5600</v>
      </c>
    </row>
    <row r="1460" hidden="1">
      <c r="A1460" s="90" t="s">
        <v>78</v>
      </c>
      <c r="B1460" s="92" t="s">
        <v>9827</v>
      </c>
      <c r="C1460" s="28"/>
      <c r="D1460" s="28"/>
      <c r="E1460" s="28"/>
    </row>
    <row r="1461" hidden="1">
      <c r="A1461" s="90" t="s">
        <v>78</v>
      </c>
      <c r="B1461" s="92" t="s">
        <v>9828</v>
      </c>
      <c r="C1461" s="28" t="s">
        <v>5602</v>
      </c>
      <c r="D1461" s="28" t="s">
        <v>5603</v>
      </c>
      <c r="E1461" s="28" t="s">
        <v>9829</v>
      </c>
    </row>
    <row r="1462">
      <c r="A1462" s="170" t="s">
        <v>263</v>
      </c>
      <c r="B1462" s="171" t="s">
        <v>9830</v>
      </c>
      <c r="C1462" s="28" t="s">
        <v>9831</v>
      </c>
      <c r="D1462" s="28" t="s">
        <v>9832</v>
      </c>
      <c r="E1462" s="28" t="s">
        <v>9833</v>
      </c>
      <c r="F1462" s="161">
        <v>701.0</v>
      </c>
      <c r="G1462" s="152" t="str">
        <f>IFERROR(__xludf.DUMMYFUNCTION("TRIM(REGEXREPLACE(C1462, ""[0-9]+[a-f]?\."", """"))"),"Please share with us your best estimate of the value in CFA ${hoh_savings_name}")</f>
        <v>Please share with us your best estimate of the value in CFA ${hoh_savings_name}</v>
      </c>
      <c r="H1462" s="152" t="str">
        <f>IFERROR(__xludf.DUMMYFUNCTION("TRIM(REGEXREPLACE(D1462, ""[0-9]+[a-f]?\."", """"))"),"Veuillez nous dire votre meilleure estimation de la valeur en CFA ${hoh_savings_name}")</f>
        <v>Veuillez nous dire votre meilleure estimation de la valeur en CFA ${hoh_savings_name}</v>
      </c>
      <c r="I1462" s="152" t="str">
        <f>IFERROR(__xludf.DUMMYFUNCTION("TRIM(REGEXREPLACE(E1462, ""[0-9]+[a-f]?\."", """"))"),"Da fatan zaku baiyana mini yawan kuɗin a tsammaninku ${hoh_savings_name} a CFA")</f>
        <v>Da fatan zaku baiyana mini yawan kuɗin a tsammaninku ${hoh_savings_name} a CFA</v>
      </c>
      <c r="J1462" s="152" t="s">
        <v>9834</v>
      </c>
      <c r="K1462" s="152" t="s">
        <v>9835</v>
      </c>
      <c r="L1462" s="152" t="s">
        <v>9836</v>
      </c>
    </row>
    <row r="1463">
      <c r="A1463" s="68" t="s">
        <v>463</v>
      </c>
      <c r="B1463" s="169" t="s">
        <v>9837</v>
      </c>
      <c r="C1463" s="28" t="s">
        <v>9838</v>
      </c>
      <c r="D1463" s="28" t="s">
        <v>9839</v>
      </c>
      <c r="E1463" s="28" t="s">
        <v>9840</v>
      </c>
      <c r="F1463" s="161">
        <v>702.0</v>
      </c>
      <c r="G1463" s="152" t="str">
        <f>IFERROR(__xludf.DUMMYFUNCTION("TRIM(REGEXREPLACE(C1463, ""[0-9]+[a-f]?\."", """"))"),"Do you earn interest on this money ${hoh_savings_name}?")</f>
        <v>Do you earn interest on this money ${hoh_savings_name}?</v>
      </c>
      <c r="H1463" s="152" t="str">
        <f>IFERROR(__xludf.DUMMYFUNCTION("TRIM(REGEXREPLACE(D1463, ""[0-9]+[a-f]?\."", """"))"),"Gagnez-vous des intérêts sur cet argent ${hoh_savings_name} ?")</f>
        <v>Gagnez-vous des intérêts sur cet argent ${hoh_savings_name} ?</v>
      </c>
      <c r="I1463" s="152" t="str">
        <f>IFERROR(__xludf.DUMMYFUNCTION("TRIM(REGEXREPLACE(E1463, ""[0-9]+[a-f]?\."", """"))"),"Kuna samun kudin ruwa akan wannan kuɗin ${hoh_savings_name}?")</f>
        <v>Kuna samun kudin ruwa akan wannan kuɗin ${hoh_savings_name}?</v>
      </c>
      <c r="J1463" s="152" t="s">
        <v>9841</v>
      </c>
      <c r="K1463" s="152" t="s">
        <v>9842</v>
      </c>
      <c r="L1463" s="152" t="s">
        <v>9843</v>
      </c>
    </row>
    <row r="1464" hidden="1">
      <c r="A1464" s="174" t="s">
        <v>1015</v>
      </c>
      <c r="B1464" s="204" t="s">
        <v>9826</v>
      </c>
      <c r="C1464" s="28" t="s">
        <v>5598</v>
      </c>
      <c r="D1464" s="28" t="s">
        <v>5599</v>
      </c>
      <c r="E1464" s="28" t="s">
        <v>5600</v>
      </c>
    </row>
    <row r="1465" hidden="1">
      <c r="A1465" s="90" t="s">
        <v>134</v>
      </c>
      <c r="B1465" s="92" t="s">
        <v>9844</v>
      </c>
      <c r="C1465" s="28"/>
      <c r="D1465" s="28"/>
      <c r="E1465" s="28"/>
    </row>
    <row r="1466" hidden="1">
      <c r="A1466" s="90" t="s">
        <v>78</v>
      </c>
      <c r="B1466" s="92" t="s">
        <v>9845</v>
      </c>
      <c r="C1466" s="28"/>
      <c r="D1466" s="28"/>
      <c r="E1466" s="28"/>
    </row>
    <row r="1467" hidden="1">
      <c r="A1467" s="90" t="s">
        <v>78</v>
      </c>
      <c r="B1467" s="92" t="s">
        <v>9846</v>
      </c>
      <c r="C1467" s="28"/>
      <c r="D1467" s="28"/>
      <c r="E1467" s="28"/>
    </row>
    <row r="1468">
      <c r="A1468" s="68" t="s">
        <v>463</v>
      </c>
      <c r="B1468" s="169" t="s">
        <v>9847</v>
      </c>
      <c r="C1468" s="28" t="s">
        <v>9848</v>
      </c>
      <c r="D1468" s="28" t="s">
        <v>9849</v>
      </c>
      <c r="E1468" s="28" t="s">
        <v>9850</v>
      </c>
      <c r="F1468" s="161">
        <v>703.0</v>
      </c>
      <c r="G1468" s="152" t="str">
        <f>IFERROR(__xludf.DUMMYFUNCTION("TRIM(REGEXREPLACE(C1468, ""[0-9]+[a-f]?\."", """"))"),"Total savings: ${hoh_savings_total}: Does this look correct?")</f>
        <v>Total savings: ${hoh_savings_total}: Does this look correct?</v>
      </c>
      <c r="H1468" s="152" t="str">
        <f>IFERROR(__xludf.DUMMYFUNCTION("TRIM(REGEXREPLACE(D1468, ""[0-9]+[a-f]?\."", """"))"),"Économies totales : ${hoh_savings_total} : cela vous semble correct ?")</f>
        <v>Économies totales : ${hoh_savings_total} : cela vous semble correct ?</v>
      </c>
      <c r="I1468" s="152" t="str">
        <f>IFERROR(__xludf.DUMMYFUNCTION("TRIM(REGEXREPLACE(E1468, ""[0-9]+[a-f]?\."", """"))"),"Jimillar ajiya: ${hoh_savings_total}: kuna ganin ​​wannan yayi daidai?")</f>
        <v>Jimillar ajiya: ${hoh_savings_total}: kuna ganin ​​wannan yayi daidai?</v>
      </c>
      <c r="J1468" s="152" t="s">
        <v>9851</v>
      </c>
      <c r="K1468" s="152" t="s">
        <v>9852</v>
      </c>
      <c r="L1468" s="152" t="s">
        <v>9853</v>
      </c>
    </row>
    <row r="1469" hidden="1">
      <c r="A1469" s="68"/>
      <c r="B1469" s="169"/>
      <c r="C1469" s="28"/>
      <c r="D1469" s="28"/>
      <c r="E1469" s="28"/>
    </row>
    <row r="1470">
      <c r="A1470" s="68" t="s">
        <v>5720</v>
      </c>
      <c r="B1470" s="169" t="s">
        <v>9854</v>
      </c>
      <c r="C1470" s="28" t="s">
        <v>9855</v>
      </c>
      <c r="D1470" s="28" t="s">
        <v>9856</v>
      </c>
      <c r="E1470" s="28" t="s">
        <v>9857</v>
      </c>
      <c r="F1470" s="161">
        <v>704.0</v>
      </c>
      <c r="G1470" s="152" t="str">
        <f>IFERROR(__xludf.DUMMYFUNCTION("TRIM(REGEXREPLACE(C1470, ""[0-9]+[a-f]?\."", """"))"),"During ${period}, was your household negatively affected by any of the following types of events?")</f>
        <v>During ${period}, was your household negatively affected by any of the following types of events?</v>
      </c>
      <c r="H1470" s="152" t="str">
        <f>IFERROR(__xludf.DUMMYFUNCTION("TRIM(REGEXREPLACE(D1470, ""[0-9]+[a-f]?\."", """"))"),"Au cours de ${period_french}, votre ménage a-t-il été affecté négativement par l'un des types d'événements suivants ?")</f>
        <v>Au cours de ${period_french}, votre ménage a-t-il été affecté négativement par l'un des types d'événements suivants ?</v>
      </c>
      <c r="I1470" s="152" t="str">
        <f>IFERROR(__xludf.DUMMYFUNCTION("TRIM(REGEXREPLACE(E1470, ""[0-9]+[a-f]?\."", """"))"),"A lokacin ${period_hausa}, ko gidanku ya fuskanci wani daga cikin matsaloli nan masu zuwa? Zaɓi duk abin da ya dace")</f>
        <v>A lokacin ${period_hausa}, ko gidanku ya fuskanci wani daga cikin matsaloli nan masu zuwa? Zaɓi duk abin da ya dace</v>
      </c>
      <c r="J1470" s="152" t="s">
        <v>9858</v>
      </c>
      <c r="K1470" s="152" t="s">
        <v>9859</v>
      </c>
      <c r="L1470" s="152" t="s">
        <v>9860</v>
      </c>
    </row>
    <row r="1471">
      <c r="A1471" s="179" t="s">
        <v>246</v>
      </c>
      <c r="B1471" s="180" t="s">
        <v>9861</v>
      </c>
      <c r="C1471" s="28" t="s">
        <v>9862</v>
      </c>
      <c r="D1471" s="28" t="s">
        <v>9863</v>
      </c>
      <c r="E1471" s="28" t="s">
        <v>9864</v>
      </c>
      <c r="F1471" s="161">
        <v>705.0</v>
      </c>
      <c r="G1471" s="152" t="str">
        <f>IFERROR(__xludf.DUMMYFUNCTION("TRIM(REGEXREPLACE(C1471, ""[0-9]+[a-f]?\."", """"))"),"Please briefly describe the event(s) that negatveily affected your household")</f>
        <v>Please briefly describe the event(s) that negatveily affected your household</v>
      </c>
      <c r="H1471" s="152" t="str">
        <f>IFERROR(__xludf.DUMMYFUNCTION("TRIM(REGEXREPLACE(D1471, ""[0-9]+[a-f]?\."", """"))"),"Veuillez décrire brièvement le/les événement(s) qui ont eu des effets négatifs sur votre ménage au cours des 3 derniers mois")</f>
        <v>Veuillez décrire brièvement le/les événement(s) qui ont eu des effets négatifs sur votre ménage au cours des 3 derniers mois</v>
      </c>
      <c r="I1471" s="152" t="str">
        <f>IFERROR(__xludf.DUMMYFUNCTION("TRIM(REGEXREPLACE(E1471, ""[0-9]+[a-f]?\."", """"))"),"Da fatan za ku yi taƙaitaccen bayani a kan abin da ya shafi gidan ku")</f>
        <v>Da fatan za ku yi taƙaitaccen bayani a kan abin da ya shafi gidan ku</v>
      </c>
      <c r="J1471" s="152" t="s">
        <v>9865</v>
      </c>
      <c r="K1471" s="152" t="s">
        <v>9866</v>
      </c>
      <c r="L1471" s="152" t="s">
        <v>9867</v>
      </c>
    </row>
    <row r="1472" hidden="1">
      <c r="A1472" s="90" t="s">
        <v>134</v>
      </c>
      <c r="B1472" s="92" t="s">
        <v>9868</v>
      </c>
      <c r="C1472" s="28"/>
      <c r="D1472" s="28"/>
      <c r="E1472" s="28"/>
    </row>
    <row r="1473" hidden="1">
      <c r="A1473" s="174" t="s">
        <v>698</v>
      </c>
      <c r="B1473" s="175" t="s">
        <v>9869</v>
      </c>
      <c r="C1473" s="28" t="s">
        <v>9870</v>
      </c>
      <c r="D1473" s="28"/>
      <c r="E1473" s="28"/>
    </row>
    <row r="1474" hidden="1">
      <c r="A1474" s="90" t="s">
        <v>78</v>
      </c>
      <c r="B1474" s="92" t="s">
        <v>9871</v>
      </c>
      <c r="C1474" s="28" t="s">
        <v>9872</v>
      </c>
      <c r="D1474" s="28"/>
      <c r="E1474" s="28"/>
    </row>
    <row r="1475" hidden="1">
      <c r="A1475" s="140" t="s">
        <v>131</v>
      </c>
      <c r="B1475" s="164" t="s">
        <v>9873</v>
      </c>
      <c r="C1475" s="28"/>
      <c r="D1475" s="28"/>
      <c r="E1475" s="28"/>
    </row>
    <row r="1476">
      <c r="A1476" s="68" t="s">
        <v>2625</v>
      </c>
      <c r="B1476" s="169" t="s">
        <v>9874</v>
      </c>
      <c r="C1476" s="28" t="s">
        <v>9875</v>
      </c>
      <c r="D1476" s="28" t="s">
        <v>9876</v>
      </c>
      <c r="E1476" s="28" t="s">
        <v>9877</v>
      </c>
      <c r="F1476" s="161">
        <v>706.0</v>
      </c>
      <c r="G1476" s="152" t="str">
        <f>IFERROR(__xludf.DUMMYFUNCTION("TRIM(REGEXREPLACE(C1476, ""[0-9]+[a-f]?\."", """"))"),"In response to ${hoh_emergency_name}, did you or your household take the following actions?")</f>
        <v>In response to ${hoh_emergency_name}, did you or your household take the following actions?</v>
      </c>
      <c r="H1476" s="152" t="str">
        <f>IFERROR(__xludf.DUMMYFUNCTION("TRIM(REGEXREPLACE(D1476, ""[0-9]+[a-f]?\."", """"))"),"En réponse à ${hoh_emergency_name}, avez-vous vous ou votre ménage pris les mesures suivantes ??")</f>
        <v>En réponse à ${hoh_emergency_name}, avez-vous vous ou votre ménage pris les mesures suivantes ??</v>
      </c>
      <c r="I1476" s="152" t="str">
        <f>IFERROR(__xludf.DUMMYFUNCTION("TRIM(REGEXREPLACE(E1476, ""[0-9]+[a-f]?\."", """"))"),"Dangance da ${hoh_emergency_name}, ku ko ƴan gindanku kun ɗauki waɗannan matakai?")</f>
        <v>Dangance da ${hoh_emergency_name}, ku ko ƴan gindanku kun ɗauki waɗannan matakai?</v>
      </c>
      <c r="J1476" s="152" t="s">
        <v>9878</v>
      </c>
      <c r="K1476" s="152" t="s">
        <v>9879</v>
      </c>
      <c r="L1476" s="152" t="s">
        <v>9880</v>
      </c>
    </row>
    <row r="1477">
      <c r="A1477" s="68" t="s">
        <v>2625</v>
      </c>
      <c r="B1477" s="169" t="s">
        <v>9881</v>
      </c>
      <c r="C1477" s="28" t="s">
        <v>9882</v>
      </c>
      <c r="D1477" s="28" t="s">
        <v>9883</v>
      </c>
      <c r="E1477" s="28" t="s">
        <v>9884</v>
      </c>
      <c r="F1477" s="161">
        <v>707.0</v>
      </c>
      <c r="G1477" s="152" t="str">
        <f>IFERROR(__xludf.DUMMYFUNCTION("TRIM(REGEXREPLACE(C1477, ""[0-9]+[a-f]?\."", """"))"),"Sell assets?")</f>
        <v>Sell assets?</v>
      </c>
      <c r="H1477" s="152" t="str">
        <f>IFERROR(__xludf.DUMMYFUNCTION("TRIM(REGEXREPLACE(D1477, ""[0-9]+[a-f]?\."", """"))"),"Vendre des actifs")</f>
        <v>Vendre des actifs</v>
      </c>
      <c r="I1477" s="152" t="str">
        <f>IFERROR(__xludf.DUMMYFUNCTION("TRIM(REGEXREPLACE(E1477, ""[0-9]+[a-f]?\."", """"))"),"Saida kadarori")</f>
        <v>Saida kadarori</v>
      </c>
      <c r="J1477" s="152" t="s">
        <v>9885</v>
      </c>
      <c r="K1477" s="152" t="s">
        <v>9886</v>
      </c>
      <c r="L1477" s="152" t="s">
        <v>9887</v>
      </c>
    </row>
    <row r="1478">
      <c r="A1478" s="68" t="s">
        <v>2625</v>
      </c>
      <c r="B1478" s="169" t="s">
        <v>9888</v>
      </c>
      <c r="C1478" s="28" t="s">
        <v>9889</v>
      </c>
      <c r="D1478" s="28" t="s">
        <v>9890</v>
      </c>
      <c r="E1478" s="28" t="s">
        <v>9891</v>
      </c>
      <c r="F1478" s="161">
        <v>708.0</v>
      </c>
      <c r="G1478" s="152" t="str">
        <f>IFERROR(__xludf.DUMMYFUNCTION("TRIM(REGEXREPLACE(C1478, ""[0-9]+[a-f]?\."", """"))"),"Borrow money?")</f>
        <v>Borrow money?</v>
      </c>
      <c r="H1478" s="152" t="str">
        <f>IFERROR(__xludf.DUMMYFUNCTION("TRIM(REGEXREPLACE(D1478, ""[0-9]+[a-f]?\."", """"))"),"Emprunter de l'argent")</f>
        <v>Emprunter de l'argent</v>
      </c>
      <c r="I1478" s="152" t="str">
        <f>IFERROR(__xludf.DUMMYFUNCTION("TRIM(REGEXREPLACE(E1478, ""[0-9]+[a-f]?\."", """"))"),"Bashin kuɗi")</f>
        <v>Bashin kuɗi</v>
      </c>
      <c r="J1478" s="152" t="s">
        <v>9892</v>
      </c>
      <c r="K1478" s="152" t="s">
        <v>9893</v>
      </c>
      <c r="L1478" s="152" t="s">
        <v>9894</v>
      </c>
    </row>
    <row r="1479">
      <c r="A1479" s="68" t="s">
        <v>2625</v>
      </c>
      <c r="B1479" s="169" t="s">
        <v>9895</v>
      </c>
      <c r="C1479" s="28" t="s">
        <v>9896</v>
      </c>
      <c r="D1479" s="28" t="s">
        <v>9897</v>
      </c>
      <c r="E1479" s="28" t="s">
        <v>9898</v>
      </c>
      <c r="F1479" s="161">
        <v>709.0</v>
      </c>
      <c r="G1479" s="152" t="str">
        <f>IFERROR(__xludf.DUMMYFUNCTION("TRIM(REGEXREPLACE(C1479, ""[0-9]+[a-f]?\."", """"))"),"Spend your savings?")</f>
        <v>Spend your savings?</v>
      </c>
      <c r="H1479" s="152" t="str">
        <f>IFERROR(__xludf.DUMMYFUNCTION("TRIM(REGEXREPLACE(D1479, ""[0-9]+[a-f]?\."", """"))"),"Utiliser votre épargne")</f>
        <v>Utiliser votre épargne</v>
      </c>
      <c r="I1479" s="152" t="str">
        <f>IFERROR(__xludf.DUMMYFUNCTION("TRIM(REGEXREPLACE(E1479, ""[0-9]+[a-f]?\."", """"))"),"Kashe kuɗin ajiyar ku")</f>
        <v>Kashe kuɗin ajiyar ku</v>
      </c>
      <c r="J1479" s="152" t="s">
        <v>9899</v>
      </c>
      <c r="K1479" s="152" t="s">
        <v>9900</v>
      </c>
      <c r="L1479" s="152" t="s">
        <v>9901</v>
      </c>
    </row>
    <row r="1480">
      <c r="A1480" s="68" t="s">
        <v>2625</v>
      </c>
      <c r="B1480" s="169" t="s">
        <v>9902</v>
      </c>
      <c r="C1480" s="28" t="s">
        <v>9903</v>
      </c>
      <c r="D1480" s="28" t="s">
        <v>9904</v>
      </c>
      <c r="E1480" s="28" t="s">
        <v>9905</v>
      </c>
      <c r="F1480" s="161">
        <v>710.0</v>
      </c>
      <c r="G1480" s="152" t="str">
        <f>IFERROR(__xludf.DUMMYFUNCTION("TRIM(REGEXREPLACE(C1480, ""[0-9]+[a-f]?\."", """"))"),"Reduce spending on food or change your food consumption?")</f>
        <v>Reduce spending on food or change your food consumption?</v>
      </c>
      <c r="H1480" s="152" t="str">
        <f>IFERROR(__xludf.DUMMYFUNCTION("TRIM(REGEXREPLACE(D1480, ""[0-9]+[a-f]?\."", """"))"),"Réduire les dépenses alimentaires ou changé des habitudes de consommation ?")</f>
        <v>Réduire les dépenses alimentaires ou changé des habitudes de consommation ?</v>
      </c>
      <c r="I1480" s="152" t="str">
        <f>IFERROR(__xludf.DUMMYFUNCTION("TRIM(REGEXREPLACE(E1480, ""[0-9]+[a-f]?\."", """"))"),"Rage kashe kuɗi akan abinci ko canza abincin?")</f>
        <v>Rage kashe kuɗi akan abinci ko canza abincin?</v>
      </c>
      <c r="J1480" s="152" t="s">
        <v>9906</v>
      </c>
      <c r="K1480" s="152" t="s">
        <v>9907</v>
      </c>
      <c r="L1480" s="152" t="s">
        <v>9908</v>
      </c>
    </row>
    <row r="1481" hidden="1">
      <c r="A1481" s="140" t="s">
        <v>237</v>
      </c>
      <c r="B1481" s="191" t="s">
        <v>9873</v>
      </c>
      <c r="C1481" s="28"/>
      <c r="D1481" s="28"/>
      <c r="E1481" s="28"/>
    </row>
    <row r="1482" hidden="1">
      <c r="A1482" s="140" t="s">
        <v>131</v>
      </c>
      <c r="B1482" s="164" t="s">
        <v>9909</v>
      </c>
      <c r="C1482" s="28"/>
      <c r="D1482" s="28"/>
      <c r="E1482" s="28"/>
    </row>
    <row r="1483">
      <c r="A1483" s="166" t="s">
        <v>41</v>
      </c>
      <c r="B1483" s="167" t="s">
        <v>9910</v>
      </c>
      <c r="C1483" s="28" t="s">
        <v>9911</v>
      </c>
      <c r="D1483" s="28" t="s">
        <v>9912</v>
      </c>
      <c r="E1483" s="28" t="s">
        <v>9913</v>
      </c>
      <c r="F1483" s="161">
        <v>711.0</v>
      </c>
      <c r="G1483" s="152" t="str">
        <f>IFERROR(__xludf.DUMMYFUNCTION("TRIM(REGEXREPLACE(C1483, ""[0-9]+[a-f]?\."", """"))"),"For ${hoh_emergency_name}
 What was the value of the following in CFA?")</f>
        <v>For ${hoh_emergency_name}
 What was the value of the following in CFA?</v>
      </c>
      <c r="H1483" s="152" t="str">
        <f>IFERROR(__xludf.DUMMYFUNCTION("TRIM(REGEXREPLACE(D1483, ""[0-9]+[a-f]?\."", """"))"),"Par rapport à ${hoh_emergency_name}
 Quelle était la valeur des éléments suivantes en CFA?")</f>
        <v>Par rapport à ${hoh_emergency_name}
 Quelle était la valeur des éléments suivantes en CFA?</v>
      </c>
      <c r="I1483" s="152" t="str">
        <f>IFERROR(__xludf.DUMMYFUNCTION("TRIM(REGEXREPLACE(E1483, ""[0-9]+[a-f]?\."", """"))"),"Game da ${hoh_emergency_name}
 Nawa ne kimar waɗannan abubuwan a kuɗin CFA?")</f>
        <v>Game da ${hoh_emergency_name}
 Nawa ne kimar waɗannan abubuwan a kuɗin CFA?</v>
      </c>
      <c r="J1483" s="152" t="s">
        <v>9914</v>
      </c>
      <c r="K1483" s="152" t="s">
        <v>9915</v>
      </c>
      <c r="L1483" s="152" t="s">
        <v>9916</v>
      </c>
    </row>
    <row r="1484">
      <c r="A1484" s="170" t="s">
        <v>263</v>
      </c>
      <c r="B1484" s="171" t="s">
        <v>9917</v>
      </c>
      <c r="C1484" s="28" t="s">
        <v>9918</v>
      </c>
      <c r="D1484" s="28" t="s">
        <v>9919</v>
      </c>
      <c r="E1484" s="28" t="s">
        <v>9920</v>
      </c>
      <c r="F1484" s="161">
        <v>712.0</v>
      </c>
      <c r="G1484" s="152" t="str">
        <f>IFERROR(__xludf.DUMMYFUNCTION("TRIM(REGEXREPLACE(C1484, ""[0-9]+[a-f]?\."", """"))"),"Assets you sold")</f>
        <v>Assets you sold</v>
      </c>
      <c r="H1484" s="152" t="str">
        <f>IFERROR(__xludf.DUMMYFUNCTION("TRIM(REGEXREPLACE(D1484, ""[0-9]+[a-f]?\."", """"))"),"Les actifs que vous avez vendus")</f>
        <v>Les actifs que vous avez vendus</v>
      </c>
      <c r="I1484" s="152" t="str">
        <f>IFERROR(__xludf.DUMMYFUNCTION("TRIM(REGEXREPLACE(E1484, ""[0-9]+[a-f]?\."", """"))"),"Kadarorin da kuka saida")</f>
        <v>Kadarorin da kuka saida</v>
      </c>
      <c r="J1484" s="152" t="s">
        <v>9921</v>
      </c>
      <c r="K1484" s="152" t="s">
        <v>9922</v>
      </c>
      <c r="L1484" s="152" t="s">
        <v>9923</v>
      </c>
    </row>
    <row r="1485">
      <c r="A1485" s="170" t="s">
        <v>263</v>
      </c>
      <c r="B1485" s="171" t="s">
        <v>9924</v>
      </c>
      <c r="C1485" s="28" t="s">
        <v>9925</v>
      </c>
      <c r="D1485" s="28" t="s">
        <v>9926</v>
      </c>
      <c r="E1485" s="28" t="s">
        <v>9927</v>
      </c>
      <c r="F1485" s="161">
        <v>713.0</v>
      </c>
      <c r="G1485" s="152" t="str">
        <f>IFERROR(__xludf.DUMMYFUNCTION("TRIM(REGEXREPLACE(C1485, ""[0-9]+[a-f]?\."", """"))"),"Loan(s) you took")</f>
        <v>Loan(s) you took</v>
      </c>
      <c r="H1485" s="152" t="str">
        <f>IFERROR(__xludf.DUMMYFUNCTION("TRIM(REGEXREPLACE(D1485, ""[0-9]+[a-f]?\."", """"))"),"Les prêt(s) que vous avez contracté")</f>
        <v>Les prêt(s) que vous avez contracté</v>
      </c>
      <c r="I1485" s="152" t="str">
        <f>IFERROR(__xludf.DUMMYFUNCTION("TRIM(REGEXREPLACE(E1485, ""[0-9]+[a-f]?\."", """"))"),"Bashin da kuka ɗauka")</f>
        <v>Bashin da kuka ɗauka</v>
      </c>
      <c r="J1485" s="152" t="s">
        <v>9928</v>
      </c>
      <c r="K1485" s="152" t="s">
        <v>9929</v>
      </c>
      <c r="L1485" s="152" t="s">
        <v>9930</v>
      </c>
    </row>
    <row r="1486">
      <c r="A1486" s="170" t="s">
        <v>263</v>
      </c>
      <c r="B1486" s="171" t="s">
        <v>9931</v>
      </c>
      <c r="C1486" s="28" t="s">
        <v>9932</v>
      </c>
      <c r="D1486" s="28" t="s">
        <v>9933</v>
      </c>
      <c r="E1486" s="28" t="s">
        <v>9934</v>
      </c>
      <c r="F1486" s="161">
        <v>714.0</v>
      </c>
      <c r="G1486" s="152" t="str">
        <f>IFERROR(__xludf.DUMMYFUNCTION("TRIM(REGEXREPLACE(C1486, ""[0-9]+[a-f]?\."", """"))"),"Savings you spent?")</f>
        <v>Savings you spent?</v>
      </c>
      <c r="H1486" s="152" t="str">
        <f>IFERROR(__xludf.DUMMYFUNCTION("TRIM(REGEXREPLACE(D1486, ""[0-9]+[a-f]?\."", """"))"),"L'épargne que vous avez utilisé")</f>
        <v>L'épargne que vous avez utilisé</v>
      </c>
      <c r="I1486" s="152" t="str">
        <f>IFERROR(__xludf.DUMMYFUNCTION("TRIM(REGEXREPLACE(E1486, ""[0-9]+[a-f]?\."", """"))"),"Ajiyar da kuka kashe")</f>
        <v>Ajiyar da kuka kashe</v>
      </c>
      <c r="J1486" s="152" t="s">
        <v>9935</v>
      </c>
      <c r="K1486" s="152" t="s">
        <v>9936</v>
      </c>
      <c r="L1486" s="152" t="s">
        <v>9937</v>
      </c>
    </row>
    <row r="1487" hidden="1">
      <c r="A1487" s="140" t="s">
        <v>237</v>
      </c>
      <c r="B1487" s="191" t="s">
        <v>9909</v>
      </c>
      <c r="C1487" s="28"/>
      <c r="D1487" s="28"/>
      <c r="E1487" s="28"/>
    </row>
    <row r="1488" hidden="1">
      <c r="A1488" s="174" t="s">
        <v>1015</v>
      </c>
      <c r="B1488" s="204" t="s">
        <v>9869</v>
      </c>
      <c r="C1488" s="28" t="s">
        <v>9870</v>
      </c>
      <c r="D1488" s="28"/>
      <c r="E1488" s="28"/>
    </row>
    <row r="1489" hidden="1">
      <c r="A1489" s="90" t="s">
        <v>134</v>
      </c>
      <c r="B1489" s="92" t="s">
        <v>9938</v>
      </c>
      <c r="C1489" s="28"/>
      <c r="D1489" s="28"/>
      <c r="E1489" s="28"/>
    </row>
    <row r="1490" hidden="1">
      <c r="A1490" s="90" t="s">
        <v>78</v>
      </c>
      <c r="B1490" s="92" t="s">
        <v>9939</v>
      </c>
      <c r="C1490" s="28"/>
      <c r="D1490" s="28"/>
      <c r="E1490" s="28"/>
    </row>
    <row r="1491" hidden="1">
      <c r="A1491" s="90" t="s">
        <v>134</v>
      </c>
      <c r="B1491" s="92" t="s">
        <v>9940</v>
      </c>
      <c r="C1491" s="28"/>
      <c r="D1491" s="28"/>
      <c r="E1491" s="28"/>
    </row>
    <row r="1492">
      <c r="A1492" s="166" t="s">
        <v>41</v>
      </c>
      <c r="B1492" s="167" t="s">
        <v>9941</v>
      </c>
      <c r="C1492" s="28" t="s">
        <v>9942</v>
      </c>
      <c r="D1492" s="28" t="s">
        <v>9943</v>
      </c>
      <c r="E1492" s="28" t="s">
        <v>9944</v>
      </c>
      <c r="F1492" s="161">
        <v>715.0</v>
      </c>
      <c r="G1492" s="152" t="str">
        <f>IFERROR(__xludf.DUMMYFUNCTION("TRIM(REGEXREPLACE(C1492, ""[0-9]+[a-f]?\."", """"))"),"Now I would like to ask you about any money that you and your family owe to other people; money you have borrowed from people outside your household.")</f>
        <v>Now I would like to ask you about any money that you and your family owe to other people; money you have borrowed from people outside your household.</v>
      </c>
      <c r="H1492" s="152" t="str">
        <f>IFERROR(__xludf.DUMMYFUNCTION("TRIM(REGEXREPLACE(D1492, ""[0-9]+[a-f]?\."", """"))"),"Maintenant, je voudrais vous poser des questions sur l'argent que vous et votre ménage devez à d'autres personnes ; l'argent que vous avez emprunté à des personnes extérieures à votre ménage.")</f>
        <v>Maintenant, je voudrais vous poser des questions sur l'argent que vous et votre ménage devez à d'autres personnes ; l'argent que vous avez emprunté à des personnes extérieures à votre ménage.</v>
      </c>
      <c r="I1492" s="152" t="str">
        <f>IFERROR(__xludf.DUMMYFUNCTION("TRIM(REGEXREPLACE(E1492, ""[0-9]+[a-f]?\."", """"))"),"Yanzu ina son in tambaye ku game da duk wani kuɗin da ku da ƴan gidanku kuka ɗauko daga wajen wasu mutane; kuɗin da kuka aro daga mutane wanda ba ƴan gidanku ba.")</f>
        <v>Yanzu ina son in tambaye ku game da duk wani kuɗin da ku da ƴan gidanku kuka ɗauko daga wajen wasu mutane; kuɗin da kuka aro daga mutane wanda ba ƴan gidanku ba.</v>
      </c>
      <c r="J1492" s="152" t="s">
        <v>9945</v>
      </c>
      <c r="K1492" s="152" t="s">
        <v>9946</v>
      </c>
      <c r="L1492" s="152" t="s">
        <v>9947</v>
      </c>
    </row>
    <row r="1493">
      <c r="A1493" s="68" t="s">
        <v>2625</v>
      </c>
      <c r="B1493" s="169" t="s">
        <v>9948</v>
      </c>
      <c r="C1493" s="28" t="s">
        <v>9949</v>
      </c>
      <c r="D1493" s="28" t="s">
        <v>9950</v>
      </c>
      <c r="E1493" s="28" t="s">
        <v>9951</v>
      </c>
      <c r="F1493" s="161">
        <v>716.0</v>
      </c>
      <c r="G1493" s="152" t="str">
        <f>IFERROR(__xludf.DUMMYFUNCTION("TRIM(REGEXREPLACE(C1493, ""[0-9]+[a-f]?\."", """"))"),"In the last six months did you or a member of your household try to secure a loan from any source but were refused?")</f>
        <v>In the last six months did you or a member of your household try to secure a loan from any source but were refused?</v>
      </c>
      <c r="H1493" s="152" t="str">
        <f>IFERROR(__xludf.DUMMYFUNCTION("TRIM(REGEXREPLACE(D1493, ""[0-9]+[a-f]?\."", """"))"),"Au cours des six derniers mois, vous ou un membre de votre ménage avez-vous tenté d'obtenir un prêt, quelle qu'en soit la source, mais votre demande a été refusée ?")</f>
        <v>Au cours des six derniers mois, vous ou un membre de votre ménage avez-vous tenté d'obtenir un prêt, quelle qu'en soit la source, mais votre demande a été refusée ?</v>
      </c>
      <c r="I1493" s="152" t="str">
        <f>IFERROR(__xludf.DUMMYFUNCTION("TRIM(REGEXREPLACE(E1493, ""[0-9]+[a-f]?\."", """"))"),"A cikin watanni shida da suka gabata kai ko wani dan gidan ku kun yi ƙoƙarin samun bashi daga kowace hanya amma an ƙi a baku ?")</f>
        <v>A cikin watanni shida da suka gabata kai ko wani dan gidan ku kun yi ƙoƙarin samun bashi daga kowace hanya amma an ƙi a baku ?</v>
      </c>
      <c r="J1493" s="152" t="s">
        <v>9952</v>
      </c>
      <c r="K1493" s="152" t="s">
        <v>9953</v>
      </c>
      <c r="L1493" s="152" t="s">
        <v>9954</v>
      </c>
    </row>
    <row r="1494">
      <c r="A1494" s="170" t="s">
        <v>263</v>
      </c>
      <c r="B1494" s="171" t="s">
        <v>9955</v>
      </c>
      <c r="C1494" s="28" t="s">
        <v>9956</v>
      </c>
      <c r="D1494" s="28" t="s">
        <v>9958</v>
      </c>
      <c r="E1494" s="28" t="s">
        <v>9959</v>
      </c>
      <c r="F1494" s="161">
        <v>717.0</v>
      </c>
      <c r="G1494" s="152" t="str">
        <f>IFERROR(__xludf.DUMMYFUNCTION("TRIM(REGEXREPLACE(C1494, ""[0-9]+[a-f]?\."", """"))"),"What was the value of the loan in CFA?")</f>
        <v>What was the value of the loan in CFA?</v>
      </c>
      <c r="H1494" s="152" t="str">
        <f>IFERROR(__xludf.DUMMYFUNCTION("TRIM(REGEXREPLACE(D1494, ""[0-9]+[a-f]?\."", """"))"),"Quelle était la valeur du prêt en CFA?")</f>
        <v>Quelle était la valeur du prêt en CFA?</v>
      </c>
      <c r="I1494" s="152" t="str">
        <f>IFERROR(__xludf.DUMMYFUNCTION("TRIM(REGEXREPLACE(E1494, ""[0-9]+[a-f]?\."", """"))"),"Nawa ne yawan kuɗin bashin a sefa?")</f>
        <v>Nawa ne yawan kuɗin bashin a sefa?</v>
      </c>
      <c r="J1494" s="152" t="s">
        <v>9960</v>
      </c>
      <c r="K1494" s="152" t="s">
        <v>9961</v>
      </c>
      <c r="L1494" s="152" t="s">
        <v>9962</v>
      </c>
    </row>
    <row r="1495">
      <c r="A1495" s="170" t="s">
        <v>263</v>
      </c>
      <c r="B1495" s="171" t="s">
        <v>9963</v>
      </c>
      <c r="C1495" s="28" t="s">
        <v>9964</v>
      </c>
      <c r="D1495" s="28" t="s">
        <v>9965</v>
      </c>
      <c r="E1495" s="28" t="s">
        <v>9966</v>
      </c>
      <c r="F1495" s="161">
        <v>718.0</v>
      </c>
      <c r="G1495" s="152" t="str">
        <f>IFERROR(__xludf.DUMMYFUNCTION("TRIM(REGEXREPLACE(C1495, ""[0-9]+[a-f]?\."", """"))"),"Think about all the people you or members of your household owe money, including recent loans, what is the total value your household owes (in CFA)?")</f>
        <v>Think about all the people you or members of your household owe money, including recent loans, what is the total value your household owes (in CFA)?</v>
      </c>
      <c r="H1495" s="152" t="str">
        <f>IFERROR(__xludf.DUMMYFUNCTION("TRIM(REGEXREPLACE(D1495, ""[0-9]+[a-f]?\."", """"))"),"Pensez à toutes les personnes que vous ou les membres de votre ménage devez de l'argent, y compris les prêts récents, quelle est la valeur totale que votre ménage doit (en CFA) ?")</f>
        <v>Pensez à toutes les personnes que vous ou les membres de votre ménage devez de l'argent, y compris les prêts récents, quelle est la valeur totale que votre ménage doit (en CFA) ?</v>
      </c>
      <c r="I1495" s="152" t="str">
        <f>IFERROR(__xludf.DUMMYFUNCTION("TRIM(REGEXREPLACE(E1495, ""[0-9]+[a-f]?\."", """"))"),"Ku tuna da duk mutanen da ke bin da ƴan gidanku kuɗi, dukan basussuka sabi da tsohi, nawa jimillar kuɗin a ke bin gidanku (a kuɗin sefa CFA)?")</f>
        <v>Ku tuna da duk mutanen da ke bin da ƴan gidanku kuɗi, dukan basussuka sabi da tsohi, nawa jimillar kuɗin a ke bin gidanku (a kuɗin sefa CFA)?</v>
      </c>
      <c r="J1495" s="152" t="s">
        <v>9967</v>
      </c>
      <c r="K1495" s="152" t="s">
        <v>9968</v>
      </c>
      <c r="L1495" s="152" t="s">
        <v>9969</v>
      </c>
    </row>
    <row r="1496">
      <c r="A1496" s="68" t="s">
        <v>2625</v>
      </c>
      <c r="B1496" s="169" t="s">
        <v>9970</v>
      </c>
      <c r="C1496" s="28" t="s">
        <v>9971</v>
      </c>
      <c r="D1496" s="28" t="s">
        <v>9972</v>
      </c>
      <c r="E1496" s="28" t="s">
        <v>9973</v>
      </c>
      <c r="F1496" s="161">
        <v>719.0</v>
      </c>
      <c r="G1496" s="152" t="str">
        <f>IFERROR(__xludf.DUMMYFUNCTION("TRIM(REGEXREPLACE(C1496, ""[0-9]+[a-f]?\."", """"))"),"Do you know if a loan was given to your household by a household that participated in the TSARI training program?")</f>
        <v>Do you know if a loan was given to your household by a household that participated in the TSARI training program?</v>
      </c>
      <c r="H1496" s="152" t="str">
        <f>IFERROR(__xludf.DUMMYFUNCTION("TRIM(REGEXREPLACE(D1496, ""[0-9]+[a-f]?\."", """"))"),"Savez-vous si un prêt a été accordé à votre ménage par un ménage ayant participé au programme de formation TSARI ?")</f>
        <v>Savez-vous si un prêt a été accordé à votre ménage par un ménage ayant participé au programme de formation TSARI ?</v>
      </c>
      <c r="I1496" s="152" t="str">
        <f>IFERROR(__xludf.DUMMYFUNCTION("TRIM(REGEXREPLACE(E1496, ""[0-9]+[a-f]?\."", """"))"),"Shin ko kun san ko gidan ku ya karɓi bashi daga wani gida da ke cikin shirin TSARI ?")</f>
        <v>Shin ko kun san ko gidan ku ya karɓi bashi daga wani gida da ke cikin shirin TSARI ?</v>
      </c>
      <c r="J1496" s="152" t="s">
        <v>9974</v>
      </c>
      <c r="K1496" s="152" t="s">
        <v>9975</v>
      </c>
      <c r="L1496" s="152" t="s">
        <v>9976</v>
      </c>
    </row>
    <row r="1497">
      <c r="A1497" s="68" t="s">
        <v>463</v>
      </c>
      <c r="B1497" s="169" t="s">
        <v>9977</v>
      </c>
      <c r="C1497" s="28" t="s">
        <v>9978</v>
      </c>
      <c r="D1497" s="28" t="s">
        <v>9979</v>
      </c>
      <c r="E1497" s="28" t="s">
        <v>9980</v>
      </c>
      <c r="F1497" s="161">
        <v>720.0</v>
      </c>
      <c r="G1497" s="152" t="str">
        <f>IFERROR(__xludf.DUMMYFUNCTION("TRIM(REGEXREPLACE(C1497, ""[0-9]+[a-f]?\."", """"))"),"In the past six months, have you or anyone in your household received money or goods from someone who is not a member of your household and lives in your village in Niger?")</f>
        <v>In the past six months, have you or anyone in your household received money or goods from someone who is not a member of your household and lives in your village in Niger?</v>
      </c>
      <c r="H1497" s="152" t="str">
        <f>IFERROR(__xludf.DUMMYFUNCTION("TRIM(REGEXREPLACE(D1497, ""[0-9]+[a-f]?\."", """"))"),"Au cours des six derniers mois, vous ou un membre de votre ménage avez-vous reçu de l'argent ou des biens d'une personne extérieure à votre ménage et vivant dans votre village au Niger ?")</f>
        <v>Au cours des six derniers mois, vous ou un membre de votre ménage avez-vous reçu de l'argent ou des biens d'une personne extérieure à votre ménage et vivant dans votre village au Niger ?</v>
      </c>
      <c r="I1497" s="152" t="str">
        <f>IFERROR(__xludf.DUMMYFUNCTION("TRIM(REGEXREPLACE(E1497, ""[0-9]+[a-f]?\."", """"))"),"A cikin watanni shida da suka gabata, kai ko wani a cikin gidan ku kun karbi kudi ko kaya daga wani wanda ba ɗan gidanku ba ne kuma yana zaune a kauyenku a Nijar?")</f>
        <v>A cikin watanni shida da suka gabata, kai ko wani a cikin gidan ku kun karbi kudi ko kaya daga wani wanda ba ɗan gidanku ba ne kuma yana zaune a kauyenku a Nijar?</v>
      </c>
      <c r="J1497" s="152" t="s">
        <v>9981</v>
      </c>
      <c r="K1497" s="152" t="s">
        <v>9982</v>
      </c>
      <c r="L1497" s="152" t="s">
        <v>9983</v>
      </c>
    </row>
    <row r="1498">
      <c r="A1498" s="68" t="s">
        <v>2625</v>
      </c>
      <c r="B1498" s="169" t="s">
        <v>9984</v>
      </c>
      <c r="C1498" s="28" t="s">
        <v>9985</v>
      </c>
      <c r="D1498" s="28" t="s">
        <v>9986</v>
      </c>
      <c r="E1498" s="28" t="s">
        <v>9987</v>
      </c>
      <c r="F1498" s="161">
        <v>721.0</v>
      </c>
      <c r="G1498" s="152" t="str">
        <f>IFERROR(__xludf.DUMMYFUNCTION("TRIM(REGEXREPLACE(C1498, ""[0-9]+[a-f]?\."", """"))"),"Do you know if the person who gave your hosuehold money was from a household that participated in the TSARI training program?")</f>
        <v>Do you know if the person who gave your hosuehold money was from a household that participated in the TSARI training program?</v>
      </c>
      <c r="H1498" s="152" t="str">
        <f>IFERROR(__xludf.DUMMYFUNCTION("TRIM(REGEXREPLACE(D1498, ""[0-9]+[a-f]?\."", """"))"),"Savez-vous si la personne qui a donné de l'argent à votre ménage était issue d'un ménage ayant participé au programme de formation TSARI ?")</f>
        <v>Savez-vous si la personne qui a donné de l'argent à votre ménage était issue d'un ménage ayant participé au programme de formation TSARI ?</v>
      </c>
      <c r="I1498" s="152" t="str">
        <f>IFERROR(__xludf.DUMMYFUNCTION("TRIM(REGEXREPLACE(E1498, ""[0-9]+[a-f]?\."", """"))"),"Shin kun san ko mutumin da ya bada kuɗin ga gidan ku ko ya fito daga gidajen da suka shiga cikin shirin horon TSARI ne?")</f>
        <v>Shin kun san ko mutumin da ya bada kuɗin ga gidan ku ko ya fito daga gidajen da suka shiga cikin shirin horon TSARI ne?</v>
      </c>
      <c r="J1498" s="152" t="s">
        <v>9989</v>
      </c>
      <c r="K1498" s="152" t="s">
        <v>9990</v>
      </c>
      <c r="L1498" s="152" t="s">
        <v>9991</v>
      </c>
    </row>
    <row r="1499" hidden="1">
      <c r="A1499" s="90" t="s">
        <v>134</v>
      </c>
      <c r="B1499" s="92" t="s">
        <v>9992</v>
      </c>
      <c r="C1499" s="28"/>
      <c r="D1499" s="28"/>
      <c r="E1499" s="28"/>
    </row>
    <row r="1500" hidden="1">
      <c r="A1500" s="90" t="s">
        <v>78</v>
      </c>
      <c r="B1500" s="92" t="s">
        <v>9993</v>
      </c>
      <c r="C1500" s="28"/>
      <c r="D1500" s="28"/>
      <c r="E1500" s="28"/>
    </row>
    <row r="1501" hidden="1">
      <c r="A1501" s="90" t="s">
        <v>134</v>
      </c>
      <c r="B1501" s="92" t="s">
        <v>9994</v>
      </c>
      <c r="C1501" s="28"/>
      <c r="D1501" s="28"/>
      <c r="E1501" s="28"/>
    </row>
    <row r="1502">
      <c r="A1502" s="166" t="s">
        <v>41</v>
      </c>
      <c r="B1502" s="167" t="s">
        <v>9995</v>
      </c>
      <c r="C1502" s="28" t="s">
        <v>9996</v>
      </c>
      <c r="D1502" s="28" t="s">
        <v>9997</v>
      </c>
      <c r="E1502" s="28" t="s">
        <v>9998</v>
      </c>
      <c r="F1502" s="161">
        <v>722.0</v>
      </c>
      <c r="G1502" s="152" t="str">
        <f>IFERROR(__xludf.DUMMYFUNCTION("TRIM(REGEXREPLACE(C1502, ""[0-9]+[a-f]?\."", """"))"),"I will now ask you about meals people in your household have consumed in the past 7 days.")</f>
        <v>I will now ask you about meals people in your household have consumed in the past 7 days.</v>
      </c>
      <c r="H1502" s="152" t="str">
        <f>IFERROR(__xludf.DUMMYFUNCTION("TRIM(REGEXREPLACE(D1502, ""[0-9]+[a-f]?\."", """"))"),"Je vais maintenant vous poser des questions sur les repas que les membres de votre ménage ont consommé au cours des 7 derniers jours.")</f>
        <v>Je vais maintenant vous poser des questions sur les repas que les membres de votre ménage ont consommé au cours des 7 derniers jours.</v>
      </c>
      <c r="I1502" s="152" t="str">
        <f>IFERROR(__xludf.DUMMYFUNCTION("TRIM(REGEXREPLACE(E1502, ""[0-9]+[a-f]?\."", """"))"),"Yanzu zan tambaye ku bisa abincin da mutanen gidanku suka ci a cikin kwanaki 7 da suka wuce.")</f>
        <v>Yanzu zan tambaye ku bisa abincin da mutanen gidanku suka ci a cikin kwanaki 7 da suka wuce.</v>
      </c>
      <c r="J1502" s="152" t="s">
        <v>9999</v>
      </c>
      <c r="K1502" s="152" t="s">
        <v>10000</v>
      </c>
      <c r="L1502" s="152" t="s">
        <v>10001</v>
      </c>
    </row>
    <row r="1503">
      <c r="A1503" s="68" t="s">
        <v>2625</v>
      </c>
      <c r="B1503" s="169" t="s">
        <v>10002</v>
      </c>
      <c r="C1503" s="28" t="s">
        <v>10004</v>
      </c>
      <c r="D1503" s="28" t="s">
        <v>10005</v>
      </c>
      <c r="E1503" s="28" t="s">
        <v>10006</v>
      </c>
      <c r="F1503" s="161">
        <v>723.0</v>
      </c>
      <c r="G1503" s="152" t="str">
        <f>IFERROR(__xludf.DUMMYFUNCTION("TRIM(REGEXREPLACE(C1503, ""[0-9]+[a-f]?\."", """"))"),"In the last 7 days, have adults gone a whole day without meals?")</f>
        <v>In the last 7 days, have adults gone a whole day without meals?</v>
      </c>
      <c r="H1503" s="152" t="str">
        <f>IFERROR(__xludf.DUMMYFUNCTION("TRIM(REGEXREPLACE(D1503, ""[0-9]+[a-f]?\."", """"))"),"Au cours des 7 derniers jours, des adultes sont-ils restés une journée entière sans manger de repas ?")</f>
        <v>Au cours des 7 derniers jours, des adultes sont-ils restés une journée entière sans manger de repas ?</v>
      </c>
      <c r="I1503" s="152" t="str">
        <f>IFERROR(__xludf.DUMMYFUNCTION("TRIM(REGEXREPLACE(E1503, ""[0-9]+[a-f]?\."", """"))"),"A cikin kwanaki 7 da suka wuce, ko manya gidanku sun zauna tsawon wuni guda basu ci abinci ba?")</f>
        <v>A cikin kwanaki 7 da suka wuce, ko manya gidanku sun zauna tsawon wuni guda basu ci abinci ba?</v>
      </c>
      <c r="J1503" s="152" t="s">
        <v>10007</v>
      </c>
      <c r="K1503" s="152" t="s">
        <v>10008</v>
      </c>
      <c r="L1503" s="152" t="s">
        <v>10009</v>
      </c>
    </row>
    <row r="1504">
      <c r="A1504" s="170" t="s">
        <v>263</v>
      </c>
      <c r="B1504" s="171" t="s">
        <v>10010</v>
      </c>
      <c r="C1504" s="28" t="s">
        <v>10011</v>
      </c>
      <c r="D1504" s="28" t="s">
        <v>10012</v>
      </c>
      <c r="E1504" s="28" t="s">
        <v>10013</v>
      </c>
      <c r="F1504" s="161">
        <v>724.0</v>
      </c>
      <c r="G1504" s="152" t="str">
        <f>IFERROR(__xludf.DUMMYFUNCTION("TRIM(REGEXREPLACE(C1504, ""[0-9]+[a-f]?\."", """"))"),"How many days?")</f>
        <v>How many days?</v>
      </c>
      <c r="H1504" s="152" t="str">
        <f>IFERROR(__xludf.DUMMYFUNCTION("TRIM(REGEXREPLACE(D1504, ""[0-9]+[a-f]?\."", """"))"),"Pendant combien de jours?")</f>
        <v>Pendant combien de jours?</v>
      </c>
      <c r="I1504" s="152" t="str">
        <f>IFERROR(__xludf.DUMMYFUNCTION("TRIM(REGEXREPLACE(E1504, ""[0-9]+[a-f]?\."", """"))"),"151a Tsawon kwanaki nawa?")</f>
        <v>151a Tsawon kwanaki nawa?</v>
      </c>
      <c r="J1504" s="152" t="s">
        <v>10014</v>
      </c>
      <c r="K1504" s="152" t="s">
        <v>10015</v>
      </c>
      <c r="L1504" s="152" t="s">
        <v>10016</v>
      </c>
    </row>
    <row r="1505">
      <c r="A1505" s="68" t="s">
        <v>2625</v>
      </c>
      <c r="B1505" s="169" t="s">
        <v>10017</v>
      </c>
      <c r="C1505" s="28" t="s">
        <v>10018</v>
      </c>
      <c r="D1505" s="28" t="s">
        <v>10019</v>
      </c>
      <c r="E1505" s="28" t="s">
        <v>10020</v>
      </c>
      <c r="F1505" s="161">
        <v>725.0</v>
      </c>
      <c r="G1505" s="152" t="str">
        <f>IFERROR(__xludf.DUMMYFUNCTION("TRIM(REGEXREPLACE(C1505, ""[0-9]+[a-f]?\."", """"))"),"In the last 7 days, have adults cut the size of meals or skipped meals?")</f>
        <v>In the last 7 days, have adults cut the size of meals or skipped meals?</v>
      </c>
      <c r="H1505" s="152" t="str">
        <f>IFERROR(__xludf.DUMMYFUNCTION("TRIM(REGEXREPLACE(D1505, ""[0-9]+[a-f]?\."", """"))"),"Au cours des 7 derniers jours, les adultes ont-ils réduit la taille de leur repas ou les ont-ils sauté?")</f>
        <v>Au cours des 7 derniers jours, les adultes ont-ils réduit la taille de leur repas ou les ont-ils sauté?</v>
      </c>
      <c r="I1505" s="152" t="str">
        <f>IFERROR(__xludf.DUMMYFUNCTION("TRIM(REGEXREPLACE(E1505, ""[0-9]+[a-f]?\."", """"))"),"A cikin kwanaki 7 na ƙarshe, ko manyan gidanku sun rage yawan abincin da suka saba ci ko sun tsallake shi?")</f>
        <v>A cikin kwanaki 7 na ƙarshe, ko manyan gidanku sun rage yawan abincin da suka saba ci ko sun tsallake shi?</v>
      </c>
      <c r="J1505" s="152" t="s">
        <v>10022</v>
      </c>
      <c r="K1505" s="152" t="s">
        <v>10023</v>
      </c>
      <c r="L1505" s="152" t="s">
        <v>10024</v>
      </c>
    </row>
    <row r="1506">
      <c r="A1506" s="170" t="s">
        <v>263</v>
      </c>
      <c r="B1506" s="171" t="s">
        <v>10025</v>
      </c>
      <c r="C1506" s="28" t="s">
        <v>10026</v>
      </c>
      <c r="D1506" s="28" t="s">
        <v>10027</v>
      </c>
      <c r="E1506" s="28" t="s">
        <v>10028</v>
      </c>
      <c r="F1506" s="161">
        <v>726.0</v>
      </c>
      <c r="G1506" s="152" t="str">
        <f>IFERROR(__xludf.DUMMYFUNCTION("TRIM(REGEXREPLACE(C1506, ""[0-9]+[a-f]?\."", """"))"),"How many days?")</f>
        <v>How many days?</v>
      </c>
      <c r="H1506" s="152" t="str">
        <f>IFERROR(__xludf.DUMMYFUNCTION("TRIM(REGEXREPLACE(D1506, ""[0-9]+[a-f]?\."", """"))"),"Pendant combien de jours?")</f>
        <v>Pendant combien de jours?</v>
      </c>
      <c r="I1506" s="152" t="str">
        <f>IFERROR(__xludf.DUMMYFUNCTION("TRIM(REGEXREPLACE(E1506, ""[0-9]+[a-f]?\."", """"))"),"Tsawon kwanaki nawa?")</f>
        <v>Tsawon kwanaki nawa?</v>
      </c>
      <c r="J1506" s="152" t="s">
        <v>10029</v>
      </c>
      <c r="K1506" s="152" t="s">
        <v>10030</v>
      </c>
      <c r="L1506" s="152" t="s">
        <v>10031</v>
      </c>
    </row>
    <row r="1507">
      <c r="A1507" s="170" t="s">
        <v>263</v>
      </c>
      <c r="B1507" s="171" t="s">
        <v>10032</v>
      </c>
      <c r="C1507" s="28" t="s">
        <v>10033</v>
      </c>
      <c r="D1507" s="28" t="s">
        <v>10034</v>
      </c>
      <c r="E1507" s="28" t="s">
        <v>10035</v>
      </c>
      <c r="F1507" s="161">
        <v>727.0</v>
      </c>
      <c r="G1507" s="152" t="str">
        <f>IFERROR(__xludf.DUMMYFUNCTION("TRIM(REGEXREPLACE(C1507, ""[0-9]+[a-f]?\."", """"))"),"In the past week how many days have adults in your household consumed animal protein (including fish, meat, poultry)?")</f>
        <v>In the past week how many days have adults in your household consumed animal protein (including fish, meat, poultry)?</v>
      </c>
      <c r="H1507" s="152" t="str">
        <f>IFERROR(__xludf.DUMMYFUNCTION("TRIM(REGEXREPLACE(D1507, ""[0-9]+[a-f]?\."", """"))"),"Au cours des 7 derniers jours, combien de fois les adultes de votre ménage ont-ils consommé des protéines animales (y compris poisson, viande, volaille) ?")</f>
        <v>Au cours des 7 derniers jours, combien de fois les adultes de votre ménage ont-ils consommé des protéines animales (y compris poisson, viande, volaille) ?</v>
      </c>
      <c r="I1507" s="152" t="str">
        <f>IFERROR(__xludf.DUMMYFUNCTION("TRIM(REGEXREPLACE(E1507, ""[0-9]+[a-f]?\."", """"))"),"A cikin kwanaki 7 da suka wuce sau nawa manyan gidanku suka ci abinci masu gina jiki kamar su kifi ko nama ko kaji?")</f>
        <v>A cikin kwanaki 7 da suka wuce sau nawa manyan gidanku suka ci abinci masu gina jiki kamar su kifi ko nama ko kaji?</v>
      </c>
      <c r="J1507" s="152" t="s">
        <v>10036</v>
      </c>
      <c r="K1507" s="152" t="s">
        <v>10037</v>
      </c>
      <c r="L1507" s="152" t="s">
        <v>10038</v>
      </c>
    </row>
    <row r="1508">
      <c r="A1508" s="68" t="s">
        <v>2625</v>
      </c>
      <c r="B1508" s="169" t="s">
        <v>10040</v>
      </c>
      <c r="C1508" s="28" t="s">
        <v>10041</v>
      </c>
      <c r="D1508" s="28" t="s">
        <v>10042</v>
      </c>
      <c r="E1508" s="28" t="s">
        <v>10043</v>
      </c>
      <c r="F1508" s="161">
        <v>728.0</v>
      </c>
      <c r="G1508" s="152" t="str">
        <f>IFERROR(__xludf.DUMMYFUNCTION("TRIM(REGEXREPLACE(C1508, ""[0-9]+[a-f]?\."", """"))"),"In the last 7 days, have children (&lt;14) gone a whole day without meals?")</f>
        <v>In the last 7 days, have children (&lt;14) gone a whole day without meals?</v>
      </c>
      <c r="H1508" s="152" t="str">
        <f>IFERROR(__xludf.DUMMYFUNCTION("TRIM(REGEXREPLACE(D1508, ""[0-9]+[a-f]?\."", """"))"),"Au cours des 7 derniers jours, des enfants (&lt;14) ont-ils passé une journée entière sans manger de repas ?")</f>
        <v>Au cours des 7 derniers jours, des enfants (&lt;14) ont-ils passé une journée entière sans manger de repas ?</v>
      </c>
      <c r="I1508" s="152" t="str">
        <f>IFERROR(__xludf.DUMMYFUNCTION("TRIM(REGEXREPLACE(E1508, ""[0-9]+[a-f]?\."", """"))"),"A cikin kwanaki 7 na ƙarshe, ko yara ƴan ƙasa da shekara goma sha huɗu sun zauna tsawon wuni guda ba su ci da abinci ba?")</f>
        <v>A cikin kwanaki 7 na ƙarshe, ko yara ƴan ƙasa da shekara goma sha huɗu sun zauna tsawon wuni guda ba su ci da abinci ba?</v>
      </c>
      <c r="J1508" s="152" t="s">
        <v>10044</v>
      </c>
      <c r="K1508" s="152" t="s">
        <v>10045</v>
      </c>
      <c r="L1508" s="152" t="s">
        <v>10046</v>
      </c>
    </row>
    <row r="1509">
      <c r="A1509" s="170" t="s">
        <v>263</v>
      </c>
      <c r="B1509" s="171" t="s">
        <v>10047</v>
      </c>
      <c r="C1509" s="28" t="s">
        <v>10048</v>
      </c>
      <c r="D1509" s="28" t="s">
        <v>10049</v>
      </c>
      <c r="E1509" s="28" t="s">
        <v>10050</v>
      </c>
      <c r="F1509" s="161">
        <v>729.0</v>
      </c>
      <c r="G1509" s="152" t="str">
        <f>IFERROR(__xludf.DUMMYFUNCTION("TRIM(REGEXREPLACE(C1509, ""[0-9]+[a-f]?\."", """"))"),"How many days?")</f>
        <v>How many days?</v>
      </c>
      <c r="H1509" s="152" t="str">
        <f>IFERROR(__xludf.DUMMYFUNCTION("TRIM(REGEXREPLACE(D1509, ""[0-9]+[a-f]?\."", """"))"),"Pendant combien de jours?")</f>
        <v>Pendant combien de jours?</v>
      </c>
      <c r="I1509" s="152" t="str">
        <f>IFERROR(__xludf.DUMMYFUNCTION("TRIM(REGEXREPLACE(E1509, ""[0-9]+[a-f]?\."", """"))"),"154a Tsawon kwanaki nawa?")</f>
        <v>154a Tsawon kwanaki nawa?</v>
      </c>
      <c r="J1509" s="152" t="s">
        <v>10051</v>
      </c>
      <c r="K1509" s="152" t="s">
        <v>10052</v>
      </c>
      <c r="L1509" s="152" t="s">
        <v>10053</v>
      </c>
    </row>
    <row r="1510">
      <c r="A1510" s="68" t="s">
        <v>2625</v>
      </c>
      <c r="B1510" s="169" t="s">
        <v>10054</v>
      </c>
      <c r="C1510" s="28" t="s">
        <v>10055</v>
      </c>
      <c r="D1510" s="28" t="s">
        <v>10057</v>
      </c>
      <c r="E1510" s="28" t="s">
        <v>10058</v>
      </c>
      <c r="F1510" s="161">
        <v>730.0</v>
      </c>
      <c r="G1510" s="152" t="str">
        <f>IFERROR(__xludf.DUMMYFUNCTION("TRIM(REGEXREPLACE(C1510, ""[0-9]+[a-f]?\."", """"))"),"In the last 7 days, have children (&lt;14) cut the size of meals or skipped meals?")</f>
        <v>In the last 7 days, have children (&lt;14) cut the size of meals or skipped meals?</v>
      </c>
      <c r="H1510" s="152" t="str">
        <f>IFERROR(__xludf.DUMMYFUNCTION("TRIM(REGEXREPLACE(D1510, ""[0-9]+[a-f]?\."", """"))"),"Au cours des 7 derniers jours, des enfants (&lt;14) ont-ils réduit la taille de leurs repas ou les ont-ils sauté?")</f>
        <v>Au cours des 7 derniers jours, des enfants (&lt;14) ont-ils réduit la taille de leurs repas ou les ont-ils sauté?</v>
      </c>
      <c r="I1510" s="152" t="str">
        <f>IFERROR(__xludf.DUMMYFUNCTION("TRIM(REGEXREPLACE(E1510, ""[0-9]+[a-f]?\."", """"))"),"A cikin kwanaki 7 na ƙarshe, suna da yara (&lt;14) sun rage yawan abinci ko sun rasa gaba ɗaya?")</f>
        <v>A cikin kwanaki 7 na ƙarshe, suna da yara (&lt;14) sun rage yawan abinci ko sun rasa gaba ɗaya?</v>
      </c>
      <c r="J1510" s="152" t="s">
        <v>10061</v>
      </c>
      <c r="K1510" s="152" t="s">
        <v>10062</v>
      </c>
      <c r="L1510" s="152" t="s">
        <v>10063</v>
      </c>
    </row>
    <row r="1511">
      <c r="A1511" s="170" t="s">
        <v>263</v>
      </c>
      <c r="B1511" s="171" t="s">
        <v>10064</v>
      </c>
      <c r="C1511" s="28" t="s">
        <v>10065</v>
      </c>
      <c r="D1511" s="28" t="s">
        <v>10066</v>
      </c>
      <c r="E1511" s="28" t="s">
        <v>10067</v>
      </c>
      <c r="F1511" s="161">
        <v>731.0</v>
      </c>
      <c r="G1511" s="152" t="str">
        <f>IFERROR(__xludf.DUMMYFUNCTION("TRIM(REGEXREPLACE(C1511, ""[0-9]+[a-f]?\."", """"))"),"How many days?")</f>
        <v>How many days?</v>
      </c>
      <c r="H1511" s="152" t="str">
        <f>IFERROR(__xludf.DUMMYFUNCTION("TRIM(REGEXREPLACE(D1511, ""[0-9]+[a-f]?\."", """"))"),"Pendant combien de jours?")</f>
        <v>Pendant combien de jours?</v>
      </c>
      <c r="I1511" s="152" t="str">
        <f>IFERROR(__xludf.DUMMYFUNCTION("TRIM(REGEXREPLACE(E1511, ""[0-9]+[a-f]?\."", """"))"),"155a Tsawon kwanaki nawa?")</f>
        <v>155a Tsawon kwanaki nawa?</v>
      </c>
      <c r="J1511" s="152" t="s">
        <v>10068</v>
      </c>
      <c r="K1511" s="152" t="s">
        <v>10069</v>
      </c>
      <c r="L1511" s="152" t="s">
        <v>10070</v>
      </c>
    </row>
    <row r="1512">
      <c r="A1512" s="170" t="s">
        <v>263</v>
      </c>
      <c r="B1512" s="171" t="s">
        <v>10071</v>
      </c>
      <c r="C1512" s="28" t="s">
        <v>10072</v>
      </c>
      <c r="D1512" s="28" t="s">
        <v>10073</v>
      </c>
      <c r="E1512" s="28" t="s">
        <v>10074</v>
      </c>
      <c r="F1512" s="161">
        <v>732.0</v>
      </c>
      <c r="G1512" s="152" t="str">
        <f>IFERROR(__xludf.DUMMYFUNCTION("TRIM(REGEXREPLACE(C1512, ""[0-9]+[a-f]?\."", """"))"),"In the past week how many days have children in your household consumed animal protein (inlcuding fish, meat, poultry)?")</f>
        <v>In the past week how many days have children in your household consumed animal protein (inlcuding fish, meat, poultry)?</v>
      </c>
      <c r="H1512" s="152" t="str">
        <f>IFERROR(__xludf.DUMMYFUNCTION("TRIM(REGEXREPLACE(D1512, ""[0-9]+[a-f]?\."", """"))"),"Au cours des 7 derniers jours, combien de fois les enfants de votre ménage ont-ils consommé des protéines animales (y compris poisson, viande, volaille) ?")</f>
        <v>Au cours des 7 derniers jours, combien de fois les enfants de votre ménage ont-ils consommé des protéines animales (y compris poisson, viande, volaille) ?</v>
      </c>
      <c r="I1512" s="152" t="str">
        <f>IFERROR(__xludf.DUMMYFUNCTION("TRIM(REGEXREPLACE(E1512, ""[0-9]+[a-f]?\."", """"))"),"A cikin kwanaki 7 da suka gabata sau nawa yara a cikin gidanku suka ci abinci masu gina jiki kamar su kifi, nama, kaji ?")</f>
        <v>A cikin kwanaki 7 da suka gabata sau nawa yara a cikin gidanku suka ci abinci masu gina jiki kamar su kifi, nama, kaji ?</v>
      </c>
      <c r="J1512" s="152" t="s">
        <v>10075</v>
      </c>
      <c r="K1512" s="152" t="s">
        <v>10076</v>
      </c>
      <c r="L1512" s="152" t="s">
        <v>10077</v>
      </c>
    </row>
    <row r="1513" hidden="1">
      <c r="A1513" s="90" t="s">
        <v>134</v>
      </c>
      <c r="B1513" s="92" t="s">
        <v>10078</v>
      </c>
      <c r="C1513" s="28"/>
      <c r="D1513" s="28"/>
      <c r="E1513" s="28"/>
    </row>
    <row r="1514" hidden="1">
      <c r="A1514" s="90" t="s">
        <v>78</v>
      </c>
      <c r="B1514" s="92" t="s">
        <v>10080</v>
      </c>
      <c r="C1514" s="28"/>
      <c r="D1514" s="28"/>
      <c r="E1514" s="28"/>
    </row>
    <row r="1515" hidden="1">
      <c r="A1515" s="221"/>
      <c r="B1515" s="222"/>
      <c r="C1515" s="28" t="s">
        <v>50</v>
      </c>
      <c r="D1515" s="28" t="s">
        <v>50</v>
      </c>
      <c r="E1515" s="28" t="s">
        <v>50</v>
      </c>
    </row>
    <row r="1516" hidden="1">
      <c r="A1516" s="140" t="s">
        <v>131</v>
      </c>
      <c r="B1516" s="164" t="s">
        <v>10081</v>
      </c>
      <c r="C1516" s="28"/>
      <c r="D1516" s="28"/>
      <c r="E1516" s="28"/>
    </row>
    <row r="1517" hidden="1">
      <c r="A1517" s="90" t="s">
        <v>134</v>
      </c>
      <c r="B1517" s="92" t="s">
        <v>10082</v>
      </c>
      <c r="C1517" s="28"/>
      <c r="D1517" s="28"/>
      <c r="E1517" s="28"/>
    </row>
    <row r="1518">
      <c r="A1518" s="68" t="s">
        <v>10083</v>
      </c>
      <c r="B1518" s="169" t="s">
        <v>10084</v>
      </c>
      <c r="C1518" s="28" t="s">
        <v>10085</v>
      </c>
      <c r="D1518" s="28" t="s">
        <v>10086</v>
      </c>
      <c r="E1518" s="28" t="s">
        <v>10087</v>
      </c>
      <c r="F1518" s="161">
        <v>733.0</v>
      </c>
      <c r="G1518" s="152" t="str">
        <f>IFERROR(__xludf.DUMMYFUNCTION("TRIM(REGEXREPLACE(C1518, ""[0-9]+[a-f]?\."", """"))"),"Has your household spent money on the following types of expenses in the past month?")</f>
        <v>Has your household spent money on the following types of expenses in the past month?</v>
      </c>
      <c r="H1518" s="152" t="str">
        <f>IFERROR(__xludf.DUMMYFUNCTION("TRIM(REGEXREPLACE(D1518, ""[0-9]+[a-f]?\."", """"))"),"Votre ménage a-t-il dépensé de l'argent pour les types de dépenses suivants au cours du dernier mois ?")</f>
        <v>Votre ménage a-t-il dépensé de l'argent pour les types de dépenses suivants au cours du dernier mois ?</v>
      </c>
      <c r="I1518" s="152" t="str">
        <f>IFERROR(__xludf.DUMMYFUNCTION("TRIM(REGEXREPLACE(E1518, ""[0-9]+[a-f]?\."", """"))"),"Shin gidanku ya kashe kuɗi akan irin waɗannan abubuwan a cikin watan da ya gabata?")</f>
        <v>Shin gidanku ya kashe kuɗi akan irin waɗannan abubuwan a cikin watan da ya gabata?</v>
      </c>
      <c r="J1518" s="152" t="s">
        <v>10088</v>
      </c>
      <c r="K1518" s="152" t="s">
        <v>10089</v>
      </c>
      <c r="L1518" s="152" t="s">
        <v>10090</v>
      </c>
    </row>
    <row r="1519" hidden="1">
      <c r="A1519" s="174" t="s">
        <v>698</v>
      </c>
      <c r="B1519" s="175" t="s">
        <v>10091</v>
      </c>
      <c r="C1519" s="28" t="s">
        <v>10092</v>
      </c>
      <c r="D1519" s="28" t="s">
        <v>10093</v>
      </c>
      <c r="E1519" s="28" t="s">
        <v>10094</v>
      </c>
    </row>
    <row r="1520" hidden="1">
      <c r="A1520" s="90" t="s">
        <v>78</v>
      </c>
      <c r="B1520" s="92" t="s">
        <v>10095</v>
      </c>
      <c r="C1520" s="28" t="s">
        <v>10096</v>
      </c>
      <c r="D1520" s="28" t="s">
        <v>10097</v>
      </c>
      <c r="E1520" s="28" t="s">
        <v>10098</v>
      </c>
    </row>
    <row r="1521">
      <c r="A1521" s="170" t="s">
        <v>263</v>
      </c>
      <c r="B1521" s="171" t="s">
        <v>10099</v>
      </c>
      <c r="C1521" s="28" t="s">
        <v>10100</v>
      </c>
      <c r="D1521" s="28" t="s">
        <v>10101</v>
      </c>
      <c r="E1521" s="28" t="s">
        <v>10102</v>
      </c>
      <c r="F1521" s="161">
        <v>734.0</v>
      </c>
      <c r="G1521" s="152" t="str">
        <f>IFERROR(__xludf.DUMMYFUNCTION("TRIM(REGEXREPLACE(C1521, ""[0-9]+[a-f]?\."", """"))"),"How much did your household spend on ${hoh_item} in the past month (in CFA)?")</f>
        <v>How much did your household spend on ${hoh_item} in the past month (in CFA)?</v>
      </c>
      <c r="H1521" s="152" t="str">
        <f>IFERROR(__xludf.DUMMYFUNCTION("TRIM(REGEXREPLACE(D1521, ""[0-9]+[a-f]?\."", """"))"),"Combien votre ménage a-t-il dépensé pour ${hoh_item} au cours du dernier mois (en CFA) ?")</f>
        <v>Combien votre ménage a-t-il dépensé pour ${hoh_item} au cours du dernier mois (en CFA) ?</v>
      </c>
      <c r="I1521" s="152" t="str">
        <f>IFERROR(__xludf.DUMMYFUNCTION("TRIM(REGEXREPLACE(E1521, ""[0-9]+[a-f]?\."", """"))"),"Nawa ne (a CFA) gidanku ya kashe akan ${hoh_item} cikin watan da ya gabata ?")</f>
        <v>Nawa ne (a CFA) gidanku ya kashe akan ${hoh_item} cikin watan da ya gabata ?</v>
      </c>
      <c r="J1521" s="152" t="s">
        <v>10103</v>
      </c>
      <c r="K1521" s="152" t="s">
        <v>10104</v>
      </c>
      <c r="L1521" s="152" t="s">
        <v>10105</v>
      </c>
    </row>
    <row r="1522" hidden="1">
      <c r="A1522" s="174" t="s">
        <v>1015</v>
      </c>
      <c r="B1522" s="204" t="s">
        <v>10091</v>
      </c>
      <c r="C1522" s="28" t="s">
        <v>10092</v>
      </c>
      <c r="D1522" s="28" t="s">
        <v>10093</v>
      </c>
      <c r="E1522" s="28" t="s">
        <v>10094</v>
      </c>
    </row>
    <row r="1523">
      <c r="A1523" s="68" t="s">
        <v>10106</v>
      </c>
      <c r="B1523" s="169" t="s">
        <v>10107</v>
      </c>
      <c r="C1523" s="28" t="s">
        <v>10108</v>
      </c>
      <c r="D1523" s="28" t="s">
        <v>10109</v>
      </c>
      <c r="E1523" s="28" t="s">
        <v>10110</v>
      </c>
      <c r="F1523" s="161">
        <v>735.0</v>
      </c>
      <c r="G1523" s="152" t="str">
        <f>IFERROR(__xludf.DUMMYFUNCTION("TRIM(REGEXREPLACE(C1523, ""[0-9]+[a-f]?\."", """"))"),"Has your household spent money on the following types of expenses in the past week?")</f>
        <v>Has your household spent money on the following types of expenses in the past week?</v>
      </c>
      <c r="H1523" s="152" t="str">
        <f>IFERROR(__xludf.DUMMYFUNCTION("TRIM(REGEXREPLACE(D1523, ""[0-9]+[a-f]?\."", """"))"),"Votre ménage a-t-il dépensé de l'argent pour les types de dépenses suivants au cours de la semaine dernière ?")</f>
        <v>Votre ménage a-t-il dépensé de l'argent pour les types de dépenses suivants au cours de la semaine dernière ?</v>
      </c>
      <c r="I1523" s="152" t="str">
        <f>IFERROR(__xludf.DUMMYFUNCTION("TRIM(REGEXREPLACE(E1523, ""[0-9]+[a-f]?\."", """"))"),"Ko gidanku sun kashe kuɗi akan ire iren waɗannan abubuwan a cikin satin da ya gabata?")</f>
        <v>Ko gidanku sun kashe kuɗi akan ire iren waɗannan abubuwan a cikin satin da ya gabata?</v>
      </c>
      <c r="J1523" s="152" t="s">
        <v>10111</v>
      </c>
      <c r="K1523" s="152" t="s">
        <v>10112</v>
      </c>
      <c r="L1523" s="152" t="s">
        <v>10113</v>
      </c>
    </row>
    <row r="1524" hidden="1">
      <c r="A1524" s="174" t="s">
        <v>698</v>
      </c>
      <c r="B1524" s="175" t="s">
        <v>10114</v>
      </c>
      <c r="C1524" s="28" t="s">
        <v>10115</v>
      </c>
      <c r="D1524" s="28" t="s">
        <v>10116</v>
      </c>
      <c r="E1524" s="28" t="s">
        <v>10117</v>
      </c>
    </row>
    <row r="1525" hidden="1">
      <c r="A1525" s="90" t="s">
        <v>78</v>
      </c>
      <c r="B1525" s="92" t="s">
        <v>10118</v>
      </c>
      <c r="C1525" s="28" t="s">
        <v>10119</v>
      </c>
      <c r="D1525" s="28" t="s">
        <v>10120</v>
      </c>
      <c r="E1525" s="28" t="s">
        <v>10121</v>
      </c>
    </row>
    <row r="1526">
      <c r="A1526" s="170" t="s">
        <v>263</v>
      </c>
      <c r="B1526" s="171" t="s">
        <v>10122</v>
      </c>
      <c r="C1526" s="28" t="s">
        <v>10123</v>
      </c>
      <c r="D1526" s="28" t="s">
        <v>10124</v>
      </c>
      <c r="E1526" s="28" t="s">
        <v>10125</v>
      </c>
      <c r="F1526" s="161">
        <v>736.0</v>
      </c>
      <c r="G1526" s="152" t="str">
        <f>IFERROR(__xludf.DUMMYFUNCTION("TRIM(REGEXREPLACE(C1526, ""[0-9]+[a-f]?\."", """"))"),"How much did your household spend on ${hoh_item_week} in the past week (in CFA)?")</f>
        <v>How much did your household spend on ${hoh_item_week} in the past week (in CFA)?</v>
      </c>
      <c r="H1526" s="152" t="str">
        <f>IFERROR(__xludf.DUMMYFUNCTION("TRIM(REGEXREPLACE(D1526, ""[0-9]+[a-f]?\."", """"))"),"Combien votre ménage a-t-il dépensé en ${hoh_item_week} la semaine dernière (en CFA) ?")</f>
        <v>Combien votre ménage a-t-il dépensé en ${hoh_item_week} la semaine dernière (en CFA) ?</v>
      </c>
      <c r="I1526" s="152" t="str">
        <f>IFERROR(__xludf.DUMMYFUNCTION("TRIM(REGEXREPLACE(E1526, ""[0-9]+[a-f]?\."", """"))"),"Nawa ne gidan ku ya kashe (a CFA) a ${hoh_item_week} satin da ya gabata ?")</f>
        <v>Nawa ne gidan ku ya kashe (a CFA) a ${hoh_item_week} satin da ya gabata ?</v>
      </c>
      <c r="J1526" s="152" t="s">
        <v>10126</v>
      </c>
      <c r="K1526" s="152" t="s">
        <v>10127</v>
      </c>
      <c r="L1526" s="152" t="s">
        <v>10128</v>
      </c>
    </row>
    <row r="1527" hidden="1">
      <c r="A1527" s="174" t="s">
        <v>1015</v>
      </c>
      <c r="B1527" s="204" t="s">
        <v>10114</v>
      </c>
      <c r="C1527" s="28" t="s">
        <v>10115</v>
      </c>
      <c r="D1527" s="28" t="s">
        <v>10116</v>
      </c>
      <c r="E1527" s="28" t="s">
        <v>10117</v>
      </c>
    </row>
    <row r="1528" hidden="1">
      <c r="A1528" s="140" t="s">
        <v>131</v>
      </c>
      <c r="B1528" s="193" t="s">
        <v>10129</v>
      </c>
      <c r="C1528" s="28"/>
      <c r="D1528" s="28"/>
      <c r="E1528" s="28"/>
    </row>
    <row r="1529">
      <c r="A1529" s="68" t="s">
        <v>2625</v>
      </c>
      <c r="B1529" s="169" t="s">
        <v>10130</v>
      </c>
      <c r="C1529" s="28" t="s">
        <v>10131</v>
      </c>
      <c r="D1529" s="28" t="s">
        <v>10132</v>
      </c>
      <c r="E1529" s="28" t="s">
        <v>10133</v>
      </c>
      <c r="F1529" s="161">
        <v>737.0</v>
      </c>
      <c r="G1529" s="152" t="str">
        <f>IFERROR(__xludf.DUMMYFUNCTION("TRIM(REGEXREPLACE(C1529, ""[0-9]+[a-f]?\."", """"))"),"For Tabaski, did your household purchase any of the following?")</f>
        <v>For Tabaski, did your household purchase any of the following?</v>
      </c>
      <c r="H1529" s="152" t="str">
        <f>IFERROR(__xludf.DUMMYFUNCTION("TRIM(REGEXREPLACE(D1529, ""[0-9]+[a-f]?\."", """"))"),"Pour le Tabaski, votre ménage a-t-il acheté l'un des produits suivants ?")</f>
        <v>Pour le Tabaski, votre ménage a-t-il acheté l'un des produits suivants ?</v>
      </c>
      <c r="I1529" s="152" t="str">
        <f>IFERROR(__xludf.DUMMYFUNCTION("TRIM(REGEXREPLACE(E1529, ""[0-9]+[a-f]?\."", """"))"),"Don sallar laiya, gidanku ya sayi ɗaya daga cikin waɗannan?")</f>
        <v>Don sallar laiya, gidanku ya sayi ɗaya daga cikin waɗannan?</v>
      </c>
      <c r="J1529" s="152" t="s">
        <v>10134</v>
      </c>
      <c r="K1529" s="152" t="s">
        <v>10135</v>
      </c>
      <c r="L1529" s="152" t="s">
        <v>10136</v>
      </c>
    </row>
    <row r="1530">
      <c r="A1530" s="67" t="s">
        <v>2625</v>
      </c>
      <c r="B1530" s="169" t="s">
        <v>10137</v>
      </c>
      <c r="C1530" s="28" t="s">
        <v>10138</v>
      </c>
      <c r="D1530" s="28" t="s">
        <v>10139</v>
      </c>
      <c r="E1530" s="28" t="s">
        <v>10140</v>
      </c>
      <c r="F1530" s="161">
        <v>738.0</v>
      </c>
      <c r="G1530" s="152" t="str">
        <f>IFERROR(__xludf.DUMMYFUNCTION("TRIM(REGEXREPLACE(C1530, ""[0-9]+[a-f]?\."", """"))"),"Clothing")</f>
        <v>Clothing</v>
      </c>
      <c r="H1530" s="152" t="str">
        <f>IFERROR(__xludf.DUMMYFUNCTION("TRIM(REGEXREPLACE(D1530, ""[0-9]+[a-f]?\."", """"))"),"Vêtements")</f>
        <v>Vêtements</v>
      </c>
      <c r="I1530" s="152" t="str">
        <f>IFERROR(__xludf.DUMMYFUNCTION("TRIM(REGEXREPLACE(E1530, ""[0-9]+[a-f]?\."", """"))"),"Tufafi")</f>
        <v>Tufafi</v>
      </c>
      <c r="J1530" s="152" t="s">
        <v>10141</v>
      </c>
      <c r="K1530" s="152" t="s">
        <v>10142</v>
      </c>
      <c r="L1530" s="152" t="s">
        <v>10143</v>
      </c>
    </row>
    <row r="1531">
      <c r="A1531" s="67" t="s">
        <v>2625</v>
      </c>
      <c r="B1531" s="169" t="s">
        <v>10144</v>
      </c>
      <c r="C1531" s="28" t="s">
        <v>10145</v>
      </c>
      <c r="D1531" s="28" t="s">
        <v>10146</v>
      </c>
      <c r="E1531" s="28" t="s">
        <v>10147</v>
      </c>
      <c r="F1531" s="161">
        <v>739.0</v>
      </c>
      <c r="G1531" s="152" t="str">
        <f>IFERROR(__xludf.DUMMYFUNCTION("TRIM(REGEXREPLACE(C1531, ""[0-9]+[a-f]?\."", """"))"),"Sheep")</f>
        <v>Sheep</v>
      </c>
      <c r="H1531" s="152" t="str">
        <f>IFERROR(__xludf.DUMMYFUNCTION("TRIM(REGEXREPLACE(D1531, ""[0-9]+[a-f]?\."", """"))"),"Mouton")</f>
        <v>Mouton</v>
      </c>
      <c r="I1531" s="152" t="str">
        <f>IFERROR(__xludf.DUMMYFUNCTION("TRIM(REGEXREPLACE(E1531, ""[0-9]+[a-f]?\."", """"))"),"Rago")</f>
        <v>Rago</v>
      </c>
      <c r="J1531" s="152" t="s">
        <v>10148</v>
      </c>
      <c r="K1531" s="152" t="s">
        <v>10149</v>
      </c>
      <c r="L1531" s="152" t="s">
        <v>10150</v>
      </c>
    </row>
    <row r="1532">
      <c r="A1532" s="67" t="s">
        <v>2625</v>
      </c>
      <c r="B1532" s="169" t="s">
        <v>10151</v>
      </c>
      <c r="C1532" s="28" t="s">
        <v>10152</v>
      </c>
      <c r="D1532" s="28" t="s">
        <v>10153</v>
      </c>
      <c r="E1532" s="28" t="s">
        <v>10154</v>
      </c>
      <c r="F1532" s="161">
        <v>740.0</v>
      </c>
      <c r="G1532" s="152" t="str">
        <f>IFERROR(__xludf.DUMMYFUNCTION("TRIM(REGEXREPLACE(C1532, ""[0-9]+[a-f]?\."", """"))"),"Goat")</f>
        <v>Goat</v>
      </c>
      <c r="H1532" s="152" t="str">
        <f>IFERROR(__xludf.DUMMYFUNCTION("TRIM(REGEXREPLACE(D1532, ""[0-9]+[a-f]?\."", """"))"),"Chèvre")</f>
        <v>Chèvre</v>
      </c>
      <c r="I1532" s="152" t="str">
        <f>IFERROR(__xludf.DUMMYFUNCTION("TRIM(REGEXREPLACE(E1532, ""[0-9]+[a-f]?\."", """"))"),"Akuya")</f>
        <v>Akuya</v>
      </c>
      <c r="J1532" s="152" t="s">
        <v>10155</v>
      </c>
      <c r="K1532" s="152" t="s">
        <v>10156</v>
      </c>
      <c r="L1532" s="152" t="s">
        <v>10157</v>
      </c>
    </row>
    <row r="1533">
      <c r="A1533" s="67" t="s">
        <v>2625</v>
      </c>
      <c r="B1533" s="169" t="s">
        <v>10158</v>
      </c>
      <c r="C1533" s="28" t="s">
        <v>10159</v>
      </c>
      <c r="D1533" s="28" t="s">
        <v>10160</v>
      </c>
      <c r="E1533" s="28" t="s">
        <v>10161</v>
      </c>
      <c r="F1533" s="161">
        <v>741.0</v>
      </c>
      <c r="G1533" s="152" t="str">
        <f>IFERROR(__xludf.DUMMYFUNCTION("TRIM(REGEXREPLACE(C1533, ""[0-9]+[a-f]?\."", """"))"),"Poultry")</f>
        <v>Poultry</v>
      </c>
      <c r="H1533" s="152" t="str">
        <f>IFERROR(__xludf.DUMMYFUNCTION("TRIM(REGEXREPLACE(D1533, ""[0-9]+[a-f]?\."", """"))"),"Volaille")</f>
        <v>Volaille</v>
      </c>
      <c r="I1533" s="152" t="str">
        <f>IFERROR(__xludf.DUMMYFUNCTION("TRIM(REGEXREPLACE(E1533, ""[0-9]+[a-f]?\."", """"))"),"Kaji")</f>
        <v>Kaji</v>
      </c>
      <c r="J1533" s="152" t="s">
        <v>10163</v>
      </c>
      <c r="K1533" s="152" t="s">
        <v>10164</v>
      </c>
      <c r="L1533" s="152" t="s">
        <v>10165</v>
      </c>
    </row>
    <row r="1534" hidden="1">
      <c r="A1534" s="139" t="s">
        <v>237</v>
      </c>
      <c r="B1534" s="193" t="s">
        <v>10129</v>
      </c>
      <c r="C1534" s="28"/>
      <c r="D1534" s="28"/>
      <c r="E1534" s="28"/>
    </row>
    <row r="1535" hidden="1">
      <c r="A1535" s="139" t="s">
        <v>237</v>
      </c>
      <c r="B1535" s="191" t="s">
        <v>10081</v>
      </c>
      <c r="C1535" s="28"/>
      <c r="D1535" s="28"/>
      <c r="E1535" s="28"/>
    </row>
    <row r="1536" hidden="1">
      <c r="A1536" s="96" t="s">
        <v>134</v>
      </c>
      <c r="B1536" s="92" t="s">
        <v>10166</v>
      </c>
      <c r="C1536" s="28"/>
      <c r="D1536" s="28"/>
      <c r="E1536" s="28"/>
    </row>
    <row r="1537" hidden="1">
      <c r="A1537" s="96" t="s">
        <v>78</v>
      </c>
      <c r="B1537" s="92" t="s">
        <v>10167</v>
      </c>
      <c r="C1537" s="28"/>
      <c r="D1537" s="28"/>
      <c r="E1537" s="28"/>
    </row>
    <row r="1538" hidden="1">
      <c r="A1538" s="139" t="s">
        <v>237</v>
      </c>
      <c r="B1538" s="191" t="s">
        <v>8538</v>
      </c>
      <c r="C1538" s="28"/>
      <c r="D1538" s="28"/>
      <c r="E1538" s="28"/>
    </row>
    <row r="1539" hidden="1">
      <c r="A1539" s="139" t="s">
        <v>237</v>
      </c>
      <c r="B1539" s="139" t="s">
        <v>7819</v>
      </c>
      <c r="C1539" s="28" t="s">
        <v>7820</v>
      </c>
      <c r="D1539" s="28"/>
      <c r="E1539" s="28"/>
    </row>
    <row r="1540" hidden="1">
      <c r="A1540" s="96" t="s">
        <v>134</v>
      </c>
      <c r="B1540" s="92" t="s">
        <v>10168</v>
      </c>
      <c r="C1540" s="28"/>
      <c r="D1540" s="28"/>
      <c r="E1540" s="28"/>
    </row>
    <row r="1541" hidden="1">
      <c r="A1541" s="96" t="s">
        <v>78</v>
      </c>
      <c r="B1541" s="92" t="s">
        <v>10169</v>
      </c>
      <c r="C1541" s="28"/>
      <c r="D1541" s="28"/>
      <c r="E1541" s="28"/>
    </row>
    <row r="1542" hidden="1">
      <c r="A1542" s="139" t="s">
        <v>237</v>
      </c>
      <c r="B1542" s="139" t="s">
        <v>585</v>
      </c>
      <c r="C1542" s="28"/>
      <c r="D1542" s="28"/>
      <c r="E1542" s="28"/>
    </row>
    <row r="1543" hidden="1">
      <c r="A1543" s="70"/>
      <c r="B1543" s="70"/>
      <c r="C1543" s="28"/>
      <c r="D1543" s="28"/>
      <c r="E1543" s="28"/>
    </row>
    <row r="1544" hidden="1">
      <c r="A1544" s="139" t="s">
        <v>131</v>
      </c>
      <c r="B1544" s="190" t="s">
        <v>10170</v>
      </c>
      <c r="C1544" s="28" t="s">
        <v>10171</v>
      </c>
      <c r="D1544" s="28" t="s">
        <v>10172</v>
      </c>
      <c r="E1544" s="28" t="s">
        <v>10173</v>
      </c>
    </row>
    <row r="1545">
      <c r="A1545" s="126" t="s">
        <v>41</v>
      </c>
      <c r="B1545" s="330" t="s">
        <v>10174</v>
      </c>
      <c r="C1545" s="28" t="s">
        <v>10175</v>
      </c>
      <c r="D1545" s="28" t="s">
        <v>10176</v>
      </c>
      <c r="E1545" s="28" t="s">
        <v>10177</v>
      </c>
      <c r="F1545" s="161">
        <v>742.0</v>
      </c>
      <c r="G1545" s="152" t="str">
        <f>IFERROR(__xludf.DUMMYFUNCTION("TRIM(REGEXREPLACE(C1545, ""[0-9]+[a-f]?\."", """"))"),"As I mentioned at the beginning of our interview, we would like to stay in touch with you.")</f>
        <v>As I mentioned at the beginning of our interview, we would like to stay in touch with you.</v>
      </c>
      <c r="H1545" s="152" t="str">
        <f>IFERROR(__xludf.DUMMYFUNCTION("TRIM(REGEXREPLACE(D1545, ""[0-9]+[a-f]?\."", """"))"),"Comme je l'ai mentionné au début de notre entretien, nous aimerions rester en contact avec vous.")</f>
        <v>Comme je l'ai mentionné au début de notre entretien, nous aimerions rester en contact avec vous.</v>
      </c>
      <c r="I1545" s="152" t="str">
        <f>IFERROR(__xludf.DUMMYFUNCTION("TRIM(REGEXREPLACE(E1545, ""[0-9]+[a-f]?\."", """"))"),"Kamar yadda na faɗa a farkon hirarmu, muna son mu ci gaba da tuntuɓar ku.")</f>
        <v>Kamar yadda na faɗa a farkon hirarmu, muna son mu ci gaba da tuntuɓar ku.</v>
      </c>
      <c r="J1545" s="152" t="s">
        <v>10178</v>
      </c>
      <c r="K1545" s="152" t="s">
        <v>10179</v>
      </c>
      <c r="L1545" s="152" t="s">
        <v>10180</v>
      </c>
    </row>
    <row r="1546">
      <c r="A1546" s="181" t="s">
        <v>246</v>
      </c>
      <c r="B1546" s="331" t="s">
        <v>10181</v>
      </c>
      <c r="C1546" s="28" t="s">
        <v>10182</v>
      </c>
      <c r="D1546" s="28" t="s">
        <v>10183</v>
      </c>
      <c r="E1546" s="28" t="s">
        <v>10184</v>
      </c>
      <c r="F1546" s="161">
        <v>743.0</v>
      </c>
      <c r="G1546" s="152" t="str">
        <f>IFERROR(__xludf.DUMMYFUNCTION("TRIM(REGEXREPLACE(C1546, ""[0-9]+[a-f]?\."", """"))"),"What is the phone number where we can reach you?")</f>
        <v>What is the phone number where we can reach you?</v>
      </c>
      <c r="H1546" s="152" t="str">
        <f>IFERROR(__xludf.DUMMYFUNCTION("TRIM(REGEXREPLACE(D1546, ""[0-9]+[a-f]?\."", """"))"),"Quel est le numéro de téléphone auquel nous pouvons vous joindre?")</f>
        <v>Quel est le numéro de téléphone auquel nous pouvons vous joindre?</v>
      </c>
      <c r="I1546" s="152" t="str">
        <f>IFERROR(__xludf.DUMMYFUNCTION("TRIM(REGEXREPLACE(E1546, ""[0-9]+[a-f]?\."", """"))"),"Wace lambar waya ce zamu iya samun ku da ita?")</f>
        <v>Wace lambar waya ce zamu iya samun ku da ita?</v>
      </c>
      <c r="J1546" s="152" t="s">
        <v>10185</v>
      </c>
      <c r="K1546" s="152" t="s">
        <v>10186</v>
      </c>
      <c r="L1546" s="152" t="s">
        <v>10187</v>
      </c>
    </row>
    <row r="1547">
      <c r="A1547" s="67" t="s">
        <v>463</v>
      </c>
      <c r="B1547" s="289" t="s">
        <v>10188</v>
      </c>
      <c r="C1547" s="28" t="s">
        <v>10189</v>
      </c>
      <c r="D1547" s="28" t="s">
        <v>10190</v>
      </c>
      <c r="E1547" s="28" t="s">
        <v>10191</v>
      </c>
      <c r="F1547" s="161">
        <v>744.0</v>
      </c>
      <c r="G1547" s="152" t="str">
        <f>IFERROR(__xludf.DUMMYFUNCTION("TRIM(REGEXREPLACE(C1547, ""[0-9]+[a-f]?\."", """"))"),"I am going to read back the phone number you just shared with me. Can you confirm this is your primary phone number? ${primary_phone}")</f>
        <v>I am going to read back the phone number you just shared with me. Can you confirm this is your primary phone number? ${primary_phone}</v>
      </c>
      <c r="H1547" s="152" t="str">
        <f>IFERROR(__xludf.DUMMYFUNCTION("TRIM(REGEXREPLACE(D1547, ""[0-9]+[a-f]?\."", """"))"),"Je vais relire le numéro de téléphone que vous venez de me donner. Pouvez-vous confirmer qu'il s'agit de votre numéro de téléphone principal ? ${primary_phone}")</f>
        <v>Je vais relire le numéro de téléphone que vous venez de me donner. Pouvez-vous confirmer qu'il s'agit de votre numéro de téléphone principal ? ${primary_phone}</v>
      </c>
      <c r="I1547" s="152" t="str">
        <f>IFERROR(__xludf.DUMMYFUNCTION("TRIM(REGEXREPLACE(E1547, ""[0-9]+[a-f]?\."", """"))"),"Zan sake karanta lambar wayar da kuka bani. Zaku iya tabbatar mini da wannan itace lambar wayarku ta farko? ${primary_phone}")</f>
        <v>Zan sake karanta lambar wayar da kuka bani. Zaku iya tabbatar mini da wannan itace lambar wayarku ta farko? ${primary_phone}</v>
      </c>
      <c r="J1547" s="152" t="s">
        <v>10192</v>
      </c>
      <c r="K1547" s="152" t="s">
        <v>10193</v>
      </c>
      <c r="L1547" s="152" t="s">
        <v>10194</v>
      </c>
    </row>
    <row r="1548">
      <c r="A1548" s="126" t="s">
        <v>41</v>
      </c>
      <c r="B1548" s="330" t="s">
        <v>10195</v>
      </c>
      <c r="C1548" s="28" t="s">
        <v>10196</v>
      </c>
      <c r="D1548" s="28" t="s">
        <v>10197</v>
      </c>
      <c r="E1548" s="28" t="s">
        <v>10198</v>
      </c>
      <c r="F1548" s="161">
        <v>745.0</v>
      </c>
      <c r="G1548" s="152" t="str">
        <f>IFERROR(__xludf.DUMMYFUNCTION("TRIM(REGEXREPLACE(C1548, ""[0-9]+[a-f]?\."", """"))"),"Please go back and correct the number.")</f>
        <v>Please go back and correct the number.</v>
      </c>
      <c r="H1548" s="152" t="str">
        <f>IFERROR(__xludf.DUMMYFUNCTION("TRIM(REGEXREPLACE(D1548, ""[0-9]+[a-f]?\."", """"))"),"Veuillez revenir en arrière pour corriger le numéro.")</f>
        <v>Veuillez revenir en arrière pour corriger le numéro.</v>
      </c>
      <c r="I1548" s="152" t="str">
        <f>IFERROR(__xludf.DUMMYFUNCTION("TRIM(REGEXREPLACE(E1548, ""[0-9]+[a-f]?\."", """"))"),"ko za ka koma baya ka gyara lambar.")</f>
        <v>ko za ka koma baya ka gyara lambar.</v>
      </c>
      <c r="J1548" s="152" t="s">
        <v>10199</v>
      </c>
      <c r="K1548" s="152" t="s">
        <v>10200</v>
      </c>
      <c r="L1548" s="152" t="s">
        <v>10201</v>
      </c>
    </row>
    <row r="1549">
      <c r="A1549" s="67" t="s">
        <v>10202</v>
      </c>
      <c r="B1549" s="289" t="s">
        <v>10203</v>
      </c>
      <c r="C1549" s="28" t="s">
        <v>10204</v>
      </c>
      <c r="D1549" s="28" t="s">
        <v>10205</v>
      </c>
      <c r="E1549" s="28" t="s">
        <v>10206</v>
      </c>
      <c r="F1549" s="161">
        <v>746.0</v>
      </c>
      <c r="G1549" s="152" t="str">
        <f>IFERROR(__xludf.DUMMYFUNCTION("TRIM(REGEXREPLACE(C1549, ""[0-9]+[a-f]?\."", """"))"),"I am going to call this phone number to confirm it is correct.")</f>
        <v>I am going to call this phone number to confirm it is correct.</v>
      </c>
      <c r="H1549" s="152" t="str">
        <f>IFERROR(__xludf.DUMMYFUNCTION("TRIM(REGEXREPLACE(D1549, ""[0-9]+[a-f]?\."", """"))"),"Je vais appeler ce numéro de téléphone pour confirmer qu'il est correct.")</f>
        <v>Je vais appeler ce numéro de téléphone pour confirmer qu'il est correct.</v>
      </c>
      <c r="I1549" s="152" t="str">
        <f>IFERROR(__xludf.DUMMYFUNCTION("TRIM(REGEXREPLACE(E1549, ""[0-9]+[a-f]?\."", """"))"),"Zan kirayi wannan lambar don tabbatar da cewa daidai ce.")</f>
        <v>Zan kirayi wannan lambar don tabbatar da cewa daidai ce.</v>
      </c>
      <c r="J1549" s="152" t="s">
        <v>10207</v>
      </c>
      <c r="K1549" s="152" t="s">
        <v>10208</v>
      </c>
      <c r="L1549" s="152" t="s">
        <v>10209</v>
      </c>
    </row>
    <row r="1550">
      <c r="A1550" s="126" t="s">
        <v>41</v>
      </c>
      <c r="B1550" s="330" t="s">
        <v>10210</v>
      </c>
      <c r="C1550" s="28" t="s">
        <v>10211</v>
      </c>
      <c r="D1550" s="28" t="s">
        <v>10212</v>
      </c>
      <c r="E1550" s="28" t="s">
        <v>10213</v>
      </c>
      <c r="F1550" s="161">
        <v>747.0</v>
      </c>
      <c r="G1550" s="152" t="str">
        <f>IFERROR(__xludf.DUMMYFUNCTION("TRIM(REGEXREPLACE(C1550, ""[0-9]+[a-f]?\."", """"))"),"Please go back and enter a new phone number.")</f>
        <v>Please go back and enter a new phone number.</v>
      </c>
      <c r="H1550" s="152" t="str">
        <f>IFERROR(__xludf.DUMMYFUNCTION("TRIM(REGEXREPLACE(D1550, ""[0-9]+[a-f]?\."", """"))"),"Veuillez revenir en arrière pour entrer un nouveau numéro de téléphone.")</f>
        <v>Veuillez revenir en arrière pour entrer un nouveau numéro de téléphone.</v>
      </c>
      <c r="I1550" s="152" t="str">
        <f>IFERROR(__xludf.DUMMYFUNCTION("TRIM(REGEXREPLACE(E1550, ""[0-9]+[a-f]?\."", """"))"),"Ko za ka koma baya ka shigar da sabuwar lambar waya.")</f>
        <v>Ko za ka koma baya ka shigar da sabuwar lambar waya.</v>
      </c>
      <c r="J1550" s="152" t="s">
        <v>10214</v>
      </c>
      <c r="K1550" s="152" t="s">
        <v>10215</v>
      </c>
      <c r="L1550" s="152" t="s">
        <v>10216</v>
      </c>
    </row>
    <row r="1551">
      <c r="A1551" s="67" t="s">
        <v>463</v>
      </c>
      <c r="B1551" s="289" t="s">
        <v>10217</v>
      </c>
      <c r="C1551" s="28" t="s">
        <v>10218</v>
      </c>
      <c r="D1551" s="28" t="s">
        <v>10219</v>
      </c>
      <c r="E1551" s="28" t="s">
        <v>10220</v>
      </c>
      <c r="F1551" s="161">
        <v>748.0</v>
      </c>
      <c r="G1551" s="152" t="str">
        <f>IFERROR(__xludf.DUMMYFUNCTION("TRIM(REGEXREPLACE(C1551, ""[0-9]+[a-f]?\."", """"))"),"Do you have a Whatsapp account/ phone number you use for WhatsApp?")</f>
        <v>Do you have a Whatsapp account/ phone number you use for WhatsApp?</v>
      </c>
      <c r="H1551" s="152" t="str">
        <f>IFERROR(__xludf.DUMMYFUNCTION("TRIM(REGEXREPLACE(D1551, ""[0-9]+[a-f]?\."", """"))"),"Avez-vous un compte/numéro de téléphone Whatsapp que vous utilisez pour WhatsApp ?")</f>
        <v>Avez-vous un compte/numéro de téléphone Whatsapp que vous utilisez pour WhatsApp ?</v>
      </c>
      <c r="I1551" s="152" t="str">
        <f>IFERROR(__xludf.DUMMYFUNCTION("TRIM(REGEXREPLACE(E1551, ""[0-9]+[a-f]?\."", """"))"),"Kuna yin WhatsApp / lambar wayar da kuke amfani da ita ta WhatsApp ce?")</f>
        <v>Kuna yin WhatsApp / lambar wayar da kuke amfani da ita ta WhatsApp ce?</v>
      </c>
      <c r="J1551" s="152" t="s">
        <v>10221</v>
      </c>
      <c r="K1551" s="152" t="s">
        <v>10222</v>
      </c>
      <c r="L1551" s="152" t="s">
        <v>10223</v>
      </c>
    </row>
    <row r="1552">
      <c r="A1552" s="67" t="s">
        <v>463</v>
      </c>
      <c r="B1552" s="289" t="s">
        <v>10224</v>
      </c>
      <c r="C1552" s="28" t="s">
        <v>10225</v>
      </c>
      <c r="D1552" s="28" t="s">
        <v>10226</v>
      </c>
      <c r="E1552" s="28" t="s">
        <v>10227</v>
      </c>
      <c r="F1552" s="161">
        <v>749.0</v>
      </c>
      <c r="G1552" s="152" t="str">
        <f>IFERROR(__xludf.DUMMYFUNCTION("TRIM(REGEXREPLACE(C1552, ""[0-9]+[a-f]?\."", """"))"),"Is this the phone number you use for whatsapp?")</f>
        <v>Is this the phone number you use for whatsapp?</v>
      </c>
      <c r="H1552" s="152" t="str">
        <f>IFERROR(__xludf.DUMMYFUNCTION("TRIM(REGEXREPLACE(D1552, ""[0-9]+[a-f]?\."", """"))"),"Est-ce le numéro de téléphone que vous utilisez pour WhatsApp ?")</f>
        <v>Est-ce le numéro de téléphone que vous utilisez pour WhatsApp ?</v>
      </c>
      <c r="I1552" s="152" t="str">
        <f>IFERROR(__xludf.DUMMYFUNCTION("TRIM(REGEXREPLACE(E1552, ""[0-9]+[a-f]?\."", """"))"),"Wannan ita ce lambar wayar da kuke amfani da ita don yin whatsapp?")</f>
        <v>Wannan ita ce lambar wayar da kuke amfani da ita don yin whatsapp?</v>
      </c>
      <c r="J1552" s="152" t="s">
        <v>10228</v>
      </c>
      <c r="K1552" s="152" t="s">
        <v>10229</v>
      </c>
      <c r="L1552" s="152" t="s">
        <v>10230</v>
      </c>
    </row>
    <row r="1553">
      <c r="A1553" s="181" t="s">
        <v>246</v>
      </c>
      <c r="B1553" s="331" t="s">
        <v>10231</v>
      </c>
      <c r="C1553" s="28" t="s">
        <v>10232</v>
      </c>
      <c r="D1553" s="28" t="s">
        <v>10233</v>
      </c>
      <c r="E1553" s="28" t="s">
        <v>10234</v>
      </c>
      <c r="F1553" s="161">
        <v>750.0</v>
      </c>
      <c r="G1553" s="152" t="str">
        <f>IFERROR(__xludf.DUMMYFUNCTION("TRIM(REGEXREPLACE(C1553, ""[0-9]+[a-f]?\."", """"))"),"Please tell me the phone number you use for Whatsapp")</f>
        <v>Please tell me the phone number you use for Whatsapp</v>
      </c>
      <c r="H1553" s="152" t="str">
        <f>IFERROR(__xludf.DUMMYFUNCTION("TRIM(REGEXREPLACE(D1553, ""[0-9]+[a-f]?\."", """"))"),"Veuillez me dire le numéro de téléphone que vous utilisez pour Whatsapp")</f>
        <v>Veuillez me dire le numéro de téléphone que vous utilisez pour Whatsapp</v>
      </c>
      <c r="I1553" s="152" t="str">
        <f>IFERROR(__xludf.DUMMYFUNCTION("TRIM(REGEXREPLACE(E1553, ""[0-9]+[a-f]?\."", """"))"),"Don Allah ku gaya mini lambar wayar da kuke amfani da ita don yin Whatsapp")</f>
        <v>Don Allah ku gaya mini lambar wayar da kuke amfani da ita don yin Whatsapp</v>
      </c>
      <c r="J1553" s="152" t="s">
        <v>10235</v>
      </c>
      <c r="K1553" s="152" t="s">
        <v>10236</v>
      </c>
      <c r="L1553" s="152" t="s">
        <v>10237</v>
      </c>
    </row>
    <row r="1554">
      <c r="A1554" s="67" t="s">
        <v>463</v>
      </c>
      <c r="B1554" s="289" t="s">
        <v>10239</v>
      </c>
      <c r="C1554" s="28" t="s">
        <v>10240</v>
      </c>
      <c r="D1554" s="28" t="s">
        <v>10241</v>
      </c>
      <c r="E1554" s="28" t="s">
        <v>10242</v>
      </c>
      <c r="F1554" s="161">
        <v>751.0</v>
      </c>
      <c r="G1554" s="152" t="str">
        <f>IFERROR(__xludf.DUMMYFUNCTION("TRIM(REGEXREPLACE(C1554, ""[0-9]+[a-f]?\."", """"))"),"I am going read back the phone number you just shared with me as your Whatsapp number. Is this the phone number you use for whatsapp? ${phone_whatsapp_number}")</f>
        <v>I am going read back the phone number you just shared with me as your Whatsapp number. Is this the phone number you use for whatsapp? ${phone_whatsapp_number}</v>
      </c>
      <c r="H1554" s="152" t="str">
        <f>IFERROR(__xludf.DUMMYFUNCTION("TRIM(REGEXREPLACE(D1554, ""[0-9]+[a-f]?\."", """"))"),"Je vais relire le numéro de téléphone que vous nous avez donné comme votre numéro Whatsapp. Est-ce le numéro de téléphone que vous utilisez pour WhatsApp ? ${phone_whatsapp_number}")</f>
        <v>Je vais relire le numéro de téléphone que vous nous avez donné comme votre numéro Whatsapp. Est-ce le numéro de téléphone que vous utilisez pour WhatsApp ? ${phone_whatsapp_number}</v>
      </c>
      <c r="I1554" s="152" t="str">
        <f>IFERROR(__xludf.DUMMYFUNCTION("TRIM(REGEXREPLACE(E1554, ""[0-9]+[a-f]?\."", """"))"),"Zan sake karanta lambar wayar da kuka bani a zaman lambar Whatsapp dinku. Wannan shine lambar wayar da kuke amfani da ita don yin whatsapp? ${phone_whatsapp_number}")</f>
        <v>Zan sake karanta lambar wayar da kuka bani a zaman lambar Whatsapp dinku. Wannan shine lambar wayar da kuke amfani da ita don yin whatsapp? ${phone_whatsapp_number}</v>
      </c>
      <c r="J1554" s="152" t="s">
        <v>10243</v>
      </c>
      <c r="K1554" s="152" t="s">
        <v>10244</v>
      </c>
      <c r="L1554" s="152" t="s">
        <v>10245</v>
      </c>
    </row>
    <row r="1555">
      <c r="A1555" s="126" t="s">
        <v>41</v>
      </c>
      <c r="B1555" s="330" t="s">
        <v>10246</v>
      </c>
      <c r="C1555" s="28" t="s">
        <v>10247</v>
      </c>
      <c r="D1555" s="28" t="s">
        <v>10248</v>
      </c>
      <c r="E1555" s="28" t="s">
        <v>10249</v>
      </c>
      <c r="F1555" s="161">
        <v>752.0</v>
      </c>
      <c r="G1555" s="152" t="str">
        <f>IFERROR(__xludf.DUMMYFUNCTION("TRIM(REGEXREPLACE(C1555, ""[0-9]+[a-f]?\."", """"))"),"Please go back and correct the number.")</f>
        <v>Please go back and correct the number.</v>
      </c>
      <c r="H1555" s="152" t="str">
        <f>IFERROR(__xludf.DUMMYFUNCTION("TRIM(REGEXREPLACE(D1555, ""[0-9]+[a-f]?\."", """"))"),"Veuillez revenir en arrière pour corriger le numéro.")</f>
        <v>Veuillez revenir en arrière pour corriger le numéro.</v>
      </c>
      <c r="I1555" s="152" t="str">
        <f>IFERROR(__xludf.DUMMYFUNCTION("TRIM(REGEXREPLACE(E1555, ""[0-9]+[a-f]?\."", """"))"),"Da fatan za ka koma baya ka gyara lambar.")</f>
        <v>Da fatan za ka koma baya ka gyara lambar.</v>
      </c>
      <c r="J1555" s="152" t="s">
        <v>10250</v>
      </c>
      <c r="K1555" s="152" t="s">
        <v>10251</v>
      </c>
      <c r="L1555" s="152" t="s">
        <v>10252</v>
      </c>
    </row>
    <row r="1556">
      <c r="A1556" s="67" t="s">
        <v>463</v>
      </c>
      <c r="B1556" s="289" t="s">
        <v>10253</v>
      </c>
      <c r="C1556" s="28" t="s">
        <v>10254</v>
      </c>
      <c r="D1556" s="28" t="s">
        <v>10255</v>
      </c>
      <c r="E1556" s="28" t="s">
        <v>10256</v>
      </c>
      <c r="F1556" s="161">
        <v>753.0</v>
      </c>
      <c r="G1556" s="152" t="str">
        <f>IFERROR(__xludf.DUMMYFUNCTION("TRIM(REGEXREPLACE(C1556, ""[0-9]+[a-f]?\."", """"))"),"Do you have other phone numbers that you use regularly (i.e. other phone carriers)?")</f>
        <v>Do you have other phone numbers that you use regularly (i.e. other phone carriers)?</v>
      </c>
      <c r="H1556" s="152" t="str">
        <f>IFERROR(__xludf.DUMMYFUNCTION("TRIM(REGEXREPLACE(D1556, ""[0-9]+[a-f]?\."", """"))"),"Avez-vous d'autres numéros de téléphone que vous utilisez régulièrement (c'est-à-dire d'autres opérateurs téléphoniques) ?")</f>
        <v>Avez-vous d'autres numéros de téléphone que vous utilisez régulièrement (c'est-à-dire d'autres opérateurs téléphoniques) ?</v>
      </c>
      <c r="I1556" s="152" t="str">
        <f>IFERROR(__xludf.DUMMYFUNCTION("TRIM(REGEXREPLACE(E1556, ""[0-9]+[a-f]?\."", """"))"),"Ko kuna da wasu lambobin waya waɗanda kuke amfani da su kai-akai (layin wasu gidan wayar salula)?")</f>
        <v>Ko kuna da wasu lambobin waya waɗanda kuke amfani da su kai-akai (layin wasu gidan wayar salula)?</v>
      </c>
      <c r="J1556" s="152" t="s">
        <v>10257</v>
      </c>
      <c r="K1556" s="152" t="s">
        <v>10258</v>
      </c>
      <c r="L1556" s="152" t="s">
        <v>10259</v>
      </c>
    </row>
    <row r="1557">
      <c r="A1557" s="173" t="s">
        <v>263</v>
      </c>
      <c r="B1557" s="332" t="s">
        <v>10260</v>
      </c>
      <c r="C1557" s="28" t="s">
        <v>10261</v>
      </c>
      <c r="D1557" s="28" t="s">
        <v>10262</v>
      </c>
      <c r="E1557" s="28" t="s">
        <v>10263</v>
      </c>
      <c r="F1557" s="161">
        <v>754.0</v>
      </c>
      <c r="G1557" s="152" t="str">
        <f>IFERROR(__xludf.DUMMYFUNCTION("TRIM(REGEXREPLACE(C1557, ""[0-9]+[a-f]?\."", """"))"),"How many other additional phone numbers?")</f>
        <v>How many other additional phone numbers?</v>
      </c>
      <c r="H1557" s="152" t="str">
        <f>IFERROR(__xludf.DUMMYFUNCTION("TRIM(REGEXREPLACE(D1557, ""[0-9]+[a-f]?\."", """"))"),"Y-a t-il d'autres numéros de téléphone supplémentaires ?")</f>
        <v>Y-a t-il d'autres numéros de téléphone supplémentaires ?</v>
      </c>
      <c r="I1557" s="152" t="str">
        <f>IFERROR(__xludf.DUMMYFUNCTION("TRIM(REGEXREPLACE(E1557, ""[0-9]+[a-f]?\."", """"))"),"220 a. Ko akwai ƙarin wasu lambobin waya?")</f>
        <v>220 a. Ko akwai ƙarin wasu lambobin waya?</v>
      </c>
      <c r="J1557" s="152" t="s">
        <v>10264</v>
      </c>
      <c r="K1557" s="152" t="s">
        <v>10265</v>
      </c>
      <c r="L1557" s="152" t="s">
        <v>10266</v>
      </c>
    </row>
    <row r="1558" hidden="1">
      <c r="A1558" s="176" t="s">
        <v>698</v>
      </c>
      <c r="B1558" s="177" t="s">
        <v>10267</v>
      </c>
      <c r="C1558" s="28" t="s">
        <v>10268</v>
      </c>
      <c r="D1558" s="28"/>
      <c r="E1558" s="28"/>
    </row>
    <row r="1559">
      <c r="A1559" s="181" t="s">
        <v>246</v>
      </c>
      <c r="B1559" s="331" t="s">
        <v>10269</v>
      </c>
      <c r="C1559" s="28" t="s">
        <v>10270</v>
      </c>
      <c r="D1559" s="28" t="s">
        <v>10271</v>
      </c>
      <c r="E1559" s="28" t="s">
        <v>10272</v>
      </c>
      <c r="F1559" s="161">
        <v>755.0</v>
      </c>
      <c r="G1559" s="152" t="str">
        <f>IFERROR(__xludf.DUMMYFUNCTION("TRIM(REGEXREPLACE(C1559, ""[0-9]+[a-f]?\."", """"))"),"What are these additional phone numbers?")</f>
        <v>What are these additional phone numbers?</v>
      </c>
      <c r="H1559" s="152" t="str">
        <f>IFERROR(__xludf.DUMMYFUNCTION("TRIM(REGEXREPLACE(D1559, ""[0-9]+[a-f]?\."", """"))"),"Quels sont les numéros de téléphone supplémentaires ?")</f>
        <v>Quels sont les numéros de téléphone supplémentaires ?</v>
      </c>
      <c r="I1559" s="152" t="str">
        <f>IFERROR(__xludf.DUMMYFUNCTION("TRIM(REGEXREPLACE(E1559, ""[0-9]+[a-f]?\."", """"))"),"Waɗannene ƙarin lambobin wayan?")</f>
        <v>Waɗannene ƙarin lambobin wayan?</v>
      </c>
      <c r="J1559" s="152" t="s">
        <v>10273</v>
      </c>
      <c r="K1559" s="152" t="s">
        <v>10274</v>
      </c>
      <c r="L1559" s="152" t="s">
        <v>10275</v>
      </c>
    </row>
    <row r="1560" hidden="1">
      <c r="A1560" s="176" t="s">
        <v>1015</v>
      </c>
      <c r="B1560" s="176" t="s">
        <v>10267</v>
      </c>
      <c r="C1560" s="28" t="s">
        <v>10268</v>
      </c>
      <c r="D1560" s="28"/>
      <c r="E1560" s="28"/>
    </row>
    <row r="1561">
      <c r="A1561" s="67" t="s">
        <v>463</v>
      </c>
      <c r="B1561" s="289" t="s">
        <v>10277</v>
      </c>
      <c r="C1561" s="28" t="s">
        <v>10278</v>
      </c>
      <c r="D1561" s="28" t="s">
        <v>10279</v>
      </c>
      <c r="E1561" s="28" t="s">
        <v>10280</v>
      </c>
      <c r="F1561" s="161">
        <v>756.0</v>
      </c>
      <c r="G1561" s="152" t="str">
        <f>IFERROR(__xludf.DUMMYFUNCTION("TRIM(REGEXREPLACE(C1561, ""[0-9]+[a-f]?\."", """"))"),"In case we cannot reach you, could you please provide us with the name and phone number of someone outside your household that we could call to ask for your number? 
 We would only call that person if we cannot reach you after a few attempts and this wo"&amp;"uld really help us stay in contact with you.")</f>
        <v>In case we cannot reach you, could you please provide us with the name and phone number of someone outside your household that we could call to ask for your number? 
 We would only call that person if we cannot reach you after a few attempts and this would really help us stay in contact with you.</v>
      </c>
      <c r="H1561" s="152" t="str">
        <f>IFERROR(__xludf.DUMMYFUNCTION("TRIM(REGEXREPLACE(D1561, ""[0-9]+[a-f]?\."", """"))"),"Si nous ne pouvons pas vous joindre, pourriez-vous nous fournir le nom et le numéro de téléphone d'une personne extérieure à votre foyer que nous pourrions appeler pour demander votre numéro ?
 Nous n'appellerions cette personne que si nous ne pouvons p"&amp;"as vous joindre après quelques tentatives, cela nous aiderait vraiment à rester en contact avec vous.")</f>
        <v>Si nous ne pouvons pas vous joindre, pourriez-vous nous fournir le nom et le numéro de téléphone d'une personne extérieure à votre foyer que nous pourrions appeler pour demander votre numéro ?
 Nous n'appellerions cette personne que si nous ne pouvons pas vous joindre après quelques tentatives, cela nous aiderait vraiment à rester en contact avec vous.</v>
      </c>
      <c r="I1561" s="152" t="str">
        <f>IFERROR(__xludf.DUMMYFUNCTION("TRIM(REGEXREPLACE(E1561, ""[0-9]+[a-f]?\."", """"))"),"Idan ba za mu iya samun ku ba, ko za ku iya ba mu suna da lambar wayar wani wanda ba na gidanku ba da za mu iya kira don neman lambar ku?
 Za mu kirayi mutumen ne kawai idan bamu sameku ba bayan kira biyu zuwa uku, hakan zai taimaka mana ci gaba da tunt"&amp;"uɓar ku.")</f>
        <v>Idan ba za mu iya samun ku ba, ko za ku iya ba mu suna da lambar wayar wani wanda ba na gidanku ba da za mu iya kira don neman lambar ku?
 Za mu kirayi mutumen ne kawai idan bamu sameku ba bayan kira biyu zuwa uku, hakan zai taimaka mana ci gaba da tuntuɓar ku.</v>
      </c>
      <c r="J1561" s="152" t="s">
        <v>10281</v>
      </c>
      <c r="K1561" s="152" t="s">
        <v>10282</v>
      </c>
      <c r="L1561" s="152" t="s">
        <v>10283</v>
      </c>
    </row>
    <row r="1562" hidden="1">
      <c r="A1562" s="139" t="s">
        <v>131</v>
      </c>
      <c r="B1562" s="190" t="s">
        <v>10284</v>
      </c>
      <c r="C1562" s="28" t="s">
        <v>10285</v>
      </c>
      <c r="D1562" s="28"/>
      <c r="E1562" s="28"/>
    </row>
    <row r="1563">
      <c r="A1563" s="181" t="s">
        <v>246</v>
      </c>
      <c r="B1563" s="331" t="s">
        <v>10286</v>
      </c>
      <c r="C1563" s="28" t="s">
        <v>10287</v>
      </c>
      <c r="D1563" s="28" t="s">
        <v>10288</v>
      </c>
      <c r="E1563" s="28" t="s">
        <v>10289</v>
      </c>
      <c r="F1563" s="161">
        <v>757.0</v>
      </c>
      <c r="G1563" s="152" t="str">
        <f>IFERROR(__xludf.DUMMYFUNCTION("TRIM(REGEXREPLACE(C1563, ""[0-9]+[a-f]?\."", """"))"),"What is the last name of this person")</f>
        <v>What is the last name of this person</v>
      </c>
      <c r="H1563" s="152" t="str">
        <f>IFERROR(__xludf.DUMMYFUNCTION("TRIM(REGEXREPLACE(D1563, ""[0-9]+[a-f]?\."", """"))"),"Quel est le nom de cette personne")</f>
        <v>Quel est le nom de cette personne</v>
      </c>
      <c r="I1563" s="152" t="str">
        <f>IFERROR(__xludf.DUMMYFUNCTION("TRIM(REGEXREPLACE(E1563, ""[0-9]+[a-f]?\."", """"))"),"Menene sunan uban wannan mutumen?")</f>
        <v>Menene sunan uban wannan mutumen?</v>
      </c>
      <c r="J1563" s="152" t="s">
        <v>10290</v>
      </c>
      <c r="K1563" s="152" t="s">
        <v>10291</v>
      </c>
      <c r="L1563" s="152" t="s">
        <v>10292</v>
      </c>
    </row>
    <row r="1564">
      <c r="A1564" s="181" t="s">
        <v>246</v>
      </c>
      <c r="B1564" s="331" t="s">
        <v>10293</v>
      </c>
      <c r="C1564" s="28" t="s">
        <v>10294</v>
      </c>
      <c r="D1564" s="28" t="s">
        <v>10295</v>
      </c>
      <c r="E1564" s="28" t="s">
        <v>10296</v>
      </c>
      <c r="F1564" s="161">
        <v>758.0</v>
      </c>
      <c r="G1564" s="152" t="str">
        <f>IFERROR(__xludf.DUMMYFUNCTION("TRIM(REGEXREPLACE(C1564, ""[0-9]+[a-f]?\."", """"))"),"What is the first name of this person")</f>
        <v>What is the first name of this person</v>
      </c>
      <c r="H1564" s="152" t="str">
        <f>IFERROR(__xludf.DUMMYFUNCTION("TRIM(REGEXREPLACE(D1564, ""[0-9]+[a-f]?\."", """"))"),"Quel est le prénom de cette personne")</f>
        <v>Quel est le prénom de cette personne</v>
      </c>
      <c r="I1564" s="152" t="str">
        <f>IFERROR(__xludf.DUMMYFUNCTION("TRIM(REGEXREPLACE(E1564, ""[0-9]+[a-f]?\."", """"))"),"Menene sunan wannan mutumen?")</f>
        <v>Menene sunan wannan mutumen?</v>
      </c>
      <c r="J1564" s="152" t="s">
        <v>10297</v>
      </c>
      <c r="K1564" s="152" t="s">
        <v>10298</v>
      </c>
      <c r="L1564" s="152" t="s">
        <v>10299</v>
      </c>
    </row>
    <row r="1565" hidden="1">
      <c r="A1565" s="139" t="s">
        <v>237</v>
      </c>
      <c r="B1565" s="139" t="s">
        <v>10284</v>
      </c>
      <c r="C1565" s="28" t="s">
        <v>10285</v>
      </c>
      <c r="D1565" s="28"/>
      <c r="E1565" s="28"/>
    </row>
    <row r="1566" hidden="1">
      <c r="A1566" s="96" t="s">
        <v>78</v>
      </c>
      <c r="B1566" s="178" t="s">
        <v>10300</v>
      </c>
      <c r="C1566" s="28"/>
      <c r="D1566" s="28"/>
      <c r="E1566" s="28"/>
    </row>
    <row r="1567">
      <c r="A1567" s="181" t="s">
        <v>246</v>
      </c>
      <c r="B1567" s="331" t="s">
        <v>10301</v>
      </c>
      <c r="C1567" s="28" t="s">
        <v>10302</v>
      </c>
      <c r="D1567" s="28" t="s">
        <v>10303</v>
      </c>
      <c r="E1567" s="28" t="s">
        <v>10303</v>
      </c>
      <c r="F1567" s="161">
        <v>759.0</v>
      </c>
      <c r="G1567" s="152" t="str">
        <f>IFERROR(__xludf.DUMMYFUNCTION("TRIM(REGEXREPLACE(C1567, ""[0-9]+[a-f]?\."", """"))"),"What is their phone number?")</f>
        <v>What is their phone number?</v>
      </c>
      <c r="H1567" s="152" t="str">
        <f>IFERROR(__xludf.DUMMYFUNCTION("TRIM(REGEXREPLACE(D1567, ""[0-9]+[a-f]?\."", """"))"),"")</f>
        <v/>
      </c>
      <c r="I1567" s="152" t="str">
        <f>IFERROR(__xludf.DUMMYFUNCTION("TRIM(REGEXREPLACE(E1567, ""[0-9]+[a-f]?\."", """"))"),"")</f>
        <v/>
      </c>
      <c r="J1567" s="152" t="s">
        <v>10304</v>
      </c>
      <c r="K1567" s="152" t="s">
        <v>10305</v>
      </c>
      <c r="L1567" s="152" t="s">
        <v>10305</v>
      </c>
    </row>
    <row r="1568">
      <c r="A1568" s="67" t="s">
        <v>5785</v>
      </c>
      <c r="B1568" s="289" t="s">
        <v>10306</v>
      </c>
      <c r="C1568" s="28" t="s">
        <v>10307</v>
      </c>
      <c r="D1568" s="28" t="s">
        <v>10308</v>
      </c>
      <c r="E1568" s="28" t="s">
        <v>10309</v>
      </c>
      <c r="F1568" s="161">
        <v>760.0</v>
      </c>
      <c r="G1568" s="152" t="str">
        <f>IFERROR(__xludf.DUMMYFUNCTION("TRIM(REGEXREPLACE(C1568, ""[0-9]+[a-f]?\."", """"))"),"What is ${secondary_name1}'s relationship to you?")</f>
        <v>What is ${secondary_name1}'s relationship to you?</v>
      </c>
      <c r="H1568" s="152" t="str">
        <f>IFERROR(__xludf.DUMMYFUNCTION("TRIM(REGEXREPLACE(D1568, ""[0-9]+[a-f]?\."", """"))"),"Quelle est la relation entre ${secondary_name1} et vous ?")</f>
        <v>Quelle est la relation entre ${secondary_name1} et vous ?</v>
      </c>
      <c r="I1568" s="152" t="str">
        <f>IFERROR(__xludf.DUMMYFUNCTION("TRIM(REGEXREPLACE(E1568, ""[0-9]+[a-f]?\."", """"))"),"Menene alaƙar ku da ${secondary_name1} ?")</f>
        <v>Menene alaƙar ku da ${secondary_name1} ?</v>
      </c>
      <c r="J1568" s="152" t="s">
        <v>10310</v>
      </c>
      <c r="K1568" s="152" t="s">
        <v>10311</v>
      </c>
      <c r="L1568" s="152" t="s">
        <v>10312</v>
      </c>
    </row>
    <row r="1569">
      <c r="A1569" s="67" t="s">
        <v>463</v>
      </c>
      <c r="B1569" s="289" t="s">
        <v>10313</v>
      </c>
      <c r="C1569" s="28" t="s">
        <v>10314</v>
      </c>
      <c r="D1569" s="28" t="s">
        <v>10315</v>
      </c>
      <c r="E1569" s="28" t="s">
        <v>10316</v>
      </c>
      <c r="F1569" s="161">
        <v>761.0</v>
      </c>
      <c r="G1569" s="152" t="str">
        <f>IFERROR(__xludf.DUMMYFUNCTION("TRIM(REGEXREPLACE(C1569, ""[0-9]+[a-f]?\."", """"))"),"Just to confirm, is this the number? 
 ${secondary_name1}
 ${secondary_phone1}")</f>
        <v>Just to confirm, is this the number? 
 ${secondary_name1}
 ${secondary_phone1}</v>
      </c>
      <c r="H1569" s="152" t="str">
        <f>IFERROR(__xludf.DUMMYFUNCTION("TRIM(REGEXREPLACE(D1569, ""[0-9]+[a-f]?\."", """"))"),"Juste pour confirmer, est-ce bien le numéro ?
 ${secondary_name1}
 ${secondary_phone1}")</f>
        <v>Juste pour confirmer, est-ce bien le numéro ?
 ${secondary_name1}
 ${secondary_phone1}</v>
      </c>
      <c r="I1569" s="152" t="str">
        <f>IFERROR(__xludf.DUMMYFUNCTION("TRIM(REGEXREPLACE(E1569, ""[0-9]+[a-f]?\."", """"))"),"Don tabbatarwa kawai, da wannan itace lambar?
 ${secondary_name1}
 ${secondary_phone1}")</f>
        <v>Don tabbatarwa kawai, da wannan itace lambar?
 ${secondary_name1}
 ${secondary_phone1}</v>
      </c>
      <c r="J1569" s="152" t="s">
        <v>10317</v>
      </c>
      <c r="K1569" s="152" t="s">
        <v>10318</v>
      </c>
      <c r="L1569" s="152" t="s">
        <v>10319</v>
      </c>
    </row>
    <row r="1570">
      <c r="A1570" s="126" t="s">
        <v>41</v>
      </c>
      <c r="B1570" s="330" t="s">
        <v>10320</v>
      </c>
      <c r="C1570" s="28" t="s">
        <v>10321</v>
      </c>
      <c r="D1570" s="28" t="s">
        <v>10322</v>
      </c>
      <c r="E1570" s="28" t="s">
        <v>10323</v>
      </c>
      <c r="F1570" s="161">
        <v>762.0</v>
      </c>
      <c r="G1570" s="152" t="str">
        <f>IFERROR(__xludf.DUMMYFUNCTION("TRIM(REGEXREPLACE(C1570, ""[0-9]+[a-f]?\."", """"))"),"Please go back and correct the name and phone number.")</f>
        <v>Please go back and correct the name and phone number.</v>
      </c>
      <c r="H1570" s="152" t="str">
        <f>IFERROR(__xludf.DUMMYFUNCTION("TRIM(REGEXREPLACE(D1570, ""[0-9]+[a-f]?\."", """"))"),"Veuillez revenir en arrière et corriger le nom et le numéro de téléphone.")</f>
        <v>Veuillez revenir en arrière et corriger le nom et le numéro de téléphone.</v>
      </c>
      <c r="I1570" s="152" t="str">
        <f>IFERROR(__xludf.DUMMYFUNCTION("TRIM(REGEXREPLACE(E1570, ""[0-9]+[a-f]?\."", """"))"),"Da fatan za ka koma baya don ka gyara suna da lambar waya.")</f>
        <v>Da fatan za ka koma baya don ka gyara suna da lambar waya.</v>
      </c>
      <c r="J1570" s="152" t="s">
        <v>10324</v>
      </c>
      <c r="K1570" s="152" t="s">
        <v>10325</v>
      </c>
      <c r="L1570" s="152" t="s">
        <v>10326</v>
      </c>
    </row>
    <row r="1571">
      <c r="A1571" s="67" t="s">
        <v>10202</v>
      </c>
      <c r="B1571" s="289" t="s">
        <v>10327</v>
      </c>
      <c r="C1571" s="28" t="s">
        <v>10328</v>
      </c>
      <c r="D1571" s="28" t="s">
        <v>10329</v>
      </c>
      <c r="E1571" s="28" t="s">
        <v>10330</v>
      </c>
      <c r="F1571" s="161">
        <v>763.0</v>
      </c>
      <c r="G1571" s="152" t="str">
        <f>IFERROR(__xludf.DUMMYFUNCTION("TRIM(REGEXREPLACE(C1571, ""[0-9]+[a-f]?\."", """"))"),"I am going to call this phone number to confirm it is correct. [Enumerator: Did the phone ring?]")</f>
        <v>I am going to call this phone number to confirm it is correct. [Enumerator: Did the phone ring?]</v>
      </c>
      <c r="H1571" s="152" t="str">
        <f>IFERROR(__xludf.DUMMYFUNCTION("TRIM(REGEXREPLACE(D1571, ""[0-9]+[a-f]?\."", """"))"),"Je vais appeler ce numéro de téléphone pour confirmer qu'il est correct. [Enquêteur : Le téléphone a-t-il sonné ?]")</f>
        <v>Je vais appeler ce numéro de téléphone pour confirmer qu'il est correct. [Enquêteur : Le téléphone a-t-il sonné ?]</v>
      </c>
      <c r="I1571" s="152" t="str">
        <f>IFERROR(__xludf.DUMMYFUNCTION("TRIM(REGEXREPLACE(E1571, ""[0-9]+[a-f]?\."", """"))"),"Zan kirayi wannan lambar wayar don tabbatar da daidai ce. [Ɗan bincike: Wayar ta yi ƙara?]")</f>
        <v>Zan kirayi wannan lambar wayar don tabbatar da daidai ce. [Ɗan bincike: Wayar ta yi ƙara?]</v>
      </c>
      <c r="J1571" s="152" t="s">
        <v>10331</v>
      </c>
      <c r="K1571" s="152" t="s">
        <v>10332</v>
      </c>
      <c r="L1571" s="152" t="s">
        <v>10333</v>
      </c>
    </row>
    <row r="1572">
      <c r="A1572" s="126" t="s">
        <v>41</v>
      </c>
      <c r="B1572" s="330" t="s">
        <v>10334</v>
      </c>
      <c r="C1572" s="28" t="s">
        <v>10335</v>
      </c>
      <c r="D1572" s="28" t="s">
        <v>10336</v>
      </c>
      <c r="E1572" s="28" t="s">
        <v>10337</v>
      </c>
      <c r="F1572" s="161">
        <v>764.0</v>
      </c>
      <c r="G1572" s="152" t="str">
        <f>IFERROR(__xludf.DUMMYFUNCTION("TRIM(REGEXREPLACE(C1572, ""[0-9]+[a-f]?\."", """"))"),"Please go back and enter a new phone number.")</f>
        <v>Please go back and enter a new phone number.</v>
      </c>
      <c r="H1572" s="152" t="str">
        <f>IFERROR(__xludf.DUMMYFUNCTION("TRIM(REGEXREPLACE(D1572, ""[0-9]+[a-f]?\."", """"))"),"Veuillez ressaisir le numéro")</f>
        <v>Veuillez ressaisir le numéro</v>
      </c>
      <c r="I1572" s="152" t="str">
        <f>IFERROR(__xludf.DUMMYFUNCTION("TRIM(REGEXREPLACE(E1572, ""[0-9]+[a-f]?\."", """"))"),"Da fatan zaku rubuta lambar")</f>
        <v>Da fatan zaku rubuta lambar</v>
      </c>
      <c r="J1572" s="152" t="s">
        <v>10338</v>
      </c>
      <c r="K1572" s="152" t="s">
        <v>10339</v>
      </c>
      <c r="L1572" s="152" t="s">
        <v>10340</v>
      </c>
    </row>
    <row r="1573">
      <c r="A1573" s="67" t="s">
        <v>463</v>
      </c>
      <c r="B1573" s="289" t="s">
        <v>10341</v>
      </c>
      <c r="C1573" s="28" t="s">
        <v>10342</v>
      </c>
      <c r="D1573" s="28" t="s">
        <v>10343</v>
      </c>
      <c r="E1573" s="28" t="s">
        <v>10344</v>
      </c>
      <c r="F1573" s="161">
        <v>765.0</v>
      </c>
      <c r="G1573" s="152" t="str">
        <f>IFERROR(__xludf.DUMMYFUNCTION("TRIM(REGEXREPLACE(C1573, ""[0-9]+[a-f]?\."", """"))"),"We currently have the number of ${secondary_name1} that you shared with us, could you give us the name of phone number of someone else that you're usually in contact with? We would only call that person if we cannot reach you or ${secondary_name1} after a"&amp;" few attempts and this would really help us stay in contact with you.")</f>
        <v>We currently have the number of ${secondary_name1} that you shared with us, could you give us the name of phone number of someone else that you're usually in contact with? We would only call that person if we cannot reach you or ${secondary_name1} after a few attempts and this would really help us stay in contact with you.</v>
      </c>
      <c r="H1573" s="152" t="str">
        <f>IFERROR(__xludf.DUMMYFUNCTION("TRIM(REGEXREPLACE(D1573, ""[0-9]+[a-f]?\."", """"))"),"Nous avons actuellement le numéro de ${secondary_name1} que vous nous avez donné nous, pourriez-vous nous donner le nom et le numéro de téléphone de quelqu'un d'autre avec qui vous êtes habituellement en contact ? Nous n'appellerions cette personne que si"&amp;" nous ne parvenions pas à vous joindre ou à joindre ${secondary_name1} après quelques tentatives puisque cela nous aiderait vraiment à rester en contact avec vous.")</f>
        <v>Nous avons actuellement le numéro de ${secondary_name1} que vous nous avez donné nous, pourriez-vous nous donner le nom et le numéro de téléphone de quelqu'un d'autre avec qui vous êtes habituellement en contact ? Nous n'appellerions cette personne que si nous ne parvenions pas à vous joindre ou à joindre ${secondary_name1} après quelques tentatives puisque cela nous aiderait vraiment à rester en contact avec vous.</v>
      </c>
      <c r="I1573" s="152" t="str">
        <f>IFERROR(__xludf.DUMMYFUNCTION("TRIM(REGEXREPLACE(E1573, ""[0-9]+[a-f]?\."", """"))"),"A halin yanzu muna da lambar ${secondary_name1} da kuka bamu, za ku iya bamu suna da lambar wayar wani da kuke kiran juna da shi? Za mu kiraye wannan mutumen ne kawai idan bamu sameku ba ko bamu samu ${secondary_name1} bayan kira biyu zuwa uku, wannan zai"&amp;" taimaka mana wajen ci gaba da tuntuɓar ku.")</f>
        <v>A halin yanzu muna da lambar ${secondary_name1} da kuka bamu, za ku iya bamu suna da lambar wayar wani da kuke kiran juna da shi? Za mu kiraye wannan mutumen ne kawai idan bamu sameku ba ko bamu samu ${secondary_name1} bayan kira biyu zuwa uku, wannan zai taimaka mana wajen ci gaba da tuntuɓar ku.</v>
      </c>
      <c r="J1573" s="152" t="s">
        <v>10345</v>
      </c>
      <c r="K1573" s="152" t="s">
        <v>10346</v>
      </c>
      <c r="L1573" s="152" t="s">
        <v>10347</v>
      </c>
    </row>
    <row r="1574" hidden="1">
      <c r="A1574" s="139" t="s">
        <v>131</v>
      </c>
      <c r="B1574" s="190" t="s">
        <v>10348</v>
      </c>
      <c r="C1574" s="28" t="s">
        <v>10349</v>
      </c>
      <c r="D1574" s="28"/>
      <c r="E1574" s="28"/>
    </row>
    <row r="1575">
      <c r="A1575" s="181" t="s">
        <v>246</v>
      </c>
      <c r="B1575" s="331" t="s">
        <v>10350</v>
      </c>
      <c r="C1575" s="28" t="s">
        <v>10351</v>
      </c>
      <c r="D1575" s="28" t="s">
        <v>10352</v>
      </c>
      <c r="E1575" s="28" t="s">
        <v>10353</v>
      </c>
      <c r="F1575" s="161">
        <v>766.0</v>
      </c>
      <c r="G1575" s="152" t="str">
        <f>IFERROR(__xludf.DUMMYFUNCTION("TRIM(REGEXREPLACE(C1575, ""[0-9]+[a-f]?\."", """"))"),"What is the last name of this person")</f>
        <v>What is the last name of this person</v>
      </c>
      <c r="H1575" s="152" t="str">
        <f>IFERROR(__xludf.DUMMYFUNCTION("TRIM(REGEXREPLACE(D1575, ""[0-9]+[a-f]?\."", """"))"),"Quel est le nom de cette personne?")</f>
        <v>Quel est le nom de cette personne?</v>
      </c>
      <c r="I1575" s="152" t="str">
        <f>IFERROR(__xludf.DUMMYFUNCTION("TRIM(REGEXREPLACE(E1575, ""[0-9]+[a-f]?\."", """"))"),"Menene sunan uban wannan mutumen?")</f>
        <v>Menene sunan uban wannan mutumen?</v>
      </c>
      <c r="J1575" s="152" t="s">
        <v>10354</v>
      </c>
      <c r="K1575" s="152" t="s">
        <v>10355</v>
      </c>
      <c r="L1575" s="152" t="s">
        <v>10356</v>
      </c>
    </row>
    <row r="1576">
      <c r="A1576" s="181" t="s">
        <v>246</v>
      </c>
      <c r="B1576" s="331" t="s">
        <v>10357</v>
      </c>
      <c r="C1576" s="28" t="s">
        <v>10358</v>
      </c>
      <c r="D1576" s="28" t="s">
        <v>10359</v>
      </c>
      <c r="E1576" s="28" t="s">
        <v>10360</v>
      </c>
      <c r="F1576" s="161">
        <v>767.0</v>
      </c>
      <c r="G1576" s="152" t="str">
        <f>IFERROR(__xludf.DUMMYFUNCTION("TRIM(REGEXREPLACE(C1576, ""[0-9]+[a-f]?\."", """"))"),"What is the first name of this person")</f>
        <v>What is the first name of this person</v>
      </c>
      <c r="H1576" s="152" t="str">
        <f>IFERROR(__xludf.DUMMYFUNCTION("TRIM(REGEXREPLACE(D1576, ""[0-9]+[a-f]?\."", """"))"),"Quel est le prénom de cette personne?")</f>
        <v>Quel est le prénom de cette personne?</v>
      </c>
      <c r="I1576" s="152" t="str">
        <f>IFERROR(__xludf.DUMMYFUNCTION("TRIM(REGEXREPLACE(E1576, ""[0-9]+[a-f]?\."", """"))"),"Menene sunan wannan mutumen?")</f>
        <v>Menene sunan wannan mutumen?</v>
      </c>
      <c r="J1576" s="152" t="s">
        <v>10361</v>
      </c>
      <c r="K1576" s="152" t="s">
        <v>10362</v>
      </c>
      <c r="L1576" s="152" t="s">
        <v>10363</v>
      </c>
    </row>
    <row r="1577" hidden="1">
      <c r="A1577" s="139" t="s">
        <v>237</v>
      </c>
      <c r="B1577" s="139" t="s">
        <v>10348</v>
      </c>
      <c r="C1577" s="28" t="s">
        <v>10349</v>
      </c>
      <c r="D1577" s="28"/>
      <c r="E1577" s="28"/>
    </row>
    <row r="1578" hidden="1">
      <c r="A1578" s="96" t="s">
        <v>78</v>
      </c>
      <c r="B1578" s="178" t="s">
        <v>10364</v>
      </c>
      <c r="C1578" s="28"/>
      <c r="D1578" s="28"/>
      <c r="E1578" s="28"/>
    </row>
    <row r="1579">
      <c r="A1579" s="181" t="s">
        <v>246</v>
      </c>
      <c r="B1579" s="331" t="s">
        <v>10365</v>
      </c>
      <c r="C1579" s="28" t="s">
        <v>10366</v>
      </c>
      <c r="D1579" s="28" t="s">
        <v>10367</v>
      </c>
      <c r="E1579" s="28" t="s">
        <v>10368</v>
      </c>
      <c r="F1579" s="161">
        <v>768.0</v>
      </c>
      <c r="G1579" s="152" t="str">
        <f>IFERROR(__xludf.DUMMYFUNCTION("TRIM(REGEXREPLACE(C1579, ""[0-9]+[a-f]?\."", """"))"),"What is their phone number?")</f>
        <v>What is their phone number?</v>
      </c>
      <c r="H1579" s="152" t="str">
        <f>IFERROR(__xludf.DUMMYFUNCTION("TRIM(REGEXREPLACE(D1579, ""[0-9]+[a-f]?\."", """"))"),"Quel est leur numéro de téléphone?")</f>
        <v>Quel est leur numéro de téléphone?</v>
      </c>
      <c r="I1579" s="152" t="str">
        <f>IFERROR(__xludf.DUMMYFUNCTION("TRIM(REGEXREPLACE(E1579, ""[0-9]+[a-f]?\."", """"))"),"Menene lambar wayarsu?")</f>
        <v>Menene lambar wayarsu?</v>
      </c>
      <c r="J1579" s="152" t="s">
        <v>10369</v>
      </c>
      <c r="K1579" s="152" t="s">
        <v>10370</v>
      </c>
      <c r="L1579" s="152" t="s">
        <v>10371</v>
      </c>
    </row>
    <row r="1580">
      <c r="A1580" s="67" t="s">
        <v>5785</v>
      </c>
      <c r="B1580" s="289" t="s">
        <v>10372</v>
      </c>
      <c r="C1580" s="28" t="s">
        <v>10373</v>
      </c>
      <c r="D1580" s="28" t="s">
        <v>10374</v>
      </c>
      <c r="E1580" s="28" t="s">
        <v>10375</v>
      </c>
      <c r="F1580" s="161">
        <v>769.0</v>
      </c>
      <c r="G1580" s="152" t="str">
        <f>IFERROR(__xludf.DUMMYFUNCTION("TRIM(REGEXREPLACE(C1580, ""[0-9]+[a-f]?\."", """"))"),"What is ${secondary_name2}'s relationship to you?")</f>
        <v>What is ${secondary_name2}'s relationship to you?</v>
      </c>
      <c r="H1580" s="152" t="str">
        <f>IFERROR(__xludf.DUMMYFUNCTION("TRIM(REGEXREPLACE(D1580, ""[0-9]+[a-f]?\."", """"))"),"Quelle est la relation entre ${secondary_name2} et vous ?")</f>
        <v>Quelle est la relation entre ${secondary_name2} et vous ?</v>
      </c>
      <c r="I1580" s="152" t="str">
        <f>IFERROR(__xludf.DUMMYFUNCTION("TRIM(REGEXREPLACE(E1580, ""[0-9]+[a-f]?\."", """"))"),"Menene alaƙar ku da ${secondary_name2} ?")</f>
        <v>Menene alaƙar ku da ${secondary_name2} ?</v>
      </c>
      <c r="J1580" s="152" t="s">
        <v>10376</v>
      </c>
      <c r="K1580" s="152" t="s">
        <v>10377</v>
      </c>
      <c r="L1580" s="152" t="s">
        <v>10378</v>
      </c>
    </row>
    <row r="1581">
      <c r="A1581" s="67" t="s">
        <v>463</v>
      </c>
      <c r="B1581" s="289" t="s">
        <v>10379</v>
      </c>
      <c r="C1581" s="28" t="s">
        <v>10380</v>
      </c>
      <c r="D1581" s="28" t="s">
        <v>10381</v>
      </c>
      <c r="E1581" s="28" t="s">
        <v>10382</v>
      </c>
      <c r="F1581" s="161">
        <v>770.0</v>
      </c>
      <c r="G1581" s="152" t="str">
        <f>IFERROR(__xludf.DUMMYFUNCTION("TRIM(REGEXREPLACE(C1581, ""[0-9]+[a-f]?\."", """"))"),"Just to confirm, is this the number? 
 ${secondary_name2}
 ${secondary_phone2}")</f>
        <v>Just to confirm, is this the number? 
 ${secondary_name2}
 ${secondary_phone2}</v>
      </c>
      <c r="H1581" s="152" t="str">
        <f>IFERROR(__xludf.DUMMYFUNCTION("TRIM(REGEXREPLACE(D1581, ""[0-9]+[a-f]?\."", """"))"),"Juste pour confirmer, est-ce bien le numéro ?
 ${secondary_name2}
 ${secondary_phone2}")</f>
        <v>Juste pour confirmer, est-ce bien le numéro ?
 ${secondary_name2}
 ${secondary_phone2}</v>
      </c>
      <c r="I1581" s="152" t="str">
        <f>IFERROR(__xludf.DUMMYFUNCTION("TRIM(REGEXREPLACE(E1581, ""[0-9]+[a-f]?\."", """"))"),"Don tabbatar kawai, da wannan itace lambar?
 ${secondary_name2}
 ${secondary_phone2}")</f>
        <v>Don tabbatar kawai, da wannan itace lambar?
 ${secondary_name2}
 ${secondary_phone2}</v>
      </c>
      <c r="J1581" s="152" t="s">
        <v>10383</v>
      </c>
      <c r="K1581" s="152" t="s">
        <v>10384</v>
      </c>
      <c r="L1581" s="152" t="s">
        <v>10385</v>
      </c>
    </row>
    <row r="1582">
      <c r="A1582" s="126" t="s">
        <v>41</v>
      </c>
      <c r="B1582" s="330" t="s">
        <v>10386</v>
      </c>
      <c r="C1582" s="28" t="s">
        <v>10387</v>
      </c>
      <c r="D1582" s="28" t="s">
        <v>10388</v>
      </c>
      <c r="E1582" s="28" t="s">
        <v>10389</v>
      </c>
      <c r="F1582" s="161">
        <v>771.0</v>
      </c>
      <c r="G1582" s="152" t="str">
        <f>IFERROR(__xludf.DUMMYFUNCTION("TRIM(REGEXREPLACE(C1582, ""[0-9]+[a-f]?\."", """"))"),"Please go back and correct the name and phone number.")</f>
        <v>Please go back and correct the name and phone number.</v>
      </c>
      <c r="H1582" s="152" t="str">
        <f>IFERROR(__xludf.DUMMYFUNCTION("TRIM(REGEXREPLACE(D1582, ""[0-9]+[a-f]?\."", """"))"),"Veuillez revenir en arrière et corriger le nom et le numéro de téléphone.")</f>
        <v>Veuillez revenir en arrière et corriger le nom et le numéro de téléphone.</v>
      </c>
      <c r="I1582" s="152" t="str">
        <f>IFERROR(__xludf.DUMMYFUNCTION("TRIM(REGEXREPLACE(E1582, ""[0-9]+[a-f]?\."", """"))"),"Da fatan za ka koma baya ka gyara suna da lambar waya.")</f>
        <v>Da fatan za ka koma baya ka gyara suna da lambar waya.</v>
      </c>
      <c r="J1582" s="152" t="s">
        <v>10390</v>
      </c>
      <c r="K1582" s="152" t="s">
        <v>10391</v>
      </c>
      <c r="L1582" s="152" t="s">
        <v>10392</v>
      </c>
    </row>
    <row r="1583">
      <c r="A1583" s="67" t="s">
        <v>10202</v>
      </c>
      <c r="B1583" s="289" t="s">
        <v>10393</v>
      </c>
      <c r="C1583" s="28" t="s">
        <v>10394</v>
      </c>
      <c r="D1583" s="28" t="s">
        <v>10395</v>
      </c>
      <c r="E1583" s="28" t="s">
        <v>10396</v>
      </c>
      <c r="F1583" s="161">
        <v>772.0</v>
      </c>
      <c r="G1583" s="152" t="str">
        <f>IFERROR(__xludf.DUMMYFUNCTION("TRIM(REGEXREPLACE(C1583, ""[0-9]+[a-f]?\."", """"))"),"I am going to call this phone number to confirm it is correct. [Enumerator: Did the phone ring?]")</f>
        <v>I am going to call this phone number to confirm it is correct. [Enumerator: Did the phone ring?]</v>
      </c>
      <c r="H1583" s="152" t="str">
        <f>IFERROR(__xludf.DUMMYFUNCTION("TRIM(REGEXREPLACE(D1583, ""[0-9]+[a-f]?\."", """"))"),"Je vais appeler ce numéro de téléphone pour confirmer qu'il est correct. [Enquêteur : Le téléphone a-t-il sonné ?]")</f>
        <v>Je vais appeler ce numéro de téléphone pour confirmer qu'il est correct. [Enquêteur : Le téléphone a-t-il sonné ?]</v>
      </c>
      <c r="I1583" s="152" t="str">
        <f>IFERROR(__xludf.DUMMYFUNCTION("TRIM(REGEXREPLACE(E1583, ""[0-9]+[a-f]?\."", """"))"),"Zan kirayi wannan lambar wayar don tabbatar da daidai ce. [Ɗan bincike: Wayar ta yi ƙara?]")</f>
        <v>Zan kirayi wannan lambar wayar don tabbatar da daidai ce. [Ɗan bincike: Wayar ta yi ƙara?]</v>
      </c>
      <c r="J1583" s="152" t="s">
        <v>10397</v>
      </c>
      <c r="K1583" s="152" t="s">
        <v>10398</v>
      </c>
      <c r="L1583" s="152" t="s">
        <v>10399</v>
      </c>
    </row>
    <row r="1584">
      <c r="A1584" s="126" t="s">
        <v>41</v>
      </c>
      <c r="B1584" s="330" t="s">
        <v>10400</v>
      </c>
      <c r="C1584" s="28" t="s">
        <v>10401</v>
      </c>
      <c r="D1584" s="28" t="s">
        <v>10402</v>
      </c>
      <c r="E1584" s="28" t="s">
        <v>10403</v>
      </c>
      <c r="F1584" s="161">
        <v>773.0</v>
      </c>
      <c r="G1584" s="152" t="str">
        <f>IFERROR(__xludf.DUMMYFUNCTION("TRIM(REGEXREPLACE(C1584, ""[0-9]+[a-f]?\."", """"))"),"Please go back and enter a new phone number.")</f>
        <v>Please go back and enter a new phone number.</v>
      </c>
      <c r="H1584" s="152" t="str">
        <f>IFERROR(__xludf.DUMMYFUNCTION("TRIM(REGEXREPLACE(D1584, ""[0-9]+[a-f]?\."", """"))"),"Veuillez ressaisir le numéro")</f>
        <v>Veuillez ressaisir le numéro</v>
      </c>
      <c r="I1584" s="152" t="str">
        <f>IFERROR(__xludf.DUMMYFUNCTION("TRIM(REGEXREPLACE(E1584, ""[0-9]+[a-f]?\."", """"))"),"Da fatan zaku rubuta lambar")</f>
        <v>Da fatan zaku rubuta lambar</v>
      </c>
      <c r="J1584" s="152" t="s">
        <v>10404</v>
      </c>
      <c r="K1584" s="152" t="s">
        <v>10405</v>
      </c>
      <c r="L1584" s="152" t="s">
        <v>10406</v>
      </c>
    </row>
    <row r="1585" hidden="1">
      <c r="A1585" s="139" t="s">
        <v>237</v>
      </c>
      <c r="B1585" s="139" t="s">
        <v>10170</v>
      </c>
      <c r="C1585" s="28" t="s">
        <v>10171</v>
      </c>
      <c r="D1585" s="28" t="s">
        <v>10172</v>
      </c>
      <c r="E1585" s="28" t="s">
        <v>10173</v>
      </c>
    </row>
    <row r="1586" hidden="1">
      <c r="A1586" s="70"/>
      <c r="B1586" s="70"/>
      <c r="C1586" s="28"/>
      <c r="D1586" s="28"/>
      <c r="E1586" s="28"/>
    </row>
    <row r="1587" hidden="1">
      <c r="A1587" s="139" t="s">
        <v>131</v>
      </c>
      <c r="B1587" s="190" t="s">
        <v>10407</v>
      </c>
      <c r="C1587" s="28" t="s">
        <v>10408</v>
      </c>
      <c r="D1587" s="28" t="s">
        <v>10409</v>
      </c>
      <c r="E1587" s="28" t="s">
        <v>10410</v>
      </c>
    </row>
    <row r="1588">
      <c r="A1588" s="67" t="s">
        <v>10411</v>
      </c>
      <c r="B1588" s="289" t="s">
        <v>10412</v>
      </c>
      <c r="C1588" s="28" t="s">
        <v>10413</v>
      </c>
      <c r="D1588" s="28" t="s">
        <v>10414</v>
      </c>
      <c r="E1588" s="28" t="s">
        <v>10415</v>
      </c>
      <c r="F1588" s="161">
        <v>774.0</v>
      </c>
      <c r="G1588" s="152" t="str">
        <f>IFERROR(__xludf.DUMMYFUNCTION("TRIM(REGEXREPLACE(C1588, ""[0-9]+[a-f]?\."", """"))"),"How interested was the resppondent")</f>
        <v>How interested was the resppondent</v>
      </c>
      <c r="H1588" s="152" t="str">
        <f>IFERROR(__xludf.DUMMYFUNCTION("TRIM(REGEXREPLACE(D1588, ""[0-9]+[a-f]?\."", """"))"),"Dans quelle mesure le répondant était-il intéressé")</f>
        <v>Dans quelle mesure le répondant était-il intéressé</v>
      </c>
      <c r="I1588" s="152" t="str">
        <f>IFERROR(__xludf.DUMMYFUNCTION("TRIM(REGEXREPLACE(E1588, ""[0-9]+[a-f]?\."", """"))"),"Yaya kake ganin maida hankalin mai bada amsa yake")</f>
        <v>Yaya kake ganin maida hankalin mai bada amsa yake</v>
      </c>
      <c r="J1588" s="152" t="s">
        <v>10416</v>
      </c>
      <c r="K1588" s="152" t="s">
        <v>10417</v>
      </c>
      <c r="L1588" s="152" t="s">
        <v>10418</v>
      </c>
    </row>
    <row r="1589">
      <c r="A1589" s="67" t="s">
        <v>10419</v>
      </c>
      <c r="B1589" s="289" t="s">
        <v>10420</v>
      </c>
      <c r="C1589" s="28" t="s">
        <v>10421</v>
      </c>
      <c r="D1589" s="28" t="s">
        <v>10422</v>
      </c>
      <c r="E1589" s="28" t="s">
        <v>10423</v>
      </c>
      <c r="F1589" s="161">
        <v>775.0</v>
      </c>
      <c r="G1589" s="152" t="str">
        <f>IFERROR(__xludf.DUMMYFUNCTION("TRIM(REGEXREPLACE(C1589, ""[0-9]+[a-f]?\."", """"))"),"How impatient was the respondent?")</f>
        <v>How impatient was the respondent?</v>
      </c>
      <c r="H1589" s="152" t="str">
        <f>IFERROR(__xludf.DUMMYFUNCTION("TRIM(REGEXREPLACE(D1589, ""[0-9]+[a-f]?\."", """"))"),"À quel point le répondant était-il impatient ?")</f>
        <v>À quel point le répondant était-il impatient ?</v>
      </c>
      <c r="I1589" s="152" t="str">
        <f>IFERROR(__xludf.DUMMYFUNCTION("TRIM(REGEXREPLACE(E1589, ""[0-9]+[a-f]?\."", """"))"),"Yaya kake ganin rashin haƙurin mai bada amsa?")</f>
        <v>Yaya kake ganin rashin haƙurin mai bada amsa?</v>
      </c>
      <c r="J1589" s="152" t="s">
        <v>10424</v>
      </c>
      <c r="K1589" s="152" t="s">
        <v>10425</v>
      </c>
      <c r="L1589" s="152" t="s">
        <v>10426</v>
      </c>
    </row>
    <row r="1590">
      <c r="A1590" s="67" t="s">
        <v>10427</v>
      </c>
      <c r="B1590" s="289" t="s">
        <v>10428</v>
      </c>
      <c r="C1590" s="28" t="s">
        <v>10429</v>
      </c>
      <c r="D1590" s="28" t="s">
        <v>10430</v>
      </c>
      <c r="E1590" s="28" t="s">
        <v>10431</v>
      </c>
      <c r="F1590" s="161">
        <v>776.0</v>
      </c>
      <c r="G1590" s="152" t="str">
        <f>IFERROR(__xludf.DUMMYFUNCTION("TRIM(REGEXREPLACE(C1590, ""[0-9]+[a-f]?\."", """"))"),"How well did the respondent understand the questions?")</f>
        <v>How well did the respondent understand the questions?</v>
      </c>
      <c r="H1590" s="152" t="str">
        <f>IFERROR(__xludf.DUMMYFUNCTION("TRIM(REGEXREPLACE(D1590, ""[0-9]+[a-f]?\."", """"))"),"Dans quelle mesure le répondant a-t-il compris les questions ?")</f>
        <v>Dans quelle mesure le répondant a-t-il compris les questions ?</v>
      </c>
      <c r="I1590" s="152" t="str">
        <f>IFERROR(__xludf.DUMMYFUNCTION("TRIM(REGEXREPLACE(E1590, ""[0-9]+[a-f]?\."", """"))"),"Yaya kake ganin mai bada amsa ya fahimci tambayoyin?")</f>
        <v>Yaya kake ganin mai bada amsa ya fahimci tambayoyin?</v>
      </c>
      <c r="J1590" s="152" t="s">
        <v>10432</v>
      </c>
      <c r="K1590" s="152" t="s">
        <v>10433</v>
      </c>
      <c r="L1590" s="152" t="s">
        <v>10434</v>
      </c>
    </row>
    <row r="1591">
      <c r="A1591" s="67" t="s">
        <v>10435</v>
      </c>
      <c r="B1591" s="289" t="s">
        <v>10436</v>
      </c>
      <c r="C1591" s="28" t="s">
        <v>10437</v>
      </c>
      <c r="D1591" s="28" t="s">
        <v>10438</v>
      </c>
      <c r="E1591" s="28" t="s">
        <v>10439</v>
      </c>
      <c r="F1591" s="161">
        <v>777.0</v>
      </c>
      <c r="G1591" s="152" t="str">
        <f>IFERROR(__xludf.DUMMYFUNCTION("TRIM(REGEXREPLACE(C1591, ""[0-9]+[a-f]?\."", """"))"),"Was the interview conducted in the presence of other people?")</f>
        <v>Was the interview conducted in the presence of other people?</v>
      </c>
      <c r="H1591" s="152" t="str">
        <f>IFERROR(__xludf.DUMMYFUNCTION("TRIM(REGEXREPLACE(D1591, ""[0-9]+[a-f]?\."", """"))"),"L'entretien a-t-il été réalisé en présence d'autres personnes ?")</f>
        <v>L'entretien a-t-il été réalisé en présence d'autres personnes ?</v>
      </c>
      <c r="I1591" s="152" t="str">
        <f>IFERROR(__xludf.DUMMYFUNCTION("TRIM(REGEXREPLACE(E1591, ""[0-9]+[a-f]?\."", """"))"),"Ko an yi hirar ne a gaban wasu mutane?")</f>
        <v>Ko an yi hirar ne a gaban wasu mutane?</v>
      </c>
      <c r="J1591" s="152" t="s">
        <v>10440</v>
      </c>
      <c r="K1591" s="152" t="s">
        <v>10441</v>
      </c>
      <c r="L1591" s="152" t="s">
        <v>10442</v>
      </c>
    </row>
    <row r="1592">
      <c r="A1592" s="181" t="s">
        <v>246</v>
      </c>
      <c r="B1592" s="331" t="s">
        <v>10443</v>
      </c>
      <c r="C1592" s="28" t="s">
        <v>10444</v>
      </c>
      <c r="D1592" s="28" t="s">
        <v>10445</v>
      </c>
      <c r="E1592" s="28" t="s">
        <v>10446</v>
      </c>
      <c r="F1592" s="161">
        <v>778.0</v>
      </c>
      <c r="G1592" s="152" t="str">
        <f>IFERROR(__xludf.DUMMYFUNCTION("TRIM(REGEXREPLACE(C1592, ""[0-9]+[a-f]?\."", """"))"),"Enumerator: Record any comments on the survey")</f>
        <v>Enumerator: Record any comments on the survey</v>
      </c>
      <c r="H1592" s="152" t="str">
        <f>IFERROR(__xludf.DUMMYFUNCTION("TRIM(REGEXREPLACE(D1592, ""[0-9]+[a-f]?\."", """"))"),"Enquêteur : Veuillez noter vos commentaires si vous en avez")</f>
        <v>Enquêteur : Veuillez noter vos commentaires si vous en avez</v>
      </c>
      <c r="I1592" s="152" t="str">
        <f>IFERROR(__xludf.DUMMYFUNCTION("TRIM(REGEXREPLACE(E1592, ""[0-9]+[a-f]?\."", """"))"),"Ɗan bincike: Yi rikodin duk wani sharhi akan binciken")</f>
        <v>Ɗan bincike: Yi rikodin duk wani sharhi akan binciken</v>
      </c>
      <c r="J1592" s="152" t="s">
        <v>10447</v>
      </c>
      <c r="K1592" s="152" t="s">
        <v>10448</v>
      </c>
      <c r="L1592" s="152" t="s">
        <v>10449</v>
      </c>
    </row>
    <row r="1593" hidden="1">
      <c r="A1593" s="333" t="s">
        <v>547</v>
      </c>
      <c r="B1593" s="334" t="s">
        <v>10450</v>
      </c>
      <c r="C1593" s="28" t="s">
        <v>10451</v>
      </c>
      <c r="D1593" s="28" t="s">
        <v>10452</v>
      </c>
      <c r="E1593" s="28" t="s">
        <v>10453</v>
      </c>
    </row>
    <row r="1594" hidden="1">
      <c r="A1594" s="139" t="s">
        <v>237</v>
      </c>
      <c r="B1594" s="139" t="s">
        <v>10407</v>
      </c>
      <c r="C1594" s="28" t="s">
        <v>10408</v>
      </c>
      <c r="D1594" s="28" t="s">
        <v>10409</v>
      </c>
      <c r="E1594" s="28" t="s">
        <v>10454</v>
      </c>
    </row>
    <row r="1595" hidden="1">
      <c r="A1595" s="70"/>
      <c r="B1595" s="70"/>
      <c r="C1595" s="28"/>
      <c r="D1595" s="28"/>
      <c r="E1595" s="28"/>
    </row>
    <row r="1596" hidden="1">
      <c r="A1596" s="139" t="s">
        <v>237</v>
      </c>
      <c r="B1596" s="139" t="s">
        <v>577</v>
      </c>
      <c r="C1596" s="28" t="s">
        <v>10455</v>
      </c>
      <c r="D1596" s="28"/>
      <c r="E1596" s="28"/>
    </row>
    <row r="1597">
      <c r="A1597" s="126" t="s">
        <v>41</v>
      </c>
      <c r="B1597" s="330" t="s">
        <v>10456</v>
      </c>
      <c r="C1597" s="28" t="s">
        <v>10457</v>
      </c>
      <c r="D1597" s="28" t="s">
        <v>10458</v>
      </c>
      <c r="E1597" s="28" t="s">
        <v>10459</v>
      </c>
      <c r="F1597" s="161">
        <v>779.0</v>
      </c>
      <c r="G1597" s="152" t="str">
        <f>IFERROR(__xludf.DUMMYFUNCTION("TRIM(REGEXREPLACE(C1597, ""[0-9]+[a-f]?\."", """"))"),"That is the end of the survey. Thank you for your time.")</f>
        <v>That is the end of the survey. Thank you for your time.</v>
      </c>
      <c r="H1597" s="152" t="str">
        <f>IFERROR(__xludf.DUMMYFUNCTION("TRIM(REGEXREPLACE(D1597, ""[0-9]+[a-f]?\."", """"))"),"C'est la fin de l'enquête. Merci pour votre temps.")</f>
        <v>C'est la fin de l'enquête. Merci pour votre temps.</v>
      </c>
      <c r="I1597" s="152" t="str">
        <f>IFERROR(__xludf.DUMMYFUNCTION("TRIM(REGEXREPLACE(E1597, ""[0-9]+[a-f]?\."", """"))"),"Karshen tambayoyin kenan. Na gode da lokacin da kuka bani.")</f>
        <v>Karshen tambayoyin kenan. Na gode da lokacin da kuka bani.</v>
      </c>
      <c r="J1597" s="152" t="s">
        <v>10460</v>
      </c>
      <c r="K1597" s="152" t="s">
        <v>10461</v>
      </c>
      <c r="L1597" s="152" t="s">
        <v>10462</v>
      </c>
    </row>
    <row r="1598" hidden="1">
      <c r="A1598" s="335" t="s">
        <v>237</v>
      </c>
      <c r="B1598" s="157" t="s">
        <v>458</v>
      </c>
      <c r="C1598" s="28"/>
      <c r="D1598" s="28"/>
      <c r="E1598" s="28"/>
    </row>
    <row r="1599" hidden="1">
      <c r="A1599" s="136"/>
      <c r="B1599" s="136"/>
      <c r="C1599" s="28"/>
      <c r="D1599" s="28"/>
      <c r="E1599" s="28"/>
    </row>
    <row r="1600" hidden="1">
      <c r="A1600" s="136"/>
      <c r="B1600" s="136"/>
      <c r="C1600" s="28"/>
      <c r="D1600" s="28"/>
      <c r="E1600" s="28"/>
    </row>
    <row r="1601" hidden="1">
      <c r="A1601" s="136"/>
      <c r="B1601" s="136"/>
      <c r="C1601" s="28"/>
      <c r="D1601" s="28"/>
      <c r="E1601" s="28"/>
    </row>
    <row r="1602" hidden="1">
      <c r="A1602" s="136"/>
      <c r="B1602" s="136"/>
      <c r="C1602" s="28"/>
      <c r="D1602" s="28"/>
      <c r="E1602" s="28"/>
    </row>
    <row r="1603" hidden="1">
      <c r="A1603" s="136"/>
      <c r="B1603" s="136"/>
      <c r="C1603" s="28"/>
      <c r="D1603" s="28"/>
      <c r="E1603" s="28"/>
    </row>
    <row r="1604" hidden="1">
      <c r="A1604" s="136"/>
      <c r="B1604" s="136"/>
      <c r="C1604" s="28"/>
      <c r="D1604" s="28"/>
      <c r="E1604" s="28"/>
    </row>
    <row r="1605" hidden="1">
      <c r="A1605" s="136"/>
      <c r="B1605" s="136"/>
      <c r="C1605" s="28"/>
      <c r="D1605" s="28"/>
      <c r="E1605" s="28"/>
    </row>
    <row r="1606" hidden="1">
      <c r="A1606" s="136"/>
      <c r="B1606" s="136"/>
      <c r="C1606" s="28"/>
      <c r="D1606" s="28"/>
      <c r="E1606" s="28"/>
    </row>
    <row r="1607" hidden="1">
      <c r="A1607" s="24"/>
      <c r="B1607" s="24"/>
      <c r="C1607" s="28"/>
      <c r="D1607" s="28"/>
      <c r="E1607" s="28"/>
    </row>
    <row r="1608" hidden="1">
      <c r="A1608" s="24"/>
      <c r="B1608" s="24"/>
      <c r="C1608" s="28"/>
      <c r="D1608" s="28"/>
      <c r="E1608" s="28"/>
    </row>
    <row r="1609" hidden="1">
      <c r="A1609" s="24"/>
      <c r="B1609" s="24"/>
      <c r="C1609" s="28"/>
      <c r="D1609" s="28"/>
      <c r="E1609" s="28"/>
    </row>
    <row r="1610" hidden="1">
      <c r="A1610" s="24"/>
      <c r="B1610" s="24"/>
      <c r="C1610" s="28"/>
      <c r="D1610" s="28"/>
      <c r="E1610" s="28"/>
    </row>
    <row r="1611" hidden="1">
      <c r="A1611" s="24"/>
      <c r="B1611" s="24"/>
      <c r="C1611" s="28"/>
      <c r="D1611" s="28"/>
      <c r="E1611" s="28"/>
    </row>
    <row r="1612" hidden="1">
      <c r="A1612" s="24"/>
      <c r="B1612" s="24"/>
      <c r="C1612" s="28"/>
      <c r="D1612" s="28"/>
      <c r="E1612" s="28"/>
    </row>
    <row r="1613" hidden="1">
      <c r="A1613" s="24"/>
      <c r="B1613" s="24"/>
      <c r="C1613" s="28"/>
      <c r="D1613" s="28"/>
      <c r="E1613" s="28"/>
    </row>
    <row r="1614" hidden="1">
      <c r="A1614" s="24"/>
      <c r="B1614" s="24"/>
      <c r="C1614" s="28"/>
      <c r="D1614" s="28"/>
      <c r="E1614" s="28"/>
    </row>
    <row r="1615" hidden="1">
      <c r="A1615" s="24"/>
      <c r="B1615" s="24"/>
      <c r="C1615" s="28"/>
      <c r="D1615" s="28"/>
      <c r="E1615" s="28"/>
    </row>
    <row r="1616" hidden="1">
      <c r="A1616" s="24"/>
      <c r="B1616" s="24"/>
      <c r="C1616" s="28"/>
      <c r="D1616" s="28"/>
      <c r="E1616" s="28"/>
    </row>
    <row r="1617" hidden="1">
      <c r="A1617" s="24"/>
      <c r="B1617" s="24"/>
      <c r="C1617" s="28"/>
      <c r="D1617" s="28"/>
      <c r="E1617" s="28"/>
    </row>
    <row r="1618" hidden="1">
      <c r="A1618" s="24"/>
      <c r="B1618" s="24"/>
      <c r="C1618" s="28"/>
      <c r="D1618" s="28"/>
      <c r="E1618" s="28"/>
    </row>
    <row r="1619" hidden="1">
      <c r="A1619" s="24"/>
      <c r="B1619" s="24"/>
      <c r="C1619" s="28"/>
      <c r="D1619" s="28"/>
      <c r="E1619" s="28"/>
    </row>
    <row r="1620" hidden="1">
      <c r="A1620" s="24"/>
      <c r="B1620" s="24"/>
      <c r="C1620" s="28"/>
      <c r="D1620" s="28"/>
      <c r="E1620" s="28"/>
    </row>
    <row r="1621" hidden="1">
      <c r="A1621" s="24"/>
      <c r="B1621" s="24"/>
      <c r="C1621" s="28"/>
      <c r="D1621" s="28"/>
      <c r="E1621" s="28"/>
    </row>
    <row r="1622" hidden="1">
      <c r="A1622" s="24"/>
      <c r="B1622" s="24"/>
      <c r="C1622" s="28"/>
      <c r="D1622" s="28"/>
      <c r="E1622" s="28"/>
    </row>
    <row r="1623" hidden="1">
      <c r="A1623" s="24"/>
      <c r="B1623" s="24"/>
      <c r="C1623" s="28"/>
      <c r="D1623" s="28"/>
      <c r="E1623" s="28"/>
    </row>
    <row r="1624" hidden="1">
      <c r="A1624" s="24"/>
      <c r="B1624" s="24"/>
      <c r="C1624" s="28"/>
      <c r="D1624" s="28"/>
      <c r="E1624" s="28"/>
    </row>
    <row r="1625" hidden="1">
      <c r="A1625" s="24"/>
      <c r="B1625" s="24"/>
      <c r="C1625" s="28"/>
      <c r="D1625" s="28"/>
      <c r="E1625" s="28"/>
    </row>
    <row r="1626" hidden="1">
      <c r="A1626" s="24"/>
      <c r="B1626" s="24"/>
      <c r="C1626" s="28"/>
      <c r="D1626" s="28"/>
      <c r="E1626" s="28"/>
    </row>
    <row r="1627" hidden="1">
      <c r="A1627" s="24"/>
      <c r="B1627" s="24"/>
      <c r="C1627" s="28"/>
      <c r="D1627" s="28"/>
      <c r="E1627" s="28"/>
    </row>
    <row r="1628" hidden="1">
      <c r="A1628" s="24"/>
      <c r="B1628" s="24"/>
      <c r="C1628" s="28"/>
      <c r="D1628" s="28"/>
      <c r="E1628" s="28"/>
    </row>
    <row r="1629" hidden="1">
      <c r="A1629" s="24"/>
      <c r="B1629" s="24"/>
      <c r="C1629" s="28"/>
      <c r="D1629" s="28"/>
      <c r="E1629" s="28"/>
    </row>
    <row r="1630" hidden="1">
      <c r="A1630" s="24"/>
      <c r="B1630" s="24"/>
      <c r="C1630" s="28"/>
      <c r="D1630" s="28"/>
      <c r="E1630" s="28"/>
    </row>
    <row r="1631" hidden="1">
      <c r="A1631" s="24"/>
      <c r="B1631" s="24"/>
      <c r="C1631" s="28"/>
      <c r="D1631" s="28"/>
      <c r="E1631" s="28"/>
    </row>
    <row r="1632" hidden="1">
      <c r="A1632" s="24"/>
      <c r="B1632" s="24"/>
      <c r="C1632" s="28"/>
      <c r="D1632" s="28"/>
      <c r="E1632" s="28"/>
    </row>
    <row r="1633" hidden="1">
      <c r="A1633" s="24"/>
      <c r="B1633" s="24"/>
      <c r="C1633" s="28"/>
      <c r="D1633" s="28"/>
      <c r="E1633" s="28"/>
    </row>
    <row r="1634" hidden="1">
      <c r="A1634" s="24"/>
      <c r="B1634" s="24"/>
      <c r="C1634" s="28"/>
      <c r="D1634" s="28"/>
      <c r="E1634" s="28"/>
    </row>
    <row r="1635" hidden="1">
      <c r="A1635" s="24"/>
      <c r="B1635" s="24"/>
      <c r="C1635" s="28"/>
      <c r="D1635" s="28"/>
      <c r="E1635" s="28"/>
    </row>
    <row r="1636" hidden="1">
      <c r="A1636" s="24"/>
      <c r="B1636" s="24"/>
      <c r="C1636" s="28"/>
      <c r="D1636" s="28"/>
      <c r="E1636" s="28"/>
    </row>
    <row r="1637" hidden="1">
      <c r="A1637" s="24"/>
      <c r="B1637" s="24"/>
      <c r="C1637" s="28"/>
      <c r="D1637" s="28"/>
      <c r="E1637" s="28"/>
    </row>
    <row r="1638" hidden="1">
      <c r="A1638" s="24"/>
      <c r="B1638" s="24"/>
      <c r="C1638" s="28"/>
      <c r="D1638" s="28"/>
      <c r="E1638" s="28"/>
    </row>
    <row r="1639" hidden="1">
      <c r="A1639" s="24"/>
      <c r="B1639" s="24"/>
      <c r="C1639" s="28"/>
      <c r="D1639" s="28"/>
      <c r="E1639" s="28"/>
    </row>
    <row r="1640" hidden="1">
      <c r="A1640" s="24"/>
      <c r="B1640" s="24"/>
      <c r="C1640" s="28"/>
      <c r="D1640" s="28"/>
      <c r="E1640" s="28"/>
    </row>
    <row r="1641" hidden="1">
      <c r="A1641" s="24"/>
      <c r="B1641" s="24"/>
      <c r="C1641" s="28"/>
      <c r="D1641" s="28"/>
      <c r="E1641" s="28"/>
    </row>
    <row r="1642" hidden="1">
      <c r="A1642" s="24"/>
      <c r="B1642" s="24"/>
      <c r="C1642" s="28"/>
      <c r="D1642" s="28"/>
      <c r="E1642" s="28"/>
    </row>
    <row r="1643" hidden="1">
      <c r="A1643" s="24"/>
      <c r="B1643" s="24"/>
      <c r="C1643" s="28"/>
      <c r="D1643" s="28"/>
      <c r="E1643" s="28"/>
    </row>
    <row r="1644" hidden="1">
      <c r="A1644" s="24"/>
      <c r="B1644" s="24"/>
      <c r="C1644" s="28"/>
      <c r="D1644" s="28"/>
      <c r="E1644" s="28"/>
    </row>
    <row r="1645" hidden="1">
      <c r="A1645" s="24"/>
      <c r="B1645" s="24"/>
      <c r="C1645" s="28"/>
      <c r="D1645" s="28"/>
      <c r="E1645" s="28"/>
    </row>
    <row r="1646" hidden="1">
      <c r="A1646" s="24"/>
      <c r="B1646" s="24"/>
      <c r="C1646" s="28"/>
      <c r="D1646" s="28"/>
      <c r="E1646" s="28"/>
    </row>
    <row r="1647" hidden="1">
      <c r="A1647" s="24"/>
      <c r="B1647" s="24"/>
      <c r="C1647" s="28"/>
      <c r="D1647" s="28"/>
      <c r="E1647" s="28"/>
    </row>
    <row r="1648" hidden="1">
      <c r="A1648" s="24"/>
      <c r="B1648" s="24"/>
      <c r="C1648" s="28"/>
      <c r="D1648" s="28"/>
      <c r="E1648" s="28"/>
    </row>
    <row r="1649" hidden="1">
      <c r="A1649" s="24"/>
      <c r="B1649" s="24"/>
      <c r="C1649" s="28"/>
      <c r="D1649" s="28"/>
      <c r="E1649" s="28"/>
    </row>
    <row r="1650" hidden="1">
      <c r="A1650" s="24"/>
      <c r="B1650" s="24"/>
      <c r="C1650" s="28"/>
      <c r="D1650" s="28"/>
      <c r="E1650" s="28"/>
    </row>
    <row r="1651" hidden="1">
      <c r="A1651" s="24"/>
      <c r="B1651" s="24"/>
      <c r="C1651" s="28"/>
      <c r="D1651" s="28"/>
      <c r="E1651" s="28"/>
    </row>
    <row r="1652" hidden="1">
      <c r="A1652" s="24"/>
      <c r="B1652" s="24"/>
      <c r="C1652" s="28"/>
      <c r="D1652" s="28"/>
      <c r="E1652" s="28"/>
    </row>
    <row r="1653" hidden="1">
      <c r="A1653" s="24"/>
      <c r="B1653" s="24"/>
      <c r="C1653" s="28"/>
      <c r="D1653" s="28"/>
      <c r="E1653" s="28"/>
    </row>
    <row r="1654" hidden="1">
      <c r="A1654" s="24"/>
      <c r="B1654" s="24"/>
      <c r="C1654" s="28"/>
      <c r="D1654" s="28"/>
      <c r="E1654" s="28"/>
    </row>
    <row r="1655" hidden="1">
      <c r="A1655" s="24"/>
      <c r="B1655" s="24"/>
      <c r="C1655" s="28"/>
      <c r="D1655" s="28"/>
      <c r="E1655" s="28"/>
    </row>
    <row r="1656" hidden="1">
      <c r="A1656" s="24"/>
      <c r="B1656" s="24"/>
      <c r="C1656" s="28"/>
      <c r="D1656" s="28"/>
      <c r="E1656" s="28"/>
    </row>
    <row r="1657" hidden="1">
      <c r="A1657" s="24"/>
      <c r="B1657" s="24"/>
      <c r="C1657" s="28"/>
      <c r="D1657" s="28"/>
      <c r="E1657" s="28"/>
    </row>
    <row r="1658" hidden="1">
      <c r="A1658" s="24"/>
      <c r="B1658" s="24"/>
      <c r="C1658" s="28"/>
      <c r="D1658" s="28"/>
      <c r="E1658" s="28"/>
    </row>
    <row r="1659" hidden="1">
      <c r="A1659" s="24"/>
      <c r="B1659" s="24"/>
      <c r="C1659" s="28"/>
      <c r="D1659" s="28"/>
      <c r="E1659" s="28"/>
    </row>
    <row r="1660" hidden="1">
      <c r="A1660" s="24"/>
      <c r="B1660" s="24"/>
      <c r="C1660" s="28"/>
      <c r="D1660" s="28"/>
      <c r="E1660" s="28"/>
    </row>
    <row r="1661" hidden="1">
      <c r="A1661" s="24"/>
      <c r="B1661" s="24"/>
      <c r="C1661" s="28"/>
      <c r="D1661" s="28"/>
      <c r="E1661" s="28"/>
    </row>
    <row r="1662" hidden="1">
      <c r="A1662" s="24"/>
      <c r="B1662" s="24"/>
      <c r="C1662" s="28"/>
      <c r="D1662" s="28"/>
      <c r="E1662" s="28"/>
    </row>
    <row r="1663" hidden="1">
      <c r="A1663" s="24"/>
      <c r="B1663" s="24"/>
      <c r="C1663" s="28"/>
      <c r="D1663" s="28"/>
      <c r="E1663" s="28"/>
    </row>
    <row r="1664" hidden="1">
      <c r="A1664" s="24"/>
      <c r="B1664" s="24"/>
      <c r="C1664" s="28"/>
      <c r="D1664" s="28"/>
      <c r="E1664" s="28"/>
    </row>
    <row r="1665" hidden="1">
      <c r="A1665" s="24"/>
      <c r="B1665" s="24"/>
      <c r="C1665" s="28"/>
      <c r="D1665" s="28"/>
      <c r="E1665" s="28"/>
    </row>
    <row r="1666" hidden="1">
      <c r="A1666" s="24"/>
      <c r="B1666" s="24"/>
      <c r="C1666" s="28"/>
      <c r="D1666" s="28"/>
      <c r="E1666" s="28"/>
    </row>
    <row r="1667" hidden="1">
      <c r="A1667" s="24"/>
      <c r="B1667" s="24"/>
      <c r="C1667" s="28"/>
      <c r="D1667" s="28"/>
      <c r="E1667" s="28"/>
    </row>
    <row r="1668" hidden="1">
      <c r="A1668" s="24"/>
      <c r="B1668" s="24"/>
      <c r="C1668" s="28"/>
      <c r="D1668" s="28"/>
      <c r="E1668" s="28"/>
    </row>
    <row r="1669" hidden="1">
      <c r="A1669" s="24"/>
      <c r="B1669" s="24"/>
      <c r="C1669" s="28"/>
      <c r="D1669" s="28"/>
      <c r="E1669" s="28"/>
    </row>
    <row r="1670" hidden="1">
      <c r="A1670" s="24"/>
      <c r="B1670" s="24"/>
      <c r="C1670" s="28"/>
      <c r="D1670" s="28"/>
      <c r="E1670" s="28"/>
    </row>
    <row r="1671" hidden="1">
      <c r="A1671" s="24"/>
      <c r="B1671" s="24"/>
      <c r="C1671" s="28"/>
      <c r="D1671" s="28"/>
      <c r="E1671" s="28"/>
    </row>
    <row r="1672" hidden="1">
      <c r="A1672" s="24"/>
      <c r="B1672" s="24"/>
      <c r="C1672" s="28"/>
      <c r="D1672" s="28"/>
      <c r="E1672" s="28"/>
    </row>
    <row r="1673" hidden="1">
      <c r="A1673" s="24"/>
      <c r="B1673" s="24"/>
      <c r="C1673" s="28"/>
      <c r="D1673" s="28"/>
      <c r="E1673" s="28"/>
    </row>
    <row r="1674" hidden="1">
      <c r="A1674" s="24"/>
      <c r="B1674" s="24"/>
      <c r="C1674" s="28"/>
      <c r="D1674" s="28"/>
      <c r="E1674" s="28"/>
    </row>
    <row r="1675" hidden="1">
      <c r="A1675" s="24"/>
      <c r="B1675" s="24"/>
      <c r="C1675" s="28"/>
      <c r="D1675" s="28"/>
      <c r="E1675" s="28"/>
    </row>
    <row r="1676" hidden="1">
      <c r="A1676" s="24"/>
      <c r="B1676" s="24"/>
      <c r="C1676" s="28"/>
      <c r="D1676" s="28"/>
      <c r="E1676" s="28"/>
    </row>
    <row r="1677" hidden="1">
      <c r="A1677" s="24"/>
      <c r="B1677" s="24"/>
      <c r="C1677" s="28"/>
      <c r="D1677" s="28"/>
      <c r="E1677" s="28"/>
    </row>
    <row r="1678" hidden="1">
      <c r="A1678" s="24"/>
      <c r="B1678" s="24"/>
      <c r="C1678" s="28"/>
      <c r="D1678" s="28"/>
      <c r="E1678" s="28"/>
    </row>
    <row r="1679" hidden="1">
      <c r="A1679" s="24"/>
      <c r="B1679" s="24"/>
      <c r="C1679" s="28"/>
      <c r="D1679" s="28"/>
      <c r="E1679" s="28"/>
    </row>
    <row r="1680" hidden="1">
      <c r="A1680" s="24"/>
      <c r="B1680" s="24"/>
      <c r="C1680" s="28"/>
      <c r="D1680" s="28"/>
      <c r="E1680" s="28"/>
    </row>
    <row r="1681" hidden="1">
      <c r="A1681" s="24"/>
      <c r="B1681" s="24"/>
      <c r="C1681" s="28"/>
      <c r="D1681" s="28"/>
      <c r="E1681" s="28"/>
    </row>
    <row r="1682" hidden="1">
      <c r="A1682" s="24"/>
      <c r="B1682" s="24"/>
      <c r="C1682" s="28"/>
      <c r="D1682" s="28"/>
      <c r="E1682" s="28"/>
    </row>
    <row r="1683" hidden="1">
      <c r="A1683" s="24"/>
      <c r="B1683" s="24"/>
      <c r="C1683" s="28"/>
      <c r="D1683" s="28"/>
      <c r="E1683" s="28"/>
    </row>
    <row r="1684" hidden="1">
      <c r="A1684" s="24"/>
      <c r="B1684" s="24"/>
      <c r="C1684" s="28"/>
      <c r="D1684" s="28"/>
      <c r="E1684" s="28"/>
    </row>
    <row r="1685" hidden="1">
      <c r="A1685" s="24"/>
      <c r="B1685" s="24"/>
      <c r="C1685" s="28"/>
      <c r="D1685" s="28"/>
      <c r="E1685" s="28"/>
    </row>
    <row r="1686" hidden="1">
      <c r="A1686" s="24"/>
      <c r="B1686" s="24"/>
      <c r="C1686" s="28"/>
      <c r="D1686" s="28"/>
      <c r="E1686" s="28"/>
    </row>
    <row r="1687" hidden="1">
      <c r="A1687" s="24"/>
      <c r="B1687" s="24"/>
      <c r="C1687" s="28"/>
      <c r="D1687" s="28"/>
      <c r="E1687" s="28"/>
    </row>
    <row r="1688" hidden="1">
      <c r="A1688" s="24"/>
      <c r="B1688" s="24"/>
      <c r="C1688" s="28"/>
      <c r="D1688" s="28"/>
      <c r="E1688" s="28"/>
    </row>
    <row r="1689" hidden="1">
      <c r="A1689" s="24"/>
      <c r="B1689" s="24"/>
      <c r="C1689" s="28"/>
      <c r="D1689" s="28"/>
      <c r="E1689" s="28"/>
    </row>
    <row r="1690" hidden="1">
      <c r="A1690" s="24"/>
      <c r="B1690" s="24"/>
      <c r="C1690" s="28"/>
      <c r="D1690" s="28"/>
      <c r="E1690" s="28"/>
    </row>
    <row r="1691" hidden="1">
      <c r="A1691" s="24"/>
      <c r="B1691" s="24"/>
      <c r="C1691" s="28"/>
      <c r="D1691" s="28"/>
      <c r="E1691" s="28"/>
    </row>
    <row r="1692" hidden="1">
      <c r="A1692" s="24"/>
      <c r="B1692" s="24"/>
      <c r="C1692" s="28"/>
      <c r="D1692" s="28"/>
      <c r="E1692" s="28"/>
    </row>
    <row r="1693" hidden="1">
      <c r="A1693" s="24"/>
      <c r="B1693" s="24"/>
      <c r="C1693" s="28"/>
      <c r="D1693" s="28"/>
      <c r="E1693" s="28"/>
    </row>
    <row r="1694" hidden="1">
      <c r="A1694" s="24"/>
      <c r="B1694" s="24"/>
      <c r="C1694" s="28"/>
      <c r="D1694" s="28"/>
      <c r="E1694" s="28"/>
      <c r="F1694" s="161">
        <v>243.0</v>
      </c>
      <c r="G1694" s="152" t="str">
        <f>IFERROR(__xludf.DUMMYFUNCTION("TRIM(REGEXREPLACE(C1694, ""[0-9]+[a-f]?\."", """"))"),"")</f>
        <v/>
      </c>
      <c r="H1694" s="152" t="str">
        <f>IFERROR(__xludf.DUMMYFUNCTION("TRIM(REGEXREPLACE(D1694, ""[0-9]+[a-f]?\."", """"))"),"")</f>
        <v/>
      </c>
      <c r="I1694" s="152" t="str">
        <f>IFERROR(__xludf.DUMMYFUNCTION("TRIM(REGEXREPLACE(E1694, ""[0-9]+[a-f]?\."", """"))"),"")</f>
        <v/>
      </c>
      <c r="J1694" s="152" t="str">
        <f t="shared" ref="J1694:L1694" si="133">$F1694 &amp; ". " &amp;G1694</f>
        <v>243. </v>
      </c>
      <c r="K1694" s="152" t="str">
        <f t="shared" si="133"/>
        <v>243. </v>
      </c>
      <c r="L1694" s="152" t="str">
        <f t="shared" si="133"/>
        <v>243. </v>
      </c>
    </row>
    <row r="1695" hidden="1">
      <c r="A1695" s="24"/>
      <c r="B1695" s="24"/>
      <c r="C1695" s="28"/>
      <c r="D1695" s="28"/>
      <c r="E1695" s="28"/>
      <c r="F1695" s="161">
        <v>244.0</v>
      </c>
      <c r="G1695" s="152" t="str">
        <f>IFERROR(__xludf.DUMMYFUNCTION("TRIM(REGEXREPLACE(C1695, ""[0-9]+[a-f]?\."", """"))"),"")</f>
        <v/>
      </c>
      <c r="H1695" s="152" t="str">
        <f>IFERROR(__xludf.DUMMYFUNCTION("TRIM(REGEXREPLACE(D1695, ""[0-9]+[a-f]?\."", """"))"),"")</f>
        <v/>
      </c>
      <c r="I1695" s="152" t="str">
        <f>IFERROR(__xludf.DUMMYFUNCTION("TRIM(REGEXREPLACE(E1695, ""[0-9]+[a-f]?\."", """"))"),"")</f>
        <v/>
      </c>
      <c r="J1695" s="152" t="str">
        <f t="shared" ref="J1695:L1695" si="134">$F1695 &amp; ". " &amp;G1695</f>
        <v>244. </v>
      </c>
      <c r="K1695" s="152" t="str">
        <f t="shared" si="134"/>
        <v>244. </v>
      </c>
      <c r="L1695" s="152" t="str">
        <f t="shared" si="134"/>
        <v>244. </v>
      </c>
    </row>
    <row r="1696" hidden="1">
      <c r="A1696" s="24"/>
      <c r="B1696" s="24"/>
      <c r="C1696" s="28"/>
      <c r="D1696" s="28"/>
      <c r="E1696" s="28"/>
      <c r="F1696" s="161">
        <v>245.0</v>
      </c>
      <c r="G1696" s="152" t="str">
        <f>IFERROR(__xludf.DUMMYFUNCTION("TRIM(REGEXREPLACE(C1696, ""[0-9]+[a-f]?\."", """"))"),"")</f>
        <v/>
      </c>
      <c r="H1696" s="152" t="str">
        <f>IFERROR(__xludf.DUMMYFUNCTION("TRIM(REGEXREPLACE(D1696, ""[0-9]+[a-f]?\."", """"))"),"")</f>
        <v/>
      </c>
      <c r="I1696" s="152" t="str">
        <f>IFERROR(__xludf.DUMMYFUNCTION("TRIM(REGEXREPLACE(E1696, ""[0-9]+[a-f]?\."", """"))"),"")</f>
        <v/>
      </c>
      <c r="J1696" s="152" t="str">
        <f t="shared" ref="J1696:L1696" si="135">$F1696 &amp; ". " &amp;G1696</f>
        <v>245. </v>
      </c>
      <c r="K1696" s="152" t="str">
        <f t="shared" si="135"/>
        <v>245. </v>
      </c>
      <c r="L1696" s="152" t="str">
        <f t="shared" si="135"/>
        <v>245. </v>
      </c>
    </row>
    <row r="1697" hidden="1">
      <c r="A1697" s="24"/>
      <c r="B1697" s="24"/>
      <c r="C1697" s="28"/>
      <c r="D1697" s="28"/>
      <c r="E1697" s="28"/>
      <c r="F1697" s="161">
        <v>246.0</v>
      </c>
      <c r="G1697" s="152" t="str">
        <f>IFERROR(__xludf.DUMMYFUNCTION("TRIM(REGEXREPLACE(C1697, ""[0-9]+[a-f]?\."", """"))"),"")</f>
        <v/>
      </c>
      <c r="H1697" s="152" t="str">
        <f>IFERROR(__xludf.DUMMYFUNCTION("TRIM(REGEXREPLACE(D1697, ""[0-9]+[a-f]?\."", """"))"),"")</f>
        <v/>
      </c>
      <c r="I1697" s="152" t="str">
        <f>IFERROR(__xludf.DUMMYFUNCTION("TRIM(REGEXREPLACE(E1697, ""[0-9]+[a-f]?\."", """"))"),"")</f>
        <v/>
      </c>
      <c r="J1697" s="152" t="str">
        <f t="shared" ref="J1697:L1697" si="136">$F1697 &amp; ". " &amp;G1697</f>
        <v>246. </v>
      </c>
      <c r="K1697" s="152" t="str">
        <f t="shared" si="136"/>
        <v>246. </v>
      </c>
      <c r="L1697" s="152" t="str">
        <f t="shared" si="136"/>
        <v>246. </v>
      </c>
    </row>
    <row r="1698" hidden="1">
      <c r="A1698" s="24"/>
      <c r="B1698" s="24"/>
      <c r="C1698" s="28"/>
      <c r="D1698" s="28"/>
      <c r="E1698" s="28"/>
      <c r="F1698" s="161">
        <v>247.0</v>
      </c>
      <c r="G1698" s="152" t="str">
        <f>IFERROR(__xludf.DUMMYFUNCTION("TRIM(REGEXREPLACE(C1698, ""[0-9]+[a-f]?\."", """"))"),"")</f>
        <v/>
      </c>
      <c r="H1698" s="152" t="str">
        <f>IFERROR(__xludf.DUMMYFUNCTION("TRIM(REGEXREPLACE(D1698, ""[0-9]+[a-f]?\."", """"))"),"")</f>
        <v/>
      </c>
      <c r="I1698" s="152" t="str">
        <f>IFERROR(__xludf.DUMMYFUNCTION("TRIM(REGEXREPLACE(E1698, ""[0-9]+[a-f]?\."", """"))"),"")</f>
        <v/>
      </c>
      <c r="J1698" s="152" t="str">
        <f t="shared" ref="J1698:L1698" si="137">$F1698 &amp; ". " &amp;G1698</f>
        <v>247. </v>
      </c>
      <c r="K1698" s="152" t="str">
        <f t="shared" si="137"/>
        <v>247. </v>
      </c>
      <c r="L1698" s="152" t="str">
        <f t="shared" si="137"/>
        <v>247. </v>
      </c>
    </row>
    <row r="1699" hidden="1">
      <c r="A1699" s="24"/>
      <c r="B1699" s="24"/>
      <c r="C1699" s="28"/>
      <c r="D1699" s="28"/>
      <c r="E1699" s="28"/>
      <c r="F1699" s="161">
        <v>248.0</v>
      </c>
      <c r="G1699" s="152" t="str">
        <f>IFERROR(__xludf.DUMMYFUNCTION("TRIM(REGEXREPLACE(C1699, ""[0-9]+[a-f]?\."", """"))"),"")</f>
        <v/>
      </c>
      <c r="H1699" s="152" t="str">
        <f>IFERROR(__xludf.DUMMYFUNCTION("TRIM(REGEXREPLACE(D1699, ""[0-9]+[a-f]?\."", """"))"),"")</f>
        <v/>
      </c>
      <c r="I1699" s="152" t="str">
        <f>IFERROR(__xludf.DUMMYFUNCTION("TRIM(REGEXREPLACE(E1699, ""[0-9]+[a-f]?\."", """"))"),"")</f>
        <v/>
      </c>
      <c r="J1699" s="152" t="str">
        <f t="shared" ref="J1699:L1699" si="138">$F1699 &amp; ". " &amp;G1699</f>
        <v>248. </v>
      </c>
      <c r="K1699" s="152" t="str">
        <f t="shared" si="138"/>
        <v>248. </v>
      </c>
      <c r="L1699" s="152" t="str">
        <f t="shared" si="138"/>
        <v>248. </v>
      </c>
    </row>
    <row r="1700" hidden="1">
      <c r="A1700" s="24"/>
      <c r="B1700" s="24"/>
      <c r="C1700" s="28"/>
      <c r="D1700" s="28"/>
      <c r="E1700" s="28"/>
      <c r="F1700" s="161">
        <v>249.0</v>
      </c>
      <c r="G1700" s="152" t="str">
        <f>IFERROR(__xludf.DUMMYFUNCTION("TRIM(REGEXREPLACE(C1700, ""[0-9]+[a-f]?\."", """"))"),"")</f>
        <v/>
      </c>
      <c r="H1700" s="152" t="str">
        <f>IFERROR(__xludf.DUMMYFUNCTION("TRIM(REGEXREPLACE(D1700, ""[0-9]+[a-f]?\."", """"))"),"")</f>
        <v/>
      </c>
      <c r="I1700" s="152" t="str">
        <f>IFERROR(__xludf.DUMMYFUNCTION("TRIM(REGEXREPLACE(E1700, ""[0-9]+[a-f]?\."", """"))"),"")</f>
        <v/>
      </c>
      <c r="J1700" s="152" t="str">
        <f t="shared" ref="J1700:L1700" si="139">$F1700 &amp; ". " &amp;G1700</f>
        <v>249. </v>
      </c>
      <c r="K1700" s="152" t="str">
        <f t="shared" si="139"/>
        <v>249. </v>
      </c>
      <c r="L1700" s="152" t="str">
        <f t="shared" si="139"/>
        <v>249. </v>
      </c>
    </row>
    <row r="1701" hidden="1">
      <c r="A1701" s="24"/>
      <c r="B1701" s="24"/>
      <c r="C1701" s="28"/>
      <c r="D1701" s="28"/>
      <c r="E1701" s="28"/>
    </row>
    <row r="1702" hidden="1">
      <c r="A1702" s="24"/>
      <c r="B1702" s="24"/>
      <c r="C1702" s="28"/>
      <c r="D1702" s="28"/>
      <c r="E1702" s="28"/>
    </row>
    <row r="1703" hidden="1">
      <c r="A1703" s="24"/>
      <c r="B1703" s="24"/>
      <c r="C1703" s="28"/>
      <c r="D1703" s="28"/>
      <c r="E1703" s="28"/>
    </row>
    <row r="1704" hidden="1">
      <c r="A1704" s="24"/>
      <c r="B1704" s="24"/>
      <c r="C1704" s="28"/>
      <c r="D1704" s="28"/>
      <c r="E1704" s="28"/>
    </row>
    <row r="1705" hidden="1">
      <c r="A1705" s="24"/>
      <c r="B1705" s="24"/>
      <c r="C1705" s="28"/>
      <c r="D1705" s="28"/>
      <c r="E1705" s="28"/>
    </row>
    <row r="1706" hidden="1">
      <c r="A1706" s="24"/>
      <c r="B1706" s="24"/>
      <c r="C1706" s="28"/>
      <c r="D1706" s="28"/>
      <c r="E1706" s="28"/>
    </row>
    <row r="1707" hidden="1">
      <c r="A1707" s="24"/>
      <c r="B1707" s="24"/>
      <c r="C1707" s="28"/>
      <c r="D1707" s="28"/>
      <c r="E1707" s="28"/>
    </row>
    <row r="1708" hidden="1">
      <c r="A1708" s="24"/>
      <c r="B1708" s="24"/>
      <c r="C1708" s="28"/>
      <c r="D1708" s="28"/>
      <c r="E1708" s="28"/>
      <c r="F1708" s="161">
        <v>250.0</v>
      </c>
      <c r="G1708" s="152" t="str">
        <f>IFERROR(__xludf.DUMMYFUNCTION("TRIM(REGEXREPLACE(C1708, ""[0-9]+[a-f]?\."", """"))"),"")</f>
        <v/>
      </c>
      <c r="H1708" s="152" t="str">
        <f>IFERROR(__xludf.DUMMYFUNCTION("TRIM(REGEXREPLACE(D1708, ""[0-9]+[a-f]?\."", """"))"),"")</f>
        <v/>
      </c>
      <c r="I1708" s="152" t="str">
        <f>IFERROR(__xludf.DUMMYFUNCTION("TRIM(REGEXREPLACE(E1708, ""[0-9]+[a-f]?\."", """"))"),"")</f>
        <v/>
      </c>
      <c r="J1708" s="152" t="str">
        <f t="shared" ref="J1708:L1708" si="140">$F1708 &amp; ". " &amp;G1708</f>
        <v>250. </v>
      </c>
      <c r="K1708" s="152" t="str">
        <f t="shared" si="140"/>
        <v>250. </v>
      </c>
      <c r="L1708" s="152" t="str">
        <f t="shared" si="140"/>
        <v>250. </v>
      </c>
    </row>
    <row r="1709" hidden="1">
      <c r="A1709" s="24"/>
      <c r="B1709" s="24"/>
      <c r="C1709" s="28"/>
      <c r="D1709" s="28"/>
      <c r="E1709" s="28"/>
      <c r="F1709" s="161">
        <v>251.0</v>
      </c>
      <c r="G1709" s="152" t="str">
        <f>IFERROR(__xludf.DUMMYFUNCTION("TRIM(REGEXREPLACE(C1709, ""[0-9]+[a-f]?\."", """"))"),"")</f>
        <v/>
      </c>
      <c r="H1709" s="152" t="str">
        <f>IFERROR(__xludf.DUMMYFUNCTION("TRIM(REGEXREPLACE(D1709, ""[0-9]+[a-f]?\."", """"))"),"")</f>
        <v/>
      </c>
      <c r="I1709" s="152" t="str">
        <f>IFERROR(__xludf.DUMMYFUNCTION("TRIM(REGEXREPLACE(E1709, ""[0-9]+[a-f]?\."", """"))"),"")</f>
        <v/>
      </c>
      <c r="J1709" s="152" t="str">
        <f t="shared" ref="J1709:L1709" si="141">$F1709 &amp; ". " &amp;G1709</f>
        <v>251. </v>
      </c>
      <c r="K1709" s="152" t="str">
        <f t="shared" si="141"/>
        <v>251. </v>
      </c>
      <c r="L1709" s="152" t="str">
        <f t="shared" si="141"/>
        <v>251. </v>
      </c>
    </row>
    <row r="1710" hidden="1">
      <c r="A1710" s="24"/>
      <c r="B1710" s="24"/>
      <c r="C1710" s="28"/>
      <c r="D1710" s="28"/>
      <c r="E1710" s="28"/>
      <c r="F1710" s="161">
        <v>252.0</v>
      </c>
      <c r="G1710" s="152" t="str">
        <f>IFERROR(__xludf.DUMMYFUNCTION("TRIM(REGEXREPLACE(C1710, ""[0-9]+[a-f]?\."", """"))"),"")</f>
        <v/>
      </c>
      <c r="H1710" s="152" t="str">
        <f>IFERROR(__xludf.DUMMYFUNCTION("TRIM(REGEXREPLACE(D1710, ""[0-9]+[a-f]?\."", """"))"),"")</f>
        <v/>
      </c>
      <c r="I1710" s="152" t="str">
        <f>IFERROR(__xludf.DUMMYFUNCTION("TRIM(REGEXREPLACE(E1710, ""[0-9]+[a-f]?\."", """"))"),"")</f>
        <v/>
      </c>
      <c r="J1710" s="152" t="str">
        <f t="shared" ref="J1710:L1710" si="142">$F1710 &amp; ". " &amp;G1710</f>
        <v>252. </v>
      </c>
      <c r="K1710" s="152" t="str">
        <f t="shared" si="142"/>
        <v>252. </v>
      </c>
      <c r="L1710" s="152" t="str">
        <f t="shared" si="142"/>
        <v>252. </v>
      </c>
    </row>
    <row r="1711" hidden="1">
      <c r="A1711" s="24"/>
      <c r="B1711" s="24"/>
      <c r="C1711" s="28"/>
      <c r="D1711" s="28"/>
      <c r="E1711" s="28"/>
      <c r="F1711" s="161">
        <v>253.0</v>
      </c>
      <c r="G1711" s="152" t="str">
        <f>IFERROR(__xludf.DUMMYFUNCTION("TRIM(REGEXREPLACE(C1711, ""[0-9]+[a-f]?\."", """"))"),"")</f>
        <v/>
      </c>
      <c r="H1711" s="152" t="str">
        <f>IFERROR(__xludf.DUMMYFUNCTION("TRIM(REGEXREPLACE(D1711, ""[0-9]+[a-f]?\."", """"))"),"")</f>
        <v/>
      </c>
      <c r="I1711" s="152" t="str">
        <f>IFERROR(__xludf.DUMMYFUNCTION("TRIM(REGEXREPLACE(E1711, ""[0-9]+[a-f]?\."", """"))"),"")</f>
        <v/>
      </c>
      <c r="J1711" s="152" t="str">
        <f t="shared" ref="J1711:L1711" si="143">$F1711 &amp; ". " &amp;G1711</f>
        <v>253. </v>
      </c>
      <c r="K1711" s="152" t="str">
        <f t="shared" si="143"/>
        <v>253. </v>
      </c>
      <c r="L1711" s="152" t="str">
        <f t="shared" si="143"/>
        <v>253. </v>
      </c>
    </row>
    <row r="1712" hidden="1">
      <c r="A1712" s="24"/>
      <c r="B1712" s="24"/>
      <c r="C1712" s="28"/>
      <c r="D1712" s="28"/>
      <c r="E1712" s="28"/>
    </row>
    <row r="1713" hidden="1">
      <c r="A1713" s="24"/>
      <c r="B1713" s="24"/>
      <c r="C1713" s="28"/>
      <c r="D1713" s="28"/>
      <c r="E1713" s="28"/>
    </row>
    <row r="1714" hidden="1">
      <c r="A1714" s="24"/>
      <c r="B1714" s="24"/>
      <c r="C1714" s="28"/>
      <c r="D1714" s="28"/>
      <c r="E1714" s="28"/>
    </row>
    <row r="1715" hidden="1">
      <c r="A1715" s="24"/>
      <c r="B1715" s="24"/>
      <c r="C1715" s="28"/>
      <c r="D1715" s="28"/>
      <c r="E1715" s="28"/>
    </row>
    <row r="1716" hidden="1">
      <c r="A1716" s="24"/>
      <c r="B1716" s="24"/>
      <c r="C1716" s="28"/>
      <c r="D1716" s="28"/>
      <c r="E1716" s="28"/>
    </row>
    <row r="1717" hidden="1">
      <c r="A1717" s="24"/>
      <c r="B1717" s="24"/>
      <c r="C1717" s="28"/>
      <c r="D1717" s="28"/>
      <c r="E1717" s="28"/>
      <c r="F1717" s="161">
        <v>254.0</v>
      </c>
      <c r="G1717" s="152" t="str">
        <f>IFERROR(__xludf.DUMMYFUNCTION("TRIM(REGEXREPLACE(C1717, ""[0-9]+[a-f]?\."", """"))"),"")</f>
        <v/>
      </c>
      <c r="H1717" s="152" t="str">
        <f>IFERROR(__xludf.DUMMYFUNCTION("TRIM(REGEXREPLACE(D1717, ""[0-9]+[a-f]?\."", """"))"),"")</f>
        <v/>
      </c>
      <c r="I1717" s="152" t="str">
        <f>IFERROR(__xludf.DUMMYFUNCTION("TRIM(REGEXREPLACE(E1717, ""[0-9]+[a-f]?\."", """"))"),"")</f>
        <v/>
      </c>
      <c r="J1717" s="152" t="str">
        <f t="shared" ref="J1717:L1717" si="144">$F1717 &amp; ". " &amp;G1717</f>
        <v>254. </v>
      </c>
      <c r="K1717" s="152" t="str">
        <f t="shared" si="144"/>
        <v>254. </v>
      </c>
      <c r="L1717" s="152" t="str">
        <f t="shared" si="144"/>
        <v>254. </v>
      </c>
    </row>
    <row r="1718" hidden="1">
      <c r="A1718" s="24"/>
      <c r="B1718" s="24"/>
      <c r="C1718" s="28"/>
      <c r="D1718" s="28"/>
      <c r="E1718" s="28"/>
    </row>
    <row r="1719" hidden="1">
      <c r="A1719" s="24"/>
      <c r="B1719" s="24"/>
      <c r="C1719" s="28"/>
      <c r="D1719" s="28"/>
      <c r="E1719" s="28"/>
      <c r="F1719" s="161">
        <v>255.0</v>
      </c>
      <c r="G1719" s="152" t="str">
        <f>IFERROR(__xludf.DUMMYFUNCTION("TRIM(REGEXREPLACE(C1719, ""[0-9]+[a-f]?\."", """"))"),"")</f>
        <v/>
      </c>
      <c r="H1719" s="152" t="str">
        <f>IFERROR(__xludf.DUMMYFUNCTION("TRIM(REGEXREPLACE(D1719, ""[0-9]+[a-f]?\."", """"))"),"")</f>
        <v/>
      </c>
      <c r="I1719" s="152" t="str">
        <f>IFERROR(__xludf.DUMMYFUNCTION("TRIM(REGEXREPLACE(E1719, ""[0-9]+[a-f]?\."", """"))"),"")</f>
        <v/>
      </c>
      <c r="J1719" s="152" t="str">
        <f t="shared" ref="J1719:L1719" si="145">$F1719 &amp; ". " &amp;G1719</f>
        <v>255. </v>
      </c>
      <c r="K1719" s="152" t="str">
        <f t="shared" si="145"/>
        <v>255. </v>
      </c>
      <c r="L1719" s="152" t="str">
        <f t="shared" si="145"/>
        <v>255. </v>
      </c>
    </row>
    <row r="1720" hidden="1">
      <c r="A1720" s="24"/>
      <c r="B1720" s="24"/>
      <c r="C1720" s="28"/>
      <c r="D1720" s="28"/>
      <c r="E1720" s="28"/>
    </row>
    <row r="1721" hidden="1">
      <c r="A1721" s="24"/>
      <c r="B1721" s="24"/>
      <c r="C1721" s="28"/>
      <c r="D1721" s="28"/>
      <c r="E1721" s="28"/>
    </row>
    <row r="1722" hidden="1">
      <c r="A1722" s="24"/>
      <c r="B1722" s="24"/>
      <c r="C1722" s="28"/>
      <c r="D1722" s="28"/>
      <c r="E1722" s="28"/>
    </row>
    <row r="1723" hidden="1">
      <c r="A1723" s="24"/>
      <c r="B1723" s="24"/>
      <c r="C1723" s="28"/>
      <c r="D1723" s="28"/>
      <c r="E1723" s="28"/>
      <c r="F1723" s="161">
        <v>256.0</v>
      </c>
      <c r="G1723" s="152" t="str">
        <f>IFERROR(__xludf.DUMMYFUNCTION("TRIM(REGEXREPLACE(C1723, ""[0-9]+[a-f]?\."", """"))"),"")</f>
        <v/>
      </c>
      <c r="H1723" s="152" t="str">
        <f>IFERROR(__xludf.DUMMYFUNCTION("TRIM(REGEXREPLACE(D1723, ""[0-9]+[a-f]?\."", """"))"),"")</f>
        <v/>
      </c>
      <c r="I1723" s="152" t="str">
        <f>IFERROR(__xludf.DUMMYFUNCTION("TRIM(REGEXREPLACE(E1723, ""[0-9]+[a-f]?\."", """"))"),"")</f>
        <v/>
      </c>
      <c r="J1723" s="152" t="str">
        <f t="shared" ref="J1723:L1723" si="146">$F1723 &amp; ". " &amp;G1723</f>
        <v>256. </v>
      </c>
      <c r="K1723" s="152" t="str">
        <f t="shared" si="146"/>
        <v>256. </v>
      </c>
      <c r="L1723" s="152" t="str">
        <f t="shared" si="146"/>
        <v>256. </v>
      </c>
    </row>
    <row r="1724" hidden="1">
      <c r="A1724" s="24"/>
      <c r="B1724" s="24"/>
      <c r="C1724" s="28"/>
      <c r="D1724" s="28"/>
      <c r="E1724" s="28"/>
      <c r="F1724" s="161">
        <v>257.0</v>
      </c>
      <c r="G1724" s="152" t="str">
        <f>IFERROR(__xludf.DUMMYFUNCTION("TRIM(REGEXREPLACE(C1724, ""[0-9]+[a-f]?\."", """"))"),"")</f>
        <v/>
      </c>
      <c r="H1724" s="152" t="str">
        <f>IFERROR(__xludf.DUMMYFUNCTION("TRIM(REGEXREPLACE(D1724, ""[0-9]+[a-f]?\."", """"))"),"")</f>
        <v/>
      </c>
      <c r="I1724" s="152" t="str">
        <f>IFERROR(__xludf.DUMMYFUNCTION("TRIM(REGEXREPLACE(E1724, ""[0-9]+[a-f]?\."", """"))"),"")</f>
        <v/>
      </c>
      <c r="J1724" s="152" t="str">
        <f t="shared" ref="J1724:L1724" si="147">$F1724 &amp; ". " &amp;G1724</f>
        <v>257. </v>
      </c>
      <c r="K1724" s="152" t="str">
        <f t="shared" si="147"/>
        <v>257. </v>
      </c>
      <c r="L1724" s="152" t="str">
        <f t="shared" si="147"/>
        <v>257. </v>
      </c>
    </row>
    <row r="1725" hidden="1">
      <c r="A1725" s="24"/>
      <c r="B1725" s="24"/>
      <c r="C1725" s="28"/>
      <c r="D1725" s="28"/>
      <c r="E1725" s="28"/>
      <c r="F1725" s="161">
        <v>258.0</v>
      </c>
      <c r="G1725" s="152" t="str">
        <f>IFERROR(__xludf.DUMMYFUNCTION("TRIM(REGEXREPLACE(C1725, ""[0-9]+[a-f]?\."", """"))"),"")</f>
        <v/>
      </c>
      <c r="H1725" s="152" t="str">
        <f>IFERROR(__xludf.DUMMYFUNCTION("TRIM(REGEXREPLACE(D1725, ""[0-9]+[a-f]?\."", """"))"),"")</f>
        <v/>
      </c>
      <c r="I1725" s="152" t="str">
        <f>IFERROR(__xludf.DUMMYFUNCTION("TRIM(REGEXREPLACE(E1725, ""[0-9]+[a-f]?\."", """"))"),"")</f>
        <v/>
      </c>
      <c r="J1725" s="152" t="str">
        <f t="shared" ref="J1725:L1725" si="148">$F1725 &amp; ". " &amp;G1725</f>
        <v>258. </v>
      </c>
      <c r="K1725" s="152" t="str">
        <f t="shared" si="148"/>
        <v>258. </v>
      </c>
      <c r="L1725" s="152" t="str">
        <f t="shared" si="148"/>
        <v>258. </v>
      </c>
    </row>
    <row r="1726" hidden="1">
      <c r="A1726" s="24"/>
      <c r="B1726" s="24"/>
      <c r="C1726" s="28"/>
      <c r="D1726" s="28"/>
      <c r="E1726" s="28"/>
      <c r="F1726" s="161">
        <v>259.0</v>
      </c>
      <c r="G1726" s="152" t="str">
        <f>IFERROR(__xludf.DUMMYFUNCTION("TRIM(REGEXREPLACE(C1726, ""[0-9]+[a-f]?\."", """"))"),"")</f>
        <v/>
      </c>
      <c r="H1726" s="152" t="str">
        <f>IFERROR(__xludf.DUMMYFUNCTION("TRIM(REGEXREPLACE(D1726, ""[0-9]+[a-f]?\."", """"))"),"")</f>
        <v/>
      </c>
      <c r="I1726" s="152" t="str">
        <f>IFERROR(__xludf.DUMMYFUNCTION("TRIM(REGEXREPLACE(E1726, ""[0-9]+[a-f]?\."", """"))"),"")</f>
        <v/>
      </c>
      <c r="J1726" s="152" t="str">
        <f t="shared" ref="J1726:L1726" si="149">$F1726 &amp; ". " &amp;G1726</f>
        <v>259. </v>
      </c>
      <c r="K1726" s="152" t="str">
        <f t="shared" si="149"/>
        <v>259. </v>
      </c>
      <c r="L1726" s="152" t="str">
        <f t="shared" si="149"/>
        <v>259. </v>
      </c>
    </row>
    <row r="1727" hidden="1">
      <c r="A1727" s="24"/>
      <c r="B1727" s="24"/>
      <c r="C1727" s="28"/>
      <c r="D1727" s="28"/>
      <c r="E1727" s="28"/>
      <c r="F1727" s="161">
        <v>260.0</v>
      </c>
      <c r="G1727" s="152" t="str">
        <f>IFERROR(__xludf.DUMMYFUNCTION("TRIM(REGEXREPLACE(C1727, ""[0-9]+[a-f]?\."", """"))"),"")</f>
        <v/>
      </c>
      <c r="H1727" s="152" t="str">
        <f>IFERROR(__xludf.DUMMYFUNCTION("TRIM(REGEXREPLACE(D1727, ""[0-9]+[a-f]?\."", """"))"),"")</f>
        <v/>
      </c>
      <c r="I1727" s="152" t="str">
        <f>IFERROR(__xludf.DUMMYFUNCTION("TRIM(REGEXREPLACE(E1727, ""[0-9]+[a-f]?\."", """"))"),"")</f>
        <v/>
      </c>
      <c r="J1727" s="152" t="str">
        <f t="shared" ref="J1727:L1727" si="150">$F1727 &amp; ". " &amp;G1727</f>
        <v>260. </v>
      </c>
      <c r="K1727" s="152" t="str">
        <f t="shared" si="150"/>
        <v>260. </v>
      </c>
      <c r="L1727" s="152" t="str">
        <f t="shared" si="150"/>
        <v>260. </v>
      </c>
    </row>
    <row r="1728" hidden="1">
      <c r="A1728" s="24"/>
      <c r="B1728" s="24"/>
      <c r="C1728" s="28"/>
      <c r="D1728" s="28"/>
      <c r="E1728" s="28"/>
      <c r="F1728" s="161">
        <v>261.0</v>
      </c>
      <c r="G1728" s="152" t="str">
        <f>IFERROR(__xludf.DUMMYFUNCTION("TRIM(REGEXREPLACE(C1728, ""[0-9]+[a-f]?\."", """"))"),"")</f>
        <v/>
      </c>
      <c r="H1728" s="152" t="str">
        <f>IFERROR(__xludf.DUMMYFUNCTION("TRIM(REGEXREPLACE(D1728, ""[0-9]+[a-f]?\."", """"))"),"")</f>
        <v/>
      </c>
      <c r="I1728" s="152" t="str">
        <f>IFERROR(__xludf.DUMMYFUNCTION("TRIM(REGEXREPLACE(E1728, ""[0-9]+[a-f]?\."", """"))"),"")</f>
        <v/>
      </c>
      <c r="J1728" s="152" t="str">
        <f t="shared" ref="J1728:L1728" si="151">$F1728 &amp; ". " &amp;G1728</f>
        <v>261. </v>
      </c>
      <c r="K1728" s="152" t="str">
        <f t="shared" si="151"/>
        <v>261. </v>
      </c>
      <c r="L1728" s="152" t="str">
        <f t="shared" si="151"/>
        <v>261. </v>
      </c>
    </row>
    <row r="1729" hidden="1">
      <c r="A1729" s="24"/>
      <c r="B1729" s="24"/>
      <c r="C1729" s="28"/>
      <c r="D1729" s="28"/>
      <c r="E1729" s="28"/>
      <c r="F1729" s="161">
        <v>262.0</v>
      </c>
      <c r="G1729" s="152" t="str">
        <f>IFERROR(__xludf.DUMMYFUNCTION("TRIM(REGEXREPLACE(C1729, ""[0-9]+[a-f]?\."", """"))"),"")</f>
        <v/>
      </c>
      <c r="H1729" s="152" t="str">
        <f>IFERROR(__xludf.DUMMYFUNCTION("TRIM(REGEXREPLACE(D1729, ""[0-9]+[a-f]?\."", """"))"),"")</f>
        <v/>
      </c>
      <c r="I1729" s="152" t="str">
        <f>IFERROR(__xludf.DUMMYFUNCTION("TRIM(REGEXREPLACE(E1729, ""[0-9]+[a-f]?\."", """"))"),"")</f>
        <v/>
      </c>
      <c r="J1729" s="152" t="str">
        <f t="shared" ref="J1729:L1729" si="152">$F1729 &amp; ". " &amp;G1729</f>
        <v>262. </v>
      </c>
      <c r="K1729" s="152" t="str">
        <f t="shared" si="152"/>
        <v>262. </v>
      </c>
      <c r="L1729" s="152" t="str">
        <f t="shared" si="152"/>
        <v>262. </v>
      </c>
    </row>
    <row r="1730" hidden="1">
      <c r="A1730" s="24"/>
      <c r="B1730" s="24"/>
      <c r="C1730" s="28"/>
      <c r="D1730" s="28"/>
      <c r="E1730" s="28"/>
      <c r="F1730" s="161">
        <v>263.0</v>
      </c>
      <c r="G1730" s="152" t="str">
        <f>IFERROR(__xludf.DUMMYFUNCTION("TRIM(REGEXREPLACE(C1730, ""[0-9]+[a-f]?\."", """"))"),"")</f>
        <v/>
      </c>
      <c r="H1730" s="152" t="str">
        <f>IFERROR(__xludf.DUMMYFUNCTION("TRIM(REGEXREPLACE(D1730, ""[0-9]+[a-f]?\."", """"))"),"")</f>
        <v/>
      </c>
      <c r="I1730" s="152" t="str">
        <f>IFERROR(__xludf.DUMMYFUNCTION("TRIM(REGEXREPLACE(E1730, ""[0-9]+[a-f]?\."", """"))"),"")</f>
        <v/>
      </c>
      <c r="J1730" s="152" t="str">
        <f t="shared" ref="J1730:L1730" si="153">$F1730 &amp; ". " &amp;G1730</f>
        <v>263. </v>
      </c>
      <c r="K1730" s="152" t="str">
        <f t="shared" si="153"/>
        <v>263. </v>
      </c>
      <c r="L1730" s="152" t="str">
        <f t="shared" si="153"/>
        <v>263. </v>
      </c>
    </row>
    <row r="1731" hidden="1">
      <c r="A1731" s="24"/>
      <c r="B1731" s="24"/>
      <c r="C1731" s="28"/>
      <c r="D1731" s="28"/>
      <c r="E1731" s="28"/>
      <c r="F1731" s="161">
        <v>264.0</v>
      </c>
      <c r="G1731" s="152" t="str">
        <f>IFERROR(__xludf.DUMMYFUNCTION("TRIM(REGEXREPLACE(C1731, ""[0-9]+[a-f]?\."", """"))"),"")</f>
        <v/>
      </c>
      <c r="H1731" s="152" t="str">
        <f>IFERROR(__xludf.DUMMYFUNCTION("TRIM(REGEXREPLACE(D1731, ""[0-9]+[a-f]?\."", """"))"),"")</f>
        <v/>
      </c>
      <c r="I1731" s="152" t="str">
        <f>IFERROR(__xludf.DUMMYFUNCTION("TRIM(REGEXREPLACE(E1731, ""[0-9]+[a-f]?\."", """"))"),"")</f>
        <v/>
      </c>
      <c r="J1731" s="152" t="str">
        <f t="shared" ref="J1731:L1731" si="154">$F1731 &amp; ". " &amp;G1731</f>
        <v>264. </v>
      </c>
      <c r="K1731" s="152" t="str">
        <f t="shared" si="154"/>
        <v>264. </v>
      </c>
      <c r="L1731" s="152" t="str">
        <f t="shared" si="154"/>
        <v>264. </v>
      </c>
    </row>
    <row r="1732" hidden="1">
      <c r="A1732" s="24"/>
      <c r="B1732" s="24"/>
      <c r="C1732" s="28"/>
      <c r="D1732" s="28"/>
      <c r="E1732" s="28"/>
      <c r="F1732" s="161">
        <v>265.0</v>
      </c>
      <c r="G1732" s="152" t="str">
        <f>IFERROR(__xludf.DUMMYFUNCTION("TRIM(REGEXREPLACE(C1732, ""[0-9]+[a-f]?\."", """"))"),"")</f>
        <v/>
      </c>
      <c r="H1732" s="152" t="str">
        <f>IFERROR(__xludf.DUMMYFUNCTION("TRIM(REGEXREPLACE(D1732, ""[0-9]+[a-f]?\."", """"))"),"")</f>
        <v/>
      </c>
      <c r="I1732" s="152" t="str">
        <f>IFERROR(__xludf.DUMMYFUNCTION("TRIM(REGEXREPLACE(E1732, ""[0-9]+[a-f]?\."", """"))"),"")</f>
        <v/>
      </c>
      <c r="J1732" s="152" t="str">
        <f t="shared" ref="J1732:L1732" si="155">$F1732 &amp; ". " &amp;G1732</f>
        <v>265. </v>
      </c>
      <c r="K1732" s="152" t="str">
        <f t="shared" si="155"/>
        <v>265. </v>
      </c>
      <c r="L1732" s="152" t="str">
        <f t="shared" si="155"/>
        <v>265. </v>
      </c>
    </row>
    <row r="1733" hidden="1">
      <c r="A1733" s="24"/>
      <c r="B1733" s="24"/>
      <c r="C1733" s="28"/>
      <c r="D1733" s="28"/>
      <c r="E1733" s="28"/>
      <c r="F1733" s="161">
        <v>266.0</v>
      </c>
      <c r="G1733" s="152" t="str">
        <f>IFERROR(__xludf.DUMMYFUNCTION("TRIM(REGEXREPLACE(C1733, ""[0-9]+[a-f]?\."", """"))"),"")</f>
        <v/>
      </c>
      <c r="H1733" s="152" t="str">
        <f>IFERROR(__xludf.DUMMYFUNCTION("TRIM(REGEXREPLACE(D1733, ""[0-9]+[a-f]?\."", """"))"),"")</f>
        <v/>
      </c>
      <c r="I1733" s="152" t="str">
        <f>IFERROR(__xludf.DUMMYFUNCTION("TRIM(REGEXREPLACE(E1733, ""[0-9]+[a-f]?\."", """"))"),"")</f>
        <v/>
      </c>
      <c r="J1733" s="152" t="str">
        <f t="shared" ref="J1733:L1733" si="156">$F1733 &amp; ". " &amp;G1733</f>
        <v>266. </v>
      </c>
      <c r="K1733" s="152" t="str">
        <f t="shared" si="156"/>
        <v>266. </v>
      </c>
      <c r="L1733" s="152" t="str">
        <f t="shared" si="156"/>
        <v>266. </v>
      </c>
    </row>
    <row r="1734" hidden="1">
      <c r="A1734" s="24"/>
      <c r="B1734" s="24"/>
      <c r="C1734" s="28"/>
      <c r="D1734" s="28"/>
      <c r="E1734" s="28"/>
    </row>
    <row r="1735" hidden="1">
      <c r="A1735" s="24"/>
      <c r="B1735" s="24"/>
      <c r="C1735" s="28"/>
      <c r="D1735" s="28"/>
      <c r="E1735" s="28"/>
    </row>
    <row r="1736" hidden="1">
      <c r="A1736" s="24"/>
      <c r="B1736" s="24"/>
      <c r="C1736" s="28"/>
      <c r="D1736" s="28"/>
      <c r="E1736" s="28"/>
      <c r="F1736" s="161">
        <v>267.0</v>
      </c>
      <c r="G1736" s="152" t="str">
        <f>IFERROR(__xludf.DUMMYFUNCTION("TRIM(REGEXREPLACE(C1736, ""[0-9]+[a-f]?\."", """"))"),"")</f>
        <v/>
      </c>
      <c r="H1736" s="152" t="str">
        <f>IFERROR(__xludf.DUMMYFUNCTION("TRIM(REGEXREPLACE(D1736, ""[0-9]+[a-f]?\."", """"))"),"")</f>
        <v/>
      </c>
      <c r="I1736" s="152" t="str">
        <f>IFERROR(__xludf.DUMMYFUNCTION("TRIM(REGEXREPLACE(E1736, ""[0-9]+[a-f]?\."", """"))"),"")</f>
        <v/>
      </c>
      <c r="J1736" s="152" t="str">
        <f t="shared" ref="J1736:L1736" si="157">$F1736 &amp; ". " &amp;G1736</f>
        <v>267. </v>
      </c>
      <c r="K1736" s="152" t="str">
        <f t="shared" si="157"/>
        <v>267. </v>
      </c>
      <c r="L1736" s="152" t="str">
        <f t="shared" si="157"/>
        <v>267. </v>
      </c>
    </row>
    <row r="1737" hidden="1">
      <c r="A1737" s="24"/>
      <c r="B1737" s="24"/>
      <c r="C1737" s="28"/>
      <c r="D1737" s="28"/>
      <c r="E1737" s="28"/>
      <c r="F1737" s="161">
        <v>268.0</v>
      </c>
      <c r="G1737" s="152" t="str">
        <f>IFERROR(__xludf.DUMMYFUNCTION("TRIM(REGEXREPLACE(C1737, ""[0-9]+[a-f]?\."", """"))"),"")</f>
        <v/>
      </c>
      <c r="H1737" s="152" t="str">
        <f>IFERROR(__xludf.DUMMYFUNCTION("TRIM(REGEXREPLACE(D1737, ""[0-9]+[a-f]?\."", """"))"),"")</f>
        <v/>
      </c>
      <c r="I1737" s="152" t="str">
        <f>IFERROR(__xludf.DUMMYFUNCTION("TRIM(REGEXREPLACE(E1737, ""[0-9]+[a-f]?\."", """"))"),"")</f>
        <v/>
      </c>
      <c r="J1737" s="152" t="str">
        <f t="shared" ref="J1737:L1737" si="158">$F1737 &amp; ". " &amp;G1737</f>
        <v>268. </v>
      </c>
      <c r="K1737" s="152" t="str">
        <f t="shared" si="158"/>
        <v>268. </v>
      </c>
      <c r="L1737" s="152" t="str">
        <f t="shared" si="158"/>
        <v>268. </v>
      </c>
    </row>
    <row r="1738" hidden="1">
      <c r="A1738" s="24"/>
      <c r="B1738" s="24"/>
      <c r="C1738" s="28"/>
      <c r="D1738" s="28"/>
      <c r="E1738" s="28"/>
    </row>
    <row r="1739" hidden="1">
      <c r="A1739" s="24"/>
      <c r="B1739" s="24"/>
      <c r="C1739" s="28"/>
      <c r="D1739" s="28"/>
      <c r="E1739" s="28"/>
    </row>
    <row r="1740" hidden="1">
      <c r="A1740" s="24"/>
      <c r="B1740" s="24"/>
      <c r="C1740" s="28"/>
      <c r="D1740" s="28"/>
      <c r="E1740" s="28"/>
    </row>
    <row r="1741" hidden="1">
      <c r="A1741" s="24"/>
      <c r="B1741" s="24"/>
      <c r="C1741" s="28"/>
      <c r="D1741" s="28"/>
      <c r="E1741" s="28"/>
      <c r="F1741" s="161">
        <v>269.0</v>
      </c>
      <c r="G1741" s="152" t="str">
        <f>IFERROR(__xludf.DUMMYFUNCTION("TRIM(REGEXREPLACE(C1741, ""[0-9]+[a-f]?\."", """"))"),"")</f>
        <v/>
      </c>
      <c r="H1741" s="152" t="str">
        <f>IFERROR(__xludf.DUMMYFUNCTION("TRIM(REGEXREPLACE(D1741, ""[0-9]+[a-f]?\."", """"))"),"")</f>
        <v/>
      </c>
      <c r="I1741" s="152" t="str">
        <f>IFERROR(__xludf.DUMMYFUNCTION("TRIM(REGEXREPLACE(E1741, ""[0-9]+[a-f]?\."", """"))"),"")</f>
        <v/>
      </c>
      <c r="J1741" s="152" t="str">
        <f t="shared" ref="J1741:L1741" si="159">$F1741 &amp; ". " &amp;G1741</f>
        <v>269. </v>
      </c>
      <c r="K1741" s="152" t="str">
        <f t="shared" si="159"/>
        <v>269. </v>
      </c>
      <c r="L1741" s="152" t="str">
        <f t="shared" si="159"/>
        <v>269. </v>
      </c>
    </row>
    <row r="1742" hidden="1">
      <c r="A1742" s="24"/>
      <c r="B1742" s="24"/>
      <c r="C1742" s="28"/>
      <c r="D1742" s="28"/>
      <c r="E1742" s="28"/>
      <c r="F1742" s="161">
        <v>270.0</v>
      </c>
      <c r="G1742" s="152" t="str">
        <f>IFERROR(__xludf.DUMMYFUNCTION("TRIM(REGEXREPLACE(C1742, ""[0-9]+[a-f]?\."", """"))"),"")</f>
        <v/>
      </c>
      <c r="H1742" s="152" t="str">
        <f>IFERROR(__xludf.DUMMYFUNCTION("TRIM(REGEXREPLACE(D1742, ""[0-9]+[a-f]?\."", """"))"),"")</f>
        <v/>
      </c>
      <c r="I1742" s="152" t="str">
        <f>IFERROR(__xludf.DUMMYFUNCTION("TRIM(REGEXREPLACE(E1742, ""[0-9]+[a-f]?\."", """"))"),"")</f>
        <v/>
      </c>
      <c r="J1742" s="152" t="str">
        <f t="shared" ref="J1742:L1742" si="160">$F1742 &amp; ". " &amp;G1742</f>
        <v>270. </v>
      </c>
      <c r="K1742" s="152" t="str">
        <f t="shared" si="160"/>
        <v>270. </v>
      </c>
      <c r="L1742" s="152" t="str">
        <f t="shared" si="160"/>
        <v>270. </v>
      </c>
    </row>
    <row r="1743" hidden="1">
      <c r="A1743" s="24"/>
      <c r="B1743" s="24"/>
      <c r="C1743" s="28"/>
      <c r="D1743" s="28"/>
      <c r="E1743" s="28"/>
      <c r="F1743" s="161">
        <v>271.0</v>
      </c>
      <c r="G1743" s="152" t="str">
        <f>IFERROR(__xludf.DUMMYFUNCTION("TRIM(REGEXREPLACE(C1743, ""[0-9]+[a-f]?\."", """"))"),"")</f>
        <v/>
      </c>
      <c r="H1743" s="152" t="str">
        <f>IFERROR(__xludf.DUMMYFUNCTION("TRIM(REGEXREPLACE(D1743, ""[0-9]+[a-f]?\."", """"))"),"")</f>
        <v/>
      </c>
      <c r="I1743" s="152" t="str">
        <f>IFERROR(__xludf.DUMMYFUNCTION("TRIM(REGEXREPLACE(E1743, ""[0-9]+[a-f]?\."", """"))"),"")</f>
        <v/>
      </c>
      <c r="J1743" s="152" t="str">
        <f t="shared" ref="J1743:L1743" si="161">$F1743 &amp; ". " &amp;G1743</f>
        <v>271. </v>
      </c>
      <c r="K1743" s="152" t="str">
        <f t="shared" si="161"/>
        <v>271. </v>
      </c>
      <c r="L1743" s="152" t="str">
        <f t="shared" si="161"/>
        <v>271. </v>
      </c>
    </row>
    <row r="1744" hidden="1">
      <c r="A1744" s="24"/>
      <c r="B1744" s="24"/>
      <c r="C1744" s="28"/>
      <c r="D1744" s="28"/>
      <c r="E1744" s="28"/>
      <c r="F1744" s="161">
        <v>272.0</v>
      </c>
      <c r="G1744" s="152" t="str">
        <f>IFERROR(__xludf.DUMMYFUNCTION("TRIM(REGEXREPLACE(C1744, ""[0-9]+[a-f]?\."", """"))"),"")</f>
        <v/>
      </c>
      <c r="H1744" s="152" t="str">
        <f>IFERROR(__xludf.DUMMYFUNCTION("TRIM(REGEXREPLACE(D1744, ""[0-9]+[a-f]?\."", """"))"),"")</f>
        <v/>
      </c>
      <c r="I1744" s="152" t="str">
        <f>IFERROR(__xludf.DUMMYFUNCTION("TRIM(REGEXREPLACE(E1744, ""[0-9]+[a-f]?\."", """"))"),"")</f>
        <v/>
      </c>
      <c r="J1744" s="152" t="str">
        <f t="shared" ref="J1744:L1744" si="162">$F1744 &amp; ". " &amp;G1744</f>
        <v>272. </v>
      </c>
      <c r="K1744" s="152" t="str">
        <f t="shared" si="162"/>
        <v>272. </v>
      </c>
      <c r="L1744" s="152" t="str">
        <f t="shared" si="162"/>
        <v>272. </v>
      </c>
    </row>
    <row r="1745" hidden="1">
      <c r="A1745" s="24"/>
      <c r="B1745" s="24"/>
      <c r="C1745" s="28"/>
      <c r="D1745" s="28"/>
      <c r="E1745" s="28"/>
      <c r="F1745" s="161">
        <v>273.0</v>
      </c>
      <c r="G1745" s="152" t="str">
        <f>IFERROR(__xludf.DUMMYFUNCTION("TRIM(REGEXREPLACE(C1745, ""[0-9]+[a-f]?\."", """"))"),"")</f>
        <v/>
      </c>
      <c r="H1745" s="152" t="str">
        <f>IFERROR(__xludf.DUMMYFUNCTION("TRIM(REGEXREPLACE(D1745, ""[0-9]+[a-f]?\."", """"))"),"")</f>
        <v/>
      </c>
      <c r="I1745" s="152" t="str">
        <f>IFERROR(__xludf.DUMMYFUNCTION("TRIM(REGEXREPLACE(E1745, ""[0-9]+[a-f]?\."", """"))"),"")</f>
        <v/>
      </c>
      <c r="J1745" s="152" t="str">
        <f t="shared" ref="J1745:L1745" si="163">$F1745 &amp; ". " &amp;G1745</f>
        <v>273. </v>
      </c>
      <c r="K1745" s="152" t="str">
        <f t="shared" si="163"/>
        <v>273. </v>
      </c>
      <c r="L1745" s="152" t="str">
        <f t="shared" si="163"/>
        <v>273. </v>
      </c>
    </row>
    <row r="1746" hidden="1">
      <c r="A1746" s="24"/>
      <c r="B1746" s="24"/>
      <c r="C1746" s="28"/>
      <c r="D1746" s="28"/>
      <c r="E1746" s="28"/>
    </row>
    <row r="1747" hidden="1">
      <c r="A1747" s="24"/>
      <c r="B1747" s="24"/>
      <c r="C1747" s="28"/>
      <c r="D1747" s="28"/>
      <c r="E1747" s="28"/>
    </row>
    <row r="1748" hidden="1">
      <c r="A1748" s="24"/>
      <c r="B1748" s="24"/>
      <c r="C1748" s="28"/>
      <c r="D1748" s="28"/>
      <c r="E1748" s="28"/>
      <c r="F1748" s="161">
        <v>274.0</v>
      </c>
      <c r="G1748" s="152" t="str">
        <f>IFERROR(__xludf.DUMMYFUNCTION("TRIM(REGEXREPLACE(C1748, ""[0-9]+[a-f]?\."", """"))"),"")</f>
        <v/>
      </c>
      <c r="H1748" s="152" t="str">
        <f>IFERROR(__xludf.DUMMYFUNCTION("TRIM(REGEXREPLACE(D1748, ""[0-9]+[a-f]?\."", """"))"),"")</f>
        <v/>
      </c>
      <c r="I1748" s="152" t="str">
        <f>IFERROR(__xludf.DUMMYFUNCTION("TRIM(REGEXREPLACE(E1748, ""[0-9]+[a-f]?\."", """"))"),"")</f>
        <v/>
      </c>
      <c r="J1748" s="152" t="str">
        <f t="shared" ref="J1748:L1748" si="164">$F1748 &amp; ". " &amp;G1748</f>
        <v>274. </v>
      </c>
      <c r="K1748" s="152" t="str">
        <f t="shared" si="164"/>
        <v>274. </v>
      </c>
      <c r="L1748" s="152" t="str">
        <f t="shared" si="164"/>
        <v>274. </v>
      </c>
    </row>
    <row r="1749" hidden="1">
      <c r="A1749" s="24"/>
      <c r="B1749" s="24"/>
      <c r="C1749" s="28"/>
      <c r="D1749" s="28"/>
      <c r="E1749" s="28"/>
      <c r="F1749" s="161">
        <v>275.0</v>
      </c>
      <c r="G1749" s="152" t="str">
        <f>IFERROR(__xludf.DUMMYFUNCTION("TRIM(REGEXREPLACE(C1749, ""[0-9]+[a-f]?\."", """"))"),"")</f>
        <v/>
      </c>
      <c r="H1749" s="152" t="str">
        <f>IFERROR(__xludf.DUMMYFUNCTION("TRIM(REGEXREPLACE(D1749, ""[0-9]+[a-f]?\."", """"))"),"")</f>
        <v/>
      </c>
      <c r="I1749" s="152" t="str">
        <f>IFERROR(__xludf.DUMMYFUNCTION("TRIM(REGEXREPLACE(E1749, ""[0-9]+[a-f]?\."", """"))"),"")</f>
        <v/>
      </c>
      <c r="J1749" s="152" t="str">
        <f t="shared" ref="J1749:L1749" si="165">$F1749 &amp; ". " &amp;G1749</f>
        <v>275. </v>
      </c>
      <c r="K1749" s="152" t="str">
        <f t="shared" si="165"/>
        <v>275. </v>
      </c>
      <c r="L1749" s="152" t="str">
        <f t="shared" si="165"/>
        <v>275. </v>
      </c>
    </row>
    <row r="1750" hidden="1">
      <c r="A1750" s="24"/>
      <c r="B1750" s="24"/>
      <c r="C1750" s="28"/>
      <c r="D1750" s="28"/>
      <c r="E1750" s="28"/>
    </row>
    <row r="1751" hidden="1">
      <c r="A1751" s="24"/>
      <c r="B1751" s="24"/>
      <c r="C1751" s="28"/>
      <c r="D1751" s="28"/>
      <c r="E1751" s="28"/>
    </row>
    <row r="1752" hidden="1">
      <c r="A1752" s="24"/>
      <c r="B1752" s="24"/>
      <c r="C1752" s="28"/>
      <c r="D1752" s="28"/>
      <c r="E1752" s="28"/>
    </row>
    <row r="1753" hidden="1">
      <c r="A1753" s="24"/>
      <c r="B1753" s="24"/>
      <c r="C1753" s="28"/>
      <c r="D1753" s="28"/>
      <c r="E1753" s="28"/>
    </row>
    <row r="1754" hidden="1">
      <c r="A1754" s="24"/>
      <c r="B1754" s="24"/>
      <c r="C1754" s="28"/>
      <c r="D1754" s="28"/>
      <c r="E1754" s="28"/>
      <c r="F1754" s="161">
        <v>276.0</v>
      </c>
      <c r="G1754" s="152" t="str">
        <f>IFERROR(__xludf.DUMMYFUNCTION("TRIM(REGEXREPLACE(C1754, ""[0-9]+[a-f]?\."", """"))"),"")</f>
        <v/>
      </c>
      <c r="H1754" s="152" t="str">
        <f>IFERROR(__xludf.DUMMYFUNCTION("TRIM(REGEXREPLACE(D1754, ""[0-9]+[a-f]?\."", """"))"),"")</f>
        <v/>
      </c>
      <c r="I1754" s="152" t="str">
        <f>IFERROR(__xludf.DUMMYFUNCTION("TRIM(REGEXREPLACE(E1754, ""[0-9]+[a-f]?\."", """"))"),"")</f>
        <v/>
      </c>
      <c r="J1754" s="152" t="str">
        <f t="shared" ref="J1754:L1754" si="166">$F1754 &amp; ". " &amp;G1754</f>
        <v>276. </v>
      </c>
      <c r="K1754" s="152" t="str">
        <f t="shared" si="166"/>
        <v>276. </v>
      </c>
      <c r="L1754" s="152" t="str">
        <f t="shared" si="166"/>
        <v>276. </v>
      </c>
    </row>
    <row r="1755" hidden="1">
      <c r="A1755" s="24"/>
      <c r="B1755" s="24"/>
      <c r="C1755" s="28"/>
      <c r="D1755" s="28"/>
      <c r="E1755" s="28"/>
      <c r="F1755" s="161">
        <v>277.0</v>
      </c>
      <c r="G1755" s="152" t="str">
        <f>IFERROR(__xludf.DUMMYFUNCTION("TRIM(REGEXREPLACE(C1755, ""[0-9]+[a-f]?\."", """"))"),"")</f>
        <v/>
      </c>
      <c r="H1755" s="152" t="str">
        <f>IFERROR(__xludf.DUMMYFUNCTION("TRIM(REGEXREPLACE(D1755, ""[0-9]+[a-f]?\."", """"))"),"")</f>
        <v/>
      </c>
      <c r="I1755" s="152" t="str">
        <f>IFERROR(__xludf.DUMMYFUNCTION("TRIM(REGEXREPLACE(E1755, ""[0-9]+[a-f]?\."", """"))"),"")</f>
        <v/>
      </c>
      <c r="J1755" s="152" t="str">
        <f t="shared" ref="J1755:L1755" si="167">$F1755 &amp; ". " &amp;G1755</f>
        <v>277. </v>
      </c>
      <c r="K1755" s="152" t="str">
        <f t="shared" si="167"/>
        <v>277. </v>
      </c>
      <c r="L1755" s="152" t="str">
        <f t="shared" si="167"/>
        <v>277. </v>
      </c>
    </row>
    <row r="1756" hidden="1">
      <c r="A1756" s="24"/>
      <c r="B1756" s="24"/>
      <c r="C1756" s="28"/>
      <c r="D1756" s="28"/>
      <c r="E1756" s="28"/>
    </row>
    <row r="1757" hidden="1">
      <c r="A1757" s="24"/>
      <c r="B1757" s="24"/>
      <c r="C1757" s="28"/>
      <c r="D1757" s="28"/>
      <c r="E1757" s="28"/>
    </row>
    <row r="1758" hidden="1">
      <c r="A1758" s="24"/>
      <c r="B1758" s="24"/>
      <c r="C1758" s="28"/>
      <c r="D1758" s="28"/>
      <c r="E1758" s="28"/>
    </row>
    <row r="1759" hidden="1">
      <c r="A1759" s="24"/>
      <c r="B1759" s="24"/>
      <c r="C1759" s="28"/>
      <c r="D1759" s="28"/>
      <c r="E1759" s="28"/>
      <c r="F1759" s="161">
        <v>278.0</v>
      </c>
      <c r="G1759" s="152" t="str">
        <f>IFERROR(__xludf.DUMMYFUNCTION("TRIM(REGEXREPLACE(C1759, ""[0-9]+[a-f]?\."", """"))"),"")</f>
        <v/>
      </c>
      <c r="H1759" s="152" t="str">
        <f>IFERROR(__xludf.DUMMYFUNCTION("TRIM(REGEXREPLACE(D1759, ""[0-9]+[a-f]?\."", """"))"),"")</f>
        <v/>
      </c>
      <c r="I1759" s="152" t="str">
        <f>IFERROR(__xludf.DUMMYFUNCTION("TRIM(REGEXREPLACE(E1759, ""[0-9]+[a-f]?\."", """"))"),"")</f>
        <v/>
      </c>
      <c r="J1759" s="152" t="str">
        <f t="shared" ref="J1759:L1759" si="168">$F1759 &amp; ". " &amp;G1759</f>
        <v>278. </v>
      </c>
      <c r="K1759" s="152" t="str">
        <f t="shared" si="168"/>
        <v>278. </v>
      </c>
      <c r="L1759" s="152" t="str">
        <f t="shared" si="168"/>
        <v>278. </v>
      </c>
    </row>
    <row r="1760" hidden="1">
      <c r="A1760" s="24"/>
      <c r="B1760" s="24"/>
      <c r="C1760" s="28"/>
      <c r="D1760" s="28"/>
      <c r="E1760" s="28"/>
      <c r="F1760" s="161">
        <v>279.0</v>
      </c>
      <c r="G1760" s="152" t="str">
        <f>IFERROR(__xludf.DUMMYFUNCTION("TRIM(REGEXREPLACE(C1760, ""[0-9]+[a-f]?\."", """"))"),"")</f>
        <v/>
      </c>
      <c r="H1760" s="152" t="str">
        <f>IFERROR(__xludf.DUMMYFUNCTION("TRIM(REGEXREPLACE(D1760, ""[0-9]+[a-f]?\."", """"))"),"")</f>
        <v/>
      </c>
      <c r="I1760" s="152" t="str">
        <f>IFERROR(__xludf.DUMMYFUNCTION("TRIM(REGEXREPLACE(E1760, ""[0-9]+[a-f]?\."", """"))"),"")</f>
        <v/>
      </c>
      <c r="J1760" s="152" t="str">
        <f t="shared" ref="J1760:L1760" si="169">$F1760 &amp; ". " &amp;G1760</f>
        <v>279. </v>
      </c>
      <c r="K1760" s="152" t="str">
        <f t="shared" si="169"/>
        <v>279. </v>
      </c>
      <c r="L1760" s="152" t="str">
        <f t="shared" si="169"/>
        <v>279. </v>
      </c>
    </row>
    <row r="1761" hidden="1">
      <c r="A1761" s="24"/>
      <c r="B1761" s="24"/>
      <c r="C1761" s="28"/>
      <c r="D1761" s="28"/>
      <c r="E1761" s="28"/>
      <c r="F1761" s="161">
        <v>280.0</v>
      </c>
      <c r="G1761" s="152" t="str">
        <f>IFERROR(__xludf.DUMMYFUNCTION("TRIM(REGEXREPLACE(C1761, ""[0-9]+[a-f]?\."", """"))"),"")</f>
        <v/>
      </c>
      <c r="H1761" s="152" t="str">
        <f>IFERROR(__xludf.DUMMYFUNCTION("TRIM(REGEXREPLACE(D1761, ""[0-9]+[a-f]?\."", """"))"),"")</f>
        <v/>
      </c>
      <c r="I1761" s="152" t="str">
        <f>IFERROR(__xludf.DUMMYFUNCTION("TRIM(REGEXREPLACE(E1761, ""[0-9]+[a-f]?\."", """"))"),"")</f>
        <v/>
      </c>
      <c r="J1761" s="152" t="str">
        <f t="shared" ref="J1761:L1761" si="170">$F1761 &amp; ". " &amp;G1761</f>
        <v>280. </v>
      </c>
      <c r="K1761" s="152" t="str">
        <f t="shared" si="170"/>
        <v>280. </v>
      </c>
      <c r="L1761" s="152" t="str">
        <f t="shared" si="170"/>
        <v>280. </v>
      </c>
    </row>
    <row r="1762" hidden="1">
      <c r="A1762" s="24"/>
      <c r="B1762" s="24"/>
      <c r="C1762" s="28"/>
      <c r="D1762" s="28"/>
      <c r="E1762" s="28"/>
      <c r="F1762" s="161">
        <v>281.0</v>
      </c>
      <c r="G1762" s="152" t="str">
        <f>IFERROR(__xludf.DUMMYFUNCTION("TRIM(REGEXREPLACE(C1762, ""[0-9]+[a-f]?\."", """"))"),"")</f>
        <v/>
      </c>
      <c r="H1762" s="152" t="str">
        <f>IFERROR(__xludf.DUMMYFUNCTION("TRIM(REGEXREPLACE(D1762, ""[0-9]+[a-f]?\."", """"))"),"")</f>
        <v/>
      </c>
      <c r="I1762" s="152" t="str">
        <f>IFERROR(__xludf.DUMMYFUNCTION("TRIM(REGEXREPLACE(E1762, ""[0-9]+[a-f]?\."", """"))"),"")</f>
        <v/>
      </c>
      <c r="J1762" s="152" t="str">
        <f t="shared" ref="J1762:L1762" si="171">$F1762 &amp; ". " &amp;G1762</f>
        <v>281. </v>
      </c>
      <c r="K1762" s="152" t="str">
        <f t="shared" si="171"/>
        <v>281. </v>
      </c>
      <c r="L1762" s="152" t="str">
        <f t="shared" si="171"/>
        <v>281. </v>
      </c>
    </row>
    <row r="1763" hidden="1">
      <c r="A1763" s="24"/>
      <c r="B1763" s="24"/>
      <c r="C1763" s="28"/>
      <c r="D1763" s="28"/>
      <c r="E1763" s="28"/>
      <c r="F1763" s="161">
        <v>282.0</v>
      </c>
      <c r="G1763" s="152" t="str">
        <f>IFERROR(__xludf.DUMMYFUNCTION("TRIM(REGEXREPLACE(C1763, ""[0-9]+[a-f]?\."", """"))"),"")</f>
        <v/>
      </c>
      <c r="H1763" s="152" t="str">
        <f>IFERROR(__xludf.DUMMYFUNCTION("TRIM(REGEXREPLACE(D1763, ""[0-9]+[a-f]?\."", """"))"),"")</f>
        <v/>
      </c>
      <c r="I1763" s="152" t="str">
        <f>IFERROR(__xludf.DUMMYFUNCTION("TRIM(REGEXREPLACE(E1763, ""[0-9]+[a-f]?\."", """"))"),"")</f>
        <v/>
      </c>
      <c r="J1763" s="152" t="str">
        <f t="shared" ref="J1763:L1763" si="172">$F1763 &amp; ". " &amp;G1763</f>
        <v>282. </v>
      </c>
      <c r="K1763" s="152" t="str">
        <f t="shared" si="172"/>
        <v>282. </v>
      </c>
      <c r="L1763" s="152" t="str">
        <f t="shared" si="172"/>
        <v>282. </v>
      </c>
    </row>
    <row r="1764" hidden="1">
      <c r="A1764" s="24"/>
      <c r="B1764" s="24"/>
      <c r="C1764" s="28"/>
      <c r="D1764" s="28"/>
      <c r="E1764" s="28"/>
      <c r="F1764" s="161">
        <v>283.0</v>
      </c>
      <c r="G1764" s="152" t="str">
        <f>IFERROR(__xludf.DUMMYFUNCTION("TRIM(REGEXREPLACE(C1764, ""[0-9]+[a-f]?\."", """"))"),"")</f>
        <v/>
      </c>
      <c r="H1764" s="152" t="str">
        <f>IFERROR(__xludf.DUMMYFUNCTION("TRIM(REGEXREPLACE(D1764, ""[0-9]+[a-f]?\."", """"))"),"")</f>
        <v/>
      </c>
      <c r="I1764" s="152" t="str">
        <f>IFERROR(__xludf.DUMMYFUNCTION("TRIM(REGEXREPLACE(E1764, ""[0-9]+[a-f]?\."", """"))"),"")</f>
        <v/>
      </c>
      <c r="J1764" s="152" t="str">
        <f t="shared" ref="J1764:L1764" si="173">$F1764 &amp; ". " &amp;G1764</f>
        <v>283. </v>
      </c>
      <c r="K1764" s="152" t="str">
        <f t="shared" si="173"/>
        <v>283. </v>
      </c>
      <c r="L1764" s="152" t="str">
        <f t="shared" si="173"/>
        <v>283. </v>
      </c>
    </row>
    <row r="1765" hidden="1">
      <c r="A1765" s="24"/>
      <c r="B1765" s="24"/>
      <c r="C1765" s="28"/>
      <c r="D1765" s="28"/>
      <c r="E1765" s="28"/>
      <c r="F1765" s="161">
        <v>284.0</v>
      </c>
      <c r="G1765" s="152" t="str">
        <f>IFERROR(__xludf.DUMMYFUNCTION("TRIM(REGEXREPLACE(C1765, ""[0-9]+[a-f]?\."", """"))"),"")</f>
        <v/>
      </c>
      <c r="H1765" s="152" t="str">
        <f>IFERROR(__xludf.DUMMYFUNCTION("TRIM(REGEXREPLACE(D1765, ""[0-9]+[a-f]?\."", """"))"),"")</f>
        <v/>
      </c>
      <c r="I1765" s="152" t="str">
        <f>IFERROR(__xludf.DUMMYFUNCTION("TRIM(REGEXREPLACE(E1765, ""[0-9]+[a-f]?\."", """"))"),"")</f>
        <v/>
      </c>
      <c r="J1765" s="152" t="str">
        <f t="shared" ref="J1765:L1765" si="174">$F1765 &amp; ". " &amp;G1765</f>
        <v>284. </v>
      </c>
      <c r="K1765" s="152" t="str">
        <f t="shared" si="174"/>
        <v>284. </v>
      </c>
      <c r="L1765" s="152" t="str">
        <f t="shared" si="174"/>
        <v>284. </v>
      </c>
    </row>
    <row r="1766" hidden="1">
      <c r="A1766" s="24"/>
      <c r="B1766" s="24"/>
      <c r="C1766" s="28"/>
      <c r="D1766" s="28"/>
      <c r="E1766" s="28"/>
      <c r="F1766" s="161">
        <v>285.0</v>
      </c>
      <c r="G1766" s="152" t="str">
        <f>IFERROR(__xludf.DUMMYFUNCTION("TRIM(REGEXREPLACE(C1766, ""[0-9]+[a-f]?\."", """"))"),"")</f>
        <v/>
      </c>
      <c r="H1766" s="152" t="str">
        <f>IFERROR(__xludf.DUMMYFUNCTION("TRIM(REGEXREPLACE(D1766, ""[0-9]+[a-f]?\."", """"))"),"")</f>
        <v/>
      </c>
      <c r="I1766" s="152" t="str">
        <f>IFERROR(__xludf.DUMMYFUNCTION("TRIM(REGEXREPLACE(E1766, ""[0-9]+[a-f]?\."", """"))"),"")</f>
        <v/>
      </c>
      <c r="J1766" s="152" t="str">
        <f t="shared" ref="J1766:L1766" si="175">$F1766 &amp; ". " &amp;G1766</f>
        <v>285. </v>
      </c>
      <c r="K1766" s="152" t="str">
        <f t="shared" si="175"/>
        <v>285. </v>
      </c>
      <c r="L1766" s="152" t="str">
        <f t="shared" si="175"/>
        <v>285. </v>
      </c>
    </row>
    <row r="1767" hidden="1">
      <c r="A1767" s="24"/>
      <c r="B1767" s="24"/>
      <c r="C1767" s="28"/>
      <c r="D1767" s="28"/>
      <c r="E1767" s="28"/>
    </row>
    <row r="1768" hidden="1">
      <c r="A1768" s="24"/>
      <c r="B1768" s="24"/>
      <c r="C1768" s="28"/>
      <c r="D1768" s="28"/>
      <c r="E1768" s="28"/>
    </row>
    <row r="1769" hidden="1">
      <c r="A1769" s="24"/>
      <c r="B1769" s="24"/>
      <c r="C1769" s="28"/>
      <c r="D1769" s="28"/>
      <c r="E1769" s="28"/>
      <c r="F1769" s="161">
        <v>286.0</v>
      </c>
      <c r="G1769" s="152" t="str">
        <f>IFERROR(__xludf.DUMMYFUNCTION("TRIM(REGEXREPLACE(C1769, ""[0-9]+[a-f]?\."", """"))"),"")</f>
        <v/>
      </c>
      <c r="H1769" s="152" t="str">
        <f>IFERROR(__xludf.DUMMYFUNCTION("TRIM(REGEXREPLACE(D1769, ""[0-9]+[a-f]?\."", """"))"),"")</f>
        <v/>
      </c>
      <c r="I1769" s="152" t="str">
        <f>IFERROR(__xludf.DUMMYFUNCTION("TRIM(REGEXREPLACE(E1769, ""[0-9]+[a-f]?\."", """"))"),"")</f>
        <v/>
      </c>
      <c r="J1769" s="152" t="str">
        <f t="shared" ref="J1769:L1769" si="176">$F1769 &amp; ". " &amp;G1769</f>
        <v>286. </v>
      </c>
      <c r="K1769" s="152" t="str">
        <f t="shared" si="176"/>
        <v>286. </v>
      </c>
      <c r="L1769" s="152" t="str">
        <f t="shared" si="176"/>
        <v>286. </v>
      </c>
    </row>
    <row r="1770" hidden="1">
      <c r="A1770" s="24"/>
      <c r="B1770" s="24"/>
      <c r="C1770" s="28"/>
      <c r="D1770" s="28"/>
      <c r="E1770" s="28"/>
      <c r="F1770" s="161">
        <v>287.0</v>
      </c>
      <c r="G1770" s="152" t="str">
        <f>IFERROR(__xludf.DUMMYFUNCTION("TRIM(REGEXREPLACE(C1770, ""[0-9]+[a-f]?\."", """"))"),"")</f>
        <v/>
      </c>
      <c r="H1770" s="152" t="str">
        <f>IFERROR(__xludf.DUMMYFUNCTION("TRIM(REGEXREPLACE(D1770, ""[0-9]+[a-f]?\."", """"))"),"")</f>
        <v/>
      </c>
      <c r="I1770" s="152" t="str">
        <f>IFERROR(__xludf.DUMMYFUNCTION("TRIM(REGEXREPLACE(E1770, ""[0-9]+[a-f]?\."", """"))"),"")</f>
        <v/>
      </c>
      <c r="J1770" s="152" t="str">
        <f t="shared" ref="J1770:L1770" si="177">$F1770 &amp; ". " &amp;G1770</f>
        <v>287. </v>
      </c>
      <c r="K1770" s="152" t="str">
        <f t="shared" si="177"/>
        <v>287. </v>
      </c>
      <c r="L1770" s="152" t="str">
        <f t="shared" si="177"/>
        <v>287. </v>
      </c>
    </row>
    <row r="1771" hidden="1">
      <c r="A1771" s="24"/>
      <c r="B1771" s="24"/>
      <c r="C1771" s="28"/>
      <c r="D1771" s="28"/>
      <c r="E1771" s="28"/>
      <c r="F1771" s="161">
        <v>288.0</v>
      </c>
      <c r="G1771" s="152" t="str">
        <f>IFERROR(__xludf.DUMMYFUNCTION("TRIM(REGEXREPLACE(C1771, ""[0-9]+[a-f]?\."", """"))"),"")</f>
        <v/>
      </c>
      <c r="H1771" s="152" t="str">
        <f>IFERROR(__xludf.DUMMYFUNCTION("TRIM(REGEXREPLACE(D1771, ""[0-9]+[a-f]?\."", """"))"),"")</f>
        <v/>
      </c>
      <c r="I1771" s="152" t="str">
        <f>IFERROR(__xludf.DUMMYFUNCTION("TRIM(REGEXREPLACE(E1771, ""[0-9]+[a-f]?\."", """"))"),"")</f>
        <v/>
      </c>
      <c r="J1771" s="152" t="str">
        <f t="shared" ref="J1771:L1771" si="178">$F1771 &amp; ". " &amp;G1771</f>
        <v>288. </v>
      </c>
      <c r="K1771" s="152" t="str">
        <f t="shared" si="178"/>
        <v>288. </v>
      </c>
      <c r="L1771" s="152" t="str">
        <f t="shared" si="178"/>
        <v>288. </v>
      </c>
    </row>
    <row r="1772" hidden="1">
      <c r="A1772" s="24"/>
      <c r="B1772" s="24"/>
      <c r="C1772" s="28"/>
      <c r="D1772" s="28"/>
      <c r="E1772" s="28"/>
    </row>
    <row r="1773" hidden="1">
      <c r="A1773" s="24"/>
      <c r="B1773" s="24"/>
      <c r="C1773" s="28"/>
      <c r="D1773" s="28"/>
      <c r="E1773" s="28"/>
    </row>
    <row r="1774" hidden="1">
      <c r="A1774" s="24"/>
      <c r="B1774" s="24"/>
      <c r="C1774" s="28"/>
      <c r="D1774" s="28"/>
      <c r="E1774" s="28"/>
      <c r="F1774" s="161">
        <v>289.0</v>
      </c>
      <c r="G1774" s="152" t="str">
        <f>IFERROR(__xludf.DUMMYFUNCTION("TRIM(REGEXREPLACE(C1774, ""[0-9]+[a-f]?\."", """"))"),"")</f>
        <v/>
      </c>
      <c r="H1774" s="152" t="str">
        <f>IFERROR(__xludf.DUMMYFUNCTION("TRIM(REGEXREPLACE(D1774, ""[0-9]+[a-f]?\."", """"))"),"")</f>
        <v/>
      </c>
      <c r="I1774" s="152" t="str">
        <f>IFERROR(__xludf.DUMMYFUNCTION("TRIM(REGEXREPLACE(E1774, ""[0-9]+[a-f]?\."", """"))"),"")</f>
        <v/>
      </c>
      <c r="J1774" s="152" t="str">
        <f t="shared" ref="J1774:L1774" si="179">$F1774 &amp; ". " &amp;G1774</f>
        <v>289. </v>
      </c>
      <c r="K1774" s="152" t="str">
        <f t="shared" si="179"/>
        <v>289. </v>
      </c>
      <c r="L1774" s="152" t="str">
        <f t="shared" si="179"/>
        <v>289. </v>
      </c>
    </row>
    <row r="1775" hidden="1">
      <c r="A1775" s="24"/>
      <c r="B1775" s="24"/>
      <c r="C1775" s="28"/>
      <c r="D1775" s="28"/>
      <c r="E1775" s="28"/>
    </row>
    <row r="1776" hidden="1">
      <c r="A1776" s="24"/>
      <c r="B1776" s="24"/>
      <c r="C1776" s="28"/>
      <c r="D1776" s="28"/>
      <c r="E1776" s="28"/>
      <c r="F1776" s="161">
        <v>290.0</v>
      </c>
      <c r="G1776" s="152" t="str">
        <f>IFERROR(__xludf.DUMMYFUNCTION("TRIM(REGEXREPLACE(C1776, ""[0-9]+[a-f]?\."", """"))"),"")</f>
        <v/>
      </c>
      <c r="H1776" s="152" t="str">
        <f>IFERROR(__xludf.DUMMYFUNCTION("TRIM(REGEXREPLACE(D1776, ""[0-9]+[a-f]?\."", """"))"),"")</f>
        <v/>
      </c>
      <c r="I1776" s="152" t="str">
        <f>IFERROR(__xludf.DUMMYFUNCTION("TRIM(REGEXREPLACE(E1776, ""[0-9]+[a-f]?\."", """"))"),"")</f>
        <v/>
      </c>
      <c r="J1776" s="152" t="str">
        <f t="shared" ref="J1776:L1776" si="180">$F1776 &amp; ". " &amp;G1776</f>
        <v>290. </v>
      </c>
      <c r="K1776" s="152" t="str">
        <f t="shared" si="180"/>
        <v>290. </v>
      </c>
      <c r="L1776" s="152" t="str">
        <f t="shared" si="180"/>
        <v>290. </v>
      </c>
    </row>
    <row r="1777" hidden="1">
      <c r="A1777" s="24"/>
      <c r="B1777" s="24"/>
      <c r="C1777" s="28"/>
      <c r="D1777" s="28"/>
      <c r="E1777" s="28"/>
    </row>
    <row r="1778" hidden="1">
      <c r="A1778" s="24"/>
      <c r="B1778" s="24"/>
      <c r="C1778" s="28"/>
      <c r="D1778" s="28"/>
      <c r="E1778" s="28"/>
    </row>
    <row r="1779" hidden="1">
      <c r="A1779" s="24"/>
      <c r="B1779" s="24"/>
      <c r="C1779" s="28"/>
      <c r="D1779" s="28"/>
      <c r="E1779" s="28"/>
    </row>
    <row r="1780" hidden="1">
      <c r="A1780" s="24"/>
      <c r="B1780" s="24"/>
      <c r="C1780" s="28"/>
      <c r="D1780" s="28"/>
      <c r="E1780" s="28"/>
    </row>
    <row r="1781" hidden="1">
      <c r="A1781" s="24"/>
      <c r="B1781" s="24"/>
      <c r="C1781" s="28"/>
      <c r="D1781" s="28"/>
      <c r="E1781" s="28"/>
    </row>
    <row r="1782" hidden="1">
      <c r="A1782" s="24"/>
      <c r="B1782" s="24"/>
      <c r="C1782" s="28"/>
      <c r="D1782" s="28"/>
      <c r="E1782" s="28"/>
      <c r="F1782" s="161">
        <v>291.0</v>
      </c>
      <c r="G1782" s="152" t="str">
        <f>IFERROR(__xludf.DUMMYFUNCTION("TRIM(REGEXREPLACE(C1782, ""[0-9]+[a-f]?\."", """"))"),"")</f>
        <v/>
      </c>
      <c r="H1782" s="152" t="str">
        <f>IFERROR(__xludf.DUMMYFUNCTION("TRIM(REGEXREPLACE(D1782, ""[0-9]+[a-f]?\."", """"))"),"")</f>
        <v/>
      </c>
      <c r="I1782" s="152" t="str">
        <f>IFERROR(__xludf.DUMMYFUNCTION("TRIM(REGEXREPLACE(E1782, ""[0-9]+[a-f]?\."", """"))"),"")</f>
        <v/>
      </c>
      <c r="J1782" s="152" t="str">
        <f t="shared" ref="J1782:L1782" si="181">$F1782 &amp; ". " &amp;G1782</f>
        <v>291. </v>
      </c>
      <c r="K1782" s="152" t="str">
        <f t="shared" si="181"/>
        <v>291. </v>
      </c>
      <c r="L1782" s="152" t="str">
        <f t="shared" si="181"/>
        <v>291. </v>
      </c>
    </row>
    <row r="1783" hidden="1">
      <c r="A1783" s="24"/>
      <c r="B1783" s="24"/>
      <c r="C1783" s="28"/>
      <c r="D1783" s="28"/>
      <c r="E1783" s="28"/>
      <c r="F1783" s="161">
        <v>292.0</v>
      </c>
      <c r="G1783" s="152" t="str">
        <f>IFERROR(__xludf.DUMMYFUNCTION("TRIM(REGEXREPLACE(C1783, ""[0-9]+[a-f]?\."", """"))"),"")</f>
        <v/>
      </c>
      <c r="H1783" s="152" t="str">
        <f>IFERROR(__xludf.DUMMYFUNCTION("TRIM(REGEXREPLACE(D1783, ""[0-9]+[a-f]?\."", """"))"),"")</f>
        <v/>
      </c>
      <c r="I1783" s="152" t="str">
        <f>IFERROR(__xludf.DUMMYFUNCTION("TRIM(REGEXREPLACE(E1783, ""[0-9]+[a-f]?\."", """"))"),"")</f>
        <v/>
      </c>
      <c r="J1783" s="152" t="str">
        <f t="shared" ref="J1783:L1783" si="182">$F1783 &amp; ". " &amp;G1783</f>
        <v>292. </v>
      </c>
      <c r="K1783" s="152" t="str">
        <f t="shared" si="182"/>
        <v>292. </v>
      </c>
      <c r="L1783" s="152" t="str">
        <f t="shared" si="182"/>
        <v>292. </v>
      </c>
    </row>
    <row r="1784" hidden="1">
      <c r="A1784" s="24"/>
      <c r="B1784" s="24"/>
      <c r="C1784" s="28"/>
      <c r="D1784" s="28"/>
      <c r="E1784" s="28"/>
      <c r="F1784" s="161">
        <v>293.0</v>
      </c>
      <c r="G1784" s="152" t="str">
        <f>IFERROR(__xludf.DUMMYFUNCTION("TRIM(REGEXREPLACE(C1784, ""[0-9]+[a-f]?\."", """"))"),"")</f>
        <v/>
      </c>
      <c r="H1784" s="152" t="str">
        <f>IFERROR(__xludf.DUMMYFUNCTION("TRIM(REGEXREPLACE(D1784, ""[0-9]+[a-f]?\."", """"))"),"")</f>
        <v/>
      </c>
      <c r="I1784" s="152" t="str">
        <f>IFERROR(__xludf.DUMMYFUNCTION("TRIM(REGEXREPLACE(E1784, ""[0-9]+[a-f]?\."", """"))"),"")</f>
        <v/>
      </c>
      <c r="J1784" s="152" t="str">
        <f t="shared" ref="J1784:L1784" si="183">$F1784 &amp; ". " &amp;G1784</f>
        <v>293. </v>
      </c>
      <c r="K1784" s="152" t="str">
        <f t="shared" si="183"/>
        <v>293. </v>
      </c>
      <c r="L1784" s="152" t="str">
        <f t="shared" si="183"/>
        <v>293. </v>
      </c>
    </row>
    <row r="1785" hidden="1">
      <c r="A1785" s="24"/>
      <c r="B1785" s="24"/>
      <c r="C1785" s="28"/>
      <c r="D1785" s="28"/>
      <c r="E1785" s="28"/>
      <c r="F1785" s="161">
        <v>294.0</v>
      </c>
      <c r="G1785" s="152" t="str">
        <f>IFERROR(__xludf.DUMMYFUNCTION("TRIM(REGEXREPLACE(C1785, ""[0-9]+[a-f]?\."", """"))"),"")</f>
        <v/>
      </c>
      <c r="H1785" s="152" t="str">
        <f>IFERROR(__xludf.DUMMYFUNCTION("TRIM(REGEXREPLACE(D1785, ""[0-9]+[a-f]?\."", """"))"),"")</f>
        <v/>
      </c>
      <c r="I1785" s="152" t="str">
        <f>IFERROR(__xludf.DUMMYFUNCTION("TRIM(REGEXREPLACE(E1785, ""[0-9]+[a-f]?\."", """"))"),"")</f>
        <v/>
      </c>
      <c r="J1785" s="152" t="str">
        <f t="shared" ref="J1785:L1785" si="184">$F1785 &amp; ". " &amp;G1785</f>
        <v>294. </v>
      </c>
      <c r="K1785" s="152" t="str">
        <f t="shared" si="184"/>
        <v>294. </v>
      </c>
      <c r="L1785" s="152" t="str">
        <f t="shared" si="184"/>
        <v>294. </v>
      </c>
    </row>
    <row r="1786" hidden="1">
      <c r="A1786" s="24"/>
      <c r="B1786" s="24"/>
      <c r="C1786" s="28"/>
      <c r="D1786" s="28"/>
      <c r="E1786" s="28"/>
    </row>
    <row r="1787" hidden="1">
      <c r="A1787" s="24"/>
      <c r="B1787" s="24"/>
      <c r="C1787" s="28"/>
      <c r="D1787" s="28"/>
      <c r="E1787" s="28"/>
      <c r="F1787" s="161">
        <v>295.0</v>
      </c>
      <c r="G1787" s="152" t="str">
        <f>IFERROR(__xludf.DUMMYFUNCTION("TRIM(REGEXREPLACE(C1787, ""[0-9]+[a-f]?\."", """"))"),"")</f>
        <v/>
      </c>
      <c r="H1787" s="152" t="str">
        <f>IFERROR(__xludf.DUMMYFUNCTION("TRIM(REGEXREPLACE(D1787, ""[0-9]+[a-f]?\."", """"))"),"")</f>
        <v/>
      </c>
      <c r="I1787" s="152" t="str">
        <f>IFERROR(__xludf.DUMMYFUNCTION("TRIM(REGEXREPLACE(E1787, ""[0-9]+[a-f]?\."", """"))"),"")</f>
        <v/>
      </c>
      <c r="J1787" s="152" t="str">
        <f t="shared" ref="J1787:L1787" si="185">$F1787 &amp; ". " &amp;G1787</f>
        <v>295. </v>
      </c>
      <c r="K1787" s="152" t="str">
        <f t="shared" si="185"/>
        <v>295. </v>
      </c>
      <c r="L1787" s="152" t="str">
        <f t="shared" si="185"/>
        <v>295. </v>
      </c>
    </row>
    <row r="1788" hidden="1">
      <c r="A1788" s="24"/>
      <c r="B1788" s="24"/>
      <c r="C1788" s="28"/>
      <c r="D1788" s="28"/>
      <c r="E1788" s="28"/>
      <c r="F1788" s="161">
        <v>296.0</v>
      </c>
      <c r="G1788" s="152" t="str">
        <f>IFERROR(__xludf.DUMMYFUNCTION("TRIM(REGEXREPLACE(C1788, ""[0-9]+[a-f]?\."", """"))"),"")</f>
        <v/>
      </c>
      <c r="H1788" s="152" t="str">
        <f>IFERROR(__xludf.DUMMYFUNCTION("TRIM(REGEXREPLACE(D1788, ""[0-9]+[a-f]?\."", """"))"),"")</f>
        <v/>
      </c>
      <c r="I1788" s="152" t="str">
        <f>IFERROR(__xludf.DUMMYFUNCTION("TRIM(REGEXREPLACE(E1788, ""[0-9]+[a-f]?\."", """"))"),"")</f>
        <v/>
      </c>
      <c r="J1788" s="152" t="str">
        <f t="shared" ref="J1788:L1788" si="186">$F1788 &amp; ". " &amp;G1788</f>
        <v>296. </v>
      </c>
      <c r="K1788" s="152" t="str">
        <f t="shared" si="186"/>
        <v>296. </v>
      </c>
      <c r="L1788" s="152" t="str">
        <f t="shared" si="186"/>
        <v>296. </v>
      </c>
    </row>
    <row r="1789" hidden="1">
      <c r="A1789" s="24"/>
      <c r="B1789" s="24"/>
      <c r="C1789" s="28"/>
      <c r="D1789" s="28"/>
      <c r="E1789" s="28"/>
      <c r="F1789" s="161">
        <v>297.0</v>
      </c>
      <c r="G1789" s="152" t="str">
        <f>IFERROR(__xludf.DUMMYFUNCTION("TRIM(REGEXREPLACE(C1789, ""[0-9]+[a-f]?\."", """"))"),"")</f>
        <v/>
      </c>
      <c r="H1789" s="152" t="str">
        <f>IFERROR(__xludf.DUMMYFUNCTION("TRIM(REGEXREPLACE(D1789, ""[0-9]+[a-f]?\."", """"))"),"")</f>
        <v/>
      </c>
      <c r="I1789" s="152" t="str">
        <f>IFERROR(__xludf.DUMMYFUNCTION("TRIM(REGEXREPLACE(E1789, ""[0-9]+[a-f]?\."", """"))"),"")</f>
        <v/>
      </c>
      <c r="J1789" s="152" t="str">
        <f t="shared" ref="J1789:L1789" si="187">$F1789 &amp; ". " &amp;G1789</f>
        <v>297. </v>
      </c>
      <c r="K1789" s="152" t="str">
        <f t="shared" si="187"/>
        <v>297. </v>
      </c>
      <c r="L1789" s="152" t="str">
        <f t="shared" si="187"/>
        <v>297. </v>
      </c>
    </row>
    <row r="1790" hidden="1">
      <c r="A1790" s="24"/>
      <c r="B1790" s="24"/>
      <c r="C1790" s="28"/>
      <c r="D1790" s="28"/>
      <c r="E1790" s="28"/>
      <c r="F1790" s="161">
        <v>298.0</v>
      </c>
      <c r="G1790" s="152" t="str">
        <f>IFERROR(__xludf.DUMMYFUNCTION("TRIM(REGEXREPLACE(C1790, ""[0-9]+[a-f]?\."", """"))"),"")</f>
        <v/>
      </c>
      <c r="H1790" s="152" t="str">
        <f>IFERROR(__xludf.DUMMYFUNCTION("TRIM(REGEXREPLACE(D1790, ""[0-9]+[a-f]?\."", """"))"),"")</f>
        <v/>
      </c>
      <c r="I1790" s="152" t="str">
        <f>IFERROR(__xludf.DUMMYFUNCTION("TRIM(REGEXREPLACE(E1790, ""[0-9]+[a-f]?\."", """"))"),"")</f>
        <v/>
      </c>
      <c r="J1790" s="152" t="str">
        <f t="shared" ref="J1790:L1790" si="188">$F1790 &amp; ". " &amp;G1790</f>
        <v>298. </v>
      </c>
      <c r="K1790" s="152" t="str">
        <f t="shared" si="188"/>
        <v>298. </v>
      </c>
      <c r="L1790" s="152" t="str">
        <f t="shared" si="188"/>
        <v>298. </v>
      </c>
    </row>
    <row r="1791" hidden="1">
      <c r="A1791" s="24"/>
      <c r="B1791" s="24"/>
      <c r="C1791" s="28"/>
      <c r="D1791" s="28"/>
      <c r="E1791" s="28"/>
      <c r="F1791" s="161">
        <v>299.0</v>
      </c>
      <c r="G1791" s="152" t="str">
        <f>IFERROR(__xludf.DUMMYFUNCTION("TRIM(REGEXREPLACE(C1791, ""[0-9]+[a-f]?\."", """"))"),"")</f>
        <v/>
      </c>
      <c r="H1791" s="152" t="str">
        <f>IFERROR(__xludf.DUMMYFUNCTION("TRIM(REGEXREPLACE(D1791, ""[0-9]+[a-f]?\."", """"))"),"")</f>
        <v/>
      </c>
      <c r="I1791" s="152" t="str">
        <f>IFERROR(__xludf.DUMMYFUNCTION("TRIM(REGEXREPLACE(E1791, ""[0-9]+[a-f]?\."", """"))"),"")</f>
        <v/>
      </c>
      <c r="J1791" s="152" t="str">
        <f t="shared" ref="J1791:L1791" si="189">$F1791 &amp; ". " &amp;G1791</f>
        <v>299. </v>
      </c>
      <c r="K1791" s="152" t="str">
        <f t="shared" si="189"/>
        <v>299. </v>
      </c>
      <c r="L1791" s="152" t="str">
        <f t="shared" si="189"/>
        <v>299. </v>
      </c>
    </row>
    <row r="1792" hidden="1">
      <c r="A1792" s="24"/>
      <c r="B1792" s="24"/>
      <c r="C1792" s="28"/>
      <c r="D1792" s="28"/>
      <c r="E1792" s="28"/>
      <c r="F1792" s="161">
        <v>300.0</v>
      </c>
      <c r="G1792" s="152" t="str">
        <f>IFERROR(__xludf.DUMMYFUNCTION("TRIM(REGEXREPLACE(C1792, ""[0-9]+[a-f]?\."", """"))"),"")</f>
        <v/>
      </c>
      <c r="H1792" s="152" t="str">
        <f>IFERROR(__xludf.DUMMYFUNCTION("TRIM(REGEXREPLACE(D1792, ""[0-9]+[a-f]?\."", """"))"),"")</f>
        <v/>
      </c>
      <c r="I1792" s="152" t="str">
        <f>IFERROR(__xludf.DUMMYFUNCTION("TRIM(REGEXREPLACE(E1792, ""[0-9]+[a-f]?\."", """"))"),"")</f>
        <v/>
      </c>
      <c r="J1792" s="152" t="str">
        <f t="shared" ref="J1792:L1792" si="190">$F1792 &amp; ". " &amp;G1792</f>
        <v>300. </v>
      </c>
      <c r="K1792" s="152" t="str">
        <f t="shared" si="190"/>
        <v>300. </v>
      </c>
      <c r="L1792" s="152" t="str">
        <f t="shared" si="190"/>
        <v>300. </v>
      </c>
    </row>
    <row r="1793" hidden="1">
      <c r="A1793" s="24"/>
      <c r="B1793" s="24"/>
      <c r="C1793" s="28"/>
      <c r="D1793" s="28"/>
      <c r="E1793" s="28"/>
      <c r="F1793" s="161">
        <v>301.0</v>
      </c>
      <c r="G1793" s="152" t="str">
        <f>IFERROR(__xludf.DUMMYFUNCTION("TRIM(REGEXREPLACE(C1793, ""[0-9]+[a-f]?\."", """"))"),"")</f>
        <v/>
      </c>
      <c r="H1793" s="152" t="str">
        <f>IFERROR(__xludf.DUMMYFUNCTION("TRIM(REGEXREPLACE(D1793, ""[0-9]+[a-f]?\."", """"))"),"")</f>
        <v/>
      </c>
      <c r="I1793" s="152" t="str">
        <f>IFERROR(__xludf.DUMMYFUNCTION("TRIM(REGEXREPLACE(E1793, ""[0-9]+[a-f]?\."", """"))"),"")</f>
        <v/>
      </c>
      <c r="J1793" s="152" t="str">
        <f t="shared" ref="J1793:L1793" si="191">$F1793 &amp; ". " &amp;G1793</f>
        <v>301. </v>
      </c>
      <c r="K1793" s="152" t="str">
        <f t="shared" si="191"/>
        <v>301. </v>
      </c>
      <c r="L1793" s="152" t="str">
        <f t="shared" si="191"/>
        <v>301. </v>
      </c>
    </row>
    <row r="1794" hidden="1">
      <c r="A1794" s="24"/>
      <c r="B1794" s="24"/>
      <c r="C1794" s="28"/>
      <c r="D1794" s="28"/>
      <c r="E1794" s="28"/>
      <c r="F1794" s="161">
        <v>302.0</v>
      </c>
      <c r="G1794" s="152" t="str">
        <f>IFERROR(__xludf.DUMMYFUNCTION("TRIM(REGEXREPLACE(C1794, ""[0-9]+[a-f]?\."", """"))"),"")</f>
        <v/>
      </c>
      <c r="H1794" s="152" t="str">
        <f>IFERROR(__xludf.DUMMYFUNCTION("TRIM(REGEXREPLACE(D1794, ""[0-9]+[a-f]?\."", """"))"),"")</f>
        <v/>
      </c>
      <c r="I1794" s="152" t="str">
        <f>IFERROR(__xludf.DUMMYFUNCTION("TRIM(REGEXREPLACE(E1794, ""[0-9]+[a-f]?\."", """"))"),"")</f>
        <v/>
      </c>
      <c r="J1794" s="152" t="str">
        <f t="shared" ref="J1794:L1794" si="192">$F1794 &amp; ". " &amp;G1794</f>
        <v>302. </v>
      </c>
      <c r="K1794" s="152" t="str">
        <f t="shared" si="192"/>
        <v>302. </v>
      </c>
      <c r="L1794" s="152" t="str">
        <f t="shared" si="192"/>
        <v>302. </v>
      </c>
    </row>
    <row r="1795" hidden="1">
      <c r="A1795" s="24"/>
      <c r="B1795" s="24"/>
      <c r="C1795" s="28"/>
      <c r="D1795" s="28"/>
      <c r="E1795" s="28"/>
      <c r="F1795" s="161">
        <v>303.0</v>
      </c>
      <c r="G1795" s="152" t="str">
        <f>IFERROR(__xludf.DUMMYFUNCTION("TRIM(REGEXREPLACE(C1795, ""[0-9]+[a-f]?\."", """"))"),"")</f>
        <v/>
      </c>
      <c r="H1795" s="152" t="str">
        <f>IFERROR(__xludf.DUMMYFUNCTION("TRIM(REGEXREPLACE(D1795, ""[0-9]+[a-f]?\."", """"))"),"")</f>
        <v/>
      </c>
      <c r="I1795" s="152" t="str">
        <f>IFERROR(__xludf.DUMMYFUNCTION("TRIM(REGEXREPLACE(E1795, ""[0-9]+[a-f]?\."", """"))"),"")</f>
        <v/>
      </c>
      <c r="J1795" s="152" t="str">
        <f t="shared" ref="J1795:L1795" si="193">$F1795 &amp; ". " &amp;G1795</f>
        <v>303. </v>
      </c>
      <c r="K1795" s="152" t="str">
        <f t="shared" si="193"/>
        <v>303. </v>
      </c>
      <c r="L1795" s="152" t="str">
        <f t="shared" si="193"/>
        <v>303. </v>
      </c>
    </row>
    <row r="1796" hidden="1">
      <c r="A1796" s="24"/>
      <c r="B1796" s="24"/>
      <c r="C1796" s="28"/>
      <c r="D1796" s="28"/>
      <c r="E1796" s="28"/>
    </row>
    <row r="1797" hidden="1">
      <c r="A1797" s="24"/>
      <c r="B1797" s="24"/>
      <c r="C1797" s="28"/>
      <c r="D1797" s="28"/>
      <c r="E1797" s="28"/>
    </row>
    <row r="1798" hidden="1">
      <c r="A1798" s="24"/>
      <c r="B1798" s="24"/>
      <c r="C1798" s="28"/>
      <c r="D1798" s="28"/>
      <c r="E1798" s="28"/>
    </row>
    <row r="1799" hidden="1">
      <c r="A1799" s="24"/>
      <c r="B1799" s="24"/>
      <c r="C1799" s="28"/>
      <c r="D1799" s="28"/>
      <c r="E1799" s="28"/>
    </row>
    <row r="1800" hidden="1">
      <c r="A1800" s="24"/>
      <c r="B1800" s="24"/>
      <c r="C1800" s="28"/>
      <c r="D1800" s="28"/>
      <c r="E1800" s="28"/>
      <c r="F1800" s="161">
        <v>304.0</v>
      </c>
      <c r="G1800" s="152" t="str">
        <f>IFERROR(__xludf.DUMMYFUNCTION("TRIM(REGEXREPLACE(C1800, ""[0-9]+[a-f]?\."", """"))"),"")</f>
        <v/>
      </c>
      <c r="H1800" s="152" t="str">
        <f>IFERROR(__xludf.DUMMYFUNCTION("TRIM(REGEXREPLACE(D1800, ""[0-9]+[a-f]?\."", """"))"),"")</f>
        <v/>
      </c>
      <c r="I1800" s="152" t="str">
        <f>IFERROR(__xludf.DUMMYFUNCTION("TRIM(REGEXREPLACE(E1800, ""[0-9]+[a-f]?\."", """"))"),"")</f>
        <v/>
      </c>
      <c r="J1800" s="152" t="str">
        <f t="shared" ref="J1800:L1800" si="194">$F1800 &amp; ". " &amp;G1800</f>
        <v>304. </v>
      </c>
      <c r="K1800" s="152" t="str">
        <f t="shared" si="194"/>
        <v>304. </v>
      </c>
      <c r="L1800" s="152" t="str">
        <f t="shared" si="194"/>
        <v>304. </v>
      </c>
    </row>
    <row r="1801" hidden="1">
      <c r="A1801" s="24"/>
      <c r="B1801" s="24"/>
      <c r="C1801" s="28"/>
      <c r="D1801" s="28"/>
      <c r="E1801" s="28"/>
      <c r="F1801" s="161">
        <v>305.0</v>
      </c>
      <c r="G1801" s="152" t="str">
        <f>IFERROR(__xludf.DUMMYFUNCTION("TRIM(REGEXREPLACE(C1801, ""[0-9]+[a-f]?\."", """"))"),"")</f>
        <v/>
      </c>
      <c r="H1801" s="152" t="str">
        <f>IFERROR(__xludf.DUMMYFUNCTION("TRIM(REGEXREPLACE(D1801, ""[0-9]+[a-f]?\."", """"))"),"")</f>
        <v/>
      </c>
      <c r="I1801" s="152" t="str">
        <f>IFERROR(__xludf.DUMMYFUNCTION("TRIM(REGEXREPLACE(E1801, ""[0-9]+[a-f]?\."", """"))"),"")</f>
        <v/>
      </c>
      <c r="J1801" s="152" t="str">
        <f t="shared" ref="J1801:L1801" si="195">$F1801 &amp; ". " &amp;G1801</f>
        <v>305. </v>
      </c>
      <c r="K1801" s="152" t="str">
        <f t="shared" si="195"/>
        <v>305. </v>
      </c>
      <c r="L1801" s="152" t="str">
        <f t="shared" si="195"/>
        <v>305. </v>
      </c>
    </row>
    <row r="1802" hidden="1">
      <c r="A1802" s="24"/>
      <c r="B1802" s="24"/>
      <c r="C1802" s="28"/>
      <c r="D1802" s="28"/>
      <c r="E1802" s="28"/>
      <c r="F1802" s="161">
        <v>306.0</v>
      </c>
      <c r="G1802" s="152" t="str">
        <f>IFERROR(__xludf.DUMMYFUNCTION("TRIM(REGEXREPLACE(C1802, ""[0-9]+[a-f]?\."", """"))"),"")</f>
        <v/>
      </c>
      <c r="H1802" s="152" t="str">
        <f>IFERROR(__xludf.DUMMYFUNCTION("TRIM(REGEXREPLACE(D1802, ""[0-9]+[a-f]?\."", """"))"),"")</f>
        <v/>
      </c>
      <c r="I1802" s="152" t="str">
        <f>IFERROR(__xludf.DUMMYFUNCTION("TRIM(REGEXREPLACE(E1802, ""[0-9]+[a-f]?\."", """"))"),"")</f>
        <v/>
      </c>
      <c r="J1802" s="152" t="str">
        <f t="shared" ref="J1802:L1802" si="196">$F1802 &amp; ". " &amp;G1802</f>
        <v>306. </v>
      </c>
      <c r="K1802" s="152" t="str">
        <f t="shared" si="196"/>
        <v>306. </v>
      </c>
      <c r="L1802" s="152" t="str">
        <f t="shared" si="196"/>
        <v>306. </v>
      </c>
    </row>
    <row r="1803" hidden="1">
      <c r="A1803" s="24"/>
      <c r="B1803" s="24"/>
      <c r="C1803" s="28"/>
      <c r="D1803" s="28"/>
      <c r="E1803" s="28"/>
      <c r="F1803" s="161">
        <v>307.0</v>
      </c>
      <c r="G1803" s="152" t="str">
        <f>IFERROR(__xludf.DUMMYFUNCTION("TRIM(REGEXREPLACE(C1803, ""[0-9]+[a-f]?\."", """"))"),"")</f>
        <v/>
      </c>
      <c r="H1803" s="152" t="str">
        <f>IFERROR(__xludf.DUMMYFUNCTION("TRIM(REGEXREPLACE(D1803, ""[0-9]+[a-f]?\."", """"))"),"")</f>
        <v/>
      </c>
      <c r="I1803" s="152" t="str">
        <f>IFERROR(__xludf.DUMMYFUNCTION("TRIM(REGEXREPLACE(E1803, ""[0-9]+[a-f]?\."", """"))"),"")</f>
        <v/>
      </c>
      <c r="J1803" s="152" t="str">
        <f t="shared" ref="J1803:L1803" si="197">$F1803 &amp; ". " &amp;G1803</f>
        <v>307. </v>
      </c>
      <c r="K1803" s="152" t="str">
        <f t="shared" si="197"/>
        <v>307. </v>
      </c>
      <c r="L1803" s="152" t="str">
        <f t="shared" si="197"/>
        <v>307. </v>
      </c>
    </row>
    <row r="1804" hidden="1">
      <c r="A1804" s="24"/>
      <c r="B1804" s="24"/>
      <c r="C1804" s="28"/>
      <c r="D1804" s="28"/>
      <c r="E1804" s="28"/>
      <c r="F1804" s="161">
        <v>308.0</v>
      </c>
      <c r="G1804" s="152" t="str">
        <f>IFERROR(__xludf.DUMMYFUNCTION("TRIM(REGEXREPLACE(C1804, ""[0-9]+[a-f]?\."", """"))"),"")</f>
        <v/>
      </c>
      <c r="H1804" s="152" t="str">
        <f>IFERROR(__xludf.DUMMYFUNCTION("TRIM(REGEXREPLACE(D1804, ""[0-9]+[a-f]?\."", """"))"),"")</f>
        <v/>
      </c>
      <c r="I1804" s="152" t="str">
        <f>IFERROR(__xludf.DUMMYFUNCTION("TRIM(REGEXREPLACE(E1804, ""[0-9]+[a-f]?\."", """"))"),"")</f>
        <v/>
      </c>
      <c r="J1804" s="152" t="str">
        <f t="shared" ref="J1804:L1804" si="198">$F1804 &amp; ". " &amp;G1804</f>
        <v>308. </v>
      </c>
      <c r="K1804" s="152" t="str">
        <f t="shared" si="198"/>
        <v>308. </v>
      </c>
      <c r="L1804" s="152" t="str">
        <f t="shared" si="198"/>
        <v>308. </v>
      </c>
    </row>
    <row r="1805" hidden="1">
      <c r="A1805" s="24"/>
      <c r="B1805" s="24"/>
      <c r="C1805" s="28"/>
      <c r="D1805" s="28"/>
      <c r="E1805" s="28"/>
      <c r="F1805" s="161">
        <v>309.0</v>
      </c>
      <c r="G1805" s="152" t="str">
        <f>IFERROR(__xludf.DUMMYFUNCTION("TRIM(REGEXREPLACE(C1805, ""[0-9]+[a-f]?\."", """"))"),"")</f>
        <v/>
      </c>
      <c r="H1805" s="152" t="str">
        <f>IFERROR(__xludf.DUMMYFUNCTION("TRIM(REGEXREPLACE(D1805, ""[0-9]+[a-f]?\."", """"))"),"")</f>
        <v/>
      </c>
      <c r="I1805" s="152" t="str">
        <f>IFERROR(__xludf.DUMMYFUNCTION("TRIM(REGEXREPLACE(E1805, ""[0-9]+[a-f]?\."", """"))"),"")</f>
        <v/>
      </c>
      <c r="J1805" s="152" t="str">
        <f t="shared" ref="J1805:L1805" si="199">$F1805 &amp; ". " &amp;G1805</f>
        <v>309. </v>
      </c>
      <c r="K1805" s="152" t="str">
        <f t="shared" si="199"/>
        <v>309. </v>
      </c>
      <c r="L1805" s="152" t="str">
        <f t="shared" si="199"/>
        <v>309. </v>
      </c>
    </row>
    <row r="1806" hidden="1">
      <c r="A1806" s="24"/>
      <c r="B1806" s="24"/>
      <c r="C1806" s="28"/>
      <c r="D1806" s="28"/>
      <c r="E1806" s="28"/>
      <c r="F1806" s="161">
        <v>310.0</v>
      </c>
      <c r="G1806" s="152" t="str">
        <f>IFERROR(__xludf.DUMMYFUNCTION("TRIM(REGEXREPLACE(C1806, ""[0-9]+[a-f]?\."", """"))"),"")</f>
        <v/>
      </c>
      <c r="H1806" s="152" t="str">
        <f>IFERROR(__xludf.DUMMYFUNCTION("TRIM(REGEXREPLACE(D1806, ""[0-9]+[a-f]?\."", """"))"),"")</f>
        <v/>
      </c>
      <c r="I1806" s="152" t="str">
        <f>IFERROR(__xludf.DUMMYFUNCTION("TRIM(REGEXREPLACE(E1806, ""[0-9]+[a-f]?\."", """"))"),"")</f>
        <v/>
      </c>
      <c r="J1806" s="152" t="str">
        <f t="shared" ref="J1806:L1806" si="200">$F1806 &amp; ". " &amp;G1806</f>
        <v>310. </v>
      </c>
      <c r="K1806" s="152" t="str">
        <f t="shared" si="200"/>
        <v>310. </v>
      </c>
      <c r="L1806" s="152" t="str">
        <f t="shared" si="200"/>
        <v>310. </v>
      </c>
    </row>
    <row r="1807" hidden="1">
      <c r="A1807" s="24"/>
      <c r="B1807" s="24"/>
      <c r="C1807" s="28"/>
      <c r="D1807" s="28"/>
      <c r="E1807" s="28"/>
      <c r="F1807" s="161">
        <v>311.0</v>
      </c>
      <c r="G1807" s="152" t="str">
        <f>IFERROR(__xludf.DUMMYFUNCTION("TRIM(REGEXREPLACE(C1807, ""[0-9]+[a-f]?\."", """"))"),"")</f>
        <v/>
      </c>
      <c r="H1807" s="152" t="str">
        <f>IFERROR(__xludf.DUMMYFUNCTION("TRIM(REGEXREPLACE(D1807, ""[0-9]+[a-f]?\."", """"))"),"")</f>
        <v/>
      </c>
      <c r="I1807" s="152" t="str">
        <f>IFERROR(__xludf.DUMMYFUNCTION("TRIM(REGEXREPLACE(E1807, ""[0-9]+[a-f]?\."", """"))"),"")</f>
        <v/>
      </c>
      <c r="J1807" s="152" t="str">
        <f t="shared" ref="J1807:L1807" si="201">$F1807 &amp; ". " &amp;G1807</f>
        <v>311. </v>
      </c>
      <c r="K1807" s="152" t="str">
        <f t="shared" si="201"/>
        <v>311. </v>
      </c>
      <c r="L1807" s="152" t="str">
        <f t="shared" si="201"/>
        <v>311. </v>
      </c>
    </row>
    <row r="1808" hidden="1">
      <c r="A1808" s="24"/>
      <c r="B1808" s="24"/>
      <c r="C1808" s="28"/>
      <c r="D1808" s="28"/>
      <c r="E1808" s="28"/>
      <c r="F1808" s="161">
        <v>312.0</v>
      </c>
      <c r="G1808" s="152" t="str">
        <f>IFERROR(__xludf.DUMMYFUNCTION("TRIM(REGEXREPLACE(C1808, ""[0-9]+[a-f]?\."", """"))"),"")</f>
        <v/>
      </c>
      <c r="H1808" s="152" t="str">
        <f>IFERROR(__xludf.DUMMYFUNCTION("TRIM(REGEXREPLACE(D1808, ""[0-9]+[a-f]?\."", """"))"),"")</f>
        <v/>
      </c>
      <c r="I1808" s="152" t="str">
        <f>IFERROR(__xludf.DUMMYFUNCTION("TRIM(REGEXREPLACE(E1808, ""[0-9]+[a-f]?\."", """"))"),"")</f>
        <v/>
      </c>
      <c r="J1808" s="152" t="str">
        <f t="shared" ref="J1808:L1808" si="202">$F1808 &amp; ". " &amp;G1808</f>
        <v>312. </v>
      </c>
      <c r="K1808" s="152" t="str">
        <f t="shared" si="202"/>
        <v>312. </v>
      </c>
      <c r="L1808" s="152" t="str">
        <f t="shared" si="202"/>
        <v>312. </v>
      </c>
    </row>
    <row r="1809" hidden="1">
      <c r="A1809" s="24"/>
      <c r="B1809" s="24"/>
      <c r="C1809" s="28"/>
      <c r="D1809" s="28"/>
      <c r="E1809" s="28"/>
      <c r="F1809" s="161">
        <v>313.0</v>
      </c>
      <c r="G1809" s="152" t="str">
        <f>IFERROR(__xludf.DUMMYFUNCTION("TRIM(REGEXREPLACE(C1809, ""[0-9]+[a-f]?\."", """"))"),"")</f>
        <v/>
      </c>
      <c r="H1809" s="152" t="str">
        <f>IFERROR(__xludf.DUMMYFUNCTION("TRIM(REGEXREPLACE(D1809, ""[0-9]+[a-f]?\."", """"))"),"")</f>
        <v/>
      </c>
      <c r="I1809" s="152" t="str">
        <f>IFERROR(__xludf.DUMMYFUNCTION("TRIM(REGEXREPLACE(E1809, ""[0-9]+[a-f]?\."", """"))"),"")</f>
        <v/>
      </c>
      <c r="J1809" s="152" t="str">
        <f t="shared" ref="J1809:L1809" si="203">$F1809 &amp; ". " &amp;G1809</f>
        <v>313. </v>
      </c>
      <c r="K1809" s="152" t="str">
        <f t="shared" si="203"/>
        <v>313. </v>
      </c>
      <c r="L1809" s="152" t="str">
        <f t="shared" si="203"/>
        <v>313. </v>
      </c>
    </row>
    <row r="1810" hidden="1">
      <c r="A1810" s="24"/>
      <c r="B1810" s="24"/>
      <c r="C1810" s="28"/>
      <c r="D1810" s="28"/>
      <c r="E1810" s="28"/>
    </row>
    <row r="1811" hidden="1">
      <c r="A1811" s="24"/>
      <c r="B1811" s="24"/>
      <c r="C1811" s="28"/>
      <c r="D1811" s="28"/>
      <c r="E1811" s="28"/>
      <c r="F1811" s="161">
        <v>314.0</v>
      </c>
      <c r="G1811" s="152" t="str">
        <f>IFERROR(__xludf.DUMMYFUNCTION("TRIM(REGEXREPLACE(C1811, ""[0-9]+[a-f]?\."", """"))"),"")</f>
        <v/>
      </c>
      <c r="H1811" s="152" t="str">
        <f>IFERROR(__xludf.DUMMYFUNCTION("TRIM(REGEXREPLACE(D1811, ""[0-9]+[a-f]?\."", """"))"),"")</f>
        <v/>
      </c>
      <c r="I1811" s="152" t="str">
        <f>IFERROR(__xludf.DUMMYFUNCTION("TRIM(REGEXREPLACE(E1811, ""[0-9]+[a-f]?\."", """"))"),"")</f>
        <v/>
      </c>
      <c r="J1811" s="152" t="str">
        <f t="shared" ref="J1811:L1811" si="204">$F1811 &amp; ". " &amp;G1811</f>
        <v>314. </v>
      </c>
      <c r="K1811" s="152" t="str">
        <f t="shared" si="204"/>
        <v>314. </v>
      </c>
      <c r="L1811" s="152" t="str">
        <f t="shared" si="204"/>
        <v>314. </v>
      </c>
    </row>
    <row r="1812" hidden="1">
      <c r="A1812" s="24"/>
      <c r="B1812" s="24"/>
      <c r="C1812" s="28"/>
      <c r="D1812" s="28"/>
      <c r="E1812" s="28"/>
      <c r="F1812" s="161">
        <v>315.0</v>
      </c>
      <c r="G1812" s="152" t="str">
        <f>IFERROR(__xludf.DUMMYFUNCTION("TRIM(REGEXREPLACE(C1812, ""[0-9]+[a-f]?\."", """"))"),"")</f>
        <v/>
      </c>
      <c r="H1812" s="152" t="str">
        <f>IFERROR(__xludf.DUMMYFUNCTION("TRIM(REGEXREPLACE(D1812, ""[0-9]+[a-f]?\."", """"))"),"")</f>
        <v/>
      </c>
      <c r="I1812" s="152" t="str">
        <f>IFERROR(__xludf.DUMMYFUNCTION("TRIM(REGEXREPLACE(E1812, ""[0-9]+[a-f]?\."", """"))"),"")</f>
        <v/>
      </c>
      <c r="J1812" s="152" t="str">
        <f t="shared" ref="J1812:L1812" si="205">$F1812 &amp; ". " &amp;G1812</f>
        <v>315. </v>
      </c>
      <c r="K1812" s="152" t="str">
        <f t="shared" si="205"/>
        <v>315. </v>
      </c>
      <c r="L1812" s="152" t="str">
        <f t="shared" si="205"/>
        <v>315. </v>
      </c>
    </row>
    <row r="1813" hidden="1">
      <c r="A1813" s="24"/>
      <c r="B1813" s="24"/>
      <c r="C1813" s="28"/>
      <c r="D1813" s="28"/>
      <c r="E1813" s="28"/>
      <c r="F1813" s="161">
        <v>316.0</v>
      </c>
      <c r="G1813" s="152" t="str">
        <f>IFERROR(__xludf.DUMMYFUNCTION("TRIM(REGEXREPLACE(C1813, ""[0-9]+[a-f]?\."", """"))"),"")</f>
        <v/>
      </c>
      <c r="H1813" s="152" t="str">
        <f>IFERROR(__xludf.DUMMYFUNCTION("TRIM(REGEXREPLACE(D1813, ""[0-9]+[a-f]?\."", """"))"),"")</f>
        <v/>
      </c>
      <c r="I1813" s="152" t="str">
        <f>IFERROR(__xludf.DUMMYFUNCTION("TRIM(REGEXREPLACE(E1813, ""[0-9]+[a-f]?\."", """"))"),"")</f>
        <v/>
      </c>
      <c r="J1813" s="152" t="str">
        <f t="shared" ref="J1813:L1813" si="206">$F1813 &amp; ". " &amp;G1813</f>
        <v>316. </v>
      </c>
      <c r="K1813" s="152" t="str">
        <f t="shared" si="206"/>
        <v>316. </v>
      </c>
      <c r="L1813" s="152" t="str">
        <f t="shared" si="206"/>
        <v>316. </v>
      </c>
    </row>
    <row r="1814" hidden="1">
      <c r="A1814" s="24"/>
      <c r="B1814" s="24"/>
      <c r="C1814" s="28"/>
      <c r="D1814" s="28"/>
      <c r="E1814" s="28"/>
      <c r="F1814" s="161">
        <v>317.0</v>
      </c>
      <c r="G1814" s="152" t="str">
        <f>IFERROR(__xludf.DUMMYFUNCTION("TRIM(REGEXREPLACE(C1814, ""[0-9]+[a-f]?\."", """"))"),"")</f>
        <v/>
      </c>
      <c r="H1814" s="152" t="str">
        <f>IFERROR(__xludf.DUMMYFUNCTION("TRIM(REGEXREPLACE(D1814, ""[0-9]+[a-f]?\."", """"))"),"")</f>
        <v/>
      </c>
      <c r="I1814" s="152" t="str">
        <f>IFERROR(__xludf.DUMMYFUNCTION("TRIM(REGEXREPLACE(E1814, ""[0-9]+[a-f]?\."", """"))"),"")</f>
        <v/>
      </c>
      <c r="J1814" s="152" t="str">
        <f t="shared" ref="J1814:L1814" si="207">$F1814 &amp; ". " &amp;G1814</f>
        <v>317. </v>
      </c>
      <c r="K1814" s="152" t="str">
        <f t="shared" si="207"/>
        <v>317. </v>
      </c>
      <c r="L1814" s="152" t="str">
        <f t="shared" si="207"/>
        <v>317. </v>
      </c>
    </row>
    <row r="1815" hidden="1">
      <c r="A1815" s="24"/>
      <c r="B1815" s="24"/>
      <c r="C1815" s="28"/>
      <c r="D1815" s="28"/>
      <c r="E1815" s="28"/>
      <c r="F1815" s="161">
        <v>318.0</v>
      </c>
      <c r="G1815" s="152" t="str">
        <f>IFERROR(__xludf.DUMMYFUNCTION("TRIM(REGEXREPLACE(C1815, ""[0-9]+[a-f]?\."", """"))"),"")</f>
        <v/>
      </c>
      <c r="H1815" s="152" t="str">
        <f>IFERROR(__xludf.DUMMYFUNCTION("TRIM(REGEXREPLACE(D1815, ""[0-9]+[a-f]?\."", """"))"),"")</f>
        <v/>
      </c>
      <c r="I1815" s="152" t="str">
        <f>IFERROR(__xludf.DUMMYFUNCTION("TRIM(REGEXREPLACE(E1815, ""[0-9]+[a-f]?\."", """"))"),"")</f>
        <v/>
      </c>
      <c r="J1815" s="152" t="str">
        <f t="shared" ref="J1815:L1815" si="208">$F1815 &amp; ". " &amp;G1815</f>
        <v>318. </v>
      </c>
      <c r="K1815" s="152" t="str">
        <f t="shared" si="208"/>
        <v>318. </v>
      </c>
      <c r="L1815" s="152" t="str">
        <f t="shared" si="208"/>
        <v>318. </v>
      </c>
    </row>
    <row r="1816" hidden="1">
      <c r="A1816" s="24"/>
      <c r="B1816" s="24"/>
      <c r="C1816" s="28"/>
      <c r="D1816" s="28"/>
      <c r="E1816" s="28"/>
      <c r="F1816" s="161">
        <v>319.0</v>
      </c>
      <c r="G1816" s="152" t="str">
        <f>IFERROR(__xludf.DUMMYFUNCTION("TRIM(REGEXREPLACE(C1816, ""[0-9]+[a-f]?\."", """"))"),"")</f>
        <v/>
      </c>
      <c r="H1816" s="152" t="str">
        <f>IFERROR(__xludf.DUMMYFUNCTION("TRIM(REGEXREPLACE(D1816, ""[0-9]+[a-f]?\."", """"))"),"")</f>
        <v/>
      </c>
      <c r="I1816" s="152" t="str">
        <f>IFERROR(__xludf.DUMMYFUNCTION("TRIM(REGEXREPLACE(E1816, ""[0-9]+[a-f]?\."", """"))"),"")</f>
        <v/>
      </c>
      <c r="J1816" s="152" t="str">
        <f t="shared" ref="J1816:L1816" si="209">$F1816 &amp; ". " &amp;G1816</f>
        <v>319. </v>
      </c>
      <c r="K1816" s="152" t="str">
        <f t="shared" si="209"/>
        <v>319. </v>
      </c>
      <c r="L1816" s="152" t="str">
        <f t="shared" si="209"/>
        <v>319. </v>
      </c>
    </row>
    <row r="1817" hidden="1">
      <c r="A1817" s="24"/>
      <c r="B1817" s="24"/>
      <c r="C1817" s="28"/>
      <c r="D1817" s="28"/>
      <c r="E1817" s="28"/>
      <c r="F1817" s="161">
        <v>320.0</v>
      </c>
      <c r="G1817" s="152" t="str">
        <f>IFERROR(__xludf.DUMMYFUNCTION("TRIM(REGEXREPLACE(C1817, ""[0-9]+[a-f]?\."", """"))"),"")</f>
        <v/>
      </c>
      <c r="H1817" s="152" t="str">
        <f>IFERROR(__xludf.DUMMYFUNCTION("TRIM(REGEXREPLACE(D1817, ""[0-9]+[a-f]?\."", """"))"),"")</f>
        <v/>
      </c>
      <c r="I1817" s="152" t="str">
        <f>IFERROR(__xludf.DUMMYFUNCTION("TRIM(REGEXREPLACE(E1817, ""[0-9]+[a-f]?\."", """"))"),"")</f>
        <v/>
      </c>
      <c r="J1817" s="152" t="str">
        <f t="shared" ref="J1817:L1817" si="210">$F1817 &amp; ". " &amp;G1817</f>
        <v>320. </v>
      </c>
      <c r="K1817" s="152" t="str">
        <f t="shared" si="210"/>
        <v>320. </v>
      </c>
      <c r="L1817" s="152" t="str">
        <f t="shared" si="210"/>
        <v>320. </v>
      </c>
    </row>
    <row r="1818" hidden="1">
      <c r="A1818" s="24"/>
      <c r="B1818" s="24"/>
      <c r="C1818" s="28"/>
      <c r="D1818" s="28"/>
      <c r="E1818" s="28"/>
      <c r="F1818" s="161">
        <v>321.0</v>
      </c>
      <c r="G1818" s="152" t="str">
        <f>IFERROR(__xludf.DUMMYFUNCTION("TRIM(REGEXREPLACE(C1818, ""[0-9]+[a-f]?\."", """"))"),"")</f>
        <v/>
      </c>
      <c r="H1818" s="152" t="str">
        <f>IFERROR(__xludf.DUMMYFUNCTION("TRIM(REGEXREPLACE(D1818, ""[0-9]+[a-f]?\."", """"))"),"")</f>
        <v/>
      </c>
      <c r="I1818" s="152" t="str">
        <f>IFERROR(__xludf.DUMMYFUNCTION("TRIM(REGEXREPLACE(E1818, ""[0-9]+[a-f]?\."", """"))"),"")</f>
        <v/>
      </c>
      <c r="J1818" s="152" t="str">
        <f t="shared" ref="J1818:L1818" si="211">$F1818 &amp; ". " &amp;G1818</f>
        <v>321. </v>
      </c>
      <c r="K1818" s="152" t="str">
        <f t="shared" si="211"/>
        <v>321. </v>
      </c>
      <c r="L1818" s="152" t="str">
        <f t="shared" si="211"/>
        <v>321. </v>
      </c>
    </row>
    <row r="1819" hidden="1">
      <c r="A1819" s="24"/>
      <c r="B1819" s="24"/>
      <c r="C1819" s="28"/>
      <c r="D1819" s="28"/>
      <c r="E1819" s="28"/>
    </row>
    <row r="1820" hidden="1">
      <c r="A1820" s="24"/>
      <c r="B1820" s="24"/>
      <c r="C1820" s="28"/>
      <c r="D1820" s="28"/>
      <c r="E1820" s="28"/>
    </row>
    <row r="1821" hidden="1">
      <c r="A1821" s="24"/>
      <c r="B1821" s="24"/>
      <c r="C1821" s="28"/>
      <c r="D1821" s="28"/>
      <c r="E1821" s="28"/>
      <c r="F1821" s="161">
        <v>322.0</v>
      </c>
      <c r="G1821" s="152" t="str">
        <f>IFERROR(__xludf.DUMMYFUNCTION("TRIM(REGEXREPLACE(C1821, ""[0-9]+[a-f]?\."", """"))"),"")</f>
        <v/>
      </c>
      <c r="H1821" s="152" t="str">
        <f>IFERROR(__xludf.DUMMYFUNCTION("TRIM(REGEXREPLACE(D1821, ""[0-9]+[a-f]?\."", """"))"),"")</f>
        <v/>
      </c>
      <c r="I1821" s="152" t="str">
        <f>IFERROR(__xludf.DUMMYFUNCTION("TRIM(REGEXREPLACE(E1821, ""[0-9]+[a-f]?\."", """"))"),"")</f>
        <v/>
      </c>
      <c r="J1821" s="152" t="str">
        <f t="shared" ref="J1821:L1821" si="212">$F1821 &amp; ". " &amp;G1821</f>
        <v>322. </v>
      </c>
      <c r="K1821" s="152" t="str">
        <f t="shared" si="212"/>
        <v>322. </v>
      </c>
      <c r="L1821" s="152" t="str">
        <f t="shared" si="212"/>
        <v>322. </v>
      </c>
    </row>
    <row r="1822" hidden="1">
      <c r="A1822" s="24"/>
      <c r="B1822" s="24"/>
      <c r="C1822" s="28"/>
      <c r="D1822" s="28"/>
      <c r="E1822" s="28"/>
      <c r="F1822" s="161">
        <v>323.0</v>
      </c>
      <c r="G1822" s="152" t="str">
        <f>IFERROR(__xludf.DUMMYFUNCTION("TRIM(REGEXREPLACE(C1822, ""[0-9]+[a-f]?\."", """"))"),"")</f>
        <v/>
      </c>
      <c r="H1822" s="152" t="str">
        <f>IFERROR(__xludf.DUMMYFUNCTION("TRIM(REGEXREPLACE(D1822, ""[0-9]+[a-f]?\."", """"))"),"")</f>
        <v/>
      </c>
      <c r="I1822" s="152" t="str">
        <f>IFERROR(__xludf.DUMMYFUNCTION("TRIM(REGEXREPLACE(E1822, ""[0-9]+[a-f]?\."", """"))"),"")</f>
        <v/>
      </c>
      <c r="J1822" s="152" t="str">
        <f t="shared" ref="J1822:L1822" si="213">$F1822 &amp; ". " &amp;G1822</f>
        <v>323. </v>
      </c>
      <c r="K1822" s="152" t="str">
        <f t="shared" si="213"/>
        <v>323. </v>
      </c>
      <c r="L1822" s="152" t="str">
        <f t="shared" si="213"/>
        <v>323. </v>
      </c>
    </row>
    <row r="1823" hidden="1">
      <c r="A1823" s="24"/>
      <c r="B1823" s="24"/>
      <c r="C1823" s="28"/>
      <c r="D1823" s="28"/>
      <c r="E1823" s="28"/>
      <c r="F1823" s="161">
        <v>324.0</v>
      </c>
      <c r="G1823" s="152" t="str">
        <f>IFERROR(__xludf.DUMMYFUNCTION("TRIM(REGEXREPLACE(C1823, ""[0-9]+[a-f]?\."", """"))"),"")</f>
        <v/>
      </c>
      <c r="H1823" s="152" t="str">
        <f>IFERROR(__xludf.DUMMYFUNCTION("TRIM(REGEXREPLACE(D1823, ""[0-9]+[a-f]?\."", """"))"),"")</f>
        <v/>
      </c>
      <c r="I1823" s="152" t="str">
        <f>IFERROR(__xludf.DUMMYFUNCTION("TRIM(REGEXREPLACE(E1823, ""[0-9]+[a-f]?\."", """"))"),"")</f>
        <v/>
      </c>
      <c r="J1823" s="152" t="str">
        <f t="shared" ref="J1823:L1823" si="214">$F1823 &amp; ". " &amp;G1823</f>
        <v>324. </v>
      </c>
      <c r="K1823" s="152" t="str">
        <f t="shared" si="214"/>
        <v>324. </v>
      </c>
      <c r="L1823" s="152" t="str">
        <f t="shared" si="214"/>
        <v>324. </v>
      </c>
    </row>
    <row r="1824" hidden="1">
      <c r="A1824" s="24"/>
      <c r="B1824" s="24"/>
      <c r="C1824" s="28"/>
      <c r="D1824" s="28"/>
      <c r="E1824" s="28"/>
    </row>
    <row r="1825" hidden="1">
      <c r="A1825" s="24"/>
      <c r="B1825" s="24"/>
      <c r="C1825" s="28"/>
      <c r="D1825" s="28"/>
      <c r="E1825" s="28"/>
      <c r="F1825" s="161">
        <v>325.0</v>
      </c>
      <c r="G1825" s="152" t="str">
        <f>IFERROR(__xludf.DUMMYFUNCTION("TRIM(REGEXREPLACE(C1825, ""[0-9]+[a-f]?\."", """"))"),"")</f>
        <v/>
      </c>
      <c r="H1825" s="152" t="str">
        <f>IFERROR(__xludf.DUMMYFUNCTION("TRIM(REGEXREPLACE(D1825, ""[0-9]+[a-f]?\."", """"))"),"")</f>
        <v/>
      </c>
      <c r="I1825" s="152" t="str">
        <f>IFERROR(__xludf.DUMMYFUNCTION("TRIM(REGEXREPLACE(E1825, ""[0-9]+[a-f]?\."", """"))"),"")</f>
        <v/>
      </c>
      <c r="J1825" s="152" t="str">
        <f t="shared" ref="J1825:L1825" si="215">$F1825 &amp; ". " &amp;G1825</f>
        <v>325. </v>
      </c>
      <c r="K1825" s="152" t="str">
        <f t="shared" si="215"/>
        <v>325. </v>
      </c>
      <c r="L1825" s="152" t="str">
        <f t="shared" si="215"/>
        <v>325. </v>
      </c>
    </row>
    <row r="1826" hidden="1">
      <c r="A1826" s="24"/>
      <c r="B1826" s="24"/>
      <c r="C1826" s="28"/>
      <c r="D1826" s="28"/>
      <c r="E1826" s="28"/>
    </row>
    <row r="1827" hidden="1">
      <c r="A1827" s="24"/>
      <c r="B1827" s="24"/>
      <c r="C1827" s="28"/>
      <c r="D1827" s="28"/>
      <c r="E1827" s="28"/>
    </row>
    <row r="1828" hidden="1">
      <c r="A1828" s="24"/>
      <c r="B1828" s="24"/>
      <c r="C1828" s="28"/>
      <c r="D1828" s="28"/>
      <c r="E1828" s="28"/>
    </row>
    <row r="1829" hidden="1">
      <c r="A1829" s="24"/>
      <c r="B1829" s="24"/>
      <c r="C1829" s="28"/>
      <c r="D1829" s="28"/>
      <c r="E1829" s="28"/>
    </row>
    <row r="1830" hidden="1">
      <c r="A1830" s="24"/>
      <c r="B1830" s="24"/>
      <c r="C1830" s="28"/>
      <c r="D1830" s="28"/>
      <c r="E1830" s="28"/>
      <c r="F1830" s="161">
        <v>326.0</v>
      </c>
      <c r="G1830" s="152" t="str">
        <f>IFERROR(__xludf.DUMMYFUNCTION("TRIM(REGEXREPLACE(C1830, ""[0-9]+[a-f]?\."", """"))"),"")</f>
        <v/>
      </c>
      <c r="H1830" s="152" t="str">
        <f>IFERROR(__xludf.DUMMYFUNCTION("TRIM(REGEXREPLACE(D1830, ""[0-9]+[a-f]?\."", """"))"),"")</f>
        <v/>
      </c>
      <c r="I1830" s="152" t="str">
        <f>IFERROR(__xludf.DUMMYFUNCTION("TRIM(REGEXREPLACE(E1830, ""[0-9]+[a-f]?\."", """"))"),"")</f>
        <v/>
      </c>
      <c r="J1830" s="152" t="str">
        <f t="shared" ref="J1830:L1830" si="216">$F1830 &amp; ". " &amp;G1830</f>
        <v>326. </v>
      </c>
      <c r="K1830" s="152" t="str">
        <f t="shared" si="216"/>
        <v>326. </v>
      </c>
      <c r="L1830" s="152" t="str">
        <f t="shared" si="216"/>
        <v>326. </v>
      </c>
    </row>
    <row r="1831" hidden="1">
      <c r="A1831" s="24"/>
      <c r="B1831" s="24"/>
      <c r="C1831" s="28"/>
      <c r="D1831" s="28"/>
      <c r="E1831" s="28"/>
      <c r="F1831" s="161">
        <v>327.0</v>
      </c>
      <c r="G1831" s="152" t="str">
        <f>IFERROR(__xludf.DUMMYFUNCTION("TRIM(REGEXREPLACE(C1831, ""[0-9]+[a-f]?\."", """"))"),"")</f>
        <v/>
      </c>
      <c r="H1831" s="152" t="str">
        <f>IFERROR(__xludf.DUMMYFUNCTION("TRIM(REGEXREPLACE(D1831, ""[0-9]+[a-f]?\."", """"))"),"")</f>
        <v/>
      </c>
      <c r="I1831" s="152" t="str">
        <f>IFERROR(__xludf.DUMMYFUNCTION("TRIM(REGEXREPLACE(E1831, ""[0-9]+[a-f]?\."", """"))"),"")</f>
        <v/>
      </c>
      <c r="J1831" s="152" t="str">
        <f t="shared" ref="J1831:L1831" si="217">$F1831 &amp; ". " &amp;G1831</f>
        <v>327. </v>
      </c>
      <c r="K1831" s="152" t="str">
        <f t="shared" si="217"/>
        <v>327. </v>
      </c>
      <c r="L1831" s="152" t="str">
        <f t="shared" si="217"/>
        <v>327. </v>
      </c>
    </row>
    <row r="1832" hidden="1">
      <c r="A1832" s="24"/>
      <c r="B1832" s="24"/>
      <c r="C1832" s="28"/>
      <c r="D1832" s="28"/>
      <c r="E1832" s="28"/>
      <c r="F1832" s="161">
        <v>328.0</v>
      </c>
      <c r="G1832" s="152" t="str">
        <f>IFERROR(__xludf.DUMMYFUNCTION("TRIM(REGEXREPLACE(C1832, ""[0-9]+[a-f]?\."", """"))"),"")</f>
        <v/>
      </c>
      <c r="H1832" s="152" t="str">
        <f>IFERROR(__xludf.DUMMYFUNCTION("TRIM(REGEXREPLACE(D1832, ""[0-9]+[a-f]?\."", """"))"),"")</f>
        <v/>
      </c>
      <c r="I1832" s="152" t="str">
        <f>IFERROR(__xludf.DUMMYFUNCTION("TRIM(REGEXREPLACE(E1832, ""[0-9]+[a-f]?\."", """"))"),"")</f>
        <v/>
      </c>
      <c r="J1832" s="152" t="str">
        <f t="shared" ref="J1832:L1832" si="218">$F1832 &amp; ". " &amp;G1832</f>
        <v>328. </v>
      </c>
      <c r="K1832" s="152" t="str">
        <f t="shared" si="218"/>
        <v>328. </v>
      </c>
      <c r="L1832" s="152" t="str">
        <f t="shared" si="218"/>
        <v>328. </v>
      </c>
    </row>
    <row r="1833" hidden="1">
      <c r="A1833" s="24"/>
      <c r="B1833" s="24"/>
      <c r="C1833" s="28"/>
      <c r="D1833" s="28"/>
      <c r="E1833" s="28"/>
    </row>
    <row r="1834" hidden="1">
      <c r="A1834" s="24"/>
      <c r="B1834" s="24"/>
      <c r="C1834" s="28"/>
      <c r="D1834" s="28"/>
      <c r="E1834" s="28"/>
      <c r="F1834" s="161">
        <v>329.0</v>
      </c>
      <c r="G1834" s="152" t="str">
        <f>IFERROR(__xludf.DUMMYFUNCTION("TRIM(REGEXREPLACE(C1834, ""[0-9]+[a-f]?\."", """"))"),"")</f>
        <v/>
      </c>
      <c r="H1834" s="152" t="str">
        <f>IFERROR(__xludf.DUMMYFUNCTION("TRIM(REGEXREPLACE(D1834, ""[0-9]+[a-f]?\."", """"))"),"")</f>
        <v/>
      </c>
      <c r="I1834" s="152" t="str">
        <f>IFERROR(__xludf.DUMMYFUNCTION("TRIM(REGEXREPLACE(E1834, ""[0-9]+[a-f]?\."", """"))"),"")</f>
        <v/>
      </c>
      <c r="J1834" s="152" t="str">
        <f t="shared" ref="J1834:L1834" si="219">$F1834 &amp; ". " &amp;G1834</f>
        <v>329. </v>
      </c>
      <c r="K1834" s="152" t="str">
        <f t="shared" si="219"/>
        <v>329. </v>
      </c>
      <c r="L1834" s="152" t="str">
        <f t="shared" si="219"/>
        <v>329. </v>
      </c>
    </row>
    <row r="1835" hidden="1">
      <c r="A1835" s="24"/>
      <c r="B1835" s="24"/>
      <c r="C1835" s="28"/>
      <c r="D1835" s="28"/>
      <c r="E1835" s="28"/>
      <c r="F1835" s="161">
        <v>330.0</v>
      </c>
      <c r="G1835" s="152" t="str">
        <f>IFERROR(__xludf.DUMMYFUNCTION("TRIM(REGEXREPLACE(C1835, ""[0-9]+[a-f]?\."", """"))"),"")</f>
        <v/>
      </c>
      <c r="H1835" s="152" t="str">
        <f>IFERROR(__xludf.DUMMYFUNCTION("TRIM(REGEXREPLACE(D1835, ""[0-9]+[a-f]?\."", """"))"),"")</f>
        <v/>
      </c>
      <c r="I1835" s="152" t="str">
        <f>IFERROR(__xludf.DUMMYFUNCTION("TRIM(REGEXREPLACE(E1835, ""[0-9]+[a-f]?\."", """"))"),"")</f>
        <v/>
      </c>
      <c r="J1835" s="152" t="str">
        <f t="shared" ref="J1835:L1835" si="220">$F1835 &amp; ". " &amp;G1835</f>
        <v>330. </v>
      </c>
      <c r="K1835" s="152" t="str">
        <f t="shared" si="220"/>
        <v>330. </v>
      </c>
      <c r="L1835" s="152" t="str">
        <f t="shared" si="220"/>
        <v>330. </v>
      </c>
    </row>
    <row r="1836" hidden="1">
      <c r="A1836" s="24"/>
      <c r="B1836" s="24"/>
      <c r="C1836" s="28"/>
      <c r="D1836" s="28"/>
      <c r="E1836" s="28"/>
      <c r="F1836" s="161">
        <v>331.0</v>
      </c>
      <c r="G1836" s="152" t="str">
        <f>IFERROR(__xludf.DUMMYFUNCTION("TRIM(REGEXREPLACE(C1836, ""[0-9]+[a-f]?\."", """"))"),"")</f>
        <v/>
      </c>
      <c r="H1836" s="152" t="str">
        <f>IFERROR(__xludf.DUMMYFUNCTION("TRIM(REGEXREPLACE(D1836, ""[0-9]+[a-f]?\."", """"))"),"")</f>
        <v/>
      </c>
      <c r="I1836" s="152" t="str">
        <f>IFERROR(__xludf.DUMMYFUNCTION("TRIM(REGEXREPLACE(E1836, ""[0-9]+[a-f]?\."", """"))"),"")</f>
        <v/>
      </c>
      <c r="J1836" s="152" t="str">
        <f t="shared" ref="J1836:L1836" si="221">$F1836 &amp; ". " &amp;G1836</f>
        <v>331. </v>
      </c>
      <c r="K1836" s="152" t="str">
        <f t="shared" si="221"/>
        <v>331. </v>
      </c>
      <c r="L1836" s="152" t="str">
        <f t="shared" si="221"/>
        <v>331. </v>
      </c>
    </row>
    <row r="1837" hidden="1">
      <c r="A1837" s="24"/>
      <c r="B1837" s="24"/>
      <c r="C1837" s="28"/>
      <c r="D1837" s="28"/>
      <c r="E1837" s="28"/>
    </row>
    <row r="1838" hidden="1">
      <c r="A1838" s="24"/>
      <c r="B1838" s="24"/>
      <c r="C1838" s="28"/>
      <c r="D1838" s="28"/>
      <c r="E1838" s="28"/>
    </row>
    <row r="1839" hidden="1">
      <c r="A1839" s="24"/>
      <c r="B1839" s="24"/>
      <c r="C1839" s="28"/>
      <c r="D1839" s="28"/>
      <c r="E1839" s="28"/>
      <c r="F1839" s="161">
        <v>332.0</v>
      </c>
      <c r="G1839" s="152" t="str">
        <f>IFERROR(__xludf.DUMMYFUNCTION("TRIM(REGEXREPLACE(C1839, ""[0-9]+[a-f]?\."", """"))"),"")</f>
        <v/>
      </c>
      <c r="H1839" s="152" t="str">
        <f>IFERROR(__xludf.DUMMYFUNCTION("TRIM(REGEXREPLACE(D1839, ""[0-9]+[a-f]?\."", """"))"),"")</f>
        <v/>
      </c>
      <c r="I1839" s="152" t="str">
        <f>IFERROR(__xludf.DUMMYFUNCTION("TRIM(REGEXREPLACE(E1839, ""[0-9]+[a-f]?\."", """"))"),"")</f>
        <v/>
      </c>
      <c r="J1839" s="152" t="str">
        <f t="shared" ref="J1839:L1839" si="222">$F1839 &amp; ". " &amp;G1839</f>
        <v>332. </v>
      </c>
      <c r="K1839" s="152" t="str">
        <f t="shared" si="222"/>
        <v>332. </v>
      </c>
      <c r="L1839" s="152" t="str">
        <f t="shared" si="222"/>
        <v>332. </v>
      </c>
    </row>
    <row r="1840" hidden="1">
      <c r="A1840" s="24"/>
      <c r="B1840" s="24"/>
      <c r="C1840" s="28"/>
      <c r="D1840" s="28"/>
      <c r="E1840" s="28"/>
      <c r="F1840" s="161">
        <v>333.0</v>
      </c>
      <c r="G1840" s="152" t="str">
        <f>IFERROR(__xludf.DUMMYFUNCTION("TRIM(REGEXREPLACE(C1840, ""[0-9]+[a-f]?\."", """"))"),"")</f>
        <v/>
      </c>
      <c r="H1840" s="152" t="str">
        <f>IFERROR(__xludf.DUMMYFUNCTION("TRIM(REGEXREPLACE(D1840, ""[0-9]+[a-f]?\."", """"))"),"")</f>
        <v/>
      </c>
      <c r="I1840" s="152" t="str">
        <f>IFERROR(__xludf.DUMMYFUNCTION("TRIM(REGEXREPLACE(E1840, ""[0-9]+[a-f]?\."", """"))"),"")</f>
        <v/>
      </c>
      <c r="J1840" s="152" t="str">
        <f t="shared" ref="J1840:L1840" si="223">$F1840 &amp; ". " &amp;G1840</f>
        <v>333. </v>
      </c>
      <c r="K1840" s="152" t="str">
        <f t="shared" si="223"/>
        <v>333. </v>
      </c>
      <c r="L1840" s="152" t="str">
        <f t="shared" si="223"/>
        <v>333. </v>
      </c>
    </row>
    <row r="1841" hidden="1">
      <c r="A1841" s="24"/>
      <c r="B1841" s="24"/>
      <c r="C1841" s="28"/>
      <c r="D1841" s="28"/>
      <c r="E1841" s="28"/>
      <c r="F1841" s="161">
        <v>334.0</v>
      </c>
      <c r="G1841" s="152" t="str">
        <f>IFERROR(__xludf.DUMMYFUNCTION("TRIM(REGEXREPLACE(C1841, ""[0-9]+[a-f]?\."", """"))"),"")</f>
        <v/>
      </c>
      <c r="H1841" s="152" t="str">
        <f>IFERROR(__xludf.DUMMYFUNCTION("TRIM(REGEXREPLACE(D1841, ""[0-9]+[a-f]?\."", """"))"),"")</f>
        <v/>
      </c>
      <c r="I1841" s="152" t="str">
        <f>IFERROR(__xludf.DUMMYFUNCTION("TRIM(REGEXREPLACE(E1841, ""[0-9]+[a-f]?\."", """"))"),"")</f>
        <v/>
      </c>
      <c r="J1841" s="152" t="str">
        <f t="shared" ref="J1841:L1841" si="224">$F1841 &amp; ". " &amp;G1841</f>
        <v>334. </v>
      </c>
      <c r="K1841" s="152" t="str">
        <f t="shared" si="224"/>
        <v>334. </v>
      </c>
      <c r="L1841" s="152" t="str">
        <f t="shared" si="224"/>
        <v>334. </v>
      </c>
    </row>
    <row r="1842" hidden="1">
      <c r="A1842" s="24"/>
      <c r="B1842" s="24"/>
      <c r="C1842" s="28"/>
      <c r="D1842" s="28"/>
      <c r="E1842" s="28"/>
      <c r="F1842" s="161">
        <v>335.0</v>
      </c>
      <c r="G1842" s="152" t="str">
        <f>IFERROR(__xludf.DUMMYFUNCTION("TRIM(REGEXREPLACE(C1842, ""[0-9]+[a-f]?\."", """"))"),"")</f>
        <v/>
      </c>
      <c r="H1842" s="152" t="str">
        <f>IFERROR(__xludf.DUMMYFUNCTION("TRIM(REGEXREPLACE(D1842, ""[0-9]+[a-f]?\."", """"))"),"")</f>
        <v/>
      </c>
      <c r="I1842" s="152" t="str">
        <f>IFERROR(__xludf.DUMMYFUNCTION("TRIM(REGEXREPLACE(E1842, ""[0-9]+[a-f]?\."", """"))"),"")</f>
        <v/>
      </c>
      <c r="J1842" s="152" t="str">
        <f t="shared" ref="J1842:L1842" si="225">$F1842 &amp; ". " &amp;G1842</f>
        <v>335. </v>
      </c>
      <c r="K1842" s="152" t="str">
        <f t="shared" si="225"/>
        <v>335. </v>
      </c>
      <c r="L1842" s="152" t="str">
        <f t="shared" si="225"/>
        <v>335. </v>
      </c>
    </row>
    <row r="1843" hidden="1">
      <c r="A1843" s="24"/>
      <c r="B1843" s="24"/>
      <c r="C1843" s="28"/>
      <c r="D1843" s="28"/>
      <c r="E1843" s="28"/>
      <c r="F1843" s="161">
        <v>336.0</v>
      </c>
      <c r="G1843" s="152" t="str">
        <f>IFERROR(__xludf.DUMMYFUNCTION("TRIM(REGEXREPLACE(C1843, ""[0-9]+[a-f]?\."", """"))"),"")</f>
        <v/>
      </c>
      <c r="H1843" s="152" t="str">
        <f>IFERROR(__xludf.DUMMYFUNCTION("TRIM(REGEXREPLACE(D1843, ""[0-9]+[a-f]?\."", """"))"),"")</f>
        <v/>
      </c>
      <c r="I1843" s="152" t="str">
        <f>IFERROR(__xludf.DUMMYFUNCTION("TRIM(REGEXREPLACE(E1843, ""[0-9]+[a-f]?\."", """"))"),"")</f>
        <v/>
      </c>
      <c r="J1843" s="152" t="str">
        <f t="shared" ref="J1843:L1843" si="226">$F1843 &amp; ". " &amp;G1843</f>
        <v>336. </v>
      </c>
      <c r="K1843" s="152" t="str">
        <f t="shared" si="226"/>
        <v>336. </v>
      </c>
      <c r="L1843" s="152" t="str">
        <f t="shared" si="226"/>
        <v>336. </v>
      </c>
    </row>
    <row r="1844" hidden="1">
      <c r="A1844" s="24"/>
      <c r="B1844" s="24"/>
      <c r="C1844" s="28"/>
      <c r="D1844" s="28"/>
      <c r="E1844" s="28"/>
      <c r="F1844" s="161">
        <v>337.0</v>
      </c>
      <c r="G1844" s="152" t="str">
        <f>IFERROR(__xludf.DUMMYFUNCTION("TRIM(REGEXREPLACE(C1844, ""[0-9]+[a-f]?\."", """"))"),"")</f>
        <v/>
      </c>
      <c r="H1844" s="152" t="str">
        <f>IFERROR(__xludf.DUMMYFUNCTION("TRIM(REGEXREPLACE(D1844, ""[0-9]+[a-f]?\."", """"))"),"")</f>
        <v/>
      </c>
      <c r="I1844" s="152" t="str">
        <f>IFERROR(__xludf.DUMMYFUNCTION("TRIM(REGEXREPLACE(E1844, ""[0-9]+[a-f]?\."", """"))"),"")</f>
        <v/>
      </c>
      <c r="J1844" s="152" t="str">
        <f t="shared" ref="J1844:L1844" si="227">$F1844 &amp; ". " &amp;G1844</f>
        <v>337. </v>
      </c>
      <c r="K1844" s="152" t="str">
        <f t="shared" si="227"/>
        <v>337. </v>
      </c>
      <c r="L1844" s="152" t="str">
        <f t="shared" si="227"/>
        <v>337. </v>
      </c>
    </row>
    <row r="1845" hidden="1">
      <c r="A1845" s="24"/>
      <c r="B1845" s="24"/>
      <c r="C1845" s="28"/>
      <c r="D1845" s="28"/>
      <c r="E1845" s="28"/>
    </row>
    <row r="1846" hidden="1">
      <c r="A1846" s="24"/>
      <c r="B1846" s="24"/>
      <c r="C1846" s="28"/>
      <c r="D1846" s="28"/>
      <c r="E1846" s="28"/>
    </row>
    <row r="1847" hidden="1">
      <c r="A1847" s="24"/>
      <c r="B1847" s="24"/>
      <c r="C1847" s="28"/>
      <c r="D1847" s="28"/>
      <c r="E1847" s="28"/>
    </row>
    <row r="1848" hidden="1">
      <c r="A1848" s="24"/>
      <c r="B1848" s="24"/>
      <c r="C1848" s="28"/>
      <c r="D1848" s="28"/>
      <c r="E1848" s="28"/>
      <c r="F1848" s="161">
        <v>338.0</v>
      </c>
      <c r="G1848" s="152" t="str">
        <f>IFERROR(__xludf.DUMMYFUNCTION("TRIM(REGEXREPLACE(C1848, ""[0-9]+[a-f]?\."", """"))"),"")</f>
        <v/>
      </c>
      <c r="H1848" s="152" t="str">
        <f>IFERROR(__xludf.DUMMYFUNCTION("TRIM(REGEXREPLACE(D1848, ""[0-9]+[a-f]?\."", """"))"),"")</f>
        <v/>
      </c>
      <c r="I1848" s="152" t="str">
        <f>IFERROR(__xludf.DUMMYFUNCTION("TRIM(REGEXREPLACE(E1848, ""[0-9]+[a-f]?\."", """"))"),"")</f>
        <v/>
      </c>
      <c r="J1848" s="152" t="str">
        <f t="shared" ref="J1848:L1848" si="228">$F1848 &amp; ". " &amp;G1848</f>
        <v>338. </v>
      </c>
      <c r="K1848" s="152" t="str">
        <f t="shared" si="228"/>
        <v>338. </v>
      </c>
      <c r="L1848" s="152" t="str">
        <f t="shared" si="228"/>
        <v>338. </v>
      </c>
    </row>
    <row r="1849" hidden="1">
      <c r="A1849" s="24"/>
      <c r="B1849" s="24"/>
      <c r="C1849" s="28"/>
      <c r="D1849" s="28"/>
      <c r="E1849" s="28"/>
      <c r="F1849" s="161">
        <v>339.0</v>
      </c>
      <c r="G1849" s="152" t="str">
        <f>IFERROR(__xludf.DUMMYFUNCTION("TRIM(REGEXREPLACE(C1849, ""[0-9]+[a-f]?\."", """"))"),"")</f>
        <v/>
      </c>
      <c r="H1849" s="152" t="str">
        <f>IFERROR(__xludf.DUMMYFUNCTION("TRIM(REGEXREPLACE(D1849, ""[0-9]+[a-f]?\."", """"))"),"")</f>
        <v/>
      </c>
      <c r="I1849" s="152" t="str">
        <f>IFERROR(__xludf.DUMMYFUNCTION("TRIM(REGEXREPLACE(E1849, ""[0-9]+[a-f]?\."", """"))"),"")</f>
        <v/>
      </c>
      <c r="J1849" s="152" t="str">
        <f t="shared" ref="J1849:L1849" si="229">$F1849 &amp; ". " &amp;G1849</f>
        <v>339. </v>
      </c>
      <c r="K1849" s="152" t="str">
        <f t="shared" si="229"/>
        <v>339. </v>
      </c>
      <c r="L1849" s="152" t="str">
        <f t="shared" si="229"/>
        <v>339. </v>
      </c>
    </row>
    <row r="1850" hidden="1">
      <c r="A1850" s="24"/>
      <c r="B1850" s="24"/>
      <c r="C1850" s="28"/>
      <c r="D1850" s="28"/>
      <c r="E1850" s="28"/>
      <c r="F1850" s="161">
        <v>340.0</v>
      </c>
      <c r="G1850" s="152" t="str">
        <f>IFERROR(__xludf.DUMMYFUNCTION("TRIM(REGEXREPLACE(C1850, ""[0-9]+[a-f]?\."", """"))"),"")</f>
        <v/>
      </c>
      <c r="H1850" s="152" t="str">
        <f>IFERROR(__xludf.DUMMYFUNCTION("TRIM(REGEXREPLACE(D1850, ""[0-9]+[a-f]?\."", """"))"),"")</f>
        <v/>
      </c>
      <c r="I1850" s="152" t="str">
        <f>IFERROR(__xludf.DUMMYFUNCTION("TRIM(REGEXREPLACE(E1850, ""[0-9]+[a-f]?\."", """"))"),"")</f>
        <v/>
      </c>
      <c r="J1850" s="152" t="str">
        <f t="shared" ref="J1850:L1850" si="230">$F1850 &amp; ". " &amp;G1850</f>
        <v>340. </v>
      </c>
      <c r="K1850" s="152" t="str">
        <f t="shared" si="230"/>
        <v>340. </v>
      </c>
      <c r="L1850" s="152" t="str">
        <f t="shared" si="230"/>
        <v>340. </v>
      </c>
    </row>
    <row r="1851" hidden="1">
      <c r="A1851" s="24"/>
      <c r="B1851" s="24"/>
      <c r="C1851" s="28"/>
      <c r="D1851" s="28"/>
      <c r="E1851" s="28"/>
      <c r="F1851" s="161">
        <v>341.0</v>
      </c>
      <c r="G1851" s="152" t="str">
        <f>IFERROR(__xludf.DUMMYFUNCTION("TRIM(REGEXREPLACE(C1851, ""[0-9]+[a-f]?\."", """"))"),"")</f>
        <v/>
      </c>
      <c r="H1851" s="152" t="str">
        <f>IFERROR(__xludf.DUMMYFUNCTION("TRIM(REGEXREPLACE(D1851, ""[0-9]+[a-f]?\."", """"))"),"")</f>
        <v/>
      </c>
      <c r="I1851" s="152" t="str">
        <f>IFERROR(__xludf.DUMMYFUNCTION("TRIM(REGEXREPLACE(E1851, ""[0-9]+[a-f]?\."", """"))"),"")</f>
        <v/>
      </c>
      <c r="J1851" s="152" t="str">
        <f t="shared" ref="J1851:L1851" si="231">$F1851 &amp; ". " &amp;G1851</f>
        <v>341. </v>
      </c>
      <c r="K1851" s="152" t="str">
        <f t="shared" si="231"/>
        <v>341. </v>
      </c>
      <c r="L1851" s="152" t="str">
        <f t="shared" si="231"/>
        <v>341. </v>
      </c>
    </row>
    <row r="1852" hidden="1">
      <c r="A1852" s="24"/>
      <c r="B1852" s="24"/>
      <c r="C1852" s="28"/>
      <c r="D1852" s="28"/>
      <c r="E1852" s="28"/>
      <c r="F1852" s="161">
        <v>342.0</v>
      </c>
      <c r="G1852" s="152" t="str">
        <f>IFERROR(__xludf.DUMMYFUNCTION("TRIM(REGEXREPLACE(C1852, ""[0-9]+[a-f]?\."", """"))"),"")</f>
        <v/>
      </c>
      <c r="H1852" s="152" t="str">
        <f>IFERROR(__xludf.DUMMYFUNCTION("TRIM(REGEXREPLACE(D1852, ""[0-9]+[a-f]?\."", """"))"),"")</f>
        <v/>
      </c>
      <c r="I1852" s="152" t="str">
        <f>IFERROR(__xludf.DUMMYFUNCTION("TRIM(REGEXREPLACE(E1852, ""[0-9]+[a-f]?\."", """"))"),"")</f>
        <v/>
      </c>
      <c r="J1852" s="152" t="str">
        <f t="shared" ref="J1852:L1852" si="232">$F1852 &amp; ". " &amp;G1852</f>
        <v>342. </v>
      </c>
      <c r="K1852" s="152" t="str">
        <f t="shared" si="232"/>
        <v>342. </v>
      </c>
      <c r="L1852" s="152" t="str">
        <f t="shared" si="232"/>
        <v>342. </v>
      </c>
    </row>
    <row r="1853" hidden="1">
      <c r="A1853" s="24"/>
      <c r="B1853" s="24"/>
      <c r="C1853" s="28"/>
      <c r="D1853" s="28"/>
      <c r="E1853" s="28"/>
      <c r="F1853" s="161">
        <v>343.0</v>
      </c>
      <c r="G1853" s="152" t="str">
        <f>IFERROR(__xludf.DUMMYFUNCTION("TRIM(REGEXREPLACE(C1853, ""[0-9]+[a-f]?\."", """"))"),"")</f>
        <v/>
      </c>
      <c r="H1853" s="152" t="str">
        <f>IFERROR(__xludf.DUMMYFUNCTION("TRIM(REGEXREPLACE(D1853, ""[0-9]+[a-f]?\."", """"))"),"")</f>
        <v/>
      </c>
      <c r="I1853" s="152" t="str">
        <f>IFERROR(__xludf.DUMMYFUNCTION("TRIM(REGEXREPLACE(E1853, ""[0-9]+[a-f]?\."", """"))"),"")</f>
        <v/>
      </c>
      <c r="J1853" s="152" t="str">
        <f t="shared" ref="J1853:L1853" si="233">$F1853 &amp; ". " &amp;G1853</f>
        <v>343. </v>
      </c>
      <c r="K1853" s="152" t="str">
        <f t="shared" si="233"/>
        <v>343. </v>
      </c>
      <c r="L1853" s="152" t="str">
        <f t="shared" si="233"/>
        <v>343. </v>
      </c>
    </row>
    <row r="1854" hidden="1">
      <c r="A1854" s="24"/>
      <c r="B1854" s="24"/>
      <c r="C1854" s="28"/>
      <c r="D1854" s="28"/>
      <c r="E1854" s="28"/>
      <c r="F1854" s="161">
        <v>344.0</v>
      </c>
      <c r="G1854" s="152" t="str">
        <f>IFERROR(__xludf.DUMMYFUNCTION("TRIM(REGEXREPLACE(C1854, ""[0-9]+[a-f]?\."", """"))"),"")</f>
        <v/>
      </c>
      <c r="H1854" s="152" t="str">
        <f>IFERROR(__xludf.DUMMYFUNCTION("TRIM(REGEXREPLACE(D1854, ""[0-9]+[a-f]?\."", """"))"),"")</f>
        <v/>
      </c>
      <c r="I1854" s="152" t="str">
        <f>IFERROR(__xludf.DUMMYFUNCTION("TRIM(REGEXREPLACE(E1854, ""[0-9]+[a-f]?\."", """"))"),"")</f>
        <v/>
      </c>
      <c r="J1854" s="152" t="str">
        <f t="shared" ref="J1854:L1854" si="234">$F1854 &amp; ". " &amp;G1854</f>
        <v>344. </v>
      </c>
      <c r="K1854" s="152" t="str">
        <f t="shared" si="234"/>
        <v>344. </v>
      </c>
      <c r="L1854" s="152" t="str">
        <f t="shared" si="234"/>
        <v>344. </v>
      </c>
    </row>
    <row r="1855" hidden="1">
      <c r="A1855" s="24"/>
      <c r="B1855" s="24"/>
      <c r="C1855" s="28"/>
      <c r="D1855" s="28"/>
      <c r="E1855" s="28"/>
      <c r="F1855" s="161">
        <v>345.0</v>
      </c>
      <c r="G1855" s="152" t="str">
        <f>IFERROR(__xludf.DUMMYFUNCTION("TRIM(REGEXREPLACE(C1855, ""[0-9]+[a-f]?\."", """"))"),"")</f>
        <v/>
      </c>
      <c r="H1855" s="152" t="str">
        <f>IFERROR(__xludf.DUMMYFUNCTION("TRIM(REGEXREPLACE(D1855, ""[0-9]+[a-f]?\."", """"))"),"")</f>
        <v/>
      </c>
      <c r="I1855" s="152" t="str">
        <f>IFERROR(__xludf.DUMMYFUNCTION("TRIM(REGEXREPLACE(E1855, ""[0-9]+[a-f]?\."", """"))"),"")</f>
        <v/>
      </c>
      <c r="J1855" s="152" t="str">
        <f t="shared" ref="J1855:L1855" si="235">$F1855 &amp; ". " &amp;G1855</f>
        <v>345. </v>
      </c>
      <c r="K1855" s="152" t="str">
        <f t="shared" si="235"/>
        <v>345. </v>
      </c>
      <c r="L1855" s="152" t="str">
        <f t="shared" si="235"/>
        <v>345. </v>
      </c>
    </row>
    <row r="1856" hidden="1">
      <c r="A1856" s="24"/>
      <c r="B1856" s="24"/>
      <c r="C1856" s="28"/>
      <c r="D1856" s="28"/>
      <c r="E1856" s="28"/>
      <c r="F1856" s="161">
        <v>346.0</v>
      </c>
      <c r="G1856" s="152" t="str">
        <f>IFERROR(__xludf.DUMMYFUNCTION("TRIM(REGEXREPLACE(C1856, ""[0-9]+[a-f]?\."", """"))"),"")</f>
        <v/>
      </c>
      <c r="H1856" s="152" t="str">
        <f>IFERROR(__xludf.DUMMYFUNCTION("TRIM(REGEXREPLACE(D1856, ""[0-9]+[a-f]?\."", """"))"),"")</f>
        <v/>
      </c>
      <c r="I1856" s="152" t="str">
        <f>IFERROR(__xludf.DUMMYFUNCTION("TRIM(REGEXREPLACE(E1856, ""[0-9]+[a-f]?\."", """"))"),"")</f>
        <v/>
      </c>
      <c r="J1856" s="152" t="str">
        <f t="shared" ref="J1856:L1856" si="236">$F1856 &amp; ". " &amp;G1856</f>
        <v>346. </v>
      </c>
      <c r="K1856" s="152" t="str">
        <f t="shared" si="236"/>
        <v>346. </v>
      </c>
      <c r="L1856" s="152" t="str">
        <f t="shared" si="236"/>
        <v>346. </v>
      </c>
    </row>
    <row r="1857" hidden="1">
      <c r="A1857" s="24"/>
      <c r="B1857" s="24"/>
      <c r="C1857" s="28"/>
      <c r="D1857" s="28"/>
      <c r="E1857" s="28"/>
      <c r="F1857" s="161">
        <v>347.0</v>
      </c>
      <c r="G1857" s="152" t="str">
        <f>IFERROR(__xludf.DUMMYFUNCTION("TRIM(REGEXREPLACE(C1857, ""[0-9]+[a-f]?\."", """"))"),"")</f>
        <v/>
      </c>
      <c r="H1857" s="152" t="str">
        <f>IFERROR(__xludf.DUMMYFUNCTION("TRIM(REGEXREPLACE(D1857, ""[0-9]+[a-f]?\."", """"))"),"")</f>
        <v/>
      </c>
      <c r="I1857" s="152" t="str">
        <f>IFERROR(__xludf.DUMMYFUNCTION("TRIM(REGEXREPLACE(E1857, ""[0-9]+[a-f]?\."", """"))"),"")</f>
        <v/>
      </c>
      <c r="J1857" s="152" t="str">
        <f t="shared" ref="J1857:L1857" si="237">$F1857 &amp; ". " &amp;G1857</f>
        <v>347. </v>
      </c>
      <c r="K1857" s="152" t="str">
        <f t="shared" si="237"/>
        <v>347. </v>
      </c>
      <c r="L1857" s="152" t="str">
        <f t="shared" si="237"/>
        <v>347. </v>
      </c>
    </row>
    <row r="1858" hidden="1">
      <c r="A1858" s="24"/>
      <c r="B1858" s="24"/>
      <c r="C1858" s="28"/>
      <c r="D1858" s="28"/>
      <c r="E1858" s="28"/>
      <c r="F1858" s="161">
        <v>348.0</v>
      </c>
      <c r="G1858" s="152" t="str">
        <f>IFERROR(__xludf.DUMMYFUNCTION("TRIM(REGEXREPLACE(C1858, ""[0-9]+[a-f]?\."", """"))"),"")</f>
        <v/>
      </c>
      <c r="H1858" s="152" t="str">
        <f>IFERROR(__xludf.DUMMYFUNCTION("TRIM(REGEXREPLACE(D1858, ""[0-9]+[a-f]?\."", """"))"),"")</f>
        <v/>
      </c>
      <c r="I1858" s="152" t="str">
        <f>IFERROR(__xludf.DUMMYFUNCTION("TRIM(REGEXREPLACE(E1858, ""[0-9]+[a-f]?\."", """"))"),"")</f>
        <v/>
      </c>
      <c r="J1858" s="152" t="str">
        <f t="shared" ref="J1858:L1858" si="238">$F1858 &amp; ". " &amp;G1858</f>
        <v>348. </v>
      </c>
      <c r="K1858" s="152" t="str">
        <f t="shared" si="238"/>
        <v>348. </v>
      </c>
      <c r="L1858" s="152" t="str">
        <f t="shared" si="238"/>
        <v>348. </v>
      </c>
    </row>
    <row r="1859" hidden="1">
      <c r="A1859" s="24"/>
      <c r="B1859" s="24"/>
      <c r="C1859" s="28"/>
      <c r="D1859" s="28"/>
      <c r="E1859" s="28"/>
    </row>
    <row r="1860" hidden="1">
      <c r="A1860" s="24"/>
      <c r="B1860" s="24"/>
      <c r="C1860" s="28"/>
      <c r="D1860" s="28"/>
      <c r="E1860" s="28"/>
      <c r="F1860" s="161">
        <v>349.0</v>
      </c>
      <c r="G1860" s="152" t="str">
        <f>IFERROR(__xludf.DUMMYFUNCTION("TRIM(REGEXREPLACE(C1860, ""[0-9]+[a-f]?\."", """"))"),"")</f>
        <v/>
      </c>
      <c r="H1860" s="152" t="str">
        <f>IFERROR(__xludf.DUMMYFUNCTION("TRIM(REGEXREPLACE(D1860, ""[0-9]+[a-f]?\."", """"))"),"")</f>
        <v/>
      </c>
      <c r="I1860" s="152" t="str">
        <f>IFERROR(__xludf.DUMMYFUNCTION("TRIM(REGEXREPLACE(E1860, ""[0-9]+[a-f]?\."", """"))"),"")</f>
        <v/>
      </c>
      <c r="J1860" s="152" t="str">
        <f t="shared" ref="J1860:L1860" si="239">$F1860 &amp; ". " &amp;G1860</f>
        <v>349. </v>
      </c>
      <c r="K1860" s="152" t="str">
        <f t="shared" si="239"/>
        <v>349. </v>
      </c>
      <c r="L1860" s="152" t="str">
        <f t="shared" si="239"/>
        <v>349. </v>
      </c>
    </row>
    <row r="1861" hidden="1">
      <c r="A1861" s="24"/>
      <c r="B1861" s="24"/>
      <c r="C1861" s="28"/>
      <c r="D1861" s="28"/>
      <c r="E1861" s="28"/>
      <c r="F1861" s="161">
        <v>350.0</v>
      </c>
      <c r="G1861" s="152" t="str">
        <f>IFERROR(__xludf.DUMMYFUNCTION("TRIM(REGEXREPLACE(C1861, ""[0-9]+[a-f]?\."", """"))"),"")</f>
        <v/>
      </c>
      <c r="H1861" s="152" t="str">
        <f>IFERROR(__xludf.DUMMYFUNCTION("TRIM(REGEXREPLACE(D1861, ""[0-9]+[a-f]?\."", """"))"),"")</f>
        <v/>
      </c>
      <c r="I1861" s="152" t="str">
        <f>IFERROR(__xludf.DUMMYFUNCTION("TRIM(REGEXREPLACE(E1861, ""[0-9]+[a-f]?\."", """"))"),"")</f>
        <v/>
      </c>
      <c r="J1861" s="152" t="str">
        <f t="shared" ref="J1861:L1861" si="240">$F1861 &amp; ". " &amp;G1861</f>
        <v>350. </v>
      </c>
      <c r="K1861" s="152" t="str">
        <f t="shared" si="240"/>
        <v>350. </v>
      </c>
      <c r="L1861" s="152" t="str">
        <f t="shared" si="240"/>
        <v>350. </v>
      </c>
    </row>
    <row r="1862" hidden="1">
      <c r="A1862" s="24"/>
      <c r="B1862" s="24"/>
      <c r="C1862" s="28"/>
      <c r="D1862" s="28"/>
      <c r="E1862" s="28"/>
      <c r="F1862" s="161">
        <v>351.0</v>
      </c>
      <c r="G1862" s="152" t="str">
        <f>IFERROR(__xludf.DUMMYFUNCTION("TRIM(REGEXREPLACE(C1862, ""[0-9]+[a-f]?\."", """"))"),"")</f>
        <v/>
      </c>
      <c r="H1862" s="152" t="str">
        <f>IFERROR(__xludf.DUMMYFUNCTION("TRIM(REGEXREPLACE(D1862, ""[0-9]+[a-f]?\."", """"))"),"")</f>
        <v/>
      </c>
      <c r="I1862" s="152" t="str">
        <f>IFERROR(__xludf.DUMMYFUNCTION("TRIM(REGEXREPLACE(E1862, ""[0-9]+[a-f]?\."", """"))"),"")</f>
        <v/>
      </c>
      <c r="J1862" s="152" t="str">
        <f t="shared" ref="J1862:L1862" si="241">$F1862 &amp; ". " &amp;G1862</f>
        <v>351. </v>
      </c>
      <c r="K1862" s="152" t="str">
        <f t="shared" si="241"/>
        <v>351. </v>
      </c>
      <c r="L1862" s="152" t="str">
        <f t="shared" si="241"/>
        <v>351. </v>
      </c>
    </row>
    <row r="1863" hidden="1">
      <c r="A1863" s="24"/>
      <c r="B1863" s="24"/>
      <c r="C1863" s="28"/>
      <c r="D1863" s="28"/>
      <c r="E1863" s="28"/>
      <c r="F1863" s="161">
        <v>352.0</v>
      </c>
      <c r="G1863" s="152" t="str">
        <f>IFERROR(__xludf.DUMMYFUNCTION("TRIM(REGEXREPLACE(C1863, ""[0-9]+[a-f]?\."", """"))"),"")</f>
        <v/>
      </c>
      <c r="H1863" s="152" t="str">
        <f>IFERROR(__xludf.DUMMYFUNCTION("TRIM(REGEXREPLACE(D1863, ""[0-9]+[a-f]?\."", """"))"),"")</f>
        <v/>
      </c>
      <c r="I1863" s="152" t="str">
        <f>IFERROR(__xludf.DUMMYFUNCTION("TRIM(REGEXREPLACE(E1863, ""[0-9]+[a-f]?\."", """"))"),"")</f>
        <v/>
      </c>
      <c r="J1863" s="152" t="str">
        <f t="shared" ref="J1863:L1863" si="242">$F1863 &amp; ". " &amp;G1863</f>
        <v>352. </v>
      </c>
      <c r="K1863" s="152" t="str">
        <f t="shared" si="242"/>
        <v>352. </v>
      </c>
      <c r="L1863" s="152" t="str">
        <f t="shared" si="242"/>
        <v>352. </v>
      </c>
    </row>
    <row r="1864" hidden="1">
      <c r="A1864" s="24"/>
      <c r="B1864" s="24"/>
      <c r="C1864" s="28"/>
      <c r="D1864" s="28"/>
      <c r="E1864" s="28"/>
      <c r="F1864" s="161">
        <v>353.0</v>
      </c>
      <c r="G1864" s="152" t="str">
        <f>IFERROR(__xludf.DUMMYFUNCTION("TRIM(REGEXREPLACE(C1864, ""[0-9]+[a-f]?\."", """"))"),"")</f>
        <v/>
      </c>
      <c r="H1864" s="152" t="str">
        <f>IFERROR(__xludf.DUMMYFUNCTION("TRIM(REGEXREPLACE(D1864, ""[0-9]+[a-f]?\."", """"))"),"")</f>
        <v/>
      </c>
      <c r="I1864" s="152" t="str">
        <f>IFERROR(__xludf.DUMMYFUNCTION("TRIM(REGEXREPLACE(E1864, ""[0-9]+[a-f]?\."", """"))"),"")</f>
        <v/>
      </c>
      <c r="J1864" s="152" t="str">
        <f t="shared" ref="J1864:L1864" si="243">$F1864 &amp; ". " &amp;G1864</f>
        <v>353. </v>
      </c>
      <c r="K1864" s="152" t="str">
        <f t="shared" si="243"/>
        <v>353. </v>
      </c>
      <c r="L1864" s="152" t="str">
        <f t="shared" si="243"/>
        <v>353. </v>
      </c>
    </row>
    <row r="1865" hidden="1">
      <c r="A1865" s="24"/>
      <c r="B1865" s="24"/>
      <c r="C1865" s="28"/>
      <c r="D1865" s="28"/>
      <c r="E1865" s="28"/>
    </row>
    <row r="1866" hidden="1">
      <c r="A1866" s="24"/>
      <c r="B1866" s="24"/>
      <c r="C1866" s="28"/>
      <c r="D1866" s="28"/>
      <c r="E1866" s="28"/>
    </row>
    <row r="1867" hidden="1">
      <c r="A1867" s="24"/>
      <c r="B1867" s="24"/>
      <c r="C1867" s="28"/>
      <c r="D1867" s="28"/>
      <c r="E1867" s="28"/>
    </row>
    <row r="1868" hidden="1">
      <c r="A1868" s="24"/>
      <c r="B1868" s="24"/>
      <c r="C1868" s="28"/>
      <c r="D1868" s="28"/>
      <c r="E1868" s="28"/>
    </row>
    <row r="1869" hidden="1">
      <c r="A1869" s="24"/>
      <c r="B1869" s="24"/>
      <c r="C1869" s="28"/>
      <c r="D1869" s="28"/>
      <c r="E1869" s="28"/>
    </row>
    <row r="1870" hidden="1">
      <c r="A1870" s="24"/>
      <c r="B1870" s="24"/>
      <c r="C1870" s="28"/>
      <c r="D1870" s="28"/>
      <c r="E1870" s="28"/>
    </row>
    <row r="1871" hidden="1">
      <c r="A1871" s="24"/>
      <c r="B1871" s="24"/>
      <c r="C1871" s="28"/>
      <c r="D1871" s="28"/>
      <c r="E1871" s="28"/>
    </row>
    <row r="1872" hidden="1">
      <c r="A1872" s="24"/>
      <c r="B1872" s="24"/>
      <c r="C1872" s="28"/>
      <c r="D1872" s="28"/>
      <c r="E1872" s="28"/>
    </row>
    <row r="1873" hidden="1">
      <c r="A1873" s="24"/>
      <c r="B1873" s="24"/>
      <c r="C1873" s="28"/>
      <c r="D1873" s="28"/>
      <c r="E1873" s="28"/>
    </row>
    <row r="1874" hidden="1">
      <c r="A1874" s="24"/>
      <c r="B1874" s="24"/>
      <c r="C1874" s="28"/>
      <c r="D1874" s="28"/>
      <c r="E1874" s="28"/>
    </row>
    <row r="1875" hidden="1">
      <c r="A1875" s="24"/>
      <c r="B1875" s="24"/>
      <c r="C1875" s="28"/>
      <c r="D1875" s="28"/>
      <c r="E1875" s="28"/>
    </row>
    <row r="1876" hidden="1">
      <c r="A1876" s="24"/>
      <c r="B1876" s="24"/>
      <c r="C1876" s="28"/>
      <c r="D1876" s="28"/>
      <c r="E1876" s="28"/>
    </row>
    <row r="1877" hidden="1">
      <c r="A1877" s="24"/>
      <c r="B1877" s="24"/>
      <c r="C1877" s="28"/>
      <c r="D1877" s="28"/>
      <c r="E1877" s="28"/>
      <c r="F1877" s="161">
        <v>354.0</v>
      </c>
      <c r="G1877" s="152" t="str">
        <f>IFERROR(__xludf.DUMMYFUNCTION("TRIM(REGEXREPLACE(C1877, ""[0-9]+[a-f]?\."", """"))"),"")</f>
        <v/>
      </c>
      <c r="H1877" s="152" t="str">
        <f>IFERROR(__xludf.DUMMYFUNCTION("TRIM(REGEXREPLACE(D1877, ""[0-9]+[a-f]?\."", """"))"),"")</f>
        <v/>
      </c>
      <c r="I1877" s="152" t="str">
        <f>IFERROR(__xludf.DUMMYFUNCTION("TRIM(REGEXREPLACE(E1877, ""[0-9]+[a-f]?\."", """"))"),"")</f>
        <v/>
      </c>
      <c r="J1877" s="152" t="str">
        <f t="shared" ref="J1877:L1877" si="244">$F1877 &amp; ". " &amp;G1877</f>
        <v>354. </v>
      </c>
      <c r="K1877" s="152" t="str">
        <f t="shared" si="244"/>
        <v>354. </v>
      </c>
      <c r="L1877" s="152" t="str">
        <f t="shared" si="244"/>
        <v>354. </v>
      </c>
    </row>
    <row r="1878" hidden="1">
      <c r="A1878" s="24"/>
      <c r="B1878" s="24"/>
      <c r="C1878" s="28"/>
      <c r="D1878" s="28"/>
      <c r="E1878" s="28"/>
      <c r="F1878" s="161">
        <v>355.0</v>
      </c>
      <c r="G1878" s="152" t="str">
        <f>IFERROR(__xludf.DUMMYFUNCTION("TRIM(REGEXREPLACE(C1878, ""[0-9]+[a-f]?\."", """"))"),"")</f>
        <v/>
      </c>
      <c r="H1878" s="152" t="str">
        <f>IFERROR(__xludf.DUMMYFUNCTION("TRIM(REGEXREPLACE(D1878, ""[0-9]+[a-f]?\."", """"))"),"")</f>
        <v/>
      </c>
      <c r="I1878" s="152" t="str">
        <f>IFERROR(__xludf.DUMMYFUNCTION("TRIM(REGEXREPLACE(E1878, ""[0-9]+[a-f]?\."", """"))"),"")</f>
        <v/>
      </c>
      <c r="J1878" s="152" t="str">
        <f t="shared" ref="J1878:L1878" si="245">$F1878 &amp; ". " &amp;G1878</f>
        <v>355. </v>
      </c>
      <c r="K1878" s="152" t="str">
        <f t="shared" si="245"/>
        <v>355. </v>
      </c>
      <c r="L1878" s="152" t="str">
        <f t="shared" si="245"/>
        <v>355. </v>
      </c>
    </row>
    <row r="1879" hidden="1">
      <c r="A1879" s="24"/>
      <c r="B1879" s="24"/>
      <c r="C1879" s="28"/>
      <c r="D1879" s="28"/>
      <c r="E1879" s="28"/>
      <c r="F1879" s="161">
        <v>356.0</v>
      </c>
      <c r="G1879" s="152" t="str">
        <f>IFERROR(__xludf.DUMMYFUNCTION("TRIM(REGEXREPLACE(C1879, ""[0-9]+[a-f]?\."", """"))"),"")</f>
        <v/>
      </c>
      <c r="H1879" s="152" t="str">
        <f>IFERROR(__xludf.DUMMYFUNCTION("TRIM(REGEXREPLACE(D1879, ""[0-9]+[a-f]?\."", """"))"),"")</f>
        <v/>
      </c>
      <c r="I1879" s="152" t="str">
        <f>IFERROR(__xludf.DUMMYFUNCTION("TRIM(REGEXREPLACE(E1879, ""[0-9]+[a-f]?\."", """"))"),"")</f>
        <v/>
      </c>
      <c r="J1879" s="152" t="str">
        <f t="shared" ref="J1879:L1879" si="246">$F1879 &amp; ". " &amp;G1879</f>
        <v>356. </v>
      </c>
      <c r="K1879" s="152" t="str">
        <f t="shared" si="246"/>
        <v>356. </v>
      </c>
      <c r="L1879" s="152" t="str">
        <f t="shared" si="246"/>
        <v>356. </v>
      </c>
    </row>
    <row r="1880" hidden="1">
      <c r="A1880" s="24"/>
      <c r="B1880" s="24"/>
      <c r="C1880" s="28"/>
      <c r="D1880" s="28"/>
      <c r="E1880" s="28"/>
      <c r="F1880" s="161">
        <v>357.0</v>
      </c>
      <c r="G1880" s="152" t="str">
        <f>IFERROR(__xludf.DUMMYFUNCTION("TRIM(REGEXREPLACE(C1880, ""[0-9]+[a-f]?\."", """"))"),"")</f>
        <v/>
      </c>
      <c r="H1880" s="152" t="str">
        <f>IFERROR(__xludf.DUMMYFUNCTION("TRIM(REGEXREPLACE(D1880, ""[0-9]+[a-f]?\."", """"))"),"")</f>
        <v/>
      </c>
      <c r="I1880" s="152" t="str">
        <f>IFERROR(__xludf.DUMMYFUNCTION("TRIM(REGEXREPLACE(E1880, ""[0-9]+[a-f]?\."", """"))"),"")</f>
        <v/>
      </c>
      <c r="J1880" s="152" t="str">
        <f t="shared" ref="J1880:L1880" si="247">$F1880 &amp; ". " &amp;G1880</f>
        <v>357. </v>
      </c>
      <c r="K1880" s="152" t="str">
        <f t="shared" si="247"/>
        <v>357. </v>
      </c>
      <c r="L1880" s="152" t="str">
        <f t="shared" si="247"/>
        <v>357. </v>
      </c>
    </row>
    <row r="1881" hidden="1">
      <c r="A1881" s="24"/>
      <c r="B1881" s="24"/>
      <c r="C1881" s="28"/>
      <c r="D1881" s="28"/>
      <c r="E1881" s="28"/>
      <c r="F1881" s="161">
        <v>358.0</v>
      </c>
      <c r="G1881" s="152" t="str">
        <f>IFERROR(__xludf.DUMMYFUNCTION("TRIM(REGEXREPLACE(C1881, ""[0-9]+[a-f]?\."", """"))"),"")</f>
        <v/>
      </c>
      <c r="H1881" s="152" t="str">
        <f>IFERROR(__xludf.DUMMYFUNCTION("TRIM(REGEXREPLACE(D1881, ""[0-9]+[a-f]?\."", """"))"),"")</f>
        <v/>
      </c>
      <c r="I1881" s="152" t="str">
        <f>IFERROR(__xludf.DUMMYFUNCTION("TRIM(REGEXREPLACE(E1881, ""[0-9]+[a-f]?\."", """"))"),"")</f>
        <v/>
      </c>
      <c r="J1881" s="152" t="str">
        <f t="shared" ref="J1881:L1881" si="248">$F1881 &amp; ". " &amp;G1881</f>
        <v>358. </v>
      </c>
      <c r="K1881" s="152" t="str">
        <f t="shared" si="248"/>
        <v>358. </v>
      </c>
      <c r="L1881" s="152" t="str">
        <f t="shared" si="248"/>
        <v>358. </v>
      </c>
    </row>
    <row r="1882" hidden="1">
      <c r="A1882" s="24"/>
      <c r="B1882" s="24"/>
      <c r="C1882" s="28"/>
      <c r="D1882" s="28"/>
      <c r="E1882" s="28"/>
      <c r="F1882" s="161">
        <v>359.0</v>
      </c>
      <c r="G1882" s="152" t="str">
        <f>IFERROR(__xludf.DUMMYFUNCTION("TRIM(REGEXREPLACE(C1882, ""[0-9]+[a-f]?\."", """"))"),"")</f>
        <v/>
      </c>
      <c r="H1882" s="152" t="str">
        <f>IFERROR(__xludf.DUMMYFUNCTION("TRIM(REGEXREPLACE(D1882, ""[0-9]+[a-f]?\."", """"))"),"")</f>
        <v/>
      </c>
      <c r="I1882" s="152" t="str">
        <f>IFERROR(__xludf.DUMMYFUNCTION("TRIM(REGEXREPLACE(E1882, ""[0-9]+[a-f]?\."", """"))"),"")</f>
        <v/>
      </c>
      <c r="J1882" s="152" t="str">
        <f t="shared" ref="J1882:L1882" si="249">$F1882 &amp; ". " &amp;G1882</f>
        <v>359. </v>
      </c>
      <c r="K1882" s="152" t="str">
        <f t="shared" si="249"/>
        <v>359. </v>
      </c>
      <c r="L1882" s="152" t="str">
        <f t="shared" si="249"/>
        <v>359. </v>
      </c>
    </row>
    <row r="1883" hidden="1">
      <c r="A1883" s="24"/>
      <c r="B1883" s="24"/>
      <c r="C1883" s="28"/>
      <c r="D1883" s="28"/>
      <c r="E1883" s="28"/>
      <c r="F1883" s="161">
        <v>360.0</v>
      </c>
      <c r="G1883" s="152" t="str">
        <f>IFERROR(__xludf.DUMMYFUNCTION("TRIM(REGEXREPLACE(C1883, ""[0-9]+[a-f]?\."", """"))"),"")</f>
        <v/>
      </c>
      <c r="H1883" s="152" t="str">
        <f>IFERROR(__xludf.DUMMYFUNCTION("TRIM(REGEXREPLACE(D1883, ""[0-9]+[a-f]?\."", """"))"),"")</f>
        <v/>
      </c>
      <c r="I1883" s="152" t="str">
        <f>IFERROR(__xludf.DUMMYFUNCTION("TRIM(REGEXREPLACE(E1883, ""[0-9]+[a-f]?\."", """"))"),"")</f>
        <v/>
      </c>
      <c r="J1883" s="152" t="str">
        <f t="shared" ref="J1883:L1883" si="250">$F1883 &amp; ". " &amp;G1883</f>
        <v>360. </v>
      </c>
      <c r="K1883" s="152" t="str">
        <f t="shared" si="250"/>
        <v>360. </v>
      </c>
      <c r="L1883" s="152" t="str">
        <f t="shared" si="250"/>
        <v>360. </v>
      </c>
    </row>
    <row r="1884" hidden="1">
      <c r="A1884" s="24"/>
      <c r="B1884" s="24"/>
      <c r="C1884" s="28"/>
      <c r="D1884" s="28"/>
      <c r="E1884" s="28"/>
      <c r="F1884" s="161">
        <v>361.0</v>
      </c>
      <c r="G1884" s="152" t="str">
        <f>IFERROR(__xludf.DUMMYFUNCTION("TRIM(REGEXREPLACE(C1884, ""[0-9]+[a-f]?\."", """"))"),"")</f>
        <v/>
      </c>
      <c r="H1884" s="152" t="str">
        <f>IFERROR(__xludf.DUMMYFUNCTION("TRIM(REGEXREPLACE(D1884, ""[0-9]+[a-f]?\."", """"))"),"")</f>
        <v/>
      </c>
      <c r="I1884" s="152" t="str">
        <f>IFERROR(__xludf.DUMMYFUNCTION("TRIM(REGEXREPLACE(E1884, ""[0-9]+[a-f]?\."", """"))"),"")</f>
        <v/>
      </c>
      <c r="J1884" s="152" t="str">
        <f t="shared" ref="J1884:L1884" si="251">$F1884 &amp; ". " &amp;G1884</f>
        <v>361. </v>
      </c>
      <c r="K1884" s="152" t="str">
        <f t="shared" si="251"/>
        <v>361. </v>
      </c>
      <c r="L1884" s="152" t="str">
        <f t="shared" si="251"/>
        <v>361. </v>
      </c>
    </row>
    <row r="1885" hidden="1">
      <c r="A1885" s="24"/>
      <c r="B1885" s="24"/>
      <c r="C1885" s="28"/>
      <c r="D1885" s="28"/>
      <c r="E1885" s="28"/>
      <c r="F1885" s="161">
        <v>362.0</v>
      </c>
      <c r="G1885" s="152" t="str">
        <f>IFERROR(__xludf.DUMMYFUNCTION("TRIM(REGEXREPLACE(C1885, ""[0-9]+[a-f]?\."", """"))"),"")</f>
        <v/>
      </c>
      <c r="H1885" s="152" t="str">
        <f>IFERROR(__xludf.DUMMYFUNCTION("TRIM(REGEXREPLACE(D1885, ""[0-9]+[a-f]?\."", """"))"),"")</f>
        <v/>
      </c>
      <c r="I1885" s="152" t="str">
        <f>IFERROR(__xludf.DUMMYFUNCTION("TRIM(REGEXREPLACE(E1885, ""[0-9]+[a-f]?\."", """"))"),"")</f>
        <v/>
      </c>
      <c r="J1885" s="152" t="str">
        <f t="shared" ref="J1885:L1885" si="252">$F1885 &amp; ". " &amp;G1885</f>
        <v>362. </v>
      </c>
      <c r="K1885" s="152" t="str">
        <f t="shared" si="252"/>
        <v>362. </v>
      </c>
      <c r="L1885" s="152" t="str">
        <f t="shared" si="252"/>
        <v>362. </v>
      </c>
    </row>
    <row r="1886" hidden="1">
      <c r="A1886" s="24"/>
      <c r="B1886" s="24"/>
      <c r="C1886" s="28"/>
      <c r="D1886" s="28"/>
      <c r="E1886" s="28"/>
      <c r="F1886" s="161">
        <v>363.0</v>
      </c>
      <c r="G1886" s="152" t="str">
        <f>IFERROR(__xludf.DUMMYFUNCTION("TRIM(REGEXREPLACE(C1886, ""[0-9]+[a-f]?\."", """"))"),"")</f>
        <v/>
      </c>
      <c r="H1886" s="152" t="str">
        <f>IFERROR(__xludf.DUMMYFUNCTION("TRIM(REGEXREPLACE(D1886, ""[0-9]+[a-f]?\."", """"))"),"")</f>
        <v/>
      </c>
      <c r="I1886" s="152" t="str">
        <f>IFERROR(__xludf.DUMMYFUNCTION("TRIM(REGEXREPLACE(E1886, ""[0-9]+[a-f]?\."", """"))"),"")</f>
        <v/>
      </c>
      <c r="J1886" s="152" t="str">
        <f t="shared" ref="J1886:L1886" si="253">$F1886 &amp; ". " &amp;G1886</f>
        <v>363. </v>
      </c>
      <c r="K1886" s="152" t="str">
        <f t="shared" si="253"/>
        <v>363. </v>
      </c>
      <c r="L1886" s="152" t="str">
        <f t="shared" si="253"/>
        <v>363. </v>
      </c>
    </row>
    <row r="1887" hidden="1">
      <c r="A1887" s="24"/>
      <c r="B1887" s="24"/>
      <c r="C1887" s="28"/>
      <c r="D1887" s="28"/>
      <c r="E1887" s="28"/>
      <c r="F1887" s="161">
        <v>364.0</v>
      </c>
      <c r="G1887" s="152" t="str">
        <f>IFERROR(__xludf.DUMMYFUNCTION("TRIM(REGEXREPLACE(C1887, ""[0-9]+[a-f]?\."", """"))"),"")</f>
        <v/>
      </c>
      <c r="H1887" s="152" t="str">
        <f>IFERROR(__xludf.DUMMYFUNCTION("TRIM(REGEXREPLACE(D1887, ""[0-9]+[a-f]?\."", """"))"),"")</f>
        <v/>
      </c>
      <c r="I1887" s="152" t="str">
        <f>IFERROR(__xludf.DUMMYFUNCTION("TRIM(REGEXREPLACE(E1887, ""[0-9]+[a-f]?\."", """"))"),"")</f>
        <v/>
      </c>
      <c r="J1887" s="152" t="str">
        <f t="shared" ref="J1887:L1887" si="254">$F1887 &amp; ". " &amp;G1887</f>
        <v>364. </v>
      </c>
      <c r="K1887" s="152" t="str">
        <f t="shared" si="254"/>
        <v>364. </v>
      </c>
      <c r="L1887" s="152" t="str">
        <f t="shared" si="254"/>
        <v>364. </v>
      </c>
    </row>
    <row r="1888" hidden="1">
      <c r="A1888" s="24"/>
      <c r="B1888" s="24"/>
      <c r="C1888" s="28"/>
      <c r="D1888" s="28"/>
      <c r="E1888" s="28"/>
      <c r="F1888" s="161">
        <v>365.0</v>
      </c>
      <c r="G1888" s="152" t="str">
        <f>IFERROR(__xludf.DUMMYFUNCTION("TRIM(REGEXREPLACE(C1888, ""[0-9]+[a-f]?\."", """"))"),"")</f>
        <v/>
      </c>
      <c r="H1888" s="152" t="str">
        <f>IFERROR(__xludf.DUMMYFUNCTION("TRIM(REGEXREPLACE(D1888, ""[0-9]+[a-f]?\."", """"))"),"")</f>
        <v/>
      </c>
      <c r="I1888" s="152" t="str">
        <f>IFERROR(__xludf.DUMMYFUNCTION("TRIM(REGEXREPLACE(E1888, ""[0-9]+[a-f]?\."", """"))"),"")</f>
        <v/>
      </c>
      <c r="J1888" s="152" t="str">
        <f t="shared" ref="J1888:L1888" si="255">$F1888 &amp; ". " &amp;G1888</f>
        <v>365. </v>
      </c>
      <c r="K1888" s="152" t="str">
        <f t="shared" si="255"/>
        <v>365. </v>
      </c>
      <c r="L1888" s="152" t="str">
        <f t="shared" si="255"/>
        <v>365. </v>
      </c>
    </row>
    <row r="1889" hidden="1">
      <c r="A1889" s="24"/>
      <c r="B1889" s="24"/>
      <c r="C1889" s="28"/>
      <c r="D1889" s="28"/>
      <c r="E1889" s="28"/>
      <c r="F1889" s="161">
        <v>366.0</v>
      </c>
      <c r="G1889" s="152" t="str">
        <f>IFERROR(__xludf.DUMMYFUNCTION("TRIM(REGEXREPLACE(C1889, ""[0-9]+[a-f]?\."", """"))"),"")</f>
        <v/>
      </c>
      <c r="H1889" s="152" t="str">
        <f>IFERROR(__xludf.DUMMYFUNCTION("TRIM(REGEXREPLACE(D1889, ""[0-9]+[a-f]?\."", """"))"),"")</f>
        <v/>
      </c>
      <c r="I1889" s="152" t="str">
        <f>IFERROR(__xludf.DUMMYFUNCTION("TRIM(REGEXREPLACE(E1889, ""[0-9]+[a-f]?\."", """"))"),"")</f>
        <v/>
      </c>
      <c r="J1889" s="152" t="str">
        <f t="shared" ref="J1889:L1889" si="256">$F1889 &amp; ". " &amp;G1889</f>
        <v>366. </v>
      </c>
      <c r="K1889" s="152" t="str">
        <f t="shared" si="256"/>
        <v>366. </v>
      </c>
      <c r="L1889" s="152" t="str">
        <f t="shared" si="256"/>
        <v>366. </v>
      </c>
    </row>
    <row r="1890" hidden="1">
      <c r="A1890" s="24"/>
      <c r="B1890" s="24"/>
      <c r="C1890" s="28"/>
      <c r="D1890" s="28"/>
      <c r="E1890" s="28"/>
    </row>
    <row r="1891" hidden="1">
      <c r="A1891" s="24"/>
      <c r="B1891" s="24"/>
      <c r="C1891" s="28"/>
      <c r="D1891" s="28"/>
      <c r="E1891" s="28"/>
    </row>
    <row r="1892" hidden="1">
      <c r="A1892" s="24"/>
      <c r="B1892" s="24"/>
      <c r="C1892" s="28"/>
      <c r="D1892" s="28"/>
      <c r="E1892" s="28"/>
    </row>
    <row r="1893" hidden="1">
      <c r="A1893" s="24"/>
      <c r="B1893" s="24"/>
      <c r="C1893" s="28"/>
      <c r="D1893" s="28"/>
      <c r="E1893" s="28"/>
      <c r="F1893" s="161">
        <v>367.0</v>
      </c>
      <c r="G1893" s="152" t="str">
        <f>IFERROR(__xludf.DUMMYFUNCTION("TRIM(REGEXREPLACE(C1893, ""[0-9]+[a-f]?\."", """"))"),"")</f>
        <v/>
      </c>
      <c r="H1893" s="152" t="str">
        <f>IFERROR(__xludf.DUMMYFUNCTION("TRIM(REGEXREPLACE(D1893, ""[0-9]+[a-f]?\."", """"))"),"")</f>
        <v/>
      </c>
      <c r="I1893" s="152" t="str">
        <f>IFERROR(__xludf.DUMMYFUNCTION("TRIM(REGEXREPLACE(E1893, ""[0-9]+[a-f]?\."", """"))"),"")</f>
        <v/>
      </c>
      <c r="J1893" s="152" t="str">
        <f t="shared" ref="J1893:L1893" si="257">$F1893 &amp; ". " &amp;G1893</f>
        <v>367. </v>
      </c>
      <c r="K1893" s="152" t="str">
        <f t="shared" si="257"/>
        <v>367. </v>
      </c>
      <c r="L1893" s="152" t="str">
        <f t="shared" si="257"/>
        <v>367. </v>
      </c>
    </row>
    <row r="1894" hidden="1">
      <c r="A1894" s="24"/>
      <c r="B1894" s="24"/>
      <c r="C1894" s="28"/>
      <c r="D1894" s="28"/>
      <c r="E1894" s="28"/>
      <c r="F1894" s="161">
        <v>368.0</v>
      </c>
      <c r="G1894" s="152" t="str">
        <f>IFERROR(__xludf.DUMMYFUNCTION("TRIM(REGEXREPLACE(C1894, ""[0-9]+[a-f]?\."", """"))"),"")</f>
        <v/>
      </c>
      <c r="H1894" s="152" t="str">
        <f>IFERROR(__xludf.DUMMYFUNCTION("TRIM(REGEXREPLACE(D1894, ""[0-9]+[a-f]?\."", """"))"),"")</f>
        <v/>
      </c>
      <c r="I1894" s="152" t="str">
        <f>IFERROR(__xludf.DUMMYFUNCTION("TRIM(REGEXREPLACE(E1894, ""[0-9]+[a-f]?\."", """"))"),"")</f>
        <v/>
      </c>
      <c r="J1894" s="152" t="str">
        <f t="shared" ref="J1894:L1894" si="258">$F1894 &amp; ". " &amp;G1894</f>
        <v>368. </v>
      </c>
      <c r="K1894" s="152" t="str">
        <f t="shared" si="258"/>
        <v>368. </v>
      </c>
      <c r="L1894" s="152" t="str">
        <f t="shared" si="258"/>
        <v>368. </v>
      </c>
    </row>
    <row r="1895" hidden="1">
      <c r="A1895" s="24"/>
      <c r="B1895" s="24"/>
      <c r="C1895" s="28"/>
      <c r="D1895" s="28"/>
      <c r="E1895" s="28"/>
    </row>
    <row r="1896" hidden="1">
      <c r="A1896" s="24"/>
      <c r="B1896" s="24"/>
      <c r="C1896" s="28"/>
      <c r="D1896" s="28"/>
      <c r="E1896" s="28"/>
    </row>
    <row r="1897" hidden="1">
      <c r="A1897" s="24"/>
      <c r="B1897" s="24"/>
      <c r="C1897" s="28"/>
      <c r="D1897" s="28"/>
      <c r="E1897" s="28"/>
    </row>
    <row r="1898" hidden="1">
      <c r="A1898" s="24"/>
      <c r="B1898" s="24"/>
      <c r="C1898" s="28"/>
      <c r="D1898" s="28"/>
      <c r="E1898" s="28"/>
    </row>
    <row r="1899" hidden="1">
      <c r="A1899" s="24"/>
      <c r="B1899" s="24"/>
      <c r="C1899" s="28"/>
      <c r="D1899" s="28"/>
      <c r="E1899" s="28"/>
      <c r="F1899" s="161">
        <v>369.0</v>
      </c>
      <c r="G1899" s="152" t="str">
        <f>IFERROR(__xludf.DUMMYFUNCTION("TRIM(REGEXREPLACE(C1899, ""[0-9]+[a-f]?\."", """"))"),"")</f>
        <v/>
      </c>
      <c r="H1899" s="152" t="str">
        <f>IFERROR(__xludf.DUMMYFUNCTION("TRIM(REGEXREPLACE(D1899, ""[0-9]+[a-f]?\."", """"))"),"")</f>
        <v/>
      </c>
      <c r="I1899" s="152" t="str">
        <f>IFERROR(__xludf.DUMMYFUNCTION("TRIM(REGEXREPLACE(E1899, ""[0-9]+[a-f]?\."", """"))"),"")</f>
        <v/>
      </c>
      <c r="J1899" s="152" t="str">
        <f t="shared" ref="J1899:L1899" si="259">$F1899 &amp; ". " &amp;G1899</f>
        <v>369. </v>
      </c>
      <c r="K1899" s="152" t="str">
        <f t="shared" si="259"/>
        <v>369. </v>
      </c>
      <c r="L1899" s="152" t="str">
        <f t="shared" si="259"/>
        <v>369. </v>
      </c>
    </row>
    <row r="1900" hidden="1">
      <c r="A1900" s="24"/>
      <c r="B1900" s="24"/>
      <c r="C1900" s="28"/>
      <c r="D1900" s="28"/>
      <c r="E1900" s="28"/>
      <c r="F1900" s="161">
        <v>370.0</v>
      </c>
      <c r="G1900" s="152" t="str">
        <f>IFERROR(__xludf.DUMMYFUNCTION("TRIM(REGEXREPLACE(C1900, ""[0-9]+[a-f]?\."", """"))"),"")</f>
        <v/>
      </c>
      <c r="H1900" s="152" t="str">
        <f>IFERROR(__xludf.DUMMYFUNCTION("TRIM(REGEXREPLACE(D1900, ""[0-9]+[a-f]?\."", """"))"),"")</f>
        <v/>
      </c>
      <c r="I1900" s="152" t="str">
        <f>IFERROR(__xludf.DUMMYFUNCTION("TRIM(REGEXREPLACE(E1900, ""[0-9]+[a-f]?\."", """"))"),"")</f>
        <v/>
      </c>
      <c r="J1900" s="152" t="str">
        <f t="shared" ref="J1900:L1900" si="260">$F1900 &amp; ". " &amp;G1900</f>
        <v>370. </v>
      </c>
      <c r="K1900" s="152" t="str">
        <f t="shared" si="260"/>
        <v>370. </v>
      </c>
      <c r="L1900" s="152" t="str">
        <f t="shared" si="260"/>
        <v>370. </v>
      </c>
    </row>
    <row r="1901" hidden="1">
      <c r="A1901" s="24"/>
      <c r="B1901" s="24"/>
      <c r="C1901" s="28"/>
      <c r="D1901" s="28"/>
      <c r="E1901" s="28"/>
      <c r="F1901" s="161">
        <v>371.0</v>
      </c>
      <c r="G1901" s="152" t="str">
        <f>IFERROR(__xludf.DUMMYFUNCTION("TRIM(REGEXREPLACE(C1901, ""[0-9]+[a-f]?\."", """"))"),"")</f>
        <v/>
      </c>
      <c r="H1901" s="152" t="str">
        <f>IFERROR(__xludf.DUMMYFUNCTION("TRIM(REGEXREPLACE(D1901, ""[0-9]+[a-f]?\."", """"))"),"")</f>
        <v/>
      </c>
      <c r="I1901" s="152" t="str">
        <f>IFERROR(__xludf.DUMMYFUNCTION("TRIM(REGEXREPLACE(E1901, ""[0-9]+[a-f]?\."", """"))"),"")</f>
        <v/>
      </c>
      <c r="J1901" s="152" t="str">
        <f t="shared" ref="J1901:L1901" si="261">$F1901 &amp; ". " &amp;G1901</f>
        <v>371. </v>
      </c>
      <c r="K1901" s="152" t="str">
        <f t="shared" si="261"/>
        <v>371. </v>
      </c>
      <c r="L1901" s="152" t="str">
        <f t="shared" si="261"/>
        <v>371. </v>
      </c>
    </row>
    <row r="1902" hidden="1">
      <c r="A1902" s="24"/>
      <c r="B1902" s="24"/>
      <c r="C1902" s="28"/>
      <c r="D1902" s="28"/>
      <c r="E1902" s="28"/>
      <c r="F1902" s="161">
        <v>372.0</v>
      </c>
      <c r="G1902" s="152" t="str">
        <f>IFERROR(__xludf.DUMMYFUNCTION("TRIM(REGEXREPLACE(C1902, ""[0-9]+[a-f]?\."", """"))"),"")</f>
        <v/>
      </c>
      <c r="H1902" s="152" t="str">
        <f>IFERROR(__xludf.DUMMYFUNCTION("TRIM(REGEXREPLACE(D1902, ""[0-9]+[a-f]?\."", """"))"),"")</f>
        <v/>
      </c>
      <c r="I1902" s="152" t="str">
        <f>IFERROR(__xludf.DUMMYFUNCTION("TRIM(REGEXREPLACE(E1902, ""[0-9]+[a-f]?\."", """"))"),"")</f>
        <v/>
      </c>
      <c r="J1902" s="152" t="str">
        <f t="shared" ref="J1902:L1902" si="262">$F1902 &amp; ". " &amp;G1902</f>
        <v>372. </v>
      </c>
      <c r="K1902" s="152" t="str">
        <f t="shared" si="262"/>
        <v>372. </v>
      </c>
      <c r="L1902" s="152" t="str">
        <f t="shared" si="262"/>
        <v>372. </v>
      </c>
    </row>
    <row r="1903" hidden="1">
      <c r="A1903" s="24"/>
      <c r="B1903" s="24"/>
      <c r="C1903" s="28"/>
      <c r="D1903" s="28"/>
      <c r="E1903" s="28"/>
      <c r="F1903" s="161">
        <v>373.0</v>
      </c>
      <c r="G1903" s="152" t="str">
        <f>IFERROR(__xludf.DUMMYFUNCTION("TRIM(REGEXREPLACE(C1903, ""[0-9]+[a-f]?\."", """"))"),"")</f>
        <v/>
      </c>
      <c r="H1903" s="152" t="str">
        <f>IFERROR(__xludf.DUMMYFUNCTION("TRIM(REGEXREPLACE(D1903, ""[0-9]+[a-f]?\."", """"))"),"")</f>
        <v/>
      </c>
      <c r="I1903" s="152" t="str">
        <f>IFERROR(__xludf.DUMMYFUNCTION("TRIM(REGEXREPLACE(E1903, ""[0-9]+[a-f]?\."", """"))"),"")</f>
        <v/>
      </c>
      <c r="J1903" s="152" t="str">
        <f t="shared" ref="J1903:L1903" si="263">$F1903 &amp; ". " &amp;G1903</f>
        <v>373. </v>
      </c>
      <c r="K1903" s="152" t="str">
        <f t="shared" si="263"/>
        <v>373. </v>
      </c>
      <c r="L1903" s="152" t="str">
        <f t="shared" si="263"/>
        <v>373. </v>
      </c>
    </row>
    <row r="1904" hidden="1">
      <c r="A1904" s="24"/>
      <c r="B1904" s="24"/>
      <c r="C1904" s="28"/>
      <c r="D1904" s="28"/>
      <c r="E1904" s="28"/>
      <c r="F1904" s="161">
        <v>374.0</v>
      </c>
      <c r="G1904" s="152" t="str">
        <f>IFERROR(__xludf.DUMMYFUNCTION("TRIM(REGEXREPLACE(C1904, ""[0-9]+[a-f]?\."", """"))"),"")</f>
        <v/>
      </c>
      <c r="H1904" s="152" t="str">
        <f>IFERROR(__xludf.DUMMYFUNCTION("TRIM(REGEXREPLACE(D1904, ""[0-9]+[a-f]?\."", """"))"),"")</f>
        <v/>
      </c>
      <c r="I1904" s="152" t="str">
        <f>IFERROR(__xludf.DUMMYFUNCTION("TRIM(REGEXREPLACE(E1904, ""[0-9]+[a-f]?\."", """"))"),"")</f>
        <v/>
      </c>
      <c r="J1904" s="152" t="str">
        <f t="shared" ref="J1904:L1904" si="264">$F1904 &amp; ". " &amp;G1904</f>
        <v>374. </v>
      </c>
      <c r="K1904" s="152" t="str">
        <f t="shared" si="264"/>
        <v>374. </v>
      </c>
      <c r="L1904" s="152" t="str">
        <f t="shared" si="264"/>
        <v>374. </v>
      </c>
    </row>
    <row r="1905" hidden="1">
      <c r="A1905" s="24"/>
      <c r="B1905" s="24"/>
      <c r="C1905" s="28"/>
      <c r="D1905" s="28"/>
      <c r="E1905" s="28"/>
      <c r="F1905" s="161">
        <v>375.0</v>
      </c>
      <c r="G1905" s="152" t="str">
        <f>IFERROR(__xludf.DUMMYFUNCTION("TRIM(REGEXREPLACE(C1905, ""[0-9]+[a-f]?\."", """"))"),"")</f>
        <v/>
      </c>
      <c r="H1905" s="152" t="str">
        <f>IFERROR(__xludf.DUMMYFUNCTION("TRIM(REGEXREPLACE(D1905, ""[0-9]+[a-f]?\."", """"))"),"")</f>
        <v/>
      </c>
      <c r="I1905" s="152" t="str">
        <f>IFERROR(__xludf.DUMMYFUNCTION("TRIM(REGEXREPLACE(E1905, ""[0-9]+[a-f]?\."", """"))"),"")</f>
        <v/>
      </c>
      <c r="J1905" s="152" t="str">
        <f t="shared" ref="J1905:L1905" si="265">$F1905 &amp; ". " &amp;G1905</f>
        <v>375. </v>
      </c>
      <c r="K1905" s="152" t="str">
        <f t="shared" si="265"/>
        <v>375. </v>
      </c>
      <c r="L1905" s="152" t="str">
        <f t="shared" si="265"/>
        <v>375. </v>
      </c>
    </row>
    <row r="1906" hidden="1">
      <c r="A1906" s="24"/>
      <c r="B1906" s="24"/>
      <c r="C1906" s="28"/>
      <c r="D1906" s="28"/>
      <c r="E1906" s="28"/>
      <c r="F1906" s="161">
        <v>376.0</v>
      </c>
      <c r="G1906" s="152" t="str">
        <f>IFERROR(__xludf.DUMMYFUNCTION("TRIM(REGEXREPLACE(C1906, ""[0-9]+[a-f]?\."", """"))"),"")</f>
        <v/>
      </c>
      <c r="H1906" s="152" t="str">
        <f>IFERROR(__xludf.DUMMYFUNCTION("TRIM(REGEXREPLACE(D1906, ""[0-9]+[a-f]?\."", """"))"),"")</f>
        <v/>
      </c>
      <c r="I1906" s="152" t="str">
        <f>IFERROR(__xludf.DUMMYFUNCTION("TRIM(REGEXREPLACE(E1906, ""[0-9]+[a-f]?\."", """"))"),"")</f>
        <v/>
      </c>
      <c r="J1906" s="152" t="str">
        <f t="shared" ref="J1906:L1906" si="266">$F1906 &amp; ". " &amp;G1906</f>
        <v>376. </v>
      </c>
      <c r="K1906" s="152" t="str">
        <f t="shared" si="266"/>
        <v>376. </v>
      </c>
      <c r="L1906" s="152" t="str">
        <f t="shared" si="266"/>
        <v>376. </v>
      </c>
    </row>
    <row r="1907" hidden="1">
      <c r="A1907" s="24"/>
      <c r="B1907" s="24"/>
      <c r="C1907" s="28"/>
      <c r="D1907" s="28"/>
      <c r="E1907" s="28"/>
      <c r="F1907" s="161">
        <v>377.0</v>
      </c>
      <c r="G1907" s="152" t="str">
        <f>IFERROR(__xludf.DUMMYFUNCTION("TRIM(REGEXREPLACE(C1907, ""[0-9]+[a-f]?\."", """"))"),"")</f>
        <v/>
      </c>
      <c r="H1907" s="152" t="str">
        <f>IFERROR(__xludf.DUMMYFUNCTION("TRIM(REGEXREPLACE(D1907, ""[0-9]+[a-f]?\."", """"))"),"")</f>
        <v/>
      </c>
      <c r="I1907" s="152" t="str">
        <f>IFERROR(__xludf.DUMMYFUNCTION("TRIM(REGEXREPLACE(E1907, ""[0-9]+[a-f]?\."", """"))"),"")</f>
        <v/>
      </c>
      <c r="J1907" s="152" t="str">
        <f t="shared" ref="J1907:L1907" si="267">$F1907 &amp; ". " &amp;G1907</f>
        <v>377. </v>
      </c>
      <c r="K1907" s="152" t="str">
        <f t="shared" si="267"/>
        <v>377. </v>
      </c>
      <c r="L1907" s="152" t="str">
        <f t="shared" si="267"/>
        <v>377. </v>
      </c>
    </row>
    <row r="1908" hidden="1">
      <c r="A1908" s="24"/>
      <c r="B1908" s="24"/>
      <c r="C1908" s="28"/>
      <c r="D1908" s="28"/>
      <c r="E1908" s="28"/>
      <c r="F1908" s="161">
        <v>378.0</v>
      </c>
      <c r="G1908" s="152" t="str">
        <f>IFERROR(__xludf.DUMMYFUNCTION("TRIM(REGEXREPLACE(C1908, ""[0-9]+[a-f]?\."", """"))"),"")</f>
        <v/>
      </c>
      <c r="H1908" s="152" t="str">
        <f>IFERROR(__xludf.DUMMYFUNCTION("TRIM(REGEXREPLACE(D1908, ""[0-9]+[a-f]?\."", """"))"),"")</f>
        <v/>
      </c>
      <c r="I1908" s="152" t="str">
        <f>IFERROR(__xludf.DUMMYFUNCTION("TRIM(REGEXREPLACE(E1908, ""[0-9]+[a-f]?\."", """"))"),"")</f>
        <v/>
      </c>
      <c r="J1908" s="152" t="str">
        <f t="shared" ref="J1908:L1908" si="268">$F1908 &amp; ". " &amp;G1908</f>
        <v>378. </v>
      </c>
      <c r="K1908" s="152" t="str">
        <f t="shared" si="268"/>
        <v>378. </v>
      </c>
      <c r="L1908" s="152" t="str">
        <f t="shared" si="268"/>
        <v>378. </v>
      </c>
    </row>
    <row r="1909" hidden="1">
      <c r="A1909" s="24"/>
      <c r="B1909" s="24"/>
      <c r="C1909" s="28"/>
      <c r="D1909" s="28"/>
      <c r="E1909" s="28"/>
    </row>
    <row r="1910" hidden="1">
      <c r="A1910" s="24"/>
      <c r="B1910" s="24"/>
      <c r="C1910" s="28"/>
      <c r="D1910" s="28"/>
      <c r="E1910" s="28"/>
    </row>
    <row r="1911" hidden="1">
      <c r="A1911" s="24"/>
      <c r="B1911" s="24"/>
      <c r="C1911" s="28"/>
      <c r="D1911" s="28"/>
      <c r="E1911" s="28"/>
    </row>
    <row r="1912" hidden="1">
      <c r="A1912" s="24"/>
      <c r="B1912" s="24"/>
      <c r="C1912" s="28"/>
      <c r="D1912" s="28"/>
      <c r="E1912" s="28"/>
      <c r="F1912" s="161">
        <v>379.0</v>
      </c>
      <c r="G1912" s="152" t="str">
        <f>IFERROR(__xludf.DUMMYFUNCTION("TRIM(REGEXREPLACE(C1912, ""[0-9]+[a-f]?\."", """"))"),"")</f>
        <v/>
      </c>
      <c r="H1912" s="152" t="str">
        <f>IFERROR(__xludf.DUMMYFUNCTION("TRIM(REGEXREPLACE(D1912, ""[0-9]+[a-f]?\."", """"))"),"")</f>
        <v/>
      </c>
      <c r="I1912" s="152" t="str">
        <f>IFERROR(__xludf.DUMMYFUNCTION("TRIM(REGEXREPLACE(E1912, ""[0-9]+[a-f]?\."", """"))"),"")</f>
        <v/>
      </c>
      <c r="J1912" s="152" t="str">
        <f t="shared" ref="J1912:L1912" si="269">$F1912 &amp; ". " &amp;G1912</f>
        <v>379. </v>
      </c>
      <c r="K1912" s="152" t="str">
        <f t="shared" si="269"/>
        <v>379. </v>
      </c>
      <c r="L1912" s="152" t="str">
        <f t="shared" si="269"/>
        <v>379. </v>
      </c>
    </row>
    <row r="1913" hidden="1">
      <c r="A1913" s="24"/>
      <c r="B1913" s="24"/>
      <c r="C1913" s="28"/>
      <c r="D1913" s="28"/>
      <c r="E1913" s="28"/>
      <c r="F1913" s="161">
        <v>380.0</v>
      </c>
      <c r="G1913" s="152" t="str">
        <f>IFERROR(__xludf.DUMMYFUNCTION("TRIM(REGEXREPLACE(C1913, ""[0-9]+[a-f]?\."", """"))"),"")</f>
        <v/>
      </c>
      <c r="H1913" s="152" t="str">
        <f>IFERROR(__xludf.DUMMYFUNCTION("TRIM(REGEXREPLACE(D1913, ""[0-9]+[a-f]?\."", """"))"),"")</f>
        <v/>
      </c>
      <c r="I1913" s="152" t="str">
        <f>IFERROR(__xludf.DUMMYFUNCTION("TRIM(REGEXREPLACE(E1913, ""[0-9]+[a-f]?\."", """"))"),"")</f>
        <v/>
      </c>
      <c r="J1913" s="152" t="str">
        <f t="shared" ref="J1913:L1913" si="270">$F1913 &amp; ". " &amp;G1913</f>
        <v>380. </v>
      </c>
      <c r="K1913" s="152" t="str">
        <f t="shared" si="270"/>
        <v>380. </v>
      </c>
      <c r="L1913" s="152" t="str">
        <f t="shared" si="270"/>
        <v>380. </v>
      </c>
    </row>
    <row r="1914" hidden="1">
      <c r="A1914" s="24"/>
      <c r="B1914" s="24"/>
      <c r="C1914" s="28"/>
      <c r="D1914" s="28"/>
      <c r="E1914" s="28"/>
      <c r="F1914" s="161">
        <v>381.0</v>
      </c>
      <c r="G1914" s="152" t="str">
        <f>IFERROR(__xludf.DUMMYFUNCTION("TRIM(REGEXREPLACE(C1914, ""[0-9]+[a-f]?\."", """"))"),"")</f>
        <v/>
      </c>
      <c r="H1914" s="152" t="str">
        <f>IFERROR(__xludf.DUMMYFUNCTION("TRIM(REGEXREPLACE(D1914, ""[0-9]+[a-f]?\."", """"))"),"")</f>
        <v/>
      </c>
      <c r="I1914" s="152" t="str">
        <f>IFERROR(__xludf.DUMMYFUNCTION("TRIM(REGEXREPLACE(E1914, ""[0-9]+[a-f]?\."", """"))"),"")</f>
        <v/>
      </c>
      <c r="J1914" s="152" t="str">
        <f t="shared" ref="J1914:L1914" si="271">$F1914 &amp; ". " &amp;G1914</f>
        <v>381. </v>
      </c>
      <c r="K1914" s="152" t="str">
        <f t="shared" si="271"/>
        <v>381. </v>
      </c>
      <c r="L1914" s="152" t="str">
        <f t="shared" si="271"/>
        <v>381. </v>
      </c>
    </row>
    <row r="1915" hidden="1">
      <c r="A1915" s="24"/>
      <c r="B1915" s="24"/>
      <c r="C1915" s="28"/>
      <c r="D1915" s="28"/>
      <c r="E1915" s="28"/>
      <c r="F1915" s="161">
        <v>382.0</v>
      </c>
      <c r="G1915" s="152" t="str">
        <f>IFERROR(__xludf.DUMMYFUNCTION("TRIM(REGEXREPLACE(C1915, ""[0-9]+[a-f]?\."", """"))"),"")</f>
        <v/>
      </c>
      <c r="H1915" s="152" t="str">
        <f>IFERROR(__xludf.DUMMYFUNCTION("TRIM(REGEXREPLACE(D1915, ""[0-9]+[a-f]?\."", """"))"),"")</f>
        <v/>
      </c>
      <c r="I1915" s="152" t="str">
        <f>IFERROR(__xludf.DUMMYFUNCTION("TRIM(REGEXREPLACE(E1915, ""[0-9]+[a-f]?\."", """"))"),"")</f>
        <v/>
      </c>
      <c r="J1915" s="152" t="str">
        <f t="shared" ref="J1915:L1915" si="272">$F1915 &amp; ". " &amp;G1915</f>
        <v>382. </v>
      </c>
      <c r="K1915" s="152" t="str">
        <f t="shared" si="272"/>
        <v>382. </v>
      </c>
      <c r="L1915" s="152" t="str">
        <f t="shared" si="272"/>
        <v>382. </v>
      </c>
    </row>
    <row r="1916" hidden="1">
      <c r="A1916" s="24"/>
      <c r="B1916" s="24"/>
      <c r="C1916" s="28"/>
      <c r="D1916" s="28"/>
      <c r="E1916" s="28"/>
      <c r="F1916" s="161">
        <v>383.0</v>
      </c>
      <c r="G1916" s="152" t="str">
        <f>IFERROR(__xludf.DUMMYFUNCTION("TRIM(REGEXREPLACE(C1916, ""[0-9]+[a-f]?\."", """"))"),"")</f>
        <v/>
      </c>
      <c r="H1916" s="152" t="str">
        <f>IFERROR(__xludf.DUMMYFUNCTION("TRIM(REGEXREPLACE(D1916, ""[0-9]+[a-f]?\."", """"))"),"")</f>
        <v/>
      </c>
      <c r="I1916" s="152" t="str">
        <f>IFERROR(__xludf.DUMMYFUNCTION("TRIM(REGEXREPLACE(E1916, ""[0-9]+[a-f]?\."", """"))"),"")</f>
        <v/>
      </c>
      <c r="J1916" s="152" t="str">
        <f t="shared" ref="J1916:L1916" si="273">$F1916 &amp; ". " &amp;G1916</f>
        <v>383. </v>
      </c>
      <c r="K1916" s="152" t="str">
        <f t="shared" si="273"/>
        <v>383. </v>
      </c>
      <c r="L1916" s="152" t="str">
        <f t="shared" si="273"/>
        <v>383. </v>
      </c>
    </row>
    <row r="1917" hidden="1">
      <c r="A1917" s="24"/>
      <c r="B1917" s="24"/>
      <c r="C1917" s="28"/>
      <c r="D1917" s="28"/>
      <c r="E1917" s="28"/>
      <c r="F1917" s="161">
        <v>384.0</v>
      </c>
      <c r="G1917" s="152" t="str">
        <f>IFERROR(__xludf.DUMMYFUNCTION("TRIM(REGEXREPLACE(C1917, ""[0-9]+[a-f]?\."", """"))"),"")</f>
        <v/>
      </c>
      <c r="H1917" s="152" t="str">
        <f>IFERROR(__xludf.DUMMYFUNCTION("TRIM(REGEXREPLACE(D1917, ""[0-9]+[a-f]?\."", """"))"),"")</f>
        <v/>
      </c>
      <c r="I1917" s="152" t="str">
        <f>IFERROR(__xludf.DUMMYFUNCTION("TRIM(REGEXREPLACE(E1917, ""[0-9]+[a-f]?\."", """"))"),"")</f>
        <v/>
      </c>
      <c r="J1917" s="152" t="str">
        <f t="shared" ref="J1917:L1917" si="274">$F1917 &amp; ". " &amp;G1917</f>
        <v>384. </v>
      </c>
      <c r="K1917" s="152" t="str">
        <f t="shared" si="274"/>
        <v>384. </v>
      </c>
      <c r="L1917" s="152" t="str">
        <f t="shared" si="274"/>
        <v>384. </v>
      </c>
    </row>
    <row r="1918" hidden="1">
      <c r="A1918" s="24"/>
      <c r="B1918" s="24"/>
      <c r="C1918" s="28"/>
      <c r="D1918" s="28"/>
      <c r="E1918" s="28"/>
      <c r="F1918" s="161">
        <v>385.0</v>
      </c>
      <c r="G1918" s="152" t="str">
        <f>IFERROR(__xludf.DUMMYFUNCTION("TRIM(REGEXREPLACE(C1918, ""[0-9]+[a-f]?\."", """"))"),"")</f>
        <v/>
      </c>
      <c r="H1918" s="152" t="str">
        <f>IFERROR(__xludf.DUMMYFUNCTION("TRIM(REGEXREPLACE(D1918, ""[0-9]+[a-f]?\."", """"))"),"")</f>
        <v/>
      </c>
      <c r="I1918" s="152" t="str">
        <f>IFERROR(__xludf.DUMMYFUNCTION("TRIM(REGEXREPLACE(E1918, ""[0-9]+[a-f]?\."", """"))"),"")</f>
        <v/>
      </c>
      <c r="J1918" s="152" t="str">
        <f t="shared" ref="J1918:L1918" si="275">$F1918 &amp; ". " &amp;G1918</f>
        <v>385. </v>
      </c>
      <c r="K1918" s="152" t="str">
        <f t="shared" si="275"/>
        <v>385. </v>
      </c>
      <c r="L1918" s="152" t="str">
        <f t="shared" si="275"/>
        <v>385. </v>
      </c>
    </row>
    <row r="1919" hidden="1">
      <c r="A1919" s="24"/>
      <c r="B1919" s="24"/>
      <c r="C1919" s="28"/>
      <c r="D1919" s="28"/>
      <c r="E1919" s="28"/>
      <c r="F1919" s="161">
        <v>386.0</v>
      </c>
      <c r="G1919" s="152" t="str">
        <f>IFERROR(__xludf.DUMMYFUNCTION("TRIM(REGEXREPLACE(C1919, ""[0-9]+[a-f]?\."", """"))"),"")</f>
        <v/>
      </c>
      <c r="H1919" s="152" t="str">
        <f>IFERROR(__xludf.DUMMYFUNCTION("TRIM(REGEXREPLACE(D1919, ""[0-9]+[a-f]?\."", """"))"),"")</f>
        <v/>
      </c>
      <c r="I1919" s="152" t="str">
        <f>IFERROR(__xludf.DUMMYFUNCTION("TRIM(REGEXREPLACE(E1919, ""[0-9]+[a-f]?\."", """"))"),"")</f>
        <v/>
      </c>
      <c r="J1919" s="152" t="str">
        <f t="shared" ref="J1919:L1919" si="276">$F1919 &amp; ". " &amp;G1919</f>
        <v>386. </v>
      </c>
      <c r="K1919" s="152" t="str">
        <f t="shared" si="276"/>
        <v>386. </v>
      </c>
      <c r="L1919" s="152" t="str">
        <f t="shared" si="276"/>
        <v>386. </v>
      </c>
    </row>
    <row r="1920" hidden="1">
      <c r="A1920" s="24"/>
      <c r="B1920" s="24"/>
      <c r="C1920" s="28"/>
      <c r="D1920" s="28"/>
      <c r="E1920" s="28"/>
      <c r="F1920" s="161">
        <v>387.0</v>
      </c>
      <c r="G1920" s="152" t="str">
        <f>IFERROR(__xludf.DUMMYFUNCTION("TRIM(REGEXREPLACE(C1920, ""[0-9]+[a-f]?\."", """"))"),"")</f>
        <v/>
      </c>
      <c r="H1920" s="152" t="str">
        <f>IFERROR(__xludf.DUMMYFUNCTION("TRIM(REGEXREPLACE(D1920, ""[0-9]+[a-f]?\."", """"))"),"")</f>
        <v/>
      </c>
      <c r="I1920" s="152" t="str">
        <f>IFERROR(__xludf.DUMMYFUNCTION("TRIM(REGEXREPLACE(E1920, ""[0-9]+[a-f]?\."", """"))"),"")</f>
        <v/>
      </c>
      <c r="J1920" s="152" t="str">
        <f t="shared" ref="J1920:L1920" si="277">$F1920 &amp; ". " &amp;G1920</f>
        <v>387. </v>
      </c>
      <c r="K1920" s="152" t="str">
        <f t="shared" si="277"/>
        <v>387. </v>
      </c>
      <c r="L1920" s="152" t="str">
        <f t="shared" si="277"/>
        <v>387. </v>
      </c>
    </row>
    <row r="1921" hidden="1">
      <c r="A1921" s="24"/>
      <c r="B1921" s="24"/>
      <c r="C1921" s="28"/>
      <c r="D1921" s="28"/>
      <c r="E1921" s="28"/>
    </row>
    <row r="1922" hidden="1">
      <c r="A1922" s="24"/>
      <c r="B1922" s="24"/>
      <c r="C1922" s="28"/>
      <c r="D1922" s="28"/>
      <c r="E1922" s="28"/>
    </row>
    <row r="1923" hidden="1">
      <c r="A1923" s="24"/>
      <c r="B1923" s="24"/>
      <c r="C1923" s="28"/>
      <c r="D1923" s="28"/>
      <c r="E1923" s="28"/>
    </row>
    <row r="1924" hidden="1">
      <c r="A1924" s="24"/>
      <c r="B1924" s="24"/>
      <c r="C1924" s="28"/>
      <c r="D1924" s="28"/>
      <c r="E1924" s="28"/>
    </row>
    <row r="1925" hidden="1">
      <c r="A1925" s="24"/>
      <c r="B1925" s="24"/>
      <c r="C1925" s="28"/>
      <c r="D1925" s="28"/>
      <c r="E1925" s="28"/>
    </row>
    <row r="1926" hidden="1">
      <c r="A1926" s="24"/>
      <c r="B1926" s="24"/>
      <c r="C1926" s="28"/>
      <c r="D1926" s="28"/>
      <c r="E1926" s="28"/>
      <c r="F1926" s="161">
        <v>388.0</v>
      </c>
      <c r="G1926" s="152" t="str">
        <f>IFERROR(__xludf.DUMMYFUNCTION("TRIM(REGEXREPLACE(C1926, ""[0-9]+[a-f]?\."", """"))"),"")</f>
        <v/>
      </c>
      <c r="H1926" s="152" t="str">
        <f>IFERROR(__xludf.DUMMYFUNCTION("TRIM(REGEXREPLACE(D1926, ""[0-9]+[a-f]?\."", """"))"),"")</f>
        <v/>
      </c>
      <c r="I1926" s="152" t="str">
        <f>IFERROR(__xludf.DUMMYFUNCTION("TRIM(REGEXREPLACE(E1926, ""[0-9]+[a-f]?\."", """"))"),"")</f>
        <v/>
      </c>
      <c r="J1926" s="152" t="str">
        <f t="shared" ref="J1926:L1926" si="278">$F1926 &amp; ". " &amp;G1926</f>
        <v>388. </v>
      </c>
      <c r="K1926" s="152" t="str">
        <f t="shared" si="278"/>
        <v>388. </v>
      </c>
      <c r="L1926" s="152" t="str">
        <f t="shared" si="278"/>
        <v>388. </v>
      </c>
    </row>
    <row r="1927" hidden="1">
      <c r="A1927" s="24"/>
      <c r="B1927" s="24"/>
      <c r="C1927" s="28"/>
      <c r="D1927" s="28"/>
      <c r="E1927" s="28"/>
      <c r="F1927" s="161">
        <v>389.0</v>
      </c>
      <c r="G1927" s="152" t="str">
        <f>IFERROR(__xludf.DUMMYFUNCTION("TRIM(REGEXREPLACE(C1927, ""[0-9]+[a-f]?\."", """"))"),"")</f>
        <v/>
      </c>
      <c r="H1927" s="152" t="str">
        <f>IFERROR(__xludf.DUMMYFUNCTION("TRIM(REGEXREPLACE(D1927, ""[0-9]+[a-f]?\."", """"))"),"")</f>
        <v/>
      </c>
      <c r="I1927" s="152" t="str">
        <f>IFERROR(__xludf.DUMMYFUNCTION("TRIM(REGEXREPLACE(E1927, ""[0-9]+[a-f]?\."", """"))"),"")</f>
        <v/>
      </c>
      <c r="J1927" s="152" t="str">
        <f t="shared" ref="J1927:L1927" si="279">$F1927 &amp; ". " &amp;G1927</f>
        <v>389. </v>
      </c>
      <c r="K1927" s="152" t="str">
        <f t="shared" si="279"/>
        <v>389. </v>
      </c>
      <c r="L1927" s="152" t="str">
        <f t="shared" si="279"/>
        <v>389. </v>
      </c>
    </row>
    <row r="1928" hidden="1">
      <c r="A1928" s="24"/>
      <c r="B1928" s="24"/>
      <c r="C1928" s="28"/>
      <c r="D1928" s="28"/>
      <c r="E1928" s="28"/>
      <c r="F1928" s="161">
        <v>390.0</v>
      </c>
      <c r="G1928" s="152" t="str">
        <f>IFERROR(__xludf.DUMMYFUNCTION("TRIM(REGEXREPLACE(C1928, ""[0-9]+[a-f]?\."", """"))"),"")</f>
        <v/>
      </c>
      <c r="H1928" s="152" t="str">
        <f>IFERROR(__xludf.DUMMYFUNCTION("TRIM(REGEXREPLACE(D1928, ""[0-9]+[a-f]?\."", """"))"),"")</f>
        <v/>
      </c>
      <c r="I1928" s="152" t="str">
        <f>IFERROR(__xludf.DUMMYFUNCTION("TRIM(REGEXREPLACE(E1928, ""[0-9]+[a-f]?\."", """"))"),"")</f>
        <v/>
      </c>
      <c r="J1928" s="152" t="str">
        <f t="shared" ref="J1928:L1928" si="280">$F1928 &amp; ". " &amp;G1928</f>
        <v>390. </v>
      </c>
      <c r="K1928" s="152" t="str">
        <f t="shared" si="280"/>
        <v>390. </v>
      </c>
      <c r="L1928" s="152" t="str">
        <f t="shared" si="280"/>
        <v>390. </v>
      </c>
    </row>
    <row r="1929" hidden="1">
      <c r="A1929" s="24"/>
      <c r="B1929" s="24"/>
      <c r="C1929" s="28"/>
      <c r="D1929" s="28"/>
      <c r="E1929" s="28"/>
      <c r="F1929" s="161">
        <v>391.0</v>
      </c>
      <c r="G1929" s="152" t="str">
        <f>IFERROR(__xludf.DUMMYFUNCTION("TRIM(REGEXREPLACE(C1929, ""[0-9]+[a-f]?\."", """"))"),"")</f>
        <v/>
      </c>
      <c r="H1929" s="152" t="str">
        <f>IFERROR(__xludf.DUMMYFUNCTION("TRIM(REGEXREPLACE(D1929, ""[0-9]+[a-f]?\."", """"))"),"")</f>
        <v/>
      </c>
      <c r="I1929" s="152" t="str">
        <f>IFERROR(__xludf.DUMMYFUNCTION("TRIM(REGEXREPLACE(E1929, ""[0-9]+[a-f]?\."", """"))"),"")</f>
        <v/>
      </c>
      <c r="J1929" s="152" t="str">
        <f t="shared" ref="J1929:L1929" si="281">$F1929 &amp; ". " &amp;G1929</f>
        <v>391. </v>
      </c>
      <c r="K1929" s="152" t="str">
        <f t="shared" si="281"/>
        <v>391. </v>
      </c>
      <c r="L1929" s="152" t="str">
        <f t="shared" si="281"/>
        <v>391. </v>
      </c>
    </row>
    <row r="1930" hidden="1">
      <c r="A1930" s="24"/>
      <c r="B1930" s="24"/>
      <c r="C1930" s="28"/>
      <c r="D1930" s="28"/>
      <c r="E1930" s="28"/>
      <c r="F1930" s="161">
        <v>392.0</v>
      </c>
      <c r="G1930" s="152" t="str">
        <f>IFERROR(__xludf.DUMMYFUNCTION("TRIM(REGEXREPLACE(C1930, ""[0-9]+[a-f]?\."", """"))"),"")</f>
        <v/>
      </c>
      <c r="H1930" s="152" t="str">
        <f>IFERROR(__xludf.DUMMYFUNCTION("TRIM(REGEXREPLACE(D1930, ""[0-9]+[a-f]?\."", """"))"),"")</f>
        <v/>
      </c>
      <c r="I1930" s="152" t="str">
        <f>IFERROR(__xludf.DUMMYFUNCTION("TRIM(REGEXREPLACE(E1930, ""[0-9]+[a-f]?\."", """"))"),"")</f>
        <v/>
      </c>
      <c r="J1930" s="152" t="str">
        <f t="shared" ref="J1930:L1930" si="282">$F1930 &amp; ". " &amp;G1930</f>
        <v>392. </v>
      </c>
      <c r="K1930" s="152" t="str">
        <f t="shared" si="282"/>
        <v>392. </v>
      </c>
      <c r="L1930" s="152" t="str">
        <f t="shared" si="282"/>
        <v>392. </v>
      </c>
    </row>
    <row r="1931" hidden="1">
      <c r="A1931" s="24"/>
      <c r="B1931" s="24"/>
      <c r="C1931" s="28"/>
      <c r="D1931" s="28"/>
      <c r="E1931" s="28"/>
      <c r="F1931" s="161">
        <v>393.0</v>
      </c>
      <c r="G1931" s="152" t="str">
        <f>IFERROR(__xludf.DUMMYFUNCTION("TRIM(REGEXREPLACE(C1931, ""[0-9]+[a-f]?\."", """"))"),"")</f>
        <v/>
      </c>
      <c r="H1931" s="152" t="str">
        <f>IFERROR(__xludf.DUMMYFUNCTION("TRIM(REGEXREPLACE(D1931, ""[0-9]+[a-f]?\."", """"))"),"")</f>
        <v/>
      </c>
      <c r="I1931" s="152" t="str">
        <f>IFERROR(__xludf.DUMMYFUNCTION("TRIM(REGEXREPLACE(E1931, ""[0-9]+[a-f]?\."", """"))"),"")</f>
        <v/>
      </c>
      <c r="J1931" s="152" t="str">
        <f t="shared" ref="J1931:L1931" si="283">$F1931 &amp; ". " &amp;G1931</f>
        <v>393. </v>
      </c>
      <c r="K1931" s="152" t="str">
        <f t="shared" si="283"/>
        <v>393. </v>
      </c>
      <c r="L1931" s="152" t="str">
        <f t="shared" si="283"/>
        <v>393. </v>
      </c>
    </row>
    <row r="1932" hidden="1">
      <c r="A1932" s="24"/>
      <c r="B1932" s="24"/>
      <c r="C1932" s="28"/>
      <c r="D1932" s="28"/>
      <c r="E1932" s="28"/>
      <c r="F1932" s="161">
        <v>394.0</v>
      </c>
      <c r="G1932" s="152" t="str">
        <f>IFERROR(__xludf.DUMMYFUNCTION("TRIM(REGEXREPLACE(C1932, ""[0-9]+[a-f]?\."", """"))"),"")</f>
        <v/>
      </c>
      <c r="H1932" s="152" t="str">
        <f>IFERROR(__xludf.DUMMYFUNCTION("TRIM(REGEXREPLACE(D1932, ""[0-9]+[a-f]?\."", """"))"),"")</f>
        <v/>
      </c>
      <c r="I1932" s="152" t="str">
        <f>IFERROR(__xludf.DUMMYFUNCTION("TRIM(REGEXREPLACE(E1932, ""[0-9]+[a-f]?\."", """"))"),"")</f>
        <v/>
      </c>
      <c r="J1932" s="152" t="str">
        <f t="shared" ref="J1932:L1932" si="284">$F1932 &amp; ". " &amp;G1932</f>
        <v>394. </v>
      </c>
      <c r="K1932" s="152" t="str">
        <f t="shared" si="284"/>
        <v>394. </v>
      </c>
      <c r="L1932" s="152" t="str">
        <f t="shared" si="284"/>
        <v>394. </v>
      </c>
    </row>
    <row r="1933" hidden="1">
      <c r="A1933" s="24"/>
      <c r="B1933" s="24"/>
      <c r="C1933" s="28"/>
      <c r="D1933" s="28"/>
      <c r="E1933" s="28"/>
      <c r="F1933" s="161">
        <v>395.0</v>
      </c>
      <c r="G1933" s="152" t="str">
        <f>IFERROR(__xludf.DUMMYFUNCTION("TRIM(REGEXREPLACE(C1933, ""[0-9]+[a-f]?\."", """"))"),"")</f>
        <v/>
      </c>
      <c r="H1933" s="152" t="str">
        <f>IFERROR(__xludf.DUMMYFUNCTION("TRIM(REGEXREPLACE(D1933, ""[0-9]+[a-f]?\."", """"))"),"")</f>
        <v/>
      </c>
      <c r="I1933" s="152" t="str">
        <f>IFERROR(__xludf.DUMMYFUNCTION("TRIM(REGEXREPLACE(E1933, ""[0-9]+[a-f]?\."", """"))"),"")</f>
        <v/>
      </c>
      <c r="J1933" s="152" t="str">
        <f t="shared" ref="J1933:L1933" si="285">$F1933 &amp; ". " &amp;G1933</f>
        <v>395. </v>
      </c>
      <c r="K1933" s="152" t="str">
        <f t="shared" si="285"/>
        <v>395. </v>
      </c>
      <c r="L1933" s="152" t="str">
        <f t="shared" si="285"/>
        <v>395. </v>
      </c>
    </row>
    <row r="1934" hidden="1">
      <c r="A1934" s="24"/>
      <c r="B1934" s="24"/>
      <c r="C1934" s="28"/>
      <c r="D1934" s="28"/>
      <c r="E1934" s="28"/>
      <c r="F1934" s="161">
        <v>396.0</v>
      </c>
      <c r="G1934" s="152" t="str">
        <f>IFERROR(__xludf.DUMMYFUNCTION("TRIM(REGEXREPLACE(C1934, ""[0-9]+[a-f]?\."", """"))"),"")</f>
        <v/>
      </c>
      <c r="H1934" s="152" t="str">
        <f>IFERROR(__xludf.DUMMYFUNCTION("TRIM(REGEXREPLACE(D1934, ""[0-9]+[a-f]?\."", """"))"),"")</f>
        <v/>
      </c>
      <c r="I1934" s="152" t="str">
        <f>IFERROR(__xludf.DUMMYFUNCTION("TRIM(REGEXREPLACE(E1934, ""[0-9]+[a-f]?\."", """"))"),"")</f>
        <v/>
      </c>
      <c r="J1934" s="152" t="str">
        <f t="shared" ref="J1934:L1934" si="286">$F1934 &amp; ". " &amp;G1934</f>
        <v>396. </v>
      </c>
      <c r="K1934" s="152" t="str">
        <f t="shared" si="286"/>
        <v>396. </v>
      </c>
      <c r="L1934" s="152" t="str">
        <f t="shared" si="286"/>
        <v>396. </v>
      </c>
    </row>
    <row r="1935" hidden="1">
      <c r="A1935" s="24"/>
      <c r="B1935" s="24"/>
      <c r="C1935" s="28"/>
      <c r="D1935" s="28"/>
      <c r="E1935" s="28"/>
      <c r="F1935" s="161">
        <v>397.0</v>
      </c>
      <c r="G1935" s="152" t="str">
        <f>IFERROR(__xludf.DUMMYFUNCTION("TRIM(REGEXREPLACE(C1935, ""[0-9]+[a-f]?\."", """"))"),"")</f>
        <v/>
      </c>
      <c r="H1935" s="152" t="str">
        <f>IFERROR(__xludf.DUMMYFUNCTION("TRIM(REGEXREPLACE(D1935, ""[0-9]+[a-f]?\."", """"))"),"")</f>
        <v/>
      </c>
      <c r="I1935" s="152" t="str">
        <f>IFERROR(__xludf.DUMMYFUNCTION("TRIM(REGEXREPLACE(E1935, ""[0-9]+[a-f]?\."", """"))"),"")</f>
        <v/>
      </c>
      <c r="J1935" s="152" t="str">
        <f t="shared" ref="J1935:L1935" si="287">$F1935 &amp; ". " &amp;G1935</f>
        <v>397. </v>
      </c>
      <c r="K1935" s="152" t="str">
        <f t="shared" si="287"/>
        <v>397. </v>
      </c>
      <c r="L1935" s="152" t="str">
        <f t="shared" si="287"/>
        <v>397. </v>
      </c>
    </row>
    <row r="1936" hidden="1">
      <c r="A1936" s="24"/>
      <c r="B1936" s="24"/>
      <c r="C1936" s="28"/>
      <c r="D1936" s="28"/>
      <c r="E1936" s="28"/>
      <c r="F1936" s="161">
        <v>398.0</v>
      </c>
      <c r="G1936" s="152" t="str">
        <f>IFERROR(__xludf.DUMMYFUNCTION("TRIM(REGEXREPLACE(C1936, ""[0-9]+[a-f]?\."", """"))"),"")</f>
        <v/>
      </c>
      <c r="H1936" s="152" t="str">
        <f>IFERROR(__xludf.DUMMYFUNCTION("TRIM(REGEXREPLACE(D1936, ""[0-9]+[a-f]?\."", """"))"),"")</f>
        <v/>
      </c>
      <c r="I1936" s="152" t="str">
        <f>IFERROR(__xludf.DUMMYFUNCTION("TRIM(REGEXREPLACE(E1936, ""[0-9]+[a-f]?\."", """"))"),"")</f>
        <v/>
      </c>
      <c r="J1936" s="152" t="str">
        <f t="shared" ref="J1936:L1936" si="288">$F1936 &amp; ". " &amp;G1936</f>
        <v>398. </v>
      </c>
      <c r="K1936" s="152" t="str">
        <f t="shared" si="288"/>
        <v>398. </v>
      </c>
      <c r="L1936" s="152" t="str">
        <f t="shared" si="288"/>
        <v>398. </v>
      </c>
    </row>
    <row r="1937" hidden="1">
      <c r="A1937" s="24"/>
      <c r="B1937" s="24"/>
      <c r="C1937" s="28"/>
      <c r="D1937" s="28"/>
      <c r="E1937" s="28"/>
      <c r="F1937" s="161">
        <v>399.0</v>
      </c>
      <c r="G1937" s="152" t="str">
        <f>IFERROR(__xludf.DUMMYFUNCTION("TRIM(REGEXREPLACE(C1937, ""[0-9]+[a-f]?\."", """"))"),"")</f>
        <v/>
      </c>
      <c r="H1937" s="152" t="str">
        <f>IFERROR(__xludf.DUMMYFUNCTION("TRIM(REGEXREPLACE(D1937, ""[0-9]+[a-f]?\."", """"))"),"")</f>
        <v/>
      </c>
      <c r="I1937" s="152" t="str">
        <f>IFERROR(__xludf.DUMMYFUNCTION("TRIM(REGEXREPLACE(E1937, ""[0-9]+[a-f]?\."", """"))"),"")</f>
        <v/>
      </c>
      <c r="J1937" s="152" t="str">
        <f t="shared" ref="J1937:L1937" si="289">$F1937 &amp; ". " &amp;G1937</f>
        <v>399. </v>
      </c>
      <c r="K1937" s="152" t="str">
        <f t="shared" si="289"/>
        <v>399. </v>
      </c>
      <c r="L1937" s="152" t="str">
        <f t="shared" si="289"/>
        <v>399. </v>
      </c>
    </row>
    <row r="1938" hidden="1">
      <c r="A1938" s="24"/>
      <c r="B1938" s="24"/>
      <c r="C1938" s="28"/>
      <c r="D1938" s="28"/>
      <c r="E1938" s="28"/>
      <c r="F1938" s="161">
        <v>400.0</v>
      </c>
      <c r="G1938" s="152" t="str">
        <f>IFERROR(__xludf.DUMMYFUNCTION("TRIM(REGEXREPLACE(C1938, ""[0-9]+[a-f]?\."", """"))"),"")</f>
        <v/>
      </c>
      <c r="H1938" s="152" t="str">
        <f>IFERROR(__xludf.DUMMYFUNCTION("TRIM(REGEXREPLACE(D1938, ""[0-9]+[a-f]?\."", """"))"),"")</f>
        <v/>
      </c>
      <c r="I1938" s="152" t="str">
        <f>IFERROR(__xludf.DUMMYFUNCTION("TRIM(REGEXREPLACE(E1938, ""[0-9]+[a-f]?\."", """"))"),"")</f>
        <v/>
      </c>
      <c r="J1938" s="152" t="str">
        <f t="shared" ref="J1938:L1938" si="290">$F1938 &amp; ". " &amp;G1938</f>
        <v>400. </v>
      </c>
      <c r="K1938" s="152" t="str">
        <f t="shared" si="290"/>
        <v>400. </v>
      </c>
      <c r="L1938" s="152" t="str">
        <f t="shared" si="290"/>
        <v>400. </v>
      </c>
    </row>
    <row r="1939" hidden="1">
      <c r="A1939" s="24"/>
      <c r="B1939" s="24"/>
      <c r="C1939" s="28"/>
      <c r="D1939" s="28"/>
      <c r="E1939" s="28"/>
    </row>
    <row r="1940" hidden="1">
      <c r="A1940" s="24"/>
      <c r="B1940" s="24"/>
      <c r="C1940" s="28"/>
      <c r="D1940" s="28"/>
      <c r="E1940" s="28"/>
    </row>
    <row r="1941" hidden="1">
      <c r="A1941" s="24"/>
      <c r="B1941" s="24"/>
      <c r="C1941" s="28"/>
      <c r="D1941" s="28"/>
      <c r="E1941" s="28"/>
    </row>
    <row r="1942" hidden="1">
      <c r="A1942" s="24"/>
      <c r="B1942" s="24"/>
      <c r="C1942" s="28"/>
      <c r="D1942" s="28"/>
      <c r="E1942" s="28"/>
    </row>
    <row r="1943" hidden="1">
      <c r="A1943" s="24"/>
      <c r="B1943" s="24"/>
      <c r="C1943" s="28"/>
      <c r="D1943" s="28"/>
      <c r="E1943" s="28"/>
    </row>
    <row r="1944" hidden="1">
      <c r="A1944" s="24"/>
      <c r="B1944" s="24"/>
      <c r="C1944" s="28"/>
      <c r="D1944" s="28"/>
      <c r="E1944" s="28"/>
      <c r="F1944" s="161">
        <v>401.0</v>
      </c>
      <c r="G1944" s="152" t="str">
        <f>IFERROR(__xludf.DUMMYFUNCTION("TRIM(REGEXREPLACE(C1944, ""[0-9]+[a-f]?\."", """"))"),"")</f>
        <v/>
      </c>
      <c r="H1944" s="152" t="str">
        <f>IFERROR(__xludf.DUMMYFUNCTION("TRIM(REGEXREPLACE(D1944, ""[0-9]+[a-f]?\."", """"))"),"")</f>
        <v/>
      </c>
      <c r="I1944" s="152" t="str">
        <f>IFERROR(__xludf.DUMMYFUNCTION("TRIM(REGEXREPLACE(E1944, ""[0-9]+[a-f]?\."", """"))"),"")</f>
        <v/>
      </c>
      <c r="J1944" s="152" t="str">
        <f t="shared" ref="J1944:L1944" si="291">$F1944 &amp; ". " &amp;G1944</f>
        <v>401. </v>
      </c>
      <c r="K1944" s="152" t="str">
        <f t="shared" si="291"/>
        <v>401. </v>
      </c>
      <c r="L1944" s="152" t="str">
        <f t="shared" si="291"/>
        <v>401. </v>
      </c>
    </row>
    <row r="1945" hidden="1">
      <c r="A1945" s="24"/>
      <c r="B1945" s="24"/>
      <c r="C1945" s="28"/>
      <c r="D1945" s="28"/>
      <c r="E1945" s="28"/>
      <c r="F1945" s="161">
        <v>402.0</v>
      </c>
      <c r="G1945" s="152" t="str">
        <f>IFERROR(__xludf.DUMMYFUNCTION("TRIM(REGEXREPLACE(C1945, ""[0-9]+[a-f]?\."", """"))"),"")</f>
        <v/>
      </c>
      <c r="H1945" s="152" t="str">
        <f>IFERROR(__xludf.DUMMYFUNCTION("TRIM(REGEXREPLACE(D1945, ""[0-9]+[a-f]?\."", """"))"),"")</f>
        <v/>
      </c>
      <c r="I1945" s="152" t="str">
        <f>IFERROR(__xludf.DUMMYFUNCTION("TRIM(REGEXREPLACE(E1945, ""[0-9]+[a-f]?\."", """"))"),"")</f>
        <v/>
      </c>
      <c r="J1945" s="152" t="str">
        <f t="shared" ref="J1945:L1945" si="292">$F1945 &amp; ". " &amp;G1945</f>
        <v>402. </v>
      </c>
      <c r="K1945" s="152" t="str">
        <f t="shared" si="292"/>
        <v>402. </v>
      </c>
      <c r="L1945" s="152" t="str">
        <f t="shared" si="292"/>
        <v>402. </v>
      </c>
    </row>
    <row r="1946" hidden="1">
      <c r="A1946" s="24"/>
      <c r="B1946" s="24"/>
      <c r="C1946" s="28"/>
      <c r="D1946" s="28"/>
      <c r="E1946" s="28"/>
    </row>
    <row r="1947" hidden="1">
      <c r="A1947" s="24"/>
      <c r="B1947" s="24"/>
      <c r="C1947" s="28"/>
      <c r="D1947" s="28"/>
      <c r="E1947" s="28"/>
      <c r="F1947" s="161">
        <v>403.0</v>
      </c>
      <c r="G1947" s="152" t="str">
        <f>IFERROR(__xludf.DUMMYFUNCTION("TRIM(REGEXREPLACE(C1947, ""[0-9]+[a-f]?\."", """"))"),"")</f>
        <v/>
      </c>
      <c r="H1947" s="152" t="str">
        <f>IFERROR(__xludf.DUMMYFUNCTION("TRIM(REGEXREPLACE(D1947, ""[0-9]+[a-f]?\."", """"))"),"")</f>
        <v/>
      </c>
      <c r="I1947" s="152" t="str">
        <f>IFERROR(__xludf.DUMMYFUNCTION("TRIM(REGEXREPLACE(E1947, ""[0-9]+[a-f]?\."", """"))"),"")</f>
        <v/>
      </c>
      <c r="J1947" s="152" t="str">
        <f t="shared" ref="J1947:L1947" si="293">$F1947 &amp; ". " &amp;G1947</f>
        <v>403. </v>
      </c>
      <c r="K1947" s="152" t="str">
        <f t="shared" si="293"/>
        <v>403. </v>
      </c>
      <c r="L1947" s="152" t="str">
        <f t="shared" si="293"/>
        <v>403. </v>
      </c>
    </row>
    <row r="1948" hidden="1">
      <c r="A1948" s="24"/>
      <c r="B1948" s="24"/>
      <c r="C1948" s="28"/>
      <c r="D1948" s="28"/>
      <c r="E1948" s="28"/>
      <c r="F1948" s="161">
        <v>404.0</v>
      </c>
      <c r="G1948" s="152" t="str">
        <f>IFERROR(__xludf.DUMMYFUNCTION("TRIM(REGEXREPLACE(C1948, ""[0-9]+[a-f]?\."", """"))"),"")</f>
        <v/>
      </c>
      <c r="H1948" s="152" t="str">
        <f>IFERROR(__xludf.DUMMYFUNCTION("TRIM(REGEXREPLACE(D1948, ""[0-9]+[a-f]?\."", """"))"),"")</f>
        <v/>
      </c>
      <c r="I1948" s="152" t="str">
        <f>IFERROR(__xludf.DUMMYFUNCTION("TRIM(REGEXREPLACE(E1948, ""[0-9]+[a-f]?\."", """"))"),"")</f>
        <v/>
      </c>
      <c r="J1948" s="152" t="str">
        <f t="shared" ref="J1948:L1948" si="294">$F1948 &amp; ". " &amp;G1948</f>
        <v>404. </v>
      </c>
      <c r="K1948" s="152" t="str">
        <f t="shared" si="294"/>
        <v>404. </v>
      </c>
      <c r="L1948" s="152" t="str">
        <f t="shared" si="294"/>
        <v>404. </v>
      </c>
    </row>
    <row r="1949" hidden="1">
      <c r="A1949" s="24"/>
      <c r="B1949" s="24"/>
      <c r="C1949" s="28"/>
      <c r="D1949" s="28"/>
      <c r="E1949" s="28"/>
      <c r="F1949" s="161">
        <v>405.0</v>
      </c>
      <c r="G1949" s="152" t="str">
        <f>IFERROR(__xludf.DUMMYFUNCTION("TRIM(REGEXREPLACE(C1949, ""[0-9]+[a-f]?\."", """"))"),"")</f>
        <v/>
      </c>
      <c r="H1949" s="152" t="str">
        <f>IFERROR(__xludf.DUMMYFUNCTION("TRIM(REGEXREPLACE(D1949, ""[0-9]+[a-f]?\."", """"))"),"")</f>
        <v/>
      </c>
      <c r="I1949" s="152" t="str">
        <f>IFERROR(__xludf.DUMMYFUNCTION("TRIM(REGEXREPLACE(E1949, ""[0-9]+[a-f]?\."", """"))"),"")</f>
        <v/>
      </c>
      <c r="J1949" s="152" t="str">
        <f t="shared" ref="J1949:L1949" si="295">$F1949 &amp; ". " &amp;G1949</f>
        <v>405. </v>
      </c>
      <c r="K1949" s="152" t="str">
        <f t="shared" si="295"/>
        <v>405. </v>
      </c>
      <c r="L1949" s="152" t="str">
        <f t="shared" si="295"/>
        <v>405. </v>
      </c>
    </row>
    <row r="1950" hidden="1">
      <c r="A1950" s="24"/>
      <c r="B1950" s="24"/>
      <c r="C1950" s="28"/>
      <c r="D1950" s="28"/>
      <c r="E1950" s="28"/>
      <c r="F1950" s="161">
        <v>406.0</v>
      </c>
      <c r="G1950" s="152" t="str">
        <f>IFERROR(__xludf.DUMMYFUNCTION("TRIM(REGEXREPLACE(C1950, ""[0-9]+[a-f]?\."", """"))"),"")</f>
        <v/>
      </c>
      <c r="H1950" s="152" t="str">
        <f>IFERROR(__xludf.DUMMYFUNCTION("TRIM(REGEXREPLACE(D1950, ""[0-9]+[a-f]?\."", """"))"),"")</f>
        <v/>
      </c>
      <c r="I1950" s="152" t="str">
        <f>IFERROR(__xludf.DUMMYFUNCTION("TRIM(REGEXREPLACE(E1950, ""[0-9]+[a-f]?\."", """"))"),"")</f>
        <v/>
      </c>
      <c r="J1950" s="152" t="str">
        <f t="shared" ref="J1950:L1950" si="296">$F1950 &amp; ". " &amp;G1950</f>
        <v>406. </v>
      </c>
      <c r="K1950" s="152" t="str">
        <f t="shared" si="296"/>
        <v>406. </v>
      </c>
      <c r="L1950" s="152" t="str">
        <f t="shared" si="296"/>
        <v>406. </v>
      </c>
    </row>
    <row r="1951" hidden="1">
      <c r="A1951" s="24"/>
      <c r="B1951" s="24"/>
      <c r="C1951" s="28"/>
      <c r="D1951" s="28"/>
      <c r="E1951" s="28"/>
      <c r="F1951" s="161">
        <v>407.0</v>
      </c>
      <c r="G1951" s="152" t="str">
        <f>IFERROR(__xludf.DUMMYFUNCTION("TRIM(REGEXREPLACE(C1951, ""[0-9]+[a-f]?\."", """"))"),"")</f>
        <v/>
      </c>
      <c r="H1951" s="152" t="str">
        <f>IFERROR(__xludf.DUMMYFUNCTION("TRIM(REGEXREPLACE(D1951, ""[0-9]+[a-f]?\."", """"))"),"")</f>
        <v/>
      </c>
      <c r="I1951" s="152" t="str">
        <f>IFERROR(__xludf.DUMMYFUNCTION("TRIM(REGEXREPLACE(E1951, ""[0-9]+[a-f]?\."", """"))"),"")</f>
        <v/>
      </c>
      <c r="J1951" s="152" t="str">
        <f t="shared" ref="J1951:L1951" si="297">$F1951 &amp; ". " &amp;G1951</f>
        <v>407. </v>
      </c>
      <c r="K1951" s="152" t="str">
        <f t="shared" si="297"/>
        <v>407. </v>
      </c>
      <c r="L1951" s="152" t="str">
        <f t="shared" si="297"/>
        <v>407. </v>
      </c>
    </row>
    <row r="1952" hidden="1">
      <c r="A1952" s="24"/>
      <c r="B1952" s="24"/>
      <c r="C1952" s="28"/>
      <c r="D1952" s="28"/>
      <c r="E1952" s="28"/>
      <c r="F1952" s="161">
        <v>408.0</v>
      </c>
      <c r="G1952" s="152" t="str">
        <f>IFERROR(__xludf.DUMMYFUNCTION("TRIM(REGEXREPLACE(C1952, ""[0-9]+[a-f]?\."", """"))"),"")</f>
        <v/>
      </c>
      <c r="H1952" s="152" t="str">
        <f>IFERROR(__xludf.DUMMYFUNCTION("TRIM(REGEXREPLACE(D1952, ""[0-9]+[a-f]?\."", """"))"),"")</f>
        <v/>
      </c>
      <c r="I1952" s="152" t="str">
        <f>IFERROR(__xludf.DUMMYFUNCTION("TRIM(REGEXREPLACE(E1952, ""[0-9]+[a-f]?\."", """"))"),"")</f>
        <v/>
      </c>
      <c r="J1952" s="152" t="str">
        <f t="shared" ref="J1952:L1952" si="298">$F1952 &amp; ". " &amp;G1952</f>
        <v>408. </v>
      </c>
      <c r="K1952" s="152" t="str">
        <f t="shared" si="298"/>
        <v>408. </v>
      </c>
      <c r="L1952" s="152" t="str">
        <f t="shared" si="298"/>
        <v>408. </v>
      </c>
    </row>
    <row r="1953" hidden="1">
      <c r="A1953" s="24"/>
      <c r="B1953" s="24"/>
      <c r="C1953" s="28"/>
      <c r="D1953" s="28"/>
      <c r="E1953" s="28"/>
    </row>
    <row r="1954" hidden="1">
      <c r="A1954" s="24"/>
      <c r="B1954" s="24"/>
      <c r="C1954" s="28"/>
      <c r="D1954" s="28"/>
      <c r="E1954" s="28"/>
    </row>
    <row r="1955" hidden="1">
      <c r="A1955" s="24"/>
      <c r="B1955" s="24"/>
      <c r="C1955" s="28"/>
      <c r="D1955" s="28"/>
      <c r="E1955" s="28"/>
    </row>
    <row r="1956" hidden="1">
      <c r="A1956" s="24"/>
      <c r="B1956" s="24"/>
      <c r="C1956" s="28"/>
      <c r="D1956" s="28"/>
      <c r="E1956" s="28"/>
      <c r="F1956" s="161">
        <v>409.0</v>
      </c>
      <c r="G1956" s="152" t="str">
        <f>IFERROR(__xludf.DUMMYFUNCTION("TRIM(REGEXREPLACE(C1956, ""[0-9]+[a-f]?\."", """"))"),"")</f>
        <v/>
      </c>
      <c r="H1956" s="152" t="str">
        <f>IFERROR(__xludf.DUMMYFUNCTION("TRIM(REGEXREPLACE(D1956, ""[0-9]+[a-f]?\."", """"))"),"")</f>
        <v/>
      </c>
      <c r="I1956" s="152" t="str">
        <f>IFERROR(__xludf.DUMMYFUNCTION("TRIM(REGEXREPLACE(E1956, ""[0-9]+[a-f]?\."", """"))"),"")</f>
        <v/>
      </c>
      <c r="J1956" s="152" t="str">
        <f t="shared" ref="J1956:L1956" si="299">$F1956 &amp; ". " &amp;G1956</f>
        <v>409. </v>
      </c>
      <c r="K1956" s="152" t="str">
        <f t="shared" si="299"/>
        <v>409. </v>
      </c>
      <c r="L1956" s="152" t="str">
        <f t="shared" si="299"/>
        <v>409. </v>
      </c>
    </row>
    <row r="1957" hidden="1">
      <c r="A1957" s="24"/>
      <c r="B1957" s="24"/>
      <c r="C1957" s="28"/>
      <c r="D1957" s="28"/>
      <c r="E1957" s="28"/>
      <c r="F1957" s="161">
        <v>410.0</v>
      </c>
      <c r="G1957" s="152" t="str">
        <f>IFERROR(__xludf.DUMMYFUNCTION("TRIM(REGEXREPLACE(C1957, ""[0-9]+[a-f]?\."", """"))"),"")</f>
        <v/>
      </c>
      <c r="H1957" s="152" t="str">
        <f>IFERROR(__xludf.DUMMYFUNCTION("TRIM(REGEXREPLACE(D1957, ""[0-9]+[a-f]?\."", """"))"),"")</f>
        <v/>
      </c>
      <c r="I1957" s="152" t="str">
        <f>IFERROR(__xludf.DUMMYFUNCTION("TRIM(REGEXREPLACE(E1957, ""[0-9]+[a-f]?\."", """"))"),"")</f>
        <v/>
      </c>
      <c r="J1957" s="152" t="str">
        <f t="shared" ref="J1957:L1957" si="300">$F1957 &amp; ". " &amp;G1957</f>
        <v>410. </v>
      </c>
      <c r="K1957" s="152" t="str">
        <f t="shared" si="300"/>
        <v>410. </v>
      </c>
      <c r="L1957" s="152" t="str">
        <f t="shared" si="300"/>
        <v>410. </v>
      </c>
    </row>
    <row r="1958" hidden="1">
      <c r="A1958" s="24"/>
      <c r="B1958" s="24"/>
      <c r="C1958" s="28"/>
      <c r="D1958" s="28"/>
      <c r="E1958" s="28"/>
      <c r="F1958" s="161">
        <v>411.0</v>
      </c>
      <c r="G1958" s="152" t="str">
        <f>IFERROR(__xludf.DUMMYFUNCTION("TRIM(REGEXREPLACE(C1958, ""[0-9]+[a-f]?\."", """"))"),"")</f>
        <v/>
      </c>
      <c r="H1958" s="152" t="str">
        <f>IFERROR(__xludf.DUMMYFUNCTION("TRIM(REGEXREPLACE(D1958, ""[0-9]+[a-f]?\."", """"))"),"")</f>
        <v/>
      </c>
      <c r="I1958" s="152" t="str">
        <f>IFERROR(__xludf.DUMMYFUNCTION("TRIM(REGEXREPLACE(E1958, ""[0-9]+[a-f]?\."", """"))"),"")</f>
        <v/>
      </c>
      <c r="J1958" s="152" t="str">
        <f t="shared" ref="J1958:L1958" si="301">$F1958 &amp; ". " &amp;G1958</f>
        <v>411. </v>
      </c>
      <c r="K1958" s="152" t="str">
        <f t="shared" si="301"/>
        <v>411. </v>
      </c>
      <c r="L1958" s="152" t="str">
        <f t="shared" si="301"/>
        <v>411. </v>
      </c>
    </row>
    <row r="1959" hidden="1">
      <c r="A1959" s="24"/>
      <c r="B1959" s="24"/>
      <c r="C1959" s="28"/>
      <c r="D1959" s="28"/>
      <c r="E1959" s="28"/>
    </row>
    <row r="1960" hidden="1">
      <c r="A1960" s="24"/>
      <c r="B1960" s="24"/>
      <c r="C1960" s="28"/>
      <c r="D1960" s="28"/>
      <c r="E1960" s="28"/>
      <c r="F1960" s="161">
        <v>412.0</v>
      </c>
      <c r="G1960" s="152" t="str">
        <f>IFERROR(__xludf.DUMMYFUNCTION("TRIM(REGEXREPLACE(C1960, ""[0-9]+[a-f]?\."", """"))"),"")</f>
        <v/>
      </c>
      <c r="H1960" s="152" t="str">
        <f>IFERROR(__xludf.DUMMYFUNCTION("TRIM(REGEXREPLACE(D1960, ""[0-9]+[a-f]?\."", """"))"),"")</f>
        <v/>
      </c>
      <c r="I1960" s="152" t="str">
        <f>IFERROR(__xludf.DUMMYFUNCTION("TRIM(REGEXREPLACE(E1960, ""[0-9]+[a-f]?\."", """"))"),"")</f>
        <v/>
      </c>
      <c r="J1960" s="152" t="str">
        <f t="shared" ref="J1960:L1960" si="302">$F1960 &amp; ". " &amp;G1960</f>
        <v>412. </v>
      </c>
      <c r="K1960" s="152" t="str">
        <f t="shared" si="302"/>
        <v>412. </v>
      </c>
      <c r="L1960" s="152" t="str">
        <f t="shared" si="302"/>
        <v>412. </v>
      </c>
    </row>
    <row r="1961" hidden="1">
      <c r="A1961" s="24"/>
      <c r="B1961" s="24"/>
      <c r="C1961" s="28"/>
      <c r="D1961" s="28"/>
      <c r="E1961" s="28"/>
      <c r="F1961" s="161">
        <v>413.0</v>
      </c>
      <c r="G1961" s="152" t="str">
        <f>IFERROR(__xludf.DUMMYFUNCTION("TRIM(REGEXREPLACE(C1961, ""[0-9]+[a-f]?\."", """"))"),"")</f>
        <v/>
      </c>
      <c r="H1961" s="152" t="str">
        <f>IFERROR(__xludf.DUMMYFUNCTION("TRIM(REGEXREPLACE(D1961, ""[0-9]+[a-f]?\."", """"))"),"")</f>
        <v/>
      </c>
      <c r="I1961" s="152" t="str">
        <f>IFERROR(__xludf.DUMMYFUNCTION("TRIM(REGEXREPLACE(E1961, ""[0-9]+[a-f]?\."", """"))"),"")</f>
        <v/>
      </c>
      <c r="J1961" s="152" t="str">
        <f t="shared" ref="J1961:L1961" si="303">$F1961 &amp; ". " &amp;G1961</f>
        <v>413. </v>
      </c>
      <c r="K1961" s="152" t="str">
        <f t="shared" si="303"/>
        <v>413. </v>
      </c>
      <c r="L1961" s="152" t="str">
        <f t="shared" si="303"/>
        <v>413. </v>
      </c>
    </row>
    <row r="1962" hidden="1">
      <c r="A1962" s="24"/>
      <c r="B1962" s="24"/>
      <c r="C1962" s="28"/>
      <c r="D1962" s="28"/>
      <c r="E1962" s="28"/>
      <c r="F1962" s="161">
        <v>414.0</v>
      </c>
      <c r="G1962" s="152" t="str">
        <f>IFERROR(__xludf.DUMMYFUNCTION("TRIM(REGEXREPLACE(C1962, ""[0-9]+[a-f]?\."", """"))"),"")</f>
        <v/>
      </c>
      <c r="H1962" s="152" t="str">
        <f>IFERROR(__xludf.DUMMYFUNCTION("TRIM(REGEXREPLACE(D1962, ""[0-9]+[a-f]?\."", """"))"),"")</f>
        <v/>
      </c>
      <c r="I1962" s="152" t="str">
        <f>IFERROR(__xludf.DUMMYFUNCTION("TRIM(REGEXREPLACE(E1962, ""[0-9]+[a-f]?\."", """"))"),"")</f>
        <v/>
      </c>
      <c r="J1962" s="152" t="str">
        <f t="shared" ref="J1962:L1962" si="304">$F1962 &amp; ". " &amp;G1962</f>
        <v>414. </v>
      </c>
      <c r="K1962" s="152" t="str">
        <f t="shared" si="304"/>
        <v>414. </v>
      </c>
      <c r="L1962" s="152" t="str">
        <f t="shared" si="304"/>
        <v>414. </v>
      </c>
    </row>
    <row r="1963" hidden="1">
      <c r="A1963" s="24"/>
      <c r="B1963" s="24"/>
      <c r="C1963" s="28"/>
      <c r="D1963" s="28"/>
      <c r="E1963" s="28"/>
      <c r="F1963" s="161">
        <v>415.0</v>
      </c>
      <c r="G1963" s="152" t="str">
        <f>IFERROR(__xludf.DUMMYFUNCTION("TRIM(REGEXREPLACE(C1963, ""[0-9]+[a-f]?\."", """"))"),"")</f>
        <v/>
      </c>
      <c r="H1963" s="152" t="str">
        <f>IFERROR(__xludf.DUMMYFUNCTION("TRIM(REGEXREPLACE(D1963, ""[0-9]+[a-f]?\."", """"))"),"")</f>
        <v/>
      </c>
      <c r="I1963" s="152" t="str">
        <f>IFERROR(__xludf.DUMMYFUNCTION("TRIM(REGEXREPLACE(E1963, ""[0-9]+[a-f]?\."", """"))"),"")</f>
        <v/>
      </c>
      <c r="J1963" s="152" t="str">
        <f t="shared" ref="J1963:L1963" si="305">$F1963 &amp; ". " &amp;G1963</f>
        <v>415. </v>
      </c>
      <c r="K1963" s="152" t="str">
        <f t="shared" si="305"/>
        <v>415. </v>
      </c>
      <c r="L1963" s="152" t="str">
        <f t="shared" si="305"/>
        <v>415. </v>
      </c>
    </row>
    <row r="1964" hidden="1">
      <c r="A1964" s="24"/>
      <c r="B1964" s="24"/>
      <c r="C1964" s="28"/>
      <c r="D1964" s="28"/>
      <c r="E1964" s="28"/>
      <c r="F1964" s="161">
        <v>416.0</v>
      </c>
      <c r="G1964" s="152" t="str">
        <f>IFERROR(__xludf.DUMMYFUNCTION("TRIM(REGEXREPLACE(C1964, ""[0-9]+[a-f]?\."", """"))"),"")</f>
        <v/>
      </c>
      <c r="H1964" s="152" t="str">
        <f>IFERROR(__xludf.DUMMYFUNCTION("TRIM(REGEXREPLACE(D1964, ""[0-9]+[a-f]?\."", """"))"),"")</f>
        <v/>
      </c>
      <c r="I1964" s="152" t="str">
        <f>IFERROR(__xludf.DUMMYFUNCTION("TRIM(REGEXREPLACE(E1964, ""[0-9]+[a-f]?\."", """"))"),"")</f>
        <v/>
      </c>
      <c r="J1964" s="152" t="str">
        <f t="shared" ref="J1964:L1964" si="306">$F1964 &amp; ". " &amp;G1964</f>
        <v>416. </v>
      </c>
      <c r="K1964" s="152" t="str">
        <f t="shared" si="306"/>
        <v>416. </v>
      </c>
      <c r="L1964" s="152" t="str">
        <f t="shared" si="306"/>
        <v>416. </v>
      </c>
    </row>
    <row r="1965" hidden="1">
      <c r="A1965" s="24"/>
      <c r="B1965" s="24"/>
      <c r="C1965" s="28"/>
      <c r="D1965" s="28"/>
      <c r="E1965" s="28"/>
      <c r="F1965" s="161">
        <v>417.0</v>
      </c>
      <c r="G1965" s="152" t="str">
        <f>IFERROR(__xludf.DUMMYFUNCTION("TRIM(REGEXREPLACE(C1965, ""[0-9]+[a-f]?\."", """"))"),"")</f>
        <v/>
      </c>
      <c r="H1965" s="152" t="str">
        <f>IFERROR(__xludf.DUMMYFUNCTION("TRIM(REGEXREPLACE(D1965, ""[0-9]+[a-f]?\."", """"))"),"")</f>
        <v/>
      </c>
      <c r="I1965" s="152" t="str">
        <f>IFERROR(__xludf.DUMMYFUNCTION("TRIM(REGEXREPLACE(E1965, ""[0-9]+[a-f]?\."", """"))"),"")</f>
        <v/>
      </c>
      <c r="J1965" s="152" t="str">
        <f t="shared" ref="J1965:L1965" si="307">$F1965 &amp; ". " &amp;G1965</f>
        <v>417. </v>
      </c>
      <c r="K1965" s="152" t="str">
        <f t="shared" si="307"/>
        <v>417. </v>
      </c>
      <c r="L1965" s="152" t="str">
        <f t="shared" si="307"/>
        <v>417. </v>
      </c>
    </row>
    <row r="1966" hidden="1">
      <c r="A1966" s="24"/>
      <c r="B1966" s="24"/>
      <c r="C1966" s="28"/>
      <c r="D1966" s="28"/>
      <c r="E1966" s="28"/>
      <c r="F1966" s="161">
        <v>418.0</v>
      </c>
      <c r="G1966" s="152" t="str">
        <f>IFERROR(__xludf.DUMMYFUNCTION("TRIM(REGEXREPLACE(C1966, ""[0-9]+[a-f]?\."", """"))"),"")</f>
        <v/>
      </c>
      <c r="H1966" s="152" t="str">
        <f>IFERROR(__xludf.DUMMYFUNCTION("TRIM(REGEXREPLACE(D1966, ""[0-9]+[a-f]?\."", """"))"),"")</f>
        <v/>
      </c>
      <c r="I1966" s="152" t="str">
        <f>IFERROR(__xludf.DUMMYFUNCTION("TRIM(REGEXREPLACE(E1966, ""[0-9]+[a-f]?\."", """"))"),"")</f>
        <v/>
      </c>
      <c r="J1966" s="152" t="str">
        <f t="shared" ref="J1966:L1966" si="308">$F1966 &amp; ". " &amp;G1966</f>
        <v>418. </v>
      </c>
      <c r="K1966" s="152" t="str">
        <f t="shared" si="308"/>
        <v>418. </v>
      </c>
      <c r="L1966" s="152" t="str">
        <f t="shared" si="308"/>
        <v>418. </v>
      </c>
    </row>
    <row r="1967" hidden="1">
      <c r="A1967" s="24"/>
      <c r="B1967" s="24"/>
      <c r="C1967" s="28"/>
      <c r="D1967" s="28"/>
      <c r="E1967" s="28"/>
      <c r="F1967" s="161">
        <v>419.0</v>
      </c>
      <c r="G1967" s="152" t="str">
        <f>IFERROR(__xludf.DUMMYFUNCTION("TRIM(REGEXREPLACE(C1967, ""[0-9]+[a-f]?\."", """"))"),"")</f>
        <v/>
      </c>
      <c r="H1967" s="152" t="str">
        <f>IFERROR(__xludf.DUMMYFUNCTION("TRIM(REGEXREPLACE(D1967, ""[0-9]+[a-f]?\."", """"))"),"")</f>
        <v/>
      </c>
      <c r="I1967" s="152" t="str">
        <f>IFERROR(__xludf.DUMMYFUNCTION("TRIM(REGEXREPLACE(E1967, ""[0-9]+[a-f]?\."", """"))"),"")</f>
        <v/>
      </c>
      <c r="J1967" s="152" t="str">
        <f t="shared" ref="J1967:L1967" si="309">$F1967 &amp; ". " &amp;G1967</f>
        <v>419. </v>
      </c>
      <c r="K1967" s="152" t="str">
        <f t="shared" si="309"/>
        <v>419. </v>
      </c>
      <c r="L1967" s="152" t="str">
        <f t="shared" si="309"/>
        <v>419. </v>
      </c>
    </row>
    <row r="1968" hidden="1">
      <c r="A1968" s="24"/>
      <c r="B1968" s="24"/>
      <c r="C1968" s="28"/>
      <c r="D1968" s="28"/>
      <c r="E1968" s="28"/>
      <c r="F1968" s="161">
        <v>420.0</v>
      </c>
      <c r="G1968" s="152" t="str">
        <f>IFERROR(__xludf.DUMMYFUNCTION("TRIM(REGEXREPLACE(C1968, ""[0-9]+[a-f]?\."", """"))"),"")</f>
        <v/>
      </c>
      <c r="H1968" s="152" t="str">
        <f>IFERROR(__xludf.DUMMYFUNCTION("TRIM(REGEXREPLACE(D1968, ""[0-9]+[a-f]?\."", """"))"),"")</f>
        <v/>
      </c>
      <c r="I1968" s="152" t="str">
        <f>IFERROR(__xludf.DUMMYFUNCTION("TRIM(REGEXREPLACE(E1968, ""[0-9]+[a-f]?\."", """"))"),"")</f>
        <v/>
      </c>
      <c r="J1968" s="152" t="str">
        <f t="shared" ref="J1968:L1968" si="310">$F1968 &amp; ". " &amp;G1968</f>
        <v>420. </v>
      </c>
      <c r="K1968" s="152" t="str">
        <f t="shared" si="310"/>
        <v>420. </v>
      </c>
      <c r="L1968" s="152" t="str">
        <f t="shared" si="310"/>
        <v>420. </v>
      </c>
    </row>
    <row r="1969" hidden="1">
      <c r="A1969" s="24"/>
      <c r="B1969" s="24"/>
      <c r="C1969" s="28"/>
      <c r="D1969" s="28"/>
      <c r="E1969" s="28"/>
      <c r="F1969" s="161">
        <v>421.0</v>
      </c>
      <c r="G1969" s="152" t="str">
        <f>IFERROR(__xludf.DUMMYFUNCTION("TRIM(REGEXREPLACE(C1969, ""[0-9]+[a-f]?\."", """"))"),"")</f>
        <v/>
      </c>
      <c r="H1969" s="152" t="str">
        <f>IFERROR(__xludf.DUMMYFUNCTION("TRIM(REGEXREPLACE(D1969, ""[0-9]+[a-f]?\."", """"))"),"")</f>
        <v/>
      </c>
      <c r="I1969" s="152" t="str">
        <f>IFERROR(__xludf.DUMMYFUNCTION("TRIM(REGEXREPLACE(E1969, ""[0-9]+[a-f]?\."", """"))"),"")</f>
        <v/>
      </c>
      <c r="J1969" s="152" t="str">
        <f t="shared" ref="J1969:L1969" si="311">$F1969 &amp; ". " &amp;G1969</f>
        <v>421. </v>
      </c>
      <c r="K1969" s="152" t="str">
        <f t="shared" si="311"/>
        <v>421. </v>
      </c>
      <c r="L1969" s="152" t="str">
        <f t="shared" si="311"/>
        <v>421. </v>
      </c>
    </row>
    <row r="1970" hidden="1">
      <c r="A1970" s="24"/>
      <c r="B1970" s="24"/>
      <c r="C1970" s="28"/>
      <c r="D1970" s="28"/>
      <c r="E1970" s="28"/>
      <c r="F1970" s="161">
        <v>422.0</v>
      </c>
      <c r="G1970" s="152" t="str">
        <f>IFERROR(__xludf.DUMMYFUNCTION("TRIM(REGEXREPLACE(C1970, ""[0-9]+[a-f]?\."", """"))"),"")</f>
        <v/>
      </c>
      <c r="H1970" s="152" t="str">
        <f>IFERROR(__xludf.DUMMYFUNCTION("TRIM(REGEXREPLACE(D1970, ""[0-9]+[a-f]?\."", """"))"),"")</f>
        <v/>
      </c>
      <c r="I1970" s="152" t="str">
        <f>IFERROR(__xludf.DUMMYFUNCTION("TRIM(REGEXREPLACE(E1970, ""[0-9]+[a-f]?\."", """"))"),"")</f>
        <v/>
      </c>
      <c r="J1970" s="152" t="str">
        <f t="shared" ref="J1970:L1970" si="312">$F1970 &amp; ". " &amp;G1970</f>
        <v>422. </v>
      </c>
      <c r="K1970" s="152" t="str">
        <f t="shared" si="312"/>
        <v>422. </v>
      </c>
      <c r="L1970" s="152" t="str">
        <f t="shared" si="312"/>
        <v>422. </v>
      </c>
    </row>
    <row r="1971" hidden="1">
      <c r="A1971" s="24"/>
      <c r="B1971" s="24"/>
      <c r="C1971" s="28"/>
      <c r="D1971" s="28"/>
      <c r="E1971" s="28"/>
      <c r="F1971" s="161">
        <v>423.0</v>
      </c>
      <c r="G1971" s="152" t="str">
        <f>IFERROR(__xludf.DUMMYFUNCTION("TRIM(REGEXREPLACE(C1971, ""[0-9]+[a-f]?\."", """"))"),"")</f>
        <v/>
      </c>
      <c r="H1971" s="152" t="str">
        <f>IFERROR(__xludf.DUMMYFUNCTION("TRIM(REGEXREPLACE(D1971, ""[0-9]+[a-f]?\."", """"))"),"")</f>
        <v/>
      </c>
      <c r="I1971" s="152" t="str">
        <f>IFERROR(__xludf.DUMMYFUNCTION("TRIM(REGEXREPLACE(E1971, ""[0-9]+[a-f]?\."", """"))"),"")</f>
        <v/>
      </c>
      <c r="J1971" s="152" t="str">
        <f t="shared" ref="J1971:L1971" si="313">$F1971 &amp; ". " &amp;G1971</f>
        <v>423. </v>
      </c>
      <c r="K1971" s="152" t="str">
        <f t="shared" si="313"/>
        <v>423. </v>
      </c>
      <c r="L1971" s="152" t="str">
        <f t="shared" si="313"/>
        <v>423. </v>
      </c>
    </row>
    <row r="1972" hidden="1">
      <c r="A1972" s="24"/>
      <c r="B1972" s="24"/>
      <c r="C1972" s="28"/>
      <c r="D1972" s="28"/>
      <c r="E1972" s="28"/>
    </row>
    <row r="1973" hidden="1">
      <c r="A1973" s="24"/>
      <c r="B1973" s="24"/>
      <c r="C1973" s="28"/>
      <c r="D1973" s="28"/>
      <c r="E1973" s="28"/>
    </row>
    <row r="1974" hidden="1">
      <c r="A1974" s="24"/>
      <c r="B1974" s="24"/>
      <c r="C1974" s="28"/>
      <c r="D1974" s="28"/>
      <c r="E1974" s="28"/>
      <c r="F1974" s="161">
        <v>424.0</v>
      </c>
      <c r="G1974" s="152" t="str">
        <f>IFERROR(__xludf.DUMMYFUNCTION("TRIM(REGEXREPLACE(C1974, ""[0-9]+[a-f]?\."", """"))"),"")</f>
        <v/>
      </c>
      <c r="H1974" s="152" t="str">
        <f>IFERROR(__xludf.DUMMYFUNCTION("TRIM(REGEXREPLACE(D1974, ""[0-9]+[a-f]?\."", """"))"),"")</f>
        <v/>
      </c>
      <c r="I1974" s="152" t="str">
        <f>IFERROR(__xludf.DUMMYFUNCTION("TRIM(REGEXREPLACE(E1974, ""[0-9]+[a-f]?\."", """"))"),"")</f>
        <v/>
      </c>
      <c r="J1974" s="152" t="str">
        <f t="shared" ref="J1974:L1974" si="314">$F1974 &amp; ". " &amp;G1974</f>
        <v>424. </v>
      </c>
      <c r="K1974" s="152" t="str">
        <f t="shared" si="314"/>
        <v>424. </v>
      </c>
      <c r="L1974" s="152" t="str">
        <f t="shared" si="314"/>
        <v>424. </v>
      </c>
    </row>
    <row r="1975" hidden="1">
      <c r="A1975" s="24"/>
      <c r="B1975" s="24"/>
      <c r="C1975" s="28"/>
      <c r="D1975" s="28"/>
      <c r="E1975" s="28"/>
    </row>
    <row r="1976" hidden="1">
      <c r="A1976" s="24"/>
      <c r="B1976" s="24"/>
      <c r="C1976" s="28"/>
      <c r="D1976" s="28"/>
      <c r="E1976" s="28"/>
      <c r="F1976" s="161">
        <v>425.0</v>
      </c>
      <c r="G1976" s="152" t="str">
        <f>IFERROR(__xludf.DUMMYFUNCTION("TRIM(REGEXREPLACE(C1976, ""[0-9]+[a-f]?\."", """"))"),"")</f>
        <v/>
      </c>
      <c r="H1976" s="152" t="str">
        <f>IFERROR(__xludf.DUMMYFUNCTION("TRIM(REGEXREPLACE(D1976, ""[0-9]+[a-f]?\."", """"))"),"")</f>
        <v/>
      </c>
      <c r="I1976" s="152" t="str">
        <f>IFERROR(__xludf.DUMMYFUNCTION("TRIM(REGEXREPLACE(E1976, ""[0-9]+[a-f]?\."", """"))"),"")</f>
        <v/>
      </c>
      <c r="J1976" s="152" t="str">
        <f t="shared" ref="J1976:L1976" si="315">$F1976 &amp; ". " &amp;G1976</f>
        <v>425. </v>
      </c>
      <c r="K1976" s="152" t="str">
        <f t="shared" si="315"/>
        <v>425. </v>
      </c>
      <c r="L1976" s="152" t="str">
        <f t="shared" si="315"/>
        <v>425. </v>
      </c>
    </row>
    <row r="1977" hidden="1">
      <c r="A1977" s="24"/>
      <c r="B1977" s="24"/>
      <c r="C1977" s="28"/>
      <c r="D1977" s="28"/>
      <c r="E1977" s="28"/>
      <c r="F1977" s="161">
        <v>426.0</v>
      </c>
      <c r="G1977" s="152" t="str">
        <f>IFERROR(__xludf.DUMMYFUNCTION("TRIM(REGEXREPLACE(C1977, ""[0-9]+[a-f]?\."", """"))"),"")</f>
        <v/>
      </c>
      <c r="H1977" s="152" t="str">
        <f>IFERROR(__xludf.DUMMYFUNCTION("TRIM(REGEXREPLACE(D1977, ""[0-9]+[a-f]?\."", """"))"),"")</f>
        <v/>
      </c>
      <c r="I1977" s="152" t="str">
        <f>IFERROR(__xludf.DUMMYFUNCTION("TRIM(REGEXREPLACE(E1977, ""[0-9]+[a-f]?\."", """"))"),"")</f>
        <v/>
      </c>
      <c r="J1977" s="152" t="str">
        <f t="shared" ref="J1977:L1977" si="316">$F1977 &amp; ". " &amp;G1977</f>
        <v>426. </v>
      </c>
      <c r="K1977" s="152" t="str">
        <f t="shared" si="316"/>
        <v>426. </v>
      </c>
      <c r="L1977" s="152" t="str">
        <f t="shared" si="316"/>
        <v>426. </v>
      </c>
    </row>
    <row r="1978" hidden="1">
      <c r="A1978" s="24"/>
      <c r="B1978" s="24"/>
      <c r="C1978" s="28"/>
      <c r="D1978" s="28"/>
      <c r="E1978" s="28"/>
    </row>
    <row r="1979" hidden="1">
      <c r="A1979" s="24"/>
      <c r="B1979" s="24"/>
      <c r="C1979" s="28"/>
      <c r="D1979" s="28"/>
      <c r="E1979" s="28"/>
    </row>
    <row r="1980" hidden="1">
      <c r="A1980" s="24"/>
      <c r="B1980" s="24"/>
      <c r="C1980" s="28"/>
      <c r="D1980" s="28"/>
      <c r="E1980" s="28"/>
    </row>
    <row r="1981" hidden="1">
      <c r="A1981" s="24"/>
      <c r="B1981" s="24"/>
      <c r="C1981" s="28"/>
      <c r="D1981" s="28"/>
      <c r="E1981" s="28"/>
      <c r="F1981" s="161">
        <v>427.0</v>
      </c>
      <c r="G1981" s="152" t="str">
        <f>IFERROR(__xludf.DUMMYFUNCTION("TRIM(REGEXREPLACE(C1981, ""[0-9]+[a-f]?\."", """"))"),"")</f>
        <v/>
      </c>
      <c r="H1981" s="152" t="str">
        <f>IFERROR(__xludf.DUMMYFUNCTION("TRIM(REGEXREPLACE(D1981, ""[0-9]+[a-f]?\."", """"))"),"")</f>
        <v/>
      </c>
      <c r="I1981" s="152" t="str">
        <f>IFERROR(__xludf.DUMMYFUNCTION("TRIM(REGEXREPLACE(E1981, ""[0-9]+[a-f]?\."", """"))"),"")</f>
        <v/>
      </c>
      <c r="J1981" s="152" t="str">
        <f t="shared" ref="J1981:L1981" si="317">$F1981 &amp; ". " &amp;G1981</f>
        <v>427. </v>
      </c>
      <c r="K1981" s="152" t="str">
        <f t="shared" si="317"/>
        <v>427. </v>
      </c>
      <c r="L1981" s="152" t="str">
        <f t="shared" si="317"/>
        <v>427. </v>
      </c>
    </row>
    <row r="1982" hidden="1">
      <c r="A1982" s="24"/>
      <c r="B1982" s="24"/>
      <c r="C1982" s="28"/>
      <c r="D1982" s="28"/>
      <c r="E1982" s="28"/>
      <c r="F1982" s="161">
        <v>428.0</v>
      </c>
      <c r="G1982" s="152" t="str">
        <f>IFERROR(__xludf.DUMMYFUNCTION("TRIM(REGEXREPLACE(C1982, ""[0-9]+[a-f]?\."", """"))"),"")</f>
        <v/>
      </c>
      <c r="H1982" s="152" t="str">
        <f>IFERROR(__xludf.DUMMYFUNCTION("TRIM(REGEXREPLACE(D1982, ""[0-9]+[a-f]?\."", """"))"),"")</f>
        <v/>
      </c>
      <c r="I1982" s="152" t="str">
        <f>IFERROR(__xludf.DUMMYFUNCTION("TRIM(REGEXREPLACE(E1982, ""[0-9]+[a-f]?\."", """"))"),"")</f>
        <v/>
      </c>
      <c r="J1982" s="152" t="str">
        <f t="shared" ref="J1982:L1982" si="318">$F1982 &amp; ". " &amp;G1982</f>
        <v>428. </v>
      </c>
      <c r="K1982" s="152" t="str">
        <f t="shared" si="318"/>
        <v>428. </v>
      </c>
      <c r="L1982" s="152" t="str">
        <f t="shared" si="318"/>
        <v>428. </v>
      </c>
    </row>
    <row r="1983" hidden="1">
      <c r="A1983" s="24"/>
      <c r="B1983" s="24"/>
      <c r="C1983" s="28"/>
      <c r="D1983" s="28"/>
      <c r="E1983" s="28"/>
    </row>
    <row r="1984" hidden="1">
      <c r="A1984" s="24"/>
      <c r="B1984" s="24"/>
      <c r="C1984" s="28"/>
      <c r="D1984" s="28"/>
      <c r="E1984" s="28"/>
    </row>
    <row r="1985" hidden="1">
      <c r="A1985" s="24"/>
      <c r="B1985" s="24"/>
      <c r="C1985" s="28"/>
      <c r="D1985" s="28"/>
      <c r="E1985" s="28"/>
      <c r="F1985" s="161">
        <v>429.0</v>
      </c>
      <c r="G1985" s="152" t="str">
        <f>IFERROR(__xludf.DUMMYFUNCTION("TRIM(REGEXREPLACE(C1985, ""[0-9]+[a-f]?\."", """"))"),"")</f>
        <v/>
      </c>
      <c r="H1985" s="152" t="str">
        <f>IFERROR(__xludf.DUMMYFUNCTION("TRIM(REGEXREPLACE(D1985, ""[0-9]+[a-f]?\."", """"))"),"")</f>
        <v/>
      </c>
      <c r="I1985" s="152" t="str">
        <f>IFERROR(__xludf.DUMMYFUNCTION("TRIM(REGEXREPLACE(E1985, ""[0-9]+[a-f]?\."", """"))"),"")</f>
        <v/>
      </c>
      <c r="J1985" s="152" t="str">
        <f t="shared" ref="J1985:L1985" si="319">$F1985 &amp; ". " &amp;G1985</f>
        <v>429. </v>
      </c>
      <c r="K1985" s="152" t="str">
        <f t="shared" si="319"/>
        <v>429. </v>
      </c>
      <c r="L1985" s="152" t="str">
        <f t="shared" si="319"/>
        <v>429. </v>
      </c>
    </row>
    <row r="1986" hidden="1">
      <c r="A1986" s="24"/>
      <c r="B1986" s="24"/>
      <c r="C1986" s="28"/>
      <c r="D1986" s="28"/>
      <c r="E1986" s="28"/>
      <c r="F1986" s="161">
        <v>430.0</v>
      </c>
      <c r="G1986" s="152" t="str">
        <f>IFERROR(__xludf.DUMMYFUNCTION("TRIM(REGEXREPLACE(C1986, ""[0-9]+[a-f]?\."", """"))"),"")</f>
        <v/>
      </c>
      <c r="H1986" s="152" t="str">
        <f>IFERROR(__xludf.DUMMYFUNCTION("TRIM(REGEXREPLACE(D1986, ""[0-9]+[a-f]?\."", """"))"),"")</f>
        <v/>
      </c>
      <c r="I1986" s="152" t="str">
        <f>IFERROR(__xludf.DUMMYFUNCTION("TRIM(REGEXREPLACE(E1986, ""[0-9]+[a-f]?\."", """"))"),"")</f>
        <v/>
      </c>
      <c r="J1986" s="152" t="str">
        <f t="shared" ref="J1986:L1986" si="320">$F1986 &amp; ". " &amp;G1986</f>
        <v>430. </v>
      </c>
      <c r="K1986" s="152" t="str">
        <f t="shared" si="320"/>
        <v>430. </v>
      </c>
      <c r="L1986" s="152" t="str">
        <f t="shared" si="320"/>
        <v>430. </v>
      </c>
    </row>
    <row r="1987" hidden="1">
      <c r="A1987" s="24"/>
      <c r="B1987" s="24"/>
      <c r="C1987" s="28"/>
      <c r="D1987" s="28"/>
      <c r="E1987" s="28"/>
      <c r="F1987" s="161">
        <v>431.0</v>
      </c>
      <c r="G1987" s="152" t="str">
        <f>IFERROR(__xludf.DUMMYFUNCTION("TRIM(REGEXREPLACE(C1987, ""[0-9]+[a-f]?\."", """"))"),"")</f>
        <v/>
      </c>
      <c r="H1987" s="152" t="str">
        <f>IFERROR(__xludf.DUMMYFUNCTION("TRIM(REGEXREPLACE(D1987, ""[0-9]+[a-f]?\."", """"))"),"")</f>
        <v/>
      </c>
      <c r="I1987" s="152" t="str">
        <f>IFERROR(__xludf.DUMMYFUNCTION("TRIM(REGEXREPLACE(E1987, ""[0-9]+[a-f]?\."", """"))"),"")</f>
        <v/>
      </c>
      <c r="J1987" s="152" t="str">
        <f t="shared" ref="J1987:L1987" si="321">$F1987 &amp; ". " &amp;G1987</f>
        <v>431. </v>
      </c>
      <c r="K1987" s="152" t="str">
        <f t="shared" si="321"/>
        <v>431. </v>
      </c>
      <c r="L1987" s="152" t="str">
        <f t="shared" si="321"/>
        <v>431. </v>
      </c>
    </row>
    <row r="1988" hidden="1">
      <c r="A1988" s="24"/>
      <c r="B1988" s="24"/>
      <c r="C1988" s="28"/>
      <c r="D1988" s="28"/>
      <c r="E1988" s="28"/>
    </row>
    <row r="1989" hidden="1">
      <c r="A1989" s="24"/>
      <c r="B1989" s="24"/>
      <c r="C1989" s="28"/>
      <c r="D1989" s="28"/>
      <c r="E1989" s="28"/>
      <c r="F1989" s="161">
        <v>432.0</v>
      </c>
      <c r="G1989" s="152" t="str">
        <f>IFERROR(__xludf.DUMMYFUNCTION("TRIM(REGEXREPLACE(C1989, ""[0-9]+[a-f]?\."", """"))"),"")</f>
        <v/>
      </c>
      <c r="H1989" s="152" t="str">
        <f>IFERROR(__xludf.DUMMYFUNCTION("TRIM(REGEXREPLACE(D1989, ""[0-9]+[a-f]?\."", """"))"),"")</f>
        <v/>
      </c>
      <c r="I1989" s="152" t="str">
        <f>IFERROR(__xludf.DUMMYFUNCTION("TRIM(REGEXREPLACE(E1989, ""[0-9]+[a-f]?\."", """"))"),"")</f>
        <v/>
      </c>
      <c r="J1989" s="152" t="str">
        <f t="shared" ref="J1989:L1989" si="322">$F1989 &amp; ". " &amp;G1989</f>
        <v>432. </v>
      </c>
      <c r="K1989" s="152" t="str">
        <f t="shared" si="322"/>
        <v>432. </v>
      </c>
      <c r="L1989" s="152" t="str">
        <f t="shared" si="322"/>
        <v>432. </v>
      </c>
    </row>
    <row r="1990" hidden="1">
      <c r="A1990" s="24"/>
      <c r="B1990" s="24"/>
      <c r="C1990" s="28"/>
      <c r="D1990" s="28"/>
      <c r="E1990" s="28"/>
      <c r="F1990" s="161">
        <v>433.0</v>
      </c>
      <c r="G1990" s="152" t="str">
        <f>IFERROR(__xludf.DUMMYFUNCTION("TRIM(REGEXREPLACE(C1990, ""[0-9]+[a-f]?\."", """"))"),"")</f>
        <v/>
      </c>
      <c r="H1990" s="152" t="str">
        <f>IFERROR(__xludf.DUMMYFUNCTION("TRIM(REGEXREPLACE(D1990, ""[0-9]+[a-f]?\."", """"))"),"")</f>
        <v/>
      </c>
      <c r="I1990" s="152" t="str">
        <f>IFERROR(__xludf.DUMMYFUNCTION("TRIM(REGEXREPLACE(E1990, ""[0-9]+[a-f]?\."", """"))"),"")</f>
        <v/>
      </c>
      <c r="J1990" s="152" t="str">
        <f t="shared" ref="J1990:L1990" si="323">$F1990 &amp; ". " &amp;G1990</f>
        <v>433. </v>
      </c>
      <c r="K1990" s="152" t="str">
        <f t="shared" si="323"/>
        <v>433. </v>
      </c>
      <c r="L1990" s="152" t="str">
        <f t="shared" si="323"/>
        <v>433. </v>
      </c>
    </row>
    <row r="1991" hidden="1">
      <c r="A1991" s="24"/>
      <c r="B1991" s="24"/>
      <c r="C1991" s="28"/>
      <c r="D1991" s="28"/>
      <c r="E1991" s="28"/>
      <c r="F1991" s="161">
        <v>434.0</v>
      </c>
      <c r="G1991" s="152" t="str">
        <f>IFERROR(__xludf.DUMMYFUNCTION("TRIM(REGEXREPLACE(C1991, ""[0-9]+[a-f]?\."", """"))"),"")</f>
        <v/>
      </c>
      <c r="H1991" s="152" t="str">
        <f>IFERROR(__xludf.DUMMYFUNCTION("TRIM(REGEXREPLACE(D1991, ""[0-9]+[a-f]?\."", """"))"),"")</f>
        <v/>
      </c>
      <c r="I1991" s="152" t="str">
        <f>IFERROR(__xludf.DUMMYFUNCTION("TRIM(REGEXREPLACE(E1991, ""[0-9]+[a-f]?\."", """"))"),"")</f>
        <v/>
      </c>
      <c r="J1991" s="152" t="str">
        <f t="shared" ref="J1991:L1991" si="324">$F1991 &amp; ". " &amp;G1991</f>
        <v>434. </v>
      </c>
      <c r="K1991" s="152" t="str">
        <f t="shared" si="324"/>
        <v>434. </v>
      </c>
      <c r="L1991" s="152" t="str">
        <f t="shared" si="324"/>
        <v>434. </v>
      </c>
    </row>
    <row r="1992" hidden="1">
      <c r="A1992" s="24"/>
      <c r="B1992" s="24"/>
      <c r="C1992" s="28"/>
      <c r="D1992" s="28"/>
      <c r="E1992" s="28"/>
      <c r="F1992" s="161">
        <v>435.0</v>
      </c>
      <c r="G1992" s="152" t="str">
        <f>IFERROR(__xludf.DUMMYFUNCTION("TRIM(REGEXREPLACE(C1992, ""[0-9]+[a-f]?\."", """"))"),"")</f>
        <v/>
      </c>
      <c r="H1992" s="152" t="str">
        <f>IFERROR(__xludf.DUMMYFUNCTION("TRIM(REGEXREPLACE(D1992, ""[0-9]+[a-f]?\."", """"))"),"")</f>
        <v/>
      </c>
      <c r="I1992" s="152" t="str">
        <f>IFERROR(__xludf.DUMMYFUNCTION("TRIM(REGEXREPLACE(E1992, ""[0-9]+[a-f]?\."", """"))"),"")</f>
        <v/>
      </c>
      <c r="J1992" s="152" t="str">
        <f t="shared" ref="J1992:L1992" si="325">$F1992 &amp; ". " &amp;G1992</f>
        <v>435. </v>
      </c>
      <c r="K1992" s="152" t="str">
        <f t="shared" si="325"/>
        <v>435. </v>
      </c>
      <c r="L1992" s="152" t="str">
        <f t="shared" si="325"/>
        <v>435. </v>
      </c>
    </row>
    <row r="1993" hidden="1">
      <c r="A1993" s="24"/>
      <c r="B1993" s="24"/>
      <c r="C1993" s="28"/>
      <c r="D1993" s="28"/>
      <c r="E1993" s="28"/>
      <c r="F1993" s="161">
        <v>436.0</v>
      </c>
      <c r="G1993" s="152" t="str">
        <f>IFERROR(__xludf.DUMMYFUNCTION("TRIM(REGEXREPLACE(C1993, ""[0-9]+[a-f]?\."", """"))"),"")</f>
        <v/>
      </c>
      <c r="H1993" s="152" t="str">
        <f>IFERROR(__xludf.DUMMYFUNCTION("TRIM(REGEXREPLACE(D1993, ""[0-9]+[a-f]?\."", """"))"),"")</f>
        <v/>
      </c>
      <c r="I1993" s="152" t="str">
        <f>IFERROR(__xludf.DUMMYFUNCTION("TRIM(REGEXREPLACE(E1993, ""[0-9]+[a-f]?\."", """"))"),"")</f>
        <v/>
      </c>
      <c r="J1993" s="152" t="str">
        <f t="shared" ref="J1993:L1993" si="326">$F1993 &amp; ". " &amp;G1993</f>
        <v>436. </v>
      </c>
      <c r="K1993" s="152" t="str">
        <f t="shared" si="326"/>
        <v>436. </v>
      </c>
      <c r="L1993" s="152" t="str">
        <f t="shared" si="326"/>
        <v>436. </v>
      </c>
    </row>
    <row r="1994" hidden="1">
      <c r="A1994" s="24"/>
      <c r="B1994" s="24"/>
      <c r="C1994" s="28"/>
      <c r="D1994" s="28"/>
      <c r="E1994" s="28"/>
      <c r="F1994" s="161">
        <v>437.0</v>
      </c>
      <c r="G1994" s="152" t="str">
        <f>IFERROR(__xludf.DUMMYFUNCTION("TRIM(REGEXREPLACE(C1994, ""[0-9]+[a-f]?\."", """"))"),"")</f>
        <v/>
      </c>
      <c r="H1994" s="152" t="str">
        <f>IFERROR(__xludf.DUMMYFUNCTION("TRIM(REGEXREPLACE(D1994, ""[0-9]+[a-f]?\."", """"))"),"")</f>
        <v/>
      </c>
      <c r="I1994" s="152" t="str">
        <f>IFERROR(__xludf.DUMMYFUNCTION("TRIM(REGEXREPLACE(E1994, ""[0-9]+[a-f]?\."", """"))"),"")</f>
        <v/>
      </c>
      <c r="J1994" s="152" t="str">
        <f t="shared" ref="J1994:L1994" si="327">$F1994 &amp; ". " &amp;G1994</f>
        <v>437. </v>
      </c>
      <c r="K1994" s="152" t="str">
        <f t="shared" si="327"/>
        <v>437. </v>
      </c>
      <c r="L1994" s="152" t="str">
        <f t="shared" si="327"/>
        <v>437. </v>
      </c>
    </row>
    <row r="1995" hidden="1">
      <c r="A1995" s="24"/>
      <c r="B1995" s="24"/>
      <c r="C1995" s="28"/>
      <c r="D1995" s="28"/>
      <c r="E1995" s="28"/>
      <c r="F1995" s="161">
        <v>438.0</v>
      </c>
      <c r="G1995" s="152" t="str">
        <f>IFERROR(__xludf.DUMMYFUNCTION("TRIM(REGEXREPLACE(C1995, ""[0-9]+[a-f]?\."", """"))"),"")</f>
        <v/>
      </c>
      <c r="H1995" s="152" t="str">
        <f>IFERROR(__xludf.DUMMYFUNCTION("TRIM(REGEXREPLACE(D1995, ""[0-9]+[a-f]?\."", """"))"),"")</f>
        <v/>
      </c>
      <c r="I1995" s="152" t="str">
        <f>IFERROR(__xludf.DUMMYFUNCTION("TRIM(REGEXREPLACE(E1995, ""[0-9]+[a-f]?\."", """"))"),"")</f>
        <v/>
      </c>
      <c r="J1995" s="152" t="str">
        <f t="shared" ref="J1995:L1995" si="328">$F1995 &amp; ". " &amp;G1995</f>
        <v>438. </v>
      </c>
      <c r="K1995" s="152" t="str">
        <f t="shared" si="328"/>
        <v>438. </v>
      </c>
      <c r="L1995" s="152" t="str">
        <f t="shared" si="328"/>
        <v>438. </v>
      </c>
    </row>
    <row r="1996" hidden="1">
      <c r="A1996" s="24"/>
      <c r="B1996" s="24"/>
      <c r="C1996" s="28"/>
      <c r="D1996" s="28"/>
      <c r="E1996" s="28"/>
      <c r="F1996" s="161">
        <v>439.0</v>
      </c>
      <c r="G1996" s="152" t="str">
        <f>IFERROR(__xludf.DUMMYFUNCTION("TRIM(REGEXREPLACE(C1996, ""[0-9]+[a-f]?\."", """"))"),"")</f>
        <v/>
      </c>
      <c r="H1996" s="152" t="str">
        <f>IFERROR(__xludf.DUMMYFUNCTION("TRIM(REGEXREPLACE(D1996, ""[0-9]+[a-f]?\."", """"))"),"")</f>
        <v/>
      </c>
      <c r="I1996" s="152" t="str">
        <f>IFERROR(__xludf.DUMMYFUNCTION("TRIM(REGEXREPLACE(E1996, ""[0-9]+[a-f]?\."", """"))"),"")</f>
        <v/>
      </c>
      <c r="J1996" s="152" t="str">
        <f t="shared" ref="J1996:L1996" si="329">$F1996 &amp; ". " &amp;G1996</f>
        <v>439. </v>
      </c>
      <c r="K1996" s="152" t="str">
        <f t="shared" si="329"/>
        <v>439. </v>
      </c>
      <c r="L1996" s="152" t="str">
        <f t="shared" si="329"/>
        <v>439. </v>
      </c>
    </row>
    <row r="1997" hidden="1">
      <c r="A1997" s="24"/>
      <c r="B1997" s="24"/>
      <c r="C1997" s="28"/>
      <c r="D1997" s="28"/>
      <c r="E1997" s="28"/>
      <c r="F1997" s="161">
        <v>440.0</v>
      </c>
      <c r="G1997" s="152" t="str">
        <f>IFERROR(__xludf.DUMMYFUNCTION("TRIM(REGEXREPLACE(C1997, ""[0-9]+[a-f]?\."", """"))"),"")</f>
        <v/>
      </c>
      <c r="H1997" s="152" t="str">
        <f>IFERROR(__xludf.DUMMYFUNCTION("TRIM(REGEXREPLACE(D1997, ""[0-9]+[a-f]?\."", """"))"),"")</f>
        <v/>
      </c>
      <c r="I1997" s="152" t="str">
        <f>IFERROR(__xludf.DUMMYFUNCTION("TRIM(REGEXREPLACE(E1997, ""[0-9]+[a-f]?\."", """"))"),"")</f>
        <v/>
      </c>
      <c r="J1997" s="152" t="str">
        <f t="shared" ref="J1997:L1997" si="330">$F1997 &amp; ". " &amp;G1997</f>
        <v>440. </v>
      </c>
      <c r="K1997" s="152" t="str">
        <f t="shared" si="330"/>
        <v>440. </v>
      </c>
      <c r="L1997" s="152" t="str">
        <f t="shared" si="330"/>
        <v>440. </v>
      </c>
    </row>
    <row r="1998" hidden="1">
      <c r="A1998" s="24"/>
      <c r="B1998" s="24"/>
      <c r="C1998" s="28"/>
      <c r="D1998" s="28"/>
      <c r="E1998" s="28"/>
      <c r="F1998" s="161">
        <v>441.0</v>
      </c>
      <c r="G1998" s="152" t="str">
        <f>IFERROR(__xludf.DUMMYFUNCTION("TRIM(REGEXREPLACE(C1998, ""[0-9]+[a-f]?\."", """"))"),"")</f>
        <v/>
      </c>
      <c r="H1998" s="152" t="str">
        <f>IFERROR(__xludf.DUMMYFUNCTION("TRIM(REGEXREPLACE(D1998, ""[0-9]+[a-f]?\."", """"))"),"")</f>
        <v/>
      </c>
      <c r="I1998" s="152" t="str">
        <f>IFERROR(__xludf.DUMMYFUNCTION("TRIM(REGEXREPLACE(E1998, ""[0-9]+[a-f]?\."", """"))"),"")</f>
        <v/>
      </c>
      <c r="J1998" s="152" t="str">
        <f t="shared" ref="J1998:L1998" si="331">$F1998 &amp; ". " &amp;G1998</f>
        <v>441. </v>
      </c>
      <c r="K1998" s="152" t="str">
        <f t="shared" si="331"/>
        <v>441. </v>
      </c>
      <c r="L1998" s="152" t="str">
        <f t="shared" si="331"/>
        <v>441. </v>
      </c>
    </row>
    <row r="1999" hidden="1">
      <c r="A1999" s="24"/>
      <c r="B1999" s="24"/>
      <c r="C1999" s="28"/>
      <c r="D1999" s="28"/>
      <c r="E1999" s="28"/>
      <c r="F1999" s="161">
        <v>442.0</v>
      </c>
      <c r="G1999" s="152" t="str">
        <f>IFERROR(__xludf.DUMMYFUNCTION("TRIM(REGEXREPLACE(C1999, ""[0-9]+[a-f]?\."", """"))"),"")</f>
        <v/>
      </c>
      <c r="H1999" s="152" t="str">
        <f>IFERROR(__xludf.DUMMYFUNCTION("TRIM(REGEXREPLACE(D1999, ""[0-9]+[a-f]?\."", """"))"),"")</f>
        <v/>
      </c>
      <c r="I1999" s="152" t="str">
        <f>IFERROR(__xludf.DUMMYFUNCTION("TRIM(REGEXREPLACE(E1999, ""[0-9]+[a-f]?\."", """"))"),"")</f>
        <v/>
      </c>
      <c r="J1999" s="152" t="str">
        <f t="shared" ref="J1999:L1999" si="332">$F1999 &amp; ". " &amp;G1999</f>
        <v>442. </v>
      </c>
      <c r="K1999" s="152" t="str">
        <f t="shared" si="332"/>
        <v>442. </v>
      </c>
      <c r="L1999" s="152" t="str">
        <f t="shared" si="332"/>
        <v>442. </v>
      </c>
    </row>
    <row r="2000" hidden="1">
      <c r="A2000" s="24"/>
      <c r="B2000" s="24"/>
      <c r="C2000" s="28"/>
      <c r="D2000" s="28"/>
      <c r="E2000" s="28"/>
    </row>
    <row r="2001" hidden="1">
      <c r="A2001" s="24"/>
      <c r="B2001" s="24"/>
      <c r="C2001" s="28"/>
      <c r="D2001" s="28"/>
      <c r="E2001" s="28"/>
    </row>
    <row r="2002" hidden="1">
      <c r="A2002" s="24"/>
      <c r="B2002" s="24"/>
      <c r="C2002" s="28"/>
      <c r="D2002" s="28"/>
      <c r="E2002" s="28"/>
      <c r="F2002" s="161">
        <v>443.0</v>
      </c>
      <c r="G2002" s="152" t="str">
        <f>IFERROR(__xludf.DUMMYFUNCTION("TRIM(REGEXREPLACE(C2002, ""[0-9]+[a-f]?\."", """"))"),"")</f>
        <v/>
      </c>
      <c r="H2002" s="152" t="str">
        <f>IFERROR(__xludf.DUMMYFUNCTION("TRIM(REGEXREPLACE(D2002, ""[0-9]+[a-f]?\."", """"))"),"")</f>
        <v/>
      </c>
      <c r="I2002" s="152" t="str">
        <f>IFERROR(__xludf.DUMMYFUNCTION("TRIM(REGEXREPLACE(E2002, ""[0-9]+[a-f]?\."", """"))"),"")</f>
        <v/>
      </c>
      <c r="J2002" s="152" t="str">
        <f t="shared" ref="J2002:L2002" si="333">$F2002 &amp; ". " &amp;G2002</f>
        <v>443. </v>
      </c>
      <c r="K2002" s="152" t="str">
        <f t="shared" si="333"/>
        <v>443. </v>
      </c>
      <c r="L2002" s="152" t="str">
        <f t="shared" si="333"/>
        <v>443. </v>
      </c>
    </row>
    <row r="2003" hidden="1">
      <c r="A2003" s="24"/>
      <c r="B2003" s="24"/>
      <c r="C2003" s="28"/>
      <c r="D2003" s="28"/>
      <c r="E2003" s="28"/>
    </row>
    <row r="2004" hidden="1">
      <c r="A2004" s="24"/>
      <c r="B2004" s="24"/>
      <c r="C2004" s="28"/>
      <c r="D2004" s="28"/>
      <c r="E2004" s="28"/>
    </row>
    <row r="2005" hidden="1">
      <c r="A2005" s="24"/>
      <c r="B2005" s="24"/>
      <c r="C2005" s="28"/>
      <c r="D2005" s="28"/>
      <c r="E2005" s="28"/>
    </row>
    <row r="2006" hidden="1">
      <c r="A2006" s="24"/>
      <c r="B2006" s="24"/>
      <c r="C2006" s="28"/>
      <c r="D2006" s="28"/>
      <c r="E2006" s="28"/>
    </row>
    <row r="2007" hidden="1">
      <c r="A2007" s="24"/>
      <c r="B2007" s="24"/>
      <c r="C2007" s="28"/>
      <c r="D2007" s="28"/>
      <c r="E2007" s="28"/>
    </row>
    <row r="2008" hidden="1">
      <c r="A2008" s="24"/>
      <c r="B2008" s="24"/>
      <c r="C2008" s="28"/>
      <c r="D2008" s="28"/>
      <c r="E2008" s="28"/>
      <c r="F2008" s="161">
        <v>444.0</v>
      </c>
      <c r="G2008" s="152" t="str">
        <f>IFERROR(__xludf.DUMMYFUNCTION("TRIM(REGEXREPLACE(C2008, ""[0-9]+[a-f]?\."", """"))"),"")</f>
        <v/>
      </c>
      <c r="H2008" s="152" t="str">
        <f>IFERROR(__xludf.DUMMYFUNCTION("TRIM(REGEXREPLACE(D2008, ""[0-9]+[a-f]?\."", """"))"),"")</f>
        <v/>
      </c>
      <c r="I2008" s="152" t="str">
        <f>IFERROR(__xludf.DUMMYFUNCTION("TRIM(REGEXREPLACE(E2008, ""[0-9]+[a-f]?\."", """"))"),"")</f>
        <v/>
      </c>
      <c r="J2008" s="152" t="str">
        <f t="shared" ref="J2008:L2008" si="334">$F2008 &amp; ". " &amp;G2008</f>
        <v>444. </v>
      </c>
      <c r="K2008" s="152" t="str">
        <f t="shared" si="334"/>
        <v>444. </v>
      </c>
      <c r="L2008" s="152" t="str">
        <f t="shared" si="334"/>
        <v>444. </v>
      </c>
    </row>
    <row r="2009" hidden="1">
      <c r="A2009" s="24"/>
      <c r="B2009" s="24"/>
      <c r="C2009" s="28"/>
      <c r="D2009" s="28"/>
      <c r="E2009" s="28"/>
    </row>
    <row r="2010" hidden="1">
      <c r="A2010" s="24"/>
      <c r="B2010" s="24"/>
      <c r="C2010" s="28"/>
      <c r="D2010" s="28"/>
      <c r="E2010" s="28"/>
    </row>
    <row r="2011" hidden="1">
      <c r="A2011" s="24"/>
      <c r="B2011" s="24"/>
      <c r="C2011" s="28"/>
      <c r="D2011" s="28"/>
      <c r="E2011" s="28"/>
    </row>
    <row r="2012" hidden="1">
      <c r="A2012" s="24"/>
      <c r="B2012" s="24"/>
      <c r="C2012" s="28"/>
      <c r="D2012" s="28"/>
      <c r="E2012" s="28"/>
    </row>
    <row r="2013" hidden="1">
      <c r="A2013" s="24"/>
      <c r="B2013" s="24"/>
      <c r="C2013" s="28"/>
      <c r="D2013" s="28"/>
      <c r="E2013" s="28"/>
      <c r="F2013" s="161">
        <v>445.0</v>
      </c>
      <c r="G2013" s="152" t="str">
        <f>IFERROR(__xludf.DUMMYFUNCTION("TRIM(REGEXREPLACE(C2013, ""[0-9]+[a-f]?\."", """"))"),"")</f>
        <v/>
      </c>
      <c r="H2013" s="152" t="str">
        <f>IFERROR(__xludf.DUMMYFUNCTION("TRIM(REGEXREPLACE(D2013, ""[0-9]+[a-f]?\."", """"))"),"")</f>
        <v/>
      </c>
      <c r="I2013" s="152" t="str">
        <f>IFERROR(__xludf.DUMMYFUNCTION("TRIM(REGEXREPLACE(E2013, ""[0-9]+[a-f]?\."", """"))"),"")</f>
        <v/>
      </c>
      <c r="J2013" s="152" t="str">
        <f t="shared" ref="J2013:L2013" si="335">$F2013 &amp; ". " &amp;G2013</f>
        <v>445. </v>
      </c>
      <c r="K2013" s="152" t="str">
        <f t="shared" si="335"/>
        <v>445. </v>
      </c>
      <c r="L2013" s="152" t="str">
        <f t="shared" si="335"/>
        <v>445. </v>
      </c>
    </row>
    <row r="2014" hidden="1">
      <c r="A2014" s="24"/>
      <c r="B2014" s="24"/>
      <c r="C2014" s="28"/>
      <c r="D2014" s="28"/>
      <c r="E2014" s="28"/>
      <c r="F2014" s="161">
        <v>446.0</v>
      </c>
      <c r="G2014" s="152" t="str">
        <f>IFERROR(__xludf.DUMMYFUNCTION("TRIM(REGEXREPLACE(C2014, ""[0-9]+[a-f]?\."", """"))"),"")</f>
        <v/>
      </c>
      <c r="H2014" s="152" t="str">
        <f>IFERROR(__xludf.DUMMYFUNCTION("TRIM(REGEXREPLACE(D2014, ""[0-9]+[a-f]?\."", """"))"),"")</f>
        <v/>
      </c>
      <c r="I2014" s="152" t="str">
        <f>IFERROR(__xludf.DUMMYFUNCTION("TRIM(REGEXREPLACE(E2014, ""[0-9]+[a-f]?\."", """"))"),"")</f>
        <v/>
      </c>
      <c r="J2014" s="152" t="str">
        <f t="shared" ref="J2014:L2014" si="336">$F2014 &amp; ". " &amp;G2014</f>
        <v>446. </v>
      </c>
      <c r="K2014" s="152" t="str">
        <f t="shared" si="336"/>
        <v>446. </v>
      </c>
      <c r="L2014" s="152" t="str">
        <f t="shared" si="336"/>
        <v>446. </v>
      </c>
    </row>
    <row r="2015" hidden="1">
      <c r="A2015" s="24"/>
      <c r="B2015" s="24"/>
      <c r="C2015" s="28"/>
      <c r="D2015" s="28"/>
      <c r="E2015" s="28"/>
      <c r="F2015" s="161">
        <v>447.0</v>
      </c>
      <c r="G2015" s="152" t="str">
        <f>IFERROR(__xludf.DUMMYFUNCTION("TRIM(REGEXREPLACE(C2015, ""[0-9]+[a-f]?\."", """"))"),"")</f>
        <v/>
      </c>
      <c r="H2015" s="152" t="str">
        <f>IFERROR(__xludf.DUMMYFUNCTION("TRIM(REGEXREPLACE(D2015, ""[0-9]+[a-f]?\."", """"))"),"")</f>
        <v/>
      </c>
      <c r="I2015" s="152" t="str">
        <f>IFERROR(__xludf.DUMMYFUNCTION("TRIM(REGEXREPLACE(E2015, ""[0-9]+[a-f]?\."", """"))"),"")</f>
        <v/>
      </c>
      <c r="J2015" s="152" t="str">
        <f t="shared" ref="J2015:L2015" si="337">$F2015 &amp; ". " &amp;G2015</f>
        <v>447. </v>
      </c>
      <c r="K2015" s="152" t="str">
        <f t="shared" si="337"/>
        <v>447. </v>
      </c>
      <c r="L2015" s="152" t="str">
        <f t="shared" si="337"/>
        <v>447. </v>
      </c>
    </row>
    <row r="2016" hidden="1">
      <c r="A2016" s="24"/>
      <c r="B2016" s="24"/>
      <c r="C2016" s="28"/>
      <c r="D2016" s="28"/>
      <c r="E2016" s="28"/>
      <c r="F2016" s="161">
        <v>448.0</v>
      </c>
      <c r="G2016" s="152" t="str">
        <f>IFERROR(__xludf.DUMMYFUNCTION("TRIM(REGEXREPLACE(C2016, ""[0-9]+[a-f]?\."", """"))"),"")</f>
        <v/>
      </c>
      <c r="H2016" s="152" t="str">
        <f>IFERROR(__xludf.DUMMYFUNCTION("TRIM(REGEXREPLACE(D2016, ""[0-9]+[a-f]?\."", """"))"),"")</f>
        <v/>
      </c>
      <c r="I2016" s="152" t="str">
        <f>IFERROR(__xludf.DUMMYFUNCTION("TRIM(REGEXREPLACE(E2016, ""[0-9]+[a-f]?\."", """"))"),"")</f>
        <v/>
      </c>
      <c r="J2016" s="152" t="str">
        <f t="shared" ref="J2016:L2016" si="338">$F2016 &amp; ". " &amp;G2016</f>
        <v>448. </v>
      </c>
      <c r="K2016" s="152" t="str">
        <f t="shared" si="338"/>
        <v>448. </v>
      </c>
      <c r="L2016" s="152" t="str">
        <f t="shared" si="338"/>
        <v>448. </v>
      </c>
    </row>
    <row r="2017" hidden="1">
      <c r="A2017" s="24"/>
      <c r="B2017" s="24"/>
      <c r="C2017" s="28"/>
      <c r="D2017" s="28"/>
      <c r="E2017" s="28"/>
      <c r="F2017" s="161">
        <v>449.0</v>
      </c>
      <c r="G2017" s="152" t="str">
        <f>IFERROR(__xludf.DUMMYFUNCTION("TRIM(REGEXREPLACE(C2017, ""[0-9]+[a-f]?\."", """"))"),"")</f>
        <v/>
      </c>
      <c r="H2017" s="152" t="str">
        <f>IFERROR(__xludf.DUMMYFUNCTION("TRIM(REGEXREPLACE(D2017, ""[0-9]+[a-f]?\."", """"))"),"")</f>
        <v/>
      </c>
      <c r="I2017" s="152" t="str">
        <f>IFERROR(__xludf.DUMMYFUNCTION("TRIM(REGEXREPLACE(E2017, ""[0-9]+[a-f]?\."", """"))"),"")</f>
        <v/>
      </c>
      <c r="J2017" s="152" t="str">
        <f t="shared" ref="J2017:L2017" si="339">$F2017 &amp; ". " &amp;G2017</f>
        <v>449. </v>
      </c>
      <c r="K2017" s="152" t="str">
        <f t="shared" si="339"/>
        <v>449. </v>
      </c>
      <c r="L2017" s="152" t="str">
        <f t="shared" si="339"/>
        <v>449. </v>
      </c>
    </row>
    <row r="2018" hidden="1">
      <c r="A2018" s="24"/>
      <c r="B2018" s="24"/>
      <c r="C2018" s="28"/>
      <c r="D2018" s="28"/>
      <c r="E2018" s="28"/>
      <c r="F2018" s="161">
        <v>450.0</v>
      </c>
      <c r="G2018" s="152" t="str">
        <f>IFERROR(__xludf.DUMMYFUNCTION("TRIM(REGEXREPLACE(C2018, ""[0-9]+[a-f]?\."", """"))"),"")</f>
        <v/>
      </c>
      <c r="H2018" s="152" t="str">
        <f>IFERROR(__xludf.DUMMYFUNCTION("TRIM(REGEXREPLACE(D2018, ""[0-9]+[a-f]?\."", """"))"),"")</f>
        <v/>
      </c>
      <c r="I2018" s="152" t="str">
        <f>IFERROR(__xludf.DUMMYFUNCTION("TRIM(REGEXREPLACE(E2018, ""[0-9]+[a-f]?\."", """"))"),"")</f>
        <v/>
      </c>
      <c r="J2018" s="152" t="str">
        <f t="shared" ref="J2018:L2018" si="340">$F2018 &amp; ". " &amp;G2018</f>
        <v>450. </v>
      </c>
      <c r="K2018" s="152" t="str">
        <f t="shared" si="340"/>
        <v>450. </v>
      </c>
      <c r="L2018" s="152" t="str">
        <f t="shared" si="340"/>
        <v>450. </v>
      </c>
    </row>
    <row r="2019" hidden="1">
      <c r="A2019" s="24"/>
      <c r="B2019" s="24"/>
      <c r="C2019" s="28"/>
      <c r="D2019" s="28"/>
      <c r="E2019" s="28"/>
      <c r="F2019" s="161">
        <v>451.0</v>
      </c>
      <c r="G2019" s="152" t="str">
        <f>IFERROR(__xludf.DUMMYFUNCTION("TRIM(REGEXREPLACE(C2019, ""[0-9]+[a-f]?\."", """"))"),"")</f>
        <v/>
      </c>
      <c r="H2019" s="152" t="str">
        <f>IFERROR(__xludf.DUMMYFUNCTION("TRIM(REGEXREPLACE(D2019, ""[0-9]+[a-f]?\."", """"))"),"")</f>
        <v/>
      </c>
      <c r="I2019" s="152" t="str">
        <f>IFERROR(__xludf.DUMMYFUNCTION("TRIM(REGEXREPLACE(E2019, ""[0-9]+[a-f]?\."", """"))"),"")</f>
        <v/>
      </c>
      <c r="J2019" s="152" t="str">
        <f t="shared" ref="J2019:L2019" si="341">$F2019 &amp; ". " &amp;G2019</f>
        <v>451. </v>
      </c>
      <c r="K2019" s="152" t="str">
        <f t="shared" si="341"/>
        <v>451. </v>
      </c>
      <c r="L2019" s="152" t="str">
        <f t="shared" si="341"/>
        <v>451. </v>
      </c>
    </row>
    <row r="2020" hidden="1">
      <c r="A2020" s="24"/>
      <c r="B2020" s="24"/>
      <c r="C2020" s="28"/>
      <c r="D2020" s="28"/>
      <c r="E2020" s="28"/>
      <c r="F2020" s="161">
        <v>452.0</v>
      </c>
      <c r="G2020" s="152" t="str">
        <f>IFERROR(__xludf.DUMMYFUNCTION("TRIM(REGEXREPLACE(C2020, ""[0-9]+[a-f]?\."", """"))"),"")</f>
        <v/>
      </c>
      <c r="H2020" s="152" t="str">
        <f>IFERROR(__xludf.DUMMYFUNCTION("TRIM(REGEXREPLACE(D2020, ""[0-9]+[a-f]?\."", """"))"),"")</f>
        <v/>
      </c>
      <c r="I2020" s="152" t="str">
        <f>IFERROR(__xludf.DUMMYFUNCTION("TRIM(REGEXREPLACE(E2020, ""[0-9]+[a-f]?\."", """"))"),"")</f>
        <v/>
      </c>
      <c r="J2020" s="152" t="str">
        <f t="shared" ref="J2020:L2020" si="342">$F2020 &amp; ". " &amp;G2020</f>
        <v>452. </v>
      </c>
      <c r="K2020" s="152" t="str">
        <f t="shared" si="342"/>
        <v>452. </v>
      </c>
      <c r="L2020" s="152" t="str">
        <f t="shared" si="342"/>
        <v>452. </v>
      </c>
    </row>
    <row r="2021" hidden="1">
      <c r="A2021" s="24"/>
      <c r="B2021" s="24"/>
      <c r="C2021" s="28"/>
      <c r="D2021" s="28"/>
      <c r="E2021" s="28"/>
      <c r="F2021" s="161">
        <v>453.0</v>
      </c>
      <c r="G2021" s="152" t="str">
        <f>IFERROR(__xludf.DUMMYFUNCTION("TRIM(REGEXREPLACE(C2021, ""[0-9]+[a-f]?\."", """"))"),"")</f>
        <v/>
      </c>
      <c r="H2021" s="152" t="str">
        <f>IFERROR(__xludf.DUMMYFUNCTION("TRIM(REGEXREPLACE(D2021, ""[0-9]+[a-f]?\."", """"))"),"")</f>
        <v/>
      </c>
      <c r="I2021" s="152" t="str">
        <f>IFERROR(__xludf.DUMMYFUNCTION("TRIM(REGEXREPLACE(E2021, ""[0-9]+[a-f]?\."", """"))"),"")</f>
        <v/>
      </c>
      <c r="J2021" s="152" t="str">
        <f t="shared" ref="J2021:L2021" si="343">$F2021 &amp; ". " &amp;G2021</f>
        <v>453. </v>
      </c>
      <c r="K2021" s="152" t="str">
        <f t="shared" si="343"/>
        <v>453. </v>
      </c>
      <c r="L2021" s="152" t="str">
        <f t="shared" si="343"/>
        <v>453. </v>
      </c>
    </row>
    <row r="2022" hidden="1">
      <c r="A2022" s="24"/>
      <c r="B2022" s="24"/>
      <c r="C2022" s="28"/>
      <c r="D2022" s="28"/>
      <c r="E2022" s="28"/>
      <c r="F2022" s="161">
        <v>454.0</v>
      </c>
      <c r="G2022" s="152" t="str">
        <f>IFERROR(__xludf.DUMMYFUNCTION("TRIM(REGEXREPLACE(C2022, ""[0-9]+[a-f]?\."", """"))"),"")</f>
        <v/>
      </c>
      <c r="H2022" s="152" t="str">
        <f>IFERROR(__xludf.DUMMYFUNCTION("TRIM(REGEXREPLACE(D2022, ""[0-9]+[a-f]?\."", """"))"),"")</f>
        <v/>
      </c>
      <c r="I2022" s="152" t="str">
        <f>IFERROR(__xludf.DUMMYFUNCTION("TRIM(REGEXREPLACE(E2022, ""[0-9]+[a-f]?\."", """"))"),"")</f>
        <v/>
      </c>
      <c r="J2022" s="152" t="str">
        <f t="shared" ref="J2022:L2022" si="344">$F2022 &amp; ". " &amp;G2022</f>
        <v>454. </v>
      </c>
      <c r="K2022" s="152" t="str">
        <f t="shared" si="344"/>
        <v>454. </v>
      </c>
      <c r="L2022" s="152" t="str">
        <f t="shared" si="344"/>
        <v>454. </v>
      </c>
    </row>
    <row r="2023" hidden="1">
      <c r="A2023" s="24"/>
      <c r="B2023" s="24"/>
      <c r="C2023" s="28"/>
      <c r="D2023" s="28"/>
      <c r="E2023" s="28"/>
      <c r="F2023" s="161">
        <v>455.0</v>
      </c>
      <c r="G2023" s="152" t="str">
        <f>IFERROR(__xludf.DUMMYFUNCTION("TRIM(REGEXREPLACE(C2023, ""[0-9]+[a-f]?\."", """"))"),"")</f>
        <v/>
      </c>
      <c r="H2023" s="152" t="str">
        <f>IFERROR(__xludf.DUMMYFUNCTION("TRIM(REGEXREPLACE(D2023, ""[0-9]+[a-f]?\."", """"))"),"")</f>
        <v/>
      </c>
      <c r="I2023" s="152" t="str">
        <f>IFERROR(__xludf.DUMMYFUNCTION("TRIM(REGEXREPLACE(E2023, ""[0-9]+[a-f]?\."", """"))"),"")</f>
        <v/>
      </c>
      <c r="J2023" s="152" t="str">
        <f t="shared" ref="J2023:L2023" si="345">$F2023 &amp; ". " &amp;G2023</f>
        <v>455. </v>
      </c>
      <c r="K2023" s="152" t="str">
        <f t="shared" si="345"/>
        <v>455. </v>
      </c>
      <c r="L2023" s="152" t="str">
        <f t="shared" si="345"/>
        <v>455. </v>
      </c>
    </row>
    <row r="2024" hidden="1">
      <c r="A2024" s="24"/>
      <c r="B2024" s="24"/>
      <c r="C2024" s="28"/>
      <c r="D2024" s="28"/>
      <c r="E2024" s="28"/>
      <c r="F2024" s="161">
        <v>456.0</v>
      </c>
      <c r="G2024" s="152" t="str">
        <f>IFERROR(__xludf.DUMMYFUNCTION("TRIM(REGEXREPLACE(C2024, ""[0-9]+[a-f]?\."", """"))"),"")</f>
        <v/>
      </c>
      <c r="H2024" s="152" t="str">
        <f>IFERROR(__xludf.DUMMYFUNCTION("TRIM(REGEXREPLACE(D2024, ""[0-9]+[a-f]?\."", """"))"),"")</f>
        <v/>
      </c>
      <c r="I2024" s="152" t="str">
        <f>IFERROR(__xludf.DUMMYFUNCTION("TRIM(REGEXREPLACE(E2024, ""[0-9]+[a-f]?\."", """"))"),"")</f>
        <v/>
      </c>
      <c r="J2024" s="152" t="str">
        <f t="shared" ref="J2024:L2024" si="346">$F2024 &amp; ". " &amp;G2024</f>
        <v>456. </v>
      </c>
      <c r="K2024" s="152" t="str">
        <f t="shared" si="346"/>
        <v>456. </v>
      </c>
      <c r="L2024" s="152" t="str">
        <f t="shared" si="346"/>
        <v>456. </v>
      </c>
    </row>
    <row r="2025" hidden="1">
      <c r="A2025" s="24"/>
      <c r="B2025" s="24"/>
      <c r="C2025" s="28"/>
      <c r="D2025" s="28"/>
      <c r="E2025" s="28"/>
    </row>
    <row r="2026" hidden="1">
      <c r="A2026" s="24"/>
      <c r="B2026" s="24"/>
      <c r="C2026" s="28"/>
      <c r="D2026" s="28"/>
      <c r="E2026" s="28"/>
    </row>
    <row r="2027" hidden="1">
      <c r="A2027" s="24"/>
      <c r="B2027" s="24"/>
      <c r="C2027" s="28"/>
      <c r="D2027" s="28"/>
      <c r="E2027" s="28"/>
      <c r="F2027" s="161">
        <v>457.0</v>
      </c>
      <c r="G2027" s="152" t="str">
        <f>IFERROR(__xludf.DUMMYFUNCTION("TRIM(REGEXREPLACE(C2027, ""[0-9]+[a-f]?\."", """"))"),"")</f>
        <v/>
      </c>
      <c r="H2027" s="152" t="str">
        <f>IFERROR(__xludf.DUMMYFUNCTION("TRIM(REGEXREPLACE(D2027, ""[0-9]+[a-f]?\."", """"))"),"")</f>
        <v/>
      </c>
      <c r="I2027" s="152" t="str">
        <f>IFERROR(__xludf.DUMMYFUNCTION("TRIM(REGEXREPLACE(E2027, ""[0-9]+[a-f]?\."", """"))"),"")</f>
        <v/>
      </c>
      <c r="J2027" s="152" t="str">
        <f t="shared" ref="J2027:L2027" si="347">$F2027 &amp; ". " &amp;G2027</f>
        <v>457. </v>
      </c>
      <c r="K2027" s="152" t="str">
        <f t="shared" si="347"/>
        <v>457. </v>
      </c>
      <c r="L2027" s="152" t="str">
        <f t="shared" si="347"/>
        <v>457. </v>
      </c>
    </row>
    <row r="2028" hidden="1">
      <c r="A2028" s="24"/>
      <c r="B2028" s="24"/>
      <c r="C2028" s="28"/>
      <c r="D2028" s="28"/>
      <c r="E2028" s="28"/>
      <c r="F2028" s="161">
        <v>458.0</v>
      </c>
      <c r="G2028" s="152" t="str">
        <f>IFERROR(__xludf.DUMMYFUNCTION("TRIM(REGEXREPLACE(C2028, ""[0-9]+[a-f]?\."", """"))"),"")</f>
        <v/>
      </c>
      <c r="H2028" s="152" t="str">
        <f>IFERROR(__xludf.DUMMYFUNCTION("TRIM(REGEXREPLACE(D2028, ""[0-9]+[a-f]?\."", """"))"),"")</f>
        <v/>
      </c>
      <c r="I2028" s="152" t="str">
        <f>IFERROR(__xludf.DUMMYFUNCTION("TRIM(REGEXREPLACE(E2028, ""[0-9]+[a-f]?\."", """"))"),"")</f>
        <v/>
      </c>
      <c r="J2028" s="152" t="str">
        <f t="shared" ref="J2028:L2028" si="348">$F2028 &amp; ". " &amp;G2028</f>
        <v>458. </v>
      </c>
      <c r="K2028" s="152" t="str">
        <f t="shared" si="348"/>
        <v>458. </v>
      </c>
      <c r="L2028" s="152" t="str">
        <f t="shared" si="348"/>
        <v>458. </v>
      </c>
    </row>
    <row r="2029" hidden="1">
      <c r="A2029" s="24"/>
      <c r="B2029" s="24"/>
      <c r="C2029" s="28"/>
      <c r="D2029" s="28"/>
      <c r="E2029" s="28"/>
    </row>
    <row r="2030" hidden="1">
      <c r="A2030" s="24"/>
      <c r="B2030" s="24"/>
      <c r="C2030" s="28"/>
      <c r="D2030" s="28"/>
      <c r="E2030" s="28"/>
    </row>
    <row r="2031" hidden="1">
      <c r="A2031" s="24"/>
      <c r="B2031" s="24"/>
      <c r="C2031" s="28"/>
      <c r="D2031" s="28"/>
      <c r="E2031" s="28"/>
      <c r="F2031" s="161">
        <v>459.0</v>
      </c>
      <c r="G2031" s="152" t="str">
        <f>IFERROR(__xludf.DUMMYFUNCTION("TRIM(REGEXREPLACE(C2031, ""[0-9]+[a-f]?\."", """"))"),"")</f>
        <v/>
      </c>
      <c r="H2031" s="152" t="str">
        <f>IFERROR(__xludf.DUMMYFUNCTION("TRIM(REGEXREPLACE(D2031, ""[0-9]+[a-f]?\."", """"))"),"")</f>
        <v/>
      </c>
      <c r="I2031" s="152" t="str">
        <f>IFERROR(__xludf.DUMMYFUNCTION("TRIM(REGEXREPLACE(E2031, ""[0-9]+[a-f]?\."", """"))"),"")</f>
        <v/>
      </c>
      <c r="J2031" s="152" t="str">
        <f t="shared" ref="J2031:L2031" si="349">$F2031 &amp; ". " &amp;G2031</f>
        <v>459. </v>
      </c>
      <c r="K2031" s="152" t="str">
        <f t="shared" si="349"/>
        <v>459. </v>
      </c>
      <c r="L2031" s="152" t="str">
        <f t="shared" si="349"/>
        <v>459. </v>
      </c>
    </row>
    <row r="2032" hidden="1">
      <c r="A2032" s="24"/>
      <c r="B2032" s="24"/>
      <c r="C2032" s="28"/>
      <c r="D2032" s="28"/>
      <c r="E2032" s="28"/>
      <c r="F2032" s="161">
        <v>460.0</v>
      </c>
      <c r="G2032" s="152" t="str">
        <f>IFERROR(__xludf.DUMMYFUNCTION("TRIM(REGEXREPLACE(C2032, ""[0-9]+[a-f]?\."", """"))"),"")</f>
        <v/>
      </c>
      <c r="H2032" s="152" t="str">
        <f>IFERROR(__xludf.DUMMYFUNCTION("TRIM(REGEXREPLACE(D2032, ""[0-9]+[a-f]?\."", """"))"),"")</f>
        <v/>
      </c>
      <c r="I2032" s="152" t="str">
        <f>IFERROR(__xludf.DUMMYFUNCTION("TRIM(REGEXREPLACE(E2032, ""[0-9]+[a-f]?\."", """"))"),"")</f>
        <v/>
      </c>
      <c r="J2032" s="152" t="str">
        <f t="shared" ref="J2032:L2032" si="350">$F2032 &amp; ". " &amp;G2032</f>
        <v>460. </v>
      </c>
      <c r="K2032" s="152" t="str">
        <f t="shared" si="350"/>
        <v>460. </v>
      </c>
      <c r="L2032" s="152" t="str">
        <f t="shared" si="350"/>
        <v>460. </v>
      </c>
    </row>
    <row r="2033" hidden="1">
      <c r="A2033" s="24"/>
      <c r="B2033" s="24"/>
      <c r="C2033" s="28"/>
      <c r="D2033" s="28"/>
      <c r="E2033" s="28"/>
      <c r="F2033" s="161">
        <v>461.0</v>
      </c>
      <c r="G2033" s="152" t="str">
        <f>IFERROR(__xludf.DUMMYFUNCTION("TRIM(REGEXREPLACE(C2033, ""[0-9]+[a-f]?\."", """"))"),"")</f>
        <v/>
      </c>
      <c r="H2033" s="152" t="str">
        <f>IFERROR(__xludf.DUMMYFUNCTION("TRIM(REGEXREPLACE(D2033, ""[0-9]+[a-f]?\."", """"))"),"")</f>
        <v/>
      </c>
      <c r="I2033" s="152" t="str">
        <f>IFERROR(__xludf.DUMMYFUNCTION("TRIM(REGEXREPLACE(E2033, ""[0-9]+[a-f]?\."", """"))"),"")</f>
        <v/>
      </c>
      <c r="J2033" s="152" t="str">
        <f t="shared" ref="J2033:L2033" si="351">$F2033 &amp; ". " &amp;G2033</f>
        <v>461. </v>
      </c>
      <c r="K2033" s="152" t="str">
        <f t="shared" si="351"/>
        <v>461. </v>
      </c>
      <c r="L2033" s="152" t="str">
        <f t="shared" si="351"/>
        <v>461. </v>
      </c>
    </row>
    <row r="2034" hidden="1">
      <c r="A2034" s="24"/>
      <c r="B2034" s="24"/>
      <c r="C2034" s="28"/>
      <c r="D2034" s="28"/>
      <c r="E2034" s="28"/>
    </row>
    <row r="2035" hidden="1">
      <c r="A2035" s="24"/>
      <c r="B2035" s="24"/>
      <c r="C2035" s="28"/>
      <c r="D2035" s="28"/>
      <c r="E2035" s="28"/>
    </row>
    <row r="2036" hidden="1">
      <c r="A2036" s="24"/>
      <c r="B2036" s="24"/>
      <c r="C2036" s="28"/>
      <c r="D2036" s="28"/>
      <c r="E2036" s="28"/>
    </row>
    <row r="2037" hidden="1">
      <c r="A2037" s="24"/>
      <c r="B2037" s="24"/>
      <c r="C2037" s="28"/>
      <c r="D2037" s="28"/>
      <c r="E2037" s="28"/>
    </row>
    <row r="2038" hidden="1">
      <c r="A2038" s="24"/>
      <c r="B2038" s="24"/>
      <c r="C2038" s="28"/>
      <c r="D2038" s="28"/>
      <c r="E2038" s="28"/>
    </row>
    <row r="2039" hidden="1">
      <c r="A2039" s="24"/>
      <c r="B2039" s="24"/>
      <c r="C2039" s="28"/>
      <c r="D2039" s="28"/>
      <c r="E2039" s="28"/>
    </row>
    <row r="2040" hidden="1">
      <c r="A2040" s="24"/>
      <c r="B2040" s="24"/>
      <c r="C2040" s="28"/>
      <c r="D2040" s="28"/>
      <c r="E2040" s="28"/>
    </row>
    <row r="2041" hidden="1">
      <c r="A2041" s="24"/>
      <c r="B2041" s="24"/>
      <c r="C2041" s="28"/>
      <c r="D2041" s="28"/>
      <c r="E2041" s="28"/>
    </row>
    <row r="2042" hidden="1">
      <c r="A2042" s="24"/>
      <c r="B2042" s="24"/>
      <c r="C2042" s="28"/>
      <c r="D2042" s="28"/>
      <c r="E2042" s="28"/>
    </row>
    <row r="2043" hidden="1">
      <c r="A2043" s="24"/>
      <c r="B2043" s="24"/>
      <c r="C2043" s="28"/>
      <c r="D2043" s="28"/>
      <c r="E2043" s="28"/>
    </row>
    <row r="2044" hidden="1">
      <c r="A2044" s="24"/>
      <c r="B2044" s="24"/>
      <c r="C2044" s="28"/>
      <c r="D2044" s="28"/>
      <c r="E2044" s="28"/>
      <c r="F2044" s="161">
        <v>462.0</v>
      </c>
      <c r="G2044" s="152" t="str">
        <f>IFERROR(__xludf.DUMMYFUNCTION("TRIM(REGEXREPLACE(C2044, ""[0-9]+[a-f]?\."", """"))"),"")</f>
        <v/>
      </c>
      <c r="H2044" s="152" t="str">
        <f>IFERROR(__xludf.DUMMYFUNCTION("TRIM(REGEXREPLACE(D2044, ""[0-9]+[a-f]?\."", """"))"),"")</f>
        <v/>
      </c>
      <c r="I2044" s="152" t="str">
        <f>IFERROR(__xludf.DUMMYFUNCTION("TRIM(REGEXREPLACE(E2044, ""[0-9]+[a-f]?\."", """"))"),"")</f>
        <v/>
      </c>
      <c r="J2044" s="152" t="str">
        <f t="shared" ref="J2044:L2044" si="352">$F2044 &amp; ". " &amp;G2044</f>
        <v>462. </v>
      </c>
      <c r="K2044" s="152" t="str">
        <f t="shared" si="352"/>
        <v>462. </v>
      </c>
      <c r="L2044" s="152" t="str">
        <f t="shared" si="352"/>
        <v>462. </v>
      </c>
    </row>
    <row r="2045" hidden="1">
      <c r="A2045" s="24"/>
      <c r="B2045" s="24"/>
      <c r="C2045" s="28"/>
      <c r="D2045" s="28"/>
      <c r="E2045" s="28"/>
    </row>
    <row r="2046" hidden="1">
      <c r="A2046" s="24"/>
      <c r="B2046" s="24"/>
      <c r="C2046" s="28"/>
      <c r="D2046" s="28"/>
      <c r="E2046" s="28"/>
      <c r="F2046" s="161">
        <v>463.0</v>
      </c>
      <c r="G2046" s="152" t="str">
        <f>IFERROR(__xludf.DUMMYFUNCTION("TRIM(REGEXREPLACE(C2046, ""[0-9]+[a-f]?\."", """"))"),"")</f>
        <v/>
      </c>
      <c r="H2046" s="152" t="str">
        <f>IFERROR(__xludf.DUMMYFUNCTION("TRIM(REGEXREPLACE(D2046, ""[0-9]+[a-f]?\."", """"))"),"")</f>
        <v/>
      </c>
      <c r="I2046" s="152" t="str">
        <f>IFERROR(__xludf.DUMMYFUNCTION("TRIM(REGEXREPLACE(E2046, ""[0-9]+[a-f]?\."", """"))"),"")</f>
        <v/>
      </c>
      <c r="J2046" s="152" t="str">
        <f t="shared" ref="J2046:L2046" si="353">$F2046 &amp; ". " &amp;G2046</f>
        <v>463. </v>
      </c>
      <c r="K2046" s="152" t="str">
        <f t="shared" si="353"/>
        <v>463. </v>
      </c>
      <c r="L2046" s="152" t="str">
        <f t="shared" si="353"/>
        <v>463. </v>
      </c>
    </row>
    <row r="2047" hidden="1">
      <c r="A2047" s="24"/>
      <c r="B2047" s="24"/>
      <c r="C2047" s="28"/>
      <c r="D2047" s="28"/>
      <c r="E2047" s="28"/>
      <c r="F2047" s="161">
        <v>464.0</v>
      </c>
      <c r="G2047" s="152" t="str">
        <f>IFERROR(__xludf.DUMMYFUNCTION("TRIM(REGEXREPLACE(C2047, ""[0-9]+[a-f]?\."", """"))"),"")</f>
        <v/>
      </c>
      <c r="H2047" s="152" t="str">
        <f>IFERROR(__xludf.DUMMYFUNCTION("TRIM(REGEXREPLACE(D2047, ""[0-9]+[a-f]?\."", """"))"),"")</f>
        <v/>
      </c>
      <c r="I2047" s="152" t="str">
        <f>IFERROR(__xludf.DUMMYFUNCTION("TRIM(REGEXREPLACE(E2047, ""[0-9]+[a-f]?\."", """"))"),"")</f>
        <v/>
      </c>
      <c r="J2047" s="152" t="str">
        <f t="shared" ref="J2047:L2047" si="354">$F2047 &amp; ". " &amp;G2047</f>
        <v>464. </v>
      </c>
      <c r="K2047" s="152" t="str">
        <f t="shared" si="354"/>
        <v>464. </v>
      </c>
      <c r="L2047" s="152" t="str">
        <f t="shared" si="354"/>
        <v>464. </v>
      </c>
    </row>
    <row r="2048" hidden="1">
      <c r="A2048" s="24"/>
      <c r="B2048" s="24"/>
      <c r="C2048" s="28"/>
      <c r="D2048" s="28"/>
      <c r="E2048" s="28"/>
      <c r="F2048" s="161">
        <v>465.0</v>
      </c>
      <c r="G2048" s="152" t="str">
        <f>IFERROR(__xludf.DUMMYFUNCTION("TRIM(REGEXREPLACE(C2048, ""[0-9]+[a-f]?\."", """"))"),"")</f>
        <v/>
      </c>
      <c r="H2048" s="152" t="str">
        <f>IFERROR(__xludf.DUMMYFUNCTION("TRIM(REGEXREPLACE(D2048, ""[0-9]+[a-f]?\."", """"))"),"")</f>
        <v/>
      </c>
      <c r="I2048" s="152" t="str">
        <f>IFERROR(__xludf.DUMMYFUNCTION("TRIM(REGEXREPLACE(E2048, ""[0-9]+[a-f]?\."", """"))"),"")</f>
        <v/>
      </c>
      <c r="J2048" s="152" t="str">
        <f t="shared" ref="J2048:L2048" si="355">$F2048 &amp; ". " &amp;G2048</f>
        <v>465. </v>
      </c>
      <c r="K2048" s="152" t="str">
        <f t="shared" si="355"/>
        <v>465. </v>
      </c>
      <c r="L2048" s="152" t="str">
        <f t="shared" si="355"/>
        <v>465. </v>
      </c>
    </row>
    <row r="2049" hidden="1">
      <c r="A2049" s="24"/>
      <c r="B2049" s="24"/>
      <c r="C2049" s="28"/>
      <c r="D2049" s="28"/>
      <c r="E2049" s="28"/>
    </row>
    <row r="2050" hidden="1">
      <c r="A2050" s="24"/>
      <c r="B2050" s="24"/>
      <c r="C2050" s="28"/>
      <c r="D2050" s="28"/>
      <c r="E2050" s="28"/>
    </row>
    <row r="2051" hidden="1">
      <c r="A2051" s="24"/>
      <c r="B2051" s="24"/>
      <c r="C2051" s="28"/>
      <c r="D2051" s="28"/>
      <c r="E2051" s="28"/>
    </row>
    <row r="2052" hidden="1">
      <c r="A2052" s="24"/>
      <c r="B2052" s="24"/>
      <c r="C2052" s="28"/>
      <c r="D2052" s="28"/>
      <c r="E2052" s="28"/>
    </row>
    <row r="2053" hidden="1">
      <c r="A2053" s="24"/>
      <c r="B2053" s="24"/>
      <c r="C2053" s="28"/>
      <c r="D2053" s="28"/>
      <c r="E2053" s="28"/>
    </row>
    <row r="2054" hidden="1">
      <c r="A2054" s="24"/>
      <c r="B2054" s="24"/>
      <c r="C2054" s="28"/>
      <c r="D2054" s="28"/>
      <c r="E2054" s="28"/>
    </row>
    <row r="2055" hidden="1">
      <c r="A2055" s="24"/>
      <c r="B2055" s="24"/>
      <c r="C2055" s="28"/>
      <c r="D2055" s="28"/>
      <c r="E2055" s="28"/>
      <c r="F2055" s="161">
        <v>466.0</v>
      </c>
      <c r="G2055" s="152" t="str">
        <f>IFERROR(__xludf.DUMMYFUNCTION("TRIM(REGEXREPLACE(C2055, ""[0-9]+[a-f]?\."", """"))"),"")</f>
        <v/>
      </c>
      <c r="H2055" s="152" t="str">
        <f>IFERROR(__xludf.DUMMYFUNCTION("TRIM(REGEXREPLACE(D2055, ""[0-9]+[a-f]?\."", """"))"),"")</f>
        <v/>
      </c>
      <c r="I2055" s="152" t="str">
        <f>IFERROR(__xludf.DUMMYFUNCTION("TRIM(REGEXREPLACE(E2055, ""[0-9]+[a-f]?\."", """"))"),"")</f>
        <v/>
      </c>
      <c r="J2055" s="152" t="str">
        <f t="shared" ref="J2055:L2055" si="356">$F2055 &amp; ". " &amp;G2055</f>
        <v>466. </v>
      </c>
      <c r="K2055" s="152" t="str">
        <f t="shared" si="356"/>
        <v>466. </v>
      </c>
      <c r="L2055" s="152" t="str">
        <f t="shared" si="356"/>
        <v>466. </v>
      </c>
    </row>
    <row r="2056" hidden="1">
      <c r="A2056" s="24"/>
      <c r="B2056" s="24"/>
      <c r="C2056" s="28"/>
      <c r="D2056" s="28"/>
      <c r="E2056" s="28"/>
      <c r="F2056" s="161">
        <v>467.0</v>
      </c>
      <c r="G2056" s="152" t="str">
        <f>IFERROR(__xludf.DUMMYFUNCTION("TRIM(REGEXREPLACE(C2056, ""[0-9]+[a-f]?\."", """"))"),"")</f>
        <v/>
      </c>
      <c r="H2056" s="152" t="str">
        <f>IFERROR(__xludf.DUMMYFUNCTION("TRIM(REGEXREPLACE(D2056, ""[0-9]+[a-f]?\."", """"))"),"")</f>
        <v/>
      </c>
      <c r="I2056" s="152" t="str">
        <f>IFERROR(__xludf.DUMMYFUNCTION("TRIM(REGEXREPLACE(E2056, ""[0-9]+[a-f]?\."", """"))"),"")</f>
        <v/>
      </c>
      <c r="J2056" s="152" t="str">
        <f t="shared" ref="J2056:L2056" si="357">$F2056 &amp; ". " &amp;G2056</f>
        <v>467. </v>
      </c>
      <c r="K2056" s="152" t="str">
        <f t="shared" si="357"/>
        <v>467. </v>
      </c>
      <c r="L2056" s="152" t="str">
        <f t="shared" si="357"/>
        <v>467. </v>
      </c>
    </row>
    <row r="2057" hidden="1">
      <c r="A2057" s="24"/>
      <c r="B2057" s="24"/>
      <c r="C2057" s="28"/>
      <c r="D2057" s="28"/>
      <c r="E2057" s="28"/>
    </row>
    <row r="2058" hidden="1">
      <c r="A2058" s="24"/>
      <c r="B2058" s="24"/>
      <c r="C2058" s="28"/>
      <c r="D2058" s="28"/>
      <c r="E2058" s="28"/>
    </row>
    <row r="2059" hidden="1">
      <c r="A2059" s="24"/>
      <c r="B2059" s="24"/>
      <c r="C2059" s="28"/>
      <c r="D2059" s="28"/>
      <c r="E2059" s="28"/>
      <c r="F2059" s="161">
        <v>468.0</v>
      </c>
      <c r="G2059" s="152" t="str">
        <f>IFERROR(__xludf.DUMMYFUNCTION("TRIM(REGEXREPLACE(C2059, ""[0-9]+[a-f]?\."", """"))"),"")</f>
        <v/>
      </c>
      <c r="H2059" s="152" t="str">
        <f>IFERROR(__xludf.DUMMYFUNCTION("TRIM(REGEXREPLACE(D2059, ""[0-9]+[a-f]?\."", """"))"),"")</f>
        <v/>
      </c>
      <c r="I2059" s="152" t="str">
        <f>IFERROR(__xludf.DUMMYFUNCTION("TRIM(REGEXREPLACE(E2059, ""[0-9]+[a-f]?\."", """"))"),"")</f>
        <v/>
      </c>
      <c r="J2059" s="152" t="str">
        <f t="shared" ref="J2059:L2059" si="358">$F2059 &amp; ". " &amp;G2059</f>
        <v>468. </v>
      </c>
      <c r="K2059" s="152" t="str">
        <f t="shared" si="358"/>
        <v>468. </v>
      </c>
      <c r="L2059" s="152" t="str">
        <f t="shared" si="358"/>
        <v>468. </v>
      </c>
    </row>
    <row r="2060" hidden="1">
      <c r="A2060" s="24"/>
      <c r="B2060" s="24"/>
      <c r="C2060" s="28"/>
      <c r="D2060" s="28"/>
      <c r="E2060" s="28"/>
      <c r="F2060" s="161">
        <v>469.0</v>
      </c>
      <c r="G2060" s="152" t="str">
        <f>IFERROR(__xludf.DUMMYFUNCTION("TRIM(REGEXREPLACE(C2060, ""[0-9]+[a-f]?\."", """"))"),"")</f>
        <v/>
      </c>
      <c r="H2060" s="152" t="str">
        <f>IFERROR(__xludf.DUMMYFUNCTION("TRIM(REGEXREPLACE(D2060, ""[0-9]+[a-f]?\."", """"))"),"")</f>
        <v/>
      </c>
      <c r="I2060" s="152" t="str">
        <f>IFERROR(__xludf.DUMMYFUNCTION("TRIM(REGEXREPLACE(E2060, ""[0-9]+[a-f]?\."", """"))"),"")</f>
        <v/>
      </c>
      <c r="J2060" s="152" t="str">
        <f t="shared" ref="J2060:L2060" si="359">$F2060 &amp; ". " &amp;G2060</f>
        <v>469. </v>
      </c>
      <c r="K2060" s="152" t="str">
        <f t="shared" si="359"/>
        <v>469. </v>
      </c>
      <c r="L2060" s="152" t="str">
        <f t="shared" si="359"/>
        <v>469. </v>
      </c>
    </row>
    <row r="2061" hidden="1">
      <c r="A2061" s="24"/>
      <c r="B2061" s="24"/>
      <c r="C2061" s="28"/>
      <c r="D2061" s="28"/>
      <c r="E2061" s="28"/>
      <c r="F2061" s="161">
        <v>470.0</v>
      </c>
      <c r="G2061" s="152" t="str">
        <f>IFERROR(__xludf.DUMMYFUNCTION("TRIM(REGEXREPLACE(C2061, ""[0-9]+[a-f]?\."", """"))"),"")</f>
        <v/>
      </c>
      <c r="H2061" s="152" t="str">
        <f>IFERROR(__xludf.DUMMYFUNCTION("TRIM(REGEXREPLACE(D2061, ""[0-9]+[a-f]?\."", """"))"),"")</f>
        <v/>
      </c>
      <c r="I2061" s="152" t="str">
        <f>IFERROR(__xludf.DUMMYFUNCTION("TRIM(REGEXREPLACE(E2061, ""[0-9]+[a-f]?\."", """"))"),"")</f>
        <v/>
      </c>
      <c r="J2061" s="152" t="str">
        <f t="shared" ref="J2061:L2061" si="360">$F2061 &amp; ". " &amp;G2061</f>
        <v>470. </v>
      </c>
      <c r="K2061" s="152" t="str">
        <f t="shared" si="360"/>
        <v>470. </v>
      </c>
      <c r="L2061" s="152" t="str">
        <f t="shared" si="360"/>
        <v>470. </v>
      </c>
    </row>
    <row r="2062" hidden="1">
      <c r="A2062" s="24"/>
      <c r="B2062" s="24"/>
      <c r="C2062" s="28"/>
      <c r="D2062" s="28"/>
      <c r="E2062" s="28"/>
    </row>
    <row r="2063" hidden="1">
      <c r="A2063" s="24"/>
      <c r="B2063" s="24"/>
      <c r="C2063" s="28"/>
      <c r="D2063" s="28"/>
      <c r="E2063" s="28"/>
    </row>
    <row r="2064" hidden="1">
      <c r="A2064" s="24"/>
      <c r="B2064" s="24"/>
      <c r="C2064" s="28"/>
      <c r="D2064" s="28"/>
      <c r="E2064" s="28"/>
    </row>
    <row r="2065" hidden="1">
      <c r="A2065" s="24"/>
      <c r="B2065" s="24"/>
      <c r="C2065" s="28"/>
      <c r="D2065" s="28"/>
      <c r="E2065" s="28"/>
    </row>
    <row r="2066" hidden="1">
      <c r="A2066" s="24"/>
      <c r="B2066" s="24"/>
      <c r="C2066" s="28"/>
      <c r="D2066" s="28"/>
      <c r="E2066" s="28"/>
      <c r="F2066" s="161">
        <v>471.0</v>
      </c>
      <c r="G2066" s="152" t="str">
        <f>IFERROR(__xludf.DUMMYFUNCTION("TRIM(REGEXREPLACE(C2066, ""[0-9]+[a-f]?\."", """"))"),"")</f>
        <v/>
      </c>
      <c r="H2066" s="152" t="str">
        <f>IFERROR(__xludf.DUMMYFUNCTION("TRIM(REGEXREPLACE(D2066, ""[0-9]+[a-f]?\."", """"))"),"")</f>
        <v/>
      </c>
      <c r="I2066" s="152" t="str">
        <f>IFERROR(__xludf.DUMMYFUNCTION("TRIM(REGEXREPLACE(E2066, ""[0-9]+[a-f]?\."", """"))"),"")</f>
        <v/>
      </c>
      <c r="J2066" s="152" t="str">
        <f t="shared" ref="J2066:L2066" si="361">$F2066 &amp; ". " &amp;G2066</f>
        <v>471. </v>
      </c>
      <c r="K2066" s="152" t="str">
        <f t="shared" si="361"/>
        <v>471. </v>
      </c>
      <c r="L2066" s="152" t="str">
        <f t="shared" si="361"/>
        <v>471. </v>
      </c>
    </row>
    <row r="2067" hidden="1">
      <c r="A2067" s="24"/>
      <c r="B2067" s="24"/>
      <c r="C2067" s="28"/>
      <c r="D2067" s="28"/>
      <c r="E2067" s="28"/>
    </row>
    <row r="2068" hidden="1">
      <c r="A2068" s="24"/>
      <c r="B2068" s="24"/>
      <c r="C2068" s="28"/>
      <c r="D2068" s="28"/>
      <c r="E2068" s="28"/>
    </row>
    <row r="2069" hidden="1">
      <c r="A2069" s="24"/>
      <c r="B2069" s="24"/>
      <c r="C2069" s="28"/>
      <c r="D2069" s="28"/>
      <c r="E2069" s="28"/>
    </row>
    <row r="2070" hidden="1">
      <c r="A2070" s="24"/>
      <c r="B2070" s="24"/>
      <c r="C2070" s="28"/>
      <c r="D2070" s="28"/>
      <c r="E2070" s="28"/>
    </row>
    <row r="2071" hidden="1">
      <c r="A2071" s="24"/>
      <c r="B2071" s="24"/>
      <c r="C2071" s="28"/>
      <c r="D2071" s="28"/>
      <c r="E2071" s="28"/>
    </row>
    <row r="2072" hidden="1">
      <c r="A2072" s="24"/>
      <c r="B2072" s="24"/>
      <c r="C2072" s="28"/>
      <c r="D2072" s="28"/>
      <c r="E2072" s="28"/>
    </row>
    <row r="2073" hidden="1">
      <c r="A2073" s="24"/>
      <c r="B2073" s="24"/>
      <c r="C2073" s="28"/>
      <c r="D2073" s="28"/>
      <c r="E2073" s="28"/>
    </row>
    <row r="2074" hidden="1">
      <c r="A2074" s="24"/>
      <c r="B2074" s="24"/>
      <c r="C2074" s="28"/>
      <c r="D2074" s="28"/>
      <c r="E2074" s="28"/>
    </row>
    <row r="2075" hidden="1">
      <c r="A2075" s="24"/>
      <c r="B2075" s="24"/>
      <c r="C2075" s="28"/>
      <c r="D2075" s="28"/>
      <c r="E2075" s="28"/>
    </row>
    <row r="2076" hidden="1">
      <c r="A2076" s="24"/>
      <c r="B2076" s="24"/>
      <c r="C2076" s="28"/>
      <c r="D2076" s="28"/>
      <c r="E2076" s="28"/>
    </row>
    <row r="2077" hidden="1">
      <c r="A2077" s="338"/>
      <c r="B2077" s="339"/>
      <c r="C2077" s="340"/>
      <c r="D2077" s="341"/>
      <c r="E2077" s="341"/>
    </row>
    <row r="2078" hidden="1">
      <c r="A2078" s="338"/>
      <c r="B2078" s="339"/>
      <c r="C2078" s="341"/>
      <c r="D2078" s="341"/>
      <c r="E2078" s="341"/>
    </row>
    <row r="2079" hidden="1">
      <c r="A2079" s="338"/>
      <c r="B2079" s="339"/>
      <c r="C2079" s="341"/>
      <c r="D2079" s="341"/>
      <c r="E2079" s="341"/>
    </row>
    <row r="2080" hidden="1">
      <c r="A2080" s="338"/>
      <c r="B2080" s="339"/>
      <c r="C2080" s="341"/>
      <c r="D2080" s="341"/>
      <c r="E2080" s="341"/>
    </row>
    <row r="2081" hidden="1">
      <c r="A2081" s="342"/>
      <c r="B2081" s="343"/>
      <c r="C2081" s="343"/>
      <c r="D2081" s="343"/>
      <c r="E2081" s="343"/>
      <c r="F2081" s="161">
        <v>472.0</v>
      </c>
      <c r="G2081" s="152" t="str">
        <f>IFERROR(__xludf.DUMMYFUNCTION("TRIM(REGEXREPLACE(C2081, ""[0-9]+[a-f]?\."", """"))"),"")</f>
        <v/>
      </c>
      <c r="H2081" s="152" t="str">
        <f>IFERROR(__xludf.DUMMYFUNCTION("TRIM(REGEXREPLACE(D2081, ""[0-9]+[a-f]?\."", """"))"),"")</f>
        <v/>
      </c>
      <c r="I2081" s="152" t="str">
        <f>IFERROR(__xludf.DUMMYFUNCTION("TRIM(REGEXREPLACE(E2081, ""[0-9]+[a-f]?\."", """"))"),"")</f>
        <v/>
      </c>
      <c r="J2081" s="152" t="str">
        <f t="shared" ref="J2081:L2081" si="362">$F2081 &amp; ". " &amp;G2081</f>
        <v>472. </v>
      </c>
      <c r="K2081" s="152" t="str">
        <f t="shared" si="362"/>
        <v>472. </v>
      </c>
      <c r="L2081" s="152" t="str">
        <f t="shared" si="362"/>
        <v>472. </v>
      </c>
    </row>
    <row r="2082" hidden="1">
      <c r="A2082" s="344"/>
      <c r="B2082" s="345"/>
      <c r="C2082" s="345"/>
      <c r="D2082" s="345"/>
      <c r="E2082" s="345"/>
      <c r="F2082" s="161">
        <v>473.0</v>
      </c>
      <c r="G2082" s="152" t="str">
        <f>IFERROR(__xludf.DUMMYFUNCTION("TRIM(REGEXREPLACE(C2082, ""[0-9]+[a-f]?\."", """"))"),"")</f>
        <v/>
      </c>
      <c r="H2082" s="152" t="str">
        <f>IFERROR(__xludf.DUMMYFUNCTION("TRIM(REGEXREPLACE(D2082, ""[0-9]+[a-f]?\."", """"))"),"")</f>
        <v/>
      </c>
      <c r="I2082" s="152" t="str">
        <f>IFERROR(__xludf.DUMMYFUNCTION("TRIM(REGEXREPLACE(E2082, ""[0-9]+[a-f]?\."", """"))"),"")</f>
        <v/>
      </c>
      <c r="J2082" s="152" t="str">
        <f t="shared" ref="J2082:L2082" si="363">$F2082 &amp; ". " &amp;G2082</f>
        <v>473. </v>
      </c>
      <c r="K2082" s="152" t="str">
        <f t="shared" si="363"/>
        <v>473. </v>
      </c>
      <c r="L2082" s="152" t="str">
        <f t="shared" si="363"/>
        <v>473. </v>
      </c>
    </row>
    <row r="2083" hidden="1">
      <c r="A2083" s="344"/>
      <c r="B2083" s="345"/>
      <c r="C2083" s="345"/>
      <c r="D2083" s="345"/>
      <c r="E2083" s="345"/>
      <c r="F2083" s="161">
        <v>474.0</v>
      </c>
      <c r="G2083" s="152" t="str">
        <f>IFERROR(__xludf.DUMMYFUNCTION("TRIM(REGEXREPLACE(C2083, ""[0-9]+[a-f]?\."", """"))"),"")</f>
        <v/>
      </c>
      <c r="H2083" s="152" t="str">
        <f>IFERROR(__xludf.DUMMYFUNCTION("TRIM(REGEXREPLACE(D2083, ""[0-9]+[a-f]?\."", """"))"),"")</f>
        <v/>
      </c>
      <c r="I2083" s="152" t="str">
        <f>IFERROR(__xludf.DUMMYFUNCTION("TRIM(REGEXREPLACE(E2083, ""[0-9]+[a-f]?\."", """"))"),"")</f>
        <v/>
      </c>
      <c r="J2083" s="152" t="str">
        <f t="shared" ref="J2083:L2083" si="364">$F2083 &amp; ". " &amp;G2083</f>
        <v>474. </v>
      </c>
      <c r="K2083" s="152" t="str">
        <f t="shared" si="364"/>
        <v>474. </v>
      </c>
      <c r="L2083" s="152" t="str">
        <f t="shared" si="364"/>
        <v>474. </v>
      </c>
    </row>
    <row r="2084" hidden="1">
      <c r="A2084" s="346"/>
      <c r="B2084" s="347"/>
      <c r="C2084" s="347"/>
      <c r="D2084" s="347"/>
      <c r="E2084" s="347"/>
      <c r="F2084" s="161">
        <v>475.0</v>
      </c>
      <c r="G2084" s="152" t="str">
        <f>IFERROR(__xludf.DUMMYFUNCTION("TRIM(REGEXREPLACE(C2084, ""[0-9]+[a-f]?\."", """"))"),"")</f>
        <v/>
      </c>
      <c r="H2084" s="152" t="str">
        <f>IFERROR(__xludf.DUMMYFUNCTION("TRIM(REGEXREPLACE(D2084, ""[0-9]+[a-f]?\."", """"))"),"")</f>
        <v/>
      </c>
      <c r="I2084" s="152" t="str">
        <f>IFERROR(__xludf.DUMMYFUNCTION("TRIM(REGEXREPLACE(E2084, ""[0-9]+[a-f]?\."", """"))"),"")</f>
        <v/>
      </c>
      <c r="J2084" s="152" t="str">
        <f t="shared" ref="J2084:L2084" si="365">$F2084 &amp; ". " &amp;G2084</f>
        <v>475. </v>
      </c>
      <c r="K2084" s="152" t="str">
        <f t="shared" si="365"/>
        <v>475. </v>
      </c>
      <c r="L2084" s="152" t="str">
        <f t="shared" si="365"/>
        <v>475. </v>
      </c>
    </row>
    <row r="2085" hidden="1">
      <c r="A2085" s="344"/>
      <c r="B2085" s="345"/>
      <c r="C2085" s="345"/>
      <c r="D2085" s="345"/>
      <c r="E2085" s="345"/>
      <c r="F2085" s="161">
        <v>476.0</v>
      </c>
      <c r="G2085" s="152" t="str">
        <f>IFERROR(__xludf.DUMMYFUNCTION("TRIM(REGEXREPLACE(C2085, ""[0-9]+[a-f]?\."", """"))"),"")</f>
        <v/>
      </c>
      <c r="H2085" s="152" t="str">
        <f>IFERROR(__xludf.DUMMYFUNCTION("TRIM(REGEXREPLACE(D2085, ""[0-9]+[a-f]?\."", """"))"),"")</f>
        <v/>
      </c>
      <c r="I2085" s="152" t="str">
        <f>IFERROR(__xludf.DUMMYFUNCTION("TRIM(REGEXREPLACE(E2085, ""[0-9]+[a-f]?\."", """"))"),"")</f>
        <v/>
      </c>
      <c r="J2085" s="152" t="str">
        <f t="shared" ref="J2085:L2085" si="366">$F2085 &amp; ". " &amp;G2085</f>
        <v>476. </v>
      </c>
      <c r="K2085" s="152" t="str">
        <f t="shared" si="366"/>
        <v>476. </v>
      </c>
      <c r="L2085" s="152" t="str">
        <f t="shared" si="366"/>
        <v>476. </v>
      </c>
    </row>
    <row r="2086" hidden="1">
      <c r="A2086" s="344"/>
      <c r="B2086" s="345"/>
      <c r="C2086" s="345"/>
      <c r="D2086" s="345"/>
      <c r="E2086" s="345"/>
      <c r="F2086" s="161">
        <v>477.0</v>
      </c>
      <c r="G2086" s="152" t="str">
        <f>IFERROR(__xludf.DUMMYFUNCTION("TRIM(REGEXREPLACE(C2086, ""[0-9]+[a-f]?\."", """"))"),"")</f>
        <v/>
      </c>
      <c r="H2086" s="152" t="str">
        <f>IFERROR(__xludf.DUMMYFUNCTION("TRIM(REGEXREPLACE(D2086, ""[0-9]+[a-f]?\."", """"))"),"")</f>
        <v/>
      </c>
      <c r="I2086" s="152" t="str">
        <f>IFERROR(__xludf.DUMMYFUNCTION("TRIM(REGEXREPLACE(E2086, ""[0-9]+[a-f]?\."", """"))"),"")</f>
        <v/>
      </c>
      <c r="J2086" s="152" t="str">
        <f t="shared" ref="J2086:L2086" si="367">$F2086 &amp; ". " &amp;G2086</f>
        <v>477. </v>
      </c>
      <c r="K2086" s="152" t="str">
        <f t="shared" si="367"/>
        <v>477. </v>
      </c>
      <c r="L2086" s="152" t="str">
        <f t="shared" si="367"/>
        <v>477. </v>
      </c>
    </row>
    <row r="2087" hidden="1">
      <c r="A2087" s="346"/>
      <c r="B2087" s="347"/>
      <c r="C2087" s="347"/>
      <c r="D2087" s="347"/>
      <c r="E2087" s="347"/>
      <c r="F2087" s="161">
        <v>478.0</v>
      </c>
      <c r="G2087" s="152" t="str">
        <f>IFERROR(__xludf.DUMMYFUNCTION("TRIM(REGEXREPLACE(C2087, ""[0-9]+[a-f]?\."", """"))"),"")</f>
        <v/>
      </c>
      <c r="H2087" s="152" t="str">
        <f>IFERROR(__xludf.DUMMYFUNCTION("TRIM(REGEXREPLACE(D2087, ""[0-9]+[a-f]?\."", """"))"),"")</f>
        <v/>
      </c>
      <c r="I2087" s="152" t="str">
        <f>IFERROR(__xludf.DUMMYFUNCTION("TRIM(REGEXREPLACE(E2087, ""[0-9]+[a-f]?\."", """"))"),"")</f>
        <v/>
      </c>
      <c r="J2087" s="152" t="str">
        <f t="shared" ref="J2087:L2087" si="368">$F2087 &amp; ". " &amp;G2087</f>
        <v>478. </v>
      </c>
      <c r="K2087" s="152" t="str">
        <f t="shared" si="368"/>
        <v>478. </v>
      </c>
      <c r="L2087" s="152" t="str">
        <f t="shared" si="368"/>
        <v>478. </v>
      </c>
    </row>
    <row r="2088" hidden="1">
      <c r="A2088" s="346"/>
      <c r="B2088" s="347"/>
      <c r="C2088" s="347"/>
      <c r="D2088" s="347"/>
      <c r="E2088" s="347"/>
      <c r="F2088" s="161">
        <v>479.0</v>
      </c>
      <c r="G2088" s="152" t="str">
        <f>IFERROR(__xludf.DUMMYFUNCTION("TRIM(REGEXREPLACE(C2088, ""[0-9]+[a-f]?\."", """"))"),"")</f>
        <v/>
      </c>
      <c r="H2088" s="152" t="str">
        <f>IFERROR(__xludf.DUMMYFUNCTION("TRIM(REGEXREPLACE(D2088, ""[0-9]+[a-f]?\."", """"))"),"")</f>
        <v/>
      </c>
      <c r="I2088" s="152" t="str">
        <f>IFERROR(__xludf.DUMMYFUNCTION("TRIM(REGEXREPLACE(E2088, ""[0-9]+[a-f]?\."", """"))"),"")</f>
        <v/>
      </c>
      <c r="J2088" s="152" t="str">
        <f t="shared" ref="J2088:L2088" si="369">$F2088 &amp; ". " &amp;G2088</f>
        <v>479. </v>
      </c>
      <c r="K2088" s="152" t="str">
        <f t="shared" si="369"/>
        <v>479. </v>
      </c>
      <c r="L2088" s="152" t="str">
        <f t="shared" si="369"/>
        <v>479. </v>
      </c>
    </row>
    <row r="2089" hidden="1">
      <c r="A2089" s="344"/>
      <c r="B2089" s="345"/>
      <c r="C2089" s="345"/>
      <c r="D2089" s="345"/>
      <c r="E2089" s="345"/>
      <c r="F2089" s="161">
        <v>480.0</v>
      </c>
      <c r="G2089" s="152" t="str">
        <f>IFERROR(__xludf.DUMMYFUNCTION("TRIM(REGEXREPLACE(C2089, ""[0-9]+[a-f]?\."", """"))"),"")</f>
        <v/>
      </c>
      <c r="H2089" s="152" t="str">
        <f>IFERROR(__xludf.DUMMYFUNCTION("TRIM(REGEXREPLACE(D2089, ""[0-9]+[a-f]?\."", """"))"),"")</f>
        <v/>
      </c>
      <c r="I2089" s="152" t="str">
        <f>IFERROR(__xludf.DUMMYFUNCTION("TRIM(REGEXREPLACE(E2089, ""[0-9]+[a-f]?\."", """"))"),"")</f>
        <v/>
      </c>
      <c r="J2089" s="152" t="str">
        <f t="shared" ref="J2089:L2089" si="370">$F2089 &amp; ". " &amp;G2089</f>
        <v>480. </v>
      </c>
      <c r="K2089" s="152" t="str">
        <f t="shared" si="370"/>
        <v>480. </v>
      </c>
      <c r="L2089" s="152" t="str">
        <f t="shared" si="370"/>
        <v>480. </v>
      </c>
    </row>
    <row r="2090" hidden="1">
      <c r="A2090" s="344"/>
      <c r="B2090" s="345"/>
      <c r="C2090" s="345"/>
      <c r="D2090" s="345"/>
      <c r="E2090" s="345"/>
      <c r="F2090" s="161">
        <v>481.0</v>
      </c>
      <c r="G2090" s="152" t="str">
        <f>IFERROR(__xludf.DUMMYFUNCTION("TRIM(REGEXREPLACE(C2090, ""[0-9]+[a-f]?\."", """"))"),"")</f>
        <v/>
      </c>
      <c r="H2090" s="152" t="str">
        <f>IFERROR(__xludf.DUMMYFUNCTION("TRIM(REGEXREPLACE(D2090, ""[0-9]+[a-f]?\."", """"))"),"")</f>
        <v/>
      </c>
      <c r="I2090" s="152" t="str">
        <f>IFERROR(__xludf.DUMMYFUNCTION("TRIM(REGEXREPLACE(E2090, ""[0-9]+[a-f]?\."", """"))"),"")</f>
        <v/>
      </c>
      <c r="J2090" s="152" t="str">
        <f t="shared" ref="J2090:L2090" si="371">$F2090 &amp; ". " &amp;G2090</f>
        <v>481. </v>
      </c>
      <c r="K2090" s="152" t="str">
        <f t="shared" si="371"/>
        <v>481. </v>
      </c>
      <c r="L2090" s="152" t="str">
        <f t="shared" si="371"/>
        <v>481. </v>
      </c>
    </row>
    <row r="2091" hidden="1">
      <c r="A2091" s="344"/>
      <c r="B2091" s="345"/>
      <c r="C2091" s="345"/>
      <c r="D2091" s="345"/>
      <c r="E2091" s="345"/>
      <c r="F2091" s="161">
        <v>482.0</v>
      </c>
      <c r="G2091" s="152" t="str">
        <f>IFERROR(__xludf.DUMMYFUNCTION("TRIM(REGEXREPLACE(C2091, ""[0-9]+[a-f]?\."", """"))"),"")</f>
        <v/>
      </c>
      <c r="H2091" s="152" t="str">
        <f>IFERROR(__xludf.DUMMYFUNCTION("TRIM(REGEXREPLACE(D2091, ""[0-9]+[a-f]?\."", """"))"),"")</f>
        <v/>
      </c>
      <c r="I2091" s="152" t="str">
        <f>IFERROR(__xludf.DUMMYFUNCTION("TRIM(REGEXREPLACE(E2091, ""[0-9]+[a-f]?\."", """"))"),"")</f>
        <v/>
      </c>
      <c r="J2091" s="152" t="str">
        <f t="shared" ref="J2091:L2091" si="372">$F2091 &amp; ". " &amp;G2091</f>
        <v>482. </v>
      </c>
      <c r="K2091" s="152" t="str">
        <f t="shared" si="372"/>
        <v>482. </v>
      </c>
      <c r="L2091" s="152" t="str">
        <f t="shared" si="372"/>
        <v>482. </v>
      </c>
    </row>
    <row r="2092" hidden="1">
      <c r="A2092" s="344"/>
      <c r="B2092" s="345"/>
      <c r="C2092" s="345"/>
      <c r="D2092" s="345"/>
      <c r="E2092" s="345"/>
      <c r="F2092" s="161">
        <v>483.0</v>
      </c>
      <c r="G2092" s="152" t="str">
        <f>IFERROR(__xludf.DUMMYFUNCTION("TRIM(REGEXREPLACE(C2092, ""[0-9]+[a-f]?\."", """"))"),"")</f>
        <v/>
      </c>
      <c r="H2092" s="152" t="str">
        <f>IFERROR(__xludf.DUMMYFUNCTION("TRIM(REGEXREPLACE(D2092, ""[0-9]+[a-f]?\."", """"))"),"")</f>
        <v/>
      </c>
      <c r="I2092" s="152" t="str">
        <f>IFERROR(__xludf.DUMMYFUNCTION("TRIM(REGEXREPLACE(E2092, ""[0-9]+[a-f]?\."", """"))"),"")</f>
        <v/>
      </c>
      <c r="J2092" s="152" t="str">
        <f t="shared" ref="J2092:L2092" si="373">$F2092 &amp; ". " &amp;G2092</f>
        <v>483. </v>
      </c>
      <c r="K2092" s="152" t="str">
        <f t="shared" si="373"/>
        <v>483. </v>
      </c>
      <c r="L2092" s="152" t="str">
        <f t="shared" si="373"/>
        <v>483. </v>
      </c>
    </row>
    <row r="2093" hidden="1">
      <c r="A2093" s="346"/>
      <c r="B2093" s="347"/>
      <c r="C2093" s="347"/>
      <c r="D2093" s="347"/>
      <c r="E2093" s="347"/>
      <c r="F2093" s="161">
        <v>484.0</v>
      </c>
      <c r="G2093" s="152" t="str">
        <f>IFERROR(__xludf.DUMMYFUNCTION("TRIM(REGEXREPLACE(C2093, ""[0-9]+[a-f]?\."", """"))"),"")</f>
        <v/>
      </c>
      <c r="H2093" s="152" t="str">
        <f>IFERROR(__xludf.DUMMYFUNCTION("TRIM(REGEXREPLACE(D2093, ""[0-9]+[a-f]?\."", """"))"),"")</f>
        <v/>
      </c>
      <c r="I2093" s="152" t="str">
        <f>IFERROR(__xludf.DUMMYFUNCTION("TRIM(REGEXREPLACE(E2093, ""[0-9]+[a-f]?\."", """"))"),"")</f>
        <v/>
      </c>
      <c r="J2093" s="152" t="str">
        <f t="shared" ref="J2093:L2093" si="374">$F2093 &amp; ". " &amp;G2093</f>
        <v>484. </v>
      </c>
      <c r="K2093" s="152" t="str">
        <f t="shared" si="374"/>
        <v>484. </v>
      </c>
      <c r="L2093" s="152" t="str">
        <f t="shared" si="374"/>
        <v>484. </v>
      </c>
    </row>
    <row r="2094" hidden="1">
      <c r="A2094" s="344"/>
      <c r="B2094" s="345"/>
      <c r="C2094" s="345"/>
      <c r="D2094" s="345"/>
      <c r="E2094" s="345"/>
      <c r="F2094" s="161">
        <v>485.0</v>
      </c>
      <c r="G2094" s="152" t="str">
        <f>IFERROR(__xludf.DUMMYFUNCTION("TRIM(REGEXREPLACE(C2094, ""[0-9]+[a-f]?\."", """"))"),"")</f>
        <v/>
      </c>
      <c r="H2094" s="152" t="str">
        <f>IFERROR(__xludf.DUMMYFUNCTION("TRIM(REGEXREPLACE(D2094, ""[0-9]+[a-f]?\."", """"))"),"")</f>
        <v/>
      </c>
      <c r="I2094" s="152" t="str">
        <f>IFERROR(__xludf.DUMMYFUNCTION("TRIM(REGEXREPLACE(E2094, ""[0-9]+[a-f]?\."", """"))"),"")</f>
        <v/>
      </c>
      <c r="J2094" s="152" t="str">
        <f t="shared" ref="J2094:L2094" si="375">$F2094 &amp; ". " &amp;G2094</f>
        <v>485. </v>
      </c>
      <c r="K2094" s="152" t="str">
        <f t="shared" si="375"/>
        <v>485. </v>
      </c>
      <c r="L2094" s="152" t="str">
        <f t="shared" si="375"/>
        <v>485. </v>
      </c>
    </row>
    <row r="2095" hidden="1">
      <c r="A2095" s="346"/>
      <c r="B2095" s="347"/>
      <c r="C2095" s="347"/>
      <c r="D2095" s="347"/>
      <c r="E2095" s="347"/>
      <c r="F2095" s="161">
        <v>486.0</v>
      </c>
      <c r="G2095" s="152" t="str">
        <f>IFERROR(__xludf.DUMMYFUNCTION("TRIM(REGEXREPLACE(C2095, ""[0-9]+[a-f]?\."", """"))"),"")</f>
        <v/>
      </c>
      <c r="H2095" s="152" t="str">
        <f>IFERROR(__xludf.DUMMYFUNCTION("TRIM(REGEXREPLACE(D2095, ""[0-9]+[a-f]?\."", """"))"),"")</f>
        <v/>
      </c>
      <c r="I2095" s="152" t="str">
        <f>IFERROR(__xludf.DUMMYFUNCTION("TRIM(REGEXREPLACE(E2095, ""[0-9]+[a-f]?\."", """"))"),"")</f>
        <v/>
      </c>
      <c r="J2095" s="152" t="str">
        <f t="shared" ref="J2095:L2095" si="376">$F2095 &amp; ". " &amp;G2095</f>
        <v>486. </v>
      </c>
      <c r="K2095" s="152" t="str">
        <f t="shared" si="376"/>
        <v>486. </v>
      </c>
      <c r="L2095" s="152" t="str">
        <f t="shared" si="376"/>
        <v>486. </v>
      </c>
    </row>
    <row r="2096" hidden="1">
      <c r="A2096" s="348"/>
      <c r="B2096" s="349"/>
      <c r="C2096" s="350"/>
      <c r="D2096" s="350"/>
      <c r="E2096" s="350"/>
    </row>
    <row r="2097" hidden="1">
      <c r="A2097" s="344"/>
      <c r="B2097" s="345"/>
      <c r="C2097" s="345"/>
      <c r="D2097" s="345"/>
      <c r="E2097" s="345"/>
      <c r="F2097" s="161">
        <v>487.0</v>
      </c>
      <c r="G2097" s="152" t="str">
        <f>IFERROR(__xludf.DUMMYFUNCTION("TRIM(REGEXREPLACE(C2097, ""[0-9]+[a-f]?\."", """"))"),"")</f>
        <v/>
      </c>
      <c r="H2097" s="152" t="str">
        <f>IFERROR(__xludf.DUMMYFUNCTION("TRIM(REGEXREPLACE(D2097, ""[0-9]+[a-f]?\."", """"))"),"")</f>
        <v/>
      </c>
      <c r="I2097" s="152" t="str">
        <f>IFERROR(__xludf.DUMMYFUNCTION("TRIM(REGEXREPLACE(E2097, ""[0-9]+[a-f]?\."", """"))"),"")</f>
        <v/>
      </c>
      <c r="J2097" s="152" t="str">
        <f t="shared" ref="J2097:L2097" si="377">$F2097 &amp; ". " &amp;G2097</f>
        <v>487. </v>
      </c>
      <c r="K2097" s="152" t="str">
        <f t="shared" si="377"/>
        <v>487. </v>
      </c>
      <c r="L2097" s="152" t="str">
        <f t="shared" si="377"/>
        <v>487. </v>
      </c>
    </row>
    <row r="2098" hidden="1">
      <c r="A2098" s="344"/>
      <c r="B2098" s="345"/>
      <c r="C2098" s="345"/>
      <c r="D2098" s="345"/>
      <c r="E2098" s="345"/>
      <c r="F2098" s="161">
        <v>488.0</v>
      </c>
      <c r="G2098" s="152" t="str">
        <f>IFERROR(__xludf.DUMMYFUNCTION("TRIM(REGEXREPLACE(C2098, ""[0-9]+[a-f]?\."", """"))"),"")</f>
        <v/>
      </c>
      <c r="H2098" s="152" t="str">
        <f>IFERROR(__xludf.DUMMYFUNCTION("TRIM(REGEXREPLACE(D2098, ""[0-9]+[a-f]?\."", """"))"),"")</f>
        <v/>
      </c>
      <c r="I2098" s="152" t="str">
        <f>IFERROR(__xludf.DUMMYFUNCTION("TRIM(REGEXREPLACE(E2098, ""[0-9]+[a-f]?\."", """"))"),"")</f>
        <v/>
      </c>
      <c r="J2098" s="152" t="str">
        <f t="shared" ref="J2098:L2098" si="378">$F2098 &amp; ". " &amp;G2098</f>
        <v>488. </v>
      </c>
      <c r="K2098" s="152" t="str">
        <f t="shared" si="378"/>
        <v>488. </v>
      </c>
      <c r="L2098" s="152" t="str">
        <f t="shared" si="378"/>
        <v>488. </v>
      </c>
    </row>
    <row r="2099" hidden="1">
      <c r="A2099" s="346"/>
      <c r="B2099" s="347"/>
      <c r="C2099" s="347"/>
      <c r="D2099" s="347"/>
      <c r="E2099" s="347"/>
      <c r="F2099" s="161">
        <v>489.0</v>
      </c>
      <c r="G2099" s="152" t="str">
        <f>IFERROR(__xludf.DUMMYFUNCTION("TRIM(REGEXREPLACE(C2099, ""[0-9]+[a-f]?\."", """"))"),"")</f>
        <v/>
      </c>
      <c r="H2099" s="152" t="str">
        <f>IFERROR(__xludf.DUMMYFUNCTION("TRIM(REGEXREPLACE(D2099, ""[0-9]+[a-f]?\."", """"))"),"")</f>
        <v/>
      </c>
      <c r="I2099" s="152" t="str">
        <f>IFERROR(__xludf.DUMMYFUNCTION("TRIM(REGEXREPLACE(E2099, ""[0-9]+[a-f]?\."", """"))"),"")</f>
        <v/>
      </c>
      <c r="J2099" s="152" t="str">
        <f t="shared" ref="J2099:L2099" si="379">$F2099 &amp; ". " &amp;G2099</f>
        <v>489. </v>
      </c>
      <c r="K2099" s="152" t="str">
        <f t="shared" si="379"/>
        <v>489. </v>
      </c>
      <c r="L2099" s="152" t="str">
        <f t="shared" si="379"/>
        <v>489. </v>
      </c>
    </row>
    <row r="2100" hidden="1">
      <c r="A2100" s="344"/>
      <c r="B2100" s="345"/>
      <c r="C2100" s="345"/>
      <c r="D2100" s="345"/>
      <c r="E2100" s="345"/>
      <c r="F2100" s="161">
        <v>490.0</v>
      </c>
      <c r="G2100" s="152" t="str">
        <f>IFERROR(__xludf.DUMMYFUNCTION("TRIM(REGEXREPLACE(C2100, ""[0-9]+[a-f]?\."", """"))"),"")</f>
        <v/>
      </c>
      <c r="H2100" s="152" t="str">
        <f>IFERROR(__xludf.DUMMYFUNCTION("TRIM(REGEXREPLACE(D2100, ""[0-9]+[a-f]?\."", """"))"),"")</f>
        <v/>
      </c>
      <c r="I2100" s="152" t="str">
        <f>IFERROR(__xludf.DUMMYFUNCTION("TRIM(REGEXREPLACE(E2100, ""[0-9]+[a-f]?\."", """"))"),"")</f>
        <v/>
      </c>
      <c r="J2100" s="152" t="str">
        <f t="shared" ref="J2100:L2100" si="380">$F2100 &amp; ". " &amp;G2100</f>
        <v>490. </v>
      </c>
      <c r="K2100" s="152" t="str">
        <f t="shared" si="380"/>
        <v>490. </v>
      </c>
      <c r="L2100" s="152" t="str">
        <f t="shared" si="380"/>
        <v>490. </v>
      </c>
    </row>
    <row r="2101" hidden="1">
      <c r="A2101" s="351"/>
      <c r="B2101" s="352"/>
      <c r="C2101" s="352"/>
      <c r="D2101" s="352"/>
      <c r="E2101" s="352"/>
      <c r="F2101" s="161">
        <v>491.0</v>
      </c>
      <c r="G2101" s="152" t="str">
        <f>IFERROR(__xludf.DUMMYFUNCTION("TRIM(REGEXREPLACE(C2101, ""[0-9]+[a-f]?\."", """"))"),"")</f>
        <v/>
      </c>
      <c r="H2101" s="152" t="str">
        <f>IFERROR(__xludf.DUMMYFUNCTION("TRIM(REGEXREPLACE(D2101, ""[0-9]+[a-f]?\."", """"))"),"")</f>
        <v/>
      </c>
      <c r="I2101" s="152" t="str">
        <f>IFERROR(__xludf.DUMMYFUNCTION("TRIM(REGEXREPLACE(E2101, ""[0-9]+[a-f]?\."", """"))"),"")</f>
        <v/>
      </c>
      <c r="J2101" s="152" t="str">
        <f t="shared" ref="J2101:L2101" si="381">$F2101 &amp; ". " &amp;G2101</f>
        <v>491. </v>
      </c>
      <c r="K2101" s="152" t="str">
        <f t="shared" si="381"/>
        <v>491. </v>
      </c>
      <c r="L2101" s="152" t="str">
        <f t="shared" si="381"/>
        <v>491. </v>
      </c>
    </row>
    <row r="2102" hidden="1">
      <c r="A2102" s="344"/>
      <c r="B2102" s="345"/>
      <c r="C2102" s="345"/>
      <c r="D2102" s="345"/>
      <c r="E2102" s="345"/>
      <c r="F2102" s="161">
        <v>492.0</v>
      </c>
      <c r="G2102" s="152" t="str">
        <f>IFERROR(__xludf.DUMMYFUNCTION("TRIM(REGEXREPLACE(C2102, ""[0-9]+[a-f]?\."", """"))"),"")</f>
        <v/>
      </c>
      <c r="H2102" s="152" t="str">
        <f>IFERROR(__xludf.DUMMYFUNCTION("TRIM(REGEXREPLACE(D2102, ""[0-9]+[a-f]?\."", """"))"),"")</f>
        <v/>
      </c>
      <c r="I2102" s="152" t="str">
        <f>IFERROR(__xludf.DUMMYFUNCTION("TRIM(REGEXREPLACE(E2102, ""[0-9]+[a-f]?\."", """"))"),"")</f>
        <v/>
      </c>
      <c r="J2102" s="152" t="str">
        <f t="shared" ref="J2102:L2102" si="382">$F2102 &amp; ". " &amp;G2102</f>
        <v>492. </v>
      </c>
      <c r="K2102" s="152" t="str">
        <f t="shared" si="382"/>
        <v>492. </v>
      </c>
      <c r="L2102" s="152" t="str">
        <f t="shared" si="382"/>
        <v>492. </v>
      </c>
    </row>
    <row r="2103" hidden="1">
      <c r="A2103" s="344"/>
      <c r="B2103" s="345"/>
      <c r="C2103" s="345"/>
      <c r="D2103" s="345"/>
      <c r="E2103" s="345"/>
      <c r="F2103" s="161">
        <v>493.0</v>
      </c>
      <c r="G2103" s="152" t="str">
        <f>IFERROR(__xludf.DUMMYFUNCTION("TRIM(REGEXREPLACE(C2103, ""[0-9]+[a-f]?\."", """"))"),"")</f>
        <v/>
      </c>
      <c r="H2103" s="152" t="str">
        <f>IFERROR(__xludf.DUMMYFUNCTION("TRIM(REGEXREPLACE(D2103, ""[0-9]+[a-f]?\."", """"))"),"")</f>
        <v/>
      </c>
      <c r="I2103" s="152" t="str">
        <f>IFERROR(__xludf.DUMMYFUNCTION("TRIM(REGEXREPLACE(E2103, ""[0-9]+[a-f]?\."", """"))"),"")</f>
        <v/>
      </c>
      <c r="J2103" s="152" t="str">
        <f t="shared" ref="J2103:L2103" si="383">$F2103 &amp; ". " &amp;G2103</f>
        <v>493. </v>
      </c>
      <c r="K2103" s="152" t="str">
        <f t="shared" si="383"/>
        <v>493. </v>
      </c>
      <c r="L2103" s="152" t="str">
        <f t="shared" si="383"/>
        <v>493. </v>
      </c>
    </row>
    <row r="2104" hidden="1">
      <c r="A2104" s="344"/>
      <c r="B2104" s="345"/>
      <c r="C2104" s="345"/>
      <c r="D2104" s="345"/>
      <c r="E2104" s="345"/>
      <c r="F2104" s="161">
        <v>494.0</v>
      </c>
      <c r="G2104" s="152" t="str">
        <f>IFERROR(__xludf.DUMMYFUNCTION("TRIM(REGEXREPLACE(C2104, ""[0-9]+[a-f]?\."", """"))"),"")</f>
        <v/>
      </c>
      <c r="H2104" s="152" t="str">
        <f>IFERROR(__xludf.DUMMYFUNCTION("TRIM(REGEXREPLACE(D2104, ""[0-9]+[a-f]?\."", """"))"),"")</f>
        <v/>
      </c>
      <c r="I2104" s="152" t="str">
        <f>IFERROR(__xludf.DUMMYFUNCTION("TRIM(REGEXREPLACE(E2104, ""[0-9]+[a-f]?\."", """"))"),"")</f>
        <v/>
      </c>
      <c r="J2104" s="152" t="str">
        <f t="shared" ref="J2104:L2104" si="384">$F2104 &amp; ". " &amp;G2104</f>
        <v>494. </v>
      </c>
      <c r="K2104" s="152" t="str">
        <f t="shared" si="384"/>
        <v>494. </v>
      </c>
      <c r="L2104" s="152" t="str">
        <f t="shared" si="384"/>
        <v>494. </v>
      </c>
    </row>
    <row r="2105" hidden="1">
      <c r="A2105" s="351"/>
      <c r="B2105" s="352"/>
      <c r="C2105" s="352"/>
      <c r="D2105" s="352"/>
      <c r="E2105" s="352"/>
      <c r="F2105" s="161">
        <v>495.0</v>
      </c>
      <c r="G2105" s="152" t="str">
        <f>IFERROR(__xludf.DUMMYFUNCTION("TRIM(REGEXREPLACE(C2105, ""[0-9]+[a-f]?\."", """"))"),"")</f>
        <v/>
      </c>
      <c r="H2105" s="152" t="str">
        <f>IFERROR(__xludf.DUMMYFUNCTION("TRIM(REGEXREPLACE(D2105, ""[0-9]+[a-f]?\."", """"))"),"")</f>
        <v/>
      </c>
      <c r="I2105" s="152" t="str">
        <f>IFERROR(__xludf.DUMMYFUNCTION("TRIM(REGEXREPLACE(E2105, ""[0-9]+[a-f]?\."", """"))"),"")</f>
        <v/>
      </c>
      <c r="J2105" s="152" t="str">
        <f t="shared" ref="J2105:L2105" si="385">$F2105 &amp; ". " &amp;G2105</f>
        <v>495. </v>
      </c>
      <c r="K2105" s="152" t="str">
        <f t="shared" si="385"/>
        <v>495. </v>
      </c>
      <c r="L2105" s="152" t="str">
        <f t="shared" si="385"/>
        <v>495. </v>
      </c>
    </row>
    <row r="2106" hidden="1">
      <c r="A2106" s="351"/>
      <c r="B2106" s="352"/>
      <c r="C2106" s="352"/>
      <c r="D2106" s="352"/>
      <c r="E2106" s="352"/>
      <c r="F2106" s="161">
        <v>496.0</v>
      </c>
      <c r="G2106" s="152" t="str">
        <f>IFERROR(__xludf.DUMMYFUNCTION("TRIM(REGEXREPLACE(C2106, ""[0-9]+[a-f]?\."", """"))"),"")</f>
        <v/>
      </c>
      <c r="H2106" s="152" t="str">
        <f>IFERROR(__xludf.DUMMYFUNCTION("TRIM(REGEXREPLACE(D2106, ""[0-9]+[a-f]?\."", """"))"),"")</f>
        <v/>
      </c>
      <c r="I2106" s="152" t="str">
        <f>IFERROR(__xludf.DUMMYFUNCTION("TRIM(REGEXREPLACE(E2106, ""[0-9]+[a-f]?\."", """"))"),"")</f>
        <v/>
      </c>
      <c r="J2106" s="152" t="str">
        <f t="shared" ref="J2106:L2106" si="386">$F2106 &amp; ". " &amp;G2106</f>
        <v>496. </v>
      </c>
      <c r="K2106" s="152" t="str">
        <f t="shared" si="386"/>
        <v>496. </v>
      </c>
      <c r="L2106" s="152" t="str">
        <f t="shared" si="386"/>
        <v>496. </v>
      </c>
    </row>
    <row r="2107" hidden="1">
      <c r="A2107" s="351"/>
      <c r="B2107" s="352"/>
      <c r="C2107" s="352"/>
      <c r="D2107" s="352"/>
      <c r="E2107" s="352"/>
      <c r="F2107" s="161">
        <v>497.0</v>
      </c>
      <c r="G2107" s="152" t="str">
        <f>IFERROR(__xludf.DUMMYFUNCTION("TRIM(REGEXREPLACE(C2107, ""[0-9]+[a-f]?\."", """"))"),"")</f>
        <v/>
      </c>
      <c r="H2107" s="152" t="str">
        <f>IFERROR(__xludf.DUMMYFUNCTION("TRIM(REGEXREPLACE(D2107, ""[0-9]+[a-f]?\."", """"))"),"")</f>
        <v/>
      </c>
      <c r="I2107" s="152" t="str">
        <f>IFERROR(__xludf.DUMMYFUNCTION("TRIM(REGEXREPLACE(E2107, ""[0-9]+[a-f]?\."", """"))"),"")</f>
        <v/>
      </c>
      <c r="J2107" s="152" t="str">
        <f t="shared" ref="J2107:L2107" si="387">$F2107 &amp; ". " &amp;G2107</f>
        <v>497. </v>
      </c>
      <c r="K2107" s="152" t="str">
        <f t="shared" si="387"/>
        <v>497. </v>
      </c>
      <c r="L2107" s="152" t="str">
        <f t="shared" si="387"/>
        <v>497. </v>
      </c>
    </row>
    <row r="2108" hidden="1">
      <c r="A2108" s="344"/>
      <c r="B2108" s="345"/>
      <c r="C2108" s="345"/>
      <c r="D2108" s="345"/>
      <c r="E2108" s="345"/>
      <c r="F2108" s="161">
        <v>498.0</v>
      </c>
      <c r="G2108" s="152" t="str">
        <f>IFERROR(__xludf.DUMMYFUNCTION("TRIM(REGEXREPLACE(C2108, ""[0-9]+[a-f]?\."", """"))"),"")</f>
        <v/>
      </c>
      <c r="H2108" s="152" t="str">
        <f>IFERROR(__xludf.DUMMYFUNCTION("TRIM(REGEXREPLACE(D2108, ""[0-9]+[a-f]?\."", """"))"),"")</f>
        <v/>
      </c>
      <c r="I2108" s="152" t="str">
        <f>IFERROR(__xludf.DUMMYFUNCTION("TRIM(REGEXREPLACE(E2108, ""[0-9]+[a-f]?\."", """"))"),"")</f>
        <v/>
      </c>
      <c r="J2108" s="152" t="str">
        <f t="shared" ref="J2108:L2108" si="388">$F2108 &amp; ". " &amp;G2108</f>
        <v>498. </v>
      </c>
      <c r="K2108" s="152" t="str">
        <f t="shared" si="388"/>
        <v>498. </v>
      </c>
      <c r="L2108" s="152" t="str">
        <f t="shared" si="388"/>
        <v>498. </v>
      </c>
    </row>
    <row r="2109" hidden="1">
      <c r="A2109" s="351"/>
      <c r="B2109" s="352"/>
      <c r="C2109" s="352"/>
      <c r="D2109" s="352"/>
      <c r="E2109" s="352"/>
      <c r="F2109" s="161">
        <v>499.0</v>
      </c>
      <c r="G2109" s="152" t="str">
        <f>IFERROR(__xludf.DUMMYFUNCTION("TRIM(REGEXREPLACE(C2109, ""[0-9]+[a-f]?\."", """"))"),"")</f>
        <v/>
      </c>
      <c r="H2109" s="152" t="str">
        <f>IFERROR(__xludf.DUMMYFUNCTION("TRIM(REGEXREPLACE(D2109, ""[0-9]+[a-f]?\."", """"))"),"")</f>
        <v/>
      </c>
      <c r="I2109" s="152" t="str">
        <f>IFERROR(__xludf.DUMMYFUNCTION("TRIM(REGEXREPLACE(E2109, ""[0-9]+[a-f]?\."", """"))"),"")</f>
        <v/>
      </c>
      <c r="J2109" s="152" t="str">
        <f t="shared" ref="J2109:L2109" si="389">$F2109 &amp; ". " &amp;G2109</f>
        <v>499. </v>
      </c>
      <c r="K2109" s="152" t="str">
        <f t="shared" si="389"/>
        <v>499. </v>
      </c>
      <c r="L2109" s="152" t="str">
        <f t="shared" si="389"/>
        <v>499. </v>
      </c>
    </row>
    <row r="2110" hidden="1">
      <c r="A2110" s="348"/>
      <c r="B2110" s="353"/>
      <c r="C2110" s="354"/>
      <c r="D2110" s="354"/>
      <c r="E2110" s="354"/>
    </row>
    <row r="2111" hidden="1">
      <c r="A2111" s="152"/>
      <c r="B2111" s="355"/>
      <c r="C2111" s="355"/>
      <c r="D2111" s="355"/>
      <c r="E2111" s="355"/>
    </row>
    <row r="2112" hidden="1">
      <c r="A2112" s="348"/>
      <c r="B2112" s="349"/>
      <c r="C2112" s="349"/>
      <c r="D2112" s="350"/>
      <c r="E2112" s="350"/>
    </row>
    <row r="2113" hidden="1">
      <c r="A2113" s="342"/>
      <c r="B2113" s="343"/>
      <c r="C2113" s="343"/>
      <c r="D2113" s="343"/>
      <c r="E2113" s="343"/>
      <c r="F2113" s="161">
        <v>500.0</v>
      </c>
      <c r="G2113" s="152" t="str">
        <f>IFERROR(__xludf.DUMMYFUNCTION("TRIM(REGEXREPLACE(C2113, ""[0-9]+[a-f]?\."", """"))"),"")</f>
        <v/>
      </c>
      <c r="H2113" s="152" t="str">
        <f>IFERROR(__xludf.DUMMYFUNCTION("TRIM(REGEXREPLACE(D2113, ""[0-9]+[a-f]?\."", """"))"),"")</f>
        <v/>
      </c>
      <c r="I2113" s="152" t="str">
        <f>IFERROR(__xludf.DUMMYFUNCTION("TRIM(REGEXREPLACE(E2113, ""[0-9]+[a-f]?\."", """"))"),"")</f>
        <v/>
      </c>
      <c r="J2113" s="152" t="str">
        <f t="shared" ref="J2113:L2113" si="390">$F2113 &amp; ". " &amp;G2113</f>
        <v>500. </v>
      </c>
      <c r="K2113" s="152" t="str">
        <f t="shared" si="390"/>
        <v>500. </v>
      </c>
      <c r="L2113" s="152" t="str">
        <f t="shared" si="390"/>
        <v>500. </v>
      </c>
    </row>
    <row r="2114" hidden="1">
      <c r="A2114" s="344"/>
      <c r="B2114" s="345"/>
      <c r="C2114" s="345"/>
      <c r="D2114" s="345"/>
      <c r="E2114" s="345"/>
      <c r="F2114" s="161">
        <v>501.0</v>
      </c>
      <c r="G2114" s="152" t="str">
        <f>IFERROR(__xludf.DUMMYFUNCTION("TRIM(REGEXREPLACE(C2114, ""[0-9]+[a-f]?\."", """"))"),"")</f>
        <v/>
      </c>
      <c r="H2114" s="152" t="str">
        <f>IFERROR(__xludf.DUMMYFUNCTION("TRIM(REGEXREPLACE(D2114, ""[0-9]+[a-f]?\."", """"))"),"")</f>
        <v/>
      </c>
      <c r="I2114" s="152" t="str">
        <f>IFERROR(__xludf.DUMMYFUNCTION("TRIM(REGEXREPLACE(E2114, ""[0-9]+[a-f]?\."", """"))"),"")</f>
        <v/>
      </c>
      <c r="J2114" s="152" t="str">
        <f t="shared" ref="J2114:L2114" si="391">$F2114 &amp; ". " &amp;G2114</f>
        <v>501. </v>
      </c>
      <c r="K2114" s="152" t="str">
        <f t="shared" si="391"/>
        <v>501. </v>
      </c>
      <c r="L2114" s="152" t="str">
        <f t="shared" si="391"/>
        <v>501. </v>
      </c>
    </row>
    <row r="2115" hidden="1">
      <c r="A2115" s="344"/>
      <c r="B2115" s="345"/>
      <c r="C2115" s="345"/>
      <c r="D2115" s="345"/>
      <c r="E2115" s="345"/>
      <c r="F2115" s="161">
        <v>502.0</v>
      </c>
      <c r="G2115" s="152" t="str">
        <f>IFERROR(__xludf.DUMMYFUNCTION("TRIM(REGEXREPLACE(C2115, ""[0-9]+[a-f]?\."", """"))"),"")</f>
        <v/>
      </c>
      <c r="H2115" s="152" t="str">
        <f>IFERROR(__xludf.DUMMYFUNCTION("TRIM(REGEXREPLACE(D2115, ""[0-9]+[a-f]?\."", """"))"),"")</f>
        <v/>
      </c>
      <c r="I2115" s="152" t="str">
        <f>IFERROR(__xludf.DUMMYFUNCTION("TRIM(REGEXREPLACE(E2115, ""[0-9]+[a-f]?\."", """"))"),"")</f>
        <v/>
      </c>
      <c r="J2115" s="152" t="str">
        <f t="shared" ref="J2115:L2115" si="392">$F2115 &amp; ". " &amp;G2115</f>
        <v>502. </v>
      </c>
      <c r="K2115" s="152" t="str">
        <f t="shared" si="392"/>
        <v>502. </v>
      </c>
      <c r="L2115" s="152" t="str">
        <f t="shared" si="392"/>
        <v>502. </v>
      </c>
    </row>
    <row r="2116" hidden="1">
      <c r="A2116" s="346"/>
      <c r="B2116" s="347"/>
      <c r="C2116" s="347"/>
      <c r="D2116" s="347"/>
      <c r="E2116" s="347"/>
      <c r="F2116" s="161">
        <v>503.0</v>
      </c>
      <c r="G2116" s="152" t="str">
        <f>IFERROR(__xludf.DUMMYFUNCTION("TRIM(REGEXREPLACE(C2116, ""[0-9]+[a-f]?\."", """"))"),"")</f>
        <v/>
      </c>
      <c r="H2116" s="152" t="str">
        <f>IFERROR(__xludf.DUMMYFUNCTION("TRIM(REGEXREPLACE(D2116, ""[0-9]+[a-f]?\."", """"))"),"")</f>
        <v/>
      </c>
      <c r="I2116" s="152" t="str">
        <f>IFERROR(__xludf.DUMMYFUNCTION("TRIM(REGEXREPLACE(E2116, ""[0-9]+[a-f]?\."", """"))"),"")</f>
        <v/>
      </c>
      <c r="J2116" s="152" t="str">
        <f t="shared" ref="J2116:L2116" si="393">$F2116 &amp; ". " &amp;G2116</f>
        <v>503. </v>
      </c>
      <c r="K2116" s="152" t="str">
        <f t="shared" si="393"/>
        <v>503. </v>
      </c>
      <c r="L2116" s="152" t="str">
        <f t="shared" si="393"/>
        <v>503. </v>
      </c>
    </row>
    <row r="2117" hidden="1">
      <c r="A2117" s="338"/>
      <c r="B2117" s="339"/>
      <c r="C2117" s="341"/>
      <c r="D2117" s="341"/>
      <c r="E2117" s="341"/>
    </row>
    <row r="2118" hidden="1">
      <c r="A2118" s="338"/>
      <c r="B2118" s="339"/>
      <c r="C2118" s="341"/>
      <c r="D2118" s="341"/>
      <c r="E2118" s="341"/>
    </row>
    <row r="2119" hidden="1">
      <c r="A2119" s="338"/>
      <c r="B2119" s="339"/>
      <c r="C2119" s="340"/>
      <c r="D2119" s="341"/>
      <c r="E2119" s="341"/>
    </row>
    <row r="2120" hidden="1">
      <c r="A2120" s="338"/>
      <c r="B2120" s="339"/>
      <c r="C2120" s="341"/>
      <c r="D2120" s="341"/>
      <c r="E2120" s="341"/>
    </row>
    <row r="2121" hidden="1">
      <c r="A2121" s="338"/>
      <c r="B2121" s="339"/>
      <c r="C2121" s="341"/>
      <c r="D2121" s="341"/>
      <c r="E2121" s="341"/>
    </row>
    <row r="2122" hidden="1">
      <c r="A2122" s="356"/>
      <c r="B2122" s="357"/>
      <c r="C2122" s="357"/>
      <c r="D2122" s="358"/>
      <c r="E2122" s="358"/>
    </row>
    <row r="2123" hidden="1">
      <c r="A2123" s="338"/>
      <c r="B2123" s="339"/>
      <c r="C2123" s="340"/>
      <c r="D2123" s="341"/>
      <c r="E2123" s="341"/>
    </row>
    <row r="2124" hidden="1">
      <c r="A2124" s="338"/>
      <c r="B2124" s="339"/>
      <c r="C2124" s="340"/>
      <c r="D2124" s="341"/>
      <c r="E2124" s="341"/>
    </row>
    <row r="2125" hidden="1">
      <c r="A2125" s="338"/>
      <c r="B2125" s="339"/>
      <c r="C2125" s="340"/>
      <c r="D2125" s="341"/>
      <c r="E2125" s="341"/>
    </row>
    <row r="2126" hidden="1">
      <c r="A2126" s="344"/>
      <c r="B2126" s="345"/>
      <c r="C2126" s="345"/>
      <c r="D2126" s="345"/>
      <c r="E2126" s="345"/>
      <c r="F2126" s="161">
        <v>504.0</v>
      </c>
      <c r="G2126" s="152" t="str">
        <f>IFERROR(__xludf.DUMMYFUNCTION("TRIM(REGEXREPLACE(C2126, ""[0-9]+[a-f]?\."", """"))"),"")</f>
        <v/>
      </c>
      <c r="H2126" s="152" t="str">
        <f>IFERROR(__xludf.DUMMYFUNCTION("TRIM(REGEXREPLACE(D2126, ""[0-9]+[a-f]?\."", """"))"),"")</f>
        <v/>
      </c>
      <c r="I2126" s="152" t="str">
        <f>IFERROR(__xludf.DUMMYFUNCTION("TRIM(REGEXREPLACE(E2126, ""[0-9]+[a-f]?\."", """"))"),"")</f>
        <v/>
      </c>
      <c r="J2126" s="152" t="str">
        <f t="shared" ref="J2126:L2126" si="394">$F2126 &amp; ". " &amp;G2126</f>
        <v>504. </v>
      </c>
      <c r="K2126" s="152" t="str">
        <f t="shared" si="394"/>
        <v>504. </v>
      </c>
      <c r="L2126" s="152" t="str">
        <f t="shared" si="394"/>
        <v>504. </v>
      </c>
    </row>
    <row r="2127" hidden="1">
      <c r="A2127" s="346"/>
      <c r="B2127" s="347"/>
      <c r="C2127" s="347"/>
      <c r="D2127" s="347"/>
      <c r="E2127" s="347"/>
      <c r="F2127" s="161">
        <v>505.0</v>
      </c>
      <c r="G2127" s="152" t="str">
        <f>IFERROR(__xludf.DUMMYFUNCTION("TRIM(REGEXREPLACE(C2127, ""[0-9]+[a-f]?\."", """"))"),"")</f>
        <v/>
      </c>
      <c r="H2127" s="152" t="str">
        <f>IFERROR(__xludf.DUMMYFUNCTION("TRIM(REGEXREPLACE(D2127, ""[0-9]+[a-f]?\."", """"))"),"")</f>
        <v/>
      </c>
      <c r="I2127" s="152" t="str">
        <f>IFERROR(__xludf.DUMMYFUNCTION("TRIM(REGEXREPLACE(E2127, ""[0-9]+[a-f]?\."", """"))"),"")</f>
        <v/>
      </c>
      <c r="J2127" s="152" t="str">
        <f t="shared" ref="J2127:L2127" si="395">$F2127 &amp; ". " &amp;G2127</f>
        <v>505. </v>
      </c>
      <c r="K2127" s="152" t="str">
        <f t="shared" si="395"/>
        <v>505. </v>
      </c>
      <c r="L2127" s="152" t="str">
        <f t="shared" si="395"/>
        <v>505. </v>
      </c>
    </row>
    <row r="2128" hidden="1">
      <c r="A2128" s="344"/>
      <c r="B2128" s="345"/>
      <c r="C2128" s="345"/>
      <c r="D2128" s="345"/>
      <c r="E2128" s="345"/>
      <c r="F2128" s="161">
        <v>506.0</v>
      </c>
      <c r="G2128" s="152" t="str">
        <f>IFERROR(__xludf.DUMMYFUNCTION("TRIM(REGEXREPLACE(C2128, ""[0-9]+[a-f]?\."", """"))"),"")</f>
        <v/>
      </c>
      <c r="H2128" s="152" t="str">
        <f>IFERROR(__xludf.DUMMYFUNCTION("TRIM(REGEXREPLACE(D2128, ""[0-9]+[a-f]?\."", """"))"),"")</f>
        <v/>
      </c>
      <c r="I2128" s="152" t="str">
        <f>IFERROR(__xludf.DUMMYFUNCTION("TRIM(REGEXREPLACE(E2128, ""[0-9]+[a-f]?\."", """"))"),"")</f>
        <v/>
      </c>
      <c r="J2128" s="152" t="str">
        <f t="shared" ref="J2128:L2128" si="396">$F2128 &amp; ". " &amp;G2128</f>
        <v>506. </v>
      </c>
      <c r="K2128" s="152" t="str">
        <f t="shared" si="396"/>
        <v>506. </v>
      </c>
      <c r="L2128" s="152" t="str">
        <f t="shared" si="396"/>
        <v>506. </v>
      </c>
    </row>
    <row r="2129" hidden="1">
      <c r="A2129" s="346"/>
      <c r="B2129" s="347"/>
      <c r="C2129" s="347"/>
      <c r="D2129" s="347"/>
      <c r="E2129" s="347"/>
      <c r="F2129" s="161">
        <v>507.0</v>
      </c>
      <c r="G2129" s="152" t="str">
        <f>IFERROR(__xludf.DUMMYFUNCTION("TRIM(REGEXREPLACE(C2129, ""[0-9]+[a-f]?\."", """"))"),"")</f>
        <v/>
      </c>
      <c r="H2129" s="152" t="str">
        <f>IFERROR(__xludf.DUMMYFUNCTION("TRIM(REGEXREPLACE(D2129, ""[0-9]+[a-f]?\."", """"))"),"")</f>
        <v/>
      </c>
      <c r="I2129" s="152" t="str">
        <f>IFERROR(__xludf.DUMMYFUNCTION("TRIM(REGEXREPLACE(E2129, ""[0-9]+[a-f]?\."", """"))"),"")</f>
        <v/>
      </c>
      <c r="J2129" s="152" t="str">
        <f t="shared" ref="J2129:L2129" si="397">$F2129 &amp; ". " &amp;G2129</f>
        <v>507. </v>
      </c>
      <c r="K2129" s="152" t="str">
        <f t="shared" si="397"/>
        <v>507. </v>
      </c>
      <c r="L2129" s="152" t="str">
        <f t="shared" si="397"/>
        <v>507. </v>
      </c>
    </row>
    <row r="2130" hidden="1">
      <c r="A2130" s="351"/>
      <c r="B2130" s="352"/>
      <c r="C2130" s="352"/>
      <c r="D2130" s="352"/>
      <c r="E2130" s="352"/>
      <c r="F2130" s="161">
        <v>508.0</v>
      </c>
      <c r="G2130" s="152" t="str">
        <f>IFERROR(__xludf.DUMMYFUNCTION("TRIM(REGEXREPLACE(C2130, ""[0-9]+[a-f]?\."", """"))"),"")</f>
        <v/>
      </c>
      <c r="H2130" s="152" t="str">
        <f>IFERROR(__xludf.DUMMYFUNCTION("TRIM(REGEXREPLACE(D2130, ""[0-9]+[a-f]?\."", """"))"),"")</f>
        <v/>
      </c>
      <c r="I2130" s="152" t="str">
        <f>IFERROR(__xludf.DUMMYFUNCTION("TRIM(REGEXREPLACE(E2130, ""[0-9]+[a-f]?\."", """"))"),"")</f>
        <v/>
      </c>
      <c r="J2130" s="152" t="str">
        <f t="shared" ref="J2130:L2130" si="398">$F2130 &amp; ". " &amp;G2130</f>
        <v>508. </v>
      </c>
      <c r="K2130" s="152" t="str">
        <f t="shared" si="398"/>
        <v>508. </v>
      </c>
      <c r="L2130" s="152" t="str">
        <f t="shared" si="398"/>
        <v>508. </v>
      </c>
    </row>
    <row r="2131" hidden="1">
      <c r="A2131" s="356"/>
      <c r="B2131" s="359"/>
      <c r="C2131" s="359"/>
      <c r="D2131" s="360"/>
      <c r="E2131" s="360"/>
    </row>
    <row r="2132" hidden="1">
      <c r="A2132" s="338"/>
      <c r="B2132" s="339"/>
      <c r="C2132" s="341"/>
      <c r="D2132" s="341"/>
      <c r="E2132" s="341"/>
    </row>
    <row r="2133" hidden="1">
      <c r="A2133" s="338"/>
      <c r="B2133" s="339"/>
      <c r="C2133" s="341"/>
      <c r="D2133" s="341"/>
      <c r="E2133" s="341"/>
    </row>
    <row r="2134" hidden="1">
      <c r="A2134" s="344"/>
      <c r="B2134" s="345"/>
      <c r="C2134" s="345"/>
      <c r="D2134" s="345"/>
      <c r="E2134" s="345"/>
      <c r="F2134" s="161">
        <v>509.0</v>
      </c>
      <c r="G2134" s="152" t="str">
        <f>IFERROR(__xludf.DUMMYFUNCTION("TRIM(REGEXREPLACE(C2134, ""[0-9]+[a-f]?\."", """"))"),"")</f>
        <v/>
      </c>
      <c r="H2134" s="152" t="str">
        <f>IFERROR(__xludf.DUMMYFUNCTION("TRIM(REGEXREPLACE(D2134, ""[0-9]+[a-f]?\."", """"))"),"")</f>
        <v/>
      </c>
      <c r="I2134" s="152" t="str">
        <f>IFERROR(__xludf.DUMMYFUNCTION("TRIM(REGEXREPLACE(E2134, ""[0-9]+[a-f]?\."", """"))"),"")</f>
        <v/>
      </c>
      <c r="J2134" s="152" t="str">
        <f t="shared" ref="J2134:L2134" si="399">$F2134 &amp; ". " &amp;G2134</f>
        <v>509. </v>
      </c>
      <c r="K2134" s="152" t="str">
        <f t="shared" si="399"/>
        <v>509. </v>
      </c>
      <c r="L2134" s="152" t="str">
        <f t="shared" si="399"/>
        <v>509. </v>
      </c>
    </row>
    <row r="2135" hidden="1">
      <c r="A2135" s="344"/>
      <c r="B2135" s="345"/>
      <c r="C2135" s="345"/>
      <c r="D2135" s="345"/>
      <c r="E2135" s="345"/>
      <c r="F2135" s="161">
        <v>510.0</v>
      </c>
      <c r="G2135" s="152" t="str">
        <f>IFERROR(__xludf.DUMMYFUNCTION("TRIM(REGEXREPLACE(C2135, ""[0-9]+[a-f]?\."", """"))"),"")</f>
        <v/>
      </c>
      <c r="H2135" s="152" t="str">
        <f>IFERROR(__xludf.DUMMYFUNCTION("TRIM(REGEXREPLACE(D2135, ""[0-9]+[a-f]?\."", """"))"),"")</f>
        <v/>
      </c>
      <c r="I2135" s="152" t="str">
        <f>IFERROR(__xludf.DUMMYFUNCTION("TRIM(REGEXREPLACE(E2135, ""[0-9]+[a-f]?\."", """"))"),"")</f>
        <v/>
      </c>
      <c r="J2135" s="152" t="str">
        <f t="shared" ref="J2135:L2135" si="400">$F2135 &amp; ". " &amp;G2135</f>
        <v>510. </v>
      </c>
      <c r="K2135" s="152" t="str">
        <f t="shared" si="400"/>
        <v>510. </v>
      </c>
      <c r="L2135" s="152" t="str">
        <f t="shared" si="400"/>
        <v>510. </v>
      </c>
    </row>
    <row r="2136" hidden="1">
      <c r="A2136" s="346"/>
      <c r="B2136" s="347"/>
      <c r="C2136" s="347"/>
      <c r="D2136" s="347"/>
      <c r="E2136" s="347"/>
      <c r="F2136" s="161">
        <v>511.0</v>
      </c>
      <c r="G2136" s="152" t="str">
        <f>IFERROR(__xludf.DUMMYFUNCTION("TRIM(REGEXREPLACE(C2136, ""[0-9]+[a-f]?\."", """"))"),"")</f>
        <v/>
      </c>
      <c r="H2136" s="152" t="str">
        <f>IFERROR(__xludf.DUMMYFUNCTION("TRIM(REGEXREPLACE(D2136, ""[0-9]+[a-f]?\."", """"))"),"")</f>
        <v/>
      </c>
      <c r="I2136" s="152" t="str">
        <f>IFERROR(__xludf.DUMMYFUNCTION("TRIM(REGEXREPLACE(E2136, ""[0-9]+[a-f]?\."", """"))"),"")</f>
        <v/>
      </c>
      <c r="J2136" s="152" t="str">
        <f t="shared" ref="J2136:L2136" si="401">$F2136 &amp; ". " &amp;G2136</f>
        <v>511. </v>
      </c>
      <c r="K2136" s="152" t="str">
        <f t="shared" si="401"/>
        <v>511. </v>
      </c>
      <c r="L2136" s="152" t="str">
        <f t="shared" si="401"/>
        <v>511. </v>
      </c>
    </row>
    <row r="2137" hidden="1">
      <c r="A2137" s="356"/>
      <c r="B2137" s="357"/>
      <c r="C2137" s="357"/>
      <c r="D2137" s="358"/>
      <c r="E2137" s="358"/>
    </row>
    <row r="2138" hidden="1">
      <c r="A2138" s="338"/>
      <c r="B2138" s="339"/>
      <c r="C2138" s="341"/>
      <c r="D2138" s="341"/>
      <c r="E2138" s="341"/>
    </row>
    <row r="2139" hidden="1">
      <c r="A2139" s="338"/>
      <c r="B2139" s="339"/>
      <c r="C2139" s="341"/>
      <c r="D2139" s="341"/>
      <c r="E2139" s="341"/>
    </row>
    <row r="2140" hidden="1">
      <c r="A2140" s="338"/>
      <c r="B2140" s="339"/>
      <c r="C2140" s="340"/>
      <c r="D2140" s="341"/>
      <c r="E2140" s="341"/>
    </row>
    <row r="2141" hidden="1">
      <c r="A2141" s="344"/>
      <c r="B2141" s="345"/>
      <c r="C2141" s="345"/>
      <c r="D2141" s="345"/>
      <c r="E2141" s="345"/>
      <c r="F2141" s="161">
        <v>512.0</v>
      </c>
      <c r="G2141" s="152" t="str">
        <f>IFERROR(__xludf.DUMMYFUNCTION("TRIM(REGEXREPLACE(C2141, ""[0-9]+[a-f]?\."", """"))"),"")</f>
        <v/>
      </c>
      <c r="H2141" s="152" t="str">
        <f>IFERROR(__xludf.DUMMYFUNCTION("TRIM(REGEXREPLACE(D2141, ""[0-9]+[a-f]?\."", """"))"),"")</f>
        <v/>
      </c>
      <c r="I2141" s="152" t="str">
        <f>IFERROR(__xludf.DUMMYFUNCTION("TRIM(REGEXREPLACE(E2141, ""[0-9]+[a-f]?\."", """"))"),"")</f>
        <v/>
      </c>
      <c r="J2141" s="152" t="str">
        <f t="shared" ref="J2141:L2141" si="402">$F2141 &amp; ". " &amp;G2141</f>
        <v>512. </v>
      </c>
      <c r="K2141" s="152" t="str">
        <f t="shared" si="402"/>
        <v>512. </v>
      </c>
      <c r="L2141" s="152" t="str">
        <f t="shared" si="402"/>
        <v>512. </v>
      </c>
    </row>
    <row r="2142" hidden="1">
      <c r="A2142" s="346"/>
      <c r="B2142" s="347"/>
      <c r="C2142" s="347"/>
      <c r="D2142" s="347"/>
      <c r="E2142" s="347"/>
      <c r="F2142" s="161">
        <v>513.0</v>
      </c>
      <c r="G2142" s="152" t="str">
        <f>IFERROR(__xludf.DUMMYFUNCTION("TRIM(REGEXREPLACE(C2142, ""[0-9]+[a-f]?\."", """"))"),"")</f>
        <v/>
      </c>
      <c r="H2142" s="152" t="str">
        <f>IFERROR(__xludf.DUMMYFUNCTION("TRIM(REGEXREPLACE(D2142, ""[0-9]+[a-f]?\."", """"))"),"")</f>
        <v/>
      </c>
      <c r="I2142" s="152" t="str">
        <f>IFERROR(__xludf.DUMMYFUNCTION("TRIM(REGEXREPLACE(E2142, ""[0-9]+[a-f]?\."", """"))"),"")</f>
        <v/>
      </c>
      <c r="J2142" s="152" t="str">
        <f t="shared" ref="J2142:L2142" si="403">$F2142 &amp; ". " &amp;G2142</f>
        <v>513. </v>
      </c>
      <c r="K2142" s="152" t="str">
        <f t="shared" si="403"/>
        <v>513. </v>
      </c>
      <c r="L2142" s="152" t="str">
        <f t="shared" si="403"/>
        <v>513. </v>
      </c>
    </row>
    <row r="2143" hidden="1">
      <c r="A2143" s="344"/>
      <c r="B2143" s="345"/>
      <c r="C2143" s="345"/>
      <c r="D2143" s="345"/>
      <c r="E2143" s="345"/>
      <c r="F2143" s="161">
        <v>514.0</v>
      </c>
      <c r="G2143" s="152" t="str">
        <f>IFERROR(__xludf.DUMMYFUNCTION("TRIM(REGEXREPLACE(C2143, ""[0-9]+[a-f]?\."", """"))"),"")</f>
        <v/>
      </c>
      <c r="H2143" s="152" t="str">
        <f>IFERROR(__xludf.DUMMYFUNCTION("TRIM(REGEXREPLACE(D2143, ""[0-9]+[a-f]?\."", """"))"),"")</f>
        <v/>
      </c>
      <c r="I2143" s="152" t="str">
        <f>IFERROR(__xludf.DUMMYFUNCTION("TRIM(REGEXREPLACE(E2143, ""[0-9]+[a-f]?\."", """"))"),"")</f>
        <v/>
      </c>
      <c r="J2143" s="152" t="str">
        <f t="shared" ref="J2143:L2143" si="404">$F2143 &amp; ". " &amp;G2143</f>
        <v>514. </v>
      </c>
      <c r="K2143" s="152" t="str">
        <f t="shared" si="404"/>
        <v>514. </v>
      </c>
      <c r="L2143" s="152" t="str">
        <f t="shared" si="404"/>
        <v>514. </v>
      </c>
    </row>
    <row r="2144" hidden="1">
      <c r="A2144" s="346"/>
      <c r="B2144" s="347"/>
      <c r="C2144" s="347"/>
      <c r="D2144" s="347"/>
      <c r="E2144" s="347"/>
      <c r="F2144" s="161">
        <v>515.0</v>
      </c>
      <c r="G2144" s="152" t="str">
        <f>IFERROR(__xludf.DUMMYFUNCTION("TRIM(REGEXREPLACE(C2144, ""[0-9]+[a-f]?\."", """"))"),"")</f>
        <v/>
      </c>
      <c r="H2144" s="152" t="str">
        <f>IFERROR(__xludf.DUMMYFUNCTION("TRIM(REGEXREPLACE(D2144, ""[0-9]+[a-f]?\."", """"))"),"")</f>
        <v/>
      </c>
      <c r="I2144" s="152" t="str">
        <f>IFERROR(__xludf.DUMMYFUNCTION("TRIM(REGEXREPLACE(E2144, ""[0-9]+[a-f]?\."", """"))"),"")</f>
        <v/>
      </c>
      <c r="J2144" s="152" t="str">
        <f t="shared" ref="J2144:L2144" si="405">$F2144 &amp; ". " &amp;G2144</f>
        <v>515. </v>
      </c>
      <c r="K2144" s="152" t="str">
        <f t="shared" si="405"/>
        <v>515. </v>
      </c>
      <c r="L2144" s="152" t="str">
        <f t="shared" si="405"/>
        <v>515. </v>
      </c>
    </row>
    <row r="2145" hidden="1">
      <c r="A2145" s="351"/>
      <c r="B2145" s="352"/>
      <c r="C2145" s="352"/>
      <c r="D2145" s="352"/>
      <c r="E2145" s="352"/>
      <c r="F2145" s="161">
        <v>516.0</v>
      </c>
      <c r="G2145" s="152" t="str">
        <f>IFERROR(__xludf.DUMMYFUNCTION("TRIM(REGEXREPLACE(C2145, ""[0-9]+[a-f]?\."", """"))"),"")</f>
        <v/>
      </c>
      <c r="H2145" s="152" t="str">
        <f>IFERROR(__xludf.DUMMYFUNCTION("TRIM(REGEXREPLACE(D2145, ""[0-9]+[a-f]?\."", """"))"),"")</f>
        <v/>
      </c>
      <c r="I2145" s="152" t="str">
        <f>IFERROR(__xludf.DUMMYFUNCTION("TRIM(REGEXREPLACE(E2145, ""[0-9]+[a-f]?\."", """"))"),"")</f>
        <v/>
      </c>
      <c r="J2145" s="152" t="str">
        <f t="shared" ref="J2145:L2145" si="406">$F2145 &amp; ". " &amp;G2145</f>
        <v>516. </v>
      </c>
      <c r="K2145" s="152" t="str">
        <f t="shared" si="406"/>
        <v>516. </v>
      </c>
      <c r="L2145" s="152" t="str">
        <f t="shared" si="406"/>
        <v>516. </v>
      </c>
    </row>
    <row r="2146" hidden="1">
      <c r="A2146" s="344"/>
      <c r="B2146" s="345"/>
      <c r="C2146" s="345"/>
      <c r="D2146" s="345"/>
      <c r="E2146" s="345"/>
      <c r="F2146" s="161">
        <v>517.0</v>
      </c>
      <c r="G2146" s="152" t="str">
        <f>IFERROR(__xludf.DUMMYFUNCTION("TRIM(REGEXREPLACE(C2146, ""[0-9]+[a-f]?\."", """"))"),"")</f>
        <v/>
      </c>
      <c r="H2146" s="152" t="str">
        <f>IFERROR(__xludf.DUMMYFUNCTION("TRIM(REGEXREPLACE(D2146, ""[0-9]+[a-f]?\."", """"))"),"")</f>
        <v/>
      </c>
      <c r="I2146" s="152" t="str">
        <f>IFERROR(__xludf.DUMMYFUNCTION("TRIM(REGEXREPLACE(E2146, ""[0-9]+[a-f]?\."", """"))"),"")</f>
        <v/>
      </c>
      <c r="J2146" s="152" t="str">
        <f t="shared" ref="J2146:L2146" si="407">$F2146 &amp; ". " &amp;G2146</f>
        <v>517. </v>
      </c>
      <c r="K2146" s="152" t="str">
        <f t="shared" si="407"/>
        <v>517. </v>
      </c>
      <c r="L2146" s="152" t="str">
        <f t="shared" si="407"/>
        <v>517. </v>
      </c>
    </row>
    <row r="2147" hidden="1">
      <c r="A2147" s="346"/>
      <c r="B2147" s="347"/>
      <c r="C2147" s="347"/>
      <c r="D2147" s="347"/>
      <c r="E2147" s="347"/>
      <c r="F2147" s="161">
        <v>518.0</v>
      </c>
      <c r="G2147" s="152" t="str">
        <f>IFERROR(__xludf.DUMMYFUNCTION("TRIM(REGEXREPLACE(C2147, ""[0-9]+[a-f]?\."", """"))"),"")</f>
        <v/>
      </c>
      <c r="H2147" s="152" t="str">
        <f>IFERROR(__xludf.DUMMYFUNCTION("TRIM(REGEXREPLACE(D2147, ""[0-9]+[a-f]?\."", """"))"),"")</f>
        <v/>
      </c>
      <c r="I2147" s="152" t="str">
        <f>IFERROR(__xludf.DUMMYFUNCTION("TRIM(REGEXREPLACE(E2147, ""[0-9]+[a-f]?\."", """"))"),"")</f>
        <v/>
      </c>
      <c r="J2147" s="152" t="str">
        <f t="shared" ref="J2147:L2147" si="408">$F2147 &amp; ". " &amp;G2147</f>
        <v>518. </v>
      </c>
      <c r="K2147" s="152" t="str">
        <f t="shared" si="408"/>
        <v>518. </v>
      </c>
      <c r="L2147" s="152" t="str">
        <f t="shared" si="408"/>
        <v>518. </v>
      </c>
    </row>
    <row r="2148" hidden="1">
      <c r="A2148" s="356"/>
      <c r="B2148" s="359"/>
      <c r="C2148" s="360"/>
      <c r="D2148" s="360"/>
      <c r="E2148" s="360"/>
    </row>
    <row r="2149" hidden="1">
      <c r="A2149" s="348"/>
      <c r="B2149" s="353"/>
      <c r="C2149" s="353"/>
      <c r="D2149" s="354"/>
      <c r="E2149" s="354"/>
    </row>
    <row r="2150" hidden="1">
      <c r="A2150" s="338"/>
      <c r="B2150" s="339"/>
      <c r="C2150" s="341"/>
      <c r="D2150" s="341"/>
      <c r="E2150" s="341"/>
    </row>
    <row r="2151" hidden="1">
      <c r="A2151" s="338"/>
      <c r="B2151" s="339"/>
      <c r="C2151" s="341"/>
      <c r="D2151" s="341"/>
      <c r="E2151" s="341"/>
    </row>
    <row r="2152" hidden="1">
      <c r="A2152" s="356"/>
      <c r="B2152" s="359"/>
      <c r="C2152" s="359"/>
      <c r="D2152" s="360"/>
      <c r="E2152" s="360"/>
    </row>
    <row r="2153" hidden="1">
      <c r="A2153" s="152"/>
      <c r="B2153" s="152"/>
      <c r="C2153" s="152"/>
      <c r="D2153" s="152"/>
      <c r="E2153" s="152"/>
    </row>
    <row r="2154" hidden="1">
      <c r="A2154" s="338"/>
      <c r="B2154" s="361"/>
      <c r="C2154" s="340"/>
      <c r="D2154" s="340"/>
      <c r="E2154" s="340"/>
    </row>
    <row r="2155" hidden="1">
      <c r="A2155" s="338"/>
      <c r="B2155" s="361"/>
      <c r="C2155" s="340"/>
      <c r="D2155" s="341"/>
      <c r="E2155" s="341"/>
    </row>
    <row r="2156" hidden="1">
      <c r="A2156" s="338"/>
      <c r="B2156" s="361"/>
      <c r="C2156" s="341"/>
      <c r="D2156" s="341"/>
      <c r="E2156" s="341"/>
    </row>
    <row r="2157" hidden="1">
      <c r="A2157" s="338"/>
      <c r="B2157" s="361"/>
      <c r="C2157" s="341"/>
      <c r="D2157" s="341"/>
      <c r="E2157" s="341"/>
    </row>
    <row r="2158" hidden="1">
      <c r="A2158" s="338"/>
      <c r="B2158" s="361"/>
      <c r="C2158" s="341"/>
      <c r="D2158" s="341"/>
      <c r="E2158" s="341"/>
    </row>
    <row r="2159" hidden="1">
      <c r="A2159" s="338"/>
      <c r="B2159" s="361"/>
      <c r="C2159" s="341"/>
      <c r="D2159" s="341"/>
      <c r="E2159" s="341"/>
    </row>
    <row r="2160" hidden="1">
      <c r="A2160" s="338"/>
      <c r="B2160" s="361"/>
      <c r="C2160" s="341"/>
      <c r="D2160" s="341"/>
      <c r="E2160" s="341"/>
    </row>
    <row r="2161" hidden="1">
      <c r="A2161" s="152"/>
      <c r="B2161" s="152"/>
      <c r="C2161" s="355"/>
      <c r="D2161" s="355"/>
      <c r="E2161" s="355"/>
    </row>
    <row r="2162" hidden="1">
      <c r="A2162" s="348"/>
      <c r="B2162" s="349"/>
      <c r="C2162" s="349"/>
      <c r="D2162" s="350"/>
      <c r="E2162" s="350"/>
    </row>
    <row r="2163" hidden="1">
      <c r="A2163" s="342"/>
      <c r="B2163" s="343"/>
      <c r="C2163" s="343"/>
      <c r="D2163" s="343"/>
      <c r="E2163" s="343"/>
      <c r="F2163" s="161">
        <v>519.0</v>
      </c>
      <c r="G2163" s="152" t="str">
        <f>IFERROR(__xludf.DUMMYFUNCTION("TRIM(REGEXREPLACE(C2163, ""[0-9]+[a-f]?\."", """"))"),"")</f>
        <v/>
      </c>
      <c r="H2163" s="152" t="str">
        <f>IFERROR(__xludf.DUMMYFUNCTION("TRIM(REGEXREPLACE(D2163, ""[0-9]+[a-f]?\."", """"))"),"")</f>
        <v/>
      </c>
      <c r="I2163" s="152" t="str">
        <f>IFERROR(__xludf.DUMMYFUNCTION("TRIM(REGEXREPLACE(E2163, ""[0-9]+[a-f]?\."", """"))"),"")</f>
        <v/>
      </c>
      <c r="J2163" s="152" t="str">
        <f t="shared" ref="J2163:L2163" si="409">$F2163 &amp; ". " &amp;G2163</f>
        <v>519. </v>
      </c>
      <c r="K2163" s="152" t="str">
        <f t="shared" si="409"/>
        <v>519. </v>
      </c>
      <c r="L2163" s="152" t="str">
        <f t="shared" si="409"/>
        <v>519. </v>
      </c>
    </row>
    <row r="2164" hidden="1">
      <c r="A2164" s="344"/>
      <c r="B2164" s="345"/>
      <c r="C2164" s="345"/>
      <c r="D2164" s="345"/>
      <c r="E2164" s="345"/>
      <c r="F2164" s="161">
        <v>520.0</v>
      </c>
      <c r="G2164" s="152" t="str">
        <f>IFERROR(__xludf.DUMMYFUNCTION("TRIM(REGEXREPLACE(C2164, ""[0-9]+[a-f]?\."", """"))"),"")</f>
        <v/>
      </c>
      <c r="H2164" s="152" t="str">
        <f>IFERROR(__xludf.DUMMYFUNCTION("TRIM(REGEXREPLACE(D2164, ""[0-9]+[a-f]?\."", """"))"),"")</f>
        <v/>
      </c>
      <c r="I2164" s="152" t="str">
        <f>IFERROR(__xludf.DUMMYFUNCTION("TRIM(REGEXREPLACE(E2164, ""[0-9]+[a-f]?\."", """"))"),"")</f>
        <v/>
      </c>
      <c r="J2164" s="152" t="str">
        <f t="shared" ref="J2164:L2164" si="410">$F2164 &amp; ". " &amp;G2164</f>
        <v>520. </v>
      </c>
      <c r="K2164" s="152" t="str">
        <f t="shared" si="410"/>
        <v>520. </v>
      </c>
      <c r="L2164" s="152" t="str">
        <f t="shared" si="410"/>
        <v>520. </v>
      </c>
    </row>
    <row r="2165" hidden="1">
      <c r="A2165" s="351"/>
      <c r="B2165" s="352"/>
      <c r="C2165" s="352"/>
      <c r="D2165" s="352"/>
      <c r="E2165" s="352"/>
      <c r="F2165" s="161">
        <v>521.0</v>
      </c>
      <c r="G2165" s="152" t="str">
        <f>IFERROR(__xludf.DUMMYFUNCTION("TRIM(REGEXREPLACE(C2165, ""[0-9]+[a-f]?\."", """"))"),"")</f>
        <v/>
      </c>
      <c r="H2165" s="152" t="str">
        <f>IFERROR(__xludf.DUMMYFUNCTION("TRIM(REGEXREPLACE(D2165, ""[0-9]+[a-f]?\."", """"))"),"")</f>
        <v/>
      </c>
      <c r="I2165" s="152" t="str">
        <f>IFERROR(__xludf.DUMMYFUNCTION("TRIM(REGEXREPLACE(E2165, ""[0-9]+[a-f]?\."", """"))"),"")</f>
        <v/>
      </c>
      <c r="J2165" s="152" t="str">
        <f t="shared" ref="J2165:L2165" si="411">$F2165 &amp; ". " &amp;G2165</f>
        <v>521. </v>
      </c>
      <c r="K2165" s="152" t="str">
        <f t="shared" si="411"/>
        <v>521. </v>
      </c>
      <c r="L2165" s="152" t="str">
        <f t="shared" si="411"/>
        <v>521. </v>
      </c>
    </row>
    <row r="2166" hidden="1">
      <c r="A2166" s="344"/>
      <c r="B2166" s="345"/>
      <c r="C2166" s="345"/>
      <c r="D2166" s="345"/>
      <c r="E2166" s="345"/>
      <c r="F2166" s="161">
        <v>522.0</v>
      </c>
      <c r="G2166" s="152" t="str">
        <f>IFERROR(__xludf.DUMMYFUNCTION("TRIM(REGEXREPLACE(C2166, ""[0-9]+[a-f]?\."", """"))"),"")</f>
        <v/>
      </c>
      <c r="H2166" s="152" t="str">
        <f>IFERROR(__xludf.DUMMYFUNCTION("TRIM(REGEXREPLACE(D2166, ""[0-9]+[a-f]?\."", """"))"),"")</f>
        <v/>
      </c>
      <c r="I2166" s="152" t="str">
        <f>IFERROR(__xludf.DUMMYFUNCTION("TRIM(REGEXREPLACE(E2166, ""[0-9]+[a-f]?\."", """"))"),"")</f>
        <v/>
      </c>
      <c r="J2166" s="152" t="str">
        <f t="shared" ref="J2166:L2166" si="412">$F2166 &amp; ". " &amp;G2166</f>
        <v>522. </v>
      </c>
      <c r="K2166" s="152" t="str">
        <f t="shared" si="412"/>
        <v>522. </v>
      </c>
      <c r="L2166" s="152" t="str">
        <f t="shared" si="412"/>
        <v>522. </v>
      </c>
    </row>
    <row r="2167" hidden="1">
      <c r="A2167" s="344"/>
      <c r="B2167" s="345"/>
      <c r="C2167" s="345"/>
      <c r="D2167" s="345"/>
      <c r="E2167" s="345"/>
      <c r="F2167" s="161">
        <v>523.0</v>
      </c>
      <c r="G2167" s="152" t="str">
        <f>IFERROR(__xludf.DUMMYFUNCTION("TRIM(REGEXREPLACE(C2167, ""[0-9]+[a-f]?\."", """"))"),"")</f>
        <v/>
      </c>
      <c r="H2167" s="152" t="str">
        <f>IFERROR(__xludf.DUMMYFUNCTION("TRIM(REGEXREPLACE(D2167, ""[0-9]+[a-f]?\."", """"))"),"")</f>
        <v/>
      </c>
      <c r="I2167" s="152" t="str">
        <f>IFERROR(__xludf.DUMMYFUNCTION("TRIM(REGEXREPLACE(E2167, ""[0-9]+[a-f]?\."", """"))"),"")</f>
        <v/>
      </c>
      <c r="J2167" s="152" t="str">
        <f t="shared" ref="J2167:L2167" si="413">$F2167 &amp; ". " &amp;G2167</f>
        <v>523. </v>
      </c>
      <c r="K2167" s="152" t="str">
        <f t="shared" si="413"/>
        <v>523. </v>
      </c>
      <c r="L2167" s="152" t="str">
        <f t="shared" si="413"/>
        <v>523. </v>
      </c>
    </row>
    <row r="2168" hidden="1">
      <c r="A2168" s="338"/>
      <c r="B2168" s="339"/>
      <c r="C2168" s="341"/>
      <c r="D2168" s="341"/>
      <c r="E2168" s="341"/>
    </row>
    <row r="2169" hidden="1">
      <c r="A2169" s="356"/>
      <c r="B2169" s="357"/>
      <c r="C2169" s="357"/>
      <c r="D2169" s="357"/>
      <c r="E2169" s="357"/>
    </row>
    <row r="2170" hidden="1">
      <c r="A2170" s="338"/>
      <c r="B2170" s="339"/>
      <c r="C2170" s="340"/>
      <c r="D2170" s="340"/>
      <c r="E2170" s="340"/>
    </row>
    <row r="2171" hidden="1">
      <c r="A2171" s="351"/>
      <c r="B2171" s="352"/>
      <c r="C2171" s="352"/>
      <c r="D2171" s="352"/>
      <c r="E2171" s="352"/>
      <c r="F2171" s="161">
        <v>524.0</v>
      </c>
      <c r="G2171" s="152" t="str">
        <f>IFERROR(__xludf.DUMMYFUNCTION("TRIM(REGEXREPLACE(C2171, ""[0-9]+[a-f]?\."", """"))"),"")</f>
        <v/>
      </c>
      <c r="H2171" s="152" t="str">
        <f>IFERROR(__xludf.DUMMYFUNCTION("TRIM(REGEXREPLACE(D2171, ""[0-9]+[a-f]?\."", """"))"),"")</f>
        <v/>
      </c>
      <c r="I2171" s="152" t="str">
        <f>IFERROR(__xludf.DUMMYFUNCTION("TRIM(REGEXREPLACE(E2171, ""[0-9]+[a-f]?\."", """"))"),"")</f>
        <v/>
      </c>
      <c r="J2171" s="152" t="str">
        <f t="shared" ref="J2171:L2171" si="414">$F2171 &amp; ". " &amp;G2171</f>
        <v>524. </v>
      </c>
      <c r="K2171" s="152" t="str">
        <f t="shared" si="414"/>
        <v>524. </v>
      </c>
      <c r="L2171" s="152" t="str">
        <f t="shared" si="414"/>
        <v>524. </v>
      </c>
    </row>
    <row r="2172" hidden="1">
      <c r="A2172" s="351"/>
      <c r="B2172" s="352"/>
      <c r="C2172" s="352"/>
      <c r="D2172" s="352"/>
      <c r="E2172" s="352"/>
      <c r="F2172" s="161">
        <v>525.0</v>
      </c>
      <c r="G2172" s="152" t="str">
        <f>IFERROR(__xludf.DUMMYFUNCTION("TRIM(REGEXREPLACE(C2172, ""[0-9]+[a-f]?\."", """"))"),"")</f>
        <v/>
      </c>
      <c r="H2172" s="152" t="str">
        <f>IFERROR(__xludf.DUMMYFUNCTION("TRIM(REGEXREPLACE(D2172, ""[0-9]+[a-f]?\."", """"))"),"")</f>
        <v/>
      </c>
      <c r="I2172" s="152" t="str">
        <f>IFERROR(__xludf.DUMMYFUNCTION("TRIM(REGEXREPLACE(E2172, ""[0-9]+[a-f]?\."", """"))"),"")</f>
        <v/>
      </c>
      <c r="J2172" s="152" t="str">
        <f t="shared" ref="J2172:L2172" si="415">$F2172 &amp; ". " &amp;G2172</f>
        <v>525. </v>
      </c>
      <c r="K2172" s="152" t="str">
        <f t="shared" si="415"/>
        <v>525. </v>
      </c>
      <c r="L2172" s="152" t="str">
        <f t="shared" si="415"/>
        <v>525. </v>
      </c>
    </row>
    <row r="2173" hidden="1">
      <c r="A2173" s="356"/>
      <c r="B2173" s="359"/>
      <c r="C2173" s="359"/>
      <c r="D2173" s="359"/>
      <c r="E2173" s="359"/>
    </row>
    <row r="2174" hidden="1">
      <c r="A2174" s="338"/>
      <c r="B2174" s="339"/>
      <c r="C2174" s="341"/>
      <c r="D2174" s="341"/>
      <c r="E2174" s="341"/>
    </row>
    <row r="2175" hidden="1">
      <c r="A2175" s="338"/>
      <c r="B2175" s="339"/>
      <c r="C2175" s="341"/>
      <c r="D2175" s="341"/>
      <c r="E2175" s="341"/>
    </row>
    <row r="2176" hidden="1">
      <c r="A2176" s="338"/>
      <c r="B2176" s="339"/>
      <c r="C2176" s="341"/>
      <c r="D2176" s="341"/>
      <c r="E2176" s="341"/>
    </row>
    <row r="2177" hidden="1">
      <c r="A2177" s="342"/>
      <c r="B2177" s="343"/>
      <c r="C2177" s="343"/>
      <c r="D2177" s="343"/>
      <c r="E2177" s="343"/>
      <c r="F2177" s="161">
        <v>526.0</v>
      </c>
      <c r="G2177" s="152" t="str">
        <f>IFERROR(__xludf.DUMMYFUNCTION("TRIM(REGEXREPLACE(C2177, ""[0-9]+[a-f]?\."", """"))"),"")</f>
        <v/>
      </c>
      <c r="H2177" s="152" t="str">
        <f>IFERROR(__xludf.DUMMYFUNCTION("TRIM(REGEXREPLACE(D2177, ""[0-9]+[a-f]?\."", """"))"),"")</f>
        <v/>
      </c>
      <c r="I2177" s="152" t="str">
        <f>IFERROR(__xludf.DUMMYFUNCTION("TRIM(REGEXREPLACE(E2177, ""[0-9]+[a-f]?\."", """"))"),"")</f>
        <v/>
      </c>
      <c r="J2177" s="152" t="str">
        <f t="shared" ref="J2177:L2177" si="416">$F2177 &amp; ". " &amp;G2177</f>
        <v>526. </v>
      </c>
      <c r="K2177" s="152" t="str">
        <f t="shared" si="416"/>
        <v>526. </v>
      </c>
      <c r="L2177" s="152" t="str">
        <f t="shared" si="416"/>
        <v>526. </v>
      </c>
    </row>
    <row r="2178" hidden="1">
      <c r="A2178" s="362"/>
      <c r="B2178" s="363"/>
      <c r="C2178" s="363"/>
      <c r="D2178" s="363"/>
      <c r="E2178" s="363"/>
      <c r="F2178" s="161">
        <v>527.0</v>
      </c>
      <c r="G2178" s="152" t="str">
        <f>IFERROR(__xludf.DUMMYFUNCTION("TRIM(REGEXREPLACE(C2178, ""[0-9]+[a-f]?\."", """"))"),"")</f>
        <v/>
      </c>
      <c r="H2178" s="152" t="str">
        <f>IFERROR(__xludf.DUMMYFUNCTION("TRIM(REGEXREPLACE(D2178, ""[0-9]+[a-f]?\."", """"))"),"")</f>
        <v/>
      </c>
      <c r="I2178" s="152" t="str">
        <f>IFERROR(__xludf.DUMMYFUNCTION("TRIM(REGEXREPLACE(E2178, ""[0-9]+[a-f]?\."", """"))"),"")</f>
        <v/>
      </c>
      <c r="J2178" s="152" t="str">
        <f t="shared" ref="J2178:L2178" si="417">$F2178 &amp; ". " &amp;G2178</f>
        <v>527. </v>
      </c>
      <c r="K2178" s="152" t="str">
        <f t="shared" si="417"/>
        <v>527. </v>
      </c>
      <c r="L2178" s="152" t="str">
        <f t="shared" si="417"/>
        <v>527. </v>
      </c>
    </row>
    <row r="2179" hidden="1">
      <c r="A2179" s="362"/>
      <c r="B2179" s="363"/>
      <c r="C2179" s="363"/>
      <c r="D2179" s="363"/>
      <c r="E2179" s="363"/>
      <c r="F2179" s="161">
        <v>528.0</v>
      </c>
      <c r="G2179" s="152" t="str">
        <f>IFERROR(__xludf.DUMMYFUNCTION("TRIM(REGEXREPLACE(C2179, ""[0-9]+[a-f]?\."", """"))"),"")</f>
        <v/>
      </c>
      <c r="H2179" s="152" t="str">
        <f>IFERROR(__xludf.DUMMYFUNCTION("TRIM(REGEXREPLACE(D2179, ""[0-9]+[a-f]?\."", """"))"),"")</f>
        <v/>
      </c>
      <c r="I2179" s="152" t="str">
        <f>IFERROR(__xludf.DUMMYFUNCTION("TRIM(REGEXREPLACE(E2179, ""[0-9]+[a-f]?\."", """"))"),"")</f>
        <v/>
      </c>
      <c r="J2179" s="152" t="str">
        <f t="shared" ref="J2179:L2179" si="418">$F2179 &amp; ". " &amp;G2179</f>
        <v>528. </v>
      </c>
      <c r="K2179" s="152" t="str">
        <f t="shared" si="418"/>
        <v>528. </v>
      </c>
      <c r="L2179" s="152" t="str">
        <f t="shared" si="418"/>
        <v>528. </v>
      </c>
    </row>
    <row r="2180" hidden="1">
      <c r="A2180" s="362"/>
      <c r="B2180" s="363"/>
      <c r="C2180" s="363"/>
      <c r="D2180" s="363"/>
      <c r="E2180" s="363"/>
      <c r="F2180" s="161">
        <v>529.0</v>
      </c>
      <c r="G2180" s="152" t="str">
        <f>IFERROR(__xludf.DUMMYFUNCTION("TRIM(REGEXREPLACE(C2180, ""[0-9]+[a-f]?\."", """"))"),"")</f>
        <v/>
      </c>
      <c r="H2180" s="152" t="str">
        <f>IFERROR(__xludf.DUMMYFUNCTION("TRIM(REGEXREPLACE(D2180, ""[0-9]+[a-f]?\."", """"))"),"")</f>
        <v/>
      </c>
      <c r="I2180" s="152" t="str">
        <f>IFERROR(__xludf.DUMMYFUNCTION("TRIM(REGEXREPLACE(E2180, ""[0-9]+[a-f]?\."", """"))"),"")</f>
        <v/>
      </c>
      <c r="J2180" s="152" t="str">
        <f t="shared" ref="J2180:L2180" si="419">$F2180 &amp; ". " &amp;G2180</f>
        <v>529. </v>
      </c>
      <c r="K2180" s="152" t="str">
        <f t="shared" si="419"/>
        <v>529. </v>
      </c>
      <c r="L2180" s="152" t="str">
        <f t="shared" si="419"/>
        <v>529. </v>
      </c>
    </row>
    <row r="2181" hidden="1">
      <c r="A2181" s="362"/>
      <c r="B2181" s="363"/>
      <c r="C2181" s="363"/>
      <c r="D2181" s="363"/>
      <c r="E2181" s="363"/>
      <c r="F2181" s="161">
        <v>530.0</v>
      </c>
      <c r="G2181" s="152" t="str">
        <f>IFERROR(__xludf.DUMMYFUNCTION("TRIM(REGEXREPLACE(C2181, ""[0-9]+[a-f]?\."", """"))"),"")</f>
        <v/>
      </c>
      <c r="H2181" s="152" t="str">
        <f>IFERROR(__xludf.DUMMYFUNCTION("TRIM(REGEXREPLACE(D2181, ""[0-9]+[a-f]?\."", """"))"),"")</f>
        <v/>
      </c>
      <c r="I2181" s="152" t="str">
        <f>IFERROR(__xludf.DUMMYFUNCTION("TRIM(REGEXREPLACE(E2181, ""[0-9]+[a-f]?\."", """"))"),"")</f>
        <v/>
      </c>
      <c r="J2181" s="152" t="str">
        <f t="shared" ref="J2181:L2181" si="420">$F2181 &amp; ". " &amp;G2181</f>
        <v>530. </v>
      </c>
      <c r="K2181" s="152" t="str">
        <f t="shared" si="420"/>
        <v>530. </v>
      </c>
      <c r="L2181" s="152" t="str">
        <f t="shared" si="420"/>
        <v>530. </v>
      </c>
    </row>
    <row r="2182" hidden="1">
      <c r="A2182" s="362"/>
      <c r="B2182" s="363"/>
      <c r="C2182" s="363"/>
      <c r="D2182" s="363"/>
      <c r="E2182" s="363"/>
      <c r="F2182" s="161">
        <v>531.0</v>
      </c>
      <c r="G2182" s="152" t="str">
        <f>IFERROR(__xludf.DUMMYFUNCTION("TRIM(REGEXREPLACE(C2182, ""[0-9]+[a-f]?\."", """"))"),"")</f>
        <v/>
      </c>
      <c r="H2182" s="152" t="str">
        <f>IFERROR(__xludf.DUMMYFUNCTION("TRIM(REGEXREPLACE(D2182, ""[0-9]+[a-f]?\."", """"))"),"")</f>
        <v/>
      </c>
      <c r="I2182" s="152" t="str">
        <f>IFERROR(__xludf.DUMMYFUNCTION("TRIM(REGEXREPLACE(E2182, ""[0-9]+[a-f]?\."", """"))"),"")</f>
        <v/>
      </c>
      <c r="J2182" s="152" t="str">
        <f t="shared" ref="J2182:L2182" si="421">$F2182 &amp; ". " &amp;G2182</f>
        <v>531. </v>
      </c>
      <c r="K2182" s="152" t="str">
        <f t="shared" si="421"/>
        <v>531. </v>
      </c>
      <c r="L2182" s="152" t="str">
        <f t="shared" si="421"/>
        <v>531. </v>
      </c>
    </row>
    <row r="2183" hidden="1">
      <c r="A2183" s="351"/>
      <c r="B2183" s="352"/>
      <c r="C2183" s="352"/>
      <c r="D2183" s="352"/>
      <c r="E2183" s="352"/>
      <c r="F2183" s="161">
        <v>532.0</v>
      </c>
      <c r="G2183" s="152" t="str">
        <f>IFERROR(__xludf.DUMMYFUNCTION("TRIM(REGEXREPLACE(C2183, ""[0-9]+[a-f]?\."", """"))"),"")</f>
        <v/>
      </c>
      <c r="H2183" s="152" t="str">
        <f>IFERROR(__xludf.DUMMYFUNCTION("TRIM(REGEXREPLACE(D2183, ""[0-9]+[a-f]?\."", """"))"),"")</f>
        <v/>
      </c>
      <c r="I2183" s="152" t="str">
        <f>IFERROR(__xludf.DUMMYFUNCTION("TRIM(REGEXREPLACE(E2183, ""[0-9]+[a-f]?\."", """"))"),"")</f>
        <v/>
      </c>
      <c r="J2183" s="152" t="str">
        <f t="shared" ref="J2183:L2183" si="422">$F2183 &amp; ". " &amp;G2183</f>
        <v>532. </v>
      </c>
      <c r="K2183" s="152" t="str">
        <f t="shared" si="422"/>
        <v>532. </v>
      </c>
      <c r="L2183" s="152" t="str">
        <f t="shared" si="422"/>
        <v>532. </v>
      </c>
    </row>
    <row r="2184" hidden="1">
      <c r="A2184" s="338"/>
      <c r="B2184" s="339"/>
      <c r="C2184" s="341"/>
      <c r="D2184" s="341"/>
      <c r="E2184" s="341"/>
    </row>
    <row r="2185" hidden="1">
      <c r="A2185" s="338"/>
      <c r="B2185" s="339"/>
      <c r="C2185" s="341"/>
      <c r="D2185" s="341"/>
      <c r="E2185" s="341"/>
    </row>
    <row r="2186" hidden="1">
      <c r="A2186" s="342"/>
      <c r="B2186" s="343"/>
      <c r="C2186" s="343"/>
      <c r="D2186" s="343"/>
      <c r="E2186" s="343"/>
      <c r="F2186" s="161">
        <v>533.0</v>
      </c>
      <c r="G2186" s="152" t="str">
        <f>IFERROR(__xludf.DUMMYFUNCTION("TRIM(REGEXREPLACE(C2186, ""[0-9]+[a-f]?\."", """"))"),"")</f>
        <v/>
      </c>
      <c r="H2186" s="152" t="str">
        <f>IFERROR(__xludf.DUMMYFUNCTION("TRIM(REGEXREPLACE(D2186, ""[0-9]+[a-f]?\."", """"))"),"")</f>
        <v/>
      </c>
      <c r="I2186" s="152" t="str">
        <f>IFERROR(__xludf.DUMMYFUNCTION("TRIM(REGEXREPLACE(E2186, ""[0-9]+[a-f]?\."", """"))"),"")</f>
        <v/>
      </c>
      <c r="J2186" s="152" t="str">
        <f t="shared" ref="J2186:L2186" si="423">$F2186 &amp; ". " &amp;G2186</f>
        <v>533. </v>
      </c>
      <c r="K2186" s="152" t="str">
        <f t="shared" si="423"/>
        <v>533. </v>
      </c>
      <c r="L2186" s="152" t="str">
        <f t="shared" si="423"/>
        <v>533. </v>
      </c>
    </row>
    <row r="2187" hidden="1">
      <c r="A2187" s="344"/>
      <c r="B2187" s="345"/>
      <c r="C2187" s="345"/>
      <c r="D2187" s="345"/>
      <c r="E2187" s="345"/>
      <c r="F2187" s="161">
        <v>534.0</v>
      </c>
      <c r="G2187" s="152" t="str">
        <f>IFERROR(__xludf.DUMMYFUNCTION("TRIM(REGEXREPLACE(C2187, ""[0-9]+[a-f]?\."", """"))"),"")</f>
        <v/>
      </c>
      <c r="H2187" s="152" t="str">
        <f>IFERROR(__xludf.DUMMYFUNCTION("TRIM(REGEXREPLACE(D2187, ""[0-9]+[a-f]?\."", """"))"),"")</f>
        <v/>
      </c>
      <c r="I2187" s="152" t="str">
        <f>IFERROR(__xludf.DUMMYFUNCTION("TRIM(REGEXREPLACE(E2187, ""[0-9]+[a-f]?\."", """"))"),"")</f>
        <v/>
      </c>
      <c r="J2187" s="152" t="str">
        <f t="shared" ref="J2187:L2187" si="424">$F2187 &amp; ". " &amp;G2187</f>
        <v>534. </v>
      </c>
      <c r="K2187" s="152" t="str">
        <f t="shared" si="424"/>
        <v>534. </v>
      </c>
      <c r="L2187" s="152" t="str">
        <f t="shared" si="424"/>
        <v>534. </v>
      </c>
    </row>
    <row r="2188" hidden="1">
      <c r="A2188" s="346"/>
      <c r="B2188" s="347"/>
      <c r="C2188" s="347"/>
      <c r="D2188" s="347"/>
      <c r="E2188" s="347"/>
      <c r="F2188" s="161">
        <v>535.0</v>
      </c>
      <c r="G2188" s="152" t="str">
        <f>IFERROR(__xludf.DUMMYFUNCTION("TRIM(REGEXREPLACE(C2188, ""[0-9]+[a-f]?\."", """"))"),"")</f>
        <v/>
      </c>
      <c r="H2188" s="152" t="str">
        <f>IFERROR(__xludf.DUMMYFUNCTION("TRIM(REGEXREPLACE(D2188, ""[0-9]+[a-f]?\."", """"))"),"")</f>
        <v/>
      </c>
      <c r="I2188" s="152" t="str">
        <f>IFERROR(__xludf.DUMMYFUNCTION("TRIM(REGEXREPLACE(E2188, ""[0-9]+[a-f]?\."", """"))"),"")</f>
        <v/>
      </c>
      <c r="J2188" s="152" t="str">
        <f t="shared" ref="J2188:L2188" si="425">$F2188 &amp; ". " &amp;G2188</f>
        <v>535. </v>
      </c>
      <c r="K2188" s="152" t="str">
        <f t="shared" si="425"/>
        <v>535. </v>
      </c>
      <c r="L2188" s="152" t="str">
        <f t="shared" si="425"/>
        <v>535. </v>
      </c>
    </row>
    <row r="2189" hidden="1">
      <c r="A2189" s="338"/>
      <c r="B2189" s="339"/>
      <c r="C2189" s="341"/>
      <c r="D2189" s="341"/>
      <c r="E2189" s="341"/>
    </row>
    <row r="2190" hidden="1">
      <c r="A2190" s="356"/>
      <c r="B2190" s="357"/>
      <c r="C2190" s="357"/>
      <c r="D2190" s="357"/>
      <c r="E2190" s="357"/>
    </row>
    <row r="2191" hidden="1">
      <c r="A2191" s="338"/>
      <c r="B2191" s="339"/>
      <c r="C2191" s="340"/>
      <c r="D2191" s="340"/>
      <c r="E2191" s="340"/>
    </row>
    <row r="2192" hidden="1">
      <c r="A2192" s="348"/>
      <c r="B2192" s="349"/>
      <c r="C2192" s="350"/>
      <c r="D2192" s="350"/>
      <c r="E2192" s="350"/>
    </row>
    <row r="2193" hidden="1">
      <c r="A2193" s="362"/>
      <c r="B2193" s="363"/>
      <c r="C2193" s="363"/>
      <c r="D2193" s="363"/>
      <c r="E2193" s="363"/>
      <c r="F2193" s="161">
        <v>536.0</v>
      </c>
      <c r="G2193" s="152" t="str">
        <f>IFERROR(__xludf.DUMMYFUNCTION("TRIM(REGEXREPLACE(C2193, ""[0-9]+[a-f]?\."", """"))"),"")</f>
        <v/>
      </c>
      <c r="H2193" s="152" t="str">
        <f>IFERROR(__xludf.DUMMYFUNCTION("TRIM(REGEXREPLACE(D2193, ""[0-9]+[a-f]?\."", """"))"),"")</f>
        <v/>
      </c>
      <c r="I2193" s="152" t="str">
        <f>IFERROR(__xludf.DUMMYFUNCTION("TRIM(REGEXREPLACE(E2193, ""[0-9]+[a-f]?\."", """"))"),"")</f>
        <v/>
      </c>
      <c r="J2193" s="152" t="str">
        <f t="shared" ref="J2193:L2193" si="426">$F2193 &amp; ". " &amp;G2193</f>
        <v>536. </v>
      </c>
      <c r="K2193" s="152" t="str">
        <f t="shared" si="426"/>
        <v>536. </v>
      </c>
      <c r="L2193" s="152" t="str">
        <f t="shared" si="426"/>
        <v>536. </v>
      </c>
    </row>
    <row r="2194" hidden="1">
      <c r="A2194" s="344"/>
      <c r="B2194" s="345"/>
      <c r="C2194" s="345"/>
      <c r="D2194" s="345"/>
      <c r="E2194" s="345"/>
      <c r="F2194" s="161">
        <v>537.0</v>
      </c>
      <c r="G2194" s="152" t="str">
        <f>IFERROR(__xludf.DUMMYFUNCTION("TRIM(REGEXREPLACE(C2194, ""[0-9]+[a-f]?\."", """"))"),"")</f>
        <v/>
      </c>
      <c r="H2194" s="152" t="str">
        <f>IFERROR(__xludf.DUMMYFUNCTION("TRIM(REGEXREPLACE(D2194, ""[0-9]+[a-f]?\."", """"))"),"")</f>
        <v/>
      </c>
      <c r="I2194" s="152" t="str">
        <f>IFERROR(__xludf.DUMMYFUNCTION("TRIM(REGEXREPLACE(E2194, ""[0-9]+[a-f]?\."", """"))"),"")</f>
        <v/>
      </c>
      <c r="J2194" s="152" t="str">
        <f t="shared" ref="J2194:L2194" si="427">$F2194 &amp; ". " &amp;G2194</f>
        <v>537. </v>
      </c>
      <c r="K2194" s="152" t="str">
        <f t="shared" si="427"/>
        <v>537. </v>
      </c>
      <c r="L2194" s="152" t="str">
        <f t="shared" si="427"/>
        <v>537. </v>
      </c>
    </row>
    <row r="2195" hidden="1">
      <c r="A2195" s="348"/>
      <c r="B2195" s="353"/>
      <c r="C2195" s="354"/>
      <c r="D2195" s="354"/>
      <c r="E2195" s="354"/>
    </row>
    <row r="2196" hidden="1">
      <c r="A2196" s="346"/>
      <c r="B2196" s="347"/>
      <c r="C2196" s="347"/>
      <c r="D2196" s="347"/>
      <c r="E2196" s="347"/>
      <c r="F2196" s="161">
        <v>538.0</v>
      </c>
      <c r="G2196" s="152" t="str">
        <f>IFERROR(__xludf.DUMMYFUNCTION("TRIM(REGEXREPLACE(C2196, ""[0-9]+[a-f]?\."", """"))"),"")</f>
        <v/>
      </c>
      <c r="H2196" s="152" t="str">
        <f>IFERROR(__xludf.DUMMYFUNCTION("TRIM(REGEXREPLACE(D2196, ""[0-9]+[a-f]?\."", """"))"),"")</f>
        <v/>
      </c>
      <c r="I2196" s="152" t="str">
        <f>IFERROR(__xludf.DUMMYFUNCTION("TRIM(REGEXREPLACE(E2196, ""[0-9]+[a-f]?\."", """"))"),"")</f>
        <v/>
      </c>
      <c r="J2196" s="152" t="str">
        <f t="shared" ref="J2196:L2196" si="428">$F2196 &amp; ". " &amp;G2196</f>
        <v>538. </v>
      </c>
      <c r="K2196" s="152" t="str">
        <f t="shared" si="428"/>
        <v>538. </v>
      </c>
      <c r="L2196" s="152" t="str">
        <f t="shared" si="428"/>
        <v>538. </v>
      </c>
    </row>
    <row r="2197" hidden="1">
      <c r="A2197" s="338"/>
      <c r="B2197" s="339"/>
      <c r="C2197" s="340"/>
      <c r="D2197" s="341"/>
      <c r="E2197" s="341"/>
    </row>
    <row r="2198" hidden="1">
      <c r="A2198" s="362"/>
      <c r="B2198" s="363"/>
      <c r="C2198" s="363"/>
      <c r="D2198" s="363"/>
      <c r="E2198" s="363"/>
      <c r="F2198" s="161">
        <v>539.0</v>
      </c>
      <c r="G2198" s="152" t="str">
        <f>IFERROR(__xludf.DUMMYFUNCTION("TRIM(REGEXREPLACE(C2198, ""[0-9]+[a-f]?\."", """"))"),"")</f>
        <v/>
      </c>
      <c r="H2198" s="152" t="str">
        <f>IFERROR(__xludf.DUMMYFUNCTION("TRIM(REGEXREPLACE(D2198, ""[0-9]+[a-f]?\."", """"))"),"")</f>
        <v/>
      </c>
      <c r="I2198" s="152" t="str">
        <f>IFERROR(__xludf.DUMMYFUNCTION("TRIM(REGEXREPLACE(E2198, ""[0-9]+[a-f]?\."", """"))"),"")</f>
        <v/>
      </c>
      <c r="J2198" s="152" t="str">
        <f t="shared" ref="J2198:L2198" si="429">$F2198 &amp; ". " &amp;G2198</f>
        <v>539. </v>
      </c>
      <c r="K2198" s="152" t="str">
        <f t="shared" si="429"/>
        <v>539. </v>
      </c>
      <c r="L2198" s="152" t="str">
        <f t="shared" si="429"/>
        <v>539. </v>
      </c>
    </row>
    <row r="2199" hidden="1">
      <c r="A2199" s="351"/>
      <c r="B2199" s="352"/>
      <c r="C2199" s="352"/>
      <c r="D2199" s="352"/>
      <c r="E2199" s="352"/>
      <c r="F2199" s="161">
        <v>540.0</v>
      </c>
      <c r="G2199" s="152" t="str">
        <f>IFERROR(__xludf.DUMMYFUNCTION("TRIM(REGEXREPLACE(C2199, ""[0-9]+[a-f]?\."", """"))"),"")</f>
        <v/>
      </c>
      <c r="H2199" s="152" t="str">
        <f>IFERROR(__xludf.DUMMYFUNCTION("TRIM(REGEXREPLACE(D2199, ""[0-9]+[a-f]?\."", """"))"),"")</f>
        <v/>
      </c>
      <c r="I2199" s="152" t="str">
        <f>IFERROR(__xludf.DUMMYFUNCTION("TRIM(REGEXREPLACE(E2199, ""[0-9]+[a-f]?\."", """"))"),"")</f>
        <v/>
      </c>
      <c r="J2199" s="152" t="str">
        <f t="shared" ref="J2199:L2199" si="430">$F2199 &amp; ". " &amp;G2199</f>
        <v>540. </v>
      </c>
      <c r="K2199" s="152" t="str">
        <f t="shared" si="430"/>
        <v>540. </v>
      </c>
      <c r="L2199" s="152" t="str">
        <f t="shared" si="430"/>
        <v>540. </v>
      </c>
    </row>
    <row r="2200" hidden="1">
      <c r="A2200" s="362"/>
      <c r="B2200" s="363"/>
      <c r="C2200" s="363"/>
      <c r="D2200" s="363"/>
      <c r="E2200" s="363"/>
      <c r="F2200" s="161">
        <v>541.0</v>
      </c>
      <c r="G2200" s="152" t="str">
        <f>IFERROR(__xludf.DUMMYFUNCTION("TRIM(REGEXREPLACE(C2200, ""[0-9]+[a-f]?\."", """"))"),"")</f>
        <v/>
      </c>
      <c r="H2200" s="152" t="str">
        <f>IFERROR(__xludf.DUMMYFUNCTION("TRIM(REGEXREPLACE(D2200, ""[0-9]+[a-f]?\."", """"))"),"")</f>
        <v/>
      </c>
      <c r="I2200" s="152" t="str">
        <f>IFERROR(__xludf.DUMMYFUNCTION("TRIM(REGEXREPLACE(E2200, ""[0-9]+[a-f]?\."", """"))"),"")</f>
        <v/>
      </c>
      <c r="J2200" s="152" t="str">
        <f t="shared" ref="J2200:L2200" si="431">$F2200 &amp; ". " &amp;G2200</f>
        <v>541. </v>
      </c>
      <c r="K2200" s="152" t="str">
        <f t="shared" si="431"/>
        <v>541. </v>
      </c>
      <c r="L2200" s="152" t="str">
        <f t="shared" si="431"/>
        <v>541. </v>
      </c>
    </row>
    <row r="2201" hidden="1">
      <c r="A2201" s="351"/>
      <c r="B2201" s="352"/>
      <c r="C2201" s="352"/>
      <c r="D2201" s="364"/>
      <c r="E2201" s="364"/>
      <c r="F2201" s="161">
        <v>542.0</v>
      </c>
      <c r="G2201" s="152" t="str">
        <f>IFERROR(__xludf.DUMMYFUNCTION("TRIM(REGEXREPLACE(C2201, ""[0-9]+[a-f]?\."", """"))"),"")</f>
        <v/>
      </c>
      <c r="H2201" s="152" t="str">
        <f>IFERROR(__xludf.DUMMYFUNCTION("TRIM(REGEXREPLACE(D2201, ""[0-9]+[a-f]?\."", """"))"),"")</f>
        <v/>
      </c>
      <c r="I2201" s="152" t="str">
        <f>IFERROR(__xludf.DUMMYFUNCTION("TRIM(REGEXREPLACE(E2201, ""[0-9]+[a-f]?\."", """"))"),"")</f>
        <v/>
      </c>
      <c r="J2201" s="152" t="str">
        <f t="shared" ref="J2201:L2201" si="432">$F2201 &amp; ". " &amp;G2201</f>
        <v>542. </v>
      </c>
      <c r="K2201" s="152" t="str">
        <f t="shared" si="432"/>
        <v>542. </v>
      </c>
      <c r="L2201" s="152" t="str">
        <f t="shared" si="432"/>
        <v>542. </v>
      </c>
    </row>
    <row r="2202" hidden="1">
      <c r="A2202" s="338"/>
      <c r="B2202" s="339"/>
      <c r="C2202" s="341"/>
      <c r="D2202" s="341"/>
      <c r="E2202" s="341"/>
    </row>
    <row r="2203" hidden="1">
      <c r="A2203" s="365"/>
      <c r="B2203" s="366"/>
      <c r="C2203" s="355"/>
      <c r="D2203" s="355"/>
      <c r="E2203" s="355"/>
    </row>
    <row r="2204" hidden="1">
      <c r="A2204" s="342"/>
      <c r="B2204" s="343"/>
      <c r="C2204" s="343"/>
      <c r="D2204" s="343"/>
      <c r="E2204" s="343"/>
      <c r="F2204" s="161">
        <v>543.0</v>
      </c>
      <c r="G2204" s="152" t="str">
        <f>IFERROR(__xludf.DUMMYFUNCTION("TRIM(REGEXREPLACE(C2204, ""[0-9]+[a-f]?\."", """"))"),"")</f>
        <v/>
      </c>
      <c r="H2204" s="152" t="str">
        <f>IFERROR(__xludf.DUMMYFUNCTION("TRIM(REGEXREPLACE(D2204, ""[0-9]+[a-f]?\."", """"))"),"")</f>
        <v/>
      </c>
      <c r="I2204" s="152" t="str">
        <f>IFERROR(__xludf.DUMMYFUNCTION("TRIM(REGEXREPLACE(E2204, ""[0-9]+[a-f]?\."", """"))"),"")</f>
        <v/>
      </c>
      <c r="J2204" s="152" t="str">
        <f t="shared" ref="J2204:L2204" si="433">$F2204 &amp; ". " &amp;G2204</f>
        <v>543. </v>
      </c>
      <c r="K2204" s="152" t="str">
        <f t="shared" si="433"/>
        <v>543. </v>
      </c>
      <c r="L2204" s="152" t="str">
        <f t="shared" si="433"/>
        <v>543. </v>
      </c>
    </row>
    <row r="2205" hidden="1">
      <c r="A2205" s="344"/>
      <c r="B2205" s="345"/>
      <c r="C2205" s="345"/>
      <c r="D2205" s="345"/>
      <c r="E2205" s="345"/>
      <c r="F2205" s="161">
        <v>544.0</v>
      </c>
      <c r="G2205" s="152" t="str">
        <f>IFERROR(__xludf.DUMMYFUNCTION("TRIM(REGEXREPLACE(C2205, ""[0-9]+[a-f]?\."", """"))"),"")</f>
        <v/>
      </c>
      <c r="H2205" s="152" t="str">
        <f>IFERROR(__xludf.DUMMYFUNCTION("TRIM(REGEXREPLACE(D2205, ""[0-9]+[a-f]?\."", """"))"),"")</f>
        <v/>
      </c>
      <c r="I2205" s="152" t="str">
        <f>IFERROR(__xludf.DUMMYFUNCTION("TRIM(REGEXREPLACE(E2205, ""[0-9]+[a-f]?\."", """"))"),"")</f>
        <v/>
      </c>
      <c r="J2205" s="152" t="str">
        <f t="shared" ref="J2205:L2205" si="434">$F2205 &amp; ". " &amp;G2205</f>
        <v>544. </v>
      </c>
      <c r="K2205" s="152" t="str">
        <f t="shared" si="434"/>
        <v>544. </v>
      </c>
      <c r="L2205" s="152" t="str">
        <f t="shared" si="434"/>
        <v>544. </v>
      </c>
    </row>
    <row r="2206" hidden="1">
      <c r="A2206" s="338"/>
      <c r="B2206" s="339"/>
      <c r="C2206" s="341"/>
      <c r="D2206" s="341"/>
      <c r="E2206" s="341"/>
    </row>
    <row r="2207" hidden="1">
      <c r="A2207" s="356"/>
      <c r="B2207" s="359"/>
      <c r="C2207" s="359"/>
      <c r="D2207" s="359"/>
      <c r="E2207" s="359"/>
    </row>
    <row r="2208" hidden="1">
      <c r="A2208" s="152"/>
      <c r="B2208" s="355"/>
      <c r="C2208" s="355"/>
      <c r="D2208" s="355"/>
      <c r="E2208" s="355"/>
    </row>
    <row r="2209" hidden="1">
      <c r="A2209" s="348"/>
      <c r="B2209" s="349"/>
      <c r="C2209" s="349"/>
      <c r="D2209" s="349"/>
      <c r="E2209" s="349"/>
    </row>
    <row r="2210" hidden="1">
      <c r="A2210" s="342"/>
      <c r="B2210" s="343"/>
      <c r="C2210" s="343"/>
      <c r="D2210" s="343"/>
      <c r="E2210" s="343"/>
      <c r="F2210" s="161">
        <v>545.0</v>
      </c>
      <c r="G2210" s="152" t="str">
        <f>IFERROR(__xludf.DUMMYFUNCTION("TRIM(REGEXREPLACE(C2210, ""[0-9]+[a-f]?\."", """"))"),"")</f>
        <v/>
      </c>
      <c r="H2210" s="152" t="str">
        <f>IFERROR(__xludf.DUMMYFUNCTION("TRIM(REGEXREPLACE(D2210, ""[0-9]+[a-f]?\."", """"))"),"")</f>
        <v/>
      </c>
      <c r="I2210" s="152" t="str">
        <f>IFERROR(__xludf.DUMMYFUNCTION("TRIM(REGEXREPLACE(E2210, ""[0-9]+[a-f]?\."", """"))"),"")</f>
        <v/>
      </c>
      <c r="J2210" s="152" t="str">
        <f t="shared" ref="J2210:L2210" si="435">$F2210 &amp; ". " &amp;G2210</f>
        <v>545. </v>
      </c>
      <c r="K2210" s="152" t="str">
        <f t="shared" si="435"/>
        <v>545. </v>
      </c>
      <c r="L2210" s="152" t="str">
        <f t="shared" si="435"/>
        <v>545. </v>
      </c>
    </row>
    <row r="2211" hidden="1">
      <c r="A2211" s="351"/>
      <c r="B2211" s="352"/>
      <c r="C2211" s="352"/>
      <c r="D2211" s="352"/>
      <c r="E2211" s="352"/>
      <c r="F2211" s="161">
        <v>546.0</v>
      </c>
      <c r="G2211" s="152" t="str">
        <f>IFERROR(__xludf.DUMMYFUNCTION("TRIM(REGEXREPLACE(C2211, ""[0-9]+[a-f]?\."", """"))"),"")</f>
        <v/>
      </c>
      <c r="H2211" s="152" t="str">
        <f>IFERROR(__xludf.DUMMYFUNCTION("TRIM(REGEXREPLACE(D2211, ""[0-9]+[a-f]?\."", """"))"),"")</f>
        <v/>
      </c>
      <c r="I2211" s="152" t="str">
        <f>IFERROR(__xludf.DUMMYFUNCTION("TRIM(REGEXREPLACE(E2211, ""[0-9]+[a-f]?\."", """"))"),"")</f>
        <v/>
      </c>
      <c r="J2211" s="152" t="str">
        <f t="shared" ref="J2211:L2211" si="436">$F2211 &amp; ". " &amp;G2211</f>
        <v>546. </v>
      </c>
      <c r="K2211" s="152" t="str">
        <f t="shared" si="436"/>
        <v>546. </v>
      </c>
      <c r="L2211" s="152" t="str">
        <f t="shared" si="436"/>
        <v>546. </v>
      </c>
    </row>
    <row r="2212" hidden="1">
      <c r="A2212" s="351"/>
      <c r="B2212" s="352"/>
      <c r="C2212" s="352"/>
      <c r="D2212" s="352"/>
      <c r="E2212" s="352"/>
      <c r="F2212" s="161">
        <v>547.0</v>
      </c>
      <c r="G2212" s="152" t="str">
        <f>IFERROR(__xludf.DUMMYFUNCTION("TRIM(REGEXREPLACE(C2212, ""[0-9]+[a-f]?\."", """"))"),"")</f>
        <v/>
      </c>
      <c r="H2212" s="152" t="str">
        <f>IFERROR(__xludf.DUMMYFUNCTION("TRIM(REGEXREPLACE(D2212, ""[0-9]+[a-f]?\."", """"))"),"")</f>
        <v/>
      </c>
      <c r="I2212" s="152" t="str">
        <f>IFERROR(__xludf.DUMMYFUNCTION("TRIM(REGEXREPLACE(E2212, ""[0-9]+[a-f]?\."", """"))"),"")</f>
        <v/>
      </c>
      <c r="J2212" s="152" t="str">
        <f t="shared" ref="J2212:L2212" si="437">$F2212 &amp; ". " &amp;G2212</f>
        <v>547. </v>
      </c>
      <c r="K2212" s="152" t="str">
        <f t="shared" si="437"/>
        <v>547. </v>
      </c>
      <c r="L2212" s="152" t="str">
        <f t="shared" si="437"/>
        <v>547. </v>
      </c>
    </row>
    <row r="2213" hidden="1">
      <c r="A2213" s="351"/>
      <c r="B2213" s="352"/>
      <c r="C2213" s="352"/>
      <c r="D2213" s="352"/>
      <c r="E2213" s="352"/>
      <c r="F2213" s="161">
        <v>548.0</v>
      </c>
      <c r="G2213" s="152" t="str">
        <f>IFERROR(__xludf.DUMMYFUNCTION("TRIM(REGEXREPLACE(C2213, ""[0-9]+[a-f]?\."", """"))"),"")</f>
        <v/>
      </c>
      <c r="H2213" s="152" t="str">
        <f>IFERROR(__xludf.DUMMYFUNCTION("TRIM(REGEXREPLACE(D2213, ""[0-9]+[a-f]?\."", """"))"),"")</f>
        <v/>
      </c>
      <c r="I2213" s="152" t="str">
        <f>IFERROR(__xludf.DUMMYFUNCTION("TRIM(REGEXREPLACE(E2213, ""[0-9]+[a-f]?\."", """"))"),"")</f>
        <v/>
      </c>
      <c r="J2213" s="152" t="str">
        <f t="shared" ref="J2213:L2213" si="438">$F2213 &amp; ". " &amp;G2213</f>
        <v>548. </v>
      </c>
      <c r="K2213" s="152" t="str">
        <f t="shared" si="438"/>
        <v>548. </v>
      </c>
      <c r="L2213" s="152" t="str">
        <f t="shared" si="438"/>
        <v>548. </v>
      </c>
    </row>
    <row r="2214" hidden="1">
      <c r="A2214" s="351"/>
      <c r="B2214" s="352"/>
      <c r="C2214" s="352"/>
      <c r="D2214" s="352"/>
      <c r="E2214" s="352"/>
      <c r="F2214" s="161">
        <v>549.0</v>
      </c>
      <c r="G2214" s="152" t="str">
        <f>IFERROR(__xludf.DUMMYFUNCTION("TRIM(REGEXREPLACE(C2214, ""[0-9]+[a-f]?\."", """"))"),"")</f>
        <v/>
      </c>
      <c r="H2214" s="152" t="str">
        <f>IFERROR(__xludf.DUMMYFUNCTION("TRIM(REGEXREPLACE(D2214, ""[0-9]+[a-f]?\."", """"))"),"")</f>
        <v/>
      </c>
      <c r="I2214" s="152" t="str">
        <f>IFERROR(__xludf.DUMMYFUNCTION("TRIM(REGEXREPLACE(E2214, ""[0-9]+[a-f]?\."", """"))"),"")</f>
        <v/>
      </c>
      <c r="J2214" s="152" t="str">
        <f t="shared" ref="J2214:L2214" si="439">$F2214 &amp; ". " &amp;G2214</f>
        <v>549. </v>
      </c>
      <c r="K2214" s="152" t="str">
        <f t="shared" si="439"/>
        <v>549. </v>
      </c>
      <c r="L2214" s="152" t="str">
        <f t="shared" si="439"/>
        <v>549. </v>
      </c>
    </row>
    <row r="2215" hidden="1">
      <c r="A2215" s="348"/>
      <c r="B2215" s="353"/>
      <c r="C2215" s="353"/>
      <c r="D2215" s="353"/>
      <c r="E2215" s="353"/>
    </row>
    <row r="2216" hidden="1">
      <c r="A2216" s="338"/>
      <c r="B2216" s="339"/>
      <c r="C2216" s="341"/>
      <c r="D2216" s="341"/>
      <c r="E2216" s="341"/>
    </row>
    <row r="2217" hidden="1">
      <c r="A2217" s="338"/>
      <c r="B2217" s="339"/>
      <c r="C2217" s="341"/>
      <c r="D2217" s="341"/>
      <c r="E2217" s="341"/>
    </row>
    <row r="2218" hidden="1">
      <c r="A2218" s="152"/>
      <c r="B2218" s="355"/>
      <c r="C2218" s="355"/>
      <c r="D2218" s="355"/>
      <c r="E2218" s="355"/>
    </row>
    <row r="2219" hidden="1">
      <c r="A2219" s="338"/>
      <c r="B2219" s="339"/>
      <c r="C2219" s="341"/>
      <c r="D2219" s="341"/>
      <c r="E2219" s="341"/>
    </row>
    <row r="2220" hidden="1">
      <c r="A2220" s="342"/>
      <c r="B2220" s="343"/>
      <c r="C2220" s="343"/>
      <c r="D2220" s="343"/>
      <c r="E2220" s="343"/>
      <c r="F2220" s="161">
        <v>550.0</v>
      </c>
      <c r="G2220" s="152" t="str">
        <f>IFERROR(__xludf.DUMMYFUNCTION("TRIM(REGEXREPLACE(C2220, ""[0-9]+[a-f]?\."", """"))"),"")</f>
        <v/>
      </c>
      <c r="H2220" s="152" t="str">
        <f>IFERROR(__xludf.DUMMYFUNCTION("TRIM(REGEXREPLACE(D2220, ""[0-9]+[a-f]?\."", """"))"),"")</f>
        <v/>
      </c>
      <c r="I2220" s="152" t="str">
        <f>IFERROR(__xludf.DUMMYFUNCTION("TRIM(REGEXREPLACE(E2220, ""[0-9]+[a-f]?\."", """"))"),"")</f>
        <v/>
      </c>
      <c r="J2220" s="152" t="str">
        <f t="shared" ref="J2220:L2220" si="440">$F2220 &amp; ". " &amp;G2220</f>
        <v>550. </v>
      </c>
      <c r="K2220" s="152" t="str">
        <f t="shared" si="440"/>
        <v>550. </v>
      </c>
      <c r="L2220" s="152" t="str">
        <f t="shared" si="440"/>
        <v>550. </v>
      </c>
    </row>
    <row r="2221" hidden="1">
      <c r="A2221" s="351"/>
      <c r="B2221" s="352"/>
      <c r="C2221" s="352"/>
      <c r="D2221" s="352"/>
      <c r="E2221" s="352"/>
      <c r="F2221" s="161">
        <v>551.0</v>
      </c>
      <c r="G2221" s="152" t="str">
        <f>IFERROR(__xludf.DUMMYFUNCTION("TRIM(REGEXREPLACE(C2221, ""[0-9]+[a-f]?\."", """"))"),"")</f>
        <v/>
      </c>
      <c r="H2221" s="152" t="str">
        <f>IFERROR(__xludf.DUMMYFUNCTION("TRIM(REGEXREPLACE(D2221, ""[0-9]+[a-f]?\."", """"))"),"")</f>
        <v/>
      </c>
      <c r="I2221" s="152" t="str">
        <f>IFERROR(__xludf.DUMMYFUNCTION("TRIM(REGEXREPLACE(E2221, ""[0-9]+[a-f]?\."", """"))"),"")</f>
        <v/>
      </c>
      <c r="J2221" s="152" t="str">
        <f t="shared" ref="J2221:L2221" si="441">$F2221 &amp; ". " &amp;G2221</f>
        <v>551. </v>
      </c>
      <c r="K2221" s="152" t="str">
        <f t="shared" si="441"/>
        <v>551. </v>
      </c>
      <c r="L2221" s="152" t="str">
        <f t="shared" si="441"/>
        <v>551. </v>
      </c>
    </row>
    <row r="2222" hidden="1">
      <c r="A2222" s="351"/>
      <c r="B2222" s="352"/>
      <c r="C2222" s="352"/>
      <c r="D2222" s="352"/>
      <c r="E2222" s="352"/>
      <c r="F2222" s="161">
        <v>552.0</v>
      </c>
      <c r="G2222" s="152" t="str">
        <f>IFERROR(__xludf.DUMMYFUNCTION("TRIM(REGEXREPLACE(C2222, ""[0-9]+[a-f]?\."", """"))"),"")</f>
        <v/>
      </c>
      <c r="H2222" s="152" t="str">
        <f>IFERROR(__xludf.DUMMYFUNCTION("TRIM(REGEXREPLACE(D2222, ""[0-9]+[a-f]?\."", """"))"),"")</f>
        <v/>
      </c>
      <c r="I2222" s="152" t="str">
        <f>IFERROR(__xludf.DUMMYFUNCTION("TRIM(REGEXREPLACE(E2222, ""[0-9]+[a-f]?\."", """"))"),"")</f>
        <v/>
      </c>
      <c r="J2222" s="152" t="str">
        <f t="shared" ref="J2222:L2222" si="442">$F2222 &amp; ". " &amp;G2222</f>
        <v>552. </v>
      </c>
      <c r="K2222" s="152" t="str">
        <f t="shared" si="442"/>
        <v>552. </v>
      </c>
      <c r="L2222" s="152" t="str">
        <f t="shared" si="442"/>
        <v>552. </v>
      </c>
    </row>
    <row r="2223" hidden="1">
      <c r="A2223" s="152"/>
      <c r="B2223" s="355"/>
      <c r="C2223" s="355"/>
      <c r="D2223" s="355"/>
      <c r="E2223" s="355"/>
    </row>
    <row r="2224" hidden="1">
      <c r="A2224" s="356"/>
      <c r="B2224" s="357"/>
      <c r="C2224" s="357"/>
      <c r="D2224" s="357"/>
      <c r="E2224" s="357"/>
    </row>
    <row r="2225" hidden="1">
      <c r="A2225" s="338"/>
      <c r="B2225" s="339"/>
      <c r="C2225" s="341"/>
      <c r="D2225" s="341"/>
      <c r="E2225" s="341"/>
    </row>
    <row r="2226" hidden="1">
      <c r="A2226" s="338"/>
      <c r="B2226" s="339"/>
      <c r="C2226" s="340"/>
      <c r="D2226" s="340"/>
      <c r="E2226" s="340"/>
    </row>
    <row r="2227" hidden="1">
      <c r="A2227" s="351"/>
      <c r="B2227" s="352"/>
      <c r="C2227" s="352"/>
      <c r="D2227" s="352"/>
      <c r="E2227" s="352"/>
      <c r="F2227" s="161">
        <v>553.0</v>
      </c>
      <c r="G2227" s="152" t="str">
        <f>IFERROR(__xludf.DUMMYFUNCTION("TRIM(REGEXREPLACE(C2227, ""[0-9]+[a-f]?\."", """"))"),"")</f>
        <v/>
      </c>
      <c r="H2227" s="152" t="str">
        <f>IFERROR(__xludf.DUMMYFUNCTION("TRIM(REGEXREPLACE(D2227, ""[0-9]+[a-f]?\."", """"))"),"")</f>
        <v/>
      </c>
      <c r="I2227" s="152" t="str">
        <f>IFERROR(__xludf.DUMMYFUNCTION("TRIM(REGEXREPLACE(E2227, ""[0-9]+[a-f]?\."", """"))"),"")</f>
        <v/>
      </c>
      <c r="J2227" s="152" t="str">
        <f t="shared" ref="J2227:L2227" si="443">$F2227 &amp; ". " &amp;G2227</f>
        <v>553. </v>
      </c>
      <c r="K2227" s="152" t="str">
        <f t="shared" si="443"/>
        <v>553. </v>
      </c>
      <c r="L2227" s="152" t="str">
        <f t="shared" si="443"/>
        <v>553. </v>
      </c>
    </row>
    <row r="2228" hidden="1">
      <c r="A2228" s="356"/>
      <c r="B2228" s="359"/>
      <c r="C2228" s="359"/>
      <c r="D2228" s="359"/>
      <c r="E2228" s="359"/>
    </row>
    <row r="2229" hidden="1">
      <c r="A2229" s="342"/>
      <c r="B2229" s="343"/>
      <c r="C2229" s="343"/>
      <c r="D2229" s="343"/>
      <c r="E2229" s="343"/>
      <c r="F2229" s="161">
        <v>554.0</v>
      </c>
      <c r="G2229" s="152" t="str">
        <f>IFERROR(__xludf.DUMMYFUNCTION("TRIM(REGEXREPLACE(C2229, ""[0-9]+[a-f]?\."", """"))"),"")</f>
        <v/>
      </c>
      <c r="H2229" s="152" t="str">
        <f>IFERROR(__xludf.DUMMYFUNCTION("TRIM(REGEXREPLACE(D2229, ""[0-9]+[a-f]?\."", """"))"),"")</f>
        <v/>
      </c>
      <c r="I2229" s="152" t="str">
        <f>IFERROR(__xludf.DUMMYFUNCTION("TRIM(REGEXREPLACE(E2229, ""[0-9]+[a-f]?\."", """"))"),"")</f>
        <v/>
      </c>
      <c r="J2229" s="152" t="str">
        <f t="shared" ref="J2229:L2229" si="444">$F2229 &amp; ". " &amp;G2229</f>
        <v>554. </v>
      </c>
      <c r="K2229" s="152" t="str">
        <f t="shared" si="444"/>
        <v>554. </v>
      </c>
      <c r="L2229" s="152" t="str">
        <f t="shared" si="444"/>
        <v>554. </v>
      </c>
    </row>
    <row r="2230" hidden="1">
      <c r="A2230" s="344"/>
      <c r="B2230" s="345"/>
      <c r="C2230" s="345"/>
      <c r="D2230" s="345"/>
      <c r="E2230" s="345"/>
      <c r="F2230" s="161">
        <v>555.0</v>
      </c>
      <c r="G2230" s="152" t="str">
        <f>IFERROR(__xludf.DUMMYFUNCTION("TRIM(REGEXREPLACE(C2230, ""[0-9]+[a-f]?\."", """"))"),"")</f>
        <v/>
      </c>
      <c r="H2230" s="152" t="str">
        <f>IFERROR(__xludf.DUMMYFUNCTION("TRIM(REGEXREPLACE(D2230, ""[0-9]+[a-f]?\."", """"))"),"")</f>
        <v/>
      </c>
      <c r="I2230" s="152" t="str">
        <f>IFERROR(__xludf.DUMMYFUNCTION("TRIM(REGEXREPLACE(E2230, ""[0-9]+[a-f]?\."", """"))"),"")</f>
        <v/>
      </c>
      <c r="J2230" s="152" t="str">
        <f t="shared" ref="J2230:L2230" si="445">$F2230 &amp; ". " &amp;G2230</f>
        <v>555. </v>
      </c>
      <c r="K2230" s="152" t="str">
        <f t="shared" si="445"/>
        <v>555. </v>
      </c>
      <c r="L2230" s="152" t="str">
        <f t="shared" si="445"/>
        <v>555. </v>
      </c>
    </row>
    <row r="2231" hidden="1">
      <c r="A2231" s="351"/>
      <c r="B2231" s="352"/>
      <c r="C2231" s="352"/>
      <c r="D2231" s="352"/>
      <c r="E2231" s="352"/>
      <c r="F2231" s="161">
        <v>556.0</v>
      </c>
      <c r="G2231" s="152" t="str">
        <f>IFERROR(__xludf.DUMMYFUNCTION("TRIM(REGEXREPLACE(C2231, ""[0-9]+[a-f]?\."", """"))"),"")</f>
        <v/>
      </c>
      <c r="H2231" s="152" t="str">
        <f>IFERROR(__xludf.DUMMYFUNCTION("TRIM(REGEXREPLACE(D2231, ""[0-9]+[a-f]?\."", """"))"),"")</f>
        <v/>
      </c>
      <c r="I2231" s="152" t="str">
        <f>IFERROR(__xludf.DUMMYFUNCTION("TRIM(REGEXREPLACE(E2231, ""[0-9]+[a-f]?\."", """"))"),"")</f>
        <v/>
      </c>
      <c r="J2231" s="152" t="str">
        <f t="shared" ref="J2231:L2231" si="446">$F2231 &amp; ". " &amp;G2231</f>
        <v>556. </v>
      </c>
      <c r="K2231" s="152" t="str">
        <f t="shared" si="446"/>
        <v>556. </v>
      </c>
      <c r="L2231" s="152" t="str">
        <f t="shared" si="446"/>
        <v>556. </v>
      </c>
    </row>
    <row r="2232" hidden="1">
      <c r="A2232" s="351"/>
      <c r="B2232" s="352"/>
      <c r="C2232" s="352"/>
      <c r="D2232" s="352"/>
      <c r="E2232" s="352"/>
      <c r="F2232" s="161">
        <v>557.0</v>
      </c>
      <c r="G2232" s="152" t="str">
        <f>IFERROR(__xludf.DUMMYFUNCTION("TRIM(REGEXREPLACE(C2232, ""[0-9]+[a-f]?\."", """"))"),"")</f>
        <v/>
      </c>
      <c r="H2232" s="152" t="str">
        <f>IFERROR(__xludf.DUMMYFUNCTION("TRIM(REGEXREPLACE(D2232, ""[0-9]+[a-f]?\."", """"))"),"")</f>
        <v/>
      </c>
      <c r="I2232" s="152" t="str">
        <f>IFERROR(__xludf.DUMMYFUNCTION("TRIM(REGEXREPLACE(E2232, ""[0-9]+[a-f]?\."", """"))"),"")</f>
        <v/>
      </c>
      <c r="J2232" s="152" t="str">
        <f t="shared" ref="J2232:L2232" si="447">$F2232 &amp; ". " &amp;G2232</f>
        <v>557. </v>
      </c>
      <c r="K2232" s="152" t="str">
        <f t="shared" si="447"/>
        <v>557. </v>
      </c>
      <c r="L2232" s="152" t="str">
        <f t="shared" si="447"/>
        <v>557. </v>
      </c>
    </row>
    <row r="2233" hidden="1">
      <c r="A2233" s="351"/>
      <c r="B2233" s="352"/>
      <c r="C2233" s="352"/>
      <c r="D2233" s="352"/>
      <c r="E2233" s="352"/>
      <c r="F2233" s="161">
        <v>558.0</v>
      </c>
      <c r="G2233" s="152" t="str">
        <f>IFERROR(__xludf.DUMMYFUNCTION("TRIM(REGEXREPLACE(C2233, ""[0-9]+[a-f]?\."", """"))"),"")</f>
        <v/>
      </c>
      <c r="H2233" s="152" t="str">
        <f>IFERROR(__xludf.DUMMYFUNCTION("TRIM(REGEXREPLACE(D2233, ""[0-9]+[a-f]?\."", """"))"),"")</f>
        <v/>
      </c>
      <c r="I2233" s="152" t="str">
        <f>IFERROR(__xludf.DUMMYFUNCTION("TRIM(REGEXREPLACE(E2233, ""[0-9]+[a-f]?\."", """"))"),"")</f>
        <v/>
      </c>
      <c r="J2233" s="152" t="str">
        <f t="shared" ref="J2233:L2233" si="448">$F2233 &amp; ". " &amp;G2233</f>
        <v>558. </v>
      </c>
      <c r="K2233" s="152" t="str">
        <f t="shared" si="448"/>
        <v>558. </v>
      </c>
      <c r="L2233" s="152" t="str">
        <f t="shared" si="448"/>
        <v>558. </v>
      </c>
    </row>
    <row r="2234" hidden="1">
      <c r="A2234" s="338"/>
      <c r="B2234" s="339"/>
      <c r="C2234" s="340"/>
      <c r="D2234" s="340"/>
      <c r="E2234" s="340"/>
    </row>
    <row r="2235" hidden="1">
      <c r="A2235" s="344"/>
      <c r="B2235" s="345"/>
      <c r="C2235" s="345"/>
      <c r="D2235" s="345"/>
      <c r="E2235" s="345"/>
      <c r="F2235" s="161">
        <v>559.0</v>
      </c>
      <c r="G2235" s="152" t="str">
        <f>IFERROR(__xludf.DUMMYFUNCTION("TRIM(REGEXREPLACE(C2235, ""[0-9]+[a-f]?\."", """"))"),"")</f>
        <v/>
      </c>
      <c r="H2235" s="152" t="str">
        <f>IFERROR(__xludf.DUMMYFUNCTION("TRIM(REGEXREPLACE(D2235, ""[0-9]+[a-f]?\."", """"))"),"")</f>
        <v/>
      </c>
      <c r="I2235" s="152" t="str">
        <f>IFERROR(__xludf.DUMMYFUNCTION("TRIM(REGEXREPLACE(E2235, ""[0-9]+[a-f]?\."", """"))"),"")</f>
        <v/>
      </c>
      <c r="J2235" s="152" t="str">
        <f t="shared" ref="J2235:L2235" si="449">$F2235 &amp; ". " &amp;G2235</f>
        <v>559. </v>
      </c>
      <c r="K2235" s="152" t="str">
        <f t="shared" si="449"/>
        <v>559. </v>
      </c>
      <c r="L2235" s="152" t="str">
        <f t="shared" si="449"/>
        <v>559. </v>
      </c>
    </row>
    <row r="2236" hidden="1">
      <c r="A2236" s="342"/>
      <c r="B2236" s="343"/>
      <c r="C2236" s="343"/>
      <c r="D2236" s="343"/>
      <c r="E2236" s="343"/>
      <c r="F2236" s="161">
        <v>560.0</v>
      </c>
      <c r="G2236" s="152" t="str">
        <f>IFERROR(__xludf.DUMMYFUNCTION("TRIM(REGEXREPLACE(C2236, ""[0-9]+[a-f]?\."", """"))"),"")</f>
        <v/>
      </c>
      <c r="H2236" s="152" t="str">
        <f>IFERROR(__xludf.DUMMYFUNCTION("TRIM(REGEXREPLACE(D2236, ""[0-9]+[a-f]?\."", """"))"),"")</f>
        <v/>
      </c>
      <c r="I2236" s="152" t="str">
        <f>IFERROR(__xludf.DUMMYFUNCTION("TRIM(REGEXREPLACE(E2236, ""[0-9]+[a-f]?\."", """"))"),"")</f>
        <v/>
      </c>
      <c r="J2236" s="152" t="str">
        <f t="shared" ref="J2236:L2236" si="450">$F2236 &amp; ". " &amp;G2236</f>
        <v>560. </v>
      </c>
      <c r="K2236" s="152" t="str">
        <f t="shared" si="450"/>
        <v>560. </v>
      </c>
      <c r="L2236" s="152" t="str">
        <f t="shared" si="450"/>
        <v>560. </v>
      </c>
    </row>
    <row r="2237" hidden="1">
      <c r="A2237" s="344"/>
      <c r="B2237" s="345"/>
      <c r="C2237" s="345"/>
      <c r="D2237" s="345"/>
      <c r="E2237" s="345"/>
      <c r="F2237" s="161">
        <v>561.0</v>
      </c>
      <c r="G2237" s="152" t="str">
        <f>IFERROR(__xludf.DUMMYFUNCTION("TRIM(REGEXREPLACE(C2237, ""[0-9]+[a-f]?\."", """"))"),"")</f>
        <v/>
      </c>
      <c r="H2237" s="152" t="str">
        <f>IFERROR(__xludf.DUMMYFUNCTION("TRIM(REGEXREPLACE(D2237, ""[0-9]+[a-f]?\."", """"))"),"")</f>
        <v/>
      </c>
      <c r="I2237" s="152" t="str">
        <f>IFERROR(__xludf.DUMMYFUNCTION("TRIM(REGEXREPLACE(E2237, ""[0-9]+[a-f]?\."", """"))"),"")</f>
        <v/>
      </c>
      <c r="J2237" s="152" t="str">
        <f t="shared" ref="J2237:L2237" si="451">$F2237 &amp; ". " &amp;G2237</f>
        <v>561. </v>
      </c>
      <c r="K2237" s="152" t="str">
        <f t="shared" si="451"/>
        <v>561. </v>
      </c>
      <c r="L2237" s="152" t="str">
        <f t="shared" si="451"/>
        <v>561. </v>
      </c>
    </row>
    <row r="2238" hidden="1">
      <c r="A2238" s="338"/>
      <c r="B2238" s="339"/>
      <c r="C2238" s="341"/>
      <c r="D2238" s="341"/>
      <c r="E2238" s="341"/>
    </row>
    <row r="2239" hidden="1">
      <c r="A2239" s="338"/>
      <c r="B2239" s="339"/>
      <c r="C2239" s="341"/>
      <c r="D2239" s="341"/>
      <c r="E2239" s="341"/>
    </row>
    <row r="2240" hidden="1">
      <c r="A2240" s="338"/>
      <c r="B2240" s="339"/>
      <c r="C2240" s="341"/>
      <c r="D2240" s="341"/>
      <c r="E2240" s="341"/>
    </row>
    <row r="2241" hidden="1">
      <c r="A2241" s="356"/>
      <c r="B2241" s="357"/>
      <c r="C2241" s="357"/>
      <c r="D2241" s="357"/>
      <c r="E2241" s="357"/>
    </row>
    <row r="2242" hidden="1">
      <c r="A2242" s="338"/>
      <c r="B2242" s="339"/>
      <c r="C2242" s="341"/>
      <c r="D2242" s="341"/>
      <c r="E2242" s="341"/>
    </row>
    <row r="2243" hidden="1">
      <c r="A2243" s="338"/>
      <c r="B2243" s="339"/>
      <c r="C2243" s="341"/>
      <c r="D2243" s="341"/>
      <c r="E2243" s="341"/>
    </row>
    <row r="2244" hidden="1">
      <c r="A2244" s="351"/>
      <c r="B2244" s="352"/>
      <c r="C2244" s="352"/>
      <c r="D2244" s="352"/>
      <c r="E2244" s="352"/>
      <c r="F2244" s="161">
        <v>562.0</v>
      </c>
      <c r="G2244" s="152" t="str">
        <f>IFERROR(__xludf.DUMMYFUNCTION("TRIM(REGEXREPLACE(C2244, ""[0-9]+[a-f]?\."", """"))"),"")</f>
        <v/>
      </c>
      <c r="H2244" s="152" t="str">
        <f>IFERROR(__xludf.DUMMYFUNCTION("TRIM(REGEXREPLACE(D2244, ""[0-9]+[a-f]?\."", """"))"),"")</f>
        <v/>
      </c>
      <c r="I2244" s="152" t="str">
        <f>IFERROR(__xludf.DUMMYFUNCTION("TRIM(REGEXREPLACE(E2244, ""[0-9]+[a-f]?\."", """"))"),"")</f>
        <v/>
      </c>
      <c r="J2244" s="152" t="str">
        <f t="shared" ref="J2244:L2244" si="452">$F2244 &amp; ". " &amp;G2244</f>
        <v>562. </v>
      </c>
      <c r="K2244" s="152" t="str">
        <f t="shared" si="452"/>
        <v>562. </v>
      </c>
      <c r="L2244" s="152" t="str">
        <f t="shared" si="452"/>
        <v>562. </v>
      </c>
    </row>
    <row r="2245" hidden="1">
      <c r="A2245" s="351"/>
      <c r="B2245" s="352"/>
      <c r="C2245" s="352"/>
      <c r="D2245" s="352"/>
      <c r="E2245" s="352"/>
      <c r="F2245" s="161">
        <v>563.0</v>
      </c>
      <c r="G2245" s="152" t="str">
        <f>IFERROR(__xludf.DUMMYFUNCTION("TRIM(REGEXREPLACE(C2245, ""[0-9]+[a-f]?\."", """"))"),"")</f>
        <v/>
      </c>
      <c r="H2245" s="152" t="str">
        <f>IFERROR(__xludf.DUMMYFUNCTION("TRIM(REGEXREPLACE(D2245, ""[0-9]+[a-f]?\."", """"))"),"")</f>
        <v/>
      </c>
      <c r="I2245" s="152" t="str">
        <f>IFERROR(__xludf.DUMMYFUNCTION("TRIM(REGEXREPLACE(E2245, ""[0-9]+[a-f]?\."", """"))"),"")</f>
        <v/>
      </c>
      <c r="J2245" s="152" t="str">
        <f t="shared" ref="J2245:L2245" si="453">$F2245 &amp; ". " &amp;G2245</f>
        <v>563. </v>
      </c>
      <c r="K2245" s="152" t="str">
        <f t="shared" si="453"/>
        <v>563. </v>
      </c>
      <c r="L2245" s="152" t="str">
        <f t="shared" si="453"/>
        <v>563. </v>
      </c>
    </row>
    <row r="2246" hidden="1">
      <c r="A2246" s="338"/>
      <c r="B2246" s="339"/>
      <c r="C2246" s="340"/>
      <c r="D2246" s="340"/>
      <c r="E2246" s="340"/>
    </row>
    <row r="2247" hidden="1">
      <c r="A2247" s="356"/>
      <c r="B2247" s="359"/>
      <c r="C2247" s="360"/>
      <c r="D2247" s="360"/>
      <c r="E2247" s="360"/>
    </row>
    <row r="2248" hidden="1">
      <c r="A2248" s="338"/>
      <c r="B2248" s="339"/>
      <c r="C2248" s="341"/>
      <c r="D2248" s="341"/>
      <c r="E2248" s="341"/>
    </row>
    <row r="2249" hidden="1">
      <c r="A2249" s="338"/>
      <c r="B2249" s="339"/>
      <c r="C2249" s="341"/>
      <c r="D2249" s="341"/>
      <c r="E2249" s="341"/>
    </row>
    <row r="2250" hidden="1">
      <c r="A2250" s="344"/>
      <c r="B2250" s="345"/>
      <c r="C2250" s="345"/>
      <c r="D2250" s="345"/>
      <c r="E2250" s="345"/>
      <c r="F2250" s="161">
        <v>564.0</v>
      </c>
      <c r="G2250" s="152" t="str">
        <f>IFERROR(__xludf.DUMMYFUNCTION("TRIM(REGEXREPLACE(C2250, ""[0-9]+[a-f]?\."", """"))"),"")</f>
        <v/>
      </c>
      <c r="H2250" s="152" t="str">
        <f>IFERROR(__xludf.DUMMYFUNCTION("TRIM(REGEXREPLACE(D2250, ""[0-9]+[a-f]?\."", """"))"),"")</f>
        <v/>
      </c>
      <c r="I2250" s="152" t="str">
        <f>IFERROR(__xludf.DUMMYFUNCTION("TRIM(REGEXREPLACE(E2250, ""[0-9]+[a-f]?\."", """"))"),"")</f>
        <v/>
      </c>
      <c r="J2250" s="152" t="str">
        <f t="shared" ref="J2250:L2250" si="454">$F2250 &amp; ". " &amp;G2250</f>
        <v>564. </v>
      </c>
      <c r="K2250" s="152" t="str">
        <f t="shared" si="454"/>
        <v>564. </v>
      </c>
      <c r="L2250" s="152" t="str">
        <f t="shared" si="454"/>
        <v>564. </v>
      </c>
    </row>
    <row r="2251" hidden="1">
      <c r="A2251" s="346"/>
      <c r="B2251" s="347"/>
      <c r="C2251" s="347"/>
      <c r="D2251" s="347"/>
      <c r="E2251" s="347"/>
      <c r="F2251" s="161">
        <v>565.0</v>
      </c>
      <c r="G2251" s="152" t="str">
        <f>IFERROR(__xludf.DUMMYFUNCTION("TRIM(REGEXREPLACE(C2251, ""[0-9]+[a-f]?\."", """"))"),"")</f>
        <v/>
      </c>
      <c r="H2251" s="152" t="str">
        <f>IFERROR(__xludf.DUMMYFUNCTION("TRIM(REGEXREPLACE(D2251, ""[0-9]+[a-f]?\."", """"))"),"")</f>
        <v/>
      </c>
      <c r="I2251" s="152" t="str">
        <f>IFERROR(__xludf.DUMMYFUNCTION("TRIM(REGEXREPLACE(E2251, ""[0-9]+[a-f]?\."", """"))"),"")</f>
        <v/>
      </c>
      <c r="J2251" s="152" t="str">
        <f t="shared" ref="J2251:L2251" si="455">$F2251 &amp; ". " &amp;G2251</f>
        <v>565. </v>
      </c>
      <c r="K2251" s="152" t="str">
        <f t="shared" si="455"/>
        <v>565. </v>
      </c>
      <c r="L2251" s="152" t="str">
        <f t="shared" si="455"/>
        <v>565. </v>
      </c>
    </row>
    <row r="2252" hidden="1">
      <c r="A2252" s="351"/>
      <c r="B2252" s="352"/>
      <c r="C2252" s="352"/>
      <c r="D2252" s="352"/>
      <c r="E2252" s="352"/>
      <c r="F2252" s="161">
        <v>566.0</v>
      </c>
      <c r="G2252" s="152" t="str">
        <f>IFERROR(__xludf.DUMMYFUNCTION("TRIM(REGEXREPLACE(C2252, ""[0-9]+[a-f]?\."", """"))"),"")</f>
        <v/>
      </c>
      <c r="H2252" s="152" t="str">
        <f>IFERROR(__xludf.DUMMYFUNCTION("TRIM(REGEXREPLACE(D2252, ""[0-9]+[a-f]?\."", """"))"),"")</f>
        <v/>
      </c>
      <c r="I2252" s="152" t="str">
        <f>IFERROR(__xludf.DUMMYFUNCTION("TRIM(REGEXREPLACE(E2252, ""[0-9]+[a-f]?\."", """"))"),"")</f>
        <v/>
      </c>
      <c r="J2252" s="152" t="str">
        <f t="shared" ref="J2252:L2252" si="456">$F2252 &amp; ". " &amp;G2252</f>
        <v>566. </v>
      </c>
      <c r="K2252" s="152" t="str">
        <f t="shared" si="456"/>
        <v>566. </v>
      </c>
      <c r="L2252" s="152" t="str">
        <f t="shared" si="456"/>
        <v>566. </v>
      </c>
    </row>
    <row r="2253" hidden="1">
      <c r="A2253" s="338"/>
      <c r="B2253" s="339"/>
      <c r="C2253" s="340"/>
      <c r="D2253" s="341"/>
      <c r="E2253" s="341"/>
    </row>
    <row r="2254" hidden="1">
      <c r="A2254" s="338"/>
      <c r="B2254" s="339"/>
      <c r="C2254" s="340"/>
      <c r="D2254" s="341"/>
      <c r="E2254" s="341"/>
    </row>
    <row r="2255" hidden="1">
      <c r="A2255" s="338"/>
      <c r="B2255" s="339"/>
      <c r="C2255" s="340"/>
      <c r="D2255" s="341"/>
      <c r="E2255" s="341"/>
    </row>
    <row r="2256" hidden="1">
      <c r="A2256" s="338"/>
      <c r="B2256" s="339"/>
      <c r="C2256" s="340"/>
      <c r="D2256" s="341"/>
      <c r="E2256" s="341"/>
    </row>
    <row r="2257" hidden="1">
      <c r="A2257" s="338"/>
      <c r="B2257" s="339"/>
      <c r="C2257" s="340"/>
      <c r="D2257" s="341"/>
      <c r="E2257" s="341"/>
    </row>
    <row r="2258" hidden="1">
      <c r="A2258" s="338"/>
      <c r="B2258" s="339"/>
      <c r="C2258" s="340"/>
      <c r="D2258" s="341"/>
      <c r="E2258" s="341"/>
    </row>
    <row r="2259" hidden="1">
      <c r="A2259" s="338"/>
      <c r="B2259" s="339"/>
      <c r="C2259" s="340"/>
      <c r="D2259" s="341"/>
      <c r="E2259" s="341"/>
    </row>
    <row r="2260" hidden="1">
      <c r="A2260" s="338"/>
      <c r="B2260" s="339"/>
      <c r="C2260" s="340"/>
      <c r="D2260" s="341"/>
      <c r="E2260" s="341"/>
    </row>
    <row r="2261" hidden="1">
      <c r="A2261" s="338"/>
      <c r="B2261" s="339"/>
      <c r="C2261" s="341"/>
      <c r="D2261" s="341"/>
      <c r="E2261" s="341"/>
    </row>
    <row r="2262" hidden="1">
      <c r="A2262" s="344"/>
      <c r="B2262" s="345"/>
      <c r="C2262" s="345"/>
      <c r="D2262" s="345"/>
      <c r="E2262" s="345"/>
      <c r="F2262" s="161">
        <v>567.0</v>
      </c>
      <c r="G2262" s="152" t="str">
        <f>IFERROR(__xludf.DUMMYFUNCTION("TRIM(REGEXREPLACE(C2262, ""[0-9]+[a-f]?\."", """"))"),"")</f>
        <v/>
      </c>
      <c r="H2262" s="152" t="str">
        <f>IFERROR(__xludf.DUMMYFUNCTION("TRIM(REGEXREPLACE(D2262, ""[0-9]+[a-f]?\."", """"))"),"")</f>
        <v/>
      </c>
      <c r="I2262" s="152" t="str">
        <f>IFERROR(__xludf.DUMMYFUNCTION("TRIM(REGEXREPLACE(E2262, ""[0-9]+[a-f]?\."", """"))"),"")</f>
        <v/>
      </c>
      <c r="J2262" s="152" t="str">
        <f t="shared" ref="J2262:L2262" si="457">$F2262 &amp; ". " &amp;G2262</f>
        <v>567. </v>
      </c>
      <c r="K2262" s="152" t="str">
        <f t="shared" si="457"/>
        <v>567. </v>
      </c>
      <c r="L2262" s="152" t="str">
        <f t="shared" si="457"/>
        <v>567. </v>
      </c>
    </row>
    <row r="2263" hidden="1">
      <c r="A2263" s="342"/>
      <c r="B2263" s="343"/>
      <c r="C2263" s="343"/>
      <c r="D2263" s="343"/>
      <c r="E2263" s="343"/>
      <c r="F2263" s="161">
        <v>568.0</v>
      </c>
      <c r="G2263" s="152" t="str">
        <f>IFERROR(__xludf.DUMMYFUNCTION("TRIM(REGEXREPLACE(C2263, ""[0-9]+[a-f]?\."", """"))"),"")</f>
        <v/>
      </c>
      <c r="H2263" s="152" t="str">
        <f>IFERROR(__xludf.DUMMYFUNCTION("TRIM(REGEXREPLACE(D2263, ""[0-9]+[a-f]?\."", """"))"),"")</f>
        <v/>
      </c>
      <c r="I2263" s="152" t="str">
        <f>IFERROR(__xludf.DUMMYFUNCTION("TRIM(REGEXREPLACE(E2263, ""[0-9]+[a-f]?\."", """"))"),"")</f>
        <v/>
      </c>
      <c r="J2263" s="152" t="str">
        <f t="shared" ref="J2263:L2263" si="458">$F2263 &amp; ". " &amp;G2263</f>
        <v>568. </v>
      </c>
      <c r="K2263" s="152" t="str">
        <f t="shared" si="458"/>
        <v>568. </v>
      </c>
      <c r="L2263" s="152" t="str">
        <f t="shared" si="458"/>
        <v>568. </v>
      </c>
    </row>
    <row r="2264" hidden="1">
      <c r="A2264" s="338"/>
      <c r="B2264" s="339"/>
      <c r="C2264" s="369"/>
      <c r="D2264" s="341"/>
      <c r="E2264" s="341"/>
    </row>
    <row r="2265" hidden="1">
      <c r="A2265" s="356"/>
      <c r="B2265" s="357"/>
      <c r="C2265" s="357"/>
      <c r="D2265" s="357"/>
      <c r="E2265" s="357"/>
    </row>
    <row r="2266" hidden="1">
      <c r="A2266" s="338"/>
      <c r="B2266" s="339"/>
      <c r="C2266" s="369"/>
      <c r="D2266" s="341"/>
      <c r="E2266" s="341"/>
    </row>
    <row r="2267" hidden="1">
      <c r="A2267" s="351"/>
      <c r="B2267" s="352"/>
      <c r="C2267" s="352"/>
      <c r="D2267" s="352"/>
      <c r="E2267" s="352"/>
      <c r="F2267" s="161">
        <v>569.0</v>
      </c>
      <c r="G2267" s="152" t="str">
        <f>IFERROR(__xludf.DUMMYFUNCTION("TRIM(REGEXREPLACE(C2267, ""[0-9]+[a-f]?\."", """"))"),"")</f>
        <v/>
      </c>
      <c r="H2267" s="152" t="str">
        <f>IFERROR(__xludf.DUMMYFUNCTION("TRIM(REGEXREPLACE(D2267, ""[0-9]+[a-f]?\."", """"))"),"")</f>
        <v/>
      </c>
      <c r="I2267" s="152" t="str">
        <f>IFERROR(__xludf.DUMMYFUNCTION("TRIM(REGEXREPLACE(E2267, ""[0-9]+[a-f]?\."", """"))"),"")</f>
        <v/>
      </c>
      <c r="J2267" s="152" t="str">
        <f t="shared" ref="J2267:L2267" si="459">$F2267 &amp; ". " &amp;G2267</f>
        <v>569. </v>
      </c>
      <c r="K2267" s="152" t="str">
        <f t="shared" si="459"/>
        <v>569. </v>
      </c>
      <c r="L2267" s="152" t="str">
        <f t="shared" si="459"/>
        <v>569. </v>
      </c>
    </row>
    <row r="2268" hidden="1">
      <c r="A2268" s="351"/>
      <c r="B2268" s="352"/>
      <c r="C2268" s="352"/>
      <c r="D2268" s="364"/>
      <c r="E2268" s="364"/>
      <c r="F2268" s="161">
        <v>570.0</v>
      </c>
      <c r="G2268" s="152" t="str">
        <f>IFERROR(__xludf.DUMMYFUNCTION("TRIM(REGEXREPLACE(C2268, ""[0-9]+[a-f]?\."", """"))"),"")</f>
        <v/>
      </c>
      <c r="H2268" s="152" t="str">
        <f>IFERROR(__xludf.DUMMYFUNCTION("TRIM(REGEXREPLACE(D2268, ""[0-9]+[a-f]?\."", """"))"),"")</f>
        <v/>
      </c>
      <c r="I2268" s="152" t="str">
        <f>IFERROR(__xludf.DUMMYFUNCTION("TRIM(REGEXREPLACE(E2268, ""[0-9]+[a-f]?\."", """"))"),"")</f>
        <v/>
      </c>
      <c r="J2268" s="152" t="str">
        <f t="shared" ref="J2268:L2268" si="460">$F2268 &amp; ". " &amp;G2268</f>
        <v>570. </v>
      </c>
      <c r="K2268" s="152" t="str">
        <f t="shared" si="460"/>
        <v>570. </v>
      </c>
      <c r="L2268" s="152" t="str">
        <f t="shared" si="460"/>
        <v>570. </v>
      </c>
    </row>
    <row r="2269" hidden="1">
      <c r="A2269" s="351"/>
      <c r="B2269" s="352"/>
      <c r="C2269" s="352"/>
      <c r="D2269" s="352"/>
      <c r="E2269" s="352"/>
      <c r="F2269" s="161">
        <v>571.0</v>
      </c>
      <c r="G2269" s="152" t="str">
        <f>IFERROR(__xludf.DUMMYFUNCTION("TRIM(REGEXREPLACE(C2269, ""[0-9]+[a-f]?\."", """"))"),"")</f>
        <v/>
      </c>
      <c r="H2269" s="152" t="str">
        <f>IFERROR(__xludf.DUMMYFUNCTION("TRIM(REGEXREPLACE(D2269, ""[0-9]+[a-f]?\."", """"))"),"")</f>
        <v/>
      </c>
      <c r="I2269" s="152" t="str">
        <f>IFERROR(__xludf.DUMMYFUNCTION("TRIM(REGEXREPLACE(E2269, ""[0-9]+[a-f]?\."", """"))"),"")</f>
        <v/>
      </c>
      <c r="J2269" s="152" t="str">
        <f t="shared" ref="J2269:L2269" si="461">$F2269 &amp; ". " &amp;G2269</f>
        <v>571. </v>
      </c>
      <c r="K2269" s="152" t="str">
        <f t="shared" si="461"/>
        <v>571. </v>
      </c>
      <c r="L2269" s="152" t="str">
        <f t="shared" si="461"/>
        <v>571. </v>
      </c>
    </row>
    <row r="2270" hidden="1">
      <c r="A2270" s="351"/>
      <c r="B2270" s="352"/>
      <c r="C2270" s="352"/>
      <c r="D2270" s="364"/>
      <c r="E2270" s="364"/>
      <c r="F2270" s="161">
        <v>572.0</v>
      </c>
      <c r="G2270" s="152" t="str">
        <f>IFERROR(__xludf.DUMMYFUNCTION("TRIM(REGEXREPLACE(C2270, ""[0-9]+[a-f]?\."", """"))"),"")</f>
        <v/>
      </c>
      <c r="H2270" s="152" t="str">
        <f>IFERROR(__xludf.DUMMYFUNCTION("TRIM(REGEXREPLACE(D2270, ""[0-9]+[a-f]?\."", """"))"),"")</f>
        <v/>
      </c>
      <c r="I2270" s="152" t="str">
        <f>IFERROR(__xludf.DUMMYFUNCTION("TRIM(REGEXREPLACE(E2270, ""[0-9]+[a-f]?\."", """"))"),"")</f>
        <v/>
      </c>
      <c r="J2270" s="152" t="str">
        <f t="shared" ref="J2270:L2270" si="462">$F2270 &amp; ". " &amp;G2270</f>
        <v>572. </v>
      </c>
      <c r="K2270" s="152" t="str">
        <f t="shared" si="462"/>
        <v>572. </v>
      </c>
      <c r="L2270" s="152" t="str">
        <f t="shared" si="462"/>
        <v>572. </v>
      </c>
    </row>
    <row r="2271" hidden="1">
      <c r="A2271" s="351"/>
      <c r="B2271" s="352"/>
      <c r="C2271" s="352"/>
      <c r="D2271" s="352"/>
      <c r="E2271" s="352"/>
      <c r="F2271" s="161">
        <v>573.0</v>
      </c>
      <c r="G2271" s="152" t="str">
        <f>IFERROR(__xludf.DUMMYFUNCTION("TRIM(REGEXREPLACE(C2271, ""[0-9]+[a-f]?\."", """"))"),"")</f>
        <v/>
      </c>
      <c r="H2271" s="152" t="str">
        <f>IFERROR(__xludf.DUMMYFUNCTION("TRIM(REGEXREPLACE(D2271, ""[0-9]+[a-f]?\."", """"))"),"")</f>
        <v/>
      </c>
      <c r="I2271" s="152" t="str">
        <f>IFERROR(__xludf.DUMMYFUNCTION("TRIM(REGEXREPLACE(E2271, ""[0-9]+[a-f]?\."", """"))"),"")</f>
        <v/>
      </c>
      <c r="J2271" s="152" t="str">
        <f t="shared" ref="J2271:L2271" si="463">$F2271 &amp; ". " &amp;G2271</f>
        <v>573. </v>
      </c>
      <c r="K2271" s="152" t="str">
        <f t="shared" si="463"/>
        <v>573. </v>
      </c>
      <c r="L2271" s="152" t="str">
        <f t="shared" si="463"/>
        <v>573. </v>
      </c>
    </row>
    <row r="2272" hidden="1">
      <c r="A2272" s="351"/>
      <c r="B2272" s="352"/>
      <c r="C2272" s="352"/>
      <c r="D2272" s="364"/>
      <c r="E2272" s="364"/>
      <c r="F2272" s="161">
        <v>574.0</v>
      </c>
      <c r="G2272" s="152" t="str">
        <f>IFERROR(__xludf.DUMMYFUNCTION("TRIM(REGEXREPLACE(C2272, ""[0-9]+[a-f]?\."", """"))"),"")</f>
        <v/>
      </c>
      <c r="H2272" s="152" t="str">
        <f>IFERROR(__xludf.DUMMYFUNCTION("TRIM(REGEXREPLACE(D2272, ""[0-9]+[a-f]?\."", """"))"),"")</f>
        <v/>
      </c>
      <c r="I2272" s="152" t="str">
        <f>IFERROR(__xludf.DUMMYFUNCTION("TRIM(REGEXREPLACE(E2272, ""[0-9]+[a-f]?\."", """"))"),"")</f>
        <v/>
      </c>
      <c r="J2272" s="152" t="str">
        <f t="shared" ref="J2272:L2272" si="464">$F2272 &amp; ". " &amp;G2272</f>
        <v>574. </v>
      </c>
      <c r="K2272" s="152" t="str">
        <f t="shared" si="464"/>
        <v>574. </v>
      </c>
      <c r="L2272" s="152" t="str">
        <f t="shared" si="464"/>
        <v>574. </v>
      </c>
    </row>
    <row r="2273" hidden="1">
      <c r="A2273" s="356"/>
      <c r="B2273" s="359"/>
      <c r="C2273" s="359"/>
      <c r="D2273" s="359"/>
      <c r="E2273" s="359"/>
    </row>
    <row r="2274" hidden="1">
      <c r="A2274" s="152"/>
      <c r="B2274" s="355"/>
      <c r="C2274" s="355"/>
      <c r="D2274" s="355"/>
      <c r="E2274" s="355"/>
    </row>
    <row r="2275" hidden="1">
      <c r="A2275" s="351"/>
      <c r="B2275" s="352"/>
      <c r="C2275" s="352"/>
      <c r="D2275" s="352"/>
      <c r="E2275" s="352"/>
      <c r="F2275" s="161">
        <v>575.0</v>
      </c>
      <c r="G2275" s="152" t="str">
        <f>IFERROR(__xludf.DUMMYFUNCTION("TRIM(REGEXREPLACE(C2275, ""[0-9]+[a-f]?\."", """"))"),"")</f>
        <v/>
      </c>
      <c r="H2275" s="152" t="str">
        <f>IFERROR(__xludf.DUMMYFUNCTION("TRIM(REGEXREPLACE(D2275, ""[0-9]+[a-f]?\."", """"))"),"")</f>
        <v/>
      </c>
      <c r="I2275" s="152" t="str">
        <f>IFERROR(__xludf.DUMMYFUNCTION("TRIM(REGEXREPLACE(E2275, ""[0-9]+[a-f]?\."", """"))"),"")</f>
        <v/>
      </c>
      <c r="J2275" s="152" t="str">
        <f t="shared" ref="J2275:L2275" si="465">$F2275 &amp; ". " &amp;G2275</f>
        <v>575. </v>
      </c>
      <c r="K2275" s="152" t="str">
        <f t="shared" si="465"/>
        <v>575. </v>
      </c>
      <c r="L2275" s="152" t="str">
        <f t="shared" si="465"/>
        <v>575. </v>
      </c>
    </row>
    <row r="2276" hidden="1">
      <c r="A2276" s="342"/>
      <c r="B2276" s="343"/>
      <c r="C2276" s="343"/>
      <c r="D2276" s="343"/>
      <c r="E2276" s="343"/>
      <c r="F2276" s="161">
        <v>576.0</v>
      </c>
      <c r="G2276" s="152" t="str">
        <f>IFERROR(__xludf.DUMMYFUNCTION("TRIM(REGEXREPLACE(C2276, ""[0-9]+[a-f]?\."", """"))"),"")</f>
        <v/>
      </c>
      <c r="H2276" s="152" t="str">
        <f>IFERROR(__xludf.DUMMYFUNCTION("TRIM(REGEXREPLACE(D2276, ""[0-9]+[a-f]?\."", """"))"),"")</f>
        <v/>
      </c>
      <c r="I2276" s="152" t="str">
        <f>IFERROR(__xludf.DUMMYFUNCTION("TRIM(REGEXREPLACE(E2276, ""[0-9]+[a-f]?\."", """"))"),"")</f>
        <v/>
      </c>
      <c r="J2276" s="152" t="str">
        <f t="shared" ref="J2276:L2276" si="466">$F2276 &amp; ". " &amp;G2276</f>
        <v>576. </v>
      </c>
      <c r="K2276" s="152" t="str">
        <f t="shared" si="466"/>
        <v>576. </v>
      </c>
      <c r="L2276" s="152" t="str">
        <f t="shared" si="466"/>
        <v>576. </v>
      </c>
    </row>
    <row r="2277" hidden="1">
      <c r="A2277" s="351"/>
      <c r="B2277" s="352"/>
      <c r="C2277" s="352"/>
      <c r="D2277" s="352"/>
      <c r="E2277" s="352"/>
      <c r="F2277" s="161">
        <v>577.0</v>
      </c>
      <c r="G2277" s="152" t="str">
        <f>IFERROR(__xludf.DUMMYFUNCTION("TRIM(REGEXREPLACE(C2277, ""[0-9]+[a-f]?\."", """"))"),"")</f>
        <v/>
      </c>
      <c r="H2277" s="152" t="str">
        <f>IFERROR(__xludf.DUMMYFUNCTION("TRIM(REGEXREPLACE(D2277, ""[0-9]+[a-f]?\."", """"))"),"")</f>
        <v/>
      </c>
      <c r="I2277" s="152" t="str">
        <f>IFERROR(__xludf.DUMMYFUNCTION("TRIM(REGEXREPLACE(E2277, ""[0-9]+[a-f]?\."", """"))"),"")</f>
        <v/>
      </c>
      <c r="J2277" s="152" t="str">
        <f t="shared" ref="J2277:L2277" si="467">$F2277 &amp; ". " &amp;G2277</f>
        <v>577. </v>
      </c>
      <c r="K2277" s="152" t="str">
        <f t="shared" si="467"/>
        <v>577. </v>
      </c>
      <c r="L2277" s="152" t="str">
        <f t="shared" si="467"/>
        <v>577. </v>
      </c>
    </row>
    <row r="2278" hidden="1">
      <c r="A2278" s="344"/>
      <c r="B2278" s="345"/>
      <c r="C2278" s="345"/>
      <c r="D2278" s="345"/>
      <c r="E2278" s="345"/>
      <c r="F2278" s="161">
        <v>578.0</v>
      </c>
      <c r="G2278" s="152" t="str">
        <f>IFERROR(__xludf.DUMMYFUNCTION("TRIM(REGEXREPLACE(C2278, ""[0-9]+[a-f]?\."", """"))"),"")</f>
        <v/>
      </c>
      <c r="H2278" s="152" t="str">
        <f>IFERROR(__xludf.DUMMYFUNCTION("TRIM(REGEXREPLACE(D2278, ""[0-9]+[a-f]?\."", """"))"),"")</f>
        <v/>
      </c>
      <c r="I2278" s="152" t="str">
        <f>IFERROR(__xludf.DUMMYFUNCTION("TRIM(REGEXREPLACE(E2278, ""[0-9]+[a-f]?\."", """"))"),"")</f>
        <v/>
      </c>
      <c r="J2278" s="152" t="str">
        <f t="shared" ref="J2278:L2278" si="468">$F2278 &amp; ". " &amp;G2278</f>
        <v>578. </v>
      </c>
      <c r="K2278" s="152" t="str">
        <f t="shared" si="468"/>
        <v>578. </v>
      </c>
      <c r="L2278" s="152" t="str">
        <f t="shared" si="468"/>
        <v>578. </v>
      </c>
    </row>
    <row r="2279" hidden="1">
      <c r="A2279" s="351"/>
      <c r="B2279" s="352"/>
      <c r="C2279" s="352"/>
      <c r="D2279" s="352"/>
      <c r="E2279" s="352"/>
      <c r="F2279" s="161">
        <v>579.0</v>
      </c>
      <c r="G2279" s="152" t="str">
        <f>IFERROR(__xludf.DUMMYFUNCTION("TRIM(REGEXREPLACE(C2279, ""[0-9]+[a-f]?\."", """"))"),"")</f>
        <v/>
      </c>
      <c r="H2279" s="152" t="str">
        <f>IFERROR(__xludf.DUMMYFUNCTION("TRIM(REGEXREPLACE(D2279, ""[0-9]+[a-f]?\."", """"))"),"")</f>
        <v/>
      </c>
      <c r="I2279" s="152" t="str">
        <f>IFERROR(__xludf.DUMMYFUNCTION("TRIM(REGEXREPLACE(E2279, ""[0-9]+[a-f]?\."", """"))"),"")</f>
        <v/>
      </c>
      <c r="J2279" s="152" t="str">
        <f t="shared" ref="J2279:L2279" si="469">$F2279 &amp; ". " &amp;G2279</f>
        <v>579. </v>
      </c>
      <c r="K2279" s="152" t="str">
        <f t="shared" si="469"/>
        <v>579. </v>
      </c>
      <c r="L2279" s="152" t="str">
        <f t="shared" si="469"/>
        <v>579. </v>
      </c>
    </row>
    <row r="2280" hidden="1">
      <c r="A2280" s="351"/>
      <c r="B2280" s="352"/>
      <c r="C2280" s="352"/>
      <c r="D2280" s="352"/>
      <c r="E2280" s="352"/>
      <c r="F2280" s="161">
        <v>580.0</v>
      </c>
      <c r="G2280" s="152" t="str">
        <f>IFERROR(__xludf.DUMMYFUNCTION("TRIM(REGEXREPLACE(C2280, ""[0-9]+[a-f]?\."", """"))"),"")</f>
        <v/>
      </c>
      <c r="H2280" s="152" t="str">
        <f>IFERROR(__xludf.DUMMYFUNCTION("TRIM(REGEXREPLACE(D2280, ""[0-9]+[a-f]?\."", """"))"),"")</f>
        <v/>
      </c>
      <c r="I2280" s="152" t="str">
        <f>IFERROR(__xludf.DUMMYFUNCTION("TRIM(REGEXREPLACE(E2280, ""[0-9]+[a-f]?\."", """"))"),"")</f>
        <v/>
      </c>
      <c r="J2280" s="152" t="str">
        <f t="shared" ref="J2280:L2280" si="470">$F2280 &amp; ". " &amp;G2280</f>
        <v>580. </v>
      </c>
      <c r="K2280" s="152" t="str">
        <f t="shared" si="470"/>
        <v>580. </v>
      </c>
      <c r="L2280" s="152" t="str">
        <f t="shared" si="470"/>
        <v>580. </v>
      </c>
    </row>
    <row r="2281" hidden="1">
      <c r="A2281" s="338"/>
      <c r="B2281" s="339"/>
      <c r="C2281" s="369"/>
      <c r="D2281" s="341"/>
      <c r="E2281" s="341"/>
    </row>
    <row r="2282" hidden="1">
      <c r="A2282" s="344"/>
      <c r="B2282" s="345"/>
      <c r="C2282" s="345"/>
      <c r="D2282" s="345"/>
      <c r="E2282" s="345"/>
      <c r="F2282" s="161">
        <v>581.0</v>
      </c>
      <c r="G2282" s="152" t="str">
        <f>IFERROR(__xludf.DUMMYFUNCTION("TRIM(REGEXREPLACE(C2282, ""[0-9]+[a-f]?\."", """"))"),"")</f>
        <v/>
      </c>
      <c r="H2282" s="152" t="str">
        <f>IFERROR(__xludf.DUMMYFUNCTION("TRIM(REGEXREPLACE(D2282, ""[0-9]+[a-f]?\."", """"))"),"")</f>
        <v/>
      </c>
      <c r="I2282" s="152" t="str">
        <f>IFERROR(__xludf.DUMMYFUNCTION("TRIM(REGEXREPLACE(E2282, ""[0-9]+[a-f]?\."", """"))"),"")</f>
        <v/>
      </c>
      <c r="J2282" s="152" t="str">
        <f t="shared" ref="J2282:L2282" si="471">$F2282 &amp; ". " &amp;G2282</f>
        <v>581. </v>
      </c>
      <c r="K2282" s="152" t="str">
        <f t="shared" si="471"/>
        <v>581. </v>
      </c>
      <c r="L2282" s="152" t="str">
        <f t="shared" si="471"/>
        <v>581. </v>
      </c>
    </row>
    <row r="2283" hidden="1">
      <c r="A2283" s="344"/>
      <c r="B2283" s="345"/>
      <c r="C2283" s="345"/>
      <c r="D2283" s="345"/>
      <c r="E2283" s="345"/>
      <c r="F2283" s="161">
        <v>582.0</v>
      </c>
      <c r="G2283" s="152" t="str">
        <f>IFERROR(__xludf.DUMMYFUNCTION("TRIM(REGEXREPLACE(C2283, ""[0-9]+[a-f]?\."", """"))"),"")</f>
        <v/>
      </c>
      <c r="H2283" s="152" t="str">
        <f>IFERROR(__xludf.DUMMYFUNCTION("TRIM(REGEXREPLACE(D2283, ""[0-9]+[a-f]?\."", """"))"),"")</f>
        <v/>
      </c>
      <c r="I2283" s="152" t="str">
        <f>IFERROR(__xludf.DUMMYFUNCTION("TRIM(REGEXREPLACE(E2283, ""[0-9]+[a-f]?\."", """"))"),"")</f>
        <v/>
      </c>
      <c r="J2283" s="152" t="str">
        <f t="shared" ref="J2283:L2283" si="472">$F2283 &amp; ". " &amp;G2283</f>
        <v>582. </v>
      </c>
      <c r="K2283" s="152" t="str">
        <f t="shared" si="472"/>
        <v>582. </v>
      </c>
      <c r="L2283" s="152" t="str">
        <f t="shared" si="472"/>
        <v>582. </v>
      </c>
    </row>
    <row r="2284" hidden="1">
      <c r="A2284" s="351"/>
      <c r="B2284" s="352"/>
      <c r="C2284" s="352"/>
      <c r="D2284" s="352"/>
      <c r="E2284" s="352"/>
      <c r="F2284" s="161">
        <v>583.0</v>
      </c>
      <c r="G2284" s="152" t="str">
        <f>IFERROR(__xludf.DUMMYFUNCTION("TRIM(REGEXREPLACE(C2284, ""[0-9]+[a-f]?\."", """"))"),"")</f>
        <v/>
      </c>
      <c r="H2284" s="152" t="str">
        <f>IFERROR(__xludf.DUMMYFUNCTION("TRIM(REGEXREPLACE(D2284, ""[0-9]+[a-f]?\."", """"))"),"")</f>
        <v/>
      </c>
      <c r="I2284" s="152" t="str">
        <f>IFERROR(__xludf.DUMMYFUNCTION("TRIM(REGEXREPLACE(E2284, ""[0-9]+[a-f]?\."", """"))"),"")</f>
        <v/>
      </c>
      <c r="J2284" s="152" t="str">
        <f t="shared" ref="J2284:L2284" si="473">$F2284 &amp; ". " &amp;G2284</f>
        <v>583. </v>
      </c>
      <c r="K2284" s="152" t="str">
        <f t="shared" si="473"/>
        <v>583. </v>
      </c>
      <c r="L2284" s="152" t="str">
        <f t="shared" si="473"/>
        <v>583. </v>
      </c>
    </row>
    <row r="2285" hidden="1">
      <c r="A2285" s="351"/>
      <c r="B2285" s="352"/>
      <c r="C2285" s="352"/>
      <c r="D2285" s="352"/>
      <c r="E2285" s="352"/>
      <c r="F2285" s="161">
        <v>584.0</v>
      </c>
      <c r="G2285" s="152" t="str">
        <f>IFERROR(__xludf.DUMMYFUNCTION("TRIM(REGEXREPLACE(C2285, ""[0-9]+[a-f]?\."", """"))"),"")</f>
        <v/>
      </c>
      <c r="H2285" s="152" t="str">
        <f>IFERROR(__xludf.DUMMYFUNCTION("TRIM(REGEXREPLACE(D2285, ""[0-9]+[a-f]?\."", """"))"),"")</f>
        <v/>
      </c>
      <c r="I2285" s="152" t="str">
        <f>IFERROR(__xludf.DUMMYFUNCTION("TRIM(REGEXREPLACE(E2285, ""[0-9]+[a-f]?\."", """"))"),"")</f>
        <v/>
      </c>
      <c r="J2285" s="152" t="str">
        <f t="shared" ref="J2285:L2285" si="474">$F2285 &amp; ". " &amp;G2285</f>
        <v>584. </v>
      </c>
      <c r="K2285" s="152" t="str">
        <f t="shared" si="474"/>
        <v>584. </v>
      </c>
      <c r="L2285" s="152" t="str">
        <f t="shared" si="474"/>
        <v>584. </v>
      </c>
    </row>
    <row r="2286" hidden="1">
      <c r="A2286" s="342"/>
      <c r="B2286" s="343"/>
      <c r="C2286" s="343"/>
      <c r="D2286" s="343"/>
      <c r="E2286" s="343"/>
      <c r="F2286" s="161">
        <v>585.0</v>
      </c>
      <c r="G2286" s="152" t="str">
        <f>IFERROR(__xludf.DUMMYFUNCTION("TRIM(REGEXREPLACE(C2286, ""[0-9]+[a-f]?\."", """"))"),"")</f>
        <v/>
      </c>
      <c r="H2286" s="152" t="str">
        <f>IFERROR(__xludf.DUMMYFUNCTION("TRIM(REGEXREPLACE(D2286, ""[0-9]+[a-f]?\."", """"))"),"")</f>
        <v/>
      </c>
      <c r="I2286" s="152" t="str">
        <f>IFERROR(__xludf.DUMMYFUNCTION("TRIM(REGEXREPLACE(E2286, ""[0-9]+[a-f]?\."", """"))"),"")</f>
        <v/>
      </c>
      <c r="J2286" s="152" t="str">
        <f t="shared" ref="J2286:L2286" si="475">$F2286 &amp; ". " &amp;G2286</f>
        <v>585. </v>
      </c>
      <c r="K2286" s="152" t="str">
        <f t="shared" si="475"/>
        <v>585. </v>
      </c>
      <c r="L2286" s="152" t="str">
        <f t="shared" si="475"/>
        <v>585. </v>
      </c>
    </row>
    <row r="2287" hidden="1">
      <c r="A2287" s="344"/>
      <c r="B2287" s="345"/>
      <c r="C2287" s="345"/>
      <c r="D2287" s="345"/>
      <c r="E2287" s="345"/>
      <c r="F2287" s="161">
        <v>586.0</v>
      </c>
      <c r="G2287" s="152" t="str">
        <f>IFERROR(__xludf.DUMMYFUNCTION("TRIM(REGEXREPLACE(C2287, ""[0-9]+[a-f]?\."", """"))"),"")</f>
        <v/>
      </c>
      <c r="H2287" s="152" t="str">
        <f>IFERROR(__xludf.DUMMYFUNCTION("TRIM(REGEXREPLACE(D2287, ""[0-9]+[a-f]?\."", """"))"),"")</f>
        <v/>
      </c>
      <c r="I2287" s="152" t="str">
        <f>IFERROR(__xludf.DUMMYFUNCTION("TRIM(REGEXREPLACE(E2287, ""[0-9]+[a-f]?\."", """"))"),"")</f>
        <v/>
      </c>
      <c r="J2287" s="152" t="str">
        <f t="shared" ref="J2287:L2287" si="476">$F2287 &amp; ". " &amp;G2287</f>
        <v>586. </v>
      </c>
      <c r="K2287" s="152" t="str">
        <f t="shared" si="476"/>
        <v>586. </v>
      </c>
      <c r="L2287" s="152" t="str">
        <f t="shared" si="476"/>
        <v>586. </v>
      </c>
    </row>
    <row r="2288" hidden="1">
      <c r="A2288" s="351"/>
      <c r="B2288" s="352"/>
      <c r="C2288" s="352"/>
      <c r="D2288" s="352"/>
      <c r="E2288" s="352"/>
      <c r="F2288" s="161">
        <v>587.0</v>
      </c>
      <c r="G2288" s="152" t="str">
        <f>IFERROR(__xludf.DUMMYFUNCTION("TRIM(REGEXREPLACE(C2288, ""[0-9]+[a-f]?\."", """"))"),"")</f>
        <v/>
      </c>
      <c r="H2288" s="152" t="str">
        <f>IFERROR(__xludf.DUMMYFUNCTION("TRIM(REGEXREPLACE(D2288, ""[0-9]+[a-f]?\."", """"))"),"")</f>
        <v/>
      </c>
      <c r="I2288" s="152" t="str">
        <f>IFERROR(__xludf.DUMMYFUNCTION("TRIM(REGEXREPLACE(E2288, ""[0-9]+[a-f]?\."", """"))"),"")</f>
        <v/>
      </c>
      <c r="J2288" s="152" t="str">
        <f t="shared" ref="J2288:L2288" si="477">$F2288 &amp; ". " &amp;G2288</f>
        <v>587. </v>
      </c>
      <c r="K2288" s="152" t="str">
        <f t="shared" si="477"/>
        <v>587. </v>
      </c>
      <c r="L2288" s="152" t="str">
        <f t="shared" si="477"/>
        <v>587. </v>
      </c>
    </row>
    <row r="2289" hidden="1">
      <c r="A2289" s="351"/>
      <c r="B2289" s="352"/>
      <c r="C2289" s="352"/>
      <c r="D2289" s="352"/>
      <c r="E2289" s="352"/>
      <c r="F2289" s="161">
        <v>588.0</v>
      </c>
      <c r="G2289" s="152" t="str">
        <f>IFERROR(__xludf.DUMMYFUNCTION("TRIM(REGEXREPLACE(C2289, ""[0-9]+[a-f]?\."", """"))"),"")</f>
        <v/>
      </c>
      <c r="H2289" s="152" t="str">
        <f>IFERROR(__xludf.DUMMYFUNCTION("TRIM(REGEXREPLACE(D2289, ""[0-9]+[a-f]?\."", """"))"),"")</f>
        <v/>
      </c>
      <c r="I2289" s="152" t="str">
        <f>IFERROR(__xludf.DUMMYFUNCTION("TRIM(REGEXREPLACE(E2289, ""[0-9]+[a-f]?\."", """"))"),"")</f>
        <v/>
      </c>
      <c r="J2289" s="152" t="str">
        <f t="shared" ref="J2289:L2289" si="478">$F2289 &amp; ". " &amp;G2289</f>
        <v>588. </v>
      </c>
      <c r="K2289" s="152" t="str">
        <f t="shared" si="478"/>
        <v>588. </v>
      </c>
      <c r="L2289" s="152" t="str">
        <f t="shared" si="478"/>
        <v>588. </v>
      </c>
    </row>
    <row r="2290" hidden="1">
      <c r="A2290" s="338"/>
      <c r="B2290" s="339"/>
      <c r="C2290" s="341"/>
      <c r="D2290" s="341"/>
      <c r="E2290" s="341"/>
    </row>
    <row r="2291" hidden="1">
      <c r="A2291" s="338"/>
      <c r="B2291" s="339"/>
      <c r="C2291" s="341"/>
      <c r="D2291" s="341"/>
      <c r="E2291" s="341"/>
    </row>
    <row r="2292" hidden="1">
      <c r="A2292" s="152"/>
      <c r="B2292" s="355"/>
      <c r="C2292" s="355"/>
      <c r="D2292" s="355"/>
      <c r="E2292" s="355"/>
    </row>
    <row r="2293" hidden="1">
      <c r="A2293" s="338"/>
      <c r="B2293" s="339"/>
      <c r="C2293" s="341"/>
      <c r="D2293" s="341"/>
      <c r="E2293" s="341"/>
    </row>
    <row r="2294" hidden="1">
      <c r="A2294" s="344"/>
      <c r="B2294" s="345"/>
      <c r="C2294" s="345"/>
      <c r="D2294" s="345"/>
      <c r="E2294" s="345"/>
      <c r="F2294" s="161">
        <v>589.0</v>
      </c>
      <c r="G2294" s="152" t="str">
        <f>IFERROR(__xludf.DUMMYFUNCTION("TRIM(REGEXREPLACE(C2294, ""[0-9]+[a-f]?\."", """"))"),"")</f>
        <v/>
      </c>
      <c r="H2294" s="152" t="str">
        <f>IFERROR(__xludf.DUMMYFUNCTION("TRIM(REGEXREPLACE(D2294, ""[0-9]+[a-f]?\."", """"))"),"")</f>
        <v/>
      </c>
      <c r="I2294" s="152" t="str">
        <f>IFERROR(__xludf.DUMMYFUNCTION("TRIM(REGEXREPLACE(E2294, ""[0-9]+[a-f]?\."", """"))"),"")</f>
        <v/>
      </c>
      <c r="J2294" s="152" t="str">
        <f t="shared" ref="J2294:L2294" si="479">$F2294 &amp; ". " &amp;G2294</f>
        <v>589. </v>
      </c>
      <c r="K2294" s="152" t="str">
        <f t="shared" si="479"/>
        <v>589. </v>
      </c>
      <c r="L2294" s="152" t="str">
        <f t="shared" si="479"/>
        <v>589. </v>
      </c>
    </row>
    <row r="2295" hidden="1">
      <c r="A2295" s="344"/>
      <c r="B2295" s="345"/>
      <c r="C2295" s="345"/>
      <c r="D2295" s="345"/>
      <c r="E2295" s="345"/>
      <c r="F2295" s="161">
        <v>590.0</v>
      </c>
      <c r="G2295" s="152" t="str">
        <f>IFERROR(__xludf.DUMMYFUNCTION("TRIM(REGEXREPLACE(C2295, ""[0-9]+[a-f]?\."", """"))"),"")</f>
        <v/>
      </c>
      <c r="H2295" s="152" t="str">
        <f>IFERROR(__xludf.DUMMYFUNCTION("TRIM(REGEXREPLACE(D2295, ""[0-9]+[a-f]?\."", """"))"),"")</f>
        <v/>
      </c>
      <c r="I2295" s="152" t="str">
        <f>IFERROR(__xludf.DUMMYFUNCTION("TRIM(REGEXREPLACE(E2295, ""[0-9]+[a-f]?\."", """"))"),"")</f>
        <v/>
      </c>
      <c r="J2295" s="152" t="str">
        <f t="shared" ref="J2295:L2295" si="480">$F2295 &amp; ". " &amp;G2295</f>
        <v>590. </v>
      </c>
      <c r="K2295" s="152" t="str">
        <f t="shared" si="480"/>
        <v>590. </v>
      </c>
      <c r="L2295" s="152" t="str">
        <f t="shared" si="480"/>
        <v>590. </v>
      </c>
    </row>
    <row r="2296" hidden="1">
      <c r="A2296" s="346"/>
      <c r="B2296" s="347"/>
      <c r="C2296" s="347"/>
      <c r="D2296" s="347"/>
      <c r="E2296" s="347"/>
      <c r="F2296" s="161">
        <v>591.0</v>
      </c>
      <c r="G2296" s="152" t="str">
        <f>IFERROR(__xludf.DUMMYFUNCTION("TRIM(REGEXREPLACE(C2296, ""[0-9]+[a-f]?\."", """"))"),"")</f>
        <v/>
      </c>
      <c r="H2296" s="152" t="str">
        <f>IFERROR(__xludf.DUMMYFUNCTION("TRIM(REGEXREPLACE(D2296, ""[0-9]+[a-f]?\."", """"))"),"")</f>
        <v/>
      </c>
      <c r="I2296" s="152" t="str">
        <f>IFERROR(__xludf.DUMMYFUNCTION("TRIM(REGEXREPLACE(E2296, ""[0-9]+[a-f]?\."", """"))"),"")</f>
        <v/>
      </c>
      <c r="J2296" s="152" t="str">
        <f t="shared" ref="J2296:L2296" si="481">$F2296 &amp; ". " &amp;G2296</f>
        <v>591. </v>
      </c>
      <c r="K2296" s="152" t="str">
        <f t="shared" si="481"/>
        <v>591. </v>
      </c>
      <c r="L2296" s="152" t="str">
        <f t="shared" si="481"/>
        <v>591. </v>
      </c>
    </row>
    <row r="2297" hidden="1">
      <c r="A2297" s="338"/>
      <c r="B2297" s="339"/>
      <c r="C2297" s="341"/>
      <c r="D2297" s="341"/>
      <c r="E2297" s="341"/>
    </row>
    <row r="2298" hidden="1">
      <c r="A2298" s="344"/>
      <c r="B2298" s="345"/>
      <c r="C2298" s="345"/>
      <c r="D2298" s="345"/>
      <c r="E2298" s="345"/>
      <c r="F2298" s="161">
        <v>592.0</v>
      </c>
      <c r="G2298" s="152" t="str">
        <f>IFERROR(__xludf.DUMMYFUNCTION("TRIM(REGEXREPLACE(C2298, ""[0-9]+[a-f]?\."", """"))"),"")</f>
        <v/>
      </c>
      <c r="H2298" s="152" t="str">
        <f>IFERROR(__xludf.DUMMYFUNCTION("TRIM(REGEXREPLACE(D2298, ""[0-9]+[a-f]?\."", """"))"),"")</f>
        <v/>
      </c>
      <c r="I2298" s="152" t="str">
        <f>IFERROR(__xludf.DUMMYFUNCTION("TRIM(REGEXREPLACE(E2298, ""[0-9]+[a-f]?\."", """"))"),"")</f>
        <v/>
      </c>
      <c r="J2298" s="152" t="str">
        <f t="shared" ref="J2298:L2298" si="482">$F2298 &amp; ". " &amp;G2298</f>
        <v>592. </v>
      </c>
      <c r="K2298" s="152" t="str">
        <f t="shared" si="482"/>
        <v>592. </v>
      </c>
      <c r="L2298" s="152" t="str">
        <f t="shared" si="482"/>
        <v>592. </v>
      </c>
    </row>
    <row r="2299" hidden="1">
      <c r="A2299" s="351"/>
      <c r="B2299" s="352"/>
      <c r="C2299" s="352"/>
      <c r="D2299" s="352"/>
      <c r="E2299" s="352"/>
      <c r="F2299" s="161">
        <v>593.0</v>
      </c>
      <c r="G2299" s="152" t="str">
        <f>IFERROR(__xludf.DUMMYFUNCTION("TRIM(REGEXREPLACE(C2299, ""[0-9]+[a-f]?\."", """"))"),"")</f>
        <v/>
      </c>
      <c r="H2299" s="152" t="str">
        <f>IFERROR(__xludf.DUMMYFUNCTION("TRIM(REGEXREPLACE(D2299, ""[0-9]+[a-f]?\."", """"))"),"")</f>
        <v/>
      </c>
      <c r="I2299" s="152" t="str">
        <f>IFERROR(__xludf.DUMMYFUNCTION("TRIM(REGEXREPLACE(E2299, ""[0-9]+[a-f]?\."", """"))"),"")</f>
        <v/>
      </c>
      <c r="J2299" s="152" t="str">
        <f t="shared" ref="J2299:L2299" si="483">$F2299 &amp; ". " &amp;G2299</f>
        <v>593. </v>
      </c>
      <c r="K2299" s="152" t="str">
        <f t="shared" si="483"/>
        <v>593. </v>
      </c>
      <c r="L2299" s="152" t="str">
        <f t="shared" si="483"/>
        <v>593. </v>
      </c>
    </row>
    <row r="2300" hidden="1">
      <c r="A2300" s="351"/>
      <c r="B2300" s="352"/>
      <c r="C2300" s="352"/>
      <c r="D2300" s="352"/>
      <c r="E2300" s="352"/>
      <c r="F2300" s="161">
        <v>594.0</v>
      </c>
      <c r="G2300" s="152" t="str">
        <f>IFERROR(__xludf.DUMMYFUNCTION("TRIM(REGEXREPLACE(C2300, ""[0-9]+[a-f]?\."", """"))"),"")</f>
        <v/>
      </c>
      <c r="H2300" s="152" t="str">
        <f>IFERROR(__xludf.DUMMYFUNCTION("TRIM(REGEXREPLACE(D2300, ""[0-9]+[a-f]?\."", """"))"),"")</f>
        <v/>
      </c>
      <c r="I2300" s="152" t="str">
        <f>IFERROR(__xludf.DUMMYFUNCTION("TRIM(REGEXREPLACE(E2300, ""[0-9]+[a-f]?\."", """"))"),"")</f>
        <v/>
      </c>
      <c r="J2300" s="152" t="str">
        <f t="shared" ref="J2300:L2300" si="484">$F2300 &amp; ". " &amp;G2300</f>
        <v>594. </v>
      </c>
      <c r="K2300" s="152" t="str">
        <f t="shared" si="484"/>
        <v>594. </v>
      </c>
      <c r="L2300" s="152" t="str">
        <f t="shared" si="484"/>
        <v>594. </v>
      </c>
    </row>
    <row r="2301" hidden="1">
      <c r="A2301" s="152"/>
      <c r="B2301" s="355"/>
      <c r="C2301" s="355"/>
      <c r="D2301" s="355"/>
      <c r="E2301" s="355"/>
    </row>
    <row r="2302" hidden="1">
      <c r="A2302" s="356"/>
      <c r="B2302" s="357"/>
      <c r="C2302" s="357"/>
      <c r="D2302" s="358"/>
      <c r="E2302" s="358"/>
    </row>
    <row r="2303" hidden="1">
      <c r="A2303" s="338"/>
      <c r="B2303" s="339"/>
      <c r="C2303" s="341"/>
      <c r="D2303" s="341"/>
      <c r="E2303" s="341"/>
    </row>
    <row r="2304" hidden="1">
      <c r="A2304" s="338"/>
      <c r="B2304" s="339"/>
      <c r="C2304" s="341"/>
      <c r="D2304" s="341"/>
      <c r="E2304" s="341"/>
    </row>
    <row r="2305" hidden="1">
      <c r="A2305" s="338"/>
      <c r="B2305" s="339"/>
      <c r="C2305" s="341"/>
      <c r="D2305" s="341"/>
      <c r="E2305" s="341"/>
    </row>
    <row r="2306" hidden="1">
      <c r="A2306" s="351"/>
      <c r="B2306" s="352"/>
      <c r="C2306" s="352"/>
      <c r="D2306" s="352"/>
      <c r="E2306" s="352"/>
      <c r="F2306" s="161">
        <v>595.0</v>
      </c>
      <c r="G2306" s="152" t="str">
        <f>IFERROR(__xludf.DUMMYFUNCTION("TRIM(REGEXREPLACE(C2306, ""[0-9]+[a-f]?\."", """"))"),"")</f>
        <v/>
      </c>
      <c r="H2306" s="152" t="str">
        <f>IFERROR(__xludf.DUMMYFUNCTION("TRIM(REGEXREPLACE(D2306, ""[0-9]+[a-f]?\."", """"))"),"")</f>
        <v/>
      </c>
      <c r="I2306" s="152" t="str">
        <f>IFERROR(__xludf.DUMMYFUNCTION("TRIM(REGEXREPLACE(E2306, ""[0-9]+[a-f]?\."", """"))"),"")</f>
        <v/>
      </c>
      <c r="J2306" s="152" t="str">
        <f t="shared" ref="J2306:L2306" si="485">$F2306 &amp; ". " &amp;G2306</f>
        <v>595. </v>
      </c>
      <c r="K2306" s="152" t="str">
        <f t="shared" si="485"/>
        <v>595. </v>
      </c>
      <c r="L2306" s="152" t="str">
        <f t="shared" si="485"/>
        <v>595. </v>
      </c>
    </row>
    <row r="2307" hidden="1">
      <c r="A2307" s="356"/>
      <c r="B2307" s="359"/>
      <c r="C2307" s="359"/>
      <c r="D2307" s="360"/>
      <c r="E2307" s="360"/>
    </row>
    <row r="2308" hidden="1">
      <c r="A2308" s="338"/>
      <c r="B2308" s="339"/>
      <c r="C2308" s="341"/>
      <c r="D2308" s="341"/>
      <c r="E2308" s="341"/>
    </row>
    <row r="2309" hidden="1">
      <c r="A2309" s="338"/>
      <c r="B2309" s="339"/>
      <c r="C2309" s="341"/>
      <c r="D2309" s="341"/>
      <c r="E2309" s="341"/>
    </row>
    <row r="2310" hidden="1">
      <c r="A2310" s="351"/>
      <c r="B2310" s="352"/>
      <c r="C2310" s="352"/>
      <c r="D2310" s="352"/>
      <c r="E2310" s="352"/>
      <c r="F2310" s="161">
        <v>596.0</v>
      </c>
      <c r="G2310" s="152" t="str">
        <f>IFERROR(__xludf.DUMMYFUNCTION("TRIM(REGEXREPLACE(C2310, ""[0-9]+[a-f]?\."", """"))"),"")</f>
        <v/>
      </c>
      <c r="H2310" s="152" t="str">
        <f>IFERROR(__xludf.DUMMYFUNCTION("TRIM(REGEXREPLACE(D2310, ""[0-9]+[a-f]?\."", """"))"),"")</f>
        <v/>
      </c>
      <c r="I2310" s="152" t="str">
        <f>IFERROR(__xludf.DUMMYFUNCTION("TRIM(REGEXREPLACE(E2310, ""[0-9]+[a-f]?\."", """"))"),"")</f>
        <v/>
      </c>
      <c r="J2310" s="152" t="str">
        <f t="shared" ref="J2310:L2310" si="486">$F2310 &amp; ". " &amp;G2310</f>
        <v>596. </v>
      </c>
      <c r="K2310" s="152" t="str">
        <f t="shared" si="486"/>
        <v>596. </v>
      </c>
      <c r="L2310" s="152" t="str">
        <f t="shared" si="486"/>
        <v>596. </v>
      </c>
    </row>
    <row r="2311" hidden="1">
      <c r="A2311" s="351"/>
      <c r="B2311" s="352"/>
      <c r="C2311" s="352"/>
      <c r="D2311" s="352"/>
      <c r="E2311" s="352"/>
      <c r="F2311" s="161">
        <v>597.0</v>
      </c>
      <c r="G2311" s="152" t="str">
        <f>IFERROR(__xludf.DUMMYFUNCTION("TRIM(REGEXREPLACE(C2311, ""[0-9]+[a-f]?\."", """"))"),"")</f>
        <v/>
      </c>
      <c r="H2311" s="152" t="str">
        <f>IFERROR(__xludf.DUMMYFUNCTION("TRIM(REGEXREPLACE(D2311, ""[0-9]+[a-f]?\."", """"))"),"")</f>
        <v/>
      </c>
      <c r="I2311" s="152" t="str">
        <f>IFERROR(__xludf.DUMMYFUNCTION("TRIM(REGEXREPLACE(E2311, ""[0-9]+[a-f]?\."", """"))"),"")</f>
        <v/>
      </c>
      <c r="J2311" s="152" t="str">
        <f t="shared" ref="J2311:L2311" si="487">$F2311 &amp; ". " &amp;G2311</f>
        <v>597. </v>
      </c>
      <c r="K2311" s="152" t="str">
        <f t="shared" si="487"/>
        <v>597. </v>
      </c>
      <c r="L2311" s="152" t="str">
        <f t="shared" si="487"/>
        <v>597. </v>
      </c>
    </row>
    <row r="2312" hidden="1">
      <c r="A2312" s="338"/>
      <c r="B2312" s="339"/>
      <c r="C2312" s="341"/>
      <c r="D2312" s="341"/>
      <c r="E2312" s="341"/>
    </row>
    <row r="2313" hidden="1">
      <c r="A2313" s="344"/>
      <c r="B2313" s="345"/>
      <c r="C2313" s="345"/>
      <c r="D2313" s="345"/>
      <c r="E2313" s="345"/>
      <c r="F2313" s="161">
        <v>598.0</v>
      </c>
      <c r="G2313" s="152" t="str">
        <f>IFERROR(__xludf.DUMMYFUNCTION("TRIM(REGEXREPLACE(C2313, ""[0-9]+[a-f]?\."", """"))"),"")</f>
        <v/>
      </c>
      <c r="H2313" s="152" t="str">
        <f>IFERROR(__xludf.DUMMYFUNCTION("TRIM(REGEXREPLACE(D2313, ""[0-9]+[a-f]?\."", """"))"),"")</f>
        <v/>
      </c>
      <c r="I2313" s="152" t="str">
        <f>IFERROR(__xludf.DUMMYFUNCTION("TRIM(REGEXREPLACE(E2313, ""[0-9]+[a-f]?\."", """"))"),"")</f>
        <v/>
      </c>
      <c r="J2313" s="152" t="str">
        <f t="shared" ref="J2313:L2313" si="488">$F2313 &amp; ". " &amp;G2313</f>
        <v>598. </v>
      </c>
      <c r="K2313" s="152" t="str">
        <f t="shared" si="488"/>
        <v>598. </v>
      </c>
      <c r="L2313" s="152" t="str">
        <f t="shared" si="488"/>
        <v>598. </v>
      </c>
    </row>
    <row r="2314" hidden="1">
      <c r="A2314" s="342"/>
      <c r="B2314" s="343"/>
      <c r="C2314" s="343"/>
      <c r="D2314" s="343"/>
      <c r="E2314" s="343"/>
      <c r="F2314" s="161">
        <v>599.0</v>
      </c>
      <c r="G2314" s="152" t="str">
        <f>IFERROR(__xludf.DUMMYFUNCTION("TRIM(REGEXREPLACE(C2314, ""[0-9]+[a-f]?\."", """"))"),"")</f>
        <v/>
      </c>
      <c r="H2314" s="152" t="str">
        <f>IFERROR(__xludf.DUMMYFUNCTION("TRIM(REGEXREPLACE(D2314, ""[0-9]+[a-f]?\."", """"))"),"")</f>
        <v/>
      </c>
      <c r="I2314" s="152" t="str">
        <f>IFERROR(__xludf.DUMMYFUNCTION("TRIM(REGEXREPLACE(E2314, ""[0-9]+[a-f]?\."", """"))"),"")</f>
        <v/>
      </c>
      <c r="J2314" s="152" t="str">
        <f t="shared" ref="J2314:L2314" si="489">$F2314 &amp; ". " &amp;G2314</f>
        <v>599. </v>
      </c>
      <c r="K2314" s="152" t="str">
        <f t="shared" si="489"/>
        <v>599. </v>
      </c>
      <c r="L2314" s="152" t="str">
        <f t="shared" si="489"/>
        <v>599. </v>
      </c>
    </row>
    <row r="2315" hidden="1">
      <c r="A2315" s="338"/>
      <c r="B2315" s="339"/>
      <c r="C2315" s="341"/>
      <c r="D2315" s="341"/>
      <c r="E2315" s="341"/>
    </row>
    <row r="2316" hidden="1">
      <c r="A2316" s="356"/>
      <c r="B2316" s="357"/>
      <c r="C2316" s="357"/>
      <c r="D2316" s="357"/>
      <c r="E2316" s="357"/>
    </row>
    <row r="2317" hidden="1">
      <c r="A2317" s="338"/>
      <c r="B2317" s="339"/>
      <c r="C2317" s="341"/>
      <c r="D2317" s="341"/>
      <c r="E2317" s="341"/>
    </row>
    <row r="2318" hidden="1">
      <c r="A2318" s="338"/>
      <c r="B2318" s="339"/>
      <c r="C2318" s="341"/>
      <c r="D2318" s="341"/>
      <c r="E2318" s="341"/>
    </row>
    <row r="2319" hidden="1">
      <c r="A2319" s="344"/>
      <c r="B2319" s="345"/>
      <c r="C2319" s="345"/>
      <c r="D2319" s="345"/>
      <c r="E2319" s="345"/>
      <c r="F2319" s="161">
        <v>600.0</v>
      </c>
      <c r="G2319" s="152" t="str">
        <f>IFERROR(__xludf.DUMMYFUNCTION("TRIM(REGEXREPLACE(C2319, ""[0-9]+[a-f]?\."", """"))"),"")</f>
        <v/>
      </c>
      <c r="H2319" s="152" t="str">
        <f>IFERROR(__xludf.DUMMYFUNCTION("TRIM(REGEXREPLACE(D2319, ""[0-9]+[a-f]?\."", """"))"),"")</f>
        <v/>
      </c>
      <c r="I2319" s="152" t="str">
        <f>IFERROR(__xludf.DUMMYFUNCTION("TRIM(REGEXREPLACE(E2319, ""[0-9]+[a-f]?\."", """"))"),"")</f>
        <v/>
      </c>
      <c r="J2319" s="152" t="str">
        <f t="shared" ref="J2319:L2319" si="490">$F2319 &amp; ". " &amp;G2319</f>
        <v>600. </v>
      </c>
      <c r="K2319" s="152" t="str">
        <f t="shared" si="490"/>
        <v>600. </v>
      </c>
      <c r="L2319" s="152" t="str">
        <f t="shared" si="490"/>
        <v>600. </v>
      </c>
    </row>
    <row r="2320" hidden="1">
      <c r="A2320" s="344"/>
      <c r="B2320" s="345"/>
      <c r="C2320" s="345"/>
      <c r="D2320" s="345"/>
      <c r="E2320" s="345"/>
      <c r="F2320" s="161">
        <v>601.0</v>
      </c>
      <c r="G2320" s="152" t="str">
        <f>IFERROR(__xludf.DUMMYFUNCTION("TRIM(REGEXREPLACE(C2320, ""[0-9]+[a-f]?\."", """"))"),"")</f>
        <v/>
      </c>
      <c r="H2320" s="152" t="str">
        <f>IFERROR(__xludf.DUMMYFUNCTION("TRIM(REGEXREPLACE(D2320, ""[0-9]+[a-f]?\."", """"))"),"")</f>
        <v/>
      </c>
      <c r="I2320" s="152" t="str">
        <f>IFERROR(__xludf.DUMMYFUNCTION("TRIM(REGEXREPLACE(E2320, ""[0-9]+[a-f]?\."", """"))"),"")</f>
        <v/>
      </c>
      <c r="J2320" s="152" t="str">
        <f t="shared" ref="J2320:L2320" si="491">$F2320 &amp; ". " &amp;G2320</f>
        <v>601. </v>
      </c>
      <c r="K2320" s="152" t="str">
        <f t="shared" si="491"/>
        <v>601. </v>
      </c>
      <c r="L2320" s="152" t="str">
        <f t="shared" si="491"/>
        <v>601. </v>
      </c>
    </row>
    <row r="2321" hidden="1">
      <c r="A2321" s="346"/>
      <c r="B2321" s="347"/>
      <c r="C2321" s="347"/>
      <c r="D2321" s="347"/>
      <c r="E2321" s="347"/>
      <c r="F2321" s="161">
        <v>602.0</v>
      </c>
      <c r="G2321" s="152" t="str">
        <f>IFERROR(__xludf.DUMMYFUNCTION("TRIM(REGEXREPLACE(C2321, ""[0-9]+[a-f]?\."", """"))"),"")</f>
        <v/>
      </c>
      <c r="H2321" s="152" t="str">
        <f>IFERROR(__xludf.DUMMYFUNCTION("TRIM(REGEXREPLACE(D2321, ""[0-9]+[a-f]?\."", """"))"),"")</f>
        <v/>
      </c>
      <c r="I2321" s="152" t="str">
        <f>IFERROR(__xludf.DUMMYFUNCTION("TRIM(REGEXREPLACE(E2321, ""[0-9]+[a-f]?\."", """"))"),"")</f>
        <v/>
      </c>
      <c r="J2321" s="152" t="str">
        <f t="shared" ref="J2321:L2321" si="492">$F2321 &amp; ". " &amp;G2321</f>
        <v>602. </v>
      </c>
      <c r="K2321" s="152" t="str">
        <f t="shared" si="492"/>
        <v>602. </v>
      </c>
      <c r="L2321" s="152" t="str">
        <f t="shared" si="492"/>
        <v>602. </v>
      </c>
    </row>
    <row r="2322" hidden="1">
      <c r="A2322" s="338"/>
      <c r="B2322" s="339"/>
      <c r="C2322" s="341"/>
      <c r="D2322" s="341"/>
      <c r="E2322" s="341"/>
    </row>
    <row r="2323" hidden="1">
      <c r="A2323" s="351"/>
      <c r="B2323" s="352"/>
      <c r="C2323" s="352"/>
      <c r="D2323" s="352"/>
      <c r="E2323" s="352"/>
      <c r="F2323" s="161">
        <v>603.0</v>
      </c>
      <c r="G2323" s="152" t="str">
        <f>IFERROR(__xludf.DUMMYFUNCTION("TRIM(REGEXREPLACE(C2323, ""[0-9]+[a-f]?\."", """"))"),"")</f>
        <v/>
      </c>
      <c r="H2323" s="152" t="str">
        <f>IFERROR(__xludf.DUMMYFUNCTION("TRIM(REGEXREPLACE(D2323, ""[0-9]+[a-f]?\."", """"))"),"")</f>
        <v/>
      </c>
      <c r="I2323" s="152" t="str">
        <f>IFERROR(__xludf.DUMMYFUNCTION("TRIM(REGEXREPLACE(E2323, ""[0-9]+[a-f]?\."", """"))"),"")</f>
        <v/>
      </c>
      <c r="J2323" s="152" t="str">
        <f t="shared" ref="J2323:L2323" si="493">$F2323 &amp; ". " &amp;G2323</f>
        <v>603. </v>
      </c>
      <c r="K2323" s="152" t="str">
        <f t="shared" si="493"/>
        <v>603. </v>
      </c>
      <c r="L2323" s="152" t="str">
        <f t="shared" si="493"/>
        <v>603. </v>
      </c>
    </row>
    <row r="2324" hidden="1">
      <c r="A2324" s="351"/>
      <c r="B2324" s="352"/>
      <c r="C2324" s="352"/>
      <c r="D2324" s="352"/>
      <c r="E2324" s="352"/>
      <c r="F2324" s="161">
        <v>604.0</v>
      </c>
      <c r="G2324" s="152" t="str">
        <f>IFERROR(__xludf.DUMMYFUNCTION("TRIM(REGEXREPLACE(C2324, ""[0-9]+[a-f]?\."", """"))"),"")</f>
        <v/>
      </c>
      <c r="H2324" s="152" t="str">
        <f>IFERROR(__xludf.DUMMYFUNCTION("TRIM(REGEXREPLACE(D2324, ""[0-9]+[a-f]?\."", """"))"),"")</f>
        <v/>
      </c>
      <c r="I2324" s="152" t="str">
        <f>IFERROR(__xludf.DUMMYFUNCTION("TRIM(REGEXREPLACE(E2324, ""[0-9]+[a-f]?\."", """"))"),"")</f>
        <v/>
      </c>
      <c r="J2324" s="152" t="str">
        <f t="shared" ref="J2324:L2324" si="494">$F2324 &amp; ". " &amp;G2324</f>
        <v>604. </v>
      </c>
      <c r="K2324" s="152" t="str">
        <f t="shared" si="494"/>
        <v>604. </v>
      </c>
      <c r="L2324" s="152" t="str">
        <f t="shared" si="494"/>
        <v>604. </v>
      </c>
    </row>
    <row r="2325" hidden="1">
      <c r="A2325" s="351"/>
      <c r="B2325" s="352"/>
      <c r="C2325" s="352"/>
      <c r="D2325" s="352"/>
      <c r="E2325" s="352"/>
      <c r="F2325" s="161">
        <v>605.0</v>
      </c>
      <c r="G2325" s="152" t="str">
        <f>IFERROR(__xludf.DUMMYFUNCTION("TRIM(REGEXREPLACE(C2325, ""[0-9]+[a-f]?\."", """"))"),"")</f>
        <v/>
      </c>
      <c r="H2325" s="152" t="str">
        <f>IFERROR(__xludf.DUMMYFUNCTION("TRIM(REGEXREPLACE(D2325, ""[0-9]+[a-f]?\."", """"))"),"")</f>
        <v/>
      </c>
      <c r="I2325" s="152" t="str">
        <f>IFERROR(__xludf.DUMMYFUNCTION("TRIM(REGEXREPLACE(E2325, ""[0-9]+[a-f]?\."", """"))"),"")</f>
        <v/>
      </c>
      <c r="J2325" s="152" t="str">
        <f t="shared" ref="J2325:L2325" si="495">$F2325 &amp; ". " &amp;G2325</f>
        <v>605. </v>
      </c>
      <c r="K2325" s="152" t="str">
        <f t="shared" si="495"/>
        <v>605. </v>
      </c>
      <c r="L2325" s="152" t="str">
        <f t="shared" si="495"/>
        <v>605. </v>
      </c>
    </row>
    <row r="2326" hidden="1">
      <c r="A2326" s="356"/>
      <c r="B2326" s="359"/>
      <c r="C2326" s="359"/>
      <c r="D2326" s="359"/>
      <c r="E2326" s="359"/>
    </row>
    <row r="2327" hidden="1">
      <c r="A2327" s="338"/>
      <c r="B2327" s="339"/>
      <c r="C2327" s="341"/>
      <c r="D2327" s="341"/>
      <c r="E2327" s="341"/>
    </row>
    <row r="2328" hidden="1">
      <c r="A2328" s="338"/>
      <c r="B2328" s="339"/>
      <c r="C2328" s="341"/>
      <c r="D2328" s="341"/>
      <c r="E2328" s="341"/>
    </row>
    <row r="2329" hidden="1">
      <c r="A2329" s="152"/>
      <c r="B2329" s="355"/>
      <c r="C2329" s="355"/>
      <c r="D2329" s="355"/>
      <c r="E2329" s="355"/>
    </row>
    <row r="2330" hidden="1">
      <c r="A2330" s="348"/>
      <c r="B2330" s="349"/>
      <c r="C2330" s="349"/>
      <c r="D2330" s="350"/>
      <c r="E2330" s="350"/>
    </row>
    <row r="2331" hidden="1">
      <c r="A2331" s="338"/>
      <c r="B2331" s="339"/>
      <c r="C2331" s="341"/>
      <c r="D2331" s="341"/>
      <c r="E2331" s="341"/>
    </row>
    <row r="2332" hidden="1">
      <c r="A2332" s="344"/>
      <c r="B2332" s="345"/>
      <c r="C2332" s="345"/>
      <c r="D2332" s="345"/>
      <c r="E2332" s="345"/>
      <c r="F2332" s="161">
        <v>606.0</v>
      </c>
      <c r="G2332" s="152" t="str">
        <f>IFERROR(__xludf.DUMMYFUNCTION("TRIM(REGEXREPLACE(C2332, ""[0-9]+[a-f]?\."", """"))"),"")</f>
        <v/>
      </c>
      <c r="H2332" s="152" t="str">
        <f>IFERROR(__xludf.DUMMYFUNCTION("TRIM(REGEXREPLACE(D2332, ""[0-9]+[a-f]?\."", """"))"),"")</f>
        <v/>
      </c>
      <c r="I2332" s="152" t="str">
        <f>IFERROR(__xludf.DUMMYFUNCTION("TRIM(REGEXREPLACE(E2332, ""[0-9]+[a-f]?\."", """"))"),"")</f>
        <v/>
      </c>
      <c r="J2332" s="152" t="str">
        <f t="shared" ref="J2332:L2332" si="496">$F2332 &amp; ". " &amp;G2332</f>
        <v>606. </v>
      </c>
      <c r="K2332" s="152" t="str">
        <f t="shared" si="496"/>
        <v>606. </v>
      </c>
      <c r="L2332" s="152" t="str">
        <f t="shared" si="496"/>
        <v>606. </v>
      </c>
    </row>
    <row r="2333" hidden="1">
      <c r="A2333" s="351"/>
      <c r="B2333" s="352"/>
      <c r="C2333" s="352"/>
      <c r="D2333" s="352"/>
      <c r="E2333" s="352"/>
      <c r="F2333" s="161">
        <v>607.0</v>
      </c>
      <c r="G2333" s="152" t="str">
        <f>IFERROR(__xludf.DUMMYFUNCTION("TRIM(REGEXREPLACE(C2333, ""[0-9]+[a-f]?\."", """"))"),"")</f>
        <v/>
      </c>
      <c r="H2333" s="152" t="str">
        <f>IFERROR(__xludf.DUMMYFUNCTION("TRIM(REGEXREPLACE(D2333, ""[0-9]+[a-f]?\."", """"))"),"")</f>
        <v/>
      </c>
      <c r="I2333" s="152" t="str">
        <f>IFERROR(__xludf.DUMMYFUNCTION("TRIM(REGEXREPLACE(E2333, ""[0-9]+[a-f]?\."", """"))"),"")</f>
        <v/>
      </c>
      <c r="J2333" s="152" t="str">
        <f t="shared" ref="J2333:L2333" si="497">$F2333 &amp; ". " &amp;G2333</f>
        <v>607. </v>
      </c>
      <c r="K2333" s="152" t="str">
        <f t="shared" si="497"/>
        <v>607. </v>
      </c>
      <c r="L2333" s="152" t="str">
        <f t="shared" si="497"/>
        <v>607. </v>
      </c>
    </row>
    <row r="2334" hidden="1">
      <c r="A2334" s="344"/>
      <c r="B2334" s="345"/>
      <c r="C2334" s="345"/>
      <c r="D2334" s="345"/>
      <c r="E2334" s="345"/>
      <c r="F2334" s="161">
        <v>608.0</v>
      </c>
      <c r="G2334" s="152" t="str">
        <f>IFERROR(__xludf.DUMMYFUNCTION("TRIM(REGEXREPLACE(C2334, ""[0-9]+[a-f]?\."", """"))"),"")</f>
        <v/>
      </c>
      <c r="H2334" s="152" t="str">
        <f>IFERROR(__xludf.DUMMYFUNCTION("TRIM(REGEXREPLACE(D2334, ""[0-9]+[a-f]?\."", """"))"),"")</f>
        <v/>
      </c>
      <c r="I2334" s="152" t="str">
        <f>IFERROR(__xludf.DUMMYFUNCTION("TRIM(REGEXREPLACE(E2334, ""[0-9]+[a-f]?\."", """"))"),"")</f>
        <v/>
      </c>
      <c r="J2334" s="152" t="str">
        <f t="shared" ref="J2334:L2334" si="498">$F2334 &amp; ". " &amp;G2334</f>
        <v>608. </v>
      </c>
      <c r="K2334" s="152" t="str">
        <f t="shared" si="498"/>
        <v>608. </v>
      </c>
      <c r="L2334" s="152" t="str">
        <f t="shared" si="498"/>
        <v>608. </v>
      </c>
    </row>
    <row r="2335" hidden="1">
      <c r="A2335" s="346"/>
      <c r="B2335" s="347"/>
      <c r="C2335" s="347"/>
      <c r="D2335" s="347"/>
      <c r="E2335" s="347"/>
      <c r="F2335" s="161">
        <v>609.0</v>
      </c>
      <c r="G2335" s="152" t="str">
        <f>IFERROR(__xludf.DUMMYFUNCTION("TRIM(REGEXREPLACE(C2335, ""[0-9]+[a-f]?\."", """"))"),"")</f>
        <v/>
      </c>
      <c r="H2335" s="152" t="str">
        <f>IFERROR(__xludf.DUMMYFUNCTION("TRIM(REGEXREPLACE(D2335, ""[0-9]+[a-f]?\."", """"))"),"")</f>
        <v/>
      </c>
      <c r="I2335" s="152" t="str">
        <f>IFERROR(__xludf.DUMMYFUNCTION("TRIM(REGEXREPLACE(E2335, ""[0-9]+[a-f]?\."", """"))"),"")</f>
        <v/>
      </c>
      <c r="J2335" s="152" t="str">
        <f t="shared" ref="J2335:L2335" si="499">$F2335 &amp; ". " &amp;G2335</f>
        <v>609. </v>
      </c>
      <c r="K2335" s="152" t="str">
        <f t="shared" si="499"/>
        <v>609. </v>
      </c>
      <c r="L2335" s="152" t="str">
        <f t="shared" si="499"/>
        <v>609. </v>
      </c>
    </row>
    <row r="2336" hidden="1">
      <c r="A2336" s="344"/>
      <c r="B2336" s="345"/>
      <c r="C2336" s="345"/>
      <c r="D2336" s="345"/>
      <c r="E2336" s="345"/>
      <c r="F2336" s="161">
        <v>610.0</v>
      </c>
      <c r="G2336" s="152" t="str">
        <f>IFERROR(__xludf.DUMMYFUNCTION("TRIM(REGEXREPLACE(C2336, ""[0-9]+[a-f]?\."", """"))"),"")</f>
        <v/>
      </c>
      <c r="H2336" s="152" t="str">
        <f>IFERROR(__xludf.DUMMYFUNCTION("TRIM(REGEXREPLACE(D2336, ""[0-9]+[a-f]?\."", """"))"),"")</f>
        <v/>
      </c>
      <c r="I2336" s="152" t="str">
        <f>IFERROR(__xludf.DUMMYFUNCTION("TRIM(REGEXREPLACE(E2336, ""[0-9]+[a-f]?\."", """"))"),"")</f>
        <v/>
      </c>
      <c r="J2336" s="152" t="str">
        <f t="shared" ref="J2336:L2336" si="500">$F2336 &amp; ". " &amp;G2336</f>
        <v>610. </v>
      </c>
      <c r="K2336" s="152" t="str">
        <f t="shared" si="500"/>
        <v>610. </v>
      </c>
      <c r="L2336" s="152" t="str">
        <f t="shared" si="500"/>
        <v>610. </v>
      </c>
    </row>
    <row r="2337" hidden="1">
      <c r="A2337" s="351"/>
      <c r="B2337" s="352"/>
      <c r="C2337" s="352"/>
      <c r="D2337" s="352"/>
      <c r="E2337" s="352"/>
      <c r="F2337" s="161">
        <v>611.0</v>
      </c>
      <c r="G2337" s="152" t="str">
        <f>IFERROR(__xludf.DUMMYFUNCTION("TRIM(REGEXREPLACE(C2337, ""[0-9]+[a-f]?\."", """"))"),"")</f>
        <v/>
      </c>
      <c r="H2337" s="152" t="str">
        <f>IFERROR(__xludf.DUMMYFUNCTION("TRIM(REGEXREPLACE(D2337, ""[0-9]+[a-f]?\."", """"))"),"")</f>
        <v/>
      </c>
      <c r="I2337" s="152" t="str">
        <f>IFERROR(__xludf.DUMMYFUNCTION("TRIM(REGEXREPLACE(E2337, ""[0-9]+[a-f]?\."", """"))"),"")</f>
        <v/>
      </c>
      <c r="J2337" s="152" t="str">
        <f t="shared" ref="J2337:L2337" si="501">$F2337 &amp; ". " &amp;G2337</f>
        <v>611. </v>
      </c>
      <c r="K2337" s="152" t="str">
        <f t="shared" si="501"/>
        <v>611. </v>
      </c>
      <c r="L2337" s="152" t="str">
        <f t="shared" si="501"/>
        <v>611. </v>
      </c>
    </row>
    <row r="2338" hidden="1">
      <c r="A2338" s="344"/>
      <c r="B2338" s="345"/>
      <c r="C2338" s="345"/>
      <c r="D2338" s="345"/>
      <c r="E2338" s="345"/>
      <c r="F2338" s="161">
        <v>612.0</v>
      </c>
      <c r="G2338" s="152" t="str">
        <f>IFERROR(__xludf.DUMMYFUNCTION("TRIM(REGEXREPLACE(C2338, ""[0-9]+[a-f]?\."", """"))"),"")</f>
        <v/>
      </c>
      <c r="H2338" s="152" t="str">
        <f>IFERROR(__xludf.DUMMYFUNCTION("TRIM(REGEXREPLACE(D2338, ""[0-9]+[a-f]?\."", """"))"),"")</f>
        <v/>
      </c>
      <c r="I2338" s="152" t="str">
        <f>IFERROR(__xludf.DUMMYFUNCTION("TRIM(REGEXREPLACE(E2338, ""[0-9]+[a-f]?\."", """"))"),"")</f>
        <v/>
      </c>
      <c r="J2338" s="152" t="str">
        <f t="shared" ref="J2338:L2338" si="502">$F2338 &amp; ". " &amp;G2338</f>
        <v>612. </v>
      </c>
      <c r="K2338" s="152" t="str">
        <f t="shared" si="502"/>
        <v>612. </v>
      </c>
      <c r="L2338" s="152" t="str">
        <f t="shared" si="502"/>
        <v>612. </v>
      </c>
    </row>
    <row r="2339" hidden="1">
      <c r="A2339" s="346"/>
      <c r="B2339" s="347"/>
      <c r="C2339" s="347"/>
      <c r="D2339" s="347"/>
      <c r="E2339" s="347"/>
      <c r="F2339" s="161">
        <v>613.0</v>
      </c>
      <c r="G2339" s="152" t="str">
        <f>IFERROR(__xludf.DUMMYFUNCTION("TRIM(REGEXREPLACE(C2339, ""[0-9]+[a-f]?\."", """"))"),"")</f>
        <v/>
      </c>
      <c r="H2339" s="152" t="str">
        <f>IFERROR(__xludf.DUMMYFUNCTION("TRIM(REGEXREPLACE(D2339, ""[0-9]+[a-f]?\."", """"))"),"")</f>
        <v/>
      </c>
      <c r="I2339" s="152" t="str">
        <f>IFERROR(__xludf.DUMMYFUNCTION("TRIM(REGEXREPLACE(E2339, ""[0-9]+[a-f]?\."", """"))"),"")</f>
        <v/>
      </c>
      <c r="J2339" s="152" t="str">
        <f t="shared" ref="J2339:L2339" si="503">$F2339 &amp; ". " &amp;G2339</f>
        <v>613. </v>
      </c>
      <c r="K2339" s="152" t="str">
        <f t="shared" si="503"/>
        <v>613. </v>
      </c>
      <c r="L2339" s="152" t="str">
        <f t="shared" si="503"/>
        <v>613. </v>
      </c>
    </row>
    <row r="2340" hidden="1">
      <c r="A2340" s="344"/>
      <c r="B2340" s="345"/>
      <c r="C2340" s="345"/>
      <c r="D2340" s="345"/>
      <c r="E2340" s="345"/>
      <c r="F2340" s="161">
        <v>614.0</v>
      </c>
      <c r="G2340" s="152" t="str">
        <f>IFERROR(__xludf.DUMMYFUNCTION("TRIM(REGEXREPLACE(C2340, ""[0-9]+[a-f]?\."", """"))"),"")</f>
        <v/>
      </c>
      <c r="H2340" s="152" t="str">
        <f>IFERROR(__xludf.DUMMYFUNCTION("TRIM(REGEXREPLACE(D2340, ""[0-9]+[a-f]?\."", """"))"),"")</f>
        <v/>
      </c>
      <c r="I2340" s="152" t="str">
        <f>IFERROR(__xludf.DUMMYFUNCTION("TRIM(REGEXREPLACE(E2340, ""[0-9]+[a-f]?\."", """"))"),"")</f>
        <v/>
      </c>
      <c r="J2340" s="152" t="str">
        <f t="shared" ref="J2340:L2340" si="504">$F2340 &amp; ". " &amp;G2340</f>
        <v>614. </v>
      </c>
      <c r="K2340" s="152" t="str">
        <f t="shared" si="504"/>
        <v>614. </v>
      </c>
      <c r="L2340" s="152" t="str">
        <f t="shared" si="504"/>
        <v>614. </v>
      </c>
    </row>
    <row r="2341" hidden="1">
      <c r="A2341" s="351"/>
      <c r="B2341" s="352"/>
      <c r="C2341" s="352"/>
      <c r="D2341" s="352"/>
      <c r="E2341" s="352"/>
      <c r="F2341" s="161">
        <v>615.0</v>
      </c>
      <c r="G2341" s="152" t="str">
        <f>IFERROR(__xludf.DUMMYFUNCTION("TRIM(REGEXREPLACE(C2341, ""[0-9]+[a-f]?\."", """"))"),"")</f>
        <v/>
      </c>
      <c r="H2341" s="152" t="str">
        <f>IFERROR(__xludf.DUMMYFUNCTION("TRIM(REGEXREPLACE(D2341, ""[0-9]+[a-f]?\."", """"))"),"")</f>
        <v/>
      </c>
      <c r="I2341" s="152" t="str">
        <f>IFERROR(__xludf.DUMMYFUNCTION("TRIM(REGEXREPLACE(E2341, ""[0-9]+[a-f]?\."", """"))"),"")</f>
        <v/>
      </c>
      <c r="J2341" s="152" t="str">
        <f t="shared" ref="J2341:L2341" si="505">$F2341 &amp; ". " &amp;G2341</f>
        <v>615. </v>
      </c>
      <c r="K2341" s="152" t="str">
        <f t="shared" si="505"/>
        <v>615. </v>
      </c>
      <c r="L2341" s="152" t="str">
        <f t="shared" si="505"/>
        <v>615. </v>
      </c>
    </row>
    <row r="2342" hidden="1">
      <c r="A2342" s="344"/>
      <c r="B2342" s="345"/>
      <c r="C2342" s="345"/>
      <c r="D2342" s="345"/>
      <c r="E2342" s="345"/>
      <c r="F2342" s="161">
        <v>616.0</v>
      </c>
      <c r="G2342" s="152" t="str">
        <f>IFERROR(__xludf.DUMMYFUNCTION("TRIM(REGEXREPLACE(C2342, ""[0-9]+[a-f]?\."", """"))"),"")</f>
        <v/>
      </c>
      <c r="H2342" s="152" t="str">
        <f>IFERROR(__xludf.DUMMYFUNCTION("TRIM(REGEXREPLACE(D2342, ""[0-9]+[a-f]?\."", """"))"),"")</f>
        <v/>
      </c>
      <c r="I2342" s="152" t="str">
        <f>IFERROR(__xludf.DUMMYFUNCTION("TRIM(REGEXREPLACE(E2342, ""[0-9]+[a-f]?\."", """"))"),"")</f>
        <v/>
      </c>
      <c r="J2342" s="152" t="str">
        <f t="shared" ref="J2342:L2342" si="506">$F2342 &amp; ". " &amp;G2342</f>
        <v>616. </v>
      </c>
      <c r="K2342" s="152" t="str">
        <f t="shared" si="506"/>
        <v>616. </v>
      </c>
      <c r="L2342" s="152" t="str">
        <f t="shared" si="506"/>
        <v>616. </v>
      </c>
    </row>
    <row r="2343" hidden="1">
      <c r="A2343" s="346"/>
      <c r="B2343" s="347"/>
      <c r="C2343" s="347"/>
      <c r="D2343" s="347"/>
      <c r="E2343" s="347"/>
      <c r="F2343" s="161">
        <v>617.0</v>
      </c>
      <c r="G2343" s="152" t="str">
        <f>IFERROR(__xludf.DUMMYFUNCTION("TRIM(REGEXREPLACE(C2343, ""[0-9]+[a-f]?\."", """"))"),"")</f>
        <v/>
      </c>
      <c r="H2343" s="152" t="str">
        <f>IFERROR(__xludf.DUMMYFUNCTION("TRIM(REGEXREPLACE(D2343, ""[0-9]+[a-f]?\."", """"))"),"")</f>
        <v/>
      </c>
      <c r="I2343" s="152" t="str">
        <f>IFERROR(__xludf.DUMMYFUNCTION("TRIM(REGEXREPLACE(E2343, ""[0-9]+[a-f]?\."", """"))"),"")</f>
        <v/>
      </c>
      <c r="J2343" s="152" t="str">
        <f t="shared" ref="J2343:L2343" si="507">$F2343 &amp; ". " &amp;G2343</f>
        <v>617. </v>
      </c>
      <c r="K2343" s="152" t="str">
        <f t="shared" si="507"/>
        <v>617. </v>
      </c>
      <c r="L2343" s="152" t="str">
        <f t="shared" si="507"/>
        <v>617. </v>
      </c>
    </row>
    <row r="2344" hidden="1">
      <c r="A2344" s="344"/>
      <c r="B2344" s="345"/>
      <c r="C2344" s="345"/>
      <c r="D2344" s="345"/>
      <c r="E2344" s="345"/>
      <c r="F2344" s="161">
        <v>618.0</v>
      </c>
      <c r="G2344" s="152" t="str">
        <f>IFERROR(__xludf.DUMMYFUNCTION("TRIM(REGEXREPLACE(C2344, ""[0-9]+[a-f]?\."", """"))"),"")</f>
        <v/>
      </c>
      <c r="H2344" s="152" t="str">
        <f>IFERROR(__xludf.DUMMYFUNCTION("TRIM(REGEXREPLACE(D2344, ""[0-9]+[a-f]?\."", """"))"),"")</f>
        <v/>
      </c>
      <c r="I2344" s="152" t="str">
        <f>IFERROR(__xludf.DUMMYFUNCTION("TRIM(REGEXREPLACE(E2344, ""[0-9]+[a-f]?\."", """"))"),"")</f>
        <v/>
      </c>
      <c r="J2344" s="152" t="str">
        <f t="shared" ref="J2344:L2344" si="508">$F2344 &amp; ". " &amp;G2344</f>
        <v>618. </v>
      </c>
      <c r="K2344" s="152" t="str">
        <f t="shared" si="508"/>
        <v>618. </v>
      </c>
      <c r="L2344" s="152" t="str">
        <f t="shared" si="508"/>
        <v>618. </v>
      </c>
    </row>
    <row r="2345" hidden="1">
      <c r="A2345" s="351"/>
      <c r="B2345" s="352"/>
      <c r="C2345" s="352"/>
      <c r="D2345" s="352"/>
      <c r="E2345" s="352"/>
      <c r="F2345" s="161">
        <v>619.0</v>
      </c>
      <c r="G2345" s="152" t="str">
        <f>IFERROR(__xludf.DUMMYFUNCTION("TRIM(REGEXREPLACE(C2345, ""[0-9]+[a-f]?\."", """"))"),"")</f>
        <v/>
      </c>
      <c r="H2345" s="152" t="str">
        <f>IFERROR(__xludf.DUMMYFUNCTION("TRIM(REGEXREPLACE(D2345, ""[0-9]+[a-f]?\."", """"))"),"")</f>
        <v/>
      </c>
      <c r="I2345" s="152" t="str">
        <f>IFERROR(__xludf.DUMMYFUNCTION("TRIM(REGEXREPLACE(E2345, ""[0-9]+[a-f]?\."", """"))"),"")</f>
        <v/>
      </c>
      <c r="J2345" s="152" t="str">
        <f t="shared" ref="J2345:L2345" si="509">$F2345 &amp; ". " &amp;G2345</f>
        <v>619. </v>
      </c>
      <c r="K2345" s="152" t="str">
        <f t="shared" si="509"/>
        <v>619. </v>
      </c>
      <c r="L2345" s="152" t="str">
        <f t="shared" si="509"/>
        <v>619. </v>
      </c>
    </row>
    <row r="2346" hidden="1">
      <c r="A2346" s="344"/>
      <c r="B2346" s="345"/>
      <c r="C2346" s="345"/>
      <c r="D2346" s="345"/>
      <c r="E2346" s="345"/>
      <c r="F2346" s="161">
        <v>620.0</v>
      </c>
      <c r="G2346" s="152" t="str">
        <f>IFERROR(__xludf.DUMMYFUNCTION("TRIM(REGEXREPLACE(C2346, ""[0-9]+[a-f]?\."", """"))"),"")</f>
        <v/>
      </c>
      <c r="H2346" s="152" t="str">
        <f>IFERROR(__xludf.DUMMYFUNCTION("TRIM(REGEXREPLACE(D2346, ""[0-9]+[a-f]?\."", """"))"),"")</f>
        <v/>
      </c>
      <c r="I2346" s="152" t="str">
        <f>IFERROR(__xludf.DUMMYFUNCTION("TRIM(REGEXREPLACE(E2346, ""[0-9]+[a-f]?\."", """"))"),"")</f>
        <v/>
      </c>
      <c r="J2346" s="152" t="str">
        <f t="shared" ref="J2346:L2346" si="510">$F2346 &amp; ". " &amp;G2346</f>
        <v>620. </v>
      </c>
      <c r="K2346" s="152" t="str">
        <f t="shared" si="510"/>
        <v>620. </v>
      </c>
      <c r="L2346" s="152" t="str">
        <f t="shared" si="510"/>
        <v>620. </v>
      </c>
    </row>
    <row r="2347" hidden="1">
      <c r="A2347" s="346"/>
      <c r="B2347" s="347"/>
      <c r="C2347" s="347"/>
      <c r="D2347" s="347"/>
      <c r="E2347" s="347"/>
      <c r="F2347" s="161">
        <v>621.0</v>
      </c>
      <c r="G2347" s="152" t="str">
        <f>IFERROR(__xludf.DUMMYFUNCTION("TRIM(REGEXREPLACE(C2347, ""[0-9]+[a-f]?\."", """"))"),"")</f>
        <v/>
      </c>
      <c r="H2347" s="152" t="str">
        <f>IFERROR(__xludf.DUMMYFUNCTION("TRIM(REGEXREPLACE(D2347, ""[0-9]+[a-f]?\."", """"))"),"")</f>
        <v/>
      </c>
      <c r="I2347" s="152" t="str">
        <f>IFERROR(__xludf.DUMMYFUNCTION("TRIM(REGEXREPLACE(E2347, ""[0-9]+[a-f]?\."", """"))"),"")</f>
        <v/>
      </c>
      <c r="J2347" s="152" t="str">
        <f t="shared" ref="J2347:L2347" si="511">$F2347 &amp; ". " &amp;G2347</f>
        <v>621. </v>
      </c>
      <c r="K2347" s="152" t="str">
        <f t="shared" si="511"/>
        <v>621. </v>
      </c>
      <c r="L2347" s="152" t="str">
        <f t="shared" si="511"/>
        <v>621. </v>
      </c>
    </row>
    <row r="2348" hidden="1">
      <c r="A2348" s="344"/>
      <c r="B2348" s="345"/>
      <c r="C2348" s="345"/>
      <c r="D2348" s="345"/>
      <c r="E2348" s="345"/>
      <c r="F2348" s="161">
        <v>622.0</v>
      </c>
      <c r="G2348" s="152" t="str">
        <f>IFERROR(__xludf.DUMMYFUNCTION("TRIM(REGEXREPLACE(C2348, ""[0-9]+[a-f]?\."", """"))"),"")</f>
        <v/>
      </c>
      <c r="H2348" s="152" t="str">
        <f>IFERROR(__xludf.DUMMYFUNCTION("TRIM(REGEXREPLACE(D2348, ""[0-9]+[a-f]?\."", """"))"),"")</f>
        <v/>
      </c>
      <c r="I2348" s="152" t="str">
        <f>IFERROR(__xludf.DUMMYFUNCTION("TRIM(REGEXREPLACE(E2348, ""[0-9]+[a-f]?\."", """"))"),"")</f>
        <v/>
      </c>
      <c r="J2348" s="152" t="str">
        <f t="shared" ref="J2348:L2348" si="512">$F2348 &amp; ". " &amp;G2348</f>
        <v>622. </v>
      </c>
      <c r="K2348" s="152" t="str">
        <f t="shared" si="512"/>
        <v>622. </v>
      </c>
      <c r="L2348" s="152" t="str">
        <f t="shared" si="512"/>
        <v>622. </v>
      </c>
    </row>
    <row r="2349" hidden="1">
      <c r="A2349" s="351"/>
      <c r="B2349" s="352"/>
      <c r="C2349" s="352"/>
      <c r="D2349" s="352"/>
      <c r="E2349" s="352"/>
      <c r="F2349" s="161">
        <v>623.0</v>
      </c>
      <c r="G2349" s="152" t="str">
        <f>IFERROR(__xludf.DUMMYFUNCTION("TRIM(REGEXREPLACE(C2349, ""[0-9]+[a-f]?\."", """"))"),"")</f>
        <v/>
      </c>
      <c r="H2349" s="152" t="str">
        <f>IFERROR(__xludf.DUMMYFUNCTION("TRIM(REGEXREPLACE(D2349, ""[0-9]+[a-f]?\."", """"))"),"")</f>
        <v/>
      </c>
      <c r="I2349" s="152" t="str">
        <f>IFERROR(__xludf.DUMMYFUNCTION("TRIM(REGEXREPLACE(E2349, ""[0-9]+[a-f]?\."", """"))"),"")</f>
        <v/>
      </c>
      <c r="J2349" s="152" t="str">
        <f t="shared" ref="J2349:L2349" si="513">$F2349 &amp; ". " &amp;G2349</f>
        <v>623. </v>
      </c>
      <c r="K2349" s="152" t="str">
        <f t="shared" si="513"/>
        <v>623. </v>
      </c>
      <c r="L2349" s="152" t="str">
        <f t="shared" si="513"/>
        <v>623. </v>
      </c>
    </row>
    <row r="2350" hidden="1">
      <c r="A2350" s="344"/>
      <c r="B2350" s="345"/>
      <c r="C2350" s="345"/>
      <c r="D2350" s="345"/>
      <c r="E2350" s="345"/>
      <c r="F2350" s="161">
        <v>624.0</v>
      </c>
      <c r="G2350" s="152" t="str">
        <f>IFERROR(__xludf.DUMMYFUNCTION("TRIM(REGEXREPLACE(C2350, ""[0-9]+[a-f]?\."", """"))"),"")</f>
        <v/>
      </c>
      <c r="H2350" s="152" t="str">
        <f>IFERROR(__xludf.DUMMYFUNCTION("TRIM(REGEXREPLACE(D2350, ""[0-9]+[a-f]?\."", """"))"),"")</f>
        <v/>
      </c>
      <c r="I2350" s="152" t="str">
        <f>IFERROR(__xludf.DUMMYFUNCTION("TRIM(REGEXREPLACE(E2350, ""[0-9]+[a-f]?\."", """"))"),"")</f>
        <v/>
      </c>
      <c r="J2350" s="152" t="str">
        <f t="shared" ref="J2350:L2350" si="514">$F2350 &amp; ". " &amp;G2350</f>
        <v>624. </v>
      </c>
      <c r="K2350" s="152" t="str">
        <f t="shared" si="514"/>
        <v>624. </v>
      </c>
      <c r="L2350" s="152" t="str">
        <f t="shared" si="514"/>
        <v>624. </v>
      </c>
    </row>
    <row r="2351" hidden="1">
      <c r="A2351" s="346"/>
      <c r="B2351" s="347"/>
      <c r="C2351" s="347"/>
      <c r="D2351" s="347"/>
      <c r="E2351" s="347"/>
      <c r="F2351" s="161">
        <v>625.0</v>
      </c>
      <c r="G2351" s="152" t="str">
        <f>IFERROR(__xludf.DUMMYFUNCTION("TRIM(REGEXREPLACE(C2351, ""[0-9]+[a-f]?\."", """"))"),"")</f>
        <v/>
      </c>
      <c r="H2351" s="152" t="str">
        <f>IFERROR(__xludf.DUMMYFUNCTION("TRIM(REGEXREPLACE(D2351, ""[0-9]+[a-f]?\."", """"))"),"")</f>
        <v/>
      </c>
      <c r="I2351" s="152" t="str">
        <f>IFERROR(__xludf.DUMMYFUNCTION("TRIM(REGEXREPLACE(E2351, ""[0-9]+[a-f]?\."", """"))"),"")</f>
        <v/>
      </c>
      <c r="J2351" s="152" t="str">
        <f t="shared" ref="J2351:L2351" si="515">$F2351 &amp; ". " &amp;G2351</f>
        <v>625. </v>
      </c>
      <c r="K2351" s="152" t="str">
        <f t="shared" si="515"/>
        <v>625. </v>
      </c>
      <c r="L2351" s="152" t="str">
        <f t="shared" si="515"/>
        <v>625. </v>
      </c>
    </row>
    <row r="2352" hidden="1">
      <c r="A2352" s="344"/>
      <c r="B2352" s="345"/>
      <c r="C2352" s="345"/>
      <c r="D2352" s="345"/>
      <c r="E2352" s="345"/>
      <c r="F2352" s="161">
        <v>626.0</v>
      </c>
      <c r="G2352" s="152" t="str">
        <f>IFERROR(__xludf.DUMMYFUNCTION("TRIM(REGEXREPLACE(C2352, ""[0-9]+[a-f]?\."", """"))"),"")</f>
        <v/>
      </c>
      <c r="H2352" s="152" t="str">
        <f>IFERROR(__xludf.DUMMYFUNCTION("TRIM(REGEXREPLACE(D2352, ""[0-9]+[a-f]?\."", """"))"),"")</f>
        <v/>
      </c>
      <c r="I2352" s="152" t="str">
        <f>IFERROR(__xludf.DUMMYFUNCTION("TRIM(REGEXREPLACE(E2352, ""[0-9]+[a-f]?\."", """"))"),"")</f>
        <v/>
      </c>
      <c r="J2352" s="152" t="str">
        <f t="shared" ref="J2352:L2352" si="516">$F2352 &amp; ". " &amp;G2352</f>
        <v>626. </v>
      </c>
      <c r="K2352" s="152" t="str">
        <f t="shared" si="516"/>
        <v>626. </v>
      </c>
      <c r="L2352" s="152" t="str">
        <f t="shared" si="516"/>
        <v>626. </v>
      </c>
    </row>
    <row r="2353" hidden="1">
      <c r="A2353" s="351"/>
      <c r="B2353" s="352"/>
      <c r="C2353" s="352"/>
      <c r="D2353" s="352"/>
      <c r="E2353" s="352"/>
      <c r="F2353" s="161">
        <v>627.0</v>
      </c>
      <c r="G2353" s="152" t="str">
        <f>IFERROR(__xludf.DUMMYFUNCTION("TRIM(REGEXREPLACE(C2353, ""[0-9]+[a-f]?\."", """"))"),"")</f>
        <v/>
      </c>
      <c r="H2353" s="152" t="str">
        <f>IFERROR(__xludf.DUMMYFUNCTION("TRIM(REGEXREPLACE(D2353, ""[0-9]+[a-f]?\."", """"))"),"")</f>
        <v/>
      </c>
      <c r="I2353" s="152" t="str">
        <f>IFERROR(__xludf.DUMMYFUNCTION("TRIM(REGEXREPLACE(E2353, ""[0-9]+[a-f]?\."", """"))"),"")</f>
        <v/>
      </c>
      <c r="J2353" s="152" t="str">
        <f t="shared" ref="J2353:L2353" si="517">$F2353 &amp; ". " &amp;G2353</f>
        <v>627. </v>
      </c>
      <c r="K2353" s="152" t="str">
        <f t="shared" si="517"/>
        <v>627. </v>
      </c>
      <c r="L2353" s="152" t="str">
        <f t="shared" si="517"/>
        <v>627. </v>
      </c>
    </row>
    <row r="2354" hidden="1">
      <c r="A2354" s="344"/>
      <c r="B2354" s="345"/>
      <c r="C2354" s="345"/>
      <c r="D2354" s="345"/>
      <c r="E2354" s="345"/>
      <c r="F2354" s="161">
        <v>628.0</v>
      </c>
      <c r="G2354" s="152" t="str">
        <f>IFERROR(__xludf.DUMMYFUNCTION("TRIM(REGEXREPLACE(C2354, ""[0-9]+[a-f]?\."", """"))"),"")</f>
        <v/>
      </c>
      <c r="H2354" s="152" t="str">
        <f>IFERROR(__xludf.DUMMYFUNCTION("TRIM(REGEXREPLACE(D2354, ""[0-9]+[a-f]?\."", """"))"),"")</f>
        <v/>
      </c>
      <c r="I2354" s="152" t="str">
        <f>IFERROR(__xludf.DUMMYFUNCTION("TRIM(REGEXREPLACE(E2354, ""[0-9]+[a-f]?\."", """"))"),"")</f>
        <v/>
      </c>
      <c r="J2354" s="152" t="str">
        <f t="shared" ref="J2354:L2354" si="518">$F2354 &amp; ". " &amp;G2354</f>
        <v>628. </v>
      </c>
      <c r="K2354" s="152" t="str">
        <f t="shared" si="518"/>
        <v>628. </v>
      </c>
      <c r="L2354" s="152" t="str">
        <f t="shared" si="518"/>
        <v>628. </v>
      </c>
    </row>
    <row r="2355" hidden="1">
      <c r="A2355" s="346"/>
      <c r="B2355" s="347"/>
      <c r="C2355" s="347"/>
      <c r="D2355" s="347"/>
      <c r="E2355" s="347"/>
      <c r="F2355" s="161">
        <v>629.0</v>
      </c>
      <c r="G2355" s="152" t="str">
        <f>IFERROR(__xludf.DUMMYFUNCTION("TRIM(REGEXREPLACE(C2355, ""[0-9]+[a-f]?\."", """"))"),"")</f>
        <v/>
      </c>
      <c r="H2355" s="152" t="str">
        <f>IFERROR(__xludf.DUMMYFUNCTION("TRIM(REGEXREPLACE(D2355, ""[0-9]+[a-f]?\."", """"))"),"")</f>
        <v/>
      </c>
      <c r="I2355" s="152" t="str">
        <f>IFERROR(__xludf.DUMMYFUNCTION("TRIM(REGEXREPLACE(E2355, ""[0-9]+[a-f]?\."", """"))"),"")</f>
        <v/>
      </c>
      <c r="J2355" s="152" t="str">
        <f t="shared" ref="J2355:L2355" si="519">$F2355 &amp; ". " &amp;G2355</f>
        <v>629. </v>
      </c>
      <c r="K2355" s="152" t="str">
        <f t="shared" si="519"/>
        <v>629. </v>
      </c>
      <c r="L2355" s="152" t="str">
        <f t="shared" si="519"/>
        <v>629. </v>
      </c>
    </row>
    <row r="2356" hidden="1">
      <c r="A2356" s="344"/>
      <c r="B2356" s="345"/>
      <c r="C2356" s="345"/>
      <c r="D2356" s="345"/>
      <c r="E2356" s="345"/>
      <c r="F2356" s="161">
        <v>630.0</v>
      </c>
      <c r="G2356" s="152" t="str">
        <f>IFERROR(__xludf.DUMMYFUNCTION("TRIM(REGEXREPLACE(C2356, ""[0-9]+[a-f]?\."", """"))"),"")</f>
        <v/>
      </c>
      <c r="H2356" s="152" t="str">
        <f>IFERROR(__xludf.DUMMYFUNCTION("TRIM(REGEXREPLACE(D2356, ""[0-9]+[a-f]?\."", """"))"),"")</f>
        <v/>
      </c>
      <c r="I2356" s="152" t="str">
        <f>IFERROR(__xludf.DUMMYFUNCTION("TRIM(REGEXREPLACE(E2356, ""[0-9]+[a-f]?\."", """"))"),"")</f>
        <v/>
      </c>
      <c r="J2356" s="152" t="str">
        <f t="shared" ref="J2356:L2356" si="520">$F2356 &amp; ". " &amp;G2356</f>
        <v>630. </v>
      </c>
      <c r="K2356" s="152" t="str">
        <f t="shared" si="520"/>
        <v>630. </v>
      </c>
      <c r="L2356" s="152" t="str">
        <f t="shared" si="520"/>
        <v>630. </v>
      </c>
    </row>
    <row r="2357" hidden="1">
      <c r="A2357" s="351"/>
      <c r="B2357" s="352"/>
      <c r="C2357" s="352"/>
      <c r="D2357" s="352"/>
      <c r="E2357" s="352"/>
      <c r="F2357" s="161">
        <v>631.0</v>
      </c>
      <c r="G2357" s="152" t="str">
        <f>IFERROR(__xludf.DUMMYFUNCTION("TRIM(REGEXREPLACE(C2357, ""[0-9]+[a-f]?\."", """"))"),"")</f>
        <v/>
      </c>
      <c r="H2357" s="152" t="str">
        <f>IFERROR(__xludf.DUMMYFUNCTION("TRIM(REGEXREPLACE(D2357, ""[0-9]+[a-f]?\."", """"))"),"")</f>
        <v/>
      </c>
      <c r="I2357" s="152" t="str">
        <f>IFERROR(__xludf.DUMMYFUNCTION("TRIM(REGEXREPLACE(E2357, ""[0-9]+[a-f]?\."", """"))"),"")</f>
        <v/>
      </c>
      <c r="J2357" s="152" t="str">
        <f t="shared" ref="J2357:L2357" si="521">$F2357 &amp; ". " &amp;G2357</f>
        <v>631. </v>
      </c>
      <c r="K2357" s="152" t="str">
        <f t="shared" si="521"/>
        <v>631. </v>
      </c>
      <c r="L2357" s="152" t="str">
        <f t="shared" si="521"/>
        <v>631. </v>
      </c>
    </row>
    <row r="2358" hidden="1">
      <c r="A2358" s="344"/>
      <c r="B2358" s="345"/>
      <c r="C2358" s="345"/>
      <c r="D2358" s="345"/>
      <c r="E2358" s="345"/>
      <c r="F2358" s="161">
        <v>632.0</v>
      </c>
      <c r="G2358" s="152" t="str">
        <f>IFERROR(__xludf.DUMMYFUNCTION("TRIM(REGEXREPLACE(C2358, ""[0-9]+[a-f]?\."", """"))"),"")</f>
        <v/>
      </c>
      <c r="H2358" s="152" t="str">
        <f>IFERROR(__xludf.DUMMYFUNCTION("TRIM(REGEXREPLACE(D2358, ""[0-9]+[a-f]?\."", """"))"),"")</f>
        <v/>
      </c>
      <c r="I2358" s="152" t="str">
        <f>IFERROR(__xludf.DUMMYFUNCTION("TRIM(REGEXREPLACE(E2358, ""[0-9]+[a-f]?\."", """"))"),"")</f>
        <v/>
      </c>
      <c r="J2358" s="152" t="str">
        <f t="shared" ref="J2358:L2358" si="522">$F2358 &amp; ". " &amp;G2358</f>
        <v>632. </v>
      </c>
      <c r="K2358" s="152" t="str">
        <f t="shared" si="522"/>
        <v>632. </v>
      </c>
      <c r="L2358" s="152" t="str">
        <f t="shared" si="522"/>
        <v>632. </v>
      </c>
    </row>
    <row r="2359" hidden="1">
      <c r="A2359" s="346"/>
      <c r="B2359" s="347"/>
      <c r="C2359" s="347"/>
      <c r="D2359" s="347"/>
      <c r="E2359" s="347"/>
      <c r="F2359" s="161">
        <v>633.0</v>
      </c>
      <c r="G2359" s="152" t="str">
        <f>IFERROR(__xludf.DUMMYFUNCTION("TRIM(REGEXREPLACE(C2359, ""[0-9]+[a-f]?\."", """"))"),"")</f>
        <v/>
      </c>
      <c r="H2359" s="152" t="str">
        <f>IFERROR(__xludf.DUMMYFUNCTION("TRIM(REGEXREPLACE(D2359, ""[0-9]+[a-f]?\."", """"))"),"")</f>
        <v/>
      </c>
      <c r="I2359" s="152" t="str">
        <f>IFERROR(__xludf.DUMMYFUNCTION("TRIM(REGEXREPLACE(E2359, ""[0-9]+[a-f]?\."", """"))"),"")</f>
        <v/>
      </c>
      <c r="J2359" s="152" t="str">
        <f t="shared" ref="J2359:L2359" si="523">$F2359 &amp; ". " &amp;G2359</f>
        <v>633. </v>
      </c>
      <c r="K2359" s="152" t="str">
        <f t="shared" si="523"/>
        <v>633. </v>
      </c>
      <c r="L2359" s="152" t="str">
        <f t="shared" si="523"/>
        <v>633. </v>
      </c>
    </row>
    <row r="2360" hidden="1">
      <c r="A2360" s="344"/>
      <c r="B2360" s="345"/>
      <c r="C2360" s="345"/>
      <c r="D2360" s="345"/>
      <c r="E2360" s="345"/>
      <c r="F2360" s="161">
        <v>634.0</v>
      </c>
      <c r="G2360" s="152" t="str">
        <f>IFERROR(__xludf.DUMMYFUNCTION("TRIM(REGEXREPLACE(C2360, ""[0-9]+[a-f]?\."", """"))"),"")</f>
        <v/>
      </c>
      <c r="H2360" s="152" t="str">
        <f>IFERROR(__xludf.DUMMYFUNCTION("TRIM(REGEXREPLACE(D2360, ""[0-9]+[a-f]?\."", """"))"),"")</f>
        <v/>
      </c>
      <c r="I2360" s="152" t="str">
        <f>IFERROR(__xludf.DUMMYFUNCTION("TRIM(REGEXREPLACE(E2360, ""[0-9]+[a-f]?\."", """"))"),"")</f>
        <v/>
      </c>
      <c r="J2360" s="152" t="str">
        <f t="shared" ref="J2360:L2360" si="524">$F2360 &amp; ". " &amp;G2360</f>
        <v>634. </v>
      </c>
      <c r="K2360" s="152" t="str">
        <f t="shared" si="524"/>
        <v>634. </v>
      </c>
      <c r="L2360" s="152" t="str">
        <f t="shared" si="524"/>
        <v>634. </v>
      </c>
    </row>
    <row r="2361" hidden="1">
      <c r="A2361" s="351"/>
      <c r="B2361" s="352"/>
      <c r="C2361" s="352"/>
      <c r="D2361" s="352"/>
      <c r="E2361" s="352"/>
      <c r="F2361" s="161">
        <v>635.0</v>
      </c>
      <c r="G2361" s="152" t="str">
        <f>IFERROR(__xludf.DUMMYFUNCTION("TRIM(REGEXREPLACE(C2361, ""[0-9]+[a-f]?\."", """"))"),"")</f>
        <v/>
      </c>
      <c r="H2361" s="152" t="str">
        <f>IFERROR(__xludf.DUMMYFUNCTION("TRIM(REGEXREPLACE(D2361, ""[0-9]+[a-f]?\."", """"))"),"")</f>
        <v/>
      </c>
      <c r="I2361" s="152" t="str">
        <f>IFERROR(__xludf.DUMMYFUNCTION("TRIM(REGEXREPLACE(E2361, ""[0-9]+[a-f]?\."", """"))"),"")</f>
        <v/>
      </c>
      <c r="J2361" s="152" t="str">
        <f t="shared" ref="J2361:L2361" si="525">$F2361 &amp; ". " &amp;G2361</f>
        <v>635. </v>
      </c>
      <c r="K2361" s="152" t="str">
        <f t="shared" si="525"/>
        <v>635. </v>
      </c>
      <c r="L2361" s="152" t="str">
        <f t="shared" si="525"/>
        <v>635. </v>
      </c>
    </row>
    <row r="2362" hidden="1">
      <c r="A2362" s="344"/>
      <c r="B2362" s="345"/>
      <c r="C2362" s="345"/>
      <c r="D2362" s="345"/>
      <c r="E2362" s="345"/>
      <c r="F2362" s="161">
        <v>636.0</v>
      </c>
      <c r="G2362" s="152" t="str">
        <f>IFERROR(__xludf.DUMMYFUNCTION("TRIM(REGEXREPLACE(C2362, ""[0-9]+[a-f]?\."", """"))"),"")</f>
        <v/>
      </c>
      <c r="H2362" s="152" t="str">
        <f>IFERROR(__xludf.DUMMYFUNCTION("TRIM(REGEXREPLACE(D2362, ""[0-9]+[a-f]?\."", """"))"),"")</f>
        <v/>
      </c>
      <c r="I2362" s="152" t="str">
        <f>IFERROR(__xludf.DUMMYFUNCTION("TRIM(REGEXREPLACE(E2362, ""[0-9]+[a-f]?\."", """"))"),"")</f>
        <v/>
      </c>
      <c r="J2362" s="152" t="str">
        <f t="shared" ref="J2362:L2362" si="526">$F2362 &amp; ". " &amp;G2362</f>
        <v>636. </v>
      </c>
      <c r="K2362" s="152" t="str">
        <f t="shared" si="526"/>
        <v>636. </v>
      </c>
      <c r="L2362" s="152" t="str">
        <f t="shared" si="526"/>
        <v>636. </v>
      </c>
    </row>
    <row r="2363" hidden="1">
      <c r="A2363" s="346"/>
      <c r="B2363" s="347"/>
      <c r="C2363" s="347"/>
      <c r="D2363" s="347"/>
      <c r="E2363" s="347"/>
      <c r="F2363" s="161">
        <v>637.0</v>
      </c>
      <c r="G2363" s="152" t="str">
        <f>IFERROR(__xludf.DUMMYFUNCTION("TRIM(REGEXREPLACE(C2363, ""[0-9]+[a-f]?\."", """"))"),"")</f>
        <v/>
      </c>
      <c r="H2363" s="152" t="str">
        <f>IFERROR(__xludf.DUMMYFUNCTION("TRIM(REGEXREPLACE(D2363, ""[0-9]+[a-f]?\."", """"))"),"")</f>
        <v/>
      </c>
      <c r="I2363" s="152" t="str">
        <f>IFERROR(__xludf.DUMMYFUNCTION("TRIM(REGEXREPLACE(E2363, ""[0-9]+[a-f]?\."", """"))"),"")</f>
        <v/>
      </c>
      <c r="J2363" s="152" t="str">
        <f t="shared" ref="J2363:L2363" si="527">$F2363 &amp; ". " &amp;G2363</f>
        <v>637. </v>
      </c>
      <c r="K2363" s="152" t="str">
        <f t="shared" si="527"/>
        <v>637. </v>
      </c>
      <c r="L2363" s="152" t="str">
        <f t="shared" si="527"/>
        <v>637. </v>
      </c>
    </row>
    <row r="2364" hidden="1">
      <c r="A2364" s="344"/>
      <c r="B2364" s="345"/>
      <c r="C2364" s="345"/>
      <c r="D2364" s="345"/>
      <c r="E2364" s="345"/>
      <c r="F2364" s="161">
        <v>638.0</v>
      </c>
      <c r="G2364" s="152" t="str">
        <f>IFERROR(__xludf.DUMMYFUNCTION("TRIM(REGEXREPLACE(C2364, ""[0-9]+[a-f]?\."", """"))"),"")</f>
        <v/>
      </c>
      <c r="H2364" s="152" t="str">
        <f>IFERROR(__xludf.DUMMYFUNCTION("TRIM(REGEXREPLACE(D2364, ""[0-9]+[a-f]?\."", """"))"),"")</f>
        <v/>
      </c>
      <c r="I2364" s="152" t="str">
        <f>IFERROR(__xludf.DUMMYFUNCTION("TRIM(REGEXREPLACE(E2364, ""[0-9]+[a-f]?\."", """"))"),"")</f>
        <v/>
      </c>
      <c r="J2364" s="152" t="str">
        <f t="shared" ref="J2364:L2364" si="528">$F2364 &amp; ". " &amp;G2364</f>
        <v>638. </v>
      </c>
      <c r="K2364" s="152" t="str">
        <f t="shared" si="528"/>
        <v>638. </v>
      </c>
      <c r="L2364" s="152" t="str">
        <f t="shared" si="528"/>
        <v>638. </v>
      </c>
    </row>
    <row r="2365" hidden="1">
      <c r="A2365" s="351"/>
      <c r="B2365" s="352"/>
      <c r="C2365" s="352"/>
      <c r="D2365" s="352"/>
      <c r="E2365" s="352"/>
      <c r="F2365" s="161">
        <v>639.0</v>
      </c>
      <c r="G2365" s="152" t="str">
        <f>IFERROR(__xludf.DUMMYFUNCTION("TRIM(REGEXREPLACE(C2365, ""[0-9]+[a-f]?\."", """"))"),"")</f>
        <v/>
      </c>
      <c r="H2365" s="152" t="str">
        <f>IFERROR(__xludf.DUMMYFUNCTION("TRIM(REGEXREPLACE(D2365, ""[0-9]+[a-f]?\."", """"))"),"")</f>
        <v/>
      </c>
      <c r="I2365" s="152" t="str">
        <f>IFERROR(__xludf.DUMMYFUNCTION("TRIM(REGEXREPLACE(E2365, ""[0-9]+[a-f]?\."", """"))"),"")</f>
        <v/>
      </c>
      <c r="J2365" s="152" t="str">
        <f t="shared" ref="J2365:L2365" si="529">$F2365 &amp; ". " &amp;G2365</f>
        <v>639. </v>
      </c>
      <c r="K2365" s="152" t="str">
        <f t="shared" si="529"/>
        <v>639. </v>
      </c>
      <c r="L2365" s="152" t="str">
        <f t="shared" si="529"/>
        <v>639. </v>
      </c>
    </row>
    <row r="2366" hidden="1">
      <c r="A2366" s="351"/>
      <c r="B2366" s="352"/>
      <c r="C2366" s="352"/>
      <c r="D2366" s="352"/>
      <c r="E2366" s="352"/>
      <c r="F2366" s="161">
        <v>640.0</v>
      </c>
      <c r="G2366" s="152" t="str">
        <f>IFERROR(__xludf.DUMMYFUNCTION("TRIM(REGEXREPLACE(C2366, ""[0-9]+[a-f]?\."", """"))"),"")</f>
        <v/>
      </c>
      <c r="H2366" s="152" t="str">
        <f>IFERROR(__xludf.DUMMYFUNCTION("TRIM(REGEXREPLACE(D2366, ""[0-9]+[a-f]?\."", """"))"),"")</f>
        <v/>
      </c>
      <c r="I2366" s="152" t="str">
        <f>IFERROR(__xludf.DUMMYFUNCTION("TRIM(REGEXREPLACE(E2366, ""[0-9]+[a-f]?\."", """"))"),"")</f>
        <v/>
      </c>
      <c r="J2366" s="152" t="str">
        <f t="shared" ref="J2366:L2366" si="530">$F2366 &amp; ". " &amp;G2366</f>
        <v>640. </v>
      </c>
      <c r="K2366" s="152" t="str">
        <f t="shared" si="530"/>
        <v>640. </v>
      </c>
      <c r="L2366" s="152" t="str">
        <f t="shared" si="530"/>
        <v>640. </v>
      </c>
    </row>
    <row r="2367" hidden="1">
      <c r="A2367" s="338"/>
      <c r="B2367" s="339"/>
      <c r="C2367" s="341"/>
      <c r="D2367" s="341"/>
      <c r="E2367" s="341"/>
    </row>
    <row r="2368" hidden="1">
      <c r="A2368" s="338"/>
      <c r="B2368" s="339"/>
      <c r="C2368" s="341"/>
      <c r="D2368" s="341"/>
      <c r="E2368" s="341"/>
    </row>
    <row r="2369" hidden="1">
      <c r="A2369" s="348"/>
      <c r="B2369" s="353"/>
      <c r="C2369" s="353"/>
      <c r="D2369" s="354"/>
      <c r="E2369" s="354"/>
    </row>
    <row r="2370" hidden="1">
      <c r="A2370" s="338"/>
      <c r="B2370" s="339"/>
      <c r="C2370" s="341"/>
      <c r="D2370" s="341"/>
      <c r="E2370" s="341"/>
    </row>
    <row r="2371" hidden="1">
      <c r="A2371" s="348"/>
      <c r="B2371" s="349"/>
      <c r="C2371" s="349"/>
      <c r="D2371" s="349"/>
      <c r="E2371" s="349"/>
    </row>
    <row r="2372" hidden="1">
      <c r="A2372" s="344"/>
      <c r="B2372" s="345"/>
      <c r="C2372" s="345"/>
      <c r="D2372" s="345"/>
      <c r="E2372" s="345"/>
      <c r="F2372" s="161">
        <v>641.0</v>
      </c>
      <c r="G2372" s="152" t="str">
        <f>IFERROR(__xludf.DUMMYFUNCTION("TRIM(REGEXREPLACE(C2372, ""[0-9]+[a-f]?\."", """"))"),"")</f>
        <v/>
      </c>
      <c r="H2372" s="152" t="str">
        <f>IFERROR(__xludf.DUMMYFUNCTION("TRIM(REGEXREPLACE(D2372, ""[0-9]+[a-f]?\."", """"))"),"")</f>
        <v/>
      </c>
      <c r="I2372" s="152" t="str">
        <f>IFERROR(__xludf.DUMMYFUNCTION("TRIM(REGEXREPLACE(E2372, ""[0-9]+[a-f]?\."", """"))"),"")</f>
        <v/>
      </c>
      <c r="J2372" s="152" t="str">
        <f t="shared" ref="J2372:L2372" si="531">$F2372 &amp; ". " &amp;G2372</f>
        <v>641. </v>
      </c>
      <c r="K2372" s="152" t="str">
        <f t="shared" si="531"/>
        <v>641. </v>
      </c>
      <c r="L2372" s="152" t="str">
        <f t="shared" si="531"/>
        <v>641. </v>
      </c>
    </row>
    <row r="2373" hidden="1">
      <c r="A2373" s="344"/>
      <c r="B2373" s="345"/>
      <c r="C2373" s="345"/>
      <c r="D2373" s="345"/>
      <c r="E2373" s="345"/>
      <c r="F2373" s="161">
        <v>642.0</v>
      </c>
      <c r="G2373" s="152" t="str">
        <f>IFERROR(__xludf.DUMMYFUNCTION("TRIM(REGEXREPLACE(C2373, ""[0-9]+[a-f]?\."", """"))"),"")</f>
        <v/>
      </c>
      <c r="H2373" s="152" t="str">
        <f>IFERROR(__xludf.DUMMYFUNCTION("TRIM(REGEXREPLACE(D2373, ""[0-9]+[a-f]?\."", """"))"),"")</f>
        <v/>
      </c>
      <c r="I2373" s="152" t="str">
        <f>IFERROR(__xludf.DUMMYFUNCTION("TRIM(REGEXREPLACE(E2373, ""[0-9]+[a-f]?\."", """"))"),"")</f>
        <v/>
      </c>
      <c r="J2373" s="152" t="str">
        <f t="shared" ref="J2373:L2373" si="532">$F2373 &amp; ". " &amp;G2373</f>
        <v>642. </v>
      </c>
      <c r="K2373" s="152" t="str">
        <f t="shared" si="532"/>
        <v>642. </v>
      </c>
      <c r="L2373" s="152" t="str">
        <f t="shared" si="532"/>
        <v>642. </v>
      </c>
    </row>
    <row r="2374" hidden="1">
      <c r="A2374" s="344"/>
      <c r="B2374" s="345"/>
      <c r="C2374" s="345"/>
      <c r="D2374" s="345"/>
      <c r="E2374" s="345"/>
      <c r="F2374" s="161">
        <v>643.0</v>
      </c>
      <c r="G2374" s="152" t="str">
        <f>IFERROR(__xludf.DUMMYFUNCTION("TRIM(REGEXREPLACE(C2374, ""[0-9]+[a-f]?\."", """"))"),"")</f>
        <v/>
      </c>
      <c r="H2374" s="152" t="str">
        <f>IFERROR(__xludf.DUMMYFUNCTION("TRIM(REGEXREPLACE(D2374, ""[0-9]+[a-f]?\."", """"))"),"")</f>
        <v/>
      </c>
      <c r="I2374" s="152" t="str">
        <f>IFERROR(__xludf.DUMMYFUNCTION("TRIM(REGEXREPLACE(E2374, ""[0-9]+[a-f]?\."", """"))"),"")</f>
        <v/>
      </c>
      <c r="J2374" s="152" t="str">
        <f t="shared" ref="J2374:L2374" si="533">$F2374 &amp; ". " &amp;G2374</f>
        <v>643. </v>
      </c>
      <c r="K2374" s="152" t="str">
        <f t="shared" si="533"/>
        <v>643. </v>
      </c>
      <c r="L2374" s="152" t="str">
        <f t="shared" si="533"/>
        <v>643. </v>
      </c>
    </row>
    <row r="2375" hidden="1">
      <c r="A2375" s="344"/>
      <c r="B2375" s="345"/>
      <c r="C2375" s="345"/>
      <c r="D2375" s="345"/>
      <c r="E2375" s="345"/>
      <c r="F2375" s="161">
        <v>644.0</v>
      </c>
      <c r="G2375" s="152" t="str">
        <f>IFERROR(__xludf.DUMMYFUNCTION("TRIM(REGEXREPLACE(C2375, ""[0-9]+[a-f]?\."", """"))"),"")</f>
        <v/>
      </c>
      <c r="H2375" s="152" t="str">
        <f>IFERROR(__xludf.DUMMYFUNCTION("TRIM(REGEXREPLACE(D2375, ""[0-9]+[a-f]?\."", """"))"),"")</f>
        <v/>
      </c>
      <c r="I2375" s="152" t="str">
        <f>IFERROR(__xludf.DUMMYFUNCTION("TRIM(REGEXREPLACE(E2375, ""[0-9]+[a-f]?\."", """"))"),"")</f>
        <v/>
      </c>
      <c r="J2375" s="152" t="str">
        <f t="shared" ref="J2375:L2375" si="534">$F2375 &amp; ". " &amp;G2375</f>
        <v>644. </v>
      </c>
      <c r="K2375" s="152" t="str">
        <f t="shared" si="534"/>
        <v>644. </v>
      </c>
      <c r="L2375" s="152" t="str">
        <f t="shared" si="534"/>
        <v>644. </v>
      </c>
    </row>
    <row r="2376" hidden="1">
      <c r="A2376" s="344"/>
      <c r="B2376" s="345"/>
      <c r="C2376" s="345"/>
      <c r="D2376" s="345"/>
      <c r="E2376" s="345"/>
      <c r="F2376" s="161">
        <v>645.0</v>
      </c>
      <c r="G2376" s="152" t="str">
        <f>IFERROR(__xludf.DUMMYFUNCTION("TRIM(REGEXREPLACE(C2376, ""[0-9]+[a-f]?\."", """"))"),"")</f>
        <v/>
      </c>
      <c r="H2376" s="152" t="str">
        <f>IFERROR(__xludf.DUMMYFUNCTION("TRIM(REGEXREPLACE(D2376, ""[0-9]+[a-f]?\."", """"))"),"")</f>
        <v/>
      </c>
      <c r="I2376" s="152" t="str">
        <f>IFERROR(__xludf.DUMMYFUNCTION("TRIM(REGEXREPLACE(E2376, ""[0-9]+[a-f]?\."", """"))"),"")</f>
        <v/>
      </c>
      <c r="J2376" s="152" t="str">
        <f t="shared" ref="J2376:L2376" si="535">$F2376 &amp; ". " &amp;G2376</f>
        <v>645. </v>
      </c>
      <c r="K2376" s="152" t="str">
        <f t="shared" si="535"/>
        <v>645. </v>
      </c>
      <c r="L2376" s="152" t="str">
        <f t="shared" si="535"/>
        <v>645. </v>
      </c>
    </row>
    <row r="2377" hidden="1">
      <c r="A2377" s="344"/>
      <c r="B2377" s="345"/>
      <c r="C2377" s="345"/>
      <c r="D2377" s="345"/>
      <c r="E2377" s="345"/>
      <c r="F2377" s="161">
        <v>646.0</v>
      </c>
      <c r="G2377" s="152" t="str">
        <f>IFERROR(__xludf.DUMMYFUNCTION("TRIM(REGEXREPLACE(C2377, ""[0-9]+[a-f]?\."", """"))"),"")</f>
        <v/>
      </c>
      <c r="H2377" s="152" t="str">
        <f>IFERROR(__xludf.DUMMYFUNCTION("TRIM(REGEXREPLACE(D2377, ""[0-9]+[a-f]?\."", """"))"),"")</f>
        <v/>
      </c>
      <c r="I2377" s="152" t="str">
        <f>IFERROR(__xludf.DUMMYFUNCTION("TRIM(REGEXREPLACE(E2377, ""[0-9]+[a-f]?\."", """"))"),"")</f>
        <v/>
      </c>
      <c r="J2377" s="152" t="str">
        <f t="shared" ref="J2377:L2377" si="536">$F2377 &amp; ". " &amp;G2377</f>
        <v>646. </v>
      </c>
      <c r="K2377" s="152" t="str">
        <f t="shared" si="536"/>
        <v>646. </v>
      </c>
      <c r="L2377" s="152" t="str">
        <f t="shared" si="536"/>
        <v>646. </v>
      </c>
    </row>
    <row r="2378" hidden="1">
      <c r="A2378" s="348"/>
      <c r="B2378" s="353"/>
      <c r="C2378" s="353"/>
      <c r="D2378" s="353"/>
      <c r="E2378" s="353"/>
    </row>
    <row r="2379" hidden="1">
      <c r="A2379" s="346"/>
      <c r="B2379" s="347"/>
      <c r="C2379" s="347"/>
      <c r="D2379" s="347"/>
      <c r="E2379" s="347"/>
      <c r="F2379" s="161">
        <v>647.0</v>
      </c>
      <c r="G2379" s="152" t="str">
        <f>IFERROR(__xludf.DUMMYFUNCTION("TRIM(REGEXREPLACE(C2379, ""[0-9]+[a-f]?\."", """"))"),"")</f>
        <v/>
      </c>
      <c r="H2379" s="152" t="str">
        <f>IFERROR(__xludf.DUMMYFUNCTION("TRIM(REGEXREPLACE(D2379, ""[0-9]+[a-f]?\."", """"))"),"")</f>
        <v/>
      </c>
      <c r="I2379" s="152" t="str">
        <f>IFERROR(__xludf.DUMMYFUNCTION("TRIM(REGEXREPLACE(E2379, ""[0-9]+[a-f]?\."", """"))"),"")</f>
        <v/>
      </c>
      <c r="J2379" s="152" t="str">
        <f t="shared" ref="J2379:L2379" si="537">$F2379 &amp; ". " &amp;G2379</f>
        <v>647. </v>
      </c>
      <c r="K2379" s="152" t="str">
        <f t="shared" si="537"/>
        <v>647. </v>
      </c>
      <c r="L2379" s="152" t="str">
        <f t="shared" si="537"/>
        <v>647. </v>
      </c>
    </row>
    <row r="2380" hidden="1">
      <c r="A2380" s="351"/>
      <c r="B2380" s="352"/>
      <c r="C2380" s="352"/>
      <c r="D2380" s="352"/>
      <c r="E2380" s="352"/>
      <c r="F2380" s="161">
        <v>648.0</v>
      </c>
      <c r="G2380" s="152" t="str">
        <f>IFERROR(__xludf.DUMMYFUNCTION("TRIM(REGEXREPLACE(C2380, ""[0-9]+[a-f]?\."", """"))"),"")</f>
        <v/>
      </c>
      <c r="H2380" s="152" t="str">
        <f>IFERROR(__xludf.DUMMYFUNCTION("TRIM(REGEXREPLACE(D2380, ""[0-9]+[a-f]?\."", """"))"),"")</f>
        <v/>
      </c>
      <c r="I2380" s="152" t="str">
        <f>IFERROR(__xludf.DUMMYFUNCTION("TRIM(REGEXREPLACE(E2380, ""[0-9]+[a-f]?\."", """"))"),"")</f>
        <v/>
      </c>
      <c r="J2380" s="152" t="str">
        <f t="shared" ref="J2380:L2380" si="538">$F2380 &amp; ". " &amp;G2380</f>
        <v>648. </v>
      </c>
      <c r="K2380" s="152" t="str">
        <f t="shared" si="538"/>
        <v>648. </v>
      </c>
      <c r="L2380" s="152" t="str">
        <f t="shared" si="538"/>
        <v>648. </v>
      </c>
    </row>
    <row r="2381" hidden="1">
      <c r="A2381" s="344"/>
      <c r="B2381" s="345"/>
      <c r="C2381" s="345"/>
      <c r="D2381" s="345"/>
      <c r="E2381" s="345"/>
      <c r="F2381" s="161">
        <v>649.0</v>
      </c>
      <c r="G2381" s="152" t="str">
        <f>IFERROR(__xludf.DUMMYFUNCTION("TRIM(REGEXREPLACE(C2381, ""[0-9]+[a-f]?\."", """"))"),"")</f>
        <v/>
      </c>
      <c r="H2381" s="152" t="str">
        <f>IFERROR(__xludf.DUMMYFUNCTION("TRIM(REGEXREPLACE(D2381, ""[0-9]+[a-f]?\."", """"))"),"")</f>
        <v/>
      </c>
      <c r="I2381" s="152" t="str">
        <f>IFERROR(__xludf.DUMMYFUNCTION("TRIM(REGEXREPLACE(E2381, ""[0-9]+[a-f]?\."", """"))"),"")</f>
        <v/>
      </c>
      <c r="J2381" s="152" t="str">
        <f t="shared" ref="J2381:L2381" si="539">$F2381 &amp; ". " &amp;G2381</f>
        <v>649. </v>
      </c>
      <c r="K2381" s="152" t="str">
        <f t="shared" si="539"/>
        <v>649. </v>
      </c>
      <c r="L2381" s="152" t="str">
        <f t="shared" si="539"/>
        <v>649. </v>
      </c>
    </row>
    <row r="2382" hidden="1">
      <c r="A2382" s="346"/>
      <c r="B2382" s="347"/>
      <c r="C2382" s="347"/>
      <c r="D2382" s="347"/>
      <c r="E2382" s="347"/>
      <c r="F2382" s="161">
        <v>650.0</v>
      </c>
      <c r="G2382" s="152" t="str">
        <f>IFERROR(__xludf.DUMMYFUNCTION("TRIM(REGEXREPLACE(C2382, ""[0-9]+[a-f]?\."", """"))"),"")</f>
        <v/>
      </c>
      <c r="H2382" s="152" t="str">
        <f>IFERROR(__xludf.DUMMYFUNCTION("TRIM(REGEXREPLACE(D2382, ""[0-9]+[a-f]?\."", """"))"),"")</f>
        <v/>
      </c>
      <c r="I2382" s="152" t="str">
        <f>IFERROR(__xludf.DUMMYFUNCTION("TRIM(REGEXREPLACE(E2382, ""[0-9]+[a-f]?\."", """"))"),"")</f>
        <v/>
      </c>
      <c r="J2382" s="152" t="str">
        <f t="shared" ref="J2382:L2382" si="540">$F2382 &amp; ". " &amp;G2382</f>
        <v>650. </v>
      </c>
      <c r="K2382" s="152" t="str">
        <f t="shared" si="540"/>
        <v>650. </v>
      </c>
      <c r="L2382" s="152" t="str">
        <f t="shared" si="540"/>
        <v>650. </v>
      </c>
    </row>
    <row r="2383" hidden="1">
      <c r="A2383" s="344"/>
      <c r="B2383" s="345"/>
      <c r="C2383" s="345"/>
      <c r="D2383" s="345"/>
      <c r="E2383" s="345"/>
      <c r="F2383" s="161">
        <v>651.0</v>
      </c>
      <c r="G2383" s="152" t="str">
        <f>IFERROR(__xludf.DUMMYFUNCTION("TRIM(REGEXREPLACE(C2383, ""[0-9]+[a-f]?\."", """"))"),"")</f>
        <v/>
      </c>
      <c r="H2383" s="152" t="str">
        <f>IFERROR(__xludf.DUMMYFUNCTION("TRIM(REGEXREPLACE(D2383, ""[0-9]+[a-f]?\."", """"))"),"")</f>
        <v/>
      </c>
      <c r="I2383" s="152" t="str">
        <f>IFERROR(__xludf.DUMMYFUNCTION("TRIM(REGEXREPLACE(E2383, ""[0-9]+[a-f]?\."", """"))"),"")</f>
        <v/>
      </c>
      <c r="J2383" s="152" t="str">
        <f t="shared" ref="J2383:L2383" si="541">$F2383 &amp; ". " &amp;G2383</f>
        <v>651. </v>
      </c>
      <c r="K2383" s="152" t="str">
        <f t="shared" si="541"/>
        <v>651. </v>
      </c>
      <c r="L2383" s="152" t="str">
        <f t="shared" si="541"/>
        <v>651. </v>
      </c>
    </row>
    <row r="2384" hidden="1">
      <c r="A2384" s="346"/>
      <c r="B2384" s="347"/>
      <c r="C2384" s="347"/>
      <c r="D2384" s="347"/>
      <c r="E2384" s="347"/>
      <c r="F2384" s="161">
        <v>652.0</v>
      </c>
      <c r="G2384" s="152" t="str">
        <f>IFERROR(__xludf.DUMMYFUNCTION("TRIM(REGEXREPLACE(C2384, ""[0-9]+[a-f]?\."", """"))"),"")</f>
        <v/>
      </c>
      <c r="H2384" s="152" t="str">
        <f>IFERROR(__xludf.DUMMYFUNCTION("TRIM(REGEXREPLACE(D2384, ""[0-9]+[a-f]?\."", """"))"),"")</f>
        <v/>
      </c>
      <c r="I2384" s="152" t="str">
        <f>IFERROR(__xludf.DUMMYFUNCTION("TRIM(REGEXREPLACE(E2384, ""[0-9]+[a-f]?\."", """"))"),"")</f>
        <v/>
      </c>
      <c r="J2384" s="152" t="str">
        <f t="shared" ref="J2384:L2384" si="542">$F2384 &amp; ". " &amp;G2384</f>
        <v>652. </v>
      </c>
      <c r="K2384" s="152" t="str">
        <f t="shared" si="542"/>
        <v>652. </v>
      </c>
      <c r="L2384" s="152" t="str">
        <f t="shared" si="542"/>
        <v>652. </v>
      </c>
    </row>
    <row r="2385" hidden="1">
      <c r="A2385" s="338"/>
      <c r="B2385" s="339"/>
      <c r="C2385" s="341"/>
      <c r="D2385" s="341"/>
      <c r="E2385" s="341"/>
    </row>
    <row r="2386" hidden="1">
      <c r="A2386" s="338"/>
      <c r="B2386" s="339"/>
      <c r="C2386" s="341"/>
      <c r="D2386" s="341"/>
      <c r="E2386" s="341"/>
    </row>
    <row r="2387" hidden="1">
      <c r="A2387" s="338"/>
      <c r="B2387" s="339"/>
      <c r="C2387" s="341"/>
      <c r="D2387" s="341"/>
      <c r="E2387" s="341"/>
    </row>
    <row r="2388" hidden="1">
      <c r="A2388" s="342"/>
      <c r="B2388" s="343"/>
      <c r="C2388" s="343"/>
      <c r="D2388" s="343"/>
      <c r="E2388" s="343"/>
      <c r="F2388" s="161">
        <v>653.0</v>
      </c>
      <c r="G2388" s="152" t="str">
        <f>IFERROR(__xludf.DUMMYFUNCTION("TRIM(REGEXREPLACE(C2388, ""[0-9]+[a-f]?\."", """"))"),"")</f>
        <v/>
      </c>
      <c r="H2388" s="152" t="str">
        <f>IFERROR(__xludf.DUMMYFUNCTION("TRIM(REGEXREPLACE(D2388, ""[0-9]+[a-f]?\."", """"))"),"")</f>
        <v/>
      </c>
      <c r="I2388" s="152" t="str">
        <f>IFERROR(__xludf.DUMMYFUNCTION("TRIM(REGEXREPLACE(E2388, ""[0-9]+[a-f]?\."", """"))"),"")</f>
        <v/>
      </c>
      <c r="J2388" s="152" t="str">
        <f t="shared" ref="J2388:L2388" si="543">$F2388 &amp; ". " &amp;G2388</f>
        <v>653. </v>
      </c>
      <c r="K2388" s="152" t="str">
        <f t="shared" si="543"/>
        <v>653. </v>
      </c>
      <c r="L2388" s="152" t="str">
        <f t="shared" si="543"/>
        <v>653. </v>
      </c>
    </row>
    <row r="2389" hidden="1">
      <c r="A2389" s="344"/>
      <c r="B2389" s="345"/>
      <c r="C2389" s="345"/>
      <c r="D2389" s="345"/>
      <c r="E2389" s="345"/>
      <c r="F2389" s="161">
        <v>654.0</v>
      </c>
      <c r="G2389" s="152" t="str">
        <f>IFERROR(__xludf.DUMMYFUNCTION("TRIM(REGEXREPLACE(C2389, ""[0-9]+[a-f]?\."", """"))"),"")</f>
        <v/>
      </c>
      <c r="H2389" s="152" t="str">
        <f>IFERROR(__xludf.DUMMYFUNCTION("TRIM(REGEXREPLACE(D2389, ""[0-9]+[a-f]?\."", """"))"),"")</f>
        <v/>
      </c>
      <c r="I2389" s="152" t="str">
        <f>IFERROR(__xludf.DUMMYFUNCTION("TRIM(REGEXREPLACE(E2389, ""[0-9]+[a-f]?\."", """"))"),"")</f>
        <v/>
      </c>
      <c r="J2389" s="152" t="str">
        <f t="shared" ref="J2389:L2389" si="544">$F2389 &amp; ". " &amp;G2389</f>
        <v>654. </v>
      </c>
      <c r="K2389" s="152" t="str">
        <f t="shared" si="544"/>
        <v>654. </v>
      </c>
      <c r="L2389" s="152" t="str">
        <f t="shared" si="544"/>
        <v>654. </v>
      </c>
    </row>
    <row r="2390" hidden="1">
      <c r="A2390" s="346"/>
      <c r="B2390" s="347"/>
      <c r="C2390" s="347"/>
      <c r="D2390" s="347"/>
      <c r="E2390" s="347"/>
      <c r="F2390" s="161">
        <v>655.0</v>
      </c>
      <c r="G2390" s="152" t="str">
        <f>IFERROR(__xludf.DUMMYFUNCTION("TRIM(REGEXREPLACE(C2390, ""[0-9]+[a-f]?\."", """"))"),"")</f>
        <v/>
      </c>
      <c r="H2390" s="152" t="str">
        <f>IFERROR(__xludf.DUMMYFUNCTION("TRIM(REGEXREPLACE(D2390, ""[0-9]+[a-f]?\."", """"))"),"")</f>
        <v/>
      </c>
      <c r="I2390" s="152" t="str">
        <f>IFERROR(__xludf.DUMMYFUNCTION("TRIM(REGEXREPLACE(E2390, ""[0-9]+[a-f]?\."", """"))"),"")</f>
        <v/>
      </c>
      <c r="J2390" s="152" t="str">
        <f t="shared" ref="J2390:L2390" si="545">$F2390 &amp; ". " &amp;G2390</f>
        <v>655. </v>
      </c>
      <c r="K2390" s="152" t="str">
        <f t="shared" si="545"/>
        <v>655. </v>
      </c>
      <c r="L2390" s="152" t="str">
        <f t="shared" si="545"/>
        <v>655. </v>
      </c>
    </row>
    <row r="2391" hidden="1">
      <c r="A2391" s="356"/>
      <c r="B2391" s="357"/>
      <c r="C2391" s="357"/>
      <c r="D2391" s="357"/>
      <c r="E2391" s="357"/>
    </row>
    <row r="2392" hidden="1">
      <c r="A2392" s="338"/>
      <c r="B2392" s="339"/>
      <c r="C2392" s="341"/>
      <c r="D2392" s="341"/>
      <c r="E2392" s="341"/>
    </row>
    <row r="2393" hidden="1">
      <c r="A2393" s="338"/>
      <c r="B2393" s="339"/>
      <c r="C2393" s="340"/>
      <c r="D2393" s="340"/>
      <c r="E2393" s="340"/>
    </row>
    <row r="2394" hidden="1">
      <c r="A2394" s="351"/>
      <c r="B2394" s="352"/>
      <c r="C2394" s="352"/>
      <c r="D2394" s="352"/>
      <c r="E2394" s="352"/>
      <c r="F2394" s="161">
        <v>656.0</v>
      </c>
      <c r="G2394" s="152" t="str">
        <f>IFERROR(__xludf.DUMMYFUNCTION("TRIM(REGEXREPLACE(C2394, ""[0-9]+[a-f]?\."", """"))"),"")</f>
        <v/>
      </c>
      <c r="H2394" s="152" t="str">
        <f>IFERROR(__xludf.DUMMYFUNCTION("TRIM(REGEXREPLACE(D2394, ""[0-9]+[a-f]?\."", """"))"),"")</f>
        <v/>
      </c>
      <c r="I2394" s="152" t="str">
        <f>IFERROR(__xludf.DUMMYFUNCTION("TRIM(REGEXREPLACE(E2394, ""[0-9]+[a-f]?\."", """"))"),"")</f>
        <v/>
      </c>
      <c r="J2394" s="152" t="str">
        <f t="shared" ref="J2394:L2394" si="546">$F2394 &amp; ". " &amp;G2394</f>
        <v>656. </v>
      </c>
      <c r="K2394" s="152" t="str">
        <f t="shared" si="546"/>
        <v>656. </v>
      </c>
      <c r="L2394" s="152" t="str">
        <f t="shared" si="546"/>
        <v>656. </v>
      </c>
    </row>
    <row r="2395" hidden="1">
      <c r="A2395" s="344"/>
      <c r="B2395" s="345"/>
      <c r="C2395" s="345"/>
      <c r="D2395" s="345"/>
      <c r="E2395" s="345"/>
      <c r="F2395" s="161">
        <v>657.0</v>
      </c>
      <c r="G2395" s="152" t="str">
        <f>IFERROR(__xludf.DUMMYFUNCTION("TRIM(REGEXREPLACE(C2395, ""[0-9]+[a-f]?\."", """"))"),"")</f>
        <v/>
      </c>
      <c r="H2395" s="152" t="str">
        <f>IFERROR(__xludf.DUMMYFUNCTION("TRIM(REGEXREPLACE(D2395, ""[0-9]+[a-f]?\."", """"))"),"")</f>
        <v/>
      </c>
      <c r="I2395" s="152" t="str">
        <f>IFERROR(__xludf.DUMMYFUNCTION("TRIM(REGEXREPLACE(E2395, ""[0-9]+[a-f]?\."", """"))"),"")</f>
        <v/>
      </c>
      <c r="J2395" s="152" t="str">
        <f t="shared" ref="J2395:L2395" si="547">$F2395 &amp; ". " &amp;G2395</f>
        <v>657. </v>
      </c>
      <c r="K2395" s="152" t="str">
        <f t="shared" si="547"/>
        <v>657. </v>
      </c>
      <c r="L2395" s="152" t="str">
        <f t="shared" si="547"/>
        <v>657. </v>
      </c>
    </row>
    <row r="2396" hidden="1">
      <c r="A2396" s="356"/>
      <c r="B2396" s="359"/>
      <c r="C2396" s="359"/>
      <c r="D2396" s="359"/>
      <c r="E2396" s="359"/>
    </row>
    <row r="2397" hidden="1">
      <c r="A2397" s="338"/>
      <c r="B2397" s="339"/>
      <c r="C2397" s="341"/>
      <c r="D2397" s="341"/>
      <c r="E2397" s="341"/>
    </row>
    <row r="2398" hidden="1">
      <c r="A2398" s="338"/>
      <c r="B2398" s="339"/>
      <c r="C2398" s="341"/>
      <c r="D2398" s="341"/>
      <c r="E2398" s="341"/>
    </row>
    <row r="2399" hidden="1">
      <c r="A2399" s="338"/>
      <c r="B2399" s="339"/>
      <c r="C2399" s="341"/>
      <c r="D2399" s="341"/>
      <c r="E2399" s="341"/>
    </row>
    <row r="2400" hidden="1">
      <c r="A2400" s="344"/>
      <c r="B2400" s="345"/>
      <c r="C2400" s="345"/>
      <c r="D2400" s="345"/>
      <c r="E2400" s="345"/>
      <c r="F2400" s="161">
        <v>658.0</v>
      </c>
      <c r="G2400" s="152" t="str">
        <f>IFERROR(__xludf.DUMMYFUNCTION("TRIM(REGEXREPLACE(C2400, ""[0-9]+[a-f]?\."", """"))"),"")</f>
        <v/>
      </c>
      <c r="H2400" s="152" t="str">
        <f>IFERROR(__xludf.DUMMYFUNCTION("TRIM(REGEXREPLACE(D2400, ""[0-9]+[a-f]?\."", """"))"),"")</f>
        <v/>
      </c>
      <c r="I2400" s="152" t="str">
        <f>IFERROR(__xludf.DUMMYFUNCTION("TRIM(REGEXREPLACE(E2400, ""[0-9]+[a-f]?\."", """"))"),"")</f>
        <v/>
      </c>
      <c r="J2400" s="152" t="str">
        <f t="shared" ref="J2400:L2400" si="548">$F2400 &amp; ". " &amp;G2400</f>
        <v>658. </v>
      </c>
      <c r="K2400" s="152" t="str">
        <f t="shared" si="548"/>
        <v>658. </v>
      </c>
      <c r="L2400" s="152" t="str">
        <f t="shared" si="548"/>
        <v>658. </v>
      </c>
    </row>
    <row r="2401" hidden="1">
      <c r="A2401" s="372"/>
      <c r="B2401" s="373"/>
      <c r="C2401" s="373"/>
      <c r="D2401" s="373"/>
      <c r="E2401" s="373"/>
    </row>
    <row r="2402" hidden="1">
      <c r="A2402" s="344"/>
      <c r="B2402" s="345"/>
      <c r="C2402" s="345"/>
      <c r="D2402" s="345"/>
      <c r="E2402" s="345"/>
      <c r="F2402" s="161">
        <v>659.0</v>
      </c>
      <c r="G2402" s="152" t="str">
        <f>IFERROR(__xludf.DUMMYFUNCTION("TRIM(REGEXREPLACE(C2402, ""[0-9]+[a-f]?\."", """"))"),"")</f>
        <v/>
      </c>
      <c r="H2402" s="152" t="str">
        <f>IFERROR(__xludf.DUMMYFUNCTION("TRIM(REGEXREPLACE(D2402, ""[0-9]+[a-f]?\."", """"))"),"")</f>
        <v/>
      </c>
      <c r="I2402" s="152" t="str">
        <f>IFERROR(__xludf.DUMMYFUNCTION("TRIM(REGEXREPLACE(E2402, ""[0-9]+[a-f]?\."", """"))"),"")</f>
        <v/>
      </c>
      <c r="J2402" s="152" t="str">
        <f t="shared" ref="J2402:L2402" si="549">$F2402 &amp; ". " &amp;G2402</f>
        <v>659. </v>
      </c>
      <c r="K2402" s="152" t="str">
        <f t="shared" si="549"/>
        <v>659. </v>
      </c>
      <c r="L2402" s="152" t="str">
        <f t="shared" si="549"/>
        <v>659. </v>
      </c>
    </row>
    <row r="2403" hidden="1">
      <c r="A2403" s="346"/>
      <c r="B2403" s="347"/>
      <c r="C2403" s="347"/>
      <c r="D2403" s="347"/>
      <c r="E2403" s="347"/>
      <c r="F2403" s="161">
        <v>660.0</v>
      </c>
      <c r="G2403" s="152" t="str">
        <f>IFERROR(__xludf.DUMMYFUNCTION("TRIM(REGEXREPLACE(C2403, ""[0-9]+[a-f]?\."", """"))"),"")</f>
        <v/>
      </c>
      <c r="H2403" s="152" t="str">
        <f>IFERROR(__xludf.DUMMYFUNCTION("TRIM(REGEXREPLACE(D2403, ""[0-9]+[a-f]?\."", """"))"),"")</f>
        <v/>
      </c>
      <c r="I2403" s="152" t="str">
        <f>IFERROR(__xludf.DUMMYFUNCTION("TRIM(REGEXREPLACE(E2403, ""[0-9]+[a-f]?\."", """"))"),"")</f>
        <v/>
      </c>
      <c r="J2403" s="152" t="str">
        <f t="shared" ref="J2403:L2403" si="550">$F2403 &amp; ". " &amp;G2403</f>
        <v>660. </v>
      </c>
      <c r="K2403" s="152" t="str">
        <f t="shared" si="550"/>
        <v>660. </v>
      </c>
      <c r="L2403" s="152" t="str">
        <f t="shared" si="550"/>
        <v>660. </v>
      </c>
    </row>
    <row r="2404" hidden="1">
      <c r="A2404" s="338"/>
      <c r="B2404" s="339"/>
      <c r="C2404" s="341"/>
      <c r="D2404" s="341"/>
      <c r="E2404" s="341"/>
    </row>
    <row r="2405" hidden="1">
      <c r="A2405" s="356"/>
      <c r="B2405" s="357"/>
      <c r="C2405" s="357"/>
      <c r="D2405" s="358"/>
      <c r="E2405" s="358"/>
    </row>
    <row r="2406" hidden="1">
      <c r="A2406" s="338"/>
      <c r="B2406" s="339"/>
      <c r="C2406" s="340"/>
      <c r="D2406" s="341"/>
      <c r="E2406" s="341"/>
    </row>
    <row r="2407" hidden="1">
      <c r="A2407" s="348"/>
      <c r="B2407" s="349"/>
      <c r="C2407" s="350"/>
      <c r="D2407" s="350"/>
      <c r="E2407" s="350"/>
    </row>
    <row r="2408" hidden="1">
      <c r="A2408" s="344"/>
      <c r="B2408" s="345"/>
      <c r="C2408" s="345"/>
      <c r="D2408" s="345"/>
      <c r="E2408" s="345"/>
      <c r="F2408" s="161">
        <v>661.0</v>
      </c>
      <c r="G2408" s="152" t="str">
        <f>IFERROR(__xludf.DUMMYFUNCTION("TRIM(REGEXREPLACE(C2408, ""[0-9]+[a-f]?\."", """"))"),"")</f>
        <v/>
      </c>
      <c r="H2408" s="152" t="str">
        <f>IFERROR(__xludf.DUMMYFUNCTION("TRIM(REGEXREPLACE(D2408, ""[0-9]+[a-f]?\."", """"))"),"")</f>
        <v/>
      </c>
      <c r="I2408" s="152" t="str">
        <f>IFERROR(__xludf.DUMMYFUNCTION("TRIM(REGEXREPLACE(E2408, ""[0-9]+[a-f]?\."", """"))"),"")</f>
        <v/>
      </c>
      <c r="J2408" s="152" t="str">
        <f t="shared" ref="J2408:L2408" si="551">$F2408 &amp; ". " &amp;G2408</f>
        <v>661. </v>
      </c>
      <c r="K2408" s="152" t="str">
        <f t="shared" si="551"/>
        <v>661. </v>
      </c>
      <c r="L2408" s="152" t="str">
        <f t="shared" si="551"/>
        <v>661. </v>
      </c>
    </row>
    <row r="2409" hidden="1">
      <c r="A2409" s="344"/>
      <c r="B2409" s="345"/>
      <c r="C2409" s="345"/>
      <c r="D2409" s="345"/>
      <c r="E2409" s="345"/>
      <c r="F2409" s="161">
        <v>662.0</v>
      </c>
      <c r="G2409" s="152" t="str">
        <f>IFERROR(__xludf.DUMMYFUNCTION("TRIM(REGEXREPLACE(C2409, ""[0-9]+[a-f]?\."", """"))"),"")</f>
        <v/>
      </c>
      <c r="H2409" s="152" t="str">
        <f>IFERROR(__xludf.DUMMYFUNCTION("TRIM(REGEXREPLACE(D2409, ""[0-9]+[a-f]?\."", """"))"),"")</f>
        <v/>
      </c>
      <c r="I2409" s="152" t="str">
        <f>IFERROR(__xludf.DUMMYFUNCTION("TRIM(REGEXREPLACE(E2409, ""[0-9]+[a-f]?\."", """"))"),"")</f>
        <v/>
      </c>
      <c r="J2409" s="152" t="str">
        <f t="shared" ref="J2409:L2409" si="552">$F2409 &amp; ". " &amp;G2409</f>
        <v>662. </v>
      </c>
      <c r="K2409" s="152" t="str">
        <f t="shared" si="552"/>
        <v>662. </v>
      </c>
      <c r="L2409" s="152" t="str">
        <f t="shared" si="552"/>
        <v>662. </v>
      </c>
    </row>
    <row r="2410" hidden="1">
      <c r="A2410" s="344"/>
      <c r="B2410" s="345"/>
      <c r="C2410" s="345"/>
      <c r="D2410" s="345"/>
      <c r="E2410" s="345"/>
      <c r="F2410" s="161">
        <v>663.0</v>
      </c>
      <c r="G2410" s="152" t="str">
        <f>IFERROR(__xludf.DUMMYFUNCTION("TRIM(REGEXREPLACE(C2410, ""[0-9]+[a-f]?\."", """"))"),"")</f>
        <v/>
      </c>
      <c r="H2410" s="152" t="str">
        <f>IFERROR(__xludf.DUMMYFUNCTION("TRIM(REGEXREPLACE(D2410, ""[0-9]+[a-f]?\."", """"))"),"")</f>
        <v/>
      </c>
      <c r="I2410" s="152" t="str">
        <f>IFERROR(__xludf.DUMMYFUNCTION("TRIM(REGEXREPLACE(E2410, ""[0-9]+[a-f]?\."", """"))"),"")</f>
        <v/>
      </c>
      <c r="J2410" s="152" t="str">
        <f t="shared" ref="J2410:L2410" si="553">$F2410 &amp; ". " &amp;G2410</f>
        <v>663. </v>
      </c>
      <c r="K2410" s="152" t="str">
        <f t="shared" si="553"/>
        <v>663. </v>
      </c>
      <c r="L2410" s="152" t="str">
        <f t="shared" si="553"/>
        <v>663. </v>
      </c>
    </row>
    <row r="2411" hidden="1">
      <c r="A2411" s="344"/>
      <c r="B2411" s="345"/>
      <c r="C2411" s="345"/>
      <c r="D2411" s="345"/>
      <c r="E2411" s="345"/>
      <c r="F2411" s="161">
        <v>664.0</v>
      </c>
      <c r="G2411" s="152" t="str">
        <f>IFERROR(__xludf.DUMMYFUNCTION("TRIM(REGEXREPLACE(C2411, ""[0-9]+[a-f]?\."", """"))"),"")</f>
        <v/>
      </c>
      <c r="H2411" s="152" t="str">
        <f>IFERROR(__xludf.DUMMYFUNCTION("TRIM(REGEXREPLACE(D2411, ""[0-9]+[a-f]?\."", """"))"),"")</f>
        <v/>
      </c>
      <c r="I2411" s="152" t="str">
        <f>IFERROR(__xludf.DUMMYFUNCTION("TRIM(REGEXREPLACE(E2411, ""[0-9]+[a-f]?\."", """"))"),"")</f>
        <v/>
      </c>
      <c r="J2411" s="152" t="str">
        <f t="shared" ref="J2411:L2411" si="554">$F2411 &amp; ". " &amp;G2411</f>
        <v>664. </v>
      </c>
      <c r="K2411" s="152" t="str">
        <f t="shared" si="554"/>
        <v>664. </v>
      </c>
      <c r="L2411" s="152" t="str">
        <f t="shared" si="554"/>
        <v>664. </v>
      </c>
    </row>
    <row r="2412" hidden="1">
      <c r="A2412" s="344"/>
      <c r="B2412" s="345"/>
      <c r="C2412" s="345"/>
      <c r="D2412" s="345"/>
      <c r="E2412" s="345"/>
      <c r="F2412" s="161">
        <v>665.0</v>
      </c>
      <c r="G2412" s="152" t="str">
        <f>IFERROR(__xludf.DUMMYFUNCTION("TRIM(REGEXREPLACE(C2412, ""[0-9]+[a-f]?\."", """"))"),"")</f>
        <v/>
      </c>
      <c r="H2412" s="152" t="str">
        <f>IFERROR(__xludf.DUMMYFUNCTION("TRIM(REGEXREPLACE(D2412, ""[0-9]+[a-f]?\."", """"))"),"")</f>
        <v/>
      </c>
      <c r="I2412" s="152" t="str">
        <f>IFERROR(__xludf.DUMMYFUNCTION("TRIM(REGEXREPLACE(E2412, ""[0-9]+[a-f]?\."", """"))"),"")</f>
        <v/>
      </c>
      <c r="J2412" s="152" t="str">
        <f t="shared" ref="J2412:L2412" si="555">$F2412 &amp; ". " &amp;G2412</f>
        <v>665. </v>
      </c>
      <c r="K2412" s="152" t="str">
        <f t="shared" si="555"/>
        <v>665. </v>
      </c>
      <c r="L2412" s="152" t="str">
        <f t="shared" si="555"/>
        <v>665. </v>
      </c>
    </row>
    <row r="2413" hidden="1">
      <c r="A2413" s="348"/>
      <c r="B2413" s="353"/>
      <c r="C2413" s="354"/>
      <c r="D2413" s="354"/>
      <c r="E2413" s="354"/>
    </row>
    <row r="2414" hidden="1">
      <c r="A2414" s="348"/>
      <c r="B2414" s="349"/>
      <c r="C2414" s="350"/>
      <c r="D2414" s="350"/>
      <c r="E2414" s="350"/>
    </row>
    <row r="2415" hidden="1">
      <c r="A2415" s="342"/>
      <c r="B2415" s="343"/>
      <c r="C2415" s="343"/>
      <c r="D2415" s="343"/>
      <c r="E2415" s="343"/>
      <c r="F2415" s="161">
        <v>666.0</v>
      </c>
      <c r="G2415" s="152" t="str">
        <f>IFERROR(__xludf.DUMMYFUNCTION("TRIM(REGEXREPLACE(C2415, ""[0-9]+[a-f]?\."", """"))"),"")</f>
        <v/>
      </c>
      <c r="H2415" s="152" t="str">
        <f>IFERROR(__xludf.DUMMYFUNCTION("TRIM(REGEXREPLACE(D2415, ""[0-9]+[a-f]?\."", """"))"),"")</f>
        <v/>
      </c>
      <c r="I2415" s="152" t="str">
        <f>IFERROR(__xludf.DUMMYFUNCTION("TRIM(REGEXREPLACE(E2415, ""[0-9]+[a-f]?\."", """"))"),"")</f>
        <v/>
      </c>
      <c r="J2415" s="152" t="str">
        <f t="shared" ref="J2415:L2415" si="556">$F2415 &amp; ". " &amp;G2415</f>
        <v>666. </v>
      </c>
      <c r="K2415" s="152" t="str">
        <f t="shared" si="556"/>
        <v>666. </v>
      </c>
      <c r="L2415" s="152" t="str">
        <f t="shared" si="556"/>
        <v>666. </v>
      </c>
    </row>
    <row r="2416" hidden="1">
      <c r="A2416" s="351"/>
      <c r="B2416" s="352"/>
      <c r="C2416" s="352"/>
      <c r="D2416" s="352"/>
      <c r="E2416" s="352"/>
      <c r="F2416" s="161">
        <v>667.0</v>
      </c>
      <c r="G2416" s="152" t="str">
        <f>IFERROR(__xludf.DUMMYFUNCTION("TRIM(REGEXREPLACE(C2416, ""[0-9]+[a-f]?\."", """"))"),"")</f>
        <v/>
      </c>
      <c r="H2416" s="152" t="str">
        <f>IFERROR(__xludf.DUMMYFUNCTION("TRIM(REGEXREPLACE(D2416, ""[0-9]+[a-f]?\."", """"))"),"")</f>
        <v/>
      </c>
      <c r="I2416" s="152" t="str">
        <f>IFERROR(__xludf.DUMMYFUNCTION("TRIM(REGEXREPLACE(E2416, ""[0-9]+[a-f]?\."", """"))"),"")</f>
        <v/>
      </c>
      <c r="J2416" s="152" t="str">
        <f t="shared" ref="J2416:L2416" si="557">$F2416 &amp; ". " &amp;G2416</f>
        <v>667. </v>
      </c>
      <c r="K2416" s="152" t="str">
        <f t="shared" si="557"/>
        <v>667. </v>
      </c>
      <c r="L2416" s="152" t="str">
        <f t="shared" si="557"/>
        <v>667. </v>
      </c>
    </row>
    <row r="2417" hidden="1">
      <c r="A2417" s="351"/>
      <c r="B2417" s="352"/>
      <c r="C2417" s="352"/>
      <c r="D2417" s="352"/>
      <c r="E2417" s="352"/>
      <c r="F2417" s="161">
        <v>668.0</v>
      </c>
      <c r="G2417" s="152" t="str">
        <f>IFERROR(__xludf.DUMMYFUNCTION("TRIM(REGEXREPLACE(C2417, ""[0-9]+[a-f]?\."", """"))"),"")</f>
        <v/>
      </c>
      <c r="H2417" s="152" t="str">
        <f>IFERROR(__xludf.DUMMYFUNCTION("TRIM(REGEXREPLACE(D2417, ""[0-9]+[a-f]?\."", """"))"),"")</f>
        <v/>
      </c>
      <c r="I2417" s="152" t="str">
        <f>IFERROR(__xludf.DUMMYFUNCTION("TRIM(REGEXREPLACE(E2417, ""[0-9]+[a-f]?\."", """"))"),"")</f>
        <v/>
      </c>
      <c r="J2417" s="152" t="str">
        <f t="shared" ref="J2417:L2417" si="558">$F2417 &amp; ". " &amp;G2417</f>
        <v>668. </v>
      </c>
      <c r="K2417" s="152" t="str">
        <f t="shared" si="558"/>
        <v>668. </v>
      </c>
      <c r="L2417" s="152" t="str">
        <f t="shared" si="558"/>
        <v>668. </v>
      </c>
    </row>
    <row r="2418" hidden="1">
      <c r="A2418" s="351"/>
      <c r="B2418" s="352"/>
      <c r="C2418" s="352"/>
      <c r="D2418" s="352"/>
      <c r="E2418" s="352"/>
      <c r="F2418" s="161">
        <v>669.0</v>
      </c>
      <c r="G2418" s="152" t="str">
        <f>IFERROR(__xludf.DUMMYFUNCTION("TRIM(REGEXREPLACE(C2418, ""[0-9]+[a-f]?\."", """"))"),"")</f>
        <v/>
      </c>
      <c r="H2418" s="152" t="str">
        <f>IFERROR(__xludf.DUMMYFUNCTION("TRIM(REGEXREPLACE(D2418, ""[0-9]+[a-f]?\."", """"))"),"")</f>
        <v/>
      </c>
      <c r="I2418" s="152" t="str">
        <f>IFERROR(__xludf.DUMMYFUNCTION("TRIM(REGEXREPLACE(E2418, ""[0-9]+[a-f]?\."", """"))"),"")</f>
        <v/>
      </c>
      <c r="J2418" s="152" t="str">
        <f t="shared" ref="J2418:L2418" si="559">$F2418 &amp; ". " &amp;G2418</f>
        <v>669. </v>
      </c>
      <c r="K2418" s="152" t="str">
        <f t="shared" si="559"/>
        <v>669. </v>
      </c>
      <c r="L2418" s="152" t="str">
        <f t="shared" si="559"/>
        <v>669. </v>
      </c>
    </row>
    <row r="2419" hidden="1">
      <c r="A2419" s="348"/>
      <c r="B2419" s="353"/>
      <c r="C2419" s="354"/>
      <c r="D2419" s="354"/>
      <c r="E2419" s="354"/>
    </row>
    <row r="2420" hidden="1">
      <c r="A2420" s="356"/>
      <c r="B2420" s="359"/>
      <c r="C2420" s="359"/>
      <c r="D2420" s="360"/>
      <c r="E2420" s="360"/>
    </row>
    <row r="2421" hidden="1">
      <c r="A2421" s="338"/>
      <c r="B2421" s="339"/>
      <c r="C2421" s="341"/>
      <c r="D2421" s="341"/>
      <c r="E2421" s="341"/>
    </row>
    <row r="2422" hidden="1">
      <c r="A2422" s="338"/>
      <c r="B2422" s="339"/>
      <c r="C2422" s="341"/>
      <c r="D2422" s="341"/>
      <c r="E2422" s="341"/>
    </row>
    <row r="2423" hidden="1">
      <c r="A2423" s="338"/>
      <c r="B2423" s="339"/>
      <c r="C2423" s="341"/>
      <c r="D2423" s="341"/>
      <c r="E2423" s="341"/>
    </row>
    <row r="2424" hidden="1">
      <c r="A2424" s="342"/>
      <c r="B2424" s="343"/>
      <c r="C2424" s="343"/>
      <c r="D2424" s="343"/>
      <c r="E2424" s="343"/>
      <c r="F2424" s="161">
        <v>670.0</v>
      </c>
      <c r="G2424" s="152" t="str">
        <f>IFERROR(__xludf.DUMMYFUNCTION("TRIM(REGEXREPLACE(C2424, ""[0-9]+[a-f]?\."", """"))"),"")</f>
        <v/>
      </c>
      <c r="H2424" s="152" t="str">
        <f>IFERROR(__xludf.DUMMYFUNCTION("TRIM(REGEXREPLACE(D2424, ""[0-9]+[a-f]?\."", """"))"),"")</f>
        <v/>
      </c>
      <c r="I2424" s="152" t="str">
        <f>IFERROR(__xludf.DUMMYFUNCTION("TRIM(REGEXREPLACE(E2424, ""[0-9]+[a-f]?\."", """"))"),"")</f>
        <v/>
      </c>
      <c r="J2424" s="152" t="str">
        <f t="shared" ref="J2424:L2424" si="560">$F2424 &amp; ". " &amp;G2424</f>
        <v>670. </v>
      </c>
      <c r="K2424" s="152" t="str">
        <f t="shared" si="560"/>
        <v>670. </v>
      </c>
      <c r="L2424" s="152" t="str">
        <f t="shared" si="560"/>
        <v>670. </v>
      </c>
    </row>
    <row r="2425" hidden="1">
      <c r="A2425" s="344"/>
      <c r="B2425" s="345"/>
      <c r="C2425" s="345"/>
      <c r="D2425" s="345"/>
      <c r="E2425" s="345"/>
      <c r="F2425" s="161">
        <v>671.0</v>
      </c>
      <c r="G2425" s="152" t="str">
        <f>IFERROR(__xludf.DUMMYFUNCTION("TRIM(REGEXREPLACE(C2425, ""[0-9]+[a-f]?\."", """"))"),"")</f>
        <v/>
      </c>
      <c r="H2425" s="152" t="str">
        <f>IFERROR(__xludf.DUMMYFUNCTION("TRIM(REGEXREPLACE(D2425, ""[0-9]+[a-f]?\."", """"))"),"")</f>
        <v/>
      </c>
      <c r="I2425" s="152" t="str">
        <f>IFERROR(__xludf.DUMMYFUNCTION("TRIM(REGEXREPLACE(E2425, ""[0-9]+[a-f]?\."", """"))"),"")</f>
        <v/>
      </c>
      <c r="J2425" s="152" t="str">
        <f t="shared" ref="J2425:L2425" si="561">$F2425 &amp; ". " &amp;G2425</f>
        <v>671. </v>
      </c>
      <c r="K2425" s="152" t="str">
        <f t="shared" si="561"/>
        <v>671. </v>
      </c>
      <c r="L2425" s="152" t="str">
        <f t="shared" si="561"/>
        <v>671. </v>
      </c>
    </row>
    <row r="2426" hidden="1">
      <c r="A2426" s="351"/>
      <c r="B2426" s="352"/>
      <c r="C2426" s="352"/>
      <c r="D2426" s="352"/>
      <c r="E2426" s="352"/>
      <c r="F2426" s="161">
        <v>672.0</v>
      </c>
      <c r="G2426" s="152" t="str">
        <f>IFERROR(__xludf.DUMMYFUNCTION("TRIM(REGEXREPLACE(C2426, ""[0-9]+[a-f]?\."", """"))"),"")</f>
        <v/>
      </c>
      <c r="H2426" s="152" t="str">
        <f>IFERROR(__xludf.DUMMYFUNCTION("TRIM(REGEXREPLACE(D2426, ""[0-9]+[a-f]?\."", """"))"),"")</f>
        <v/>
      </c>
      <c r="I2426" s="152" t="str">
        <f>IFERROR(__xludf.DUMMYFUNCTION("TRIM(REGEXREPLACE(E2426, ""[0-9]+[a-f]?\."", """"))"),"")</f>
        <v/>
      </c>
      <c r="J2426" s="152" t="str">
        <f t="shared" ref="J2426:L2426" si="562">$F2426 &amp; ". " &amp;G2426</f>
        <v>672. </v>
      </c>
      <c r="K2426" s="152" t="str">
        <f t="shared" si="562"/>
        <v>672. </v>
      </c>
      <c r="L2426" s="152" t="str">
        <f t="shared" si="562"/>
        <v>672. </v>
      </c>
    </row>
    <row r="2427" hidden="1">
      <c r="A2427" s="351"/>
      <c r="B2427" s="352"/>
      <c r="C2427" s="352"/>
      <c r="D2427" s="352"/>
      <c r="E2427" s="352"/>
      <c r="F2427" s="161">
        <v>673.0</v>
      </c>
      <c r="G2427" s="152" t="str">
        <f>IFERROR(__xludf.DUMMYFUNCTION("TRIM(REGEXREPLACE(C2427, ""[0-9]+[a-f]?\."", """"))"),"")</f>
        <v/>
      </c>
      <c r="H2427" s="152" t="str">
        <f>IFERROR(__xludf.DUMMYFUNCTION("TRIM(REGEXREPLACE(D2427, ""[0-9]+[a-f]?\."", """"))"),"")</f>
        <v/>
      </c>
      <c r="I2427" s="152" t="str">
        <f>IFERROR(__xludf.DUMMYFUNCTION("TRIM(REGEXREPLACE(E2427, ""[0-9]+[a-f]?\."", """"))"),"")</f>
        <v/>
      </c>
      <c r="J2427" s="152" t="str">
        <f t="shared" ref="J2427:L2427" si="563">$F2427 &amp; ". " &amp;G2427</f>
        <v>673. </v>
      </c>
      <c r="K2427" s="152" t="str">
        <f t="shared" si="563"/>
        <v>673. </v>
      </c>
      <c r="L2427" s="152" t="str">
        <f t="shared" si="563"/>
        <v>673. </v>
      </c>
    </row>
    <row r="2428" hidden="1">
      <c r="A2428" s="344"/>
      <c r="B2428" s="345"/>
      <c r="C2428" s="345"/>
      <c r="D2428" s="345"/>
      <c r="E2428" s="345"/>
      <c r="F2428" s="161">
        <v>674.0</v>
      </c>
      <c r="G2428" s="152" t="str">
        <f>IFERROR(__xludf.DUMMYFUNCTION("TRIM(REGEXREPLACE(C2428, ""[0-9]+[a-f]?\."", """"))"),"")</f>
        <v/>
      </c>
      <c r="H2428" s="152" t="str">
        <f>IFERROR(__xludf.DUMMYFUNCTION("TRIM(REGEXREPLACE(D2428, ""[0-9]+[a-f]?\."", """"))"),"")</f>
        <v/>
      </c>
      <c r="I2428" s="152" t="str">
        <f>IFERROR(__xludf.DUMMYFUNCTION("TRIM(REGEXREPLACE(E2428, ""[0-9]+[a-f]?\."", """"))"),"")</f>
        <v/>
      </c>
      <c r="J2428" s="152" t="str">
        <f t="shared" ref="J2428:L2428" si="564">$F2428 &amp; ". " &amp;G2428</f>
        <v>674. </v>
      </c>
      <c r="K2428" s="152" t="str">
        <f t="shared" si="564"/>
        <v>674. </v>
      </c>
      <c r="L2428" s="152" t="str">
        <f t="shared" si="564"/>
        <v>674. </v>
      </c>
    </row>
    <row r="2429" hidden="1">
      <c r="A2429" s="344"/>
      <c r="B2429" s="345"/>
      <c r="C2429" s="345"/>
      <c r="D2429" s="345"/>
      <c r="E2429" s="345"/>
      <c r="F2429" s="161">
        <v>675.0</v>
      </c>
      <c r="G2429" s="152" t="str">
        <f>IFERROR(__xludf.DUMMYFUNCTION("TRIM(REGEXREPLACE(C2429, ""[0-9]+[a-f]?\."", """"))"),"")</f>
        <v/>
      </c>
      <c r="H2429" s="152" t="str">
        <f>IFERROR(__xludf.DUMMYFUNCTION("TRIM(REGEXREPLACE(D2429, ""[0-9]+[a-f]?\."", """"))"),"")</f>
        <v/>
      </c>
      <c r="I2429" s="152" t="str">
        <f>IFERROR(__xludf.DUMMYFUNCTION("TRIM(REGEXREPLACE(E2429, ""[0-9]+[a-f]?\."", """"))"),"")</f>
        <v/>
      </c>
      <c r="J2429" s="152" t="str">
        <f t="shared" ref="J2429:L2429" si="565">$F2429 &amp; ". " &amp;G2429</f>
        <v>675. </v>
      </c>
      <c r="K2429" s="152" t="str">
        <f t="shared" si="565"/>
        <v>675. </v>
      </c>
      <c r="L2429" s="152" t="str">
        <f t="shared" si="565"/>
        <v>675. </v>
      </c>
    </row>
    <row r="2430" hidden="1">
      <c r="A2430" s="344"/>
      <c r="B2430" s="345"/>
      <c r="C2430" s="345"/>
      <c r="D2430" s="345"/>
      <c r="E2430" s="345"/>
      <c r="F2430" s="161">
        <v>676.0</v>
      </c>
      <c r="G2430" s="152" t="str">
        <f>IFERROR(__xludf.DUMMYFUNCTION("TRIM(REGEXREPLACE(C2430, ""[0-9]+[a-f]?\."", """"))"),"")</f>
        <v/>
      </c>
      <c r="H2430" s="152" t="str">
        <f>IFERROR(__xludf.DUMMYFUNCTION("TRIM(REGEXREPLACE(D2430, ""[0-9]+[a-f]?\."", """"))"),"")</f>
        <v/>
      </c>
      <c r="I2430" s="152" t="str">
        <f>IFERROR(__xludf.DUMMYFUNCTION("TRIM(REGEXREPLACE(E2430, ""[0-9]+[a-f]?\."", """"))"),"")</f>
        <v/>
      </c>
      <c r="J2430" s="152" t="str">
        <f t="shared" ref="J2430:L2430" si="566">$F2430 &amp; ". " &amp;G2430</f>
        <v>676. </v>
      </c>
      <c r="K2430" s="152" t="str">
        <f t="shared" si="566"/>
        <v>676. </v>
      </c>
      <c r="L2430" s="152" t="str">
        <f t="shared" si="566"/>
        <v>676. </v>
      </c>
    </row>
    <row r="2431" hidden="1">
      <c r="A2431" s="338"/>
      <c r="B2431" s="339"/>
      <c r="C2431" s="341"/>
      <c r="D2431" s="341"/>
      <c r="E2431" s="341"/>
    </row>
    <row r="2432" hidden="1">
      <c r="A2432" s="338"/>
      <c r="B2432" s="339"/>
      <c r="C2432" s="341"/>
      <c r="D2432" s="341"/>
      <c r="E2432" s="341"/>
    </row>
    <row r="2433" hidden="1">
      <c r="A2433" s="338"/>
      <c r="B2433" s="339"/>
      <c r="C2433" s="341"/>
      <c r="D2433" s="341"/>
      <c r="E2433" s="341"/>
    </row>
    <row r="2434" hidden="1">
      <c r="A2434" s="342"/>
      <c r="B2434" s="343"/>
      <c r="C2434" s="343"/>
      <c r="D2434" s="343"/>
      <c r="E2434" s="343"/>
      <c r="F2434" s="161">
        <v>677.0</v>
      </c>
      <c r="G2434" s="152" t="str">
        <f>IFERROR(__xludf.DUMMYFUNCTION("TRIM(REGEXREPLACE(C2434, ""[0-9]+[a-f]?\."", """"))"),"")</f>
        <v/>
      </c>
      <c r="H2434" s="152" t="str">
        <f>IFERROR(__xludf.DUMMYFUNCTION("TRIM(REGEXREPLACE(D2434, ""[0-9]+[a-f]?\."", """"))"),"")</f>
        <v/>
      </c>
      <c r="I2434" s="152" t="str">
        <f>IFERROR(__xludf.DUMMYFUNCTION("TRIM(REGEXREPLACE(E2434, ""[0-9]+[a-f]?\."", """"))"),"")</f>
        <v/>
      </c>
      <c r="J2434" s="152" t="str">
        <f t="shared" ref="J2434:L2434" si="567">$F2434 &amp; ". " &amp;G2434</f>
        <v>677. </v>
      </c>
      <c r="K2434" s="152" t="str">
        <f t="shared" si="567"/>
        <v>677. </v>
      </c>
      <c r="L2434" s="152" t="str">
        <f t="shared" si="567"/>
        <v>677. </v>
      </c>
    </row>
    <row r="2435" hidden="1">
      <c r="A2435" s="344"/>
      <c r="B2435" s="345"/>
      <c r="C2435" s="345"/>
      <c r="D2435" s="345"/>
      <c r="E2435" s="345"/>
      <c r="F2435" s="161">
        <v>678.0</v>
      </c>
      <c r="G2435" s="152" t="str">
        <f>IFERROR(__xludf.DUMMYFUNCTION("TRIM(REGEXREPLACE(C2435, ""[0-9]+[a-f]?\."", """"))"),"")</f>
        <v/>
      </c>
      <c r="H2435" s="152" t="str">
        <f>IFERROR(__xludf.DUMMYFUNCTION("TRIM(REGEXREPLACE(D2435, ""[0-9]+[a-f]?\."", """"))"),"")</f>
        <v/>
      </c>
      <c r="I2435" s="152" t="str">
        <f>IFERROR(__xludf.DUMMYFUNCTION("TRIM(REGEXREPLACE(E2435, ""[0-9]+[a-f]?\."", """"))"),"")</f>
        <v/>
      </c>
      <c r="J2435" s="152" t="str">
        <f t="shared" ref="J2435:L2435" si="568">$F2435 &amp; ". " &amp;G2435</f>
        <v>678. </v>
      </c>
      <c r="K2435" s="152" t="str">
        <f t="shared" si="568"/>
        <v>678. </v>
      </c>
      <c r="L2435" s="152" t="str">
        <f t="shared" si="568"/>
        <v>678. </v>
      </c>
    </row>
    <row r="2436" hidden="1">
      <c r="A2436" s="351"/>
      <c r="B2436" s="352"/>
      <c r="C2436" s="352"/>
      <c r="D2436" s="352"/>
      <c r="E2436" s="352"/>
      <c r="F2436" s="161">
        <v>679.0</v>
      </c>
      <c r="G2436" s="152" t="str">
        <f>IFERROR(__xludf.DUMMYFUNCTION("TRIM(REGEXREPLACE(C2436, ""[0-9]+[a-f]?\."", """"))"),"")</f>
        <v/>
      </c>
      <c r="H2436" s="152" t="str">
        <f>IFERROR(__xludf.DUMMYFUNCTION("TRIM(REGEXREPLACE(D2436, ""[0-9]+[a-f]?\."", """"))"),"")</f>
        <v/>
      </c>
      <c r="I2436" s="152" t="str">
        <f>IFERROR(__xludf.DUMMYFUNCTION("TRIM(REGEXREPLACE(E2436, ""[0-9]+[a-f]?\."", """"))"),"")</f>
        <v/>
      </c>
      <c r="J2436" s="152" t="str">
        <f t="shared" ref="J2436:L2436" si="569">$F2436 &amp; ". " &amp;G2436</f>
        <v>679. </v>
      </c>
      <c r="K2436" s="152" t="str">
        <f t="shared" si="569"/>
        <v>679. </v>
      </c>
      <c r="L2436" s="152" t="str">
        <f t="shared" si="569"/>
        <v>679. </v>
      </c>
    </row>
    <row r="2437" hidden="1">
      <c r="A2437" s="344"/>
      <c r="B2437" s="345"/>
      <c r="C2437" s="345"/>
      <c r="D2437" s="345"/>
      <c r="E2437" s="345"/>
      <c r="F2437" s="161">
        <v>680.0</v>
      </c>
      <c r="G2437" s="152" t="str">
        <f>IFERROR(__xludf.DUMMYFUNCTION("TRIM(REGEXREPLACE(C2437, ""[0-9]+[a-f]?\."", """"))"),"")</f>
        <v/>
      </c>
      <c r="H2437" s="152" t="str">
        <f>IFERROR(__xludf.DUMMYFUNCTION("TRIM(REGEXREPLACE(D2437, ""[0-9]+[a-f]?\."", """"))"),"")</f>
        <v/>
      </c>
      <c r="I2437" s="152" t="str">
        <f>IFERROR(__xludf.DUMMYFUNCTION("TRIM(REGEXREPLACE(E2437, ""[0-9]+[a-f]?\."", """"))"),"")</f>
        <v/>
      </c>
      <c r="J2437" s="152" t="str">
        <f t="shared" ref="J2437:L2437" si="570">$F2437 &amp; ". " &amp;G2437</f>
        <v>680. </v>
      </c>
      <c r="K2437" s="152" t="str">
        <f t="shared" si="570"/>
        <v>680. </v>
      </c>
      <c r="L2437" s="152" t="str">
        <f t="shared" si="570"/>
        <v>680. </v>
      </c>
    </row>
    <row r="2438" hidden="1">
      <c r="A2438" s="351"/>
      <c r="B2438" s="352"/>
      <c r="C2438" s="352"/>
      <c r="D2438" s="352"/>
      <c r="E2438" s="352"/>
      <c r="F2438" s="161">
        <v>681.0</v>
      </c>
      <c r="G2438" s="152" t="str">
        <f>IFERROR(__xludf.DUMMYFUNCTION("TRIM(REGEXREPLACE(C2438, ""[0-9]+[a-f]?\."", """"))"),"")</f>
        <v/>
      </c>
      <c r="H2438" s="152" t="str">
        <f>IFERROR(__xludf.DUMMYFUNCTION("TRIM(REGEXREPLACE(D2438, ""[0-9]+[a-f]?\."", """"))"),"")</f>
        <v/>
      </c>
      <c r="I2438" s="152" t="str">
        <f>IFERROR(__xludf.DUMMYFUNCTION("TRIM(REGEXREPLACE(E2438, ""[0-9]+[a-f]?\."", """"))"),"")</f>
        <v/>
      </c>
      <c r="J2438" s="152" t="str">
        <f t="shared" ref="J2438:L2438" si="571">$F2438 &amp; ". " &amp;G2438</f>
        <v>681. </v>
      </c>
      <c r="K2438" s="152" t="str">
        <f t="shared" si="571"/>
        <v>681. </v>
      </c>
      <c r="L2438" s="152" t="str">
        <f t="shared" si="571"/>
        <v>681. </v>
      </c>
    </row>
    <row r="2439" hidden="1">
      <c r="A2439" s="351"/>
      <c r="B2439" s="352"/>
      <c r="C2439" s="352"/>
      <c r="D2439" s="352"/>
      <c r="E2439" s="352"/>
      <c r="F2439" s="161">
        <v>682.0</v>
      </c>
      <c r="G2439" s="152" t="str">
        <f>IFERROR(__xludf.DUMMYFUNCTION("TRIM(REGEXREPLACE(C2439, ""[0-9]+[a-f]?\."", """"))"),"")</f>
        <v/>
      </c>
      <c r="H2439" s="152" t="str">
        <f>IFERROR(__xludf.DUMMYFUNCTION("TRIM(REGEXREPLACE(D2439, ""[0-9]+[a-f]?\."", """"))"),"")</f>
        <v/>
      </c>
      <c r="I2439" s="152" t="str">
        <f>IFERROR(__xludf.DUMMYFUNCTION("TRIM(REGEXREPLACE(E2439, ""[0-9]+[a-f]?\."", """"))"),"")</f>
        <v/>
      </c>
      <c r="J2439" s="152" t="str">
        <f t="shared" ref="J2439:L2439" si="572">$F2439 &amp; ". " &amp;G2439</f>
        <v>682. </v>
      </c>
      <c r="K2439" s="152" t="str">
        <f t="shared" si="572"/>
        <v>682. </v>
      </c>
      <c r="L2439" s="152" t="str">
        <f t="shared" si="572"/>
        <v>682. </v>
      </c>
    </row>
    <row r="2440" hidden="1">
      <c r="A2440" s="344"/>
      <c r="B2440" s="345"/>
      <c r="C2440" s="345"/>
      <c r="D2440" s="345"/>
      <c r="E2440" s="345"/>
      <c r="F2440" s="161">
        <v>683.0</v>
      </c>
      <c r="G2440" s="152" t="str">
        <f>IFERROR(__xludf.DUMMYFUNCTION("TRIM(REGEXREPLACE(C2440, ""[0-9]+[a-f]?\."", """"))"),"")</f>
        <v/>
      </c>
      <c r="H2440" s="152" t="str">
        <f>IFERROR(__xludf.DUMMYFUNCTION("TRIM(REGEXREPLACE(D2440, ""[0-9]+[a-f]?\."", """"))"),"")</f>
        <v/>
      </c>
      <c r="I2440" s="152" t="str">
        <f>IFERROR(__xludf.DUMMYFUNCTION("TRIM(REGEXREPLACE(E2440, ""[0-9]+[a-f]?\."", """"))"),"")</f>
        <v/>
      </c>
      <c r="J2440" s="152" t="str">
        <f t="shared" ref="J2440:L2440" si="573">$F2440 &amp; ". " &amp;G2440</f>
        <v>683. </v>
      </c>
      <c r="K2440" s="152" t="str">
        <f t="shared" si="573"/>
        <v>683. </v>
      </c>
      <c r="L2440" s="152" t="str">
        <f t="shared" si="573"/>
        <v>683. </v>
      </c>
    </row>
    <row r="2441" hidden="1">
      <c r="A2441" s="351"/>
      <c r="B2441" s="352"/>
      <c r="C2441" s="352"/>
      <c r="D2441" s="352"/>
      <c r="E2441" s="352"/>
      <c r="F2441" s="161">
        <v>684.0</v>
      </c>
      <c r="G2441" s="152" t="str">
        <f>IFERROR(__xludf.DUMMYFUNCTION("TRIM(REGEXREPLACE(C2441, ""[0-9]+[a-f]?\."", """"))"),"")</f>
        <v/>
      </c>
      <c r="H2441" s="152" t="str">
        <f>IFERROR(__xludf.DUMMYFUNCTION("TRIM(REGEXREPLACE(D2441, ""[0-9]+[a-f]?\."", """"))"),"")</f>
        <v/>
      </c>
      <c r="I2441" s="152" t="str">
        <f>IFERROR(__xludf.DUMMYFUNCTION("TRIM(REGEXREPLACE(E2441, ""[0-9]+[a-f]?\."", """"))"),"")</f>
        <v/>
      </c>
      <c r="J2441" s="152" t="str">
        <f t="shared" ref="J2441:L2441" si="574">$F2441 &amp; ". " &amp;G2441</f>
        <v>684. </v>
      </c>
      <c r="K2441" s="152" t="str">
        <f t="shared" si="574"/>
        <v>684. </v>
      </c>
      <c r="L2441" s="152" t="str">
        <f t="shared" si="574"/>
        <v>684. </v>
      </c>
    </row>
    <row r="2442" hidden="1">
      <c r="A2442" s="344"/>
      <c r="B2442" s="345"/>
      <c r="C2442" s="345"/>
      <c r="D2442" s="345"/>
      <c r="E2442" s="345"/>
      <c r="F2442" s="161">
        <v>685.0</v>
      </c>
      <c r="G2442" s="152" t="str">
        <f>IFERROR(__xludf.DUMMYFUNCTION("TRIM(REGEXREPLACE(C2442, ""[0-9]+[a-f]?\."", """"))"),"")</f>
        <v/>
      </c>
      <c r="H2442" s="152" t="str">
        <f>IFERROR(__xludf.DUMMYFUNCTION("TRIM(REGEXREPLACE(D2442, ""[0-9]+[a-f]?\."", """"))"),"")</f>
        <v/>
      </c>
      <c r="I2442" s="152" t="str">
        <f>IFERROR(__xludf.DUMMYFUNCTION("TRIM(REGEXREPLACE(E2442, ""[0-9]+[a-f]?\."", """"))"),"")</f>
        <v/>
      </c>
      <c r="J2442" s="152" t="str">
        <f t="shared" ref="J2442:L2442" si="575">$F2442 &amp; ". " &amp;G2442</f>
        <v>685. </v>
      </c>
      <c r="K2442" s="152" t="str">
        <f t="shared" si="575"/>
        <v>685. </v>
      </c>
      <c r="L2442" s="152" t="str">
        <f t="shared" si="575"/>
        <v>685. </v>
      </c>
    </row>
    <row r="2443" hidden="1">
      <c r="A2443" s="351"/>
      <c r="B2443" s="352"/>
      <c r="C2443" s="352"/>
      <c r="D2443" s="352"/>
      <c r="E2443" s="352"/>
      <c r="F2443" s="161">
        <v>686.0</v>
      </c>
      <c r="G2443" s="152" t="str">
        <f>IFERROR(__xludf.DUMMYFUNCTION("TRIM(REGEXREPLACE(C2443, ""[0-9]+[a-f]?\."", """"))"),"")</f>
        <v/>
      </c>
      <c r="H2443" s="152" t="str">
        <f>IFERROR(__xludf.DUMMYFUNCTION("TRIM(REGEXREPLACE(D2443, ""[0-9]+[a-f]?\."", """"))"),"")</f>
        <v/>
      </c>
      <c r="I2443" s="152" t="str">
        <f>IFERROR(__xludf.DUMMYFUNCTION("TRIM(REGEXREPLACE(E2443, ""[0-9]+[a-f]?\."", """"))"),"")</f>
        <v/>
      </c>
      <c r="J2443" s="152" t="str">
        <f t="shared" ref="J2443:L2443" si="576">$F2443 &amp; ". " &amp;G2443</f>
        <v>686. </v>
      </c>
      <c r="K2443" s="152" t="str">
        <f t="shared" si="576"/>
        <v>686. </v>
      </c>
      <c r="L2443" s="152" t="str">
        <f t="shared" si="576"/>
        <v>686. </v>
      </c>
    </row>
    <row r="2444" hidden="1">
      <c r="A2444" s="351"/>
      <c r="B2444" s="352"/>
      <c r="C2444" s="352"/>
      <c r="D2444" s="352"/>
      <c r="E2444" s="352"/>
      <c r="F2444" s="161">
        <v>687.0</v>
      </c>
      <c r="G2444" s="152" t="str">
        <f>IFERROR(__xludf.DUMMYFUNCTION("TRIM(REGEXREPLACE(C2444, ""[0-9]+[a-f]?\."", """"))"),"")</f>
        <v/>
      </c>
      <c r="H2444" s="152" t="str">
        <f>IFERROR(__xludf.DUMMYFUNCTION("TRIM(REGEXREPLACE(D2444, ""[0-9]+[a-f]?\."", """"))"),"")</f>
        <v/>
      </c>
      <c r="I2444" s="152" t="str">
        <f>IFERROR(__xludf.DUMMYFUNCTION("TRIM(REGEXREPLACE(E2444, ""[0-9]+[a-f]?\."", """"))"),"")</f>
        <v/>
      </c>
      <c r="J2444" s="152" t="str">
        <f t="shared" ref="J2444:L2444" si="577">$F2444 &amp; ". " &amp;G2444</f>
        <v>687. </v>
      </c>
      <c r="K2444" s="152" t="str">
        <f t="shared" si="577"/>
        <v>687. </v>
      </c>
      <c r="L2444" s="152" t="str">
        <f t="shared" si="577"/>
        <v>687. </v>
      </c>
    </row>
    <row r="2445" hidden="1">
      <c r="A2445" s="338"/>
      <c r="B2445" s="339"/>
      <c r="C2445" s="341"/>
      <c r="D2445" s="341"/>
      <c r="E2445" s="341"/>
    </row>
    <row r="2446" hidden="1">
      <c r="A2446" s="338"/>
      <c r="B2446" s="339"/>
      <c r="C2446" s="341"/>
      <c r="D2446" s="341"/>
      <c r="E2446" s="341"/>
    </row>
    <row r="2447" hidden="1">
      <c r="A2447" s="152"/>
      <c r="B2447" s="355"/>
      <c r="C2447" s="355"/>
      <c r="D2447" s="355"/>
      <c r="E2447" s="355"/>
    </row>
    <row r="2448" hidden="1">
      <c r="A2448" s="348"/>
      <c r="B2448" s="349"/>
      <c r="C2448" s="350"/>
      <c r="D2448" s="350"/>
      <c r="E2448" s="350"/>
    </row>
    <row r="2449" hidden="1">
      <c r="A2449" s="338"/>
      <c r="B2449" s="339"/>
      <c r="C2449" s="341"/>
      <c r="D2449" s="341"/>
      <c r="E2449" s="341"/>
    </row>
    <row r="2450" hidden="1">
      <c r="A2450" s="344"/>
      <c r="B2450" s="345"/>
      <c r="C2450" s="345"/>
      <c r="D2450" s="345"/>
      <c r="E2450" s="345"/>
      <c r="F2450" s="161">
        <v>688.0</v>
      </c>
      <c r="G2450" s="152" t="str">
        <f>IFERROR(__xludf.DUMMYFUNCTION("TRIM(REGEXREPLACE(C2450, ""[0-9]+[a-f]?\."", """"))"),"")</f>
        <v/>
      </c>
      <c r="H2450" s="152" t="str">
        <f>IFERROR(__xludf.DUMMYFUNCTION("TRIM(REGEXREPLACE(D2450, ""[0-9]+[a-f]?\."", """"))"),"")</f>
        <v/>
      </c>
      <c r="I2450" s="152" t="str">
        <f>IFERROR(__xludf.DUMMYFUNCTION("TRIM(REGEXREPLACE(E2450, ""[0-9]+[a-f]?\."", """"))"),"")</f>
        <v/>
      </c>
      <c r="J2450" s="152" t="str">
        <f t="shared" ref="J2450:L2450" si="578">$F2450 &amp; ". " &amp;G2450</f>
        <v>688. </v>
      </c>
      <c r="K2450" s="152" t="str">
        <f t="shared" si="578"/>
        <v>688. </v>
      </c>
      <c r="L2450" s="152" t="str">
        <f t="shared" si="578"/>
        <v>688. </v>
      </c>
    </row>
    <row r="2451" hidden="1">
      <c r="A2451" s="356"/>
      <c r="B2451" s="357"/>
      <c r="C2451" s="357"/>
      <c r="D2451" s="357"/>
      <c r="E2451" s="357"/>
    </row>
    <row r="2452" hidden="1">
      <c r="A2452" s="338"/>
      <c r="B2452" s="339"/>
      <c r="C2452" s="340"/>
      <c r="D2452" s="340"/>
      <c r="E2452" s="340"/>
    </row>
    <row r="2453" hidden="1">
      <c r="A2453" s="351"/>
      <c r="B2453" s="352"/>
      <c r="C2453" s="352"/>
      <c r="D2453" s="352"/>
      <c r="E2453" s="352"/>
      <c r="F2453" s="161">
        <v>689.0</v>
      </c>
      <c r="G2453" s="152" t="str">
        <f>IFERROR(__xludf.DUMMYFUNCTION("TRIM(REGEXREPLACE(C2453, ""[0-9]+[a-f]?\."", """"))"),"")</f>
        <v/>
      </c>
      <c r="H2453" s="152" t="str">
        <f>IFERROR(__xludf.DUMMYFUNCTION("TRIM(REGEXREPLACE(D2453, ""[0-9]+[a-f]?\."", """"))"),"")</f>
        <v/>
      </c>
      <c r="I2453" s="152" t="str">
        <f>IFERROR(__xludf.DUMMYFUNCTION("TRIM(REGEXREPLACE(E2453, ""[0-9]+[a-f]?\."", """"))"),"")</f>
        <v/>
      </c>
      <c r="J2453" s="152" t="str">
        <f t="shared" ref="J2453:L2453" si="579">$F2453 &amp; ". " &amp;G2453</f>
        <v>689. </v>
      </c>
      <c r="K2453" s="152" t="str">
        <f t="shared" si="579"/>
        <v>689. </v>
      </c>
      <c r="L2453" s="152" t="str">
        <f t="shared" si="579"/>
        <v>689. </v>
      </c>
    </row>
    <row r="2454" hidden="1">
      <c r="A2454" s="356"/>
      <c r="B2454" s="359"/>
      <c r="C2454" s="359"/>
      <c r="D2454" s="359"/>
      <c r="E2454" s="359"/>
    </row>
    <row r="2455" hidden="1">
      <c r="A2455" s="344"/>
      <c r="B2455" s="345"/>
      <c r="C2455" s="345"/>
      <c r="D2455" s="345"/>
      <c r="E2455" s="345"/>
      <c r="F2455" s="161">
        <v>690.0</v>
      </c>
      <c r="G2455" s="152" t="str">
        <f>IFERROR(__xludf.DUMMYFUNCTION("TRIM(REGEXREPLACE(C2455, ""[0-9]+[a-f]?\."", """"))"),"")</f>
        <v/>
      </c>
      <c r="H2455" s="152" t="str">
        <f>IFERROR(__xludf.DUMMYFUNCTION("TRIM(REGEXREPLACE(D2455, ""[0-9]+[a-f]?\."", """"))"),"")</f>
        <v/>
      </c>
      <c r="I2455" s="152" t="str">
        <f>IFERROR(__xludf.DUMMYFUNCTION("TRIM(REGEXREPLACE(E2455, ""[0-9]+[a-f]?\."", """"))"),"")</f>
        <v/>
      </c>
      <c r="J2455" s="152" t="str">
        <f t="shared" ref="J2455:L2455" si="580">$F2455 &amp; ". " &amp;G2455</f>
        <v>690. </v>
      </c>
      <c r="K2455" s="152" t="str">
        <f t="shared" si="580"/>
        <v>690. </v>
      </c>
      <c r="L2455" s="152" t="str">
        <f t="shared" si="580"/>
        <v>690. </v>
      </c>
    </row>
    <row r="2456" hidden="1">
      <c r="A2456" s="356"/>
      <c r="B2456" s="357"/>
      <c r="C2456" s="357"/>
      <c r="D2456" s="357"/>
      <c r="E2456" s="357"/>
    </row>
    <row r="2457" hidden="1">
      <c r="A2457" s="338"/>
      <c r="B2457" s="339"/>
      <c r="C2457" s="340"/>
      <c r="D2457" s="340"/>
      <c r="E2457" s="340"/>
    </row>
    <row r="2458" hidden="1">
      <c r="A2458" s="351"/>
      <c r="B2458" s="352"/>
      <c r="C2458" s="352"/>
      <c r="D2458" s="352"/>
      <c r="E2458" s="352"/>
      <c r="F2458" s="161">
        <v>691.0</v>
      </c>
      <c r="G2458" s="152" t="str">
        <f>IFERROR(__xludf.DUMMYFUNCTION("TRIM(REGEXREPLACE(C2458, ""[0-9]+[a-f]?\."", """"))"),"")</f>
        <v/>
      </c>
      <c r="H2458" s="152" t="str">
        <f>IFERROR(__xludf.DUMMYFUNCTION("TRIM(REGEXREPLACE(D2458, ""[0-9]+[a-f]?\."", """"))"),"")</f>
        <v/>
      </c>
      <c r="I2458" s="152" t="str">
        <f>IFERROR(__xludf.DUMMYFUNCTION("TRIM(REGEXREPLACE(E2458, ""[0-9]+[a-f]?\."", """"))"),"")</f>
        <v/>
      </c>
      <c r="J2458" s="152" t="str">
        <f t="shared" ref="J2458:L2458" si="581">$F2458 &amp; ". " &amp;G2458</f>
        <v>691. </v>
      </c>
      <c r="K2458" s="152" t="str">
        <f t="shared" si="581"/>
        <v>691. </v>
      </c>
      <c r="L2458" s="152" t="str">
        <f t="shared" si="581"/>
        <v>691. </v>
      </c>
    </row>
    <row r="2459" hidden="1">
      <c r="A2459" s="356"/>
      <c r="B2459" s="359"/>
      <c r="C2459" s="359"/>
      <c r="D2459" s="359"/>
      <c r="E2459" s="359"/>
    </row>
    <row r="2460" hidden="1">
      <c r="A2460" s="348"/>
      <c r="B2460" s="349"/>
      <c r="C2460" s="350"/>
      <c r="D2460" s="350"/>
      <c r="E2460" s="350"/>
    </row>
    <row r="2461" hidden="1">
      <c r="A2461" s="344"/>
      <c r="B2461" s="345"/>
      <c r="C2461" s="345"/>
      <c r="D2461" s="345"/>
      <c r="E2461" s="345"/>
      <c r="F2461" s="161">
        <v>692.0</v>
      </c>
      <c r="G2461" s="152" t="str">
        <f>IFERROR(__xludf.DUMMYFUNCTION("TRIM(REGEXREPLACE(C2461, ""[0-9]+[a-f]?\."", """"))"),"")</f>
        <v/>
      </c>
      <c r="H2461" s="152" t="str">
        <f>IFERROR(__xludf.DUMMYFUNCTION("TRIM(REGEXREPLACE(D2461, ""[0-9]+[a-f]?\."", """"))"),"")</f>
        <v/>
      </c>
      <c r="I2461" s="152" t="str">
        <f>IFERROR(__xludf.DUMMYFUNCTION("TRIM(REGEXREPLACE(E2461, ""[0-9]+[a-f]?\."", """"))"),"")</f>
        <v/>
      </c>
      <c r="J2461" s="152" t="str">
        <f t="shared" ref="J2461:L2461" si="582">$F2461 &amp; ". " &amp;G2461</f>
        <v>692. </v>
      </c>
      <c r="K2461" s="152" t="str">
        <f t="shared" si="582"/>
        <v>692. </v>
      </c>
      <c r="L2461" s="152" t="str">
        <f t="shared" si="582"/>
        <v>692. </v>
      </c>
    </row>
    <row r="2462" hidden="1">
      <c r="A2462" s="344"/>
      <c r="B2462" s="345"/>
      <c r="C2462" s="345"/>
      <c r="D2462" s="345"/>
      <c r="E2462" s="345"/>
      <c r="F2462" s="161">
        <v>693.0</v>
      </c>
      <c r="G2462" s="152" t="str">
        <f>IFERROR(__xludf.DUMMYFUNCTION("TRIM(REGEXREPLACE(C2462, ""[0-9]+[a-f]?\."", """"))"),"")</f>
        <v/>
      </c>
      <c r="H2462" s="152" t="str">
        <f>IFERROR(__xludf.DUMMYFUNCTION("TRIM(REGEXREPLACE(D2462, ""[0-9]+[a-f]?\."", """"))"),"")</f>
        <v/>
      </c>
      <c r="I2462" s="152" t="str">
        <f>IFERROR(__xludf.DUMMYFUNCTION("TRIM(REGEXREPLACE(E2462, ""[0-9]+[a-f]?\."", """"))"),"")</f>
        <v/>
      </c>
      <c r="J2462" s="152" t="str">
        <f t="shared" ref="J2462:L2462" si="583">$F2462 &amp; ". " &amp;G2462</f>
        <v>693. </v>
      </c>
      <c r="K2462" s="152" t="str">
        <f t="shared" si="583"/>
        <v>693. </v>
      </c>
      <c r="L2462" s="152" t="str">
        <f t="shared" si="583"/>
        <v>693. </v>
      </c>
    </row>
    <row r="2463" hidden="1">
      <c r="A2463" s="344"/>
      <c r="B2463" s="345"/>
      <c r="C2463" s="345"/>
      <c r="D2463" s="345"/>
      <c r="E2463" s="345"/>
      <c r="F2463" s="161">
        <v>694.0</v>
      </c>
      <c r="G2463" s="152" t="str">
        <f>IFERROR(__xludf.DUMMYFUNCTION("TRIM(REGEXREPLACE(C2463, ""[0-9]+[a-f]?\."", """"))"),"")</f>
        <v/>
      </c>
      <c r="H2463" s="152" t="str">
        <f>IFERROR(__xludf.DUMMYFUNCTION("TRIM(REGEXREPLACE(D2463, ""[0-9]+[a-f]?\."", """"))"),"")</f>
        <v/>
      </c>
      <c r="I2463" s="152" t="str">
        <f>IFERROR(__xludf.DUMMYFUNCTION("TRIM(REGEXREPLACE(E2463, ""[0-9]+[a-f]?\."", """"))"),"")</f>
        <v/>
      </c>
      <c r="J2463" s="152" t="str">
        <f t="shared" ref="J2463:L2463" si="584">$F2463 &amp; ". " &amp;G2463</f>
        <v>694. </v>
      </c>
      <c r="K2463" s="152" t="str">
        <f t="shared" si="584"/>
        <v>694. </v>
      </c>
      <c r="L2463" s="152" t="str">
        <f t="shared" si="584"/>
        <v>694. </v>
      </c>
    </row>
    <row r="2464" hidden="1">
      <c r="A2464" s="344"/>
      <c r="B2464" s="345"/>
      <c r="C2464" s="345"/>
      <c r="D2464" s="345"/>
      <c r="E2464" s="345"/>
      <c r="F2464" s="161">
        <v>695.0</v>
      </c>
      <c r="G2464" s="152" t="str">
        <f>IFERROR(__xludf.DUMMYFUNCTION("TRIM(REGEXREPLACE(C2464, ""[0-9]+[a-f]?\."", """"))"),"")</f>
        <v/>
      </c>
      <c r="H2464" s="152" t="str">
        <f>IFERROR(__xludf.DUMMYFUNCTION("TRIM(REGEXREPLACE(D2464, ""[0-9]+[a-f]?\."", """"))"),"")</f>
        <v/>
      </c>
      <c r="I2464" s="152" t="str">
        <f>IFERROR(__xludf.DUMMYFUNCTION("TRIM(REGEXREPLACE(E2464, ""[0-9]+[a-f]?\."", """"))"),"")</f>
        <v/>
      </c>
      <c r="J2464" s="152" t="str">
        <f t="shared" ref="J2464:L2464" si="585">$F2464 &amp; ". " &amp;G2464</f>
        <v>695. </v>
      </c>
      <c r="K2464" s="152" t="str">
        <f t="shared" si="585"/>
        <v>695. </v>
      </c>
      <c r="L2464" s="152" t="str">
        <f t="shared" si="585"/>
        <v>695. </v>
      </c>
    </row>
    <row r="2465" hidden="1">
      <c r="A2465" s="344"/>
      <c r="B2465" s="345"/>
      <c r="C2465" s="345"/>
      <c r="D2465" s="345"/>
      <c r="E2465" s="345"/>
      <c r="F2465" s="161">
        <v>696.0</v>
      </c>
      <c r="G2465" s="152" t="str">
        <f>IFERROR(__xludf.DUMMYFUNCTION("TRIM(REGEXREPLACE(C2465, ""[0-9]+[a-f]?\."", """"))"),"")</f>
        <v/>
      </c>
      <c r="H2465" s="152" t="str">
        <f>IFERROR(__xludf.DUMMYFUNCTION("TRIM(REGEXREPLACE(D2465, ""[0-9]+[a-f]?\."", """"))"),"")</f>
        <v/>
      </c>
      <c r="I2465" s="152" t="str">
        <f>IFERROR(__xludf.DUMMYFUNCTION("TRIM(REGEXREPLACE(E2465, ""[0-9]+[a-f]?\."", """"))"),"")</f>
        <v/>
      </c>
      <c r="J2465" s="152" t="str">
        <f t="shared" ref="J2465:L2465" si="586">$F2465 &amp; ". " &amp;G2465</f>
        <v>696. </v>
      </c>
      <c r="K2465" s="152" t="str">
        <f t="shared" si="586"/>
        <v>696. </v>
      </c>
      <c r="L2465" s="152" t="str">
        <f t="shared" si="586"/>
        <v>696. </v>
      </c>
    </row>
    <row r="2466" hidden="1">
      <c r="A2466" s="348"/>
      <c r="B2466" s="353"/>
      <c r="C2466" s="354"/>
      <c r="D2466" s="354"/>
      <c r="E2466" s="354"/>
    </row>
    <row r="2467" hidden="1">
      <c r="A2467" s="348"/>
      <c r="B2467" s="353"/>
      <c r="C2467" s="354"/>
      <c r="D2467" s="354"/>
      <c r="E2467" s="354"/>
    </row>
    <row r="2468" hidden="1">
      <c r="A2468" s="338"/>
      <c r="B2468" s="339"/>
      <c r="C2468" s="341"/>
      <c r="D2468" s="341"/>
      <c r="E2468" s="341"/>
    </row>
    <row r="2469" hidden="1">
      <c r="A2469" s="338"/>
      <c r="B2469" s="339"/>
      <c r="C2469" s="341"/>
      <c r="D2469" s="341"/>
      <c r="E2469" s="341"/>
    </row>
    <row r="2470" hidden="1">
      <c r="A2470" s="348"/>
      <c r="B2470" s="353"/>
      <c r="C2470" s="354"/>
      <c r="D2470" s="374"/>
      <c r="E2470" s="374"/>
    </row>
    <row r="2471" hidden="1">
      <c r="A2471" s="348"/>
      <c r="B2471" s="348"/>
      <c r="C2471" s="353"/>
      <c r="D2471" s="374"/>
      <c r="E2471" s="374"/>
    </row>
    <row r="2472" hidden="1">
      <c r="A2472" s="338"/>
      <c r="B2472" s="339"/>
      <c r="C2472" s="341"/>
      <c r="D2472" s="341"/>
      <c r="E2472" s="341"/>
    </row>
    <row r="2473" hidden="1">
      <c r="A2473" s="338"/>
      <c r="B2473" s="339"/>
      <c r="C2473" s="341"/>
      <c r="D2473" s="341"/>
      <c r="E2473" s="341"/>
    </row>
    <row r="2474" hidden="1">
      <c r="A2474" s="348"/>
      <c r="B2474" s="348"/>
      <c r="C2474" s="354"/>
      <c r="D2474" s="374"/>
      <c r="E2474" s="374"/>
    </row>
    <row r="2475" hidden="1">
      <c r="A2475" s="152"/>
      <c r="B2475" s="152"/>
      <c r="C2475" s="355"/>
      <c r="D2475" s="152"/>
      <c r="E2475" s="152"/>
    </row>
    <row r="2476" hidden="1">
      <c r="A2476" s="348"/>
      <c r="B2476" s="375"/>
      <c r="C2476" s="349"/>
      <c r="D2476" s="375"/>
      <c r="E2476" s="375"/>
    </row>
    <row r="2477" hidden="1">
      <c r="A2477" s="342"/>
      <c r="B2477" s="376"/>
      <c r="C2477" s="343"/>
      <c r="D2477" s="343"/>
      <c r="E2477" s="343"/>
      <c r="F2477" s="161">
        <v>697.0</v>
      </c>
      <c r="G2477" s="152" t="str">
        <f>IFERROR(__xludf.DUMMYFUNCTION("TRIM(REGEXREPLACE(C2477, ""[0-9]+[a-f]?\."", """"))"),"")</f>
        <v/>
      </c>
      <c r="H2477" s="152" t="str">
        <f>IFERROR(__xludf.DUMMYFUNCTION("TRIM(REGEXREPLACE(D2477, ""[0-9]+[a-f]?\."", """"))"),"")</f>
        <v/>
      </c>
      <c r="I2477" s="152" t="str">
        <f>IFERROR(__xludf.DUMMYFUNCTION("TRIM(REGEXREPLACE(E2477, ""[0-9]+[a-f]?\."", """"))"),"")</f>
        <v/>
      </c>
      <c r="J2477" s="152" t="str">
        <f t="shared" ref="J2477:L2477" si="587">$F2477 &amp; ". " &amp;G2477</f>
        <v>697. </v>
      </c>
      <c r="K2477" s="152" t="str">
        <f t="shared" si="587"/>
        <v>697. </v>
      </c>
      <c r="L2477" s="152" t="str">
        <f t="shared" si="587"/>
        <v>697. </v>
      </c>
    </row>
    <row r="2478" hidden="1">
      <c r="A2478" s="346"/>
      <c r="B2478" s="377"/>
      <c r="C2478" s="347"/>
      <c r="D2478" s="347"/>
      <c r="E2478" s="347"/>
      <c r="F2478" s="161">
        <v>698.0</v>
      </c>
      <c r="G2478" s="152" t="str">
        <f>IFERROR(__xludf.DUMMYFUNCTION("TRIM(REGEXREPLACE(C2478, ""[0-9]+[a-f]?\."", """"))"),"")</f>
        <v/>
      </c>
      <c r="H2478" s="152" t="str">
        <f>IFERROR(__xludf.DUMMYFUNCTION("TRIM(REGEXREPLACE(D2478, ""[0-9]+[a-f]?\."", """"))"),"")</f>
        <v/>
      </c>
      <c r="I2478" s="152" t="str">
        <f>IFERROR(__xludf.DUMMYFUNCTION("TRIM(REGEXREPLACE(E2478, ""[0-9]+[a-f]?\."", """"))"),"")</f>
        <v/>
      </c>
      <c r="J2478" s="152" t="str">
        <f t="shared" ref="J2478:L2478" si="588">$F2478 &amp; ". " &amp;G2478</f>
        <v>698. </v>
      </c>
      <c r="K2478" s="152" t="str">
        <f t="shared" si="588"/>
        <v>698. </v>
      </c>
      <c r="L2478" s="152" t="str">
        <f t="shared" si="588"/>
        <v>698. </v>
      </c>
    </row>
    <row r="2479" hidden="1">
      <c r="A2479" s="344"/>
      <c r="B2479" s="378"/>
      <c r="C2479" s="345"/>
      <c r="D2479" s="345"/>
      <c r="E2479" s="345"/>
      <c r="F2479" s="161">
        <v>699.0</v>
      </c>
      <c r="G2479" s="152" t="str">
        <f>IFERROR(__xludf.DUMMYFUNCTION("TRIM(REGEXREPLACE(C2479, ""[0-9]+[a-f]?\."", """"))"),"")</f>
        <v/>
      </c>
      <c r="H2479" s="152" t="str">
        <f>IFERROR(__xludf.DUMMYFUNCTION("TRIM(REGEXREPLACE(D2479, ""[0-9]+[a-f]?\."", """"))"),"")</f>
        <v/>
      </c>
      <c r="I2479" s="152" t="str">
        <f>IFERROR(__xludf.DUMMYFUNCTION("TRIM(REGEXREPLACE(E2479, ""[0-9]+[a-f]?\."", """"))"),"")</f>
        <v/>
      </c>
      <c r="J2479" s="152" t="str">
        <f t="shared" ref="J2479:L2479" si="589">$F2479 &amp; ". " &amp;G2479</f>
        <v>699. </v>
      </c>
      <c r="K2479" s="152" t="str">
        <f t="shared" si="589"/>
        <v>699. </v>
      </c>
      <c r="L2479" s="152" t="str">
        <f t="shared" si="589"/>
        <v>699. </v>
      </c>
    </row>
    <row r="2480" hidden="1">
      <c r="A2480" s="342"/>
      <c r="B2480" s="376"/>
      <c r="C2480" s="343"/>
      <c r="D2480" s="343"/>
      <c r="E2480" s="343"/>
      <c r="F2480" s="161">
        <v>700.0</v>
      </c>
      <c r="G2480" s="152" t="str">
        <f>IFERROR(__xludf.DUMMYFUNCTION("TRIM(REGEXREPLACE(C2480, ""[0-9]+[a-f]?\."", """"))"),"")</f>
        <v/>
      </c>
      <c r="H2480" s="152" t="str">
        <f>IFERROR(__xludf.DUMMYFUNCTION("TRIM(REGEXREPLACE(D2480, ""[0-9]+[a-f]?\."", """"))"),"")</f>
        <v/>
      </c>
      <c r="I2480" s="152" t="str">
        <f>IFERROR(__xludf.DUMMYFUNCTION("TRIM(REGEXREPLACE(E2480, ""[0-9]+[a-f]?\."", """"))"),"")</f>
        <v/>
      </c>
      <c r="J2480" s="152" t="str">
        <f t="shared" ref="J2480:L2480" si="590">$F2480 &amp; ". " &amp;G2480</f>
        <v>700. </v>
      </c>
      <c r="K2480" s="152" t="str">
        <f t="shared" si="590"/>
        <v>700. </v>
      </c>
      <c r="L2480" s="152" t="str">
        <f t="shared" si="590"/>
        <v>700. </v>
      </c>
    </row>
    <row r="2481" hidden="1">
      <c r="A2481" s="344"/>
      <c r="B2481" s="378"/>
      <c r="C2481" s="345"/>
      <c r="D2481" s="345"/>
      <c r="E2481" s="345"/>
      <c r="F2481" s="161">
        <v>701.0</v>
      </c>
      <c r="G2481" s="152" t="str">
        <f>IFERROR(__xludf.DUMMYFUNCTION("TRIM(REGEXREPLACE(C2481, ""[0-9]+[a-f]?\."", """"))"),"")</f>
        <v/>
      </c>
      <c r="H2481" s="152" t="str">
        <f>IFERROR(__xludf.DUMMYFUNCTION("TRIM(REGEXREPLACE(D2481, ""[0-9]+[a-f]?\."", """"))"),"")</f>
        <v/>
      </c>
      <c r="I2481" s="152" t="str">
        <f>IFERROR(__xludf.DUMMYFUNCTION("TRIM(REGEXREPLACE(E2481, ""[0-9]+[a-f]?\."", """"))"),"")</f>
        <v/>
      </c>
      <c r="J2481" s="152" t="str">
        <f t="shared" ref="J2481:L2481" si="591">$F2481 &amp; ". " &amp;G2481</f>
        <v>701. </v>
      </c>
      <c r="K2481" s="152" t="str">
        <f t="shared" si="591"/>
        <v>701. </v>
      </c>
      <c r="L2481" s="152" t="str">
        <f t="shared" si="591"/>
        <v>701. </v>
      </c>
    </row>
    <row r="2482" hidden="1">
      <c r="A2482" s="342"/>
      <c r="B2482" s="376"/>
      <c r="C2482" s="343"/>
      <c r="D2482" s="343"/>
      <c r="E2482" s="343"/>
      <c r="F2482" s="161">
        <v>702.0</v>
      </c>
      <c r="G2482" s="152" t="str">
        <f>IFERROR(__xludf.DUMMYFUNCTION("TRIM(REGEXREPLACE(C2482, ""[0-9]+[a-f]?\."", """"))"),"")</f>
        <v/>
      </c>
      <c r="H2482" s="152" t="str">
        <f>IFERROR(__xludf.DUMMYFUNCTION("TRIM(REGEXREPLACE(D2482, ""[0-9]+[a-f]?\."", """"))"),"")</f>
        <v/>
      </c>
      <c r="I2482" s="152" t="str">
        <f>IFERROR(__xludf.DUMMYFUNCTION("TRIM(REGEXREPLACE(E2482, ""[0-9]+[a-f]?\."", """"))"),"")</f>
        <v/>
      </c>
      <c r="J2482" s="152" t="str">
        <f t="shared" ref="J2482:L2482" si="592">$F2482 &amp; ". " &amp;G2482</f>
        <v>702. </v>
      </c>
      <c r="K2482" s="152" t="str">
        <f t="shared" si="592"/>
        <v>702. </v>
      </c>
      <c r="L2482" s="152" t="str">
        <f t="shared" si="592"/>
        <v>702. </v>
      </c>
    </row>
    <row r="2483" hidden="1">
      <c r="A2483" s="344"/>
      <c r="B2483" s="378"/>
      <c r="C2483" s="345"/>
      <c r="D2483" s="345"/>
      <c r="E2483" s="345"/>
      <c r="F2483" s="161">
        <v>703.0</v>
      </c>
      <c r="G2483" s="152" t="str">
        <f>IFERROR(__xludf.DUMMYFUNCTION("TRIM(REGEXREPLACE(C2483, ""[0-9]+[a-f]?\."", """"))"),"")</f>
        <v/>
      </c>
      <c r="H2483" s="152" t="str">
        <f>IFERROR(__xludf.DUMMYFUNCTION("TRIM(REGEXREPLACE(D2483, ""[0-9]+[a-f]?\."", """"))"),"")</f>
        <v/>
      </c>
      <c r="I2483" s="152" t="str">
        <f>IFERROR(__xludf.DUMMYFUNCTION("TRIM(REGEXREPLACE(E2483, ""[0-9]+[a-f]?\."", """"))"),"")</f>
        <v/>
      </c>
      <c r="J2483" s="152" t="str">
        <f t="shared" ref="J2483:L2483" si="593">$F2483 &amp; ". " &amp;G2483</f>
        <v>703. </v>
      </c>
      <c r="K2483" s="152" t="str">
        <f t="shared" si="593"/>
        <v>703. </v>
      </c>
      <c r="L2483" s="152" t="str">
        <f t="shared" si="593"/>
        <v>703. </v>
      </c>
    </row>
    <row r="2484" hidden="1">
      <c r="A2484" s="344"/>
      <c r="B2484" s="378"/>
      <c r="C2484" s="345"/>
      <c r="D2484" s="345"/>
      <c r="E2484" s="345"/>
      <c r="F2484" s="161">
        <v>704.0</v>
      </c>
      <c r="G2484" s="152" t="str">
        <f>IFERROR(__xludf.DUMMYFUNCTION("TRIM(REGEXREPLACE(C2484, ""[0-9]+[a-f]?\."", """"))"),"")</f>
        <v/>
      </c>
      <c r="H2484" s="152" t="str">
        <f>IFERROR(__xludf.DUMMYFUNCTION("TRIM(REGEXREPLACE(D2484, ""[0-9]+[a-f]?\."", """"))"),"")</f>
        <v/>
      </c>
      <c r="I2484" s="152" t="str">
        <f>IFERROR(__xludf.DUMMYFUNCTION("TRIM(REGEXREPLACE(E2484, ""[0-9]+[a-f]?\."", """"))"),"")</f>
        <v/>
      </c>
      <c r="J2484" s="152" t="str">
        <f t="shared" ref="J2484:L2484" si="594">$F2484 &amp; ". " &amp;G2484</f>
        <v>704. </v>
      </c>
      <c r="K2484" s="152" t="str">
        <f t="shared" si="594"/>
        <v>704. </v>
      </c>
      <c r="L2484" s="152" t="str">
        <f t="shared" si="594"/>
        <v>704. </v>
      </c>
    </row>
    <row r="2485" hidden="1">
      <c r="A2485" s="346"/>
      <c r="B2485" s="377"/>
      <c r="C2485" s="347"/>
      <c r="D2485" s="347"/>
      <c r="E2485" s="347"/>
      <c r="F2485" s="161">
        <v>705.0</v>
      </c>
      <c r="G2485" s="152" t="str">
        <f>IFERROR(__xludf.DUMMYFUNCTION("TRIM(REGEXREPLACE(C2485, ""[0-9]+[a-f]?\."", """"))"),"")</f>
        <v/>
      </c>
      <c r="H2485" s="152" t="str">
        <f>IFERROR(__xludf.DUMMYFUNCTION("TRIM(REGEXREPLACE(D2485, ""[0-9]+[a-f]?\."", """"))"),"")</f>
        <v/>
      </c>
      <c r="I2485" s="152" t="str">
        <f>IFERROR(__xludf.DUMMYFUNCTION("TRIM(REGEXREPLACE(E2485, ""[0-9]+[a-f]?\."", """"))"),"")</f>
        <v/>
      </c>
      <c r="J2485" s="152" t="str">
        <f t="shared" ref="J2485:L2485" si="595">$F2485 &amp; ". " &amp;G2485</f>
        <v>705. </v>
      </c>
      <c r="K2485" s="152" t="str">
        <f t="shared" si="595"/>
        <v>705. </v>
      </c>
      <c r="L2485" s="152" t="str">
        <f t="shared" si="595"/>
        <v>705. </v>
      </c>
    </row>
    <row r="2486" hidden="1">
      <c r="A2486" s="344"/>
      <c r="B2486" s="378"/>
      <c r="C2486" s="345"/>
      <c r="D2486" s="345"/>
      <c r="E2486" s="345"/>
      <c r="F2486" s="161">
        <v>706.0</v>
      </c>
      <c r="G2486" s="152" t="str">
        <f>IFERROR(__xludf.DUMMYFUNCTION("TRIM(REGEXREPLACE(C2486, ""[0-9]+[a-f]?\."", """"))"),"")</f>
        <v/>
      </c>
      <c r="H2486" s="152" t="str">
        <f>IFERROR(__xludf.DUMMYFUNCTION("TRIM(REGEXREPLACE(D2486, ""[0-9]+[a-f]?\."", """"))"),"")</f>
        <v/>
      </c>
      <c r="I2486" s="152" t="str">
        <f>IFERROR(__xludf.DUMMYFUNCTION("TRIM(REGEXREPLACE(E2486, ""[0-9]+[a-f]?\."", """"))"),"")</f>
        <v/>
      </c>
      <c r="J2486" s="152" t="str">
        <f t="shared" ref="J2486:L2486" si="596">$F2486 &amp; ". " &amp;G2486</f>
        <v>706. </v>
      </c>
      <c r="K2486" s="152" t="str">
        <f t="shared" si="596"/>
        <v>706. </v>
      </c>
      <c r="L2486" s="152" t="str">
        <f t="shared" si="596"/>
        <v>706. </v>
      </c>
    </row>
    <row r="2487" hidden="1">
      <c r="A2487" s="342"/>
      <c r="B2487" s="376"/>
      <c r="C2487" s="343"/>
      <c r="D2487" s="343"/>
      <c r="E2487" s="343"/>
      <c r="F2487" s="161">
        <v>707.0</v>
      </c>
      <c r="G2487" s="152" t="str">
        <f>IFERROR(__xludf.DUMMYFUNCTION("TRIM(REGEXREPLACE(C2487, ""[0-9]+[a-f]?\."", """"))"),"")</f>
        <v/>
      </c>
      <c r="H2487" s="152" t="str">
        <f>IFERROR(__xludf.DUMMYFUNCTION("TRIM(REGEXREPLACE(D2487, ""[0-9]+[a-f]?\."", """"))"),"")</f>
        <v/>
      </c>
      <c r="I2487" s="152" t="str">
        <f>IFERROR(__xludf.DUMMYFUNCTION("TRIM(REGEXREPLACE(E2487, ""[0-9]+[a-f]?\."", """"))"),"")</f>
        <v/>
      </c>
      <c r="J2487" s="152" t="str">
        <f t="shared" ref="J2487:L2487" si="597">$F2487 &amp; ". " &amp;G2487</f>
        <v>707. </v>
      </c>
      <c r="K2487" s="152" t="str">
        <f t="shared" si="597"/>
        <v>707. </v>
      </c>
      <c r="L2487" s="152" t="str">
        <f t="shared" si="597"/>
        <v>707. </v>
      </c>
    </row>
    <row r="2488" hidden="1">
      <c r="A2488" s="344"/>
      <c r="B2488" s="378"/>
      <c r="C2488" s="345"/>
      <c r="D2488" s="345"/>
      <c r="E2488" s="345"/>
      <c r="F2488" s="161">
        <v>708.0</v>
      </c>
      <c r="G2488" s="152" t="str">
        <f>IFERROR(__xludf.DUMMYFUNCTION("TRIM(REGEXREPLACE(C2488, ""[0-9]+[a-f]?\."", """"))"),"")</f>
        <v/>
      </c>
      <c r="H2488" s="152" t="str">
        <f>IFERROR(__xludf.DUMMYFUNCTION("TRIM(REGEXREPLACE(D2488, ""[0-9]+[a-f]?\."", """"))"),"")</f>
        <v/>
      </c>
      <c r="I2488" s="152" t="str">
        <f>IFERROR(__xludf.DUMMYFUNCTION("TRIM(REGEXREPLACE(E2488, ""[0-9]+[a-f]?\."", """"))"),"")</f>
        <v/>
      </c>
      <c r="J2488" s="152" t="str">
        <f t="shared" ref="J2488:L2488" si="598">$F2488 &amp; ". " &amp;G2488</f>
        <v>708. </v>
      </c>
      <c r="K2488" s="152" t="str">
        <f t="shared" si="598"/>
        <v>708. </v>
      </c>
      <c r="L2488" s="152" t="str">
        <f t="shared" si="598"/>
        <v>708. </v>
      </c>
    </row>
    <row r="2489" hidden="1">
      <c r="A2489" s="351"/>
      <c r="B2489" s="380"/>
      <c r="C2489" s="352"/>
      <c r="D2489" s="352"/>
      <c r="E2489" s="352"/>
      <c r="F2489" s="161">
        <v>709.0</v>
      </c>
      <c r="G2489" s="152" t="str">
        <f>IFERROR(__xludf.DUMMYFUNCTION("TRIM(REGEXREPLACE(C2489, ""[0-9]+[a-f]?\."", """"))"),"")</f>
        <v/>
      </c>
      <c r="H2489" s="152" t="str">
        <f>IFERROR(__xludf.DUMMYFUNCTION("TRIM(REGEXREPLACE(D2489, ""[0-9]+[a-f]?\."", """"))"),"")</f>
        <v/>
      </c>
      <c r="I2489" s="152" t="str">
        <f>IFERROR(__xludf.DUMMYFUNCTION("TRIM(REGEXREPLACE(E2489, ""[0-9]+[a-f]?\."", """"))"),"")</f>
        <v/>
      </c>
      <c r="J2489" s="152" t="str">
        <f t="shared" ref="J2489:L2489" si="599">$F2489 &amp; ". " &amp;G2489</f>
        <v>709. </v>
      </c>
      <c r="K2489" s="152" t="str">
        <f t="shared" si="599"/>
        <v>709. </v>
      </c>
      <c r="L2489" s="152" t="str">
        <f t="shared" si="599"/>
        <v>709. </v>
      </c>
    </row>
    <row r="2490" hidden="1">
      <c r="A2490" s="356"/>
      <c r="B2490" s="381"/>
      <c r="C2490" s="357"/>
      <c r="D2490" s="382"/>
      <c r="E2490" s="382"/>
    </row>
    <row r="2491" hidden="1">
      <c r="A2491" s="346"/>
      <c r="B2491" s="377"/>
      <c r="C2491" s="347"/>
      <c r="D2491" s="347"/>
      <c r="E2491" s="347"/>
      <c r="F2491" s="161">
        <v>710.0</v>
      </c>
      <c r="G2491" s="152" t="str">
        <f>IFERROR(__xludf.DUMMYFUNCTION("TRIM(REGEXREPLACE(C2491, ""[0-9]+[a-f]?\."", """"))"),"")</f>
        <v/>
      </c>
      <c r="H2491" s="152" t="str">
        <f>IFERROR(__xludf.DUMMYFUNCTION("TRIM(REGEXREPLACE(D2491, ""[0-9]+[a-f]?\."", """"))"),"")</f>
        <v/>
      </c>
      <c r="I2491" s="152" t="str">
        <f>IFERROR(__xludf.DUMMYFUNCTION("TRIM(REGEXREPLACE(E2491, ""[0-9]+[a-f]?\."", """"))"),"")</f>
        <v/>
      </c>
      <c r="J2491" s="152" t="str">
        <f t="shared" ref="J2491:L2491" si="600">$F2491 &amp; ". " &amp;G2491</f>
        <v>710. </v>
      </c>
      <c r="K2491" s="152" t="str">
        <f t="shared" si="600"/>
        <v>710. </v>
      </c>
      <c r="L2491" s="152" t="str">
        <f t="shared" si="600"/>
        <v>710. </v>
      </c>
    </row>
    <row r="2492" hidden="1">
      <c r="A2492" s="356"/>
      <c r="B2492" s="356"/>
      <c r="C2492" s="359"/>
      <c r="D2492" s="383"/>
      <c r="E2492" s="383"/>
    </row>
    <row r="2493" hidden="1">
      <c r="A2493" s="344"/>
      <c r="B2493" s="378"/>
      <c r="C2493" s="345"/>
      <c r="D2493" s="345"/>
      <c r="E2493" s="345"/>
      <c r="F2493" s="161">
        <v>711.0</v>
      </c>
      <c r="G2493" s="152" t="str">
        <f>IFERROR(__xludf.DUMMYFUNCTION("TRIM(REGEXREPLACE(C2493, ""[0-9]+[a-f]?\."", """"))"),"")</f>
        <v/>
      </c>
      <c r="H2493" s="152" t="str">
        <f>IFERROR(__xludf.DUMMYFUNCTION("TRIM(REGEXREPLACE(D2493, ""[0-9]+[a-f]?\."", """"))"),"")</f>
        <v/>
      </c>
      <c r="I2493" s="152" t="str">
        <f>IFERROR(__xludf.DUMMYFUNCTION("TRIM(REGEXREPLACE(E2493, ""[0-9]+[a-f]?\."", """"))"),"")</f>
        <v/>
      </c>
      <c r="J2493" s="152" t="str">
        <f t="shared" ref="J2493:L2493" si="601">$F2493 &amp; ". " &amp;G2493</f>
        <v>711. </v>
      </c>
      <c r="K2493" s="152" t="str">
        <f t="shared" si="601"/>
        <v>711. </v>
      </c>
      <c r="L2493" s="152" t="str">
        <f t="shared" si="601"/>
        <v>711. </v>
      </c>
    </row>
    <row r="2494" hidden="1">
      <c r="A2494" s="348"/>
      <c r="B2494" s="375"/>
      <c r="C2494" s="349"/>
      <c r="D2494" s="384"/>
      <c r="E2494" s="384"/>
    </row>
    <row r="2495" hidden="1">
      <c r="A2495" s="346"/>
      <c r="B2495" s="377"/>
      <c r="C2495" s="347"/>
      <c r="D2495" s="347"/>
      <c r="E2495" s="347"/>
      <c r="F2495" s="161">
        <v>712.0</v>
      </c>
      <c r="G2495" s="152" t="str">
        <f>IFERROR(__xludf.DUMMYFUNCTION("TRIM(REGEXREPLACE(C2495, ""[0-9]+[a-f]?\."", """"))"),"")</f>
        <v/>
      </c>
      <c r="H2495" s="152" t="str">
        <f>IFERROR(__xludf.DUMMYFUNCTION("TRIM(REGEXREPLACE(D2495, ""[0-9]+[a-f]?\."", """"))"),"")</f>
        <v/>
      </c>
      <c r="I2495" s="152" t="str">
        <f>IFERROR(__xludf.DUMMYFUNCTION("TRIM(REGEXREPLACE(E2495, ""[0-9]+[a-f]?\."", """"))"),"")</f>
        <v/>
      </c>
      <c r="J2495" s="152" t="str">
        <f t="shared" ref="J2495:L2495" si="602">$F2495 &amp; ". " &amp;G2495</f>
        <v>712. </v>
      </c>
      <c r="K2495" s="152" t="str">
        <f t="shared" si="602"/>
        <v>712. </v>
      </c>
      <c r="L2495" s="152" t="str">
        <f t="shared" si="602"/>
        <v>712. </v>
      </c>
    </row>
    <row r="2496" hidden="1">
      <c r="A2496" s="346"/>
      <c r="B2496" s="377"/>
      <c r="C2496" s="347"/>
      <c r="D2496" s="347"/>
      <c r="E2496" s="347"/>
      <c r="F2496" s="161">
        <v>713.0</v>
      </c>
      <c r="G2496" s="152" t="str">
        <f>IFERROR(__xludf.DUMMYFUNCTION("TRIM(REGEXREPLACE(C2496, ""[0-9]+[a-f]?\."", """"))"),"")</f>
        <v/>
      </c>
      <c r="H2496" s="152" t="str">
        <f>IFERROR(__xludf.DUMMYFUNCTION("TRIM(REGEXREPLACE(D2496, ""[0-9]+[a-f]?\."", """"))"),"")</f>
        <v/>
      </c>
      <c r="I2496" s="152" t="str">
        <f>IFERROR(__xludf.DUMMYFUNCTION("TRIM(REGEXREPLACE(E2496, ""[0-9]+[a-f]?\."", """"))"),"")</f>
        <v/>
      </c>
      <c r="J2496" s="152" t="str">
        <f t="shared" ref="J2496:L2496" si="603">$F2496 &amp; ". " &amp;G2496</f>
        <v>713. </v>
      </c>
      <c r="K2496" s="152" t="str">
        <f t="shared" si="603"/>
        <v>713. </v>
      </c>
      <c r="L2496" s="152" t="str">
        <f t="shared" si="603"/>
        <v>713. </v>
      </c>
    </row>
    <row r="2497" hidden="1">
      <c r="A2497" s="348"/>
      <c r="B2497" s="348"/>
      <c r="C2497" s="353"/>
      <c r="D2497" s="374"/>
      <c r="E2497" s="374"/>
    </row>
    <row r="2498" hidden="1">
      <c r="A2498" s="338"/>
      <c r="B2498" s="361"/>
      <c r="C2498" s="341"/>
      <c r="D2498" s="385"/>
      <c r="E2498" s="385"/>
    </row>
    <row r="2499" hidden="1">
      <c r="A2499" s="346"/>
      <c r="B2499" s="377"/>
      <c r="C2499" s="347"/>
      <c r="D2499" s="386"/>
      <c r="E2499" s="386"/>
      <c r="F2499" s="161">
        <v>714.0</v>
      </c>
      <c r="G2499" s="152" t="str">
        <f>IFERROR(__xludf.DUMMYFUNCTION("TRIM(REGEXREPLACE(C2499, ""[0-9]+[a-f]?\."", """"))"),"")</f>
        <v/>
      </c>
      <c r="H2499" s="152" t="str">
        <f>IFERROR(__xludf.DUMMYFUNCTION("TRIM(REGEXREPLACE(D2499, ""[0-9]+[a-f]?\."", """"))"),"")</f>
        <v/>
      </c>
      <c r="I2499" s="152" t="str">
        <f>IFERROR(__xludf.DUMMYFUNCTION("TRIM(REGEXREPLACE(E2499, ""[0-9]+[a-f]?\."", """"))"),"")</f>
        <v/>
      </c>
      <c r="J2499" s="152" t="str">
        <f t="shared" ref="J2499:L2499" si="604">$F2499 &amp; ". " &amp;G2499</f>
        <v>714. </v>
      </c>
      <c r="K2499" s="152" t="str">
        <f t="shared" si="604"/>
        <v>714. </v>
      </c>
      <c r="L2499" s="152" t="str">
        <f t="shared" si="604"/>
        <v>714. </v>
      </c>
    </row>
    <row r="2500" hidden="1">
      <c r="A2500" s="344"/>
      <c r="B2500" s="378"/>
      <c r="C2500" s="345"/>
      <c r="D2500" s="345"/>
      <c r="E2500" s="345"/>
      <c r="F2500" s="161">
        <v>715.0</v>
      </c>
      <c r="G2500" s="152" t="str">
        <f>IFERROR(__xludf.DUMMYFUNCTION("TRIM(REGEXREPLACE(C2500, ""[0-9]+[a-f]?\."", """"))"),"")</f>
        <v/>
      </c>
      <c r="H2500" s="152" t="str">
        <f>IFERROR(__xludf.DUMMYFUNCTION("TRIM(REGEXREPLACE(D2500, ""[0-9]+[a-f]?\."", """"))"),"")</f>
        <v/>
      </c>
      <c r="I2500" s="152" t="str">
        <f>IFERROR(__xludf.DUMMYFUNCTION("TRIM(REGEXREPLACE(E2500, ""[0-9]+[a-f]?\."", """"))"),"")</f>
        <v/>
      </c>
      <c r="J2500" s="152" t="str">
        <f t="shared" ref="J2500:L2500" si="605">$F2500 &amp; ". " &amp;G2500</f>
        <v>715. </v>
      </c>
      <c r="K2500" s="152" t="str">
        <f t="shared" si="605"/>
        <v>715. </v>
      </c>
      <c r="L2500" s="152" t="str">
        <f t="shared" si="605"/>
        <v>715. </v>
      </c>
    </row>
    <row r="2501" hidden="1">
      <c r="A2501" s="344"/>
      <c r="B2501" s="378"/>
      <c r="C2501" s="345"/>
      <c r="D2501" s="345"/>
      <c r="E2501" s="345"/>
      <c r="F2501" s="161">
        <v>716.0</v>
      </c>
      <c r="G2501" s="152" t="str">
        <f>IFERROR(__xludf.DUMMYFUNCTION("TRIM(REGEXREPLACE(C2501, ""[0-9]+[a-f]?\."", """"))"),"")</f>
        <v/>
      </c>
      <c r="H2501" s="152" t="str">
        <f>IFERROR(__xludf.DUMMYFUNCTION("TRIM(REGEXREPLACE(D2501, ""[0-9]+[a-f]?\."", """"))"),"")</f>
        <v/>
      </c>
      <c r="I2501" s="152" t="str">
        <f>IFERROR(__xludf.DUMMYFUNCTION("TRIM(REGEXREPLACE(E2501, ""[0-9]+[a-f]?\."", """"))"),"")</f>
        <v/>
      </c>
      <c r="J2501" s="152" t="str">
        <f t="shared" ref="J2501:L2501" si="606">$F2501 &amp; ". " &amp;G2501</f>
        <v>716. </v>
      </c>
      <c r="K2501" s="152" t="str">
        <f t="shared" si="606"/>
        <v>716. </v>
      </c>
      <c r="L2501" s="152" t="str">
        <f t="shared" si="606"/>
        <v>716. </v>
      </c>
    </row>
    <row r="2502" hidden="1">
      <c r="A2502" s="342"/>
      <c r="B2502" s="376"/>
      <c r="C2502" s="343"/>
      <c r="D2502" s="343"/>
      <c r="E2502" s="343"/>
      <c r="F2502" s="161">
        <v>717.0</v>
      </c>
      <c r="G2502" s="152" t="str">
        <f>IFERROR(__xludf.DUMMYFUNCTION("TRIM(REGEXREPLACE(C2502, ""[0-9]+[a-f]?\."", """"))"),"")</f>
        <v/>
      </c>
      <c r="H2502" s="152" t="str">
        <f>IFERROR(__xludf.DUMMYFUNCTION("TRIM(REGEXREPLACE(D2502, ""[0-9]+[a-f]?\."", """"))"),"")</f>
        <v/>
      </c>
      <c r="I2502" s="152" t="str">
        <f>IFERROR(__xludf.DUMMYFUNCTION("TRIM(REGEXREPLACE(E2502, ""[0-9]+[a-f]?\."", """"))"),"")</f>
        <v/>
      </c>
      <c r="J2502" s="152" t="str">
        <f t="shared" ref="J2502:L2502" si="607">$F2502 &amp; ". " &amp;G2502</f>
        <v>717. </v>
      </c>
      <c r="K2502" s="152" t="str">
        <f t="shared" si="607"/>
        <v>717. </v>
      </c>
      <c r="L2502" s="152" t="str">
        <f t="shared" si="607"/>
        <v>717. </v>
      </c>
    </row>
    <row r="2503" hidden="1">
      <c r="A2503" s="344"/>
      <c r="B2503" s="378"/>
      <c r="C2503" s="345"/>
      <c r="D2503" s="345"/>
      <c r="E2503" s="345"/>
      <c r="F2503" s="161">
        <v>718.0</v>
      </c>
      <c r="G2503" s="152" t="str">
        <f>IFERROR(__xludf.DUMMYFUNCTION("TRIM(REGEXREPLACE(C2503, ""[0-9]+[a-f]?\."", """"))"),"")</f>
        <v/>
      </c>
      <c r="H2503" s="152" t="str">
        <f>IFERROR(__xludf.DUMMYFUNCTION("TRIM(REGEXREPLACE(D2503, ""[0-9]+[a-f]?\."", """"))"),"")</f>
        <v/>
      </c>
      <c r="I2503" s="152" t="str">
        <f>IFERROR(__xludf.DUMMYFUNCTION("TRIM(REGEXREPLACE(E2503, ""[0-9]+[a-f]?\."", """"))"),"")</f>
        <v/>
      </c>
      <c r="J2503" s="152" t="str">
        <f t="shared" ref="J2503:L2503" si="608">$F2503 &amp; ". " &amp;G2503</f>
        <v>718. </v>
      </c>
      <c r="K2503" s="152" t="str">
        <f t="shared" si="608"/>
        <v>718. </v>
      </c>
      <c r="L2503" s="152" t="str">
        <f t="shared" si="608"/>
        <v>718. </v>
      </c>
    </row>
    <row r="2504" hidden="1">
      <c r="A2504" s="342"/>
      <c r="B2504" s="376"/>
      <c r="C2504" s="343"/>
      <c r="D2504" s="343"/>
      <c r="E2504" s="343"/>
      <c r="F2504" s="161">
        <v>719.0</v>
      </c>
      <c r="G2504" s="152" t="str">
        <f>IFERROR(__xludf.DUMMYFUNCTION("TRIM(REGEXREPLACE(C2504, ""[0-9]+[a-f]?\."", """"))"),"")</f>
        <v/>
      </c>
      <c r="H2504" s="152" t="str">
        <f>IFERROR(__xludf.DUMMYFUNCTION("TRIM(REGEXREPLACE(D2504, ""[0-9]+[a-f]?\."", """"))"),"")</f>
        <v/>
      </c>
      <c r="I2504" s="152" t="str">
        <f>IFERROR(__xludf.DUMMYFUNCTION("TRIM(REGEXREPLACE(E2504, ""[0-9]+[a-f]?\."", """"))"),"")</f>
        <v/>
      </c>
      <c r="J2504" s="152" t="str">
        <f t="shared" ref="J2504:L2504" si="609">$F2504 &amp; ". " &amp;G2504</f>
        <v>719. </v>
      </c>
      <c r="K2504" s="152" t="str">
        <f t="shared" si="609"/>
        <v>719. </v>
      </c>
      <c r="L2504" s="152" t="str">
        <f t="shared" si="609"/>
        <v>719. </v>
      </c>
    </row>
    <row r="2505" hidden="1">
      <c r="A2505" s="344"/>
      <c r="B2505" s="378"/>
      <c r="C2505" s="345"/>
      <c r="D2505" s="345"/>
      <c r="E2505" s="345"/>
      <c r="F2505" s="161">
        <v>720.0</v>
      </c>
      <c r="G2505" s="152" t="str">
        <f>IFERROR(__xludf.DUMMYFUNCTION("TRIM(REGEXREPLACE(C2505, ""[0-9]+[a-f]?\."", """"))"),"")</f>
        <v/>
      </c>
      <c r="H2505" s="152" t="str">
        <f>IFERROR(__xludf.DUMMYFUNCTION("TRIM(REGEXREPLACE(D2505, ""[0-9]+[a-f]?\."", """"))"),"")</f>
        <v/>
      </c>
      <c r="I2505" s="152" t="str">
        <f>IFERROR(__xludf.DUMMYFUNCTION("TRIM(REGEXREPLACE(E2505, ""[0-9]+[a-f]?\."", """"))"),"")</f>
        <v/>
      </c>
      <c r="J2505" s="152" t="str">
        <f t="shared" ref="J2505:L2505" si="610">$F2505 &amp; ". " &amp;G2505</f>
        <v>720. </v>
      </c>
      <c r="K2505" s="152" t="str">
        <f t="shared" si="610"/>
        <v>720. </v>
      </c>
      <c r="L2505" s="152" t="str">
        <f t="shared" si="610"/>
        <v>720. </v>
      </c>
    </row>
    <row r="2506" hidden="1">
      <c r="A2506" s="348"/>
      <c r="B2506" s="375"/>
      <c r="C2506" s="349"/>
      <c r="D2506" s="384"/>
      <c r="E2506" s="384"/>
    </row>
    <row r="2507" hidden="1">
      <c r="A2507" s="346"/>
      <c r="B2507" s="377"/>
      <c r="C2507" s="347"/>
      <c r="D2507" s="347"/>
      <c r="E2507" s="347"/>
      <c r="F2507" s="161">
        <v>721.0</v>
      </c>
      <c r="G2507" s="152" t="str">
        <f>IFERROR(__xludf.DUMMYFUNCTION("TRIM(REGEXREPLACE(C2507, ""[0-9]+[a-f]?\."", """"))"),"")</f>
        <v/>
      </c>
      <c r="H2507" s="152" t="str">
        <f>IFERROR(__xludf.DUMMYFUNCTION("TRIM(REGEXREPLACE(D2507, ""[0-9]+[a-f]?\."", """"))"),"")</f>
        <v/>
      </c>
      <c r="I2507" s="152" t="str">
        <f>IFERROR(__xludf.DUMMYFUNCTION("TRIM(REGEXREPLACE(E2507, ""[0-9]+[a-f]?\."", """"))"),"")</f>
        <v/>
      </c>
      <c r="J2507" s="152" t="str">
        <f t="shared" ref="J2507:L2507" si="611">$F2507 &amp; ". " &amp;G2507</f>
        <v>721. </v>
      </c>
      <c r="K2507" s="152" t="str">
        <f t="shared" si="611"/>
        <v>721. </v>
      </c>
      <c r="L2507" s="152" t="str">
        <f t="shared" si="611"/>
        <v>721. </v>
      </c>
    </row>
    <row r="2508" hidden="1">
      <c r="A2508" s="346"/>
      <c r="B2508" s="377"/>
      <c r="C2508" s="347"/>
      <c r="D2508" s="347"/>
      <c r="E2508" s="347"/>
      <c r="F2508" s="161">
        <v>722.0</v>
      </c>
      <c r="G2508" s="152" t="str">
        <f>IFERROR(__xludf.DUMMYFUNCTION("TRIM(REGEXREPLACE(C2508, ""[0-9]+[a-f]?\."", """"))"),"")</f>
        <v/>
      </c>
      <c r="H2508" s="152" t="str">
        <f>IFERROR(__xludf.DUMMYFUNCTION("TRIM(REGEXREPLACE(D2508, ""[0-9]+[a-f]?\."", """"))"),"")</f>
        <v/>
      </c>
      <c r="I2508" s="152" t="str">
        <f>IFERROR(__xludf.DUMMYFUNCTION("TRIM(REGEXREPLACE(E2508, ""[0-9]+[a-f]?\."", """"))"),"")</f>
        <v/>
      </c>
      <c r="J2508" s="152" t="str">
        <f t="shared" ref="J2508:L2508" si="612">$F2508 &amp; ". " &amp;G2508</f>
        <v>722. </v>
      </c>
      <c r="K2508" s="152" t="str">
        <f t="shared" si="612"/>
        <v>722. </v>
      </c>
      <c r="L2508" s="152" t="str">
        <f t="shared" si="612"/>
        <v>722. </v>
      </c>
    </row>
    <row r="2509" hidden="1">
      <c r="A2509" s="348"/>
      <c r="B2509" s="348"/>
      <c r="C2509" s="353"/>
      <c r="D2509" s="374"/>
      <c r="E2509" s="374"/>
    </row>
    <row r="2510" hidden="1">
      <c r="A2510" s="338"/>
      <c r="B2510" s="361"/>
      <c r="C2510" s="341"/>
      <c r="D2510" s="385"/>
      <c r="E2510" s="385"/>
    </row>
    <row r="2511" hidden="1">
      <c r="A2511" s="346"/>
      <c r="B2511" s="377"/>
      <c r="C2511" s="347"/>
      <c r="D2511" s="347"/>
      <c r="E2511" s="347"/>
      <c r="F2511" s="161">
        <v>723.0</v>
      </c>
      <c r="G2511" s="152" t="str">
        <f>IFERROR(__xludf.DUMMYFUNCTION("TRIM(REGEXREPLACE(C2511, ""[0-9]+[a-f]?\."", """"))"),"")</f>
        <v/>
      </c>
      <c r="H2511" s="152" t="str">
        <f>IFERROR(__xludf.DUMMYFUNCTION("TRIM(REGEXREPLACE(D2511, ""[0-9]+[a-f]?\."", """"))"),"")</f>
        <v/>
      </c>
      <c r="I2511" s="152" t="str">
        <f>IFERROR(__xludf.DUMMYFUNCTION("TRIM(REGEXREPLACE(E2511, ""[0-9]+[a-f]?\."", """"))"),"")</f>
        <v/>
      </c>
      <c r="J2511" s="152" t="str">
        <f t="shared" ref="J2511:L2511" si="613">$F2511 &amp; ". " &amp;G2511</f>
        <v>723. </v>
      </c>
      <c r="K2511" s="152" t="str">
        <f t="shared" si="613"/>
        <v>723. </v>
      </c>
      <c r="L2511" s="152" t="str">
        <f t="shared" si="613"/>
        <v>723. </v>
      </c>
    </row>
    <row r="2512" hidden="1">
      <c r="A2512" s="344"/>
      <c r="B2512" s="378"/>
      <c r="C2512" s="345"/>
      <c r="D2512" s="345"/>
      <c r="E2512" s="345"/>
      <c r="F2512" s="161">
        <v>724.0</v>
      </c>
      <c r="G2512" s="152" t="str">
        <f>IFERROR(__xludf.DUMMYFUNCTION("TRIM(REGEXREPLACE(C2512, ""[0-9]+[a-f]?\."", """"))"),"")</f>
        <v/>
      </c>
      <c r="H2512" s="152" t="str">
        <f>IFERROR(__xludf.DUMMYFUNCTION("TRIM(REGEXREPLACE(D2512, ""[0-9]+[a-f]?\."", """"))"),"")</f>
        <v/>
      </c>
      <c r="I2512" s="152" t="str">
        <f>IFERROR(__xludf.DUMMYFUNCTION("TRIM(REGEXREPLACE(E2512, ""[0-9]+[a-f]?\."", """"))"),"")</f>
        <v/>
      </c>
      <c r="J2512" s="152" t="str">
        <f t="shared" ref="J2512:L2512" si="614">$F2512 &amp; ". " &amp;G2512</f>
        <v>724. </v>
      </c>
      <c r="K2512" s="152" t="str">
        <f t="shared" si="614"/>
        <v>724. </v>
      </c>
      <c r="L2512" s="152" t="str">
        <f t="shared" si="614"/>
        <v>724. </v>
      </c>
    </row>
    <row r="2513" hidden="1">
      <c r="A2513" s="344"/>
      <c r="B2513" s="378"/>
      <c r="C2513" s="345"/>
      <c r="D2513" s="345"/>
      <c r="E2513" s="345"/>
      <c r="F2513" s="161">
        <v>725.0</v>
      </c>
      <c r="G2513" s="152" t="str">
        <f>IFERROR(__xludf.DUMMYFUNCTION("TRIM(REGEXREPLACE(C2513, ""[0-9]+[a-f]?\."", """"))"),"")</f>
        <v/>
      </c>
      <c r="H2513" s="152" t="str">
        <f>IFERROR(__xludf.DUMMYFUNCTION("TRIM(REGEXREPLACE(D2513, ""[0-9]+[a-f]?\."", """"))"),"")</f>
        <v/>
      </c>
      <c r="I2513" s="152" t="str">
        <f>IFERROR(__xludf.DUMMYFUNCTION("TRIM(REGEXREPLACE(E2513, ""[0-9]+[a-f]?\."", """"))"),"")</f>
        <v/>
      </c>
      <c r="J2513" s="152" t="str">
        <f t="shared" ref="J2513:L2513" si="615">$F2513 &amp; ". " &amp;G2513</f>
        <v>725. </v>
      </c>
      <c r="K2513" s="152" t="str">
        <f t="shared" si="615"/>
        <v>725. </v>
      </c>
      <c r="L2513" s="152" t="str">
        <f t="shared" si="615"/>
        <v>725. </v>
      </c>
    </row>
    <row r="2514" hidden="1">
      <c r="A2514" s="342"/>
      <c r="B2514" s="376"/>
      <c r="C2514" s="343"/>
      <c r="D2514" s="343"/>
      <c r="E2514" s="343"/>
      <c r="F2514" s="161">
        <v>726.0</v>
      </c>
      <c r="G2514" s="152" t="str">
        <f>IFERROR(__xludf.DUMMYFUNCTION("TRIM(REGEXREPLACE(C2514, ""[0-9]+[a-f]?\."", """"))"),"")</f>
        <v/>
      </c>
      <c r="H2514" s="152" t="str">
        <f>IFERROR(__xludf.DUMMYFUNCTION("TRIM(REGEXREPLACE(D2514, ""[0-9]+[a-f]?\."", """"))"),"")</f>
        <v/>
      </c>
      <c r="I2514" s="152" t="str">
        <f>IFERROR(__xludf.DUMMYFUNCTION("TRIM(REGEXREPLACE(E2514, ""[0-9]+[a-f]?\."", """"))"),"")</f>
        <v/>
      </c>
      <c r="J2514" s="152" t="str">
        <f t="shared" ref="J2514:L2514" si="616">$F2514 &amp; ". " &amp;G2514</f>
        <v>726. </v>
      </c>
      <c r="K2514" s="152" t="str">
        <f t="shared" si="616"/>
        <v>726. </v>
      </c>
      <c r="L2514" s="152" t="str">
        <f t="shared" si="616"/>
        <v>726. </v>
      </c>
    </row>
    <row r="2515" hidden="1">
      <c r="A2515" s="344"/>
      <c r="B2515" s="378"/>
      <c r="C2515" s="345"/>
      <c r="D2515" s="345"/>
      <c r="E2515" s="345"/>
      <c r="F2515" s="161">
        <v>727.0</v>
      </c>
      <c r="G2515" s="152" t="str">
        <f>IFERROR(__xludf.DUMMYFUNCTION("TRIM(REGEXREPLACE(C2515, ""[0-9]+[a-f]?\."", """"))"),"")</f>
        <v/>
      </c>
      <c r="H2515" s="152" t="str">
        <f>IFERROR(__xludf.DUMMYFUNCTION("TRIM(REGEXREPLACE(D2515, ""[0-9]+[a-f]?\."", """"))"),"")</f>
        <v/>
      </c>
      <c r="I2515" s="152" t="str">
        <f>IFERROR(__xludf.DUMMYFUNCTION("TRIM(REGEXREPLACE(E2515, ""[0-9]+[a-f]?\."", """"))"),"")</f>
        <v/>
      </c>
      <c r="J2515" s="152" t="str">
        <f t="shared" ref="J2515:L2515" si="617">$F2515 &amp; ". " &amp;G2515</f>
        <v>727. </v>
      </c>
      <c r="K2515" s="152" t="str">
        <f t="shared" si="617"/>
        <v>727. </v>
      </c>
      <c r="L2515" s="152" t="str">
        <f t="shared" si="617"/>
        <v>727. </v>
      </c>
    </row>
    <row r="2516" hidden="1">
      <c r="A2516" s="342"/>
      <c r="B2516" s="376"/>
      <c r="C2516" s="343"/>
      <c r="D2516" s="343"/>
      <c r="E2516" s="343"/>
      <c r="F2516" s="161">
        <v>728.0</v>
      </c>
      <c r="G2516" s="152" t="str">
        <f>IFERROR(__xludf.DUMMYFUNCTION("TRIM(REGEXREPLACE(C2516, ""[0-9]+[a-f]?\."", """"))"),"")</f>
        <v/>
      </c>
      <c r="H2516" s="152" t="str">
        <f>IFERROR(__xludf.DUMMYFUNCTION("TRIM(REGEXREPLACE(D2516, ""[0-9]+[a-f]?\."", """"))"),"")</f>
        <v/>
      </c>
      <c r="I2516" s="152" t="str">
        <f>IFERROR(__xludf.DUMMYFUNCTION("TRIM(REGEXREPLACE(E2516, ""[0-9]+[a-f]?\."", """"))"),"")</f>
        <v/>
      </c>
      <c r="J2516" s="152" t="str">
        <f t="shared" ref="J2516:L2516" si="618">$F2516 &amp; ". " &amp;G2516</f>
        <v>728. </v>
      </c>
      <c r="K2516" s="152" t="str">
        <f t="shared" si="618"/>
        <v>728. </v>
      </c>
      <c r="L2516" s="152" t="str">
        <f t="shared" si="618"/>
        <v>728. </v>
      </c>
    </row>
    <row r="2517" hidden="1">
      <c r="A2517" s="348"/>
      <c r="B2517" s="348"/>
      <c r="C2517" s="353"/>
      <c r="D2517" s="348"/>
      <c r="E2517" s="348"/>
    </row>
    <row r="2518" hidden="1">
      <c r="A2518" s="152"/>
      <c r="B2518" s="152"/>
      <c r="C2518" s="355"/>
      <c r="D2518" s="152"/>
      <c r="E2518" s="152"/>
    </row>
    <row r="2519" hidden="1">
      <c r="A2519" s="348"/>
      <c r="B2519" s="375"/>
      <c r="C2519" s="349"/>
      <c r="D2519" s="375"/>
      <c r="E2519" s="375"/>
    </row>
    <row r="2520" hidden="1">
      <c r="A2520" s="344"/>
      <c r="B2520" s="378"/>
      <c r="C2520" s="345"/>
      <c r="D2520" s="345"/>
      <c r="E2520" s="345"/>
      <c r="F2520" s="161">
        <v>729.0</v>
      </c>
      <c r="G2520" s="152" t="str">
        <f>IFERROR(__xludf.DUMMYFUNCTION("TRIM(REGEXREPLACE(C2520, ""[0-9]+[a-f]?\."", """"))"),"")</f>
        <v/>
      </c>
      <c r="H2520" s="152" t="str">
        <f>IFERROR(__xludf.DUMMYFUNCTION("TRIM(REGEXREPLACE(D2520, ""[0-9]+[a-f]?\."", """"))"),"")</f>
        <v/>
      </c>
      <c r="I2520" s="152" t="str">
        <f>IFERROR(__xludf.DUMMYFUNCTION("TRIM(REGEXREPLACE(E2520, ""[0-9]+[a-f]?\."", """"))"),"")</f>
        <v/>
      </c>
      <c r="J2520" s="152" t="str">
        <f t="shared" ref="J2520:L2520" si="619">$F2520 &amp; ". " &amp;G2520</f>
        <v>729. </v>
      </c>
      <c r="K2520" s="152" t="str">
        <f t="shared" si="619"/>
        <v>729. </v>
      </c>
      <c r="L2520" s="152" t="str">
        <f t="shared" si="619"/>
        <v>729. </v>
      </c>
    </row>
    <row r="2521" hidden="1">
      <c r="A2521" s="344"/>
      <c r="B2521" s="378"/>
      <c r="C2521" s="345"/>
      <c r="D2521" s="345"/>
      <c r="E2521" s="345"/>
      <c r="F2521" s="161">
        <v>730.0</v>
      </c>
      <c r="G2521" s="152" t="str">
        <f>IFERROR(__xludf.DUMMYFUNCTION("TRIM(REGEXREPLACE(C2521, ""[0-9]+[a-f]?\."", """"))"),"")</f>
        <v/>
      </c>
      <c r="H2521" s="152" t="str">
        <f>IFERROR(__xludf.DUMMYFUNCTION("TRIM(REGEXREPLACE(D2521, ""[0-9]+[a-f]?\."", """"))"),"")</f>
        <v/>
      </c>
      <c r="I2521" s="152" t="str">
        <f>IFERROR(__xludf.DUMMYFUNCTION("TRIM(REGEXREPLACE(E2521, ""[0-9]+[a-f]?\."", """"))"),"")</f>
        <v/>
      </c>
      <c r="J2521" s="152" t="str">
        <f t="shared" ref="J2521:L2521" si="620">$F2521 &amp; ". " &amp;G2521</f>
        <v>730. </v>
      </c>
      <c r="K2521" s="152" t="str">
        <f t="shared" si="620"/>
        <v>730. </v>
      </c>
      <c r="L2521" s="152" t="str">
        <f t="shared" si="620"/>
        <v>730. </v>
      </c>
    </row>
    <row r="2522" hidden="1">
      <c r="A2522" s="344"/>
      <c r="B2522" s="378"/>
      <c r="C2522" s="345"/>
      <c r="D2522" s="345"/>
      <c r="E2522" s="345"/>
      <c r="F2522" s="161">
        <v>731.0</v>
      </c>
      <c r="G2522" s="152" t="str">
        <f>IFERROR(__xludf.DUMMYFUNCTION("TRIM(REGEXREPLACE(C2522, ""[0-9]+[a-f]?\."", """"))"),"")</f>
        <v/>
      </c>
      <c r="H2522" s="152" t="str">
        <f>IFERROR(__xludf.DUMMYFUNCTION("TRIM(REGEXREPLACE(D2522, ""[0-9]+[a-f]?\."", """"))"),"")</f>
        <v/>
      </c>
      <c r="I2522" s="152" t="str">
        <f>IFERROR(__xludf.DUMMYFUNCTION("TRIM(REGEXREPLACE(E2522, ""[0-9]+[a-f]?\."", """"))"),"")</f>
        <v/>
      </c>
      <c r="J2522" s="152" t="str">
        <f t="shared" ref="J2522:L2522" si="621">$F2522 &amp; ". " &amp;G2522</f>
        <v>731. </v>
      </c>
      <c r="K2522" s="152" t="str">
        <f t="shared" si="621"/>
        <v>731. </v>
      </c>
      <c r="L2522" s="152" t="str">
        <f t="shared" si="621"/>
        <v>731. </v>
      </c>
    </row>
    <row r="2523" hidden="1">
      <c r="A2523" s="344"/>
      <c r="B2523" s="378"/>
      <c r="C2523" s="345"/>
      <c r="D2523" s="345"/>
      <c r="E2523" s="345"/>
      <c r="F2523" s="161">
        <v>732.0</v>
      </c>
      <c r="G2523" s="152" t="str">
        <f>IFERROR(__xludf.DUMMYFUNCTION("TRIM(REGEXREPLACE(C2523, ""[0-9]+[a-f]?\."", """"))"),"")</f>
        <v/>
      </c>
      <c r="H2523" s="152" t="str">
        <f>IFERROR(__xludf.DUMMYFUNCTION("TRIM(REGEXREPLACE(D2523, ""[0-9]+[a-f]?\."", """"))"),"")</f>
        <v/>
      </c>
      <c r="I2523" s="152" t="str">
        <f>IFERROR(__xludf.DUMMYFUNCTION("TRIM(REGEXREPLACE(E2523, ""[0-9]+[a-f]?\."", """"))"),"")</f>
        <v/>
      </c>
      <c r="J2523" s="152" t="str">
        <f t="shared" ref="J2523:L2523" si="622">$F2523 &amp; ". " &amp;G2523</f>
        <v>732. </v>
      </c>
      <c r="K2523" s="152" t="str">
        <f t="shared" si="622"/>
        <v>732. </v>
      </c>
      <c r="L2523" s="152" t="str">
        <f t="shared" si="622"/>
        <v>732. </v>
      </c>
    </row>
    <row r="2524" hidden="1">
      <c r="A2524" s="346"/>
      <c r="B2524" s="377"/>
      <c r="C2524" s="347"/>
      <c r="D2524" s="347"/>
      <c r="E2524" s="347"/>
      <c r="F2524" s="161">
        <v>733.0</v>
      </c>
      <c r="G2524" s="152" t="str">
        <f>IFERROR(__xludf.DUMMYFUNCTION("TRIM(REGEXREPLACE(C2524, ""[0-9]+[a-f]?\."", """"))"),"")</f>
        <v/>
      </c>
      <c r="H2524" s="152" t="str">
        <f>IFERROR(__xludf.DUMMYFUNCTION("TRIM(REGEXREPLACE(D2524, ""[0-9]+[a-f]?\."", """"))"),"")</f>
        <v/>
      </c>
      <c r="I2524" s="152" t="str">
        <f>IFERROR(__xludf.DUMMYFUNCTION("TRIM(REGEXREPLACE(E2524, ""[0-9]+[a-f]?\."", """"))"),"")</f>
        <v/>
      </c>
      <c r="J2524" s="152" t="str">
        <f t="shared" ref="J2524:L2524" si="623">$F2524 &amp; ". " &amp;G2524</f>
        <v>733. </v>
      </c>
      <c r="K2524" s="152" t="str">
        <f t="shared" si="623"/>
        <v>733. </v>
      </c>
      <c r="L2524" s="152" t="str">
        <f t="shared" si="623"/>
        <v>733. </v>
      </c>
    </row>
    <row r="2525" hidden="1">
      <c r="A2525" s="387"/>
      <c r="B2525" s="388"/>
      <c r="C2525" s="389"/>
      <c r="D2525" s="388"/>
      <c r="E2525" s="388"/>
    </row>
    <row r="2526" hidden="1">
      <c r="A2526" s="348"/>
      <c r="B2526" s="348"/>
      <c r="C2526" s="353"/>
      <c r="D2526" s="348"/>
      <c r="E2526" s="348"/>
    </row>
    <row r="2527" hidden="1">
      <c r="A2527" s="152"/>
      <c r="B2527" s="152"/>
      <c r="C2527" s="355"/>
      <c r="D2527" s="152"/>
      <c r="E2527" s="152"/>
    </row>
    <row r="2528" hidden="1">
      <c r="A2528" s="348"/>
      <c r="B2528" s="348"/>
      <c r="C2528" s="353"/>
      <c r="D2528" s="374"/>
      <c r="E2528" s="374"/>
    </row>
    <row r="2529" hidden="1">
      <c r="A2529" s="342"/>
      <c r="B2529" s="376"/>
      <c r="C2529" s="343"/>
      <c r="D2529" s="343"/>
      <c r="E2529" s="343"/>
      <c r="F2529" s="161">
        <v>734.0</v>
      </c>
      <c r="G2529" s="152" t="str">
        <f>IFERROR(__xludf.DUMMYFUNCTION("TRIM(REGEXREPLACE(C2529, ""[0-9]+[a-f]?\."", """"))"),"")</f>
        <v/>
      </c>
      <c r="H2529" s="152" t="str">
        <f>IFERROR(__xludf.DUMMYFUNCTION("TRIM(REGEXREPLACE(D2529, ""[0-9]+[a-f]?\."", """"))"),"")</f>
        <v/>
      </c>
      <c r="I2529" s="152" t="str">
        <f>IFERROR(__xludf.DUMMYFUNCTION("TRIM(REGEXREPLACE(E2529, ""[0-9]+[a-f]?\."", """"))"),"")</f>
        <v/>
      </c>
      <c r="J2529" s="152" t="str">
        <f t="shared" ref="J2529:L2529" si="624">$F2529 &amp; ". " &amp;G2529</f>
        <v>734. </v>
      </c>
      <c r="K2529" s="152" t="str">
        <f t="shared" si="624"/>
        <v>734. </v>
      </c>
      <c r="L2529" s="152" t="str">
        <f t="shared" si="624"/>
        <v>734. </v>
      </c>
    </row>
    <row r="2530" hidden="1">
      <c r="A2530" s="390"/>
      <c r="B2530" s="390"/>
      <c r="C2530" s="354"/>
      <c r="D2530" s="354"/>
      <c r="E2530" s="354"/>
    </row>
    <row r="2531" hidden="1">
      <c r="A2531" s="152"/>
      <c r="B2531" s="152"/>
      <c r="C2531" s="152"/>
      <c r="D2531" s="152"/>
      <c r="E2531" s="152"/>
    </row>
    <row r="2532" hidden="1">
      <c r="A2532" s="152"/>
      <c r="B2532" s="152"/>
      <c r="C2532" s="152"/>
      <c r="D2532" s="152"/>
      <c r="E2532" s="152"/>
    </row>
    <row r="2533" hidden="1">
      <c r="A2533" s="152"/>
      <c r="B2533" s="152"/>
      <c r="C2533" s="152"/>
      <c r="D2533" s="152"/>
      <c r="E2533" s="152"/>
    </row>
    <row r="2534" hidden="1">
      <c r="A2534" s="152"/>
      <c r="B2534" s="152"/>
      <c r="C2534" s="152"/>
      <c r="D2534" s="152"/>
      <c r="E2534" s="152"/>
    </row>
    <row r="2535" hidden="1">
      <c r="A2535" s="152"/>
      <c r="B2535" s="152"/>
      <c r="C2535" s="152"/>
      <c r="D2535" s="152"/>
      <c r="E2535" s="152"/>
    </row>
    <row r="2536" hidden="1">
      <c r="A2536" s="152"/>
      <c r="B2536" s="152"/>
      <c r="C2536" s="152"/>
      <c r="D2536" s="152"/>
      <c r="E2536" s="152"/>
    </row>
    <row r="2537" hidden="1">
      <c r="A2537" s="152"/>
      <c r="B2537" s="152"/>
      <c r="C2537" s="152"/>
      <c r="D2537" s="152"/>
      <c r="E2537" s="152"/>
    </row>
    <row r="2538" hidden="1">
      <c r="A2538" s="152"/>
      <c r="B2538" s="152"/>
      <c r="C2538" s="152"/>
      <c r="D2538" s="152"/>
      <c r="E2538" s="152"/>
    </row>
    <row r="2539" hidden="1">
      <c r="A2539" s="152"/>
      <c r="B2539" s="152"/>
      <c r="C2539" s="355"/>
      <c r="D2539" s="152"/>
      <c r="E2539" s="152"/>
    </row>
    <row r="2540" hidden="1">
      <c r="A2540" s="152"/>
      <c r="B2540" s="152"/>
      <c r="C2540" s="355"/>
      <c r="D2540" s="152"/>
      <c r="E2540" s="152"/>
    </row>
    <row r="2541" hidden="1">
      <c r="A2541" s="152"/>
      <c r="B2541" s="152"/>
      <c r="C2541" s="355"/>
      <c r="D2541" s="152"/>
      <c r="E2541" s="152"/>
    </row>
    <row r="2542" hidden="1">
      <c r="A2542" s="152"/>
      <c r="B2542" s="152"/>
      <c r="C2542" s="355"/>
      <c r="D2542" s="152"/>
      <c r="E2542" s="152"/>
    </row>
    <row r="2543" hidden="1">
      <c r="A2543" s="152"/>
      <c r="B2543" s="152"/>
      <c r="C2543" s="355"/>
      <c r="D2543" s="152"/>
      <c r="E2543" s="152"/>
    </row>
    <row r="2544" hidden="1">
      <c r="A2544" s="152"/>
      <c r="B2544" s="152"/>
      <c r="C2544" s="355"/>
      <c r="D2544" s="152"/>
      <c r="E2544" s="152"/>
    </row>
    <row r="2545" hidden="1">
      <c r="A2545" s="152"/>
      <c r="B2545" s="152"/>
      <c r="C2545" s="355"/>
      <c r="D2545" s="152"/>
      <c r="E2545" s="152"/>
    </row>
    <row r="2546" hidden="1">
      <c r="A2546" s="152"/>
      <c r="B2546" s="152"/>
      <c r="C2546" s="355"/>
      <c r="D2546" s="152"/>
      <c r="E2546" s="152"/>
    </row>
    <row r="2547" hidden="1">
      <c r="A2547" s="152"/>
      <c r="B2547" s="152"/>
      <c r="C2547" s="355"/>
      <c r="D2547" s="152"/>
      <c r="E2547" s="152"/>
    </row>
    <row r="2548" hidden="1">
      <c r="A2548" s="152"/>
      <c r="B2548" s="152"/>
      <c r="C2548" s="355"/>
      <c r="D2548" s="152"/>
      <c r="E2548" s="152"/>
    </row>
    <row r="2549" hidden="1">
      <c r="A2549" s="152"/>
      <c r="B2549" s="152"/>
      <c r="C2549" s="355"/>
      <c r="D2549" s="152"/>
      <c r="E2549" s="152"/>
    </row>
    <row r="2550" hidden="1">
      <c r="A2550" s="152"/>
      <c r="B2550" s="152"/>
      <c r="C2550" s="355"/>
      <c r="D2550" s="152"/>
      <c r="E2550" s="152"/>
    </row>
    <row r="2551" hidden="1">
      <c r="A2551" s="152"/>
      <c r="B2551" s="152"/>
      <c r="C2551" s="355"/>
      <c r="D2551" s="152"/>
      <c r="E2551" s="152"/>
    </row>
    <row r="2552" hidden="1">
      <c r="A2552" s="152"/>
      <c r="B2552" s="152"/>
      <c r="C2552" s="355"/>
      <c r="D2552" s="152"/>
      <c r="E2552" s="152"/>
    </row>
    <row r="2553" hidden="1">
      <c r="A2553" s="152"/>
      <c r="B2553" s="152"/>
      <c r="C2553" s="355"/>
      <c r="D2553" s="152"/>
      <c r="E2553" s="152"/>
    </row>
    <row r="2554" hidden="1">
      <c r="A2554" s="152"/>
      <c r="B2554" s="152"/>
      <c r="C2554" s="355"/>
      <c r="D2554" s="152"/>
      <c r="E2554" s="152"/>
    </row>
    <row r="2555" hidden="1">
      <c r="A2555" s="152"/>
      <c r="B2555" s="152"/>
      <c r="C2555" s="355"/>
      <c r="D2555" s="152"/>
      <c r="E2555" s="152"/>
    </row>
    <row r="2556" hidden="1">
      <c r="A2556" s="152"/>
      <c r="B2556" s="152"/>
      <c r="C2556" s="355"/>
      <c r="D2556" s="152"/>
      <c r="E2556" s="152"/>
    </row>
    <row r="2557" hidden="1">
      <c r="A2557" s="152"/>
      <c r="B2557" s="152"/>
      <c r="C2557" s="355"/>
      <c r="D2557" s="152"/>
      <c r="E2557" s="152"/>
    </row>
    <row r="2558" hidden="1">
      <c r="A2558" s="152"/>
      <c r="B2558" s="152"/>
      <c r="C2558" s="355"/>
      <c r="D2558" s="152"/>
      <c r="E2558" s="152"/>
    </row>
    <row r="2559" hidden="1">
      <c r="A2559" s="152"/>
      <c r="B2559" s="152"/>
      <c r="C2559" s="355"/>
      <c r="D2559" s="152"/>
      <c r="E2559" s="152"/>
    </row>
    <row r="2560" hidden="1">
      <c r="A2560" s="152"/>
      <c r="B2560" s="152"/>
      <c r="C2560" s="355"/>
      <c r="D2560" s="152"/>
      <c r="E2560" s="152"/>
    </row>
    <row r="2561" hidden="1">
      <c r="A2561" s="152"/>
      <c r="B2561" s="152"/>
      <c r="C2561" s="355"/>
      <c r="D2561" s="152"/>
      <c r="E2561" s="152"/>
    </row>
    <row r="2562" hidden="1">
      <c r="A2562" s="152"/>
      <c r="B2562" s="152"/>
      <c r="C2562" s="355"/>
      <c r="D2562" s="152"/>
      <c r="E2562" s="152"/>
    </row>
    <row r="2563" hidden="1">
      <c r="A2563" s="152"/>
      <c r="B2563" s="152"/>
      <c r="C2563" s="355"/>
      <c r="D2563" s="152"/>
      <c r="E2563" s="152"/>
    </row>
    <row r="2564" hidden="1">
      <c r="A2564" s="152"/>
      <c r="B2564" s="152"/>
      <c r="C2564" s="355"/>
      <c r="D2564" s="152"/>
      <c r="E2564" s="152"/>
    </row>
    <row r="2565" hidden="1">
      <c r="A2565" s="152"/>
      <c r="B2565" s="152"/>
      <c r="C2565" s="355"/>
      <c r="D2565" s="152"/>
      <c r="E2565" s="152"/>
    </row>
    <row r="2566" hidden="1">
      <c r="A2566" s="152"/>
      <c r="B2566" s="152"/>
      <c r="C2566" s="355"/>
      <c r="D2566" s="152"/>
      <c r="E2566" s="152"/>
    </row>
    <row r="2567" hidden="1">
      <c r="A2567" s="152"/>
      <c r="B2567" s="152"/>
      <c r="C2567" s="355"/>
      <c r="D2567" s="152"/>
      <c r="E2567" s="152"/>
    </row>
    <row r="2568" hidden="1">
      <c r="A2568" s="152"/>
      <c r="B2568" s="152"/>
      <c r="C2568" s="355"/>
      <c r="D2568" s="152"/>
      <c r="E2568" s="152"/>
    </row>
    <row r="2569" hidden="1">
      <c r="A2569" s="152"/>
      <c r="B2569" s="152"/>
      <c r="C2569" s="355"/>
      <c r="D2569" s="152"/>
      <c r="E2569" s="152"/>
    </row>
    <row r="2570" hidden="1">
      <c r="A2570" s="152"/>
      <c r="B2570" s="152"/>
      <c r="C2570" s="355"/>
      <c r="D2570" s="152"/>
      <c r="E2570" s="152"/>
    </row>
    <row r="2571" hidden="1">
      <c r="A2571" s="152"/>
      <c r="B2571" s="152"/>
      <c r="C2571" s="355"/>
      <c r="D2571" s="152"/>
      <c r="E2571" s="152"/>
    </row>
    <row r="2572" hidden="1">
      <c r="A2572" s="152"/>
      <c r="B2572" s="152"/>
      <c r="C2572" s="355"/>
      <c r="D2572" s="152"/>
      <c r="E2572" s="152"/>
    </row>
    <row r="2573" hidden="1">
      <c r="A2573" s="152"/>
      <c r="B2573" s="152"/>
      <c r="C2573" s="355"/>
      <c r="D2573" s="152"/>
      <c r="E2573" s="152"/>
    </row>
    <row r="2574" hidden="1">
      <c r="A2574" s="152"/>
      <c r="B2574" s="152"/>
      <c r="C2574" s="355"/>
      <c r="D2574" s="152"/>
      <c r="E2574" s="152"/>
    </row>
    <row r="2575" hidden="1">
      <c r="A2575" s="152"/>
      <c r="B2575" s="152"/>
      <c r="C2575" s="355"/>
      <c r="D2575" s="152"/>
      <c r="E2575" s="152"/>
    </row>
    <row r="2576" hidden="1">
      <c r="A2576" s="152"/>
      <c r="B2576" s="152"/>
      <c r="C2576" s="355"/>
      <c r="D2576" s="152"/>
      <c r="E2576" s="152"/>
    </row>
    <row r="2577" hidden="1">
      <c r="A2577" s="152"/>
      <c r="B2577" s="152"/>
      <c r="C2577" s="355"/>
      <c r="D2577" s="152"/>
      <c r="E2577" s="152"/>
    </row>
    <row r="2578" hidden="1">
      <c r="A2578" s="152"/>
      <c r="B2578" s="152"/>
      <c r="C2578" s="355"/>
      <c r="D2578" s="152"/>
      <c r="E2578" s="152"/>
    </row>
    <row r="2579" hidden="1">
      <c r="A2579" s="152"/>
      <c r="B2579" s="152"/>
      <c r="C2579" s="355"/>
      <c r="D2579" s="152"/>
      <c r="E2579" s="152"/>
    </row>
    <row r="2580" hidden="1">
      <c r="A2580" s="152"/>
      <c r="B2580" s="152"/>
      <c r="C2580" s="355"/>
      <c r="D2580" s="152"/>
      <c r="E2580" s="152"/>
    </row>
    <row r="2581" hidden="1">
      <c r="A2581" s="152"/>
      <c r="B2581" s="152"/>
      <c r="C2581" s="355"/>
      <c r="D2581" s="152"/>
      <c r="E2581" s="152"/>
    </row>
    <row r="2582" hidden="1">
      <c r="A2582" s="152"/>
      <c r="B2582" s="152"/>
      <c r="C2582" s="355"/>
      <c r="D2582" s="152"/>
      <c r="E2582" s="152"/>
    </row>
    <row r="2583" hidden="1">
      <c r="A2583" s="152"/>
      <c r="B2583" s="152"/>
      <c r="C2583" s="355"/>
      <c r="D2583" s="152"/>
      <c r="E2583" s="152"/>
    </row>
    <row r="2584" hidden="1">
      <c r="A2584" s="152"/>
      <c r="B2584" s="152"/>
      <c r="C2584" s="355"/>
      <c r="D2584" s="152"/>
      <c r="E2584" s="152"/>
    </row>
    <row r="2585" hidden="1">
      <c r="A2585" s="152"/>
      <c r="B2585" s="152"/>
      <c r="C2585" s="355"/>
      <c r="D2585" s="152"/>
      <c r="E2585" s="152"/>
    </row>
    <row r="2586" hidden="1">
      <c r="A2586" s="152"/>
      <c r="B2586" s="152"/>
      <c r="C2586" s="355"/>
      <c r="D2586" s="152"/>
      <c r="E2586" s="152"/>
    </row>
    <row r="2587" hidden="1">
      <c r="A2587" s="152"/>
      <c r="B2587" s="152"/>
      <c r="C2587" s="355"/>
      <c r="D2587" s="152"/>
      <c r="E2587" s="152"/>
    </row>
    <row r="2588" hidden="1">
      <c r="A2588" s="152"/>
      <c r="B2588" s="152"/>
      <c r="C2588" s="355"/>
      <c r="D2588" s="152"/>
      <c r="E2588" s="152"/>
    </row>
    <row r="2589" hidden="1">
      <c r="A2589" s="152"/>
      <c r="B2589" s="152"/>
      <c r="C2589" s="355"/>
      <c r="D2589" s="152"/>
      <c r="E2589" s="152"/>
    </row>
    <row r="2590" hidden="1">
      <c r="A2590" s="152"/>
      <c r="B2590" s="152"/>
      <c r="C2590" s="355"/>
      <c r="D2590" s="152"/>
      <c r="E2590" s="152"/>
    </row>
    <row r="2591" hidden="1">
      <c r="A2591" s="152"/>
      <c r="B2591" s="152"/>
      <c r="C2591" s="355"/>
      <c r="D2591" s="152"/>
      <c r="E2591" s="152"/>
    </row>
    <row r="2592" hidden="1">
      <c r="A2592" s="152"/>
      <c r="B2592" s="152"/>
      <c r="C2592" s="355"/>
      <c r="D2592" s="152"/>
      <c r="E2592" s="152"/>
    </row>
    <row r="2593" hidden="1">
      <c r="A2593" s="152"/>
      <c r="B2593" s="152"/>
      <c r="C2593" s="355"/>
      <c r="D2593" s="152"/>
      <c r="E2593" s="152"/>
    </row>
    <row r="2594" hidden="1">
      <c r="A2594" s="152"/>
      <c r="B2594" s="152"/>
      <c r="C2594" s="355"/>
      <c r="D2594" s="152"/>
      <c r="E2594" s="152"/>
    </row>
    <row r="2595" hidden="1">
      <c r="A2595" s="152"/>
      <c r="B2595" s="152"/>
      <c r="C2595" s="355"/>
      <c r="D2595" s="152"/>
      <c r="E2595" s="152"/>
    </row>
    <row r="2596" hidden="1">
      <c r="A2596" s="152"/>
      <c r="B2596" s="152"/>
      <c r="C2596" s="355"/>
      <c r="D2596" s="152"/>
      <c r="E2596" s="152"/>
    </row>
    <row r="2597" hidden="1">
      <c r="A2597" s="152"/>
      <c r="B2597" s="152"/>
      <c r="C2597" s="355"/>
      <c r="D2597" s="152"/>
      <c r="E2597" s="152"/>
    </row>
    <row r="2598" hidden="1">
      <c r="A2598" s="152"/>
      <c r="B2598" s="152"/>
      <c r="C2598" s="355"/>
      <c r="D2598" s="152"/>
      <c r="E2598" s="152"/>
    </row>
    <row r="2599" hidden="1">
      <c r="A2599" s="152"/>
      <c r="B2599" s="152"/>
      <c r="C2599" s="355"/>
      <c r="D2599" s="152"/>
      <c r="E2599" s="152"/>
    </row>
    <row r="2600" hidden="1">
      <c r="A2600" s="152"/>
      <c r="B2600" s="152"/>
      <c r="C2600" s="355"/>
      <c r="D2600" s="152"/>
      <c r="E2600" s="152"/>
    </row>
    <row r="2601" hidden="1">
      <c r="A2601" s="152"/>
      <c r="B2601" s="152"/>
      <c r="C2601" s="355"/>
      <c r="D2601" s="152"/>
      <c r="E2601" s="152"/>
    </row>
    <row r="2602" hidden="1">
      <c r="A2602" s="152"/>
      <c r="B2602" s="152"/>
      <c r="C2602" s="355"/>
      <c r="D2602" s="152"/>
      <c r="E2602" s="152"/>
    </row>
    <row r="2603" hidden="1">
      <c r="A2603" s="152"/>
      <c r="B2603" s="152"/>
      <c r="C2603" s="355"/>
      <c r="D2603" s="152"/>
      <c r="E2603" s="152"/>
    </row>
    <row r="2604" hidden="1">
      <c r="A2604" s="152"/>
      <c r="B2604" s="152"/>
      <c r="C2604" s="355"/>
      <c r="D2604" s="152"/>
      <c r="E2604" s="152"/>
    </row>
    <row r="2605" hidden="1">
      <c r="A2605" s="152"/>
      <c r="B2605" s="152"/>
      <c r="C2605" s="355"/>
      <c r="D2605" s="152"/>
      <c r="E2605" s="152"/>
    </row>
    <row r="2606" hidden="1">
      <c r="A2606" s="152"/>
      <c r="B2606" s="152"/>
      <c r="C2606" s="355"/>
      <c r="D2606" s="152"/>
      <c r="E2606" s="152"/>
    </row>
    <row r="2607" hidden="1">
      <c r="A2607" s="152"/>
      <c r="B2607" s="152"/>
      <c r="C2607" s="355"/>
      <c r="D2607" s="152"/>
      <c r="E2607" s="152"/>
    </row>
    <row r="2608" hidden="1">
      <c r="A2608" s="152"/>
      <c r="B2608" s="152"/>
      <c r="C2608" s="355"/>
      <c r="D2608" s="152"/>
      <c r="E2608" s="152"/>
    </row>
    <row r="2609" hidden="1">
      <c r="A2609" s="152"/>
      <c r="B2609" s="152"/>
      <c r="C2609" s="355"/>
      <c r="D2609" s="152"/>
      <c r="E2609" s="152"/>
    </row>
    <row r="2610" hidden="1">
      <c r="A2610" s="152"/>
      <c r="B2610" s="152"/>
      <c r="C2610" s="355"/>
      <c r="D2610" s="152"/>
      <c r="E2610" s="152"/>
    </row>
    <row r="2611" hidden="1">
      <c r="A2611" s="152"/>
      <c r="B2611" s="152"/>
      <c r="C2611" s="355"/>
      <c r="D2611" s="152"/>
      <c r="E2611" s="152"/>
    </row>
    <row r="2612" hidden="1">
      <c r="A2612" s="152"/>
      <c r="B2612" s="152"/>
      <c r="C2612" s="355"/>
      <c r="D2612" s="152"/>
      <c r="E2612" s="152"/>
    </row>
    <row r="2613" hidden="1">
      <c r="A2613" s="152"/>
      <c r="B2613" s="152"/>
      <c r="C2613" s="355"/>
      <c r="D2613" s="152"/>
      <c r="E2613" s="152"/>
    </row>
    <row r="2614" hidden="1">
      <c r="A2614" s="152"/>
      <c r="B2614" s="152"/>
      <c r="C2614" s="355"/>
      <c r="D2614" s="152"/>
      <c r="E2614" s="152"/>
    </row>
    <row r="2615" hidden="1">
      <c r="A2615" s="152"/>
      <c r="B2615" s="152"/>
      <c r="C2615" s="355"/>
      <c r="D2615" s="152"/>
      <c r="E2615" s="152"/>
    </row>
    <row r="2616" hidden="1">
      <c r="A2616" s="152"/>
      <c r="B2616" s="152"/>
      <c r="C2616" s="355"/>
      <c r="D2616" s="152"/>
      <c r="E2616" s="152"/>
    </row>
    <row r="2617" hidden="1">
      <c r="A2617" s="152"/>
      <c r="B2617" s="152"/>
      <c r="C2617" s="355"/>
      <c r="D2617" s="152"/>
      <c r="E2617" s="152"/>
    </row>
    <row r="2618" hidden="1">
      <c r="A2618" s="152"/>
      <c r="B2618" s="152"/>
      <c r="C2618" s="355"/>
      <c r="D2618" s="152"/>
      <c r="E2618" s="152"/>
    </row>
    <row r="2619" hidden="1">
      <c r="A2619" s="152"/>
      <c r="B2619" s="152"/>
      <c r="C2619" s="355"/>
      <c r="D2619" s="152"/>
      <c r="E2619" s="152"/>
    </row>
    <row r="2620" hidden="1">
      <c r="A2620" s="152"/>
      <c r="B2620" s="152"/>
      <c r="C2620" s="355"/>
      <c r="D2620" s="152"/>
      <c r="E2620" s="152"/>
    </row>
    <row r="2621" hidden="1">
      <c r="A2621" s="152"/>
      <c r="B2621" s="152"/>
      <c r="C2621" s="355"/>
      <c r="D2621" s="152"/>
      <c r="E2621" s="152"/>
    </row>
    <row r="2622" hidden="1">
      <c r="A2622" s="152"/>
      <c r="B2622" s="152"/>
      <c r="C2622" s="355"/>
      <c r="D2622" s="152"/>
      <c r="E2622" s="152"/>
    </row>
    <row r="2623" hidden="1">
      <c r="A2623" s="152"/>
      <c r="B2623" s="152"/>
      <c r="C2623" s="355"/>
      <c r="D2623" s="152"/>
      <c r="E2623" s="152"/>
    </row>
    <row r="2624" hidden="1">
      <c r="A2624" s="152"/>
      <c r="B2624" s="152"/>
      <c r="C2624" s="355"/>
      <c r="D2624" s="152"/>
      <c r="E2624" s="152"/>
    </row>
    <row r="2625" hidden="1">
      <c r="A2625" s="152"/>
      <c r="B2625" s="152"/>
      <c r="C2625" s="355"/>
      <c r="D2625" s="152"/>
      <c r="E2625" s="152"/>
    </row>
    <row r="2626" hidden="1">
      <c r="A2626" s="152"/>
      <c r="B2626" s="152"/>
      <c r="C2626" s="355"/>
      <c r="D2626" s="152"/>
      <c r="E2626" s="152"/>
    </row>
    <row r="2627" hidden="1">
      <c r="A2627" s="152"/>
      <c r="B2627" s="152"/>
      <c r="C2627" s="355"/>
      <c r="D2627" s="152"/>
      <c r="E2627" s="152"/>
    </row>
    <row r="2628" hidden="1">
      <c r="A2628" s="152"/>
      <c r="B2628" s="152"/>
      <c r="C2628" s="355"/>
      <c r="D2628" s="152"/>
      <c r="E2628" s="152"/>
    </row>
    <row r="2629" hidden="1">
      <c r="A2629" s="152"/>
      <c r="B2629" s="152"/>
      <c r="C2629" s="355"/>
      <c r="D2629" s="152"/>
      <c r="E2629" s="152"/>
    </row>
    <row r="2630" hidden="1">
      <c r="A2630" s="152"/>
      <c r="B2630" s="152"/>
      <c r="C2630" s="355"/>
      <c r="D2630" s="152"/>
      <c r="E2630" s="152"/>
    </row>
    <row r="2631" hidden="1">
      <c r="A2631" s="152"/>
      <c r="B2631" s="152"/>
      <c r="C2631" s="355"/>
      <c r="D2631" s="152"/>
      <c r="E2631" s="152"/>
    </row>
    <row r="2632" hidden="1">
      <c r="A2632" s="152"/>
      <c r="B2632" s="152"/>
      <c r="C2632" s="355"/>
      <c r="D2632" s="152"/>
      <c r="E2632" s="152"/>
    </row>
    <row r="2633" hidden="1">
      <c r="A2633" s="152"/>
      <c r="B2633" s="152"/>
      <c r="C2633" s="355"/>
      <c r="D2633" s="152"/>
      <c r="E2633" s="152"/>
    </row>
    <row r="2634" hidden="1">
      <c r="A2634" s="152"/>
      <c r="B2634" s="152"/>
      <c r="C2634" s="355"/>
      <c r="D2634" s="152"/>
      <c r="E2634" s="152"/>
    </row>
    <row r="2635" hidden="1">
      <c r="A2635" s="152"/>
      <c r="B2635" s="152"/>
      <c r="C2635" s="355"/>
      <c r="D2635" s="152"/>
      <c r="E2635" s="152"/>
    </row>
    <row r="2636" hidden="1">
      <c r="A2636" s="152"/>
      <c r="B2636" s="152"/>
      <c r="C2636" s="355"/>
      <c r="D2636" s="152"/>
      <c r="E2636" s="152"/>
    </row>
    <row r="2637" hidden="1">
      <c r="A2637" s="152"/>
      <c r="B2637" s="152"/>
      <c r="C2637" s="355"/>
      <c r="D2637" s="152"/>
      <c r="E2637" s="152"/>
    </row>
    <row r="2638" hidden="1">
      <c r="A2638" s="152"/>
      <c r="B2638" s="152"/>
      <c r="C2638" s="355"/>
      <c r="D2638" s="152"/>
      <c r="E2638" s="152"/>
    </row>
    <row r="2639" hidden="1">
      <c r="A2639" s="152"/>
      <c r="B2639" s="152"/>
      <c r="C2639" s="355"/>
      <c r="D2639" s="152"/>
      <c r="E2639" s="152"/>
    </row>
    <row r="2640" hidden="1">
      <c r="A2640" s="152"/>
      <c r="B2640" s="152"/>
      <c r="C2640" s="355"/>
      <c r="D2640" s="152"/>
      <c r="E2640" s="152"/>
    </row>
    <row r="2641" hidden="1">
      <c r="A2641" s="152"/>
      <c r="B2641" s="152"/>
      <c r="C2641" s="355"/>
      <c r="D2641" s="152"/>
      <c r="E2641" s="152"/>
    </row>
    <row r="2642" hidden="1">
      <c r="A2642" s="152"/>
      <c r="B2642" s="152"/>
      <c r="C2642" s="355"/>
      <c r="D2642" s="152"/>
      <c r="E2642" s="152"/>
    </row>
    <row r="2643" hidden="1">
      <c r="A2643" s="152"/>
      <c r="B2643" s="152"/>
      <c r="C2643" s="355"/>
      <c r="D2643" s="152"/>
      <c r="E2643" s="152"/>
    </row>
    <row r="2644" hidden="1">
      <c r="A2644" s="152"/>
      <c r="B2644" s="152"/>
      <c r="C2644" s="355"/>
      <c r="D2644" s="152"/>
      <c r="E2644" s="152"/>
    </row>
    <row r="2645" hidden="1">
      <c r="A2645" s="152"/>
      <c r="B2645" s="152"/>
      <c r="C2645" s="355"/>
      <c r="D2645" s="152"/>
      <c r="E2645" s="152"/>
    </row>
    <row r="2646" hidden="1">
      <c r="A2646" s="152"/>
      <c r="B2646" s="152"/>
      <c r="C2646" s="355"/>
      <c r="D2646" s="152"/>
      <c r="E2646" s="152"/>
    </row>
    <row r="2647" hidden="1">
      <c r="A2647" s="152"/>
      <c r="B2647" s="152"/>
      <c r="C2647" s="355"/>
      <c r="D2647" s="152"/>
      <c r="E2647" s="152"/>
    </row>
    <row r="2648" hidden="1">
      <c r="A2648" s="152"/>
      <c r="B2648" s="152"/>
      <c r="C2648" s="355"/>
      <c r="D2648" s="152"/>
      <c r="E2648" s="152"/>
    </row>
    <row r="2649" hidden="1">
      <c r="A2649" s="152"/>
      <c r="B2649" s="152"/>
      <c r="C2649" s="355"/>
      <c r="D2649" s="152"/>
      <c r="E2649" s="152"/>
    </row>
    <row r="2650" hidden="1">
      <c r="A2650" s="152"/>
      <c r="B2650" s="152"/>
      <c r="C2650" s="355"/>
      <c r="D2650" s="152"/>
      <c r="E2650" s="152"/>
    </row>
    <row r="2651" hidden="1">
      <c r="A2651" s="152"/>
      <c r="B2651" s="152"/>
      <c r="C2651" s="355"/>
      <c r="D2651" s="152"/>
      <c r="E2651" s="152"/>
    </row>
    <row r="2652" hidden="1">
      <c r="A2652" s="152"/>
      <c r="B2652" s="152"/>
      <c r="C2652" s="355"/>
      <c r="D2652" s="152"/>
      <c r="E2652" s="152"/>
    </row>
    <row r="2653" hidden="1">
      <c r="A2653" s="152"/>
      <c r="B2653" s="152"/>
      <c r="C2653" s="355"/>
      <c r="D2653" s="152"/>
      <c r="E2653" s="152"/>
    </row>
    <row r="2654" hidden="1">
      <c r="A2654" s="152"/>
      <c r="B2654" s="152"/>
      <c r="C2654" s="355"/>
      <c r="D2654" s="152"/>
      <c r="E2654" s="152"/>
    </row>
    <row r="2655" hidden="1">
      <c r="A2655" s="152"/>
      <c r="B2655" s="152"/>
      <c r="C2655" s="355"/>
      <c r="D2655" s="152"/>
      <c r="E2655" s="152"/>
    </row>
    <row r="2656" hidden="1">
      <c r="A2656" s="152"/>
      <c r="B2656" s="152"/>
      <c r="C2656" s="355"/>
      <c r="D2656" s="152"/>
      <c r="E2656" s="152"/>
    </row>
    <row r="2657" hidden="1">
      <c r="A2657" s="152"/>
      <c r="B2657" s="152"/>
      <c r="C2657" s="355"/>
      <c r="D2657" s="152"/>
      <c r="E2657" s="152"/>
    </row>
    <row r="2658" hidden="1">
      <c r="A2658" s="152"/>
      <c r="B2658" s="152"/>
      <c r="C2658" s="355"/>
      <c r="D2658" s="152"/>
      <c r="E2658" s="152"/>
    </row>
    <row r="2659" hidden="1">
      <c r="A2659" s="152"/>
      <c r="B2659" s="152"/>
      <c r="C2659" s="355"/>
      <c r="D2659" s="152"/>
      <c r="E2659" s="152"/>
    </row>
    <row r="2660" hidden="1">
      <c r="A2660" s="152"/>
      <c r="B2660" s="152"/>
      <c r="C2660" s="355"/>
      <c r="D2660" s="152"/>
      <c r="E2660" s="152"/>
    </row>
    <row r="2661" hidden="1">
      <c r="A2661" s="152"/>
      <c r="B2661" s="152"/>
      <c r="C2661" s="355"/>
      <c r="D2661" s="152"/>
      <c r="E2661" s="152"/>
    </row>
    <row r="2662" hidden="1">
      <c r="A2662" s="152"/>
      <c r="B2662" s="152"/>
      <c r="C2662" s="355"/>
      <c r="D2662" s="152"/>
      <c r="E2662" s="152"/>
    </row>
    <row r="2663" hidden="1">
      <c r="A2663" s="152"/>
      <c r="B2663" s="152"/>
      <c r="C2663" s="355"/>
      <c r="D2663" s="152"/>
      <c r="E2663" s="152"/>
    </row>
    <row r="2664" hidden="1">
      <c r="A2664" s="152"/>
      <c r="B2664" s="152"/>
      <c r="C2664" s="355"/>
      <c r="D2664" s="152"/>
      <c r="E2664" s="152"/>
    </row>
    <row r="2665" hidden="1">
      <c r="A2665" s="152"/>
      <c r="B2665" s="152"/>
      <c r="C2665" s="355"/>
      <c r="D2665" s="152"/>
      <c r="E2665" s="152"/>
    </row>
    <row r="2666" hidden="1">
      <c r="A2666" s="152"/>
      <c r="B2666" s="152"/>
      <c r="C2666" s="355"/>
      <c r="D2666" s="152"/>
      <c r="E2666" s="152"/>
    </row>
    <row r="2667" hidden="1">
      <c r="A2667" s="152"/>
      <c r="B2667" s="152"/>
      <c r="C2667" s="355"/>
      <c r="D2667" s="152"/>
      <c r="E2667" s="152"/>
    </row>
    <row r="2668" hidden="1">
      <c r="A2668" s="152"/>
      <c r="B2668" s="152"/>
      <c r="C2668" s="355"/>
      <c r="D2668" s="152"/>
      <c r="E2668" s="152"/>
    </row>
    <row r="2669" hidden="1">
      <c r="A2669" s="152"/>
      <c r="B2669" s="152"/>
      <c r="C2669" s="355"/>
      <c r="D2669" s="152"/>
      <c r="E2669" s="152"/>
    </row>
    <row r="2670" hidden="1">
      <c r="A2670" s="152"/>
      <c r="B2670" s="152"/>
      <c r="C2670" s="355"/>
      <c r="D2670" s="152"/>
      <c r="E2670" s="152"/>
    </row>
    <row r="2671" hidden="1">
      <c r="A2671" s="152"/>
      <c r="B2671" s="152"/>
      <c r="C2671" s="355"/>
      <c r="D2671" s="152"/>
      <c r="E2671" s="152"/>
    </row>
    <row r="2672" hidden="1">
      <c r="A2672" s="152"/>
      <c r="B2672" s="152"/>
      <c r="C2672" s="355"/>
      <c r="D2672" s="152"/>
      <c r="E2672" s="152"/>
    </row>
    <row r="2673" hidden="1">
      <c r="A2673" s="152"/>
      <c r="B2673" s="152"/>
      <c r="C2673" s="355"/>
      <c r="D2673" s="152"/>
      <c r="E2673" s="152"/>
    </row>
    <row r="2674" hidden="1">
      <c r="A2674" s="152"/>
      <c r="B2674" s="152"/>
      <c r="C2674" s="355"/>
      <c r="D2674" s="152"/>
      <c r="E2674" s="152"/>
    </row>
    <row r="2675" hidden="1">
      <c r="A2675" s="152"/>
      <c r="B2675" s="152"/>
      <c r="C2675" s="355"/>
      <c r="D2675" s="152"/>
      <c r="E2675" s="152"/>
    </row>
    <row r="2676" hidden="1">
      <c r="A2676" s="152"/>
      <c r="B2676" s="152"/>
      <c r="C2676" s="355"/>
      <c r="D2676" s="152"/>
      <c r="E2676" s="152"/>
    </row>
    <row r="2677" hidden="1">
      <c r="A2677" s="152"/>
      <c r="B2677" s="152"/>
      <c r="C2677" s="355"/>
      <c r="D2677" s="152"/>
      <c r="E2677" s="152"/>
    </row>
    <row r="2678" hidden="1">
      <c r="A2678" s="152"/>
      <c r="B2678" s="152"/>
      <c r="C2678" s="355"/>
      <c r="D2678" s="152"/>
      <c r="E2678" s="152"/>
    </row>
    <row r="2679" hidden="1">
      <c r="A2679" s="152"/>
      <c r="B2679" s="152"/>
      <c r="C2679" s="355"/>
      <c r="D2679" s="152"/>
      <c r="E2679" s="152"/>
    </row>
    <row r="2680" hidden="1">
      <c r="A2680" s="152"/>
      <c r="B2680" s="152"/>
      <c r="C2680" s="355"/>
      <c r="D2680" s="152"/>
      <c r="E2680" s="152"/>
    </row>
    <row r="2681" hidden="1">
      <c r="A2681" s="152"/>
      <c r="B2681" s="152"/>
      <c r="C2681" s="355"/>
      <c r="D2681" s="152"/>
      <c r="E2681" s="152"/>
    </row>
    <row r="2682" hidden="1">
      <c r="A2682" s="152"/>
      <c r="B2682" s="152"/>
      <c r="C2682" s="355"/>
      <c r="D2682" s="152"/>
      <c r="E2682" s="152"/>
    </row>
    <row r="2683" hidden="1">
      <c r="A2683" s="152"/>
      <c r="B2683" s="152"/>
      <c r="C2683" s="355"/>
      <c r="D2683" s="152"/>
      <c r="E2683" s="152"/>
    </row>
    <row r="2684" hidden="1">
      <c r="A2684" s="152"/>
      <c r="B2684" s="152"/>
      <c r="C2684" s="355"/>
      <c r="D2684" s="152"/>
      <c r="E2684" s="152"/>
    </row>
    <row r="2685" hidden="1">
      <c r="A2685" s="152"/>
      <c r="B2685" s="152"/>
      <c r="C2685" s="355"/>
      <c r="D2685" s="152"/>
      <c r="E2685" s="152"/>
    </row>
    <row r="2686" hidden="1">
      <c r="A2686" s="152"/>
      <c r="B2686" s="152"/>
      <c r="C2686" s="355"/>
      <c r="D2686" s="152"/>
      <c r="E2686" s="152"/>
    </row>
    <row r="2687" hidden="1">
      <c r="A2687" s="152"/>
      <c r="B2687" s="152"/>
      <c r="C2687" s="355"/>
      <c r="D2687" s="152"/>
      <c r="E2687" s="152"/>
    </row>
    <row r="2688" hidden="1">
      <c r="A2688" s="152"/>
      <c r="B2688" s="152"/>
      <c r="C2688" s="355"/>
      <c r="D2688" s="152"/>
      <c r="E2688" s="152"/>
    </row>
    <row r="2689" hidden="1">
      <c r="A2689" s="152"/>
      <c r="B2689" s="152"/>
      <c r="C2689" s="355"/>
      <c r="D2689" s="152"/>
      <c r="E2689" s="152"/>
    </row>
    <row r="2690" hidden="1">
      <c r="A2690" s="152"/>
      <c r="B2690" s="152"/>
      <c r="C2690" s="355"/>
      <c r="D2690" s="152"/>
      <c r="E2690" s="152"/>
    </row>
    <row r="2691" hidden="1">
      <c r="A2691" s="152"/>
      <c r="B2691" s="152"/>
      <c r="C2691" s="355"/>
      <c r="D2691" s="152"/>
      <c r="E2691" s="152"/>
    </row>
    <row r="2692" hidden="1">
      <c r="A2692" s="152"/>
      <c r="B2692" s="152"/>
      <c r="C2692" s="355"/>
      <c r="D2692" s="152"/>
      <c r="E2692" s="152"/>
    </row>
    <row r="2693" hidden="1">
      <c r="A2693" s="152"/>
      <c r="B2693" s="152"/>
      <c r="C2693" s="355"/>
      <c r="D2693" s="152"/>
      <c r="E2693" s="152"/>
    </row>
    <row r="2694" hidden="1">
      <c r="A2694" s="152"/>
      <c r="B2694" s="152"/>
      <c r="C2694" s="355"/>
      <c r="D2694" s="152"/>
      <c r="E2694" s="152"/>
    </row>
    <row r="2695" hidden="1">
      <c r="A2695" s="152"/>
      <c r="B2695" s="152"/>
      <c r="C2695" s="355"/>
      <c r="D2695" s="152"/>
      <c r="E2695" s="152"/>
    </row>
    <row r="2696" hidden="1">
      <c r="A2696" s="152"/>
      <c r="B2696" s="152"/>
      <c r="C2696" s="355"/>
      <c r="D2696" s="152"/>
      <c r="E2696" s="152"/>
    </row>
    <row r="2697" hidden="1">
      <c r="A2697" s="152"/>
      <c r="B2697" s="152"/>
      <c r="C2697" s="355"/>
      <c r="D2697" s="152"/>
      <c r="E2697" s="152"/>
    </row>
    <row r="2698" hidden="1">
      <c r="A2698" s="152"/>
      <c r="B2698" s="152"/>
      <c r="C2698" s="355"/>
      <c r="D2698" s="152"/>
      <c r="E2698" s="152"/>
    </row>
    <row r="2699" hidden="1">
      <c r="A2699" s="152"/>
      <c r="B2699" s="152"/>
      <c r="C2699" s="355"/>
      <c r="D2699" s="152"/>
      <c r="E2699" s="152"/>
    </row>
    <row r="2700" hidden="1">
      <c r="A2700" s="152"/>
      <c r="B2700" s="152"/>
      <c r="C2700" s="355"/>
      <c r="D2700" s="152"/>
      <c r="E2700" s="152"/>
    </row>
    <row r="2701" hidden="1">
      <c r="A2701" s="152"/>
      <c r="B2701" s="152"/>
      <c r="C2701" s="355"/>
      <c r="D2701" s="152"/>
      <c r="E2701" s="152"/>
    </row>
    <row r="2702" hidden="1">
      <c r="A2702" s="152"/>
      <c r="B2702" s="152"/>
      <c r="C2702" s="355"/>
      <c r="D2702" s="152"/>
      <c r="E2702" s="152"/>
    </row>
    <row r="2703" hidden="1">
      <c r="A2703" s="152"/>
      <c r="B2703" s="152"/>
      <c r="C2703" s="355"/>
      <c r="D2703" s="152"/>
      <c r="E2703" s="152"/>
    </row>
    <row r="2704" hidden="1">
      <c r="A2704" s="152"/>
      <c r="B2704" s="152"/>
      <c r="C2704" s="355"/>
      <c r="D2704" s="152"/>
      <c r="E2704" s="152"/>
    </row>
    <row r="2705" hidden="1">
      <c r="A2705" s="152"/>
      <c r="B2705" s="152"/>
      <c r="C2705" s="355"/>
      <c r="D2705" s="152"/>
      <c r="E2705" s="152"/>
    </row>
    <row r="2706" hidden="1">
      <c r="A2706" s="152"/>
      <c r="B2706" s="152"/>
      <c r="C2706" s="355"/>
      <c r="D2706" s="152"/>
      <c r="E2706" s="152"/>
    </row>
    <row r="2707" hidden="1">
      <c r="A2707" s="152"/>
      <c r="B2707" s="152"/>
      <c r="C2707" s="355"/>
      <c r="D2707" s="152"/>
      <c r="E2707" s="152"/>
    </row>
    <row r="2708" hidden="1">
      <c r="A2708" s="152"/>
      <c r="B2708" s="152"/>
      <c r="C2708" s="355"/>
      <c r="D2708" s="152"/>
      <c r="E2708" s="152"/>
    </row>
    <row r="2709" hidden="1">
      <c r="A2709" s="152"/>
      <c r="B2709" s="152"/>
      <c r="C2709" s="355"/>
      <c r="D2709" s="152"/>
      <c r="E2709" s="152"/>
    </row>
    <row r="2710" hidden="1">
      <c r="A2710" s="152"/>
      <c r="B2710" s="152"/>
      <c r="C2710" s="355"/>
      <c r="D2710" s="152"/>
      <c r="E2710" s="152"/>
    </row>
    <row r="2711" hidden="1">
      <c r="A2711" s="152"/>
      <c r="B2711" s="152"/>
      <c r="C2711" s="355"/>
      <c r="D2711" s="152"/>
      <c r="E2711" s="152"/>
    </row>
    <row r="2712" hidden="1">
      <c r="A2712" s="152"/>
      <c r="B2712" s="152"/>
      <c r="C2712" s="355"/>
      <c r="D2712" s="152"/>
      <c r="E2712" s="152"/>
    </row>
    <row r="2713" hidden="1">
      <c r="A2713" s="152"/>
      <c r="B2713" s="152"/>
      <c r="C2713" s="355"/>
      <c r="D2713" s="152"/>
      <c r="E2713" s="152"/>
    </row>
    <row r="2714" hidden="1">
      <c r="A2714" s="152"/>
      <c r="B2714" s="152"/>
      <c r="C2714" s="355"/>
      <c r="D2714" s="152"/>
      <c r="E2714" s="152"/>
    </row>
    <row r="2715" hidden="1">
      <c r="A2715" s="152"/>
      <c r="B2715" s="152"/>
      <c r="C2715" s="355"/>
      <c r="D2715" s="152"/>
      <c r="E2715" s="152"/>
    </row>
    <row r="2716" hidden="1">
      <c r="A2716" s="152"/>
      <c r="B2716" s="152"/>
      <c r="C2716" s="355"/>
      <c r="D2716" s="152"/>
      <c r="E2716" s="152"/>
    </row>
    <row r="2717" hidden="1">
      <c r="A2717" s="152"/>
      <c r="B2717" s="152"/>
      <c r="C2717" s="355"/>
      <c r="D2717" s="152"/>
      <c r="E2717" s="152"/>
    </row>
    <row r="2718" hidden="1">
      <c r="A2718" s="152"/>
      <c r="B2718" s="152"/>
      <c r="C2718" s="355"/>
      <c r="D2718" s="152"/>
      <c r="E2718" s="152"/>
    </row>
    <row r="2719" hidden="1">
      <c r="A2719" s="152"/>
      <c r="B2719" s="152"/>
      <c r="C2719" s="355"/>
      <c r="D2719" s="152"/>
      <c r="E2719" s="152"/>
    </row>
    <row r="2720" hidden="1">
      <c r="A2720" s="152"/>
      <c r="B2720" s="152"/>
      <c r="C2720" s="355"/>
      <c r="D2720" s="152"/>
      <c r="E2720" s="152"/>
    </row>
    <row r="2721" hidden="1">
      <c r="A2721" s="152"/>
      <c r="B2721" s="152"/>
      <c r="C2721" s="355"/>
      <c r="D2721" s="152"/>
      <c r="E2721" s="152"/>
    </row>
    <row r="2722" hidden="1">
      <c r="A2722" s="152"/>
      <c r="B2722" s="152"/>
      <c r="C2722" s="355"/>
      <c r="D2722" s="152"/>
      <c r="E2722" s="152"/>
    </row>
    <row r="2723" hidden="1">
      <c r="A2723" s="152"/>
      <c r="B2723" s="152"/>
      <c r="C2723" s="355"/>
      <c r="D2723" s="152"/>
      <c r="E2723" s="152"/>
    </row>
    <row r="2724" hidden="1">
      <c r="A2724" s="152"/>
      <c r="B2724" s="152"/>
      <c r="C2724" s="355"/>
      <c r="D2724" s="152"/>
      <c r="E2724" s="152"/>
    </row>
    <row r="2725" hidden="1">
      <c r="A2725" s="152"/>
      <c r="B2725" s="152"/>
      <c r="C2725" s="355"/>
      <c r="D2725" s="152"/>
      <c r="E2725" s="152"/>
    </row>
    <row r="2726" hidden="1">
      <c r="A2726" s="152"/>
      <c r="B2726" s="152"/>
      <c r="C2726" s="355"/>
      <c r="D2726" s="152"/>
      <c r="E2726" s="152"/>
    </row>
    <row r="2727" hidden="1">
      <c r="A2727" s="152"/>
      <c r="B2727" s="152"/>
      <c r="C2727" s="355"/>
      <c r="D2727" s="152"/>
      <c r="E2727" s="152"/>
    </row>
    <row r="2728" hidden="1">
      <c r="A2728" s="152"/>
      <c r="B2728" s="152"/>
      <c r="C2728" s="355"/>
      <c r="D2728" s="152"/>
      <c r="E2728" s="152"/>
    </row>
    <row r="2729" hidden="1">
      <c r="A2729" s="152"/>
      <c r="B2729" s="152"/>
      <c r="C2729" s="355"/>
      <c r="D2729" s="152"/>
      <c r="E2729" s="152"/>
    </row>
    <row r="2730" hidden="1">
      <c r="A2730" s="152"/>
      <c r="B2730" s="152"/>
      <c r="C2730" s="355"/>
      <c r="D2730" s="152"/>
      <c r="E2730" s="152"/>
    </row>
    <row r="2731" hidden="1">
      <c r="A2731" s="152"/>
      <c r="B2731" s="152"/>
      <c r="C2731" s="355"/>
      <c r="D2731" s="152"/>
      <c r="E2731" s="152"/>
    </row>
    <row r="2732" hidden="1">
      <c r="A2732" s="152"/>
      <c r="B2732" s="152"/>
      <c r="C2732" s="355"/>
      <c r="D2732" s="152"/>
      <c r="E2732" s="152"/>
    </row>
    <row r="2733" hidden="1">
      <c r="A2733" s="152"/>
      <c r="B2733" s="152"/>
      <c r="C2733" s="355"/>
      <c r="D2733" s="152"/>
      <c r="E2733" s="152"/>
    </row>
    <row r="2734" hidden="1">
      <c r="A2734" s="152"/>
      <c r="B2734" s="152"/>
      <c r="C2734" s="355"/>
      <c r="D2734" s="152"/>
      <c r="E2734" s="152"/>
    </row>
    <row r="2735" hidden="1">
      <c r="A2735" s="152"/>
      <c r="B2735" s="152"/>
      <c r="C2735" s="355"/>
      <c r="D2735" s="152"/>
      <c r="E2735" s="152"/>
    </row>
    <row r="2736" hidden="1">
      <c r="A2736" s="152"/>
      <c r="B2736" s="152"/>
      <c r="C2736" s="355"/>
      <c r="D2736" s="152"/>
      <c r="E2736" s="152"/>
    </row>
    <row r="2737" hidden="1">
      <c r="A2737" s="152"/>
      <c r="B2737" s="152"/>
      <c r="C2737" s="355"/>
      <c r="D2737" s="152"/>
      <c r="E2737" s="152"/>
    </row>
    <row r="2738" hidden="1">
      <c r="A2738" s="152"/>
      <c r="B2738" s="152"/>
      <c r="C2738" s="355"/>
      <c r="D2738" s="152"/>
      <c r="E2738" s="152"/>
    </row>
    <row r="2739" hidden="1">
      <c r="A2739" s="152"/>
      <c r="B2739" s="152"/>
      <c r="C2739" s="355"/>
      <c r="D2739" s="152"/>
      <c r="E2739" s="152"/>
    </row>
    <row r="2740" hidden="1">
      <c r="A2740" s="152"/>
      <c r="B2740" s="152"/>
      <c r="C2740" s="355"/>
      <c r="D2740" s="152"/>
      <c r="E2740" s="152"/>
    </row>
    <row r="2741" hidden="1">
      <c r="A2741" s="152"/>
      <c r="B2741" s="152"/>
      <c r="C2741" s="355"/>
      <c r="D2741" s="152"/>
      <c r="E2741" s="152"/>
    </row>
    <row r="2742" hidden="1">
      <c r="A2742" s="152"/>
      <c r="B2742" s="152"/>
      <c r="C2742" s="355"/>
      <c r="D2742" s="152"/>
      <c r="E2742" s="152"/>
    </row>
    <row r="2743" hidden="1">
      <c r="A2743" s="152"/>
      <c r="B2743" s="152"/>
      <c r="C2743" s="355"/>
      <c r="D2743" s="152"/>
      <c r="E2743" s="152"/>
    </row>
    <row r="2744" hidden="1">
      <c r="A2744" s="152"/>
      <c r="B2744" s="152"/>
      <c r="C2744" s="355"/>
      <c r="D2744" s="152"/>
      <c r="E2744" s="152"/>
    </row>
    <row r="2745" hidden="1">
      <c r="A2745" s="152"/>
      <c r="B2745" s="152"/>
      <c r="C2745" s="355"/>
      <c r="D2745" s="152"/>
      <c r="E2745" s="152"/>
    </row>
    <row r="2746" hidden="1">
      <c r="A2746" s="152"/>
      <c r="B2746" s="152"/>
      <c r="C2746" s="355"/>
      <c r="D2746" s="152"/>
      <c r="E2746" s="152"/>
    </row>
    <row r="2747" hidden="1">
      <c r="A2747" s="152"/>
      <c r="B2747" s="152"/>
      <c r="C2747" s="355"/>
      <c r="D2747" s="152"/>
      <c r="E2747" s="152"/>
    </row>
    <row r="2748" hidden="1">
      <c r="A2748" s="152"/>
      <c r="B2748" s="152"/>
      <c r="C2748" s="355"/>
      <c r="D2748" s="152"/>
      <c r="E2748" s="152"/>
    </row>
    <row r="2749" hidden="1">
      <c r="A2749" s="152"/>
      <c r="B2749" s="152"/>
      <c r="C2749" s="355"/>
      <c r="D2749" s="152"/>
      <c r="E2749" s="152"/>
    </row>
    <row r="2750" hidden="1">
      <c r="A2750" s="152"/>
      <c r="B2750" s="152"/>
      <c r="C2750" s="355"/>
      <c r="D2750" s="152"/>
      <c r="E2750" s="152"/>
    </row>
    <row r="2751" hidden="1">
      <c r="A2751" s="152"/>
      <c r="B2751" s="152"/>
      <c r="C2751" s="355"/>
      <c r="D2751" s="152"/>
      <c r="E2751" s="152"/>
    </row>
    <row r="2752" hidden="1">
      <c r="A2752" s="152"/>
      <c r="B2752" s="152"/>
      <c r="C2752" s="355"/>
      <c r="D2752" s="152"/>
      <c r="E2752" s="152"/>
    </row>
    <row r="2753" hidden="1">
      <c r="A2753" s="152"/>
      <c r="B2753" s="152"/>
      <c r="C2753" s="355"/>
      <c r="D2753" s="152"/>
      <c r="E2753" s="152"/>
    </row>
    <row r="2754" hidden="1">
      <c r="A2754" s="152"/>
      <c r="B2754" s="152"/>
      <c r="C2754" s="355"/>
      <c r="D2754" s="152"/>
      <c r="E2754" s="152"/>
    </row>
    <row r="2755" hidden="1">
      <c r="A2755" s="152"/>
      <c r="B2755" s="152"/>
      <c r="C2755" s="355"/>
      <c r="D2755" s="152"/>
      <c r="E2755" s="152"/>
    </row>
    <row r="2756" hidden="1">
      <c r="A2756" s="152"/>
      <c r="B2756" s="152"/>
      <c r="C2756" s="355"/>
      <c r="D2756" s="152"/>
      <c r="E2756" s="152"/>
    </row>
    <row r="2757" hidden="1">
      <c r="A2757" s="152"/>
      <c r="B2757" s="152"/>
      <c r="C2757" s="355"/>
      <c r="D2757" s="152"/>
      <c r="E2757" s="152"/>
    </row>
    <row r="2758" hidden="1">
      <c r="A2758" s="152"/>
      <c r="B2758" s="152"/>
      <c r="C2758" s="355"/>
      <c r="D2758" s="152"/>
      <c r="E2758" s="152"/>
    </row>
    <row r="2759" hidden="1">
      <c r="A2759" s="152"/>
      <c r="B2759" s="152"/>
      <c r="C2759" s="355"/>
      <c r="D2759" s="152"/>
      <c r="E2759" s="152"/>
    </row>
    <row r="2760" hidden="1">
      <c r="A2760" s="152"/>
      <c r="B2760" s="152"/>
      <c r="C2760" s="355"/>
      <c r="D2760" s="152"/>
      <c r="E2760" s="152"/>
    </row>
    <row r="2761" hidden="1">
      <c r="A2761" s="152"/>
      <c r="B2761" s="152"/>
      <c r="C2761" s="355"/>
      <c r="D2761" s="152"/>
      <c r="E2761" s="152"/>
    </row>
    <row r="2762" hidden="1">
      <c r="A2762" s="152"/>
      <c r="B2762" s="152"/>
      <c r="C2762" s="355"/>
      <c r="D2762" s="152"/>
      <c r="E2762" s="152"/>
    </row>
    <row r="2763" hidden="1">
      <c r="A2763" s="152"/>
      <c r="B2763" s="152"/>
      <c r="C2763" s="355"/>
      <c r="D2763" s="152"/>
      <c r="E2763" s="152"/>
    </row>
    <row r="2764" hidden="1">
      <c r="A2764" s="152"/>
      <c r="B2764" s="152"/>
      <c r="C2764" s="355"/>
      <c r="D2764" s="152"/>
      <c r="E2764" s="152"/>
    </row>
    <row r="2765" hidden="1">
      <c r="A2765" s="152"/>
      <c r="B2765" s="152"/>
      <c r="C2765" s="355"/>
      <c r="D2765" s="152"/>
      <c r="E2765" s="152"/>
    </row>
    <row r="2766" hidden="1">
      <c r="A2766" s="152"/>
      <c r="B2766" s="152"/>
      <c r="C2766" s="355"/>
      <c r="D2766" s="152"/>
      <c r="E2766" s="152"/>
    </row>
    <row r="2767" hidden="1">
      <c r="A2767" s="152"/>
      <c r="B2767" s="152"/>
      <c r="C2767" s="355"/>
      <c r="D2767" s="152"/>
      <c r="E2767" s="152"/>
    </row>
    <row r="2768" hidden="1">
      <c r="A2768" s="152"/>
      <c r="B2768" s="152"/>
      <c r="C2768" s="355"/>
      <c r="D2768" s="152"/>
      <c r="E2768" s="152"/>
    </row>
    <row r="2769" hidden="1">
      <c r="A2769" s="152"/>
      <c r="B2769" s="152"/>
      <c r="C2769" s="355"/>
      <c r="D2769" s="152"/>
      <c r="E2769" s="152"/>
    </row>
    <row r="2770" hidden="1">
      <c r="A2770" s="152"/>
      <c r="B2770" s="152"/>
      <c r="C2770" s="355"/>
      <c r="D2770" s="152"/>
      <c r="E2770" s="152"/>
    </row>
    <row r="2771" hidden="1">
      <c r="A2771" s="152"/>
      <c r="B2771" s="152"/>
      <c r="C2771" s="355"/>
      <c r="D2771" s="152"/>
      <c r="E2771" s="152"/>
    </row>
    <row r="2772" hidden="1">
      <c r="A2772" s="152"/>
      <c r="B2772" s="152"/>
      <c r="C2772" s="355"/>
      <c r="D2772" s="152"/>
      <c r="E2772" s="152"/>
    </row>
    <row r="2773" hidden="1">
      <c r="A2773" s="152"/>
      <c r="B2773" s="152"/>
      <c r="C2773" s="355"/>
      <c r="D2773" s="152"/>
      <c r="E2773" s="152"/>
    </row>
    <row r="2774" hidden="1">
      <c r="A2774" s="152"/>
      <c r="B2774" s="152"/>
      <c r="C2774" s="355"/>
      <c r="D2774" s="152"/>
      <c r="E2774" s="152"/>
    </row>
    <row r="2775" hidden="1">
      <c r="A2775" s="152"/>
      <c r="B2775" s="152"/>
      <c r="C2775" s="355"/>
      <c r="D2775" s="152"/>
      <c r="E2775" s="152"/>
    </row>
    <row r="2776" hidden="1">
      <c r="A2776" s="152"/>
      <c r="B2776" s="152"/>
      <c r="C2776" s="355"/>
      <c r="D2776" s="152"/>
      <c r="E2776" s="152"/>
    </row>
    <row r="2777" hidden="1">
      <c r="A2777" s="152"/>
      <c r="B2777" s="152"/>
      <c r="C2777" s="355"/>
      <c r="D2777" s="152"/>
      <c r="E2777" s="152"/>
    </row>
    <row r="2778" hidden="1">
      <c r="A2778" s="152"/>
      <c r="B2778" s="152"/>
      <c r="C2778" s="355"/>
      <c r="D2778" s="152"/>
      <c r="E2778" s="152"/>
    </row>
    <row r="2779" hidden="1">
      <c r="A2779" s="152"/>
      <c r="B2779" s="152"/>
      <c r="C2779" s="355"/>
      <c r="D2779" s="152"/>
      <c r="E2779" s="152"/>
    </row>
    <row r="2780" hidden="1">
      <c r="A2780" s="152"/>
      <c r="B2780" s="152"/>
      <c r="C2780" s="355"/>
      <c r="D2780" s="152"/>
      <c r="E2780" s="152"/>
    </row>
    <row r="2781" hidden="1">
      <c r="A2781" s="152"/>
      <c r="B2781" s="152"/>
      <c r="C2781" s="355"/>
      <c r="D2781" s="152"/>
      <c r="E2781" s="152"/>
    </row>
    <row r="2782" hidden="1">
      <c r="A2782" s="152"/>
      <c r="B2782" s="152"/>
      <c r="C2782" s="355"/>
      <c r="D2782" s="152"/>
      <c r="E2782" s="152"/>
    </row>
    <row r="2783" hidden="1">
      <c r="A2783" s="152"/>
      <c r="B2783" s="152"/>
      <c r="C2783" s="355"/>
      <c r="D2783" s="152"/>
      <c r="E2783" s="152"/>
    </row>
    <row r="2784" hidden="1">
      <c r="A2784" s="152"/>
      <c r="B2784" s="152"/>
      <c r="C2784" s="355"/>
      <c r="D2784" s="152"/>
      <c r="E2784" s="152"/>
    </row>
    <row r="2785" hidden="1">
      <c r="A2785" s="152"/>
      <c r="B2785" s="152"/>
      <c r="C2785" s="355"/>
      <c r="D2785" s="152"/>
      <c r="E2785" s="152"/>
    </row>
    <row r="2786" hidden="1">
      <c r="A2786" s="152"/>
      <c r="B2786" s="152"/>
      <c r="C2786" s="355"/>
      <c r="D2786" s="152"/>
      <c r="E2786" s="152"/>
    </row>
    <row r="2787" hidden="1">
      <c r="A2787" s="152"/>
      <c r="B2787" s="152"/>
      <c r="C2787" s="355"/>
      <c r="D2787" s="152"/>
      <c r="E2787" s="152"/>
    </row>
    <row r="2788" hidden="1">
      <c r="A2788" s="152"/>
      <c r="B2788" s="152"/>
      <c r="C2788" s="355"/>
      <c r="D2788" s="152"/>
      <c r="E2788" s="152"/>
    </row>
    <row r="2789" hidden="1">
      <c r="A2789" s="152"/>
      <c r="B2789" s="152"/>
      <c r="C2789" s="355"/>
      <c r="D2789" s="152"/>
      <c r="E2789" s="152"/>
    </row>
    <row r="2790" hidden="1">
      <c r="A2790" s="152"/>
      <c r="B2790" s="152"/>
      <c r="C2790" s="355"/>
      <c r="D2790" s="152"/>
      <c r="E2790" s="152"/>
    </row>
    <row r="2791" hidden="1">
      <c r="A2791" s="152"/>
      <c r="B2791" s="152"/>
      <c r="C2791" s="355"/>
      <c r="D2791" s="152"/>
      <c r="E2791" s="152"/>
    </row>
    <row r="2792" hidden="1">
      <c r="A2792" s="152"/>
      <c r="B2792" s="152"/>
      <c r="C2792" s="355"/>
      <c r="D2792" s="152"/>
      <c r="E2792" s="152"/>
    </row>
    <row r="2793" hidden="1">
      <c r="A2793" s="152"/>
      <c r="B2793" s="152"/>
      <c r="C2793" s="355"/>
      <c r="D2793" s="152"/>
      <c r="E2793" s="152"/>
    </row>
    <row r="2794" hidden="1">
      <c r="A2794" s="152"/>
      <c r="B2794" s="152"/>
      <c r="C2794" s="355"/>
      <c r="D2794" s="152"/>
      <c r="E2794" s="152"/>
    </row>
    <row r="2795" hidden="1">
      <c r="A2795" s="152"/>
      <c r="B2795" s="152"/>
      <c r="C2795" s="355"/>
      <c r="D2795" s="152"/>
      <c r="E2795" s="152"/>
    </row>
    <row r="2796" hidden="1">
      <c r="A2796" s="152"/>
      <c r="B2796" s="152"/>
      <c r="C2796" s="355"/>
      <c r="D2796" s="152"/>
      <c r="E2796" s="152"/>
    </row>
    <row r="2797" hidden="1">
      <c r="A2797" s="152"/>
      <c r="B2797" s="152"/>
      <c r="C2797" s="355"/>
      <c r="D2797" s="152"/>
      <c r="E2797" s="152"/>
    </row>
    <row r="2798" hidden="1">
      <c r="A2798" s="152"/>
      <c r="B2798" s="152"/>
      <c r="C2798" s="355"/>
      <c r="D2798" s="152"/>
      <c r="E2798" s="152"/>
    </row>
    <row r="2799" hidden="1">
      <c r="A2799" s="152"/>
      <c r="B2799" s="152"/>
      <c r="C2799" s="355"/>
      <c r="D2799" s="152"/>
      <c r="E2799" s="152"/>
    </row>
    <row r="2800" hidden="1">
      <c r="A2800" s="152"/>
      <c r="B2800" s="152"/>
      <c r="C2800" s="355"/>
      <c r="D2800" s="152"/>
      <c r="E2800" s="152"/>
    </row>
    <row r="2801" hidden="1">
      <c r="A2801" s="152"/>
      <c r="B2801" s="152"/>
      <c r="C2801" s="355"/>
      <c r="D2801" s="152"/>
      <c r="E2801" s="152"/>
    </row>
    <row r="2802" hidden="1">
      <c r="A2802" s="152"/>
      <c r="B2802" s="152"/>
      <c r="C2802" s="355"/>
      <c r="D2802" s="152"/>
      <c r="E2802" s="152"/>
    </row>
    <row r="2803" hidden="1">
      <c r="A2803" s="152"/>
      <c r="B2803" s="152"/>
      <c r="C2803" s="355"/>
      <c r="D2803" s="152"/>
      <c r="E2803" s="152"/>
    </row>
    <row r="2804" hidden="1">
      <c r="A2804" s="152"/>
      <c r="B2804" s="152"/>
      <c r="C2804" s="355"/>
      <c r="D2804" s="152"/>
      <c r="E2804" s="152"/>
    </row>
    <row r="2805" hidden="1">
      <c r="A2805" s="152"/>
      <c r="B2805" s="152"/>
      <c r="C2805" s="355"/>
      <c r="D2805" s="152"/>
      <c r="E2805" s="152"/>
    </row>
    <row r="2806" hidden="1">
      <c r="A2806" s="152"/>
      <c r="B2806" s="152"/>
      <c r="C2806" s="355"/>
      <c r="D2806" s="152"/>
      <c r="E2806" s="152"/>
    </row>
    <row r="2807" hidden="1">
      <c r="A2807" s="152"/>
      <c r="B2807" s="152"/>
      <c r="C2807" s="355"/>
      <c r="D2807" s="152"/>
      <c r="E2807" s="152"/>
    </row>
    <row r="2808" hidden="1">
      <c r="A2808" s="152"/>
      <c r="B2808" s="152"/>
      <c r="C2808" s="355"/>
      <c r="D2808" s="152"/>
      <c r="E2808" s="152"/>
    </row>
    <row r="2809" hidden="1">
      <c r="A2809" s="152"/>
      <c r="B2809" s="152"/>
      <c r="C2809" s="355"/>
      <c r="D2809" s="152"/>
      <c r="E2809" s="152"/>
    </row>
    <row r="2810" hidden="1">
      <c r="A2810" s="152"/>
      <c r="B2810" s="152"/>
      <c r="C2810" s="355"/>
      <c r="D2810" s="152"/>
      <c r="E2810" s="152"/>
    </row>
    <row r="2811" hidden="1">
      <c r="A2811" s="152"/>
      <c r="B2811" s="152"/>
      <c r="C2811" s="355"/>
      <c r="D2811" s="152"/>
      <c r="E2811" s="152"/>
    </row>
    <row r="2812" hidden="1">
      <c r="A2812" s="152"/>
      <c r="B2812" s="152"/>
      <c r="C2812" s="355"/>
      <c r="D2812" s="152"/>
      <c r="E2812" s="152"/>
    </row>
    <row r="2813" hidden="1">
      <c r="A2813" s="152"/>
      <c r="B2813" s="152"/>
      <c r="C2813" s="355"/>
      <c r="D2813" s="152"/>
      <c r="E2813" s="152"/>
    </row>
    <row r="2814" hidden="1">
      <c r="A2814" s="152"/>
      <c r="B2814" s="152"/>
      <c r="C2814" s="355"/>
      <c r="D2814" s="152"/>
      <c r="E2814" s="152"/>
    </row>
    <row r="2815" hidden="1">
      <c r="A2815" s="152"/>
      <c r="B2815" s="152"/>
      <c r="C2815" s="355"/>
      <c r="D2815" s="152"/>
      <c r="E2815" s="152"/>
    </row>
    <row r="2816" hidden="1">
      <c r="A2816" s="152"/>
      <c r="B2816" s="152"/>
      <c r="C2816" s="355"/>
      <c r="D2816" s="152"/>
      <c r="E2816" s="152"/>
    </row>
    <row r="2817" hidden="1">
      <c r="A2817" s="152"/>
      <c r="B2817" s="152"/>
      <c r="C2817" s="355"/>
      <c r="D2817" s="152"/>
      <c r="E2817" s="152"/>
    </row>
    <row r="2818" hidden="1">
      <c r="A2818" s="152"/>
      <c r="B2818" s="152"/>
      <c r="C2818" s="355"/>
      <c r="D2818" s="152"/>
      <c r="E2818" s="152"/>
    </row>
    <row r="2819" hidden="1">
      <c r="A2819" s="152"/>
      <c r="B2819" s="152"/>
      <c r="C2819" s="355"/>
      <c r="D2819" s="152"/>
      <c r="E2819" s="152"/>
    </row>
    <row r="2820" hidden="1">
      <c r="A2820" s="152"/>
      <c r="B2820" s="152"/>
      <c r="C2820" s="355"/>
      <c r="D2820" s="152"/>
      <c r="E2820" s="152"/>
    </row>
    <row r="2821" hidden="1">
      <c r="A2821" s="152"/>
      <c r="B2821" s="152"/>
      <c r="C2821" s="355"/>
      <c r="D2821" s="152"/>
      <c r="E2821" s="152"/>
    </row>
    <row r="2822" hidden="1">
      <c r="A2822" s="152"/>
      <c r="B2822" s="152"/>
      <c r="C2822" s="355"/>
      <c r="D2822" s="152"/>
      <c r="E2822" s="152"/>
    </row>
    <row r="2823" hidden="1">
      <c r="A2823" s="152"/>
      <c r="B2823" s="152"/>
      <c r="C2823" s="355"/>
      <c r="D2823" s="152"/>
      <c r="E2823" s="152"/>
    </row>
    <row r="2824" hidden="1">
      <c r="A2824" s="152"/>
      <c r="B2824" s="152"/>
      <c r="C2824" s="355"/>
      <c r="D2824" s="152"/>
      <c r="E2824" s="152"/>
    </row>
    <row r="2825" hidden="1">
      <c r="A2825" s="152"/>
      <c r="B2825" s="152"/>
      <c r="C2825" s="355"/>
      <c r="D2825" s="152"/>
      <c r="E2825" s="152"/>
    </row>
    <row r="2826" hidden="1">
      <c r="A2826" s="152"/>
      <c r="B2826" s="152"/>
      <c r="C2826" s="355"/>
      <c r="D2826" s="152"/>
      <c r="E2826" s="152"/>
    </row>
    <row r="2827" hidden="1">
      <c r="A2827" s="152"/>
      <c r="B2827" s="152"/>
      <c r="C2827" s="355"/>
      <c r="D2827" s="152"/>
      <c r="E2827" s="152"/>
    </row>
    <row r="2828" hidden="1">
      <c r="A2828" s="152"/>
      <c r="B2828" s="152"/>
      <c r="C2828" s="355"/>
      <c r="D2828" s="152"/>
      <c r="E2828" s="152"/>
    </row>
    <row r="2829" hidden="1">
      <c r="A2829" s="152"/>
      <c r="B2829" s="152"/>
      <c r="C2829" s="355"/>
      <c r="D2829" s="152"/>
      <c r="E2829" s="152"/>
    </row>
    <row r="2830" hidden="1">
      <c r="A2830" s="152"/>
      <c r="B2830" s="152"/>
      <c r="C2830" s="355"/>
      <c r="D2830" s="152"/>
      <c r="E2830" s="152"/>
    </row>
    <row r="2831" hidden="1">
      <c r="A2831" s="152"/>
      <c r="B2831" s="152"/>
      <c r="C2831" s="355"/>
      <c r="D2831" s="152"/>
      <c r="E2831" s="152"/>
    </row>
    <row r="2832" hidden="1">
      <c r="A2832" s="152"/>
      <c r="B2832" s="152"/>
      <c r="C2832" s="355"/>
      <c r="D2832" s="152"/>
      <c r="E2832" s="152"/>
    </row>
    <row r="2833" hidden="1">
      <c r="A2833" s="152"/>
      <c r="B2833" s="152"/>
      <c r="C2833" s="355"/>
      <c r="D2833" s="152"/>
      <c r="E2833" s="152"/>
    </row>
    <row r="2834" hidden="1">
      <c r="A2834" s="152"/>
      <c r="B2834" s="152"/>
      <c r="C2834" s="355"/>
      <c r="D2834" s="152"/>
      <c r="E2834" s="152"/>
    </row>
    <row r="2835" hidden="1">
      <c r="A2835" s="152"/>
      <c r="B2835" s="152"/>
      <c r="C2835" s="355"/>
      <c r="D2835" s="152"/>
      <c r="E2835" s="152"/>
    </row>
    <row r="2836" hidden="1">
      <c r="A2836" s="152"/>
      <c r="B2836" s="152"/>
      <c r="C2836" s="355"/>
      <c r="D2836" s="152"/>
      <c r="E2836" s="152"/>
    </row>
    <row r="2837" hidden="1">
      <c r="A2837" s="152"/>
      <c r="B2837" s="152"/>
      <c r="C2837" s="355"/>
      <c r="D2837" s="152"/>
      <c r="E2837" s="152"/>
    </row>
    <row r="2838" hidden="1">
      <c r="A2838" s="152"/>
      <c r="B2838" s="152"/>
      <c r="C2838" s="355"/>
      <c r="D2838" s="152"/>
      <c r="E2838" s="152"/>
    </row>
    <row r="2839" hidden="1">
      <c r="A2839" s="152"/>
      <c r="B2839" s="152"/>
      <c r="C2839" s="355"/>
      <c r="D2839" s="152"/>
      <c r="E2839" s="152"/>
    </row>
    <row r="2840" hidden="1">
      <c r="A2840" s="152"/>
      <c r="B2840" s="152"/>
      <c r="C2840" s="355"/>
      <c r="D2840" s="152"/>
      <c r="E2840" s="152"/>
    </row>
    <row r="2841" hidden="1">
      <c r="A2841" s="152"/>
      <c r="B2841" s="152"/>
      <c r="C2841" s="355"/>
      <c r="D2841" s="152"/>
      <c r="E2841" s="152"/>
    </row>
    <row r="2842" hidden="1">
      <c r="A2842" s="152"/>
      <c r="B2842" s="152"/>
      <c r="C2842" s="355"/>
      <c r="D2842" s="152"/>
      <c r="E2842" s="152"/>
    </row>
    <row r="2843" hidden="1">
      <c r="A2843" s="152"/>
      <c r="B2843" s="152"/>
      <c r="C2843" s="355"/>
      <c r="D2843" s="152"/>
      <c r="E2843" s="152"/>
    </row>
    <row r="2844" hidden="1">
      <c r="A2844" s="152"/>
      <c r="B2844" s="152"/>
      <c r="C2844" s="355"/>
      <c r="D2844" s="152"/>
      <c r="E2844" s="152"/>
    </row>
    <row r="2845" hidden="1">
      <c r="A2845" s="152"/>
      <c r="B2845" s="152"/>
      <c r="C2845" s="355"/>
      <c r="D2845" s="152"/>
      <c r="E2845" s="152"/>
    </row>
    <row r="2846" hidden="1">
      <c r="A2846" s="152"/>
      <c r="B2846" s="152"/>
      <c r="C2846" s="355"/>
      <c r="D2846" s="152"/>
      <c r="E2846" s="152"/>
    </row>
    <row r="2847" hidden="1">
      <c r="A2847" s="152"/>
      <c r="B2847" s="152"/>
      <c r="C2847" s="355"/>
      <c r="D2847" s="152"/>
      <c r="E2847" s="152"/>
    </row>
    <row r="2848" hidden="1">
      <c r="A2848" s="152"/>
      <c r="B2848" s="152"/>
      <c r="C2848" s="355"/>
      <c r="D2848" s="152"/>
      <c r="E2848" s="152"/>
    </row>
    <row r="2849" hidden="1">
      <c r="A2849" s="152"/>
      <c r="B2849" s="152"/>
      <c r="C2849" s="355"/>
      <c r="D2849" s="152"/>
      <c r="E2849" s="152"/>
    </row>
    <row r="2850" hidden="1">
      <c r="A2850" s="152"/>
      <c r="B2850" s="152"/>
      <c r="C2850" s="355"/>
      <c r="D2850" s="152"/>
      <c r="E2850" s="152"/>
    </row>
    <row r="2851" hidden="1">
      <c r="A2851" s="152"/>
      <c r="B2851" s="152"/>
      <c r="C2851" s="355"/>
      <c r="D2851" s="152"/>
      <c r="E2851" s="152"/>
    </row>
    <row r="2852" hidden="1">
      <c r="A2852" s="152"/>
      <c r="B2852" s="152"/>
      <c r="C2852" s="355"/>
      <c r="D2852" s="152"/>
      <c r="E2852" s="152"/>
    </row>
    <row r="2853" hidden="1">
      <c r="A2853" s="152"/>
      <c r="B2853" s="152"/>
      <c r="C2853" s="355"/>
      <c r="D2853" s="152"/>
      <c r="E2853" s="152"/>
    </row>
    <row r="2854" hidden="1">
      <c r="A2854" s="152"/>
      <c r="B2854" s="152"/>
      <c r="C2854" s="355"/>
      <c r="D2854" s="152"/>
      <c r="E2854" s="152"/>
    </row>
    <row r="2855" hidden="1">
      <c r="A2855" s="152"/>
      <c r="B2855" s="152"/>
      <c r="C2855" s="355"/>
      <c r="D2855" s="152"/>
      <c r="E2855" s="152"/>
    </row>
    <row r="2856" hidden="1">
      <c r="A2856" s="152"/>
      <c r="B2856" s="152"/>
      <c r="C2856" s="355"/>
      <c r="D2856" s="152"/>
      <c r="E2856" s="152"/>
    </row>
    <row r="2857" hidden="1">
      <c r="A2857" s="152"/>
      <c r="B2857" s="152"/>
      <c r="C2857" s="355"/>
      <c r="D2857" s="152"/>
      <c r="E2857" s="152"/>
    </row>
    <row r="2858" hidden="1">
      <c r="A2858" s="152"/>
      <c r="B2858" s="152"/>
      <c r="C2858" s="355"/>
      <c r="D2858" s="152"/>
      <c r="E2858" s="152"/>
    </row>
    <row r="2859" hidden="1">
      <c r="A2859" s="152"/>
      <c r="B2859" s="152"/>
      <c r="C2859" s="355"/>
      <c r="D2859" s="152"/>
      <c r="E2859" s="152"/>
    </row>
    <row r="2860" hidden="1">
      <c r="A2860" s="152"/>
      <c r="B2860" s="152"/>
      <c r="C2860" s="355"/>
      <c r="D2860" s="152"/>
      <c r="E2860" s="152"/>
    </row>
    <row r="2861" hidden="1">
      <c r="A2861" s="152"/>
      <c r="B2861" s="152"/>
      <c r="C2861" s="355"/>
      <c r="D2861" s="152"/>
      <c r="E2861" s="152"/>
    </row>
    <row r="2862" hidden="1">
      <c r="A2862" s="152"/>
      <c r="B2862" s="152"/>
      <c r="C2862" s="355"/>
      <c r="D2862" s="152"/>
      <c r="E2862" s="152"/>
    </row>
    <row r="2863" hidden="1">
      <c r="A2863" s="152"/>
      <c r="B2863" s="152"/>
      <c r="C2863" s="355"/>
      <c r="D2863" s="152"/>
      <c r="E2863" s="152"/>
    </row>
    <row r="2864" hidden="1">
      <c r="A2864" s="152"/>
      <c r="B2864" s="152"/>
      <c r="C2864" s="355"/>
      <c r="D2864" s="152"/>
      <c r="E2864" s="152"/>
    </row>
    <row r="2865" hidden="1">
      <c r="A2865" s="152"/>
      <c r="B2865" s="152"/>
      <c r="C2865" s="355"/>
      <c r="D2865" s="152"/>
      <c r="E2865" s="152"/>
    </row>
    <row r="2866" hidden="1">
      <c r="A2866" s="152"/>
      <c r="B2866" s="152"/>
      <c r="C2866" s="355"/>
      <c r="D2866" s="152"/>
      <c r="E2866" s="152"/>
    </row>
    <row r="2867" hidden="1">
      <c r="A2867" s="152"/>
      <c r="B2867" s="152"/>
      <c r="C2867" s="355"/>
      <c r="D2867" s="152"/>
      <c r="E2867" s="152"/>
    </row>
    <row r="2868" hidden="1">
      <c r="A2868" s="152"/>
      <c r="B2868" s="152"/>
      <c r="C2868" s="355"/>
      <c r="D2868" s="152"/>
      <c r="E2868" s="152"/>
    </row>
    <row r="2869" hidden="1">
      <c r="A2869" s="152"/>
      <c r="B2869" s="152"/>
      <c r="C2869" s="355"/>
      <c r="D2869" s="152"/>
      <c r="E2869" s="152"/>
    </row>
    <row r="2870" hidden="1">
      <c r="A2870" s="152"/>
      <c r="B2870" s="152"/>
      <c r="C2870" s="355"/>
      <c r="D2870" s="152"/>
      <c r="E2870" s="152"/>
    </row>
    <row r="2871" hidden="1">
      <c r="A2871" s="152"/>
      <c r="B2871" s="152"/>
      <c r="C2871" s="355"/>
      <c r="D2871" s="152"/>
      <c r="E2871" s="152"/>
    </row>
    <row r="2872" hidden="1">
      <c r="A2872" s="152"/>
      <c r="B2872" s="152"/>
      <c r="C2872" s="355"/>
      <c r="D2872" s="152"/>
      <c r="E2872" s="152"/>
    </row>
    <row r="2873" hidden="1">
      <c r="A2873" s="152"/>
      <c r="B2873" s="152"/>
      <c r="C2873" s="355"/>
      <c r="D2873" s="152"/>
      <c r="E2873" s="152"/>
    </row>
    <row r="2874" hidden="1">
      <c r="A2874" s="152"/>
      <c r="B2874" s="152"/>
      <c r="C2874" s="355"/>
      <c r="D2874" s="152"/>
      <c r="E2874" s="152"/>
    </row>
    <row r="2875" hidden="1">
      <c r="A2875" s="152"/>
      <c r="B2875" s="152"/>
      <c r="C2875" s="355"/>
      <c r="D2875" s="152"/>
      <c r="E2875" s="152"/>
    </row>
    <row r="2876" hidden="1">
      <c r="A2876" s="152"/>
      <c r="B2876" s="152"/>
      <c r="C2876" s="355"/>
      <c r="D2876" s="152"/>
      <c r="E2876" s="152"/>
    </row>
    <row r="2877" hidden="1">
      <c r="A2877" s="152"/>
      <c r="B2877" s="152"/>
      <c r="C2877" s="355"/>
      <c r="D2877" s="152"/>
      <c r="E2877" s="152"/>
    </row>
    <row r="2878" hidden="1">
      <c r="A2878" s="152"/>
      <c r="B2878" s="152"/>
      <c r="C2878" s="355"/>
      <c r="D2878" s="152"/>
      <c r="E2878" s="152"/>
    </row>
    <row r="2879" hidden="1">
      <c r="A2879" s="152"/>
      <c r="B2879" s="152"/>
      <c r="C2879" s="355"/>
      <c r="D2879" s="152"/>
      <c r="E2879" s="152"/>
    </row>
    <row r="2880" hidden="1">
      <c r="A2880" s="152"/>
      <c r="B2880" s="152"/>
      <c r="C2880" s="355"/>
      <c r="D2880" s="152"/>
      <c r="E2880" s="152"/>
    </row>
    <row r="2881" hidden="1">
      <c r="A2881" s="152"/>
      <c r="B2881" s="152"/>
      <c r="C2881" s="355"/>
      <c r="D2881" s="152"/>
      <c r="E2881" s="152"/>
    </row>
    <row r="2882" hidden="1">
      <c r="A2882" s="152"/>
      <c r="B2882" s="152"/>
      <c r="C2882" s="355"/>
      <c r="D2882" s="152"/>
      <c r="E2882" s="152"/>
    </row>
    <row r="2883" hidden="1">
      <c r="A2883" s="152"/>
      <c r="B2883" s="152"/>
      <c r="C2883" s="355"/>
      <c r="D2883" s="152"/>
      <c r="E2883" s="152"/>
    </row>
    <row r="2884" hidden="1">
      <c r="A2884" s="152"/>
      <c r="B2884" s="152"/>
      <c r="C2884" s="355"/>
      <c r="D2884" s="152"/>
      <c r="E2884" s="152"/>
    </row>
    <row r="2885" hidden="1">
      <c r="A2885" s="152"/>
      <c r="B2885" s="152"/>
      <c r="C2885" s="355"/>
      <c r="D2885" s="152"/>
      <c r="E2885" s="152"/>
    </row>
    <row r="2886" hidden="1">
      <c r="A2886" s="152"/>
      <c r="B2886" s="152"/>
      <c r="C2886" s="355"/>
      <c r="D2886" s="152"/>
      <c r="E2886" s="152"/>
    </row>
    <row r="2887" hidden="1">
      <c r="A2887" s="152"/>
      <c r="B2887" s="152"/>
      <c r="C2887" s="355"/>
      <c r="D2887" s="152"/>
      <c r="E2887" s="152"/>
    </row>
    <row r="2888" hidden="1">
      <c r="A2888" s="152"/>
      <c r="B2888" s="152"/>
      <c r="C2888" s="355"/>
      <c r="D2888" s="152"/>
      <c r="E2888" s="152"/>
    </row>
    <row r="2889" hidden="1">
      <c r="A2889" s="152"/>
      <c r="B2889" s="152"/>
      <c r="C2889" s="355"/>
      <c r="D2889" s="152"/>
      <c r="E2889" s="152"/>
    </row>
    <row r="2890" hidden="1">
      <c r="A2890" s="152"/>
      <c r="B2890" s="152"/>
      <c r="C2890" s="355"/>
      <c r="D2890" s="152"/>
      <c r="E2890" s="152"/>
    </row>
    <row r="2891" hidden="1">
      <c r="A2891" s="152"/>
      <c r="B2891" s="152"/>
      <c r="C2891" s="355"/>
      <c r="D2891" s="152"/>
      <c r="E2891" s="152"/>
    </row>
    <row r="2892" hidden="1">
      <c r="A2892" s="152"/>
      <c r="B2892" s="152"/>
      <c r="C2892" s="355"/>
      <c r="D2892" s="152"/>
      <c r="E2892" s="152"/>
    </row>
    <row r="2893" hidden="1">
      <c r="A2893" s="152"/>
      <c r="B2893" s="152"/>
      <c r="C2893" s="355"/>
      <c r="D2893" s="152"/>
      <c r="E2893" s="152"/>
    </row>
    <row r="2894" hidden="1">
      <c r="A2894" s="152"/>
      <c r="B2894" s="152"/>
      <c r="C2894" s="355"/>
      <c r="D2894" s="152"/>
      <c r="E2894" s="152"/>
    </row>
    <row r="2895" hidden="1">
      <c r="A2895" s="152"/>
      <c r="B2895" s="152"/>
      <c r="C2895" s="355"/>
      <c r="D2895" s="152"/>
      <c r="E2895" s="152"/>
    </row>
    <row r="2896" hidden="1">
      <c r="A2896" s="152"/>
      <c r="B2896" s="152"/>
      <c r="C2896" s="355"/>
      <c r="D2896" s="152"/>
      <c r="E2896" s="152"/>
    </row>
    <row r="2897" hidden="1">
      <c r="A2897" s="152"/>
      <c r="B2897" s="152"/>
      <c r="C2897" s="355"/>
      <c r="D2897" s="152"/>
      <c r="E2897" s="152"/>
    </row>
    <row r="2898" hidden="1">
      <c r="A2898" s="152"/>
      <c r="B2898" s="152"/>
      <c r="C2898" s="355"/>
      <c r="D2898" s="152"/>
      <c r="E2898" s="152"/>
    </row>
    <row r="2899" hidden="1">
      <c r="A2899" s="152"/>
      <c r="B2899" s="152"/>
      <c r="C2899" s="355"/>
      <c r="D2899" s="152"/>
      <c r="E2899" s="152"/>
    </row>
    <row r="2900" hidden="1">
      <c r="A2900" s="152"/>
      <c r="B2900" s="152"/>
      <c r="C2900" s="355"/>
      <c r="D2900" s="152"/>
      <c r="E2900" s="152"/>
    </row>
    <row r="2901" hidden="1">
      <c r="A2901" s="152"/>
      <c r="B2901" s="152"/>
      <c r="C2901" s="355"/>
      <c r="D2901" s="152"/>
      <c r="E2901" s="152"/>
    </row>
    <row r="2902" hidden="1">
      <c r="A2902" s="152"/>
      <c r="B2902" s="152"/>
      <c r="C2902" s="355"/>
      <c r="D2902" s="152"/>
      <c r="E2902" s="152"/>
    </row>
    <row r="2903" hidden="1">
      <c r="A2903" s="152"/>
      <c r="B2903" s="152"/>
      <c r="C2903" s="355"/>
      <c r="D2903" s="152"/>
      <c r="E2903" s="152"/>
    </row>
    <row r="2904" hidden="1">
      <c r="A2904" s="152"/>
      <c r="B2904" s="152"/>
      <c r="C2904" s="355"/>
      <c r="D2904" s="152"/>
      <c r="E2904" s="152"/>
    </row>
    <row r="2905" hidden="1">
      <c r="A2905" s="152"/>
      <c r="B2905" s="152"/>
      <c r="C2905" s="355"/>
      <c r="D2905" s="152"/>
      <c r="E2905" s="152"/>
    </row>
    <row r="2906" hidden="1">
      <c r="A2906" s="152"/>
      <c r="B2906" s="152"/>
      <c r="C2906" s="355"/>
      <c r="D2906" s="152"/>
      <c r="E2906" s="152"/>
    </row>
    <row r="2907" hidden="1">
      <c r="A2907" s="152"/>
      <c r="B2907" s="152"/>
      <c r="C2907" s="355"/>
      <c r="D2907" s="152"/>
      <c r="E2907" s="152"/>
    </row>
    <row r="2908" hidden="1">
      <c r="A2908" s="152"/>
      <c r="B2908" s="152"/>
      <c r="C2908" s="355"/>
      <c r="D2908" s="152"/>
      <c r="E2908" s="152"/>
    </row>
    <row r="2909" hidden="1">
      <c r="A2909" s="152"/>
      <c r="B2909" s="152"/>
      <c r="C2909" s="355"/>
      <c r="D2909" s="152"/>
      <c r="E2909" s="152"/>
    </row>
    <row r="2910" hidden="1">
      <c r="A2910" s="152"/>
      <c r="B2910" s="152"/>
      <c r="C2910" s="355"/>
      <c r="D2910" s="152"/>
      <c r="E2910" s="152"/>
    </row>
    <row r="2911" hidden="1">
      <c r="A2911" s="152"/>
      <c r="B2911" s="152"/>
      <c r="C2911" s="355"/>
      <c r="D2911" s="152"/>
      <c r="E2911" s="152"/>
    </row>
    <row r="2912" hidden="1">
      <c r="A2912" s="152"/>
      <c r="B2912" s="152"/>
      <c r="C2912" s="355"/>
      <c r="D2912" s="152"/>
      <c r="E2912" s="152"/>
    </row>
    <row r="2913" hidden="1">
      <c r="A2913" s="152"/>
      <c r="B2913" s="152"/>
      <c r="C2913" s="355"/>
      <c r="D2913" s="152"/>
      <c r="E2913" s="152"/>
    </row>
    <row r="2914" hidden="1">
      <c r="A2914" s="152"/>
      <c r="B2914" s="152"/>
      <c r="C2914" s="355"/>
      <c r="D2914" s="152"/>
      <c r="E2914" s="152"/>
    </row>
    <row r="2915" hidden="1">
      <c r="A2915" s="152"/>
      <c r="B2915" s="152"/>
      <c r="C2915" s="355"/>
      <c r="D2915" s="152"/>
      <c r="E2915" s="152"/>
    </row>
    <row r="2916" hidden="1">
      <c r="A2916" s="152"/>
      <c r="B2916" s="152"/>
      <c r="C2916" s="355"/>
      <c r="D2916" s="152"/>
      <c r="E2916" s="152"/>
    </row>
    <row r="2917" hidden="1">
      <c r="A2917" s="152"/>
      <c r="B2917" s="152"/>
      <c r="C2917" s="355"/>
      <c r="D2917" s="152"/>
      <c r="E2917" s="152"/>
    </row>
    <row r="2918" hidden="1">
      <c r="A2918" s="152"/>
      <c r="B2918" s="152"/>
      <c r="C2918" s="355"/>
      <c r="D2918" s="152"/>
      <c r="E2918" s="152"/>
    </row>
    <row r="2919" hidden="1">
      <c r="A2919" s="152"/>
      <c r="B2919" s="152"/>
      <c r="C2919" s="355"/>
      <c r="D2919" s="152"/>
      <c r="E2919" s="152"/>
    </row>
    <row r="2920" hidden="1">
      <c r="A2920" s="152"/>
      <c r="B2920" s="152"/>
      <c r="C2920" s="355"/>
      <c r="D2920" s="152"/>
      <c r="E2920" s="152"/>
    </row>
    <row r="2921" hidden="1">
      <c r="A2921" s="152"/>
      <c r="B2921" s="152"/>
      <c r="C2921" s="355"/>
      <c r="D2921" s="152"/>
      <c r="E2921" s="152"/>
    </row>
    <row r="2922" hidden="1">
      <c r="A2922" s="152"/>
      <c r="B2922" s="152"/>
      <c r="C2922" s="355"/>
      <c r="D2922" s="152"/>
      <c r="E2922" s="152"/>
    </row>
    <row r="2923" hidden="1">
      <c r="A2923" s="152"/>
      <c r="B2923" s="152"/>
      <c r="C2923" s="355"/>
      <c r="D2923" s="152"/>
      <c r="E2923" s="152"/>
    </row>
    <row r="2924" hidden="1">
      <c r="A2924" s="152"/>
      <c r="B2924" s="152"/>
      <c r="C2924" s="355"/>
      <c r="D2924" s="152"/>
      <c r="E2924" s="152"/>
    </row>
    <row r="2925" hidden="1">
      <c r="A2925" s="152"/>
      <c r="B2925" s="152"/>
      <c r="C2925" s="355"/>
      <c r="D2925" s="152"/>
      <c r="E2925" s="152"/>
    </row>
    <row r="2926" hidden="1">
      <c r="A2926" s="152"/>
      <c r="B2926" s="152"/>
      <c r="C2926" s="355"/>
      <c r="D2926" s="152"/>
      <c r="E2926" s="152"/>
    </row>
    <row r="2927" hidden="1">
      <c r="A2927" s="152"/>
      <c r="B2927" s="152"/>
      <c r="C2927" s="355"/>
      <c r="D2927" s="152"/>
      <c r="E2927" s="152"/>
    </row>
    <row r="2928" hidden="1">
      <c r="A2928" s="152"/>
      <c r="B2928" s="152"/>
      <c r="C2928" s="355"/>
      <c r="D2928" s="152"/>
      <c r="E2928" s="152"/>
    </row>
    <row r="2929" hidden="1">
      <c r="A2929" s="152"/>
      <c r="B2929" s="152"/>
      <c r="C2929" s="355"/>
      <c r="D2929" s="152"/>
      <c r="E2929" s="152"/>
    </row>
    <row r="2930" hidden="1">
      <c r="A2930" s="152"/>
      <c r="B2930" s="152"/>
      <c r="C2930" s="355"/>
      <c r="D2930" s="152"/>
      <c r="E2930" s="152"/>
    </row>
    <row r="2931" hidden="1">
      <c r="A2931" s="152"/>
      <c r="B2931" s="152"/>
      <c r="C2931" s="355"/>
      <c r="D2931" s="152"/>
      <c r="E2931" s="152"/>
    </row>
    <row r="2932" hidden="1">
      <c r="A2932" s="152"/>
      <c r="B2932" s="152"/>
      <c r="C2932" s="355"/>
      <c r="D2932" s="152"/>
      <c r="E2932" s="152"/>
    </row>
    <row r="2933" hidden="1">
      <c r="A2933" s="152"/>
      <c r="B2933" s="152"/>
      <c r="C2933" s="355"/>
      <c r="D2933" s="152"/>
      <c r="E2933" s="152"/>
    </row>
    <row r="2934" hidden="1">
      <c r="A2934" s="152"/>
      <c r="B2934" s="152"/>
      <c r="C2934" s="355"/>
      <c r="D2934" s="152"/>
      <c r="E2934" s="152"/>
    </row>
    <row r="2935" hidden="1">
      <c r="A2935" s="152"/>
      <c r="B2935" s="152"/>
      <c r="C2935" s="355"/>
      <c r="D2935" s="152"/>
      <c r="E2935" s="152"/>
    </row>
    <row r="2936" hidden="1">
      <c r="A2936" s="152"/>
      <c r="B2936" s="152"/>
      <c r="C2936" s="355"/>
      <c r="D2936" s="152"/>
      <c r="E2936" s="152"/>
    </row>
    <row r="2937" hidden="1">
      <c r="A2937" s="152"/>
      <c r="B2937" s="152"/>
      <c r="C2937" s="355"/>
      <c r="D2937" s="152"/>
      <c r="E2937" s="152"/>
    </row>
    <row r="2938" hidden="1">
      <c r="A2938" s="152"/>
      <c r="B2938" s="152"/>
      <c r="C2938" s="355"/>
      <c r="D2938" s="152"/>
      <c r="E2938" s="152"/>
    </row>
    <row r="2939" hidden="1">
      <c r="A2939" s="152"/>
      <c r="B2939" s="152"/>
      <c r="C2939" s="355"/>
      <c r="D2939" s="152"/>
      <c r="E2939" s="152"/>
    </row>
    <row r="2940" hidden="1">
      <c r="A2940" s="152"/>
      <c r="B2940" s="152"/>
      <c r="C2940" s="355"/>
      <c r="D2940" s="152"/>
      <c r="E2940" s="152"/>
    </row>
    <row r="2941" hidden="1">
      <c r="A2941" s="152"/>
      <c r="B2941" s="152"/>
      <c r="C2941" s="355"/>
      <c r="D2941" s="152"/>
      <c r="E2941" s="152"/>
    </row>
    <row r="2942" hidden="1">
      <c r="A2942" s="152"/>
      <c r="B2942" s="152"/>
      <c r="C2942" s="355"/>
      <c r="D2942" s="152"/>
      <c r="E2942" s="152"/>
    </row>
    <row r="2943" hidden="1">
      <c r="A2943" s="152"/>
      <c r="B2943" s="152"/>
      <c r="C2943" s="355"/>
      <c r="D2943" s="152"/>
      <c r="E2943" s="152"/>
    </row>
    <row r="2944" hidden="1">
      <c r="A2944" s="152"/>
      <c r="B2944" s="152"/>
      <c r="C2944" s="355"/>
      <c r="D2944" s="152"/>
      <c r="E2944" s="152"/>
    </row>
    <row r="2945" hidden="1">
      <c r="A2945" s="152"/>
      <c r="B2945" s="152"/>
      <c r="C2945" s="355"/>
      <c r="D2945" s="152"/>
      <c r="E2945" s="152"/>
    </row>
    <row r="2946" hidden="1">
      <c r="A2946" s="152"/>
      <c r="B2946" s="152"/>
      <c r="C2946" s="355"/>
      <c r="D2946" s="152"/>
      <c r="E2946" s="152"/>
    </row>
    <row r="2947" hidden="1">
      <c r="A2947" s="152"/>
      <c r="B2947" s="152"/>
      <c r="C2947" s="355"/>
      <c r="D2947" s="152"/>
      <c r="E2947" s="152"/>
    </row>
    <row r="2948" hidden="1">
      <c r="A2948" s="152"/>
      <c r="B2948" s="152"/>
      <c r="C2948" s="355"/>
      <c r="D2948" s="152"/>
      <c r="E2948" s="152"/>
    </row>
    <row r="2949" hidden="1">
      <c r="A2949" s="152"/>
      <c r="B2949" s="152"/>
      <c r="C2949" s="355"/>
      <c r="D2949" s="152"/>
      <c r="E2949" s="152"/>
    </row>
    <row r="2950" hidden="1">
      <c r="A2950" s="152"/>
      <c r="B2950" s="152"/>
      <c r="C2950" s="355"/>
      <c r="D2950" s="152"/>
      <c r="E2950" s="152"/>
    </row>
    <row r="2951" hidden="1">
      <c r="A2951" s="152"/>
      <c r="B2951" s="152"/>
      <c r="C2951" s="355"/>
      <c r="D2951" s="152"/>
      <c r="E2951" s="152"/>
    </row>
    <row r="2952" hidden="1">
      <c r="A2952" s="152"/>
      <c r="B2952" s="152"/>
      <c r="C2952" s="355"/>
      <c r="D2952" s="152"/>
      <c r="E2952" s="152"/>
    </row>
    <row r="2953" hidden="1">
      <c r="A2953" s="152"/>
      <c r="B2953" s="152"/>
      <c r="C2953" s="355"/>
      <c r="D2953" s="152"/>
      <c r="E2953" s="152"/>
    </row>
    <row r="2954" hidden="1">
      <c r="A2954" s="152"/>
      <c r="B2954" s="152"/>
      <c r="C2954" s="355"/>
      <c r="D2954" s="152"/>
      <c r="E2954" s="152"/>
    </row>
    <row r="2955" hidden="1">
      <c r="A2955" s="152"/>
      <c r="B2955" s="152"/>
      <c r="C2955" s="355"/>
      <c r="D2955" s="152"/>
      <c r="E2955" s="152"/>
    </row>
    <row r="2956" hidden="1">
      <c r="A2956" s="152"/>
      <c r="B2956" s="152"/>
      <c r="C2956" s="355"/>
      <c r="D2956" s="152"/>
      <c r="E2956" s="152"/>
    </row>
    <row r="2957" hidden="1">
      <c r="A2957" s="152"/>
      <c r="B2957" s="152"/>
      <c r="C2957" s="355"/>
      <c r="D2957" s="152"/>
      <c r="E2957" s="152"/>
    </row>
    <row r="2958" hidden="1">
      <c r="A2958" s="152"/>
      <c r="B2958" s="152"/>
      <c r="C2958" s="355"/>
      <c r="D2958" s="152"/>
      <c r="E2958" s="152"/>
    </row>
    <row r="2959" hidden="1">
      <c r="A2959" s="152"/>
      <c r="B2959" s="152"/>
      <c r="C2959" s="355"/>
      <c r="D2959" s="152"/>
      <c r="E2959" s="152"/>
    </row>
    <row r="2960" hidden="1">
      <c r="A2960" s="152"/>
      <c r="B2960" s="152"/>
      <c r="C2960" s="355"/>
      <c r="D2960" s="152"/>
      <c r="E2960" s="152"/>
    </row>
    <row r="2961" hidden="1">
      <c r="A2961" s="152"/>
      <c r="B2961" s="152"/>
      <c r="C2961" s="355"/>
      <c r="D2961" s="152"/>
      <c r="E2961" s="152"/>
    </row>
    <row r="2962" hidden="1">
      <c r="A2962" s="152"/>
      <c r="B2962" s="152"/>
      <c r="C2962" s="355"/>
      <c r="D2962" s="152"/>
      <c r="E2962" s="152"/>
    </row>
    <row r="2963" hidden="1">
      <c r="A2963" s="152"/>
      <c r="B2963" s="152"/>
      <c r="C2963" s="355"/>
      <c r="D2963" s="152"/>
      <c r="E2963" s="152"/>
    </row>
    <row r="2964" hidden="1">
      <c r="A2964" s="152"/>
      <c r="B2964" s="152"/>
      <c r="C2964" s="355"/>
      <c r="D2964" s="152"/>
      <c r="E2964" s="152"/>
    </row>
    <row r="2965" hidden="1">
      <c r="A2965" s="152"/>
      <c r="B2965" s="152"/>
      <c r="C2965" s="355"/>
      <c r="D2965" s="152"/>
      <c r="E2965" s="152"/>
    </row>
    <row r="2966" hidden="1">
      <c r="A2966" s="152"/>
      <c r="B2966" s="152"/>
      <c r="C2966" s="355"/>
      <c r="D2966" s="152"/>
      <c r="E2966" s="152"/>
    </row>
    <row r="2967" hidden="1">
      <c r="A2967" s="152"/>
      <c r="B2967" s="152"/>
      <c r="C2967" s="355"/>
      <c r="D2967" s="152"/>
      <c r="E2967" s="152"/>
    </row>
    <row r="2968" hidden="1">
      <c r="A2968" s="152"/>
      <c r="B2968" s="152"/>
      <c r="C2968" s="355"/>
      <c r="D2968" s="152"/>
      <c r="E2968" s="152"/>
    </row>
    <row r="2969" hidden="1">
      <c r="A2969" s="152"/>
      <c r="B2969" s="152"/>
      <c r="C2969" s="355"/>
      <c r="D2969" s="152"/>
      <c r="E2969" s="152"/>
    </row>
    <row r="2970" hidden="1">
      <c r="A2970" s="152"/>
      <c r="B2970" s="152"/>
      <c r="C2970" s="355"/>
      <c r="D2970" s="152"/>
      <c r="E2970" s="152"/>
    </row>
    <row r="2971" hidden="1">
      <c r="A2971" s="152"/>
      <c r="B2971" s="152"/>
      <c r="C2971" s="355"/>
      <c r="D2971" s="152"/>
      <c r="E2971" s="152"/>
    </row>
    <row r="2972" hidden="1">
      <c r="A2972" s="152"/>
      <c r="B2972" s="152"/>
      <c r="C2972" s="355"/>
      <c r="D2972" s="152"/>
      <c r="E2972" s="152"/>
    </row>
    <row r="2973" hidden="1">
      <c r="A2973" s="152"/>
      <c r="B2973" s="152"/>
      <c r="C2973" s="355"/>
      <c r="D2973" s="152"/>
      <c r="E2973" s="152"/>
    </row>
    <row r="2974" hidden="1">
      <c r="A2974" s="152"/>
      <c r="B2974" s="152"/>
      <c r="C2974" s="355"/>
      <c r="D2974" s="152"/>
      <c r="E2974" s="152"/>
    </row>
    <row r="2975" hidden="1">
      <c r="A2975" s="152"/>
      <c r="B2975" s="152"/>
      <c r="C2975" s="355"/>
      <c r="D2975" s="152"/>
      <c r="E2975" s="152"/>
    </row>
    <row r="2976" hidden="1">
      <c r="A2976" s="152"/>
      <c r="B2976" s="152"/>
      <c r="C2976" s="355"/>
      <c r="D2976" s="152"/>
      <c r="E2976" s="152"/>
    </row>
    <row r="2977" hidden="1">
      <c r="A2977" s="152"/>
      <c r="B2977" s="152"/>
      <c r="C2977" s="355"/>
      <c r="D2977" s="152"/>
      <c r="E2977" s="152"/>
    </row>
    <row r="2978" hidden="1">
      <c r="A2978" s="152"/>
      <c r="B2978" s="152"/>
      <c r="C2978" s="355"/>
      <c r="D2978" s="152"/>
      <c r="E2978" s="152"/>
    </row>
    <row r="2979" hidden="1">
      <c r="A2979" s="152"/>
      <c r="B2979" s="152"/>
      <c r="C2979" s="355"/>
      <c r="D2979" s="152"/>
      <c r="E2979" s="152"/>
    </row>
    <row r="2980" hidden="1">
      <c r="A2980" s="152"/>
      <c r="B2980" s="152"/>
      <c r="C2980" s="355"/>
      <c r="D2980" s="152"/>
      <c r="E2980" s="152"/>
    </row>
    <row r="2981" hidden="1">
      <c r="A2981" s="152"/>
      <c r="B2981" s="152"/>
      <c r="C2981" s="355"/>
      <c r="D2981" s="152"/>
      <c r="E2981" s="152"/>
    </row>
    <row r="2982" hidden="1">
      <c r="A2982" s="152"/>
      <c r="B2982" s="152"/>
      <c r="C2982" s="355"/>
      <c r="D2982" s="152"/>
      <c r="E2982" s="152"/>
    </row>
    <row r="2983" hidden="1">
      <c r="A2983" s="152"/>
      <c r="B2983" s="152"/>
      <c r="C2983" s="355"/>
      <c r="D2983" s="152"/>
      <c r="E2983" s="152"/>
    </row>
    <row r="2984" hidden="1">
      <c r="A2984" s="152"/>
      <c r="B2984" s="152"/>
      <c r="C2984" s="355"/>
      <c r="D2984" s="152"/>
      <c r="E2984" s="152"/>
    </row>
    <row r="2985" hidden="1">
      <c r="A2985" s="152"/>
      <c r="B2985" s="152"/>
      <c r="C2985" s="355"/>
      <c r="D2985" s="152"/>
      <c r="E2985" s="152"/>
    </row>
    <row r="2986" hidden="1">
      <c r="A2986" s="152"/>
      <c r="B2986" s="152"/>
      <c r="C2986" s="355"/>
      <c r="D2986" s="152"/>
      <c r="E2986" s="152"/>
    </row>
    <row r="2987" hidden="1">
      <c r="A2987" s="152"/>
      <c r="B2987" s="152"/>
      <c r="C2987" s="355"/>
      <c r="D2987" s="152"/>
      <c r="E2987" s="152"/>
    </row>
    <row r="2988" hidden="1">
      <c r="A2988" s="152"/>
      <c r="B2988" s="152"/>
      <c r="C2988" s="355"/>
      <c r="D2988" s="152"/>
      <c r="E2988" s="152"/>
    </row>
    <row r="2989" hidden="1">
      <c r="A2989" s="152"/>
      <c r="B2989" s="152"/>
      <c r="C2989" s="355"/>
      <c r="D2989" s="152"/>
      <c r="E2989" s="152"/>
    </row>
    <row r="2990" hidden="1">
      <c r="A2990" s="152"/>
      <c r="B2990" s="152"/>
      <c r="C2990" s="355"/>
      <c r="D2990" s="152"/>
      <c r="E2990" s="152"/>
    </row>
    <row r="2991" hidden="1">
      <c r="A2991" s="152"/>
      <c r="B2991" s="152"/>
      <c r="C2991" s="355"/>
      <c r="D2991" s="152"/>
      <c r="E2991" s="152"/>
    </row>
    <row r="2992" hidden="1">
      <c r="A2992" s="152"/>
      <c r="B2992" s="152"/>
      <c r="C2992" s="355"/>
      <c r="D2992" s="152"/>
      <c r="E2992" s="152"/>
    </row>
    <row r="2993" hidden="1">
      <c r="A2993" s="152"/>
      <c r="B2993" s="152"/>
      <c r="C2993" s="355"/>
      <c r="D2993" s="152"/>
      <c r="E2993" s="152"/>
    </row>
    <row r="2994" hidden="1">
      <c r="A2994" s="152"/>
      <c r="B2994" s="152"/>
      <c r="C2994" s="355"/>
      <c r="D2994" s="152"/>
      <c r="E2994" s="152"/>
    </row>
    <row r="2995" hidden="1">
      <c r="A2995" s="152"/>
      <c r="B2995" s="152"/>
      <c r="C2995" s="355"/>
      <c r="D2995" s="152"/>
      <c r="E2995" s="152"/>
    </row>
    <row r="2996" hidden="1">
      <c r="A2996" s="152"/>
      <c r="B2996" s="152"/>
      <c r="C2996" s="355"/>
      <c r="D2996" s="152"/>
      <c r="E2996" s="152"/>
    </row>
    <row r="2997" hidden="1">
      <c r="A2997" s="152"/>
      <c r="B2997" s="152"/>
      <c r="C2997" s="355"/>
      <c r="D2997" s="152"/>
      <c r="E2997" s="152"/>
    </row>
    <row r="2998" hidden="1">
      <c r="A2998" s="152"/>
      <c r="B2998" s="152"/>
      <c r="C2998" s="355"/>
      <c r="D2998" s="152"/>
      <c r="E2998" s="152"/>
    </row>
    <row r="2999" hidden="1">
      <c r="A2999" s="152"/>
      <c r="B2999" s="152"/>
      <c r="C2999" s="355"/>
      <c r="D2999" s="152"/>
      <c r="E2999" s="152"/>
    </row>
    <row r="3000" hidden="1">
      <c r="A3000" s="152"/>
      <c r="B3000" s="152"/>
      <c r="C3000" s="355"/>
      <c r="D3000" s="152"/>
      <c r="E3000" s="152"/>
    </row>
    <row r="3001" hidden="1">
      <c r="A3001" s="152"/>
      <c r="B3001" s="152"/>
      <c r="C3001" s="355"/>
      <c r="D3001" s="152"/>
      <c r="E3001" s="152"/>
    </row>
    <row r="3002" hidden="1">
      <c r="A3002" s="152"/>
      <c r="B3002" s="152"/>
      <c r="C3002" s="355"/>
      <c r="D3002" s="152"/>
      <c r="E3002" s="152"/>
    </row>
    <row r="3003" hidden="1">
      <c r="A3003" s="152"/>
      <c r="B3003" s="152"/>
      <c r="C3003" s="355"/>
      <c r="D3003" s="152"/>
      <c r="E3003" s="152"/>
    </row>
    <row r="3004" hidden="1">
      <c r="A3004" s="152"/>
      <c r="B3004" s="152"/>
      <c r="C3004" s="355"/>
      <c r="D3004" s="152"/>
      <c r="E3004" s="152"/>
    </row>
    <row r="3005" hidden="1">
      <c r="A3005" s="152"/>
      <c r="B3005" s="152"/>
      <c r="C3005" s="355"/>
      <c r="D3005" s="152"/>
      <c r="E3005" s="152"/>
    </row>
    <row r="3006" hidden="1">
      <c r="A3006" s="152"/>
      <c r="B3006" s="152"/>
      <c r="C3006" s="355"/>
      <c r="D3006" s="152"/>
      <c r="E3006" s="152"/>
    </row>
    <row r="3007" hidden="1">
      <c r="A3007" s="152"/>
      <c r="B3007" s="152"/>
      <c r="C3007" s="355"/>
      <c r="D3007" s="152"/>
      <c r="E3007" s="152"/>
    </row>
    <row r="3008" hidden="1">
      <c r="A3008" s="152"/>
      <c r="B3008" s="152"/>
      <c r="C3008" s="355"/>
      <c r="D3008" s="152"/>
      <c r="E3008" s="152"/>
    </row>
  </sheetData>
  <autoFilter ref="$A$1:$A$3008">
    <filterColumn colId="0">
      <filters>
        <filter val="select_multiple discuss_mig_info"/>
        <filter val="select_one work_prefer_d"/>
        <filter val="select_one agree_likert"/>
        <filter val="select_one towns"/>
        <filter val="select_one region"/>
        <filter val="select_one school_prefer_son"/>
        <filter val="select_multiple who_concerned_fam"/>
        <filter val="select_multiple docs"/>
        <filter val="select_one husbandwife"/>
        <filter val="select_one unavail_why"/>
        <filter val="select_multiple risks"/>
        <filter val="text"/>
        <filter val="select_one save_or_share"/>
        <filter val="select_one mig_countries"/>
        <filter val="select_one interest"/>
        <filter val="select_multiple money_transfer"/>
        <filter val="select_multiple exp_categories_share"/>
        <filter val="select_multiple fail_reason"/>
        <filter val="select_one locality"/>
        <filter val="select_one attitude"/>
        <filter val="select_multiple assets"/>
        <filter val="select_multiple encouragereason"/>
        <filter val="select_multiple potential_spouse"/>
        <filter val="select_one work_prefer_son"/>
        <filter val="select_multiple crops"/>
        <filter val="select_multiple travel"/>
        <filter val="select_multiple savings_reasons"/>
        <filter val="select_one experience"/>
        <filter val="select_one enum"/>
        <filter val="select_one resp"/>
        <filter val="select_multiple discuss_mig_who"/>
        <filter val="select_one id"/>
        <filter val="select_multiple paytype"/>
        <filter val="select_multiple changes"/>
        <filter val="select_one state_likert"/>
        <filter val="select_multiple contactshare"/>
        <filter val="select_multiple potential_child"/>
        <filter val="select_multiple ppm_know_who"/>
        <filter val="select_multiple mitigate"/>
        <filter val="select_one live_home"/>
        <filter val="select_one live_away"/>
        <filter val="select_one pm_primary_activity"/>
        <filter val="select_multiple countries"/>
        <filter val="select_one contact_relation"/>
        <filter val="select_one health"/>
        <filter val="select_one languages"/>
        <filter val="select_one whyno_in"/>
        <filter val="select_multiple region"/>
        <filter val="select_one customs"/>
        <filter val="select_one illness"/>
        <filter val="select_one cash_decision_mem"/>
        <filter val="select_multiple who_concerned_comm"/>
        <filter val="select_one reason_nowork"/>
        <filter val="select_one nopay"/>
        <filter val="select_one encouragescale"/>
        <filter val="integer"/>
        <filter val="select_multiple emergency"/>
        <filter val="select_one yesno"/>
        <filter val="select_one unit"/>
        <filter val="select_multiple cons_week"/>
        <filter val="select_multiple towns"/>
        <filter val="select_multiple discouragereason"/>
        <filter val="select_one present"/>
        <filter val="select_one employer"/>
        <filter val="select_multiple benefits"/>
        <filter val="select_multiple exp_categories"/>
        <filter val="select_one members"/>
        <filter val="select_one yesnodk"/>
        <filter val="decimal"/>
        <filter val="select_multiple mig_countries"/>
        <filter val="select_one countries"/>
        <filter val="select_one education"/>
        <filter val="select_multiple cons_month"/>
        <filter val="select_one freq"/>
        <filter val="select_one group_know_how"/>
        <filter val="note"/>
        <filter val="select_one worries"/>
        <filter val="select_multiple locations"/>
        <filter val="select_one sex"/>
        <filter val="select_one season"/>
        <filter val="select_one purpose"/>
        <filter val="select_one statement"/>
        <filter val="select_multiple who_cash_share"/>
        <filter val="select_one team"/>
        <filter val="select_one relation"/>
        <filter val="select_one commune"/>
        <filter val="select_one stay"/>
        <filter val="select_multiple goods_transfer"/>
        <filter val="select_one lesseqmore"/>
        <filter val="select_one accurate"/>
        <filter val="select_multiple concerns"/>
        <filter val="select_one schools"/>
        <filter val="select_one call"/>
        <filter val="select_multiple countryinterest"/>
        <filter val="select_one patient"/>
        <filter val="select_multiple purchases"/>
        <filter val="select_multiple illness"/>
        <filter val="select_multiple support"/>
        <filter val="select_multiple ppm_info"/>
        <filter val="select_multiple vax"/>
        <filter val="select_multiple livestock"/>
        <filter val="select_one countryinterest"/>
        <filter val="select_multiple savings"/>
        <filter val="select_multiple pm_prev_locations_opt"/>
        <filter val="select_one comprehension"/>
        <filter val="select_one school_prefer_d"/>
        <filter val="select_one activities"/>
      </filters>
    </filterColumn>
  </autoFilter>
  <conditionalFormatting sqref="C1026:E1026 C1054:E1054 C1079:E1079">
    <cfRule type="expression" dxfId="36" priority="1">
      <formula>NOT($A1026=$A1025)</formula>
    </cfRule>
  </conditionalFormatting>
  <conditionalFormatting sqref="B1:C2076 D1:E2076 A1261">
    <cfRule type="expression" dxfId="0" priority="2" stopIfTrue="1">
      <formula>$A1="begin group"</formula>
    </cfRule>
  </conditionalFormatting>
  <conditionalFormatting sqref="B1:C2076 D1:E2076 A1261">
    <cfRule type="expression" dxfId="1" priority="3" stopIfTrue="1">
      <formula>$A1="begin repeat"</formula>
    </cfRule>
  </conditionalFormatting>
  <conditionalFormatting sqref="B1:E2076 A1261">
    <cfRule type="expression" dxfId="31" priority="4" stopIfTrue="1">
      <formula>$A1="enumerator"</formula>
    </cfRule>
  </conditionalFormatting>
  <conditionalFormatting sqref="B1:E2076 A1261">
    <cfRule type="expression" dxfId="2" priority="5" stopIfTrue="1">
      <formula>$A1="text"</formula>
    </cfRule>
  </conditionalFormatting>
  <conditionalFormatting sqref="B1:E2076 A1261">
    <cfRule type="expression" dxfId="3" priority="6" stopIfTrue="1">
      <formula>$A1="integer"</formula>
    </cfRule>
  </conditionalFormatting>
  <conditionalFormatting sqref="B1:E2076 A1261">
    <cfRule type="expression" dxfId="4" priority="7" stopIfTrue="1">
      <formula>$A1="decimal"</formula>
    </cfRule>
  </conditionalFormatting>
  <conditionalFormatting sqref="B1:C2076 D1:E2076 A1261">
    <cfRule type="expression" dxfId="5" priority="8" stopIfTrue="1">
      <formula>OR(AND(LEFT($A1, 16)="select_multiple ", LEN($A1)&gt;16, NOT(ISNUMBER(SEARCH(" ", $A1, 17)))), AND(LEFT($A1, 11)="select_one ", LEN($A1)&gt;11, NOT(ISNUMBER(SEARCH(" ", $A1, 12)))))</formula>
    </cfRule>
  </conditionalFormatting>
  <conditionalFormatting sqref="B1:B314 C1:E1 C315:E315 B316:B2076 C323:E323 C378:E389 C391:E396 C803:E803 A1261 C1326:E1339 C1341:E1346 C1462:E1462 C1470:E1470 C1524:E1535 C1537:E1542">
    <cfRule type="expression" dxfId="6" priority="9" stopIfTrue="1">
      <formula>OR($A1="audio audit", $A1="text audit", $A1="speed violations count", $A1="speed violations list", $A1="speed violations audit")</formula>
    </cfRule>
  </conditionalFormatting>
  <conditionalFormatting sqref="B1:C2076 D1:E2076 A1261">
    <cfRule type="expression" dxfId="32" priority="10" stopIfTrue="1">
      <formula>$A1="file"</formula>
    </cfRule>
  </conditionalFormatting>
  <conditionalFormatting sqref="B1:C2076 D1:E2076 A1261">
    <cfRule type="expression" dxfId="7" priority="11" stopIfTrue="1">
      <formula>$A1="note"</formula>
    </cfRule>
  </conditionalFormatting>
  <conditionalFormatting sqref="B1:C2076 D1:E2076 A1261">
    <cfRule type="expression" dxfId="8" priority="12" stopIfTrue="1">
      <formula>$A1="barcode"</formula>
    </cfRule>
  </conditionalFormatting>
  <conditionalFormatting sqref="B1:C2076 D1:E2076 A1261">
    <cfRule type="expression" dxfId="9" priority="13" stopIfTrue="1">
      <formula>OR($A1="geopoint", $A1="geoshape", $A1="geotrace")</formula>
    </cfRule>
  </conditionalFormatting>
  <conditionalFormatting sqref="B1:B314 C1:E1 C315:E315 B316:B2076 C323:E323 C378:E389 C391:E396 C803:E803 A1261 C1326:E1339 C1341:E1346 C1462:E1462 C1470:E1470 C1524:E1535 C1537:E1542">
    <cfRule type="expression" dxfId="10" priority="14" stopIfTrue="1">
      <formula>OR($A1="calculate", $A1="calculate_here")</formula>
    </cfRule>
  </conditionalFormatting>
  <conditionalFormatting sqref="B1:C2076 D1:E2076 A1261">
    <cfRule type="expression" dxfId="11" priority="15" stopIfTrue="1">
      <formula>OR($A1="date", $A1="datetime", $A1="time")</formula>
    </cfRule>
  </conditionalFormatting>
  <conditionalFormatting sqref="B1:C2076 D1:E2076 A1261">
    <cfRule type="expression" dxfId="12" priority="16" stopIfTrue="1">
      <formula>$A1="image"</formula>
    </cfRule>
  </conditionalFormatting>
  <conditionalFormatting sqref="B1:C2076 D1:E2076 A1261">
    <cfRule type="expression" dxfId="13" priority="17" stopIfTrue="1">
      <formula>OR($A1="audio", $A1="video")</formula>
    </cfRule>
  </conditionalFormatting>
  <conditionalFormatting sqref="A1:E2076">
    <cfRule type="expression" dxfId="33" priority="18" stopIfTrue="1">
      <formula>$A1="file"</formula>
    </cfRule>
  </conditionalFormatting>
  <conditionalFormatting sqref="A1:E2076">
    <cfRule type="expression" dxfId="34" priority="19" stopIfTrue="1">
      <formula>$A1="enumerator"</formula>
    </cfRule>
  </conditionalFormatting>
  <conditionalFormatting sqref="A1:E2076">
    <cfRule type="expression" dxfId="35" priority="20" stopIfTrue="1">
      <formula>OR(AND(LEFT($A1, 14)="sensor_stream ", LEN($A1)&gt;14, NOT(ISNUMBER(SEARCH(" ", $A1, 15)))), AND(LEFT($A1, 17)="sensor_statistic ", LEN($A1)&gt;17, NOT(ISNUMBER(SEARCH(" ", $A1, 18)))))</formula>
    </cfRule>
  </conditionalFormatting>
  <conditionalFormatting sqref="A1:E2076">
    <cfRule type="expression" dxfId="14" priority="21" stopIfTrue="1">
      <formula>$A1="comments"</formula>
    </cfRule>
  </conditionalFormatting>
  <conditionalFormatting sqref="A1:E2076">
    <cfRule type="expression" dxfId="15" priority="22" stopIfTrue="1">
      <formula>OR($A1="audio", $A1="video")</formula>
    </cfRule>
  </conditionalFormatting>
  <conditionalFormatting sqref="A1:E2076">
    <cfRule type="expression" dxfId="16" priority="23" stopIfTrue="1">
      <formula>$A1="image"</formula>
    </cfRule>
  </conditionalFormatting>
  <conditionalFormatting sqref="A1:E2076">
    <cfRule type="expression" dxfId="17" priority="24" stopIfTrue="1">
      <formula>OR($A1="date", $A1="datetime", $A1="time")</formula>
    </cfRule>
  </conditionalFormatting>
  <conditionalFormatting sqref="A1:E2076">
    <cfRule type="expression" dxfId="18" priority="25" stopIfTrue="1">
      <formula>OR($A1="calculate", $A1="calculate_here")</formula>
    </cfRule>
  </conditionalFormatting>
  <conditionalFormatting sqref="A1:E2076">
    <cfRule type="expression" dxfId="19" priority="26" stopIfTrue="1">
      <formula>$A1="note"</formula>
    </cfRule>
  </conditionalFormatting>
  <conditionalFormatting sqref="A1:E2076">
    <cfRule type="expression" dxfId="20" priority="27" stopIfTrue="1">
      <formula>$A1="barcode"</formula>
    </cfRule>
  </conditionalFormatting>
  <conditionalFormatting sqref="A1:E2076">
    <cfRule type="expression" dxfId="21" priority="28" stopIfTrue="1">
      <formula>OR($A1="geopoint", $A1="geoshape", $A1="geotrace")</formula>
    </cfRule>
  </conditionalFormatting>
  <conditionalFormatting sqref="A1:E2076">
    <cfRule type="expression" dxfId="22" priority="29" stopIfTrue="1">
      <formula>OR($A1="audio audit", $A1="text audit", $A1="speed violations count", $A1="speed violations list", $A1="speed violations audit")</formula>
    </cfRule>
  </conditionalFormatting>
  <conditionalFormatting sqref="A1:E2076">
    <cfRule type="expression" dxfId="23" priority="30" stopIfTrue="1">
      <formula>OR($A1="username", $A1="phonenumber", $A1="start", $A1="end", $A1="deviceid", $A1="subscriberid", $A1="simserial", $A1="caseid")</formula>
    </cfRule>
  </conditionalFormatting>
  <conditionalFormatting sqref="A1:E2076">
    <cfRule type="expression" dxfId="24" priority="31" stopIfTrue="1">
      <formula>OR(AND(LEFT($A1, 16)="select_multiple ", LEN($A1)&gt;16, NOT(ISNUMBER(SEARCH(" ", $A1, 17)))), AND(LEFT($A1, 11)="select_one ", LEN($A1)&gt;11, NOT(ISNUMBER(SEARCH(" ", $A1, 12)))))</formula>
    </cfRule>
  </conditionalFormatting>
  <conditionalFormatting sqref="A1:E2076">
    <cfRule type="expression" dxfId="25" priority="32" stopIfTrue="1">
      <formula>$A1="decimal"</formula>
    </cfRule>
  </conditionalFormatting>
  <conditionalFormatting sqref="A1:E2076">
    <cfRule type="expression" dxfId="26" priority="33" stopIfTrue="1">
      <formula>$A1="integer"</formula>
    </cfRule>
  </conditionalFormatting>
  <conditionalFormatting sqref="A1:E2076">
    <cfRule type="expression" dxfId="27" priority="34" stopIfTrue="1">
      <formula>$A1="text"</formula>
    </cfRule>
  </conditionalFormatting>
  <conditionalFormatting sqref="A1:E2076">
    <cfRule type="expression" dxfId="28" priority="35" stopIfTrue="1">
      <formula>$A1="end repeat"</formula>
    </cfRule>
  </conditionalFormatting>
  <conditionalFormatting sqref="A1:E2076">
    <cfRule type="expression" dxfId="28" priority="36" stopIfTrue="1">
      <formula>$A1="begin repeat"</formula>
    </cfRule>
  </conditionalFormatting>
  <conditionalFormatting sqref="A1:E2076">
    <cfRule type="expression" dxfId="29" priority="37" stopIfTrue="1">
      <formula>$A1="end group"</formula>
    </cfRule>
  </conditionalFormatting>
  <conditionalFormatting sqref="A1:E2076">
    <cfRule type="expression" dxfId="29" priority="38" stopIfTrue="1">
      <formula>$A1="begin group"</formula>
    </cfRule>
  </conditionalFormatting>
  <conditionalFormatting sqref="B1:B314 C1:E1 C315:E315 B316:B2076 C323:E323 C378:E389 C391:E396 C803:E803 A1261 C1326:E1339 C1341:E1346 C1462:E1462 C1470:E1470 C1524:E1535 C1537:E1542">
    <cfRule type="expression" dxfId="30" priority="39" stopIfTrue="1">
      <formula>$A1="comments"</formula>
    </cfRule>
  </conditionalFormatting>
  <conditionalFormatting sqref="B1:B314 C1:E1 C315:E315 B316:B2076 C323:E323 C378:E389 C391:E396 C803:E803 A1261 C1326:E1339 C1341:E1346 C1462:E1462 C1470:E1470 C1524:E1535 C1537:E1542">
    <cfRule type="expression" dxfId="37" priority="40" stopIfTrue="1">
      <formula>OR(AND(LEFT($A1, 14)="sensor_stream ", LEN($A1)&gt;14, NOT(ISNUMBER(SEARCH(" ", $A1, 15)))), AND(LEFT($A1, 17)="sensor_statistic ", LEN($A1)&gt;17, NOT(ISNUMBER(SEARCH(" ", $A1, 18)))))</formula>
    </cfRule>
  </conditionalFormatting>
  <drawing r:id="rId1"/>
</worksheet>
</file>